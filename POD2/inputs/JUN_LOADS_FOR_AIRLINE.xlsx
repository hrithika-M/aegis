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078120\Desktop\"/>
    </mc:Choice>
  </mc:AlternateContent>
  <bookViews>
    <workbookView xWindow="0" yWindow="0" windowWidth="20490" windowHeight="7005" tabRatio="749"/>
  </bookViews>
  <sheets>
    <sheet name="Load Factor Sheet June Airl" sheetId="24" r:id="rId1"/>
    <sheet name="Load Factor Sheet June Acft  " sheetId="2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4" l="1"/>
  <c r="D31" i="24"/>
  <c r="D33" i="24"/>
  <c r="B33" i="24"/>
  <c r="P33" i="23"/>
  <c r="D33" i="23"/>
  <c r="B33" i="23"/>
  <c r="L33" i="24"/>
  <c r="J33" i="24"/>
  <c r="P33" i="24"/>
  <c r="P32" i="24"/>
  <c r="N32" i="24"/>
  <c r="N33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2" i="24"/>
  <c r="C4" i="24"/>
  <c r="P32" i="23"/>
  <c r="D32" i="24"/>
  <c r="B32" i="24"/>
  <c r="P31" i="24"/>
  <c r="N31" i="24"/>
  <c r="L32" i="24"/>
  <c r="J32" i="24"/>
  <c r="D32" i="23"/>
  <c r="B32" i="23"/>
  <c r="B30" i="24"/>
  <c r="L31" i="24"/>
  <c r="J31" i="24"/>
  <c r="P31" i="23"/>
  <c r="D31" i="23"/>
  <c r="B31" i="23"/>
  <c r="H31" i="23"/>
  <c r="F31" i="23"/>
  <c r="P30" i="23"/>
  <c r="D30" i="24"/>
  <c r="B29" i="24"/>
  <c r="P30" i="24"/>
  <c r="N30" i="24"/>
  <c r="L30" i="24"/>
  <c r="J30" i="24"/>
  <c r="D30" i="23"/>
  <c r="B30" i="23"/>
  <c r="H30" i="23"/>
  <c r="F30" i="23"/>
  <c r="D29" i="24"/>
  <c r="D28" i="24"/>
  <c r="B28" i="24"/>
  <c r="P29" i="24"/>
  <c r="N29" i="24"/>
  <c r="L29" i="24"/>
  <c r="J29" i="24"/>
  <c r="P28" i="23"/>
  <c r="P29" i="23"/>
  <c r="H29" i="23"/>
  <c r="F29" i="23"/>
  <c r="D29" i="23"/>
  <c r="B29" i="23"/>
  <c r="D28" i="23"/>
  <c r="B28" i="23"/>
  <c r="P28" i="24"/>
  <c r="N28" i="24"/>
  <c r="L28" i="24"/>
  <c r="J28" i="24"/>
  <c r="D27" i="24"/>
  <c r="B27" i="24"/>
  <c r="J27" i="24"/>
  <c r="L27" i="24"/>
  <c r="P27" i="24"/>
  <c r="N27" i="24"/>
  <c r="P27" i="23"/>
  <c r="D27" i="23"/>
  <c r="B27" i="23"/>
  <c r="D26" i="24"/>
  <c r="B26" i="24"/>
  <c r="L26" i="24"/>
  <c r="J26" i="24"/>
  <c r="P26" i="24"/>
  <c r="N26" i="24"/>
  <c r="P26" i="23"/>
  <c r="D26" i="23"/>
  <c r="B26" i="23"/>
  <c r="D25" i="24"/>
  <c r="B25" i="24"/>
  <c r="J25" i="24"/>
  <c r="L25" i="24"/>
  <c r="P25" i="24"/>
  <c r="N25" i="24"/>
  <c r="P25" i="23"/>
  <c r="D25" i="23"/>
  <c r="B25" i="23"/>
  <c r="D24" i="24"/>
  <c r="B24" i="24"/>
  <c r="B22" i="24"/>
  <c r="B23" i="24"/>
  <c r="P24" i="24"/>
  <c r="N24" i="24"/>
  <c r="L24" i="24"/>
  <c r="J24" i="24"/>
  <c r="P24" i="23"/>
  <c r="D24" i="23"/>
  <c r="B24" i="23"/>
  <c r="H24" i="23"/>
  <c r="F24" i="23"/>
  <c r="F25" i="23"/>
  <c r="L22" i="24"/>
  <c r="D22" i="24"/>
  <c r="D23" i="24"/>
  <c r="P23" i="24"/>
  <c r="N23" i="24"/>
  <c r="L23" i="24"/>
  <c r="J23" i="24"/>
  <c r="P22" i="24"/>
  <c r="N22" i="24"/>
  <c r="J22" i="24"/>
  <c r="R21" i="24"/>
  <c r="P23" i="23"/>
  <c r="D23" i="23"/>
  <c r="B23" i="23"/>
  <c r="B4" i="24"/>
  <c r="P22" i="23"/>
  <c r="D22" i="23"/>
  <c r="B22" i="23"/>
  <c r="H22" i="23"/>
  <c r="F22" i="23"/>
  <c r="D21" i="24"/>
  <c r="D20" i="24"/>
  <c r="B21" i="24"/>
  <c r="P21" i="24"/>
  <c r="N21" i="24"/>
  <c r="L21" i="24"/>
  <c r="J21" i="24"/>
  <c r="P21" i="23"/>
  <c r="D21" i="23"/>
  <c r="B21" i="23"/>
  <c r="N4" i="24"/>
  <c r="P20" i="23"/>
  <c r="P20" i="24"/>
  <c r="N20" i="24"/>
  <c r="B20" i="24"/>
  <c r="L20" i="24"/>
  <c r="J20" i="24"/>
  <c r="D20" i="23"/>
  <c r="B20" i="23"/>
  <c r="H20" i="23"/>
  <c r="F20" i="23"/>
  <c r="D19" i="24"/>
  <c r="B19" i="24"/>
  <c r="P19" i="24"/>
  <c r="N19" i="24"/>
  <c r="L19" i="24"/>
  <c r="J19" i="24"/>
  <c r="P19" i="23"/>
  <c r="D19" i="23"/>
  <c r="B19" i="23"/>
  <c r="D18" i="24"/>
  <c r="D17" i="24"/>
  <c r="B18" i="24"/>
  <c r="P18" i="24"/>
  <c r="N18" i="24"/>
  <c r="L18" i="24"/>
  <c r="J18" i="24"/>
  <c r="P18" i="23"/>
  <c r="D18" i="23"/>
  <c r="B18" i="23"/>
  <c r="H18" i="23"/>
  <c r="F18" i="23"/>
  <c r="D15" i="24"/>
  <c r="B17" i="24"/>
  <c r="P17" i="24"/>
  <c r="N17" i="24"/>
  <c r="N16" i="24"/>
  <c r="L17" i="24"/>
  <c r="J17" i="24"/>
  <c r="D16" i="24"/>
  <c r="B16" i="24"/>
  <c r="P16" i="24"/>
  <c r="J16" i="24"/>
  <c r="L16" i="24"/>
  <c r="P17" i="23"/>
  <c r="D17" i="23"/>
  <c r="B17" i="23"/>
  <c r="F17" i="23"/>
  <c r="H17" i="23"/>
  <c r="P16" i="23"/>
  <c r="D16" i="23"/>
  <c r="B16" i="23"/>
  <c r="B15" i="24"/>
  <c r="B14" i="24"/>
  <c r="N15" i="24"/>
  <c r="P15" i="24"/>
  <c r="J15" i="24"/>
  <c r="L15" i="24"/>
  <c r="P15" i="23"/>
  <c r="D15" i="23"/>
  <c r="B15" i="23"/>
  <c r="P14" i="24"/>
  <c r="N14" i="24"/>
  <c r="L14" i="24"/>
  <c r="J14" i="24"/>
  <c r="D13" i="24"/>
  <c r="D14" i="24"/>
  <c r="P14" i="23"/>
  <c r="D14" i="23"/>
  <c r="B14" i="23"/>
  <c r="B13" i="24"/>
  <c r="P13" i="24"/>
  <c r="N13" i="24"/>
  <c r="J13" i="24"/>
  <c r="L13" i="24"/>
  <c r="P13" i="23"/>
  <c r="D13" i="23"/>
  <c r="B13" i="23"/>
  <c r="P12" i="23"/>
  <c r="D12" i="23"/>
  <c r="B12" i="23"/>
  <c r="H12" i="23"/>
  <c r="D12" i="24"/>
  <c r="B12" i="24"/>
  <c r="B5" i="24"/>
  <c r="L12" i="24"/>
  <c r="J12" i="24"/>
  <c r="P12" i="24"/>
  <c r="N12" i="24"/>
  <c r="V11" i="24"/>
  <c r="D11" i="24"/>
  <c r="B11" i="24"/>
  <c r="L11" i="24"/>
  <c r="J11" i="24"/>
  <c r="P11" i="24"/>
  <c r="N11" i="24"/>
  <c r="P11" i="23"/>
  <c r="B11" i="23"/>
  <c r="J11" i="23"/>
  <c r="B10" i="24"/>
  <c r="D10" i="24"/>
  <c r="L10" i="24"/>
  <c r="J10" i="24"/>
  <c r="P10" i="24"/>
  <c r="N10" i="24"/>
  <c r="P10" i="23"/>
  <c r="D10" i="23"/>
  <c r="B10" i="23"/>
  <c r="D9" i="24"/>
  <c r="D8" i="24"/>
  <c r="B9" i="24"/>
  <c r="B8" i="24"/>
  <c r="L9" i="24"/>
  <c r="J9" i="24"/>
  <c r="P9" i="24"/>
  <c r="N9" i="24"/>
  <c r="P9" i="23"/>
  <c r="O11" i="23"/>
  <c r="P8" i="23"/>
  <c r="N9" i="23"/>
  <c r="D9" i="23"/>
  <c r="B9" i="23"/>
  <c r="T7" i="24"/>
  <c r="D7" i="24"/>
  <c r="P8" i="24"/>
  <c r="N8" i="24"/>
  <c r="L8" i="24"/>
  <c r="J8" i="24"/>
  <c r="R7" i="24"/>
  <c r="R8" i="23"/>
  <c r="S8" i="23"/>
  <c r="D8" i="23"/>
  <c r="B8" i="23"/>
  <c r="T8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R8" i="24"/>
  <c r="R9" i="24"/>
  <c r="R10" i="24"/>
  <c r="R11" i="24"/>
  <c r="R13" i="24"/>
  <c r="R14" i="24"/>
  <c r="R15" i="24"/>
  <c r="R16" i="24"/>
  <c r="R17" i="24"/>
  <c r="R18" i="24"/>
  <c r="R19" i="24"/>
  <c r="R20" i="24"/>
  <c r="R22" i="24"/>
  <c r="R23" i="24"/>
  <c r="R24" i="24"/>
  <c r="R25" i="24"/>
  <c r="R26" i="24"/>
  <c r="R27" i="24"/>
  <c r="R28" i="24"/>
  <c r="R29" i="24"/>
  <c r="R30" i="24"/>
  <c r="R31" i="24"/>
  <c r="R32" i="24"/>
  <c r="R33" i="24"/>
  <c r="P7" i="24"/>
  <c r="N7" i="24"/>
  <c r="L7" i="24"/>
  <c r="J7" i="24"/>
  <c r="B6" i="24"/>
  <c r="B7" i="24"/>
  <c r="P7" i="23"/>
  <c r="O8" i="23"/>
  <c r="T8" i="23" s="1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0" i="23"/>
  <c r="O9" i="23"/>
  <c r="D7" i="23"/>
  <c r="B7" i="23"/>
  <c r="D5" i="24"/>
  <c r="D6" i="24"/>
  <c r="N6" i="24"/>
  <c r="L6" i="24"/>
  <c r="J6" i="24"/>
  <c r="P6" i="24"/>
  <c r="T6" i="24"/>
  <c r="R6" i="24"/>
  <c r="I32" i="24"/>
  <c r="G32" i="24"/>
  <c r="I31" i="24"/>
  <c r="G31" i="24"/>
  <c r="I30" i="24"/>
  <c r="G30" i="24"/>
  <c r="I29" i="24"/>
  <c r="G29" i="24"/>
  <c r="I28" i="24"/>
  <c r="G28" i="24"/>
  <c r="I27" i="24"/>
  <c r="G27" i="24"/>
  <c r="I26" i="24"/>
  <c r="G26" i="24"/>
  <c r="I25" i="24"/>
  <c r="G25" i="24"/>
  <c r="F25" i="24"/>
  <c r="I24" i="24"/>
  <c r="H24" i="24"/>
  <c r="G24" i="24"/>
  <c r="I23" i="24"/>
  <c r="G23" i="24"/>
  <c r="I22" i="24"/>
  <c r="H22" i="24"/>
  <c r="G22" i="24"/>
  <c r="I21" i="24"/>
  <c r="G21" i="24"/>
  <c r="I20" i="24"/>
  <c r="H20" i="24"/>
  <c r="G20" i="24"/>
  <c r="I19" i="24"/>
  <c r="G19" i="24"/>
  <c r="I18" i="24"/>
  <c r="H18" i="24"/>
  <c r="G18" i="24"/>
  <c r="I17" i="24"/>
  <c r="G17" i="24"/>
  <c r="I16" i="24"/>
  <c r="G16" i="24"/>
  <c r="I15" i="24"/>
  <c r="G15" i="24"/>
  <c r="I14" i="24"/>
  <c r="G14" i="24"/>
  <c r="I13" i="24"/>
  <c r="G13" i="24"/>
  <c r="I11" i="24"/>
  <c r="G11" i="24"/>
  <c r="I10" i="24"/>
  <c r="G10" i="24"/>
  <c r="I9" i="24"/>
  <c r="G9" i="24"/>
  <c r="I8" i="24"/>
  <c r="G8" i="24"/>
  <c r="I7" i="24"/>
  <c r="G7" i="24"/>
  <c r="I6" i="24"/>
  <c r="H6" i="24"/>
  <c r="G6" i="24"/>
  <c r="F6" i="24"/>
  <c r="Y32" i="24"/>
  <c r="Y31" i="24"/>
  <c r="Y30" i="24"/>
  <c r="Y29" i="24"/>
  <c r="Y28" i="24"/>
  <c r="Y27" i="24"/>
  <c r="Y26" i="24"/>
  <c r="Y25" i="24"/>
  <c r="Y24" i="24"/>
  <c r="Y23" i="24"/>
  <c r="Y22" i="24"/>
  <c r="Y21" i="24"/>
  <c r="Y20" i="24"/>
  <c r="Y19" i="24"/>
  <c r="Y18" i="24"/>
  <c r="Y17" i="24"/>
  <c r="Y16" i="24"/>
  <c r="Y15" i="24"/>
  <c r="Y14" i="24"/>
  <c r="Y13" i="24"/>
  <c r="Y11" i="24"/>
  <c r="Y10" i="24"/>
  <c r="Y9" i="24"/>
  <c r="Y8" i="24"/>
  <c r="Y7" i="24"/>
  <c r="Y6" i="24"/>
  <c r="Y5" i="24"/>
  <c r="W33" i="24"/>
  <c r="W32" i="24"/>
  <c r="W31" i="24"/>
  <c r="W30" i="24"/>
  <c r="W29" i="24"/>
  <c r="W28" i="24"/>
  <c r="W27" i="24"/>
  <c r="W26" i="24"/>
  <c r="W25" i="24"/>
  <c r="W24" i="24"/>
  <c r="W23" i="24"/>
  <c r="W22" i="24"/>
  <c r="W21" i="24"/>
  <c r="W20" i="24"/>
  <c r="W19" i="24"/>
  <c r="W18" i="24"/>
  <c r="W17" i="24"/>
  <c r="W16" i="24"/>
  <c r="W15" i="24"/>
  <c r="W14" i="24"/>
  <c r="W13" i="24"/>
  <c r="W11" i="24"/>
  <c r="W10" i="24"/>
  <c r="W9" i="24"/>
  <c r="W8" i="24"/>
  <c r="W7" i="24"/>
  <c r="AA6" i="24"/>
  <c r="X6" i="24"/>
  <c r="W6" i="24"/>
  <c r="V6" i="24"/>
  <c r="D6" i="23"/>
  <c r="B6" i="23"/>
  <c r="O6" i="23"/>
  <c r="P6" i="23"/>
  <c r="R6" i="23"/>
  <c r="S6" i="23"/>
  <c r="T6" i="23"/>
  <c r="AB6" i="24" s="1"/>
  <c r="X5" i="24"/>
  <c r="W5" i="24"/>
  <c r="V5" i="24"/>
  <c r="I5" i="24"/>
  <c r="G5" i="24"/>
  <c r="R5" i="23"/>
  <c r="P5" i="23"/>
  <c r="S5" i="23" s="1"/>
  <c r="Q5" i="23" s="1"/>
  <c r="O5" i="23"/>
  <c r="T5" i="23" s="1"/>
  <c r="N5" i="23"/>
  <c r="AB5" i="24"/>
  <c r="AA5" i="24"/>
  <c r="Z5" i="24"/>
  <c r="D4" i="24"/>
  <c r="P5" i="24"/>
  <c r="N5" i="24"/>
  <c r="H5" i="24"/>
  <c r="F5" i="24"/>
  <c r="L5" i="24"/>
  <c r="L4" i="24"/>
  <c r="J5" i="24"/>
  <c r="T5" i="24"/>
  <c r="R5" i="24"/>
  <c r="D5" i="23"/>
  <c r="B5" i="23"/>
  <c r="U35" i="24"/>
  <c r="S35" i="24"/>
  <c r="Q35" i="24"/>
  <c r="O35" i="24"/>
  <c r="M35" i="24"/>
  <c r="K35" i="24"/>
  <c r="E35" i="24"/>
  <c r="C35" i="24"/>
  <c r="P4" i="24"/>
  <c r="R4" i="24"/>
  <c r="T4" i="24"/>
  <c r="J4" i="24"/>
  <c r="M34" i="23"/>
  <c r="I34" i="23"/>
  <c r="P4" i="23"/>
  <c r="D4" i="23"/>
  <c r="B4" i="23"/>
  <c r="Y4" i="24"/>
  <c r="Y35" i="24" s="1"/>
  <c r="W4" i="24"/>
  <c r="W35" i="24" s="1"/>
  <c r="I4" i="24"/>
  <c r="I35" i="24" s="1"/>
  <c r="G4" i="24"/>
  <c r="G35" i="24" s="1"/>
  <c r="P34" i="23"/>
  <c r="O4" i="23"/>
  <c r="S9" i="23"/>
  <c r="R9" i="23"/>
  <c r="Q9" i="23"/>
  <c r="T9" i="23"/>
  <c r="L9" i="23"/>
  <c r="X9" i="24" s="1"/>
  <c r="J9" i="23"/>
  <c r="V9" i="24" s="1"/>
  <c r="H9" i="23"/>
  <c r="H9" i="24" s="1"/>
  <c r="F9" i="23"/>
  <c r="F9" i="24" s="1"/>
  <c r="J31" i="23"/>
  <c r="V31" i="24" s="1"/>
  <c r="K34" i="23"/>
  <c r="G34" i="23"/>
  <c r="E34" i="23"/>
  <c r="C34" i="23"/>
  <c r="O34" i="23" s="1"/>
  <c r="R33" i="23"/>
  <c r="S33" i="23"/>
  <c r="O33" i="23"/>
  <c r="T33" i="23" s="1"/>
  <c r="N33" i="23"/>
  <c r="L33" i="23"/>
  <c r="X33" i="24" s="1"/>
  <c r="J33" i="23"/>
  <c r="V33" i="24" s="1"/>
  <c r="H33" i="23"/>
  <c r="H33" i="24" s="1"/>
  <c r="F33" i="23"/>
  <c r="F33" i="24" s="1"/>
  <c r="R32" i="23"/>
  <c r="S32" i="23"/>
  <c r="O32" i="23"/>
  <c r="T32" i="23" s="1"/>
  <c r="N32" i="23"/>
  <c r="L32" i="23"/>
  <c r="X32" i="24" s="1"/>
  <c r="J32" i="23"/>
  <c r="V32" i="24" s="1"/>
  <c r="H32" i="23"/>
  <c r="H32" i="24" s="1"/>
  <c r="F32" i="23"/>
  <c r="F32" i="24" s="1"/>
  <c r="R31" i="23"/>
  <c r="S31" i="23"/>
  <c r="O31" i="23"/>
  <c r="T31" i="23" s="1"/>
  <c r="AB31" i="24" s="1"/>
  <c r="N31" i="23"/>
  <c r="Z31" i="24" s="1"/>
  <c r="L31" i="23"/>
  <c r="X31" i="24" s="1"/>
  <c r="H31" i="24"/>
  <c r="F31" i="24"/>
  <c r="R30" i="23"/>
  <c r="S30" i="23"/>
  <c r="Q30" i="23" s="1"/>
  <c r="AA30" i="24" s="1"/>
  <c r="O30" i="23"/>
  <c r="T30" i="23" s="1"/>
  <c r="AB30" i="24" s="1"/>
  <c r="N30" i="23"/>
  <c r="Z30" i="24" s="1"/>
  <c r="L30" i="23"/>
  <c r="X30" i="24" s="1"/>
  <c r="J30" i="23"/>
  <c r="V30" i="24" s="1"/>
  <c r="H30" i="24"/>
  <c r="F30" i="24"/>
  <c r="R29" i="23"/>
  <c r="S29" i="23"/>
  <c r="Q29" i="23" s="1"/>
  <c r="AA29" i="24" s="1"/>
  <c r="O29" i="23"/>
  <c r="T29" i="23" s="1"/>
  <c r="AB29" i="24" s="1"/>
  <c r="N29" i="23"/>
  <c r="Z29" i="24" s="1"/>
  <c r="L29" i="23"/>
  <c r="X29" i="24" s="1"/>
  <c r="J29" i="23"/>
  <c r="V29" i="24" s="1"/>
  <c r="H29" i="24"/>
  <c r="F29" i="24"/>
  <c r="R28" i="23"/>
  <c r="S28" i="23"/>
  <c r="O28" i="23"/>
  <c r="T28" i="23" s="1"/>
  <c r="N28" i="23"/>
  <c r="L28" i="23"/>
  <c r="X28" i="24" s="1"/>
  <c r="J28" i="23"/>
  <c r="V28" i="24" s="1"/>
  <c r="H28" i="23"/>
  <c r="H28" i="24" s="1"/>
  <c r="F28" i="23"/>
  <c r="F28" i="24" s="1"/>
  <c r="R27" i="23"/>
  <c r="S27" i="23"/>
  <c r="Q27" i="23" s="1"/>
  <c r="AA27" i="24" s="1"/>
  <c r="O27" i="23"/>
  <c r="T27" i="23" s="1"/>
  <c r="AB27" i="24" s="1"/>
  <c r="N27" i="23"/>
  <c r="Z27" i="24" s="1"/>
  <c r="L27" i="23"/>
  <c r="X27" i="24" s="1"/>
  <c r="J27" i="23"/>
  <c r="V27" i="24" s="1"/>
  <c r="H27" i="23"/>
  <c r="H27" i="24" s="1"/>
  <c r="F27" i="23"/>
  <c r="F27" i="24" s="1"/>
  <c r="R26" i="23"/>
  <c r="S26" i="23"/>
  <c r="Q26" i="23" s="1"/>
  <c r="AA26" i="24" s="1"/>
  <c r="O26" i="23"/>
  <c r="T26" i="23" s="1"/>
  <c r="AB26" i="24" s="1"/>
  <c r="N26" i="23"/>
  <c r="Z26" i="24" s="1"/>
  <c r="L26" i="23"/>
  <c r="X26" i="24" s="1"/>
  <c r="J26" i="23"/>
  <c r="V26" i="24" s="1"/>
  <c r="H26" i="23"/>
  <c r="H26" i="24" s="1"/>
  <c r="F26" i="23"/>
  <c r="F26" i="24" s="1"/>
  <c r="R25" i="23"/>
  <c r="S25" i="23"/>
  <c r="Q25" i="23" s="1"/>
  <c r="AA25" i="24" s="1"/>
  <c r="T25" i="23"/>
  <c r="AB25" i="24" s="1"/>
  <c r="N25" i="23"/>
  <c r="Z25" i="24" s="1"/>
  <c r="L25" i="23"/>
  <c r="X25" i="24" s="1"/>
  <c r="J25" i="23"/>
  <c r="V25" i="24" s="1"/>
  <c r="H25" i="23"/>
  <c r="H25" i="24" s="1"/>
  <c r="R24" i="23"/>
  <c r="S24" i="23"/>
  <c r="Q24" i="23" s="1"/>
  <c r="AA24" i="24" s="1"/>
  <c r="T24" i="23"/>
  <c r="AB24" i="24" s="1"/>
  <c r="N24" i="23"/>
  <c r="Z24" i="24" s="1"/>
  <c r="L24" i="23"/>
  <c r="X24" i="24" s="1"/>
  <c r="J24" i="23"/>
  <c r="V24" i="24" s="1"/>
  <c r="F24" i="24"/>
  <c r="R23" i="23"/>
  <c r="S23" i="23"/>
  <c r="Q23" i="23" s="1"/>
  <c r="AA23" i="24" s="1"/>
  <c r="T23" i="23"/>
  <c r="AB23" i="24" s="1"/>
  <c r="N23" i="23"/>
  <c r="Z23" i="24" s="1"/>
  <c r="L23" i="23"/>
  <c r="X23" i="24" s="1"/>
  <c r="J23" i="23"/>
  <c r="V23" i="24" s="1"/>
  <c r="H23" i="23"/>
  <c r="H23" i="24" s="1"/>
  <c r="F23" i="23"/>
  <c r="F23" i="24" s="1"/>
  <c r="R22" i="23"/>
  <c r="S22" i="23"/>
  <c r="Q22" i="23" s="1"/>
  <c r="AA22" i="24" s="1"/>
  <c r="T22" i="23"/>
  <c r="AB22" i="24" s="1"/>
  <c r="N22" i="23"/>
  <c r="Z22" i="24" s="1"/>
  <c r="L22" i="23"/>
  <c r="X22" i="24" s="1"/>
  <c r="J22" i="23"/>
  <c r="V22" i="24" s="1"/>
  <c r="F22" i="24"/>
  <c r="R21" i="23"/>
  <c r="S21" i="23"/>
  <c r="Q21" i="23" s="1"/>
  <c r="AA21" i="24" s="1"/>
  <c r="T21" i="23"/>
  <c r="AB21" i="24" s="1"/>
  <c r="N21" i="23"/>
  <c r="Z21" i="24" s="1"/>
  <c r="L21" i="23"/>
  <c r="X21" i="24" s="1"/>
  <c r="J21" i="23"/>
  <c r="V21" i="24" s="1"/>
  <c r="H21" i="23"/>
  <c r="H21" i="24" s="1"/>
  <c r="F21" i="23"/>
  <c r="F21" i="24" s="1"/>
  <c r="R20" i="23"/>
  <c r="S20" i="23"/>
  <c r="Q20" i="23" s="1"/>
  <c r="AA20" i="24" s="1"/>
  <c r="T20" i="23"/>
  <c r="AB20" i="24" s="1"/>
  <c r="N20" i="23"/>
  <c r="Z20" i="24" s="1"/>
  <c r="L20" i="23"/>
  <c r="X20" i="24" s="1"/>
  <c r="J20" i="23"/>
  <c r="V20" i="24" s="1"/>
  <c r="F20" i="24"/>
  <c r="R19" i="23"/>
  <c r="S19" i="23"/>
  <c r="Q19" i="23" s="1"/>
  <c r="AA19" i="24" s="1"/>
  <c r="T19" i="23"/>
  <c r="AB19" i="24" s="1"/>
  <c r="N19" i="23"/>
  <c r="Z19" i="24" s="1"/>
  <c r="L19" i="23"/>
  <c r="X19" i="24" s="1"/>
  <c r="J19" i="23"/>
  <c r="V19" i="24" s="1"/>
  <c r="H19" i="23"/>
  <c r="H19" i="24" s="1"/>
  <c r="F19" i="23"/>
  <c r="F19" i="24" s="1"/>
  <c r="R18" i="23"/>
  <c r="S18" i="23"/>
  <c r="Q18" i="23" s="1"/>
  <c r="AA18" i="24" s="1"/>
  <c r="T18" i="23"/>
  <c r="AB18" i="24" s="1"/>
  <c r="N18" i="23"/>
  <c r="Z18" i="24" s="1"/>
  <c r="L18" i="23"/>
  <c r="X18" i="24" s="1"/>
  <c r="J18" i="23"/>
  <c r="V18" i="24" s="1"/>
  <c r="F18" i="24"/>
  <c r="R17" i="23"/>
  <c r="S17" i="23"/>
  <c r="Q17" i="23" s="1"/>
  <c r="AA17" i="24" s="1"/>
  <c r="T17" i="23"/>
  <c r="AB17" i="24" s="1"/>
  <c r="N17" i="23"/>
  <c r="Z17" i="24" s="1"/>
  <c r="L17" i="23"/>
  <c r="X17" i="24" s="1"/>
  <c r="J17" i="23"/>
  <c r="V17" i="24" s="1"/>
  <c r="H17" i="24"/>
  <c r="F17" i="24"/>
  <c r="R16" i="23"/>
  <c r="S16" i="23"/>
  <c r="Q16" i="23" s="1"/>
  <c r="AA16" i="24" s="1"/>
  <c r="T16" i="23"/>
  <c r="AB16" i="24" s="1"/>
  <c r="N16" i="23"/>
  <c r="Z16" i="24" s="1"/>
  <c r="L16" i="23"/>
  <c r="X16" i="24" s="1"/>
  <c r="J16" i="23"/>
  <c r="V16" i="24" s="1"/>
  <c r="H16" i="23"/>
  <c r="H16" i="24" s="1"/>
  <c r="F16" i="23"/>
  <c r="F16" i="24" s="1"/>
  <c r="R15" i="23"/>
  <c r="S15" i="23"/>
  <c r="Q15" i="23" s="1"/>
  <c r="AA15" i="24" s="1"/>
  <c r="T15" i="23"/>
  <c r="AB15" i="24" s="1"/>
  <c r="N15" i="23"/>
  <c r="Z15" i="24" s="1"/>
  <c r="L15" i="23"/>
  <c r="X15" i="24" s="1"/>
  <c r="J15" i="23"/>
  <c r="V15" i="24" s="1"/>
  <c r="H15" i="23"/>
  <c r="H15" i="24" s="1"/>
  <c r="F15" i="23"/>
  <c r="F15" i="24" s="1"/>
  <c r="R14" i="23"/>
  <c r="S14" i="23"/>
  <c r="Q14" i="23" s="1"/>
  <c r="AA14" i="24" s="1"/>
  <c r="T14" i="23"/>
  <c r="AB14" i="24" s="1"/>
  <c r="N14" i="23"/>
  <c r="Z14" i="24" s="1"/>
  <c r="L14" i="23"/>
  <c r="X14" i="24" s="1"/>
  <c r="J14" i="23"/>
  <c r="V14" i="24" s="1"/>
  <c r="H14" i="23"/>
  <c r="H14" i="24" s="1"/>
  <c r="F14" i="23"/>
  <c r="F14" i="24" s="1"/>
  <c r="R13" i="23"/>
  <c r="S13" i="23"/>
  <c r="Q13" i="23" s="1"/>
  <c r="AA13" i="24" s="1"/>
  <c r="T13" i="23"/>
  <c r="AB13" i="24" s="1"/>
  <c r="N13" i="23"/>
  <c r="Z13" i="24" s="1"/>
  <c r="L13" i="23"/>
  <c r="X13" i="24" s="1"/>
  <c r="J13" i="23"/>
  <c r="V13" i="24" s="1"/>
  <c r="H13" i="23"/>
  <c r="H13" i="24" s="1"/>
  <c r="F13" i="23"/>
  <c r="F13" i="24" s="1"/>
  <c r="R12" i="23"/>
  <c r="S12" i="23"/>
  <c r="Q12" i="23" s="1"/>
  <c r="AA12" i="24" s="1"/>
  <c r="T12" i="23"/>
  <c r="AB12" i="24" s="1"/>
  <c r="N12" i="23"/>
  <c r="Z12" i="24" s="1"/>
  <c r="L12" i="23"/>
  <c r="X12" i="24" s="1"/>
  <c r="J12" i="23"/>
  <c r="F12" i="23"/>
  <c r="R11" i="23"/>
  <c r="S11" i="23"/>
  <c r="T11" i="23"/>
  <c r="N11" i="23"/>
  <c r="L11" i="23"/>
  <c r="X11" i="24" s="1"/>
  <c r="H11" i="23"/>
  <c r="H11" i="24" s="1"/>
  <c r="F11" i="23"/>
  <c r="F11" i="24" s="1"/>
  <c r="D11" i="23"/>
  <c r="R10" i="23"/>
  <c r="S10" i="23"/>
  <c r="Q10" i="23" s="1"/>
  <c r="AA10" i="24" s="1"/>
  <c r="T10" i="23"/>
  <c r="AB10" i="24" s="1"/>
  <c r="N10" i="23"/>
  <c r="Z10" i="24" s="1"/>
  <c r="L10" i="23"/>
  <c r="X10" i="24" s="1"/>
  <c r="J10" i="23"/>
  <c r="V10" i="24" s="1"/>
  <c r="H10" i="23"/>
  <c r="H10" i="24" s="1"/>
  <c r="F10" i="23"/>
  <c r="F10" i="24" s="1"/>
  <c r="AB8" i="24"/>
  <c r="N8" i="23"/>
  <c r="L8" i="23"/>
  <c r="X8" i="24" s="1"/>
  <c r="J8" i="23"/>
  <c r="V8" i="24" s="1"/>
  <c r="H8" i="23"/>
  <c r="H8" i="24" s="1"/>
  <c r="F8" i="23"/>
  <c r="F8" i="24" s="1"/>
  <c r="R7" i="23"/>
  <c r="S7" i="23"/>
  <c r="Q7" i="23" s="1"/>
  <c r="AA7" i="24" s="1"/>
  <c r="O7" i="23"/>
  <c r="T7" i="23" s="1"/>
  <c r="AB7" i="24" s="1"/>
  <c r="N7" i="23"/>
  <c r="Z7" i="24" s="1"/>
  <c r="L7" i="23"/>
  <c r="X7" i="24" s="1"/>
  <c r="J7" i="23"/>
  <c r="V7" i="24" s="1"/>
  <c r="H7" i="23"/>
  <c r="H7" i="24" s="1"/>
  <c r="F7" i="23"/>
  <c r="F7" i="24" s="1"/>
  <c r="L6" i="23"/>
  <c r="J6" i="23"/>
  <c r="H6" i="23"/>
  <c r="F6" i="23"/>
  <c r="L5" i="23"/>
  <c r="J5" i="23"/>
  <c r="H5" i="23"/>
  <c r="F5" i="23"/>
  <c r="R4" i="23"/>
  <c r="R34" i="23" s="1"/>
  <c r="N4" i="23"/>
  <c r="L4" i="23"/>
  <c r="X4" i="24" s="1"/>
  <c r="J4" i="23"/>
  <c r="V4" i="24" s="1"/>
  <c r="H4" i="23"/>
  <c r="H4" i="24" s="1"/>
  <c r="F4" i="23"/>
  <c r="F4" i="24" s="1"/>
  <c r="Q33" i="23" l="1"/>
  <c r="AA33" i="24"/>
  <c r="Z33" i="24"/>
  <c r="AB33" i="24"/>
  <c r="Q32" i="23"/>
  <c r="AA32" i="24"/>
  <c r="Z32" i="24"/>
  <c r="AB32" i="24"/>
  <c r="Q31" i="23"/>
  <c r="AA31" i="24" s="1"/>
  <c r="Q28" i="23"/>
  <c r="Z28" i="24"/>
  <c r="AB28" i="24"/>
  <c r="Q11" i="23"/>
  <c r="AA11" i="24"/>
  <c r="Z11" i="24"/>
  <c r="AB11" i="24"/>
  <c r="Z8" i="24"/>
  <c r="AA9" i="24"/>
  <c r="Z9" i="24"/>
  <c r="AB9" i="24"/>
  <c r="Q8" i="23"/>
  <c r="Q6" i="23"/>
  <c r="N6" i="23"/>
  <c r="Z4" i="24"/>
  <c r="S4" i="23"/>
  <c r="N34" i="23"/>
  <c r="AA28" i="24" l="1"/>
  <c r="AA8" i="24"/>
  <c r="Z6" i="24"/>
  <c r="Z35" i="24"/>
  <c r="S34" i="23"/>
  <c r="Q4" i="23"/>
  <c r="T4" i="23"/>
  <c r="AA4" i="24" l="1"/>
  <c r="AB4" i="24"/>
  <c r="Q34" i="23"/>
  <c r="T34" i="23"/>
  <c r="AB35" i="24" l="1"/>
  <c r="AA35" i="24"/>
</calcChain>
</file>

<file path=xl/sharedStrings.xml><?xml version="1.0" encoding="utf-8"?>
<sst xmlns="http://schemas.openxmlformats.org/spreadsheetml/2006/main" count="76" uniqueCount="35">
  <si>
    <t>May</t>
  </si>
  <si>
    <t>Date</t>
  </si>
  <si>
    <t>Load Factor</t>
  </si>
  <si>
    <t>ARR</t>
  </si>
  <si>
    <t>DEP</t>
  </si>
  <si>
    <t>Combined Load Factor</t>
  </si>
  <si>
    <t>INDIGO A320 (6E)</t>
  </si>
  <si>
    <t>INDIGO ATR (6E)</t>
  </si>
  <si>
    <t>AIR INDIA (AI)</t>
  </si>
  <si>
    <t>AIR INDIA EXPRESS (IX)</t>
  </si>
  <si>
    <t>SCOOT (TR)</t>
  </si>
  <si>
    <t>INIDA ONE (I7)</t>
  </si>
  <si>
    <t>ARR LOAD FACTOR</t>
  </si>
  <si>
    <t>DEP LOAD FACTOR</t>
  </si>
  <si>
    <t>TOTAL</t>
  </si>
  <si>
    <t> </t>
  </si>
  <si>
    <t>4800 (24*200)</t>
  </si>
  <si>
    <t>320/321 Series &amp; B737 series(6E,AI,IX,TR)</t>
  </si>
  <si>
    <t>ATR (6E)</t>
  </si>
  <si>
    <t>9 (1*9)</t>
  </si>
  <si>
    <t>390 (78*4)</t>
  </si>
  <si>
    <t>ARR PAX</t>
  </si>
  <si>
    <t>DEP PAX</t>
  </si>
  <si>
    <t>TTL ARR PAX</t>
  </si>
  <si>
    <t>TTL ARR CAP</t>
  </si>
  <si>
    <t>TTL DEP PAX</t>
  </si>
  <si>
    <t>TTL DEP CAP</t>
  </si>
  <si>
    <t>4000 (13*200)</t>
  </si>
  <si>
    <t>234
(78*3)</t>
  </si>
  <si>
    <t>200*2
400</t>
  </si>
  <si>
    <t>1200 (05*200)</t>
  </si>
  <si>
    <t>200 (01*200)</t>
  </si>
  <si>
    <t>09 (01*09)</t>
  </si>
  <si>
    <t>Dep Load Factor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</si>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</sst>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/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 wrapText="1"/>
    </xf>
    <xf numFmtId="0" fontId="1" fillId="0" borderId="3" xfId="0" applyFont="1" applyBorder="1"/>
    <xf numFmtId="15" fontId="1" fillId="0" borderId="17" xfId="0" applyNumberFormat="1" applyFont="1" applyBorder="1"/>
    <xf numFmtId="0" fontId="0" fillId="0" borderId="18" xfId="0" applyBorder="1"/>
    <xf numFmtId="0" fontId="0" fillId="0" borderId="19" xfId="0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wrapText="1"/>
    </xf>
    <xf numFmtId="0" fontId="0" fillId="4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horizontal="center" wrapText="1"/>
    </xf>
    <xf numFmtId="10" fontId="1" fillId="0" borderId="6" xfId="0" applyNumberFormat="1" applyFont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1" fillId="0" borderId="6" xfId="0" applyNumberFormat="1" applyFont="1" applyBorder="1"/>
    <xf numFmtId="0" fontId="2" fillId="5" borderId="26" xfId="0" applyFont="1" applyFill="1" applyBorder="1"/>
    <xf numFmtId="10" fontId="0" fillId="5" borderId="23" xfId="0" applyNumberFormat="1" applyFill="1" applyBorder="1"/>
    <xf numFmtId="0" fontId="2" fillId="5" borderId="27" xfId="0" applyFont="1" applyFill="1" applyBorder="1"/>
    <xf numFmtId="10" fontId="1" fillId="5" borderId="23" xfId="0" applyNumberFormat="1" applyFont="1" applyFill="1" applyBorder="1"/>
    <xf numFmtId="10" fontId="0" fillId="5" borderId="23" xfId="0" applyNumberFormat="1" applyFill="1" applyBorder="1" applyAlignment="1">
      <alignment vertical="center"/>
    </xf>
    <xf numFmtId="0" fontId="0" fillId="5" borderId="23" xfId="0" applyFill="1" applyBorder="1"/>
    <xf numFmtId="0" fontId="0" fillId="5" borderId="28" xfId="0" applyFill="1" applyBorder="1" applyAlignment="1">
      <alignment horizontal="center" vertical="center"/>
    </xf>
    <xf numFmtId="10" fontId="0" fillId="5" borderId="24" xfId="0" applyNumberFormat="1" applyFill="1" applyBorder="1" applyAlignment="1">
      <alignment vertical="center" wrapText="1"/>
    </xf>
    <xf numFmtId="0" fontId="1" fillId="0" borderId="9" xfId="0" applyFont="1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0" fontId="2" fillId="0" borderId="26" xfId="0" applyFont="1" applyBorder="1"/>
    <xf numFmtId="0" fontId="2" fillId="0" borderId="27" xfId="0" applyFont="1" applyBorder="1"/>
    <xf numFmtId="0" fontId="0" fillId="4" borderId="4" xfId="0" applyFill="1" applyBorder="1" applyAlignment="1">
      <alignment vertical="center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10" fontId="0" fillId="3" borderId="15" xfId="0" applyNumberFormat="1" applyFill="1" applyBorder="1" applyAlignment="1">
      <alignment vertical="center"/>
    </xf>
    <xf numFmtId="10" fontId="0" fillId="3" borderId="16" xfId="0" applyNumberFormat="1" applyFill="1" applyBorder="1" applyAlignment="1">
      <alignment vertical="center" wrapText="1"/>
    </xf>
    <xf numFmtId="1" fontId="1" fillId="0" borderId="6" xfId="0" applyNumberFormat="1" applyFont="1" applyBorder="1"/>
    <xf numFmtId="0" fontId="0" fillId="0" borderId="30" xfId="0" applyBorder="1"/>
    <xf numFmtId="10" fontId="0" fillId="3" borderId="5" xfId="0" applyNumberFormat="1" applyFill="1" applyBorder="1" applyAlignment="1">
      <alignment vertical="center"/>
    </xf>
    <xf numFmtId="10" fontId="0" fillId="0" borderId="29" xfId="0" applyNumberFormat="1" applyBorder="1" applyAlignment="1">
      <alignment horizontal="center" vertical="center"/>
    </xf>
    <xf numFmtId="10" fontId="0" fillId="0" borderId="15" xfId="0" applyNumberFormat="1" applyBorder="1" applyAlignment="1">
      <alignment vertical="center"/>
    </xf>
    <xf numFmtId="10" fontId="0" fillId="0" borderId="16" xfId="0" applyNumberFormat="1" applyBorder="1" applyAlignment="1">
      <alignment vertical="center" wrapText="1"/>
    </xf>
    <xf numFmtId="9" fontId="4" fillId="0" borderId="6" xfId="0" applyNumberFormat="1" applyFont="1" applyBorder="1"/>
    <xf numFmtId="15" fontId="1" fillId="2" borderId="13" xfId="0" applyNumberFormat="1" applyFont="1" applyFill="1" applyBorder="1" applyAlignment="1">
      <alignment horizontal="center"/>
    </xf>
    <xf numFmtId="10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0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0" fontId="0" fillId="2" borderId="4" xfId="0" applyNumberFormat="1" applyFill="1" applyBorder="1" applyAlignment="1">
      <alignment horizontal="center" vertical="center" wrapText="1"/>
    </xf>
    <xf numFmtId="10" fontId="0" fillId="2" borderId="15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10" fontId="1" fillId="2" borderId="1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0" fontId="0" fillId="2" borderId="20" xfId="0" applyNumberForma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0" fontId="1" fillId="2" borderId="1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0" fontId="0" fillId="2" borderId="14" xfId="0" applyNumberFormat="1" applyFill="1" applyBorder="1" applyAlignment="1">
      <alignment horizontal="center" vertical="center" wrapText="1"/>
    </xf>
    <xf numFmtId="0" fontId="1" fillId="0" borderId="21" xfId="0" applyFont="1" applyBorder="1"/>
    <xf numFmtId="10" fontId="1" fillId="0" borderId="21" xfId="0" applyNumberFormat="1" applyFont="1" applyBorder="1"/>
    <xf numFmtId="1" fontId="1" fillId="0" borderId="21" xfId="0" applyNumberFormat="1" applyFont="1" applyBorder="1"/>
    <xf numFmtId="10" fontId="0" fillId="3" borderId="20" xfId="0" applyNumberFormat="1" applyFill="1" applyBorder="1" applyAlignment="1">
      <alignment vertical="center"/>
    </xf>
    <xf numFmtId="10" fontId="0" fillId="3" borderId="25" xfId="0" applyNumberFormat="1" applyFill="1" applyBorder="1" applyAlignment="1">
      <alignment vertical="center" wrapText="1"/>
    </xf>
    <xf numFmtId="0" fontId="2" fillId="0" borderId="13" xfId="0" applyFont="1" applyBorder="1" applyAlignment="1"/>
    <xf numFmtId="0" fontId="2" fillId="0" borderId="2" xfId="0" applyFont="1" applyBorder="1" applyAlignment="1"/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4" borderId="13" xfId="0" applyFont="1" applyFill="1" applyBorder="1" applyAlignment="1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abSelected="1" topLeftCell="I1" workbookViewId="0">
      <selection activeCell="T1" sqref="T1"/>
    </sheetView>
  </sheetViews>
  <sheetFormatPr defaultRowHeight="15" x14ac:dyDescent="0.25"/>
  <cols>
    <col min="1" max="1" width="9.42578125" bestFit="1" customWidth="1"/>
    <col min="2" max="2" width="11" customWidth="1"/>
    <col min="3" max="3" width="6.140625" bestFit="1" customWidth="1"/>
    <col min="4" max="4" width="10" customWidth="1"/>
    <col min="5" max="5" width="9.7109375" customWidth="1"/>
    <col min="6" max="6" width="10" customWidth="1"/>
    <col min="7" max="7" width="7.7109375" customWidth="1"/>
    <col min="8" max="8" width="9.5703125" customWidth="1"/>
    <col min="9" max="9" width="8.42578125" customWidth="1"/>
    <col min="10" max="10" width="9" customWidth="1"/>
    <col min="11" max="11" width="8.28515625" customWidth="1"/>
    <col min="12" max="12" width="8.140625" customWidth="1"/>
    <col min="13" max="13" width="7.7109375" customWidth="1"/>
    <col min="14" max="14" width="9.85546875" customWidth="1"/>
    <col min="15" max="15" width="6.140625" bestFit="1" customWidth="1"/>
    <col min="16" max="16" width="8.7109375" customWidth="1"/>
    <col min="17" max="17" width="8.28515625" customWidth="1"/>
    <col min="18" max="18" width="9.7109375" customWidth="1"/>
    <col min="19" max="19" width="7.5703125" customWidth="1"/>
    <col min="20" max="20" width="9.7109375" customWidth="1"/>
    <col min="21" max="21" width="8.42578125" customWidth="1"/>
    <col min="22" max="22" width="10.7109375" customWidth="1"/>
    <col min="23" max="23" width="6.5703125" customWidth="1"/>
    <col min="24" max="24" width="7.140625" customWidth="1"/>
    <col min="25" max="25" width="6.5703125" customWidth="1"/>
    <col min="28" max="28" width="14.85546875" customWidth="1"/>
  </cols>
  <sheetData>
    <row r="1" spans="1:29" x14ac:dyDescent="0.25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2"/>
      <c r="AA1" s="32"/>
      <c r="AB1" s="33"/>
    </row>
    <row r="2" spans="1:29" ht="26.25" x14ac:dyDescent="0.25">
      <c r="A2" s="77" t="s">
        <v>1</v>
      </c>
      <c r="B2" s="12" t="s">
        <v>27</v>
      </c>
      <c r="C2" s="78" t="s">
        <v>6</v>
      </c>
      <c r="D2" s="78"/>
      <c r="E2" s="78"/>
      <c r="F2" s="15" t="s">
        <v>28</v>
      </c>
      <c r="G2" s="78" t="s">
        <v>7</v>
      </c>
      <c r="H2" s="78"/>
      <c r="I2" s="78"/>
      <c r="J2" s="15" t="s">
        <v>29</v>
      </c>
      <c r="K2" s="78" t="s">
        <v>8</v>
      </c>
      <c r="L2" s="78"/>
      <c r="M2" s="78"/>
      <c r="N2" s="12" t="s">
        <v>30</v>
      </c>
      <c r="O2" s="78" t="s">
        <v>9</v>
      </c>
      <c r="P2" s="78"/>
      <c r="Q2" s="78"/>
      <c r="R2" s="12" t="s">
        <v>31</v>
      </c>
      <c r="S2" s="78" t="s">
        <v>10</v>
      </c>
      <c r="T2" s="78"/>
      <c r="U2" s="78"/>
      <c r="V2" s="12" t="s">
        <v>32</v>
      </c>
      <c r="W2" s="78" t="s">
        <v>11</v>
      </c>
      <c r="X2" s="78"/>
      <c r="Y2" s="78"/>
      <c r="Z2" s="79" t="s">
        <v>2</v>
      </c>
      <c r="AA2" s="79"/>
      <c r="AB2" s="80"/>
      <c r="AC2" s="42"/>
    </row>
    <row r="3" spans="1:29" ht="33" customHeight="1" x14ac:dyDescent="0.25">
      <c r="A3" s="77"/>
      <c r="B3" s="38" t="s">
        <v>12</v>
      </c>
      <c r="C3" s="38" t="s">
        <v>21</v>
      </c>
      <c r="D3" s="38" t="s">
        <v>33</v>
      </c>
      <c r="E3" s="37" t="s">
        <v>22</v>
      </c>
      <c r="F3" s="38" t="s">
        <v>12</v>
      </c>
      <c r="G3" s="37" t="s">
        <v>21</v>
      </c>
      <c r="H3" s="38" t="s">
        <v>33</v>
      </c>
      <c r="I3" s="37" t="s">
        <v>22</v>
      </c>
      <c r="J3" s="38" t="s">
        <v>12</v>
      </c>
      <c r="K3" s="37" t="s">
        <v>21</v>
      </c>
      <c r="L3" s="38" t="s">
        <v>33</v>
      </c>
      <c r="M3" s="37" t="s">
        <v>22</v>
      </c>
      <c r="N3" s="38" t="s">
        <v>12</v>
      </c>
      <c r="O3" s="38" t="s">
        <v>21</v>
      </c>
      <c r="P3" s="38" t="s">
        <v>33</v>
      </c>
      <c r="Q3" s="37" t="s">
        <v>22</v>
      </c>
      <c r="R3" s="38" t="s">
        <v>12</v>
      </c>
      <c r="S3" s="37" t="s">
        <v>21</v>
      </c>
      <c r="T3" s="38" t="s">
        <v>33</v>
      </c>
      <c r="U3" s="37" t="s">
        <v>22</v>
      </c>
      <c r="V3" s="38" t="s">
        <v>12</v>
      </c>
      <c r="W3" s="38" t="s">
        <v>21</v>
      </c>
      <c r="X3" s="38" t="s">
        <v>33</v>
      </c>
      <c r="Y3" s="38" t="s">
        <v>22</v>
      </c>
      <c r="Z3" s="6" t="s">
        <v>3</v>
      </c>
      <c r="AA3" s="6" t="s">
        <v>4</v>
      </c>
      <c r="AB3" s="7" t="s">
        <v>5</v>
      </c>
      <c r="AC3" s="42"/>
    </row>
    <row r="4" spans="1:29" ht="23.25" customHeight="1" x14ac:dyDescent="0.25">
      <c r="A4" s="9">
        <v>46204</v>
      </c>
      <c r="B4" s="21">
        <f>C4/(18*200)/1</f>
        <v>0.68944444444444442</v>
      </c>
      <c r="C4" s="2">
        <f>'Load Factor Sheet June Acft  '!C4-K4-O4-S4</f>
        <v>2482</v>
      </c>
      <c r="D4" s="21">
        <f>E4/(18*200)/1</f>
        <v>0.74444444444444446</v>
      </c>
      <c r="E4" s="2">
        <f>'Load Factor Sheet June Acft  '!E4-M4-Q4-U4</f>
        <v>2680</v>
      </c>
      <c r="F4" s="18">
        <f>'Load Factor Sheet June Acft  '!F4</f>
        <v>0.67948717948717952</v>
      </c>
      <c r="G4" s="41">
        <f>'Load Factor Sheet June Acft  '!G4</f>
        <v>159</v>
      </c>
      <c r="H4" s="18">
        <f>'Load Factor Sheet June Acft  '!H4</f>
        <v>0.92735042735042739</v>
      </c>
      <c r="I4" s="41">
        <f>'Load Factor Sheet June Acft  '!I4</f>
        <v>217</v>
      </c>
      <c r="J4" s="21">
        <f t="shared" ref="J4:J33" si="0">K4/(2*200)/1</f>
        <v>0.875</v>
      </c>
      <c r="K4" s="2">
        <v>350</v>
      </c>
      <c r="L4" s="21">
        <f t="shared" ref="L4:L33" si="1">M4/(2*200)/1</f>
        <v>0.80249999999999999</v>
      </c>
      <c r="M4" s="3">
        <v>321</v>
      </c>
      <c r="N4" s="18">
        <f t="shared" ref="N4:N31" si="2">O4/(5*200)*1</f>
        <v>0.59099999999999997</v>
      </c>
      <c r="O4" s="2">
        <v>591</v>
      </c>
      <c r="P4" s="18">
        <f t="shared" ref="P4:P33" si="3">Q4/(5*200)*1</f>
        <v>0.68300000000000005</v>
      </c>
      <c r="Q4" s="3">
        <v>683</v>
      </c>
      <c r="R4" s="18">
        <f>S4/(1*200)*1</f>
        <v>0.7</v>
      </c>
      <c r="S4" s="2">
        <v>140</v>
      </c>
      <c r="T4" s="18">
        <f>U4/(1*200)*1</f>
        <v>0.87</v>
      </c>
      <c r="U4" s="3">
        <v>174</v>
      </c>
      <c r="V4" s="18">
        <f>'Load Factor Sheet June Acft  '!J4</f>
        <v>0.45</v>
      </c>
      <c r="W4" s="2">
        <f>'Load Factor Sheet June Acft  '!K4</f>
        <v>5</v>
      </c>
      <c r="X4" s="18">
        <f>'Load Factor Sheet June Acft  '!L4</f>
        <v>0</v>
      </c>
      <c r="Y4" s="8">
        <f>'Load Factor Sheet June Acft  '!M4</f>
        <v>0</v>
      </c>
      <c r="Z4" s="39">
        <f>'Load Factor Sheet June Acft  '!N4</f>
        <v>0.80271376265345684</v>
      </c>
      <c r="AA4" s="39">
        <f>'Load Factor Sheet June Acft  '!Q4</f>
        <v>0.87766530260607367</v>
      </c>
      <c r="AB4" s="40">
        <f>'Load Factor Sheet June Acft  '!T4</f>
        <v>0.84018953262976526</v>
      </c>
    </row>
    <row r="5" spans="1:29" x14ac:dyDescent="0.25">
      <c r="A5" s="9">
        <v>46205</v>
      </c>
      <c r="B5" s="21">
        <f>C5/(12*200)/1</f>
        <v>0.92625000000000002</v>
      </c>
      <c r="C5" s="2">
        <f>'Load Factor Sheet June Acft  '!C5-K5-O5-S5</f>
        <v>2223</v>
      </c>
      <c r="D5" s="21">
        <f>E5/(14*200)/1</f>
        <v>0.91107142857142853</v>
      </c>
      <c r="E5" s="2">
        <f>'Load Factor Sheet June Acft  '!E5-M5-Q5-U5</f>
        <v>2551</v>
      </c>
      <c r="F5" s="18">
        <f>'Load Factor Sheet June Acft  '!F5</f>
        <v>0.63247863247863245</v>
      </c>
      <c r="G5" s="41">
        <f>'Load Factor Sheet June Acft  '!G5</f>
        <v>148</v>
      </c>
      <c r="H5" s="18">
        <f>'Load Factor Sheet June Acft  '!H5</f>
        <v>0.74786324786324787</v>
      </c>
      <c r="I5" s="41">
        <f>'Load Factor Sheet June Acft  '!I5</f>
        <v>175</v>
      </c>
      <c r="J5" s="21">
        <f t="shared" si="0"/>
        <v>0.88500000000000001</v>
      </c>
      <c r="K5" s="2">
        <v>354</v>
      </c>
      <c r="L5" s="21">
        <f t="shared" si="1"/>
        <v>0.86250000000000004</v>
      </c>
      <c r="M5" s="3">
        <v>345</v>
      </c>
      <c r="N5" s="18">
        <f t="shared" si="2"/>
        <v>0.32300000000000001</v>
      </c>
      <c r="O5" s="2">
        <v>323</v>
      </c>
      <c r="P5" s="18">
        <f t="shared" si="3"/>
        <v>0.50600000000000001</v>
      </c>
      <c r="Q5" s="3">
        <v>506</v>
      </c>
      <c r="R5" s="18">
        <f>S5/(1*200)*1</f>
        <v>0</v>
      </c>
      <c r="S5" s="2">
        <v>0</v>
      </c>
      <c r="T5" s="18">
        <f>U5/(1*200)*1</f>
        <v>0</v>
      </c>
      <c r="U5" s="3">
        <v>0</v>
      </c>
      <c r="V5" s="2">
        <f>'Load Factor Sheet June Acft  '!J5</f>
        <v>0</v>
      </c>
      <c r="W5" s="18">
        <f>'Load Factor Sheet June Acft  '!K5</f>
        <v>0</v>
      </c>
      <c r="X5" s="18">
        <f>'Load Factor Sheet June Acft  '!L5</f>
        <v>0.18</v>
      </c>
      <c r="Y5" s="8">
        <f>'Load Factor Sheet June Acft  '!M5</f>
        <v>2</v>
      </c>
      <c r="Z5" s="39">
        <f>'Load Factor Sheet June Acft  '!N5</f>
        <v>0.65647210855050608</v>
      </c>
      <c r="AA5" s="39">
        <f>'Load Factor Sheet June Acft  '!Q5</f>
        <v>0.77083782037475768</v>
      </c>
      <c r="AB5" s="40">
        <f>'Load Factor Sheet June Acft  '!T5</f>
        <v>0.71365496446263188</v>
      </c>
    </row>
    <row r="6" spans="1:29" x14ac:dyDescent="0.25">
      <c r="A6" s="9">
        <v>46206</v>
      </c>
      <c r="B6" s="21">
        <f>C6/(13*200)/1</f>
        <v>0.93038461538461537</v>
      </c>
      <c r="C6" s="2">
        <f>'Load Factor Sheet June Acft  '!C6-K6-O6-S6</f>
        <v>2419</v>
      </c>
      <c r="D6" s="21">
        <f>E6/(13*200)/1</f>
        <v>0.96038461538461539</v>
      </c>
      <c r="E6" s="2">
        <f>'Load Factor Sheet June Acft  '!E6-M6-Q6-U6</f>
        <v>2497</v>
      </c>
      <c r="F6" s="18">
        <f>'Load Factor Sheet June Acft  '!F6</f>
        <v>0.85897435897435892</v>
      </c>
      <c r="G6" s="41">
        <f>'Load Factor Sheet June Acft  '!G6</f>
        <v>201</v>
      </c>
      <c r="H6" s="18">
        <f>'Load Factor Sheet June Acft  '!H6</f>
        <v>0.66666666666666663</v>
      </c>
      <c r="I6" s="41">
        <f>'Load Factor Sheet June Acft  '!I6</f>
        <v>156</v>
      </c>
      <c r="J6" s="21">
        <f t="shared" si="0"/>
        <v>0.85250000000000004</v>
      </c>
      <c r="K6" s="2">
        <v>341</v>
      </c>
      <c r="L6" s="21">
        <f t="shared" si="1"/>
        <v>0.85</v>
      </c>
      <c r="M6" s="3">
        <v>340</v>
      </c>
      <c r="N6" s="18">
        <f t="shared" si="2"/>
        <v>0.64300000000000002</v>
      </c>
      <c r="O6" s="2">
        <v>643</v>
      </c>
      <c r="P6" s="18">
        <f t="shared" si="3"/>
        <v>0.78</v>
      </c>
      <c r="Q6" s="3">
        <v>780</v>
      </c>
      <c r="R6" s="18">
        <f>S6/(1*200)*1</f>
        <v>0.80500000000000005</v>
      </c>
      <c r="S6" s="2">
        <v>161</v>
      </c>
      <c r="T6" s="18">
        <f>U6/(1*200)*1</f>
        <v>0.83</v>
      </c>
      <c r="U6" s="3">
        <v>166</v>
      </c>
      <c r="V6" s="18">
        <f>'Load Factor Sheet June Acft  '!J6</f>
        <v>0.36</v>
      </c>
      <c r="W6" s="41">
        <f>'Load Factor Sheet June Acft  '!K6</f>
        <v>4</v>
      </c>
      <c r="X6" s="18">
        <f>'Load Factor Sheet June Acft  '!L6</f>
        <v>0.72</v>
      </c>
      <c r="Y6" s="8">
        <f>'Load Factor Sheet June Acft  '!M6</f>
        <v>8</v>
      </c>
      <c r="Z6" s="39">
        <f>'Load Factor Sheet June Acft  '!N6</f>
        <v>0.81175963816497954</v>
      </c>
      <c r="AA6" s="39">
        <f>'Load Factor Sheet June Acft  '!Q6</f>
        <v>0.85009692009476634</v>
      </c>
      <c r="AB6" s="40">
        <f>'Load Factor Sheet June Acft  '!T6</f>
        <v>0.83092827912987288</v>
      </c>
    </row>
    <row r="7" spans="1:29" x14ac:dyDescent="0.25">
      <c r="A7" s="9">
        <v>46207</v>
      </c>
      <c r="B7" s="21">
        <f>C7/(14*200)/1</f>
        <v>0.88714285714285712</v>
      </c>
      <c r="C7" s="2">
        <f>'Load Factor Sheet June Acft  '!C7-K7-O7-S7</f>
        <v>2484</v>
      </c>
      <c r="D7" s="21">
        <f>E7/(14*200)/1</f>
        <v>0.88714285714285712</v>
      </c>
      <c r="E7" s="2">
        <f>'Load Factor Sheet June Acft  '!E7-M7-Q7-U7</f>
        <v>2484</v>
      </c>
      <c r="F7" s="18">
        <f>'Load Factor Sheet June Acft  '!F7</f>
        <v>0.90170940170940173</v>
      </c>
      <c r="G7" s="41">
        <f>'Load Factor Sheet June Acft  '!G7</f>
        <v>211</v>
      </c>
      <c r="H7" s="18">
        <f>'Load Factor Sheet June Acft  '!H7</f>
        <v>0.90170940170940173</v>
      </c>
      <c r="I7" s="41">
        <f>'Load Factor Sheet June Acft  '!I7</f>
        <v>211</v>
      </c>
      <c r="J7" s="21">
        <f t="shared" si="0"/>
        <v>0.87250000000000005</v>
      </c>
      <c r="K7" s="2">
        <v>349</v>
      </c>
      <c r="L7" s="21">
        <f t="shared" si="1"/>
        <v>0.87250000000000005</v>
      </c>
      <c r="M7" s="3">
        <v>349</v>
      </c>
      <c r="N7" s="18">
        <f t="shared" si="2"/>
        <v>0.64800000000000002</v>
      </c>
      <c r="O7" s="2">
        <v>648</v>
      </c>
      <c r="P7" s="18">
        <f t="shared" si="3"/>
        <v>0.64800000000000002</v>
      </c>
      <c r="Q7" s="3">
        <v>648</v>
      </c>
      <c r="R7" s="18">
        <f>S7/(1*200)*1</f>
        <v>0</v>
      </c>
      <c r="S7" s="2">
        <v>0</v>
      </c>
      <c r="T7" s="18">
        <f>U7/(1*200)*1</f>
        <v>0</v>
      </c>
      <c r="U7" s="3">
        <v>0</v>
      </c>
      <c r="V7" s="18">
        <f>'Load Factor Sheet June Acft  '!J7</f>
        <v>0.72</v>
      </c>
      <c r="W7" s="41">
        <f>'Load Factor Sheet June Acft  '!K7</f>
        <v>8</v>
      </c>
      <c r="X7" s="18">
        <f>'Load Factor Sheet June Acft  '!L7</f>
        <v>0.72</v>
      </c>
      <c r="Y7" s="8">
        <f>'Load Factor Sheet June Acft  '!M7</f>
        <v>8</v>
      </c>
      <c r="Z7" s="39">
        <f>'Load Factor Sheet June Acft  '!N7</f>
        <v>0.83277065046139997</v>
      </c>
      <c r="AA7" s="39">
        <f>'Load Factor Sheet June Acft  '!Q7</f>
        <v>0.83277065046139997</v>
      </c>
      <c r="AB7" s="40">
        <f>'Load Factor Sheet June Acft  '!T7</f>
        <v>0.83277065046139997</v>
      </c>
    </row>
    <row r="8" spans="1:29" x14ac:dyDescent="0.25">
      <c r="A8" s="9">
        <v>46208</v>
      </c>
      <c r="B8" s="21">
        <f>C8/(14*200)/1</f>
        <v>0.89535714285714285</v>
      </c>
      <c r="C8" s="2">
        <f>'Load Factor Sheet June Acft  '!C8-K8-O8-S8</f>
        <v>2507</v>
      </c>
      <c r="D8" s="21">
        <f>E8/(14*200)/1</f>
        <v>0.91749999999999998</v>
      </c>
      <c r="E8" s="2">
        <f>'Load Factor Sheet June Acft  '!E8-M8-Q8-U8</f>
        <v>2569</v>
      </c>
      <c r="F8" s="18">
        <f>'Load Factor Sheet June Acft  '!F8</f>
        <v>0.8504273504273504</v>
      </c>
      <c r="G8" s="41">
        <f>'Load Factor Sheet June Acft  '!G8</f>
        <v>199</v>
      </c>
      <c r="H8" s="18">
        <f>'Load Factor Sheet June Acft  '!H8</f>
        <v>0.74786324786324787</v>
      </c>
      <c r="I8" s="41">
        <f>'Load Factor Sheet June Acft  '!I8</f>
        <v>175</v>
      </c>
      <c r="J8" s="21">
        <f t="shared" si="0"/>
        <v>0.88749999999999996</v>
      </c>
      <c r="K8" s="2">
        <v>355</v>
      </c>
      <c r="L8" s="21">
        <f t="shared" si="1"/>
        <v>0.85499999999999998</v>
      </c>
      <c r="M8" s="3">
        <v>342</v>
      </c>
      <c r="N8" s="18">
        <f t="shared" si="2"/>
        <v>0.63200000000000001</v>
      </c>
      <c r="O8" s="2">
        <v>632</v>
      </c>
      <c r="P8" s="18">
        <f t="shared" si="3"/>
        <v>0.71399999999999997</v>
      </c>
      <c r="Q8" s="3">
        <v>714</v>
      </c>
      <c r="R8" s="18">
        <f t="shared" ref="R8:R33" si="4">S8/(1*200)*1</f>
        <v>0.78500000000000003</v>
      </c>
      <c r="S8" s="2">
        <v>157</v>
      </c>
      <c r="T8" s="18">
        <f t="shared" ref="T8:T33" si="5">U8/(1*200)*1</f>
        <v>0.75</v>
      </c>
      <c r="U8" s="3">
        <v>150</v>
      </c>
      <c r="V8" s="18">
        <f>'Load Factor Sheet June Acft  '!J8</f>
        <v>0.27</v>
      </c>
      <c r="W8" s="41">
        <f>'Load Factor Sheet June Acft  '!K8</f>
        <v>3</v>
      </c>
      <c r="X8" s="18">
        <f>'Load Factor Sheet June Acft  '!L8</f>
        <v>0.09</v>
      </c>
      <c r="Y8" s="8">
        <f>'Load Factor Sheet June Acft  '!M8</f>
        <v>1</v>
      </c>
      <c r="Z8" s="45">
        <f>'Load Factor Sheet June Acft  '!N8</f>
        <v>0.86720684222372268</v>
      </c>
      <c r="AA8" s="45">
        <f>'Load Factor Sheet June Acft  '!Q8</f>
        <v>0.88926401080351114</v>
      </c>
      <c r="AB8" s="46">
        <f>'Load Factor Sheet June Acft  '!T8</f>
        <v>0.87823542651361697</v>
      </c>
    </row>
    <row r="9" spans="1:29" x14ac:dyDescent="0.25">
      <c r="A9" s="9">
        <v>46209</v>
      </c>
      <c r="B9" s="21">
        <f>C9/(13*200)/1</f>
        <v>0.94961538461538464</v>
      </c>
      <c r="C9" s="2">
        <f>'Load Factor Sheet June Acft  '!C9-K9-O9-S9</f>
        <v>2469</v>
      </c>
      <c r="D9" s="21">
        <f>E9/(14*200)/1</f>
        <v>0.94214285714285717</v>
      </c>
      <c r="E9" s="2">
        <f>'Load Factor Sheet June Acft  '!E9-M9-Q9-U9</f>
        <v>2638</v>
      </c>
      <c r="F9" s="18">
        <f>'Load Factor Sheet June Acft  '!F9</f>
        <v>0.74358974358974361</v>
      </c>
      <c r="G9" s="41">
        <f>'Load Factor Sheet June Acft  '!G9</f>
        <v>174</v>
      </c>
      <c r="H9" s="18">
        <f>'Load Factor Sheet June Acft  '!H9</f>
        <v>0.78632478632478631</v>
      </c>
      <c r="I9" s="41">
        <f>'Load Factor Sheet June Acft  '!I9</f>
        <v>184</v>
      </c>
      <c r="J9" s="21">
        <f t="shared" si="0"/>
        <v>0.89500000000000002</v>
      </c>
      <c r="K9" s="2">
        <v>358</v>
      </c>
      <c r="L9" s="21">
        <f t="shared" si="1"/>
        <v>0.83</v>
      </c>
      <c r="M9" s="3">
        <v>332</v>
      </c>
      <c r="N9" s="18">
        <f t="shared" si="2"/>
        <v>0.68400000000000005</v>
      </c>
      <c r="O9" s="2">
        <v>684</v>
      </c>
      <c r="P9" s="18">
        <f t="shared" si="3"/>
        <v>0.72799999999999998</v>
      </c>
      <c r="Q9" s="3">
        <v>728</v>
      </c>
      <c r="R9" s="18">
        <f t="shared" si="4"/>
        <v>0.75</v>
      </c>
      <c r="S9" s="2">
        <v>150</v>
      </c>
      <c r="T9" s="18">
        <f t="shared" si="5"/>
        <v>0.78</v>
      </c>
      <c r="U9" s="3">
        <v>156</v>
      </c>
      <c r="V9" s="18">
        <f>'Load Factor Sheet June Acft  '!J9</f>
        <v>0.81</v>
      </c>
      <c r="W9" s="41">
        <f>'Load Factor Sheet June Acft  '!K9</f>
        <v>9</v>
      </c>
      <c r="X9" s="18">
        <f>'Load Factor Sheet June Acft  '!L9</f>
        <v>0.27</v>
      </c>
      <c r="Y9" s="8">
        <f>'Load Factor Sheet June Acft  '!M9</f>
        <v>3</v>
      </c>
      <c r="Z9" s="39">
        <f>'Load Factor Sheet June Acft  '!N9</f>
        <v>0.86518118388476251</v>
      </c>
      <c r="AA9" s="39">
        <f>'Load Factor Sheet June Acft  '!Q9</f>
        <v>0.90952059419311271</v>
      </c>
      <c r="AB9" s="40">
        <f>'Load Factor Sheet June Acft  '!T9</f>
        <v>0.88735088903893766</v>
      </c>
    </row>
    <row r="10" spans="1:29" x14ac:dyDescent="0.25">
      <c r="A10" s="9">
        <v>46210</v>
      </c>
      <c r="B10" s="21">
        <f>C10/(14*200)/1</f>
        <v>0.95892857142857146</v>
      </c>
      <c r="C10" s="2">
        <f>'Load Factor Sheet June Acft  '!C10-K10-O10-S10</f>
        <v>2685</v>
      </c>
      <c r="D10" s="21">
        <f>E10/(14*200)/1</f>
        <v>0.96607142857142858</v>
      </c>
      <c r="E10" s="2">
        <f>'Load Factor Sheet June Acft  '!E10-M10-Q10-U10</f>
        <v>2705</v>
      </c>
      <c r="F10" s="18">
        <f>'Load Factor Sheet June Acft  '!F10</f>
        <v>0.62820512820512819</v>
      </c>
      <c r="G10" s="41">
        <f>'Load Factor Sheet June Acft  '!G10</f>
        <v>147</v>
      </c>
      <c r="H10" s="18">
        <f>'Load Factor Sheet June Acft  '!H10</f>
        <v>0.71367521367521369</v>
      </c>
      <c r="I10" s="41">
        <f>'Load Factor Sheet June Acft  '!I10</f>
        <v>167</v>
      </c>
      <c r="J10" s="21">
        <f t="shared" si="0"/>
        <v>0.84750000000000003</v>
      </c>
      <c r="K10" s="2">
        <v>339</v>
      </c>
      <c r="L10" s="21">
        <f t="shared" si="1"/>
        <v>0.80500000000000005</v>
      </c>
      <c r="M10" s="3">
        <v>322</v>
      </c>
      <c r="N10" s="18">
        <f t="shared" si="2"/>
        <v>0.63500000000000001</v>
      </c>
      <c r="O10" s="2">
        <v>635</v>
      </c>
      <c r="P10" s="18">
        <f t="shared" si="3"/>
        <v>0.78600000000000003</v>
      </c>
      <c r="Q10" s="3">
        <v>786</v>
      </c>
      <c r="R10" s="18">
        <f t="shared" si="4"/>
        <v>0</v>
      </c>
      <c r="S10" s="2">
        <v>0</v>
      </c>
      <c r="T10" s="18">
        <f t="shared" si="5"/>
        <v>0</v>
      </c>
      <c r="U10" s="3">
        <v>0</v>
      </c>
      <c r="V10" s="18">
        <f>'Load Factor Sheet June Acft  '!J10</f>
        <v>0.45</v>
      </c>
      <c r="W10" s="41">
        <f>'Load Factor Sheet June Acft  '!K10</f>
        <v>5</v>
      </c>
      <c r="X10" s="18">
        <f>'Load Factor Sheet June Acft  '!L10</f>
        <v>0.63</v>
      </c>
      <c r="Y10" s="8">
        <f>'Load Factor Sheet June Acft  '!M10</f>
        <v>7</v>
      </c>
      <c r="Z10" s="39">
        <f>'Load Factor Sheet June Acft  '!N10</f>
        <v>0.857753769975242</v>
      </c>
      <c r="AA10" s="39">
        <f>'Load Factor Sheet June Acft  '!Q10</f>
        <v>0.89736664415935175</v>
      </c>
      <c r="AB10" s="40">
        <f>'Load Factor Sheet June Acft  '!T10</f>
        <v>0.87756020706729687</v>
      </c>
    </row>
    <row r="11" spans="1:29" x14ac:dyDescent="0.25">
      <c r="A11" s="9">
        <v>46211</v>
      </c>
      <c r="B11" s="21">
        <f>C11/(14*200)/1</f>
        <v>0.9464285714285714</v>
      </c>
      <c r="C11" s="2">
        <f>'Load Factor Sheet June Acft  '!C11-K11-O11-S11</f>
        <v>2650</v>
      </c>
      <c r="D11" s="21">
        <f>E11/(14*200)/1</f>
        <v>0.88214285714285712</v>
      </c>
      <c r="E11" s="2">
        <f>'Load Factor Sheet June Acft  '!E11-M11-Q11-U11</f>
        <v>2470</v>
      </c>
      <c r="F11" s="18">
        <f>'Load Factor Sheet June Acft  '!F11</f>
        <v>0.79914529914529919</v>
      </c>
      <c r="G11" s="41">
        <f>'Load Factor Sheet June Acft  '!G11</f>
        <v>187</v>
      </c>
      <c r="H11" s="18">
        <f>'Load Factor Sheet June Acft  '!H11</f>
        <v>0.71794871794871795</v>
      </c>
      <c r="I11" s="41">
        <f>'Load Factor Sheet June Acft  '!I11</f>
        <v>168</v>
      </c>
      <c r="J11" s="21">
        <f t="shared" si="0"/>
        <v>0.83</v>
      </c>
      <c r="K11" s="2">
        <v>332</v>
      </c>
      <c r="L11" s="21">
        <f t="shared" si="1"/>
        <v>0.75749999999999995</v>
      </c>
      <c r="M11" s="3">
        <v>303</v>
      </c>
      <c r="N11" s="18">
        <f t="shared" si="2"/>
        <v>0.64800000000000002</v>
      </c>
      <c r="O11" s="2">
        <v>648</v>
      </c>
      <c r="P11" s="18">
        <f t="shared" si="3"/>
        <v>0.74299999999999999</v>
      </c>
      <c r="Q11" s="3">
        <v>743</v>
      </c>
      <c r="R11" s="18">
        <f t="shared" si="4"/>
        <v>0</v>
      </c>
      <c r="S11" s="2">
        <v>0</v>
      </c>
      <c r="T11" s="18">
        <f t="shared" si="5"/>
        <v>0</v>
      </c>
      <c r="U11" s="3">
        <v>0</v>
      </c>
      <c r="V11" s="18">
        <f>'Load Factor Sheet June Acft  '!J11</f>
        <v>0</v>
      </c>
      <c r="W11" s="41">
        <f>'Load Factor Sheet June Acft  '!K11</f>
        <v>0</v>
      </c>
      <c r="X11" s="18">
        <f>'Load Factor Sheet June Acft  '!L11</f>
        <v>0.27</v>
      </c>
      <c r="Y11" s="8">
        <f>'Load Factor Sheet June Acft  '!M11</f>
        <v>3</v>
      </c>
      <c r="Z11" s="39">
        <f>'Load Factor Sheet June Acft  '!N11</f>
        <v>0.85910420886788208</v>
      </c>
      <c r="AA11" s="39">
        <f>'Load Factor Sheet June Acft  '!Q11</f>
        <v>0.82984469952734641</v>
      </c>
      <c r="AB11" s="40">
        <f>'Load Factor Sheet June Acft  '!T11</f>
        <v>0.84447445419761424</v>
      </c>
    </row>
    <row r="12" spans="1:29" x14ac:dyDescent="0.25">
      <c r="A12" s="9">
        <v>46212</v>
      </c>
      <c r="B12" s="21">
        <f>C12/(12*200)/1</f>
        <v>1.0137499999999999</v>
      </c>
      <c r="C12" s="2">
        <f>'Load Factor Sheet June Acft  '!C12-K12-O12-S12</f>
        <v>2433</v>
      </c>
      <c r="D12" s="21">
        <f>E12/(12*200)/1</f>
        <v>0.87708333333333333</v>
      </c>
      <c r="E12" s="2">
        <f>'Load Factor Sheet June Acft  '!E12-M12-Q12-U12</f>
        <v>2105</v>
      </c>
      <c r="F12" s="18">
        <v>0.67949999999999999</v>
      </c>
      <c r="G12" s="41">
        <v>146</v>
      </c>
      <c r="H12" s="18">
        <v>0.92735042735042739</v>
      </c>
      <c r="I12" s="41">
        <v>191</v>
      </c>
      <c r="J12" s="21">
        <f t="shared" si="0"/>
        <v>0.85499999999999998</v>
      </c>
      <c r="K12" s="2">
        <v>342</v>
      </c>
      <c r="L12" s="21">
        <f t="shared" si="1"/>
        <v>0.75</v>
      </c>
      <c r="M12" s="3">
        <v>300</v>
      </c>
      <c r="N12" s="18">
        <f t="shared" si="2"/>
        <v>0.68400000000000005</v>
      </c>
      <c r="O12" s="2">
        <v>684</v>
      </c>
      <c r="P12" s="18">
        <f t="shared" si="3"/>
        <v>0.69699999999999995</v>
      </c>
      <c r="Q12" s="3">
        <v>697</v>
      </c>
      <c r="R12" s="18">
        <v>0.75</v>
      </c>
      <c r="S12" s="2">
        <v>0</v>
      </c>
      <c r="T12" s="18">
        <f t="shared" si="5"/>
        <v>0</v>
      </c>
      <c r="U12" s="3">
        <v>0</v>
      </c>
      <c r="V12" s="18">
        <v>0.45</v>
      </c>
      <c r="W12" s="41">
        <v>9</v>
      </c>
      <c r="X12" s="18">
        <f>'Load Factor Sheet June Acft  '!L12</f>
        <v>0.18</v>
      </c>
      <c r="Y12" s="8">
        <v>6</v>
      </c>
      <c r="Z12" s="39">
        <f>'Load Factor Sheet June Acft  '!N12</f>
        <v>0.85010605703511666</v>
      </c>
      <c r="AA12" s="39">
        <f>'Load Factor Sheet June Acft  '!Q12</f>
        <v>0.77657317935423054</v>
      </c>
      <c r="AB12" s="40">
        <f>'Load Factor Sheet June Acft  '!T12</f>
        <v>0.8133396181946736</v>
      </c>
    </row>
    <row r="13" spans="1:29" x14ac:dyDescent="0.25">
      <c r="A13" s="9">
        <v>46213</v>
      </c>
      <c r="B13" s="21">
        <f>C13/(14*200)/1</f>
        <v>0.93821428571428567</v>
      </c>
      <c r="C13" s="2">
        <f>'Load Factor Sheet June Acft  '!C13-K13-O13-S13</f>
        <v>2627</v>
      </c>
      <c r="D13" s="21">
        <f>E13/(13*200)/1</f>
        <v>0.97076923076923072</v>
      </c>
      <c r="E13" s="2">
        <f>'Load Factor Sheet June Acft  '!E13-M13-Q13-U13</f>
        <v>2524</v>
      </c>
      <c r="F13" s="18">
        <f>'Load Factor Sheet June Acft  '!F13</f>
        <v>0.83760683760683763</v>
      </c>
      <c r="G13" s="41">
        <f>'Load Factor Sheet June Acft  '!G13</f>
        <v>196</v>
      </c>
      <c r="H13" s="18">
        <f>'Load Factor Sheet June Acft  '!H13</f>
        <v>0.73076923076923073</v>
      </c>
      <c r="I13" s="41">
        <f>'Load Factor Sheet June Acft  '!I13</f>
        <v>171</v>
      </c>
      <c r="J13" s="21">
        <f t="shared" si="0"/>
        <v>0.81499999999999995</v>
      </c>
      <c r="K13" s="2">
        <v>326</v>
      </c>
      <c r="L13" s="21">
        <f t="shared" si="1"/>
        <v>0.78500000000000003</v>
      </c>
      <c r="M13" s="3">
        <v>314</v>
      </c>
      <c r="N13" s="18">
        <f t="shared" si="2"/>
        <v>0.71699999999999997</v>
      </c>
      <c r="O13" s="2">
        <v>717</v>
      </c>
      <c r="P13" s="18">
        <f t="shared" si="3"/>
        <v>0.77800000000000002</v>
      </c>
      <c r="Q13" s="3">
        <v>778</v>
      </c>
      <c r="R13" s="18">
        <f t="shared" si="4"/>
        <v>0.81</v>
      </c>
      <c r="S13" s="2">
        <v>162</v>
      </c>
      <c r="T13" s="18">
        <f t="shared" si="5"/>
        <v>0.61</v>
      </c>
      <c r="U13" s="3">
        <v>122</v>
      </c>
      <c r="V13" s="18">
        <f>'Load Factor Sheet June Acft  '!J13</f>
        <v>0.81</v>
      </c>
      <c r="W13" s="41">
        <f>'Load Factor Sheet June Acft  '!K13</f>
        <v>9</v>
      </c>
      <c r="X13" s="18">
        <f>'Load Factor Sheet June Acft  '!L13</f>
        <v>0.54</v>
      </c>
      <c r="Y13" s="8">
        <f>'Load Factor Sheet June Acft  '!M13</f>
        <v>6</v>
      </c>
      <c r="Z13" s="39">
        <f>'Load Factor Sheet June Acft  '!N13</f>
        <v>0.86948093904802926</v>
      </c>
      <c r="AA13" s="39">
        <f>'Load Factor Sheet June Acft  '!Q13</f>
        <v>0.84320482446693945</v>
      </c>
      <c r="AB13" s="40">
        <f>'Load Factor Sheet June Acft  '!T13</f>
        <v>0.85634288175748441</v>
      </c>
    </row>
    <row r="14" spans="1:29" x14ac:dyDescent="0.25">
      <c r="A14" s="9">
        <v>46214</v>
      </c>
      <c r="B14" s="47">
        <f>C14/(14*200)/1</f>
        <v>0.86892857142857138</v>
      </c>
      <c r="C14" s="2">
        <f>'Load Factor Sheet June Acft  '!C14-K14-O14-S14</f>
        <v>2433</v>
      </c>
      <c r="D14" s="47">
        <f>E14/(14*200)/1</f>
        <v>0.82892857142857146</v>
      </c>
      <c r="E14" s="2">
        <f>'Load Factor Sheet June Acft  '!E14-M14-Q14-U14</f>
        <v>2321</v>
      </c>
      <c r="F14" s="18">
        <f>'Load Factor Sheet June Acft  '!F14</f>
        <v>0.94444444444444442</v>
      </c>
      <c r="G14" s="41">
        <f>'Load Factor Sheet June Acft  '!G14</f>
        <v>221</v>
      </c>
      <c r="H14" s="18">
        <f>'Load Factor Sheet June Acft  '!H14</f>
        <v>0.85897435897435892</v>
      </c>
      <c r="I14" s="41">
        <f>'Load Factor Sheet June Acft  '!I14</f>
        <v>201</v>
      </c>
      <c r="J14" s="21">
        <f t="shared" si="0"/>
        <v>0.84499999999999997</v>
      </c>
      <c r="K14" s="2">
        <v>338</v>
      </c>
      <c r="L14" s="21">
        <f t="shared" si="1"/>
        <v>0.68</v>
      </c>
      <c r="M14" s="3">
        <v>272</v>
      </c>
      <c r="N14" s="18">
        <f t="shared" si="2"/>
        <v>0.70499999999999996</v>
      </c>
      <c r="O14" s="2">
        <v>705</v>
      </c>
      <c r="P14" s="18">
        <f t="shared" si="3"/>
        <v>0.69899999999999995</v>
      </c>
      <c r="Q14" s="3">
        <v>699</v>
      </c>
      <c r="R14" s="18">
        <f t="shared" si="4"/>
        <v>0</v>
      </c>
      <c r="S14" s="2">
        <v>0</v>
      </c>
      <c r="T14" s="18">
        <f t="shared" si="5"/>
        <v>0</v>
      </c>
      <c r="U14" s="3">
        <v>0</v>
      </c>
      <c r="V14" s="18">
        <f>'Load Factor Sheet June Acft  '!J14</f>
        <v>0.72</v>
      </c>
      <c r="W14" s="41">
        <f>'Load Factor Sheet June Acft  '!K14</f>
        <v>8</v>
      </c>
      <c r="X14" s="18">
        <f>'Load Factor Sheet June Acft  '!L14</f>
        <v>0.18</v>
      </c>
      <c r="Y14" s="8">
        <f>'Load Factor Sheet June Acft  '!M14</f>
        <v>2</v>
      </c>
      <c r="Z14" s="39">
        <f>'Load Factor Sheet June Acft  '!N14</f>
        <v>0.87320292246052322</v>
      </c>
      <c r="AA14" s="39">
        <f>'Load Factor Sheet June Acft  '!Q14</f>
        <v>0.82370963940608055</v>
      </c>
      <c r="AB14" s="40">
        <f>'Load Factor Sheet June Acft  '!T14</f>
        <v>0.84845628093330194</v>
      </c>
    </row>
    <row r="15" spans="1:29" x14ac:dyDescent="0.25">
      <c r="A15" s="9">
        <v>46215</v>
      </c>
      <c r="B15" s="47">
        <f>C15/(14*200)/1</f>
        <v>0.92392857142857143</v>
      </c>
      <c r="C15" s="2">
        <f>'Load Factor Sheet June Acft  '!C15-K15-O15-S15</f>
        <v>2587</v>
      </c>
      <c r="D15" s="47">
        <f>E15/(14*200)/1</f>
        <v>0.88464285714285718</v>
      </c>
      <c r="E15" s="2">
        <f>'Load Factor Sheet June Acft  '!E15-M15-Q15-U15</f>
        <v>2477</v>
      </c>
      <c r="F15" s="18">
        <f>'Load Factor Sheet June Acft  '!F15</f>
        <v>0.75213675213675213</v>
      </c>
      <c r="G15" s="41">
        <f>'Load Factor Sheet June Acft  '!G15</f>
        <v>176</v>
      </c>
      <c r="H15" s="18">
        <f>'Load Factor Sheet June Acft  '!H15</f>
        <v>0.79487179487179482</v>
      </c>
      <c r="I15" s="41">
        <f>'Load Factor Sheet June Acft  '!I15</f>
        <v>186</v>
      </c>
      <c r="J15" s="21">
        <f t="shared" si="0"/>
        <v>0.84499999999999997</v>
      </c>
      <c r="K15" s="2">
        <v>338</v>
      </c>
      <c r="L15" s="21">
        <f t="shared" si="1"/>
        <v>0.82250000000000001</v>
      </c>
      <c r="M15" s="3">
        <v>329</v>
      </c>
      <c r="N15" s="18">
        <f t="shared" si="2"/>
        <v>0.71</v>
      </c>
      <c r="O15" s="2">
        <v>710</v>
      </c>
      <c r="P15" s="18">
        <f t="shared" si="3"/>
        <v>0.68500000000000005</v>
      </c>
      <c r="Q15" s="3">
        <v>685</v>
      </c>
      <c r="R15" s="18">
        <f t="shared" si="4"/>
        <v>0.86</v>
      </c>
      <c r="S15" s="2">
        <v>172</v>
      </c>
      <c r="T15" s="18">
        <f t="shared" si="5"/>
        <v>0.57999999999999996</v>
      </c>
      <c r="U15" s="3">
        <v>116</v>
      </c>
      <c r="V15" s="18">
        <f>'Load Factor Sheet June Acft  '!J15</f>
        <v>0.36</v>
      </c>
      <c r="W15" s="41">
        <f>'Load Factor Sheet June Acft  '!K15</f>
        <v>4</v>
      </c>
      <c r="X15" s="18">
        <f>'Load Factor Sheet June Acft  '!L15</f>
        <v>0.09</v>
      </c>
      <c r="Y15" s="8">
        <f>'Load Factor Sheet June Acft  '!M15</f>
        <v>1</v>
      </c>
      <c r="Z15" s="39">
        <f>'Load Factor Sheet June Acft  '!N15</f>
        <v>0.85871203962954989</v>
      </c>
      <c r="AA15" s="39">
        <f>'Load Factor Sheet June Acft  '!Q15</f>
        <v>0.81714408787421922</v>
      </c>
      <c r="AB15" s="40">
        <f>'Load Factor Sheet June Acft  '!T15</f>
        <v>0.83792806375188456</v>
      </c>
    </row>
    <row r="16" spans="1:29" x14ac:dyDescent="0.25">
      <c r="A16" s="9">
        <v>46216</v>
      </c>
      <c r="B16" s="47">
        <f>C16/(13*200)/1</f>
        <v>0.91423076923076918</v>
      </c>
      <c r="C16" s="2">
        <f>'Load Factor Sheet June Acft  '!C16-K16-O16-S16</f>
        <v>2377</v>
      </c>
      <c r="D16" s="47">
        <f t="shared" ref="D16:D21" si="6">E16/(13*200)/1</f>
        <v>0.84653846153846157</v>
      </c>
      <c r="E16" s="2">
        <f>'Load Factor Sheet June Acft  '!E16-M16-Q16-U16</f>
        <v>2201</v>
      </c>
      <c r="F16" s="18">
        <f>'Load Factor Sheet June Acft  '!F16</f>
        <v>0.89743589743589747</v>
      </c>
      <c r="G16" s="41">
        <f>'Load Factor Sheet June Acft  '!G16</f>
        <v>210</v>
      </c>
      <c r="H16" s="18">
        <f>'Load Factor Sheet June Acft  '!H16</f>
        <v>0.76923076923076927</v>
      </c>
      <c r="I16" s="41">
        <f>'Load Factor Sheet June Acft  '!I16</f>
        <v>180</v>
      </c>
      <c r="J16" s="21">
        <f t="shared" si="0"/>
        <v>0.83499999999999996</v>
      </c>
      <c r="K16" s="2">
        <v>334</v>
      </c>
      <c r="L16" s="21">
        <f t="shared" si="1"/>
        <v>0.84499999999999997</v>
      </c>
      <c r="M16" s="3">
        <v>338</v>
      </c>
      <c r="N16" s="18">
        <f t="shared" si="2"/>
        <v>0.63600000000000001</v>
      </c>
      <c r="O16" s="2">
        <v>636</v>
      </c>
      <c r="P16" s="18">
        <f t="shared" si="3"/>
        <v>0.68600000000000005</v>
      </c>
      <c r="Q16" s="3">
        <v>686</v>
      </c>
      <c r="R16" s="18">
        <f t="shared" si="4"/>
        <v>0.81</v>
      </c>
      <c r="S16" s="2">
        <v>162</v>
      </c>
      <c r="T16" s="18">
        <f t="shared" si="5"/>
        <v>0.66</v>
      </c>
      <c r="U16" s="3">
        <v>132</v>
      </c>
      <c r="V16" s="18">
        <f>'Load Factor Sheet June Acft  '!J16</f>
        <v>0.81</v>
      </c>
      <c r="W16" s="41">
        <f>'Load Factor Sheet June Acft  '!K16</f>
        <v>9</v>
      </c>
      <c r="X16" s="18">
        <f>'Load Factor Sheet June Acft  '!L16</f>
        <v>0</v>
      </c>
      <c r="Y16" s="8">
        <f>'Load Factor Sheet June Acft  '!M16</f>
        <v>0</v>
      </c>
      <c r="Z16" s="45">
        <f>'Load Factor Sheet June Acft  '!N16</f>
        <v>0.8390726986270538</v>
      </c>
      <c r="AA16" s="45">
        <f>'Load Factor Sheet June Acft  '!Q16</f>
        <v>0.79608372721134368</v>
      </c>
      <c r="AB16" s="46">
        <f>'Load Factor Sheet June Acft  '!T16</f>
        <v>0.81757821291919874</v>
      </c>
    </row>
    <row r="17" spans="1:28" x14ac:dyDescent="0.25">
      <c r="A17" s="9">
        <v>46217</v>
      </c>
      <c r="B17" s="47">
        <f>C17/(14*200)/1</f>
        <v>0.92500000000000004</v>
      </c>
      <c r="C17" s="2">
        <f>'Load Factor Sheet June Acft  '!C17-K17-O17-S17</f>
        <v>2590</v>
      </c>
      <c r="D17" s="47">
        <f t="shared" si="6"/>
        <v>0.94461538461538463</v>
      </c>
      <c r="E17" s="2">
        <f>'Load Factor Sheet June Acft  '!E17-M17-Q17-U17</f>
        <v>2456</v>
      </c>
      <c r="F17" s="18">
        <f>'Load Factor Sheet June Acft  '!F17</f>
        <v>0.57051282051282048</v>
      </c>
      <c r="G17" s="41">
        <f>'Load Factor Sheet June Acft  '!G17</f>
        <v>89</v>
      </c>
      <c r="H17" s="18">
        <f>'Load Factor Sheet June Acft  '!H17</f>
        <v>0.73717948717948723</v>
      </c>
      <c r="I17" s="41">
        <f>'Load Factor Sheet June Acft  '!I17</f>
        <v>115</v>
      </c>
      <c r="J17" s="21">
        <f t="shared" si="0"/>
        <v>0.84499999999999997</v>
      </c>
      <c r="K17" s="2">
        <v>338</v>
      </c>
      <c r="L17" s="21">
        <f t="shared" si="1"/>
        <v>0.67249999999999999</v>
      </c>
      <c r="M17" s="3">
        <v>269</v>
      </c>
      <c r="N17" s="18">
        <f t="shared" si="2"/>
        <v>0.59099999999999997</v>
      </c>
      <c r="O17" s="2">
        <v>591</v>
      </c>
      <c r="P17" s="18">
        <f t="shared" si="3"/>
        <v>0.73499999999999999</v>
      </c>
      <c r="Q17" s="3">
        <v>735</v>
      </c>
      <c r="R17" s="18">
        <f t="shared" si="4"/>
        <v>0</v>
      </c>
      <c r="S17" s="2">
        <v>0</v>
      </c>
      <c r="T17" s="18">
        <f t="shared" si="5"/>
        <v>0</v>
      </c>
      <c r="U17" s="3">
        <v>0</v>
      </c>
      <c r="V17" s="18">
        <f>'Load Factor Sheet June Acft  '!J17</f>
        <v>0.45</v>
      </c>
      <c r="W17" s="41">
        <f>'Load Factor Sheet June Acft  '!K17</f>
        <v>5</v>
      </c>
      <c r="X17" s="18">
        <f>'Load Factor Sheet June Acft  '!L17</f>
        <v>0.09</v>
      </c>
      <c r="Y17" s="8">
        <f>'Load Factor Sheet June Acft  '!M17</f>
        <v>1</v>
      </c>
      <c r="Z17" s="45">
        <f>'Load Factor Sheet June Acft  '!N17</f>
        <v>0.82772050400916375</v>
      </c>
      <c r="AA17" s="45">
        <f>'Load Factor Sheet June Acft  '!Q17</f>
        <v>0.81924398625429551</v>
      </c>
      <c r="AB17" s="46">
        <f>'Load Factor Sheet June Acft  '!T17</f>
        <v>0.82348224513172963</v>
      </c>
    </row>
    <row r="18" spans="1:28" x14ac:dyDescent="0.25">
      <c r="A18" s="9">
        <v>46218</v>
      </c>
      <c r="B18" s="47">
        <f>C18/(13*200)/1</f>
        <v>0.90923076923076918</v>
      </c>
      <c r="C18" s="2">
        <f>'Load Factor Sheet June Acft  '!C18-K18-O18-S18</f>
        <v>2364</v>
      </c>
      <c r="D18" s="47">
        <f t="shared" si="6"/>
        <v>0.72423076923076923</v>
      </c>
      <c r="E18" s="2">
        <f>'Load Factor Sheet June Acft  '!E18-M18-Q18-U18</f>
        <v>1883</v>
      </c>
      <c r="F18" s="18">
        <f>'Load Factor Sheet June Acft  '!F18</f>
        <v>0.55128205128205132</v>
      </c>
      <c r="G18" s="41">
        <f>'Load Factor Sheet June Acft  '!G18</f>
        <v>86</v>
      </c>
      <c r="H18" s="18">
        <f>'Load Factor Sheet June Acft  '!H18</f>
        <v>0.92948717948717952</v>
      </c>
      <c r="I18" s="41">
        <f>'Load Factor Sheet June Acft  '!I18</f>
        <v>145</v>
      </c>
      <c r="J18" s="21">
        <f t="shared" si="0"/>
        <v>0.82499999999999996</v>
      </c>
      <c r="K18" s="2">
        <v>330</v>
      </c>
      <c r="L18" s="21">
        <f t="shared" si="1"/>
        <v>0.52249999999999996</v>
      </c>
      <c r="M18" s="3">
        <v>209</v>
      </c>
      <c r="N18" s="18">
        <f t="shared" si="2"/>
        <v>0.76100000000000001</v>
      </c>
      <c r="O18" s="2">
        <v>761</v>
      </c>
      <c r="P18" s="18">
        <f t="shared" si="3"/>
        <v>0.73299999999999998</v>
      </c>
      <c r="Q18" s="3">
        <v>733</v>
      </c>
      <c r="R18" s="18">
        <f t="shared" si="4"/>
        <v>0.85499999999999998</v>
      </c>
      <c r="S18" s="2">
        <v>171</v>
      </c>
      <c r="T18" s="18">
        <f t="shared" si="5"/>
        <v>0.7</v>
      </c>
      <c r="U18" s="3">
        <v>140</v>
      </c>
      <c r="V18" s="18">
        <f>'Load Factor Sheet June Acft  '!J18</f>
        <v>0.27</v>
      </c>
      <c r="W18" s="41">
        <f>'Load Factor Sheet June Acft  '!K18</f>
        <v>3</v>
      </c>
      <c r="X18" s="18">
        <f>'Load Factor Sheet June Acft  '!L18</f>
        <v>0</v>
      </c>
      <c r="Y18" s="8">
        <f>'Load Factor Sheet June Acft  '!M18</f>
        <v>0</v>
      </c>
      <c r="Z18" s="45">
        <f>'Load Factor Sheet June Acft  '!N18</f>
        <v>0.8510882016036655</v>
      </c>
      <c r="AA18" s="45">
        <f>'Load Factor Sheet June Acft  '!Q18</f>
        <v>0.71248568155784653</v>
      </c>
      <c r="AB18" s="46">
        <f>'Load Factor Sheet June Acft  '!T18</f>
        <v>0.78178694158075601</v>
      </c>
    </row>
    <row r="19" spans="1:28" x14ac:dyDescent="0.25">
      <c r="A19" s="9">
        <v>46219</v>
      </c>
      <c r="B19" s="47">
        <f>C19/(13*200)/1</f>
        <v>0.93115384615384611</v>
      </c>
      <c r="C19" s="2">
        <f>'Load Factor Sheet June Acft  '!C19-K19-O19-S19</f>
        <v>2421</v>
      </c>
      <c r="D19" s="47">
        <f t="shared" si="6"/>
        <v>0.75884615384615384</v>
      </c>
      <c r="E19" s="2">
        <f>'Load Factor Sheet June Acft  '!E19-M19-Q19-U19</f>
        <v>1973</v>
      </c>
      <c r="F19" s="18">
        <f>'Load Factor Sheet June Acft  '!F19</f>
        <v>0.71367521367521369</v>
      </c>
      <c r="G19" s="41">
        <f>'Load Factor Sheet June Acft  '!G19</f>
        <v>167</v>
      </c>
      <c r="H19" s="18">
        <f>'Load Factor Sheet June Acft  '!H19</f>
        <v>0.81623931623931623</v>
      </c>
      <c r="I19" s="41">
        <f>'Load Factor Sheet June Acft  '!I19</f>
        <v>191</v>
      </c>
      <c r="J19" s="21">
        <f t="shared" si="0"/>
        <v>0.85250000000000004</v>
      </c>
      <c r="K19" s="2">
        <v>341</v>
      </c>
      <c r="L19" s="21">
        <f t="shared" si="1"/>
        <v>0.54749999999999999</v>
      </c>
      <c r="M19" s="3">
        <v>219</v>
      </c>
      <c r="N19" s="18">
        <f t="shared" si="2"/>
        <v>0.57999999999999996</v>
      </c>
      <c r="O19" s="2">
        <v>580</v>
      </c>
      <c r="P19" s="18">
        <f t="shared" si="3"/>
        <v>0.52600000000000002</v>
      </c>
      <c r="Q19" s="3">
        <v>526</v>
      </c>
      <c r="R19" s="18">
        <f t="shared" si="4"/>
        <v>0</v>
      </c>
      <c r="S19" s="2">
        <v>0</v>
      </c>
      <c r="T19" s="18">
        <f t="shared" si="5"/>
        <v>0</v>
      </c>
      <c r="U19" s="3">
        <v>0</v>
      </c>
      <c r="V19" s="18">
        <f>'Load Factor Sheet June Acft  '!J19</f>
        <v>0.36</v>
      </c>
      <c r="W19" s="41">
        <f>'Load Factor Sheet June Acft  '!K19</f>
        <v>4</v>
      </c>
      <c r="X19" s="18">
        <f>'Load Factor Sheet June Acft  '!L19</f>
        <v>0.81</v>
      </c>
      <c r="Y19" s="8">
        <f>'Load Factor Sheet June Acft  '!M19</f>
        <v>9</v>
      </c>
      <c r="Z19" s="39">
        <f>'Load Factor Sheet June Acft  '!N19</f>
        <v>0.80481099656357391</v>
      </c>
      <c r="AA19" s="39">
        <f>'Load Factor Sheet June Acft  '!Q19</f>
        <v>0.66849942726231382</v>
      </c>
      <c r="AB19" s="40">
        <f>'Load Factor Sheet June Acft  '!T19</f>
        <v>0.73665521191294392</v>
      </c>
    </row>
    <row r="20" spans="1:28" x14ac:dyDescent="0.25">
      <c r="A20" s="9">
        <v>46220</v>
      </c>
      <c r="B20" s="47">
        <f>C20/(14*200)/1</f>
        <v>0.93321428571428566</v>
      </c>
      <c r="C20" s="2">
        <f>'Load Factor Sheet June Acft  '!C20-K20-O20-S20</f>
        <v>2613</v>
      </c>
      <c r="D20" s="47">
        <f t="shared" si="6"/>
        <v>0.88615384615384618</v>
      </c>
      <c r="E20" s="2">
        <f>'Load Factor Sheet June Acft  '!E20-M20-Q20-U20</f>
        <v>2304</v>
      </c>
      <c r="F20" s="18">
        <f>'Load Factor Sheet June Acft  '!F20</f>
        <v>0.78846153846153844</v>
      </c>
      <c r="G20" s="41">
        <f>'Load Factor Sheet June Acft  '!G20</f>
        <v>123</v>
      </c>
      <c r="H20" s="18">
        <f>'Load Factor Sheet June Acft  '!H20</f>
        <v>0.98076923076923073</v>
      </c>
      <c r="I20" s="41">
        <f>'Load Factor Sheet June Acft  '!I20</f>
        <v>153</v>
      </c>
      <c r="J20" s="21">
        <f t="shared" si="0"/>
        <v>0.84499999999999997</v>
      </c>
      <c r="K20" s="2">
        <v>338</v>
      </c>
      <c r="L20" s="21">
        <f t="shared" si="1"/>
        <v>0.62</v>
      </c>
      <c r="M20" s="3">
        <v>248</v>
      </c>
      <c r="N20" s="18">
        <f t="shared" si="2"/>
        <v>0.61</v>
      </c>
      <c r="O20" s="2">
        <v>610</v>
      </c>
      <c r="P20" s="18">
        <f t="shared" si="3"/>
        <v>0.58399999999999996</v>
      </c>
      <c r="Q20" s="3">
        <v>584</v>
      </c>
      <c r="R20" s="18">
        <f t="shared" si="4"/>
        <v>0</v>
      </c>
      <c r="S20" s="2">
        <v>0</v>
      </c>
      <c r="T20" s="18">
        <f t="shared" si="5"/>
        <v>0</v>
      </c>
      <c r="U20" s="3">
        <v>0</v>
      </c>
      <c r="V20" s="18">
        <f>'Load Factor Sheet June Acft  '!J20</f>
        <v>0.09</v>
      </c>
      <c r="W20" s="41">
        <f>'Load Factor Sheet June Acft  '!K20</f>
        <v>1</v>
      </c>
      <c r="X20" s="18">
        <f>'Load Factor Sheet June Acft  '!L20</f>
        <v>0.27</v>
      </c>
      <c r="Y20" s="8">
        <f>'Load Factor Sheet June Acft  '!M20</f>
        <v>3</v>
      </c>
      <c r="Z20" s="45">
        <f>'Load Factor Sheet June Acft  '!N20</f>
        <v>0.84421534936998854</v>
      </c>
      <c r="AA20" s="45">
        <f>'Load Factor Sheet June Acft  '!Q20</f>
        <v>0.75418098510882015</v>
      </c>
      <c r="AB20" s="46">
        <f>'Load Factor Sheet June Acft  '!T20</f>
        <v>0.7991981672394044</v>
      </c>
    </row>
    <row r="21" spans="1:28" x14ac:dyDescent="0.25">
      <c r="A21" s="9">
        <v>46221</v>
      </c>
      <c r="B21" s="47">
        <f>C21/(13*200)/1</f>
        <v>0.97192307692307689</v>
      </c>
      <c r="C21" s="2">
        <f>'Load Factor Sheet June Acft  '!C21-K21-O21-S21</f>
        <v>2527</v>
      </c>
      <c r="D21" s="47">
        <f t="shared" si="6"/>
        <v>0.81038461538461537</v>
      </c>
      <c r="E21" s="2">
        <f>'Load Factor Sheet June Acft  '!E21-M21-Q21-U21</f>
        <v>2107</v>
      </c>
      <c r="F21" s="18">
        <f>'Load Factor Sheet June Acft  '!F21</f>
        <v>0.83760683760683763</v>
      </c>
      <c r="G21" s="41">
        <f>'Load Factor Sheet June Acft  '!G21</f>
        <v>196</v>
      </c>
      <c r="H21" s="18">
        <f>'Load Factor Sheet June Acft  '!H21</f>
        <v>0.7350427350427351</v>
      </c>
      <c r="I21" s="41">
        <f>'Load Factor Sheet June Acft  '!I21</f>
        <v>172</v>
      </c>
      <c r="J21" s="21">
        <f t="shared" si="0"/>
        <v>0.82750000000000001</v>
      </c>
      <c r="K21" s="2">
        <v>331</v>
      </c>
      <c r="L21" s="21">
        <f t="shared" si="1"/>
        <v>0.57250000000000001</v>
      </c>
      <c r="M21" s="3">
        <v>229</v>
      </c>
      <c r="N21" s="18">
        <f t="shared" si="2"/>
        <v>0.63100000000000001</v>
      </c>
      <c r="O21" s="2">
        <v>631</v>
      </c>
      <c r="P21" s="18">
        <f t="shared" si="3"/>
        <v>0.58199999999999996</v>
      </c>
      <c r="Q21" s="3">
        <v>582</v>
      </c>
      <c r="R21" s="18">
        <f t="shared" si="4"/>
        <v>0</v>
      </c>
      <c r="S21" s="2">
        <v>0</v>
      </c>
      <c r="T21" s="18">
        <f t="shared" si="5"/>
        <v>0</v>
      </c>
      <c r="U21" s="3">
        <v>0</v>
      </c>
      <c r="V21" s="18">
        <f>'Load Factor Sheet June Acft  '!J21</f>
        <v>0.36</v>
      </c>
      <c r="W21" s="41">
        <f>'Load Factor Sheet June Acft  '!K21</f>
        <v>4</v>
      </c>
      <c r="X21" s="18">
        <f>'Load Factor Sheet June Acft  '!L21</f>
        <v>0.09</v>
      </c>
      <c r="Y21" s="8">
        <f>'Load Factor Sheet June Acft  '!M21</f>
        <v>1</v>
      </c>
      <c r="Z21" s="39">
        <f>'Load Factor Sheet June Acft  '!N21</f>
        <v>0.88571428571428568</v>
      </c>
      <c r="AA21" s="39">
        <f>'Load Factor Sheet June Acft  '!Q21</f>
        <v>0.74213685474189672</v>
      </c>
      <c r="AB21" s="40">
        <f>'Load Factor Sheet June Acft  '!T21</f>
        <v>0.8139255702280912</v>
      </c>
    </row>
    <row r="22" spans="1:28" x14ac:dyDescent="0.25">
      <c r="A22" s="9">
        <v>46222</v>
      </c>
      <c r="B22" s="47">
        <f>C22/(13*200)/1</f>
        <v>0.99615384615384617</v>
      </c>
      <c r="C22" s="2">
        <f>'Load Factor Sheet June Acft  '!C22-K22-O22-S22</f>
        <v>2590</v>
      </c>
      <c r="D22" s="47">
        <f t="shared" ref="D22:D23" si="7">E22/(13*200)/1</f>
        <v>0.79115384615384621</v>
      </c>
      <c r="E22" s="2">
        <f>'Load Factor Sheet June Acft  '!E22-M22-Q22-U22</f>
        <v>2057</v>
      </c>
      <c r="F22" s="18">
        <f>'Load Factor Sheet June Acft  '!F22</f>
        <v>0.73717948717948723</v>
      </c>
      <c r="G22" s="41">
        <f>'Load Factor Sheet June Acft  '!G22</f>
        <v>115</v>
      </c>
      <c r="H22" s="18">
        <f>'Load Factor Sheet June Acft  '!H22</f>
        <v>0.48717948717948717</v>
      </c>
      <c r="I22" s="41">
        <f>'Load Factor Sheet June Acft  '!I22</f>
        <v>76</v>
      </c>
      <c r="J22" s="21">
        <f t="shared" si="0"/>
        <v>0.83750000000000002</v>
      </c>
      <c r="K22" s="2">
        <v>335</v>
      </c>
      <c r="L22" s="21">
        <f t="shared" si="1"/>
        <v>0.79749999999999999</v>
      </c>
      <c r="M22" s="3">
        <v>319</v>
      </c>
      <c r="N22" s="18">
        <f t="shared" si="2"/>
        <v>0.60599999999999998</v>
      </c>
      <c r="O22" s="2">
        <v>606</v>
      </c>
      <c r="P22" s="18">
        <f t="shared" si="3"/>
        <v>0.64700000000000002</v>
      </c>
      <c r="Q22" s="3">
        <v>647</v>
      </c>
      <c r="R22" s="18">
        <f t="shared" si="4"/>
        <v>0.8</v>
      </c>
      <c r="S22" s="2">
        <v>160</v>
      </c>
      <c r="T22" s="18">
        <f t="shared" si="5"/>
        <v>0.66</v>
      </c>
      <c r="U22" s="3">
        <v>132</v>
      </c>
      <c r="V22" s="18">
        <f>'Load Factor Sheet June Acft  '!J22</f>
        <v>0.09</v>
      </c>
      <c r="W22" s="41">
        <f>'Load Factor Sheet June Acft  '!K22</f>
        <v>1</v>
      </c>
      <c r="X22" s="18">
        <f>'Load Factor Sheet June Acft  '!L22</f>
        <v>0.54</v>
      </c>
      <c r="Y22" s="8">
        <f>'Load Factor Sheet June Acft  '!M22</f>
        <v>6</v>
      </c>
      <c r="Z22" s="45">
        <f>'Load Factor Sheet June Acft  '!N22</f>
        <v>0.87216494845360826</v>
      </c>
      <c r="AA22" s="45">
        <f>'Load Factor Sheet June Acft  '!Q22</f>
        <v>0.74158075601374573</v>
      </c>
      <c r="AB22" s="46">
        <f>'Load Factor Sheet June Acft  '!T22</f>
        <v>0.806872852233677</v>
      </c>
    </row>
    <row r="23" spans="1:28" x14ac:dyDescent="0.25">
      <c r="A23" s="9">
        <v>46223</v>
      </c>
      <c r="B23" s="47">
        <f>C23/(14*200)/1</f>
        <v>0.91785714285714282</v>
      </c>
      <c r="C23" s="2">
        <f>'Load Factor Sheet June Acft  '!C23-K23-O23-S23</f>
        <v>2570</v>
      </c>
      <c r="D23" s="47">
        <f t="shared" si="7"/>
        <v>0.84499999999999997</v>
      </c>
      <c r="E23" s="2">
        <f>'Load Factor Sheet June Acft  '!E23-M23-Q23-U23</f>
        <v>2197</v>
      </c>
      <c r="F23" s="18">
        <f>'Load Factor Sheet June Acft  '!F23</f>
        <v>0.82905982905982911</v>
      </c>
      <c r="G23" s="41">
        <f>'Load Factor Sheet June Acft  '!G23</f>
        <v>194</v>
      </c>
      <c r="H23" s="18">
        <f>'Load Factor Sheet June Acft  '!H23</f>
        <v>0.73931623931623935</v>
      </c>
      <c r="I23" s="41">
        <f>'Load Factor Sheet June Acft  '!I23</f>
        <v>173</v>
      </c>
      <c r="J23" s="21">
        <f t="shared" si="0"/>
        <v>0.85750000000000004</v>
      </c>
      <c r="K23" s="2">
        <v>343</v>
      </c>
      <c r="L23" s="21">
        <f t="shared" si="1"/>
        <v>0.72499999999999998</v>
      </c>
      <c r="M23" s="3">
        <v>290</v>
      </c>
      <c r="N23" s="18">
        <f t="shared" si="2"/>
        <v>0.68300000000000005</v>
      </c>
      <c r="O23" s="2">
        <v>683</v>
      </c>
      <c r="P23" s="18">
        <f t="shared" si="3"/>
        <v>0.70899999999999996</v>
      </c>
      <c r="Q23" s="3">
        <v>709</v>
      </c>
      <c r="R23" s="18">
        <f t="shared" si="4"/>
        <v>0.80500000000000005</v>
      </c>
      <c r="S23" s="2">
        <v>161</v>
      </c>
      <c r="T23" s="18">
        <f t="shared" si="5"/>
        <v>0.755</v>
      </c>
      <c r="U23" s="3">
        <v>151</v>
      </c>
      <c r="V23" s="18">
        <f>'Load Factor Sheet June Acft  '!J23</f>
        <v>0.18</v>
      </c>
      <c r="W23" s="41">
        <f>'Load Factor Sheet June Acft  '!K23</f>
        <v>2</v>
      </c>
      <c r="X23" s="18">
        <f>'Load Factor Sheet June Acft  '!L23</f>
        <v>0.27</v>
      </c>
      <c r="Y23" s="8">
        <f>'Load Factor Sheet June Acft  '!M23</f>
        <v>3</v>
      </c>
      <c r="Z23" s="45">
        <f>'Load Factor Sheet June Acft  '!N23</f>
        <v>0.90561282932416953</v>
      </c>
      <c r="AA23" s="45">
        <f>'Load Factor Sheet June Acft  '!Q23</f>
        <v>0.80710194730813289</v>
      </c>
      <c r="AB23" s="46">
        <f>'Load Factor Sheet June Acft  '!T23</f>
        <v>0.85635738831615116</v>
      </c>
    </row>
    <row r="24" spans="1:28" x14ac:dyDescent="0.25">
      <c r="A24" s="9">
        <v>46224</v>
      </c>
      <c r="B24" s="47">
        <f>C24/(14*200)/1</f>
        <v>0.98678571428571427</v>
      </c>
      <c r="C24" s="2">
        <f>'Load Factor Sheet June Acft  '!C24-K24-O24-S24</f>
        <v>2763</v>
      </c>
      <c r="D24" s="47">
        <f>E24/(14*200)/1</f>
        <v>0.86392857142857138</v>
      </c>
      <c r="E24" s="2">
        <f>'Load Factor Sheet June Acft  '!E24-M24-Q24-U24</f>
        <v>2419</v>
      </c>
      <c r="F24" s="18">
        <f>'Load Factor Sheet June Acft  '!F24</f>
        <v>0.67948717948717952</v>
      </c>
      <c r="G24" s="41">
        <f>'Load Factor Sheet June Acft  '!G24</f>
        <v>106</v>
      </c>
      <c r="H24" s="18">
        <f>'Load Factor Sheet June Acft  '!H24</f>
        <v>0.77564102564102566</v>
      </c>
      <c r="I24" s="41">
        <f>'Load Factor Sheet June Acft  '!I24</f>
        <v>121</v>
      </c>
      <c r="J24" s="21">
        <f t="shared" si="0"/>
        <v>0.83499999999999996</v>
      </c>
      <c r="K24" s="2">
        <v>334</v>
      </c>
      <c r="L24" s="21">
        <f t="shared" si="1"/>
        <v>0.81499999999999995</v>
      </c>
      <c r="M24" s="3">
        <v>326</v>
      </c>
      <c r="N24" s="18">
        <f t="shared" si="2"/>
        <v>0.60699999999999998</v>
      </c>
      <c r="O24" s="2">
        <v>607</v>
      </c>
      <c r="P24" s="18">
        <f t="shared" si="3"/>
        <v>0.64200000000000002</v>
      </c>
      <c r="Q24" s="3">
        <v>642</v>
      </c>
      <c r="R24" s="18">
        <f t="shared" si="4"/>
        <v>0</v>
      </c>
      <c r="S24" s="2">
        <v>0</v>
      </c>
      <c r="T24" s="18">
        <f t="shared" si="5"/>
        <v>0</v>
      </c>
      <c r="U24" s="3">
        <v>0</v>
      </c>
      <c r="V24" s="18">
        <f>'Load Factor Sheet June Acft  '!J24</f>
        <v>0.81</v>
      </c>
      <c r="W24" s="41">
        <f>'Load Factor Sheet June Acft  '!K24</f>
        <v>9</v>
      </c>
      <c r="X24" s="18">
        <f>'Load Factor Sheet June Acft  '!L24</f>
        <v>0.63</v>
      </c>
      <c r="Y24" s="8">
        <f>'Load Factor Sheet June Acft  '!M24</f>
        <v>7</v>
      </c>
      <c r="Z24" s="45">
        <f>'Load Factor Sheet June Acft  '!N24</f>
        <v>0.87491408934707904</v>
      </c>
      <c r="AA24" s="45">
        <f>'Load Factor Sheet June Acft  '!Q24</f>
        <v>0.80526918671248571</v>
      </c>
      <c r="AB24" s="46">
        <f>'Load Factor Sheet June Acft  '!T24</f>
        <v>0.84009163802978237</v>
      </c>
    </row>
    <row r="25" spans="1:28" x14ac:dyDescent="0.25">
      <c r="A25" s="9">
        <v>46225</v>
      </c>
      <c r="B25" s="47">
        <f>C25/(14*200)/1</f>
        <v>0.94714285714285718</v>
      </c>
      <c r="C25" s="2">
        <f>'Load Factor Sheet June Acft  '!C25-K25-O25-S25</f>
        <v>2652</v>
      </c>
      <c r="D25" s="47">
        <f>E25/(14*200)/1</f>
        <v>0.77249999999999996</v>
      </c>
      <c r="E25" s="2">
        <f>'Load Factor Sheet June Acft  '!E25-M25-Q25-U25</f>
        <v>2163</v>
      </c>
      <c r="F25" s="18">
        <f>'Load Factor Sheet June Acft  '!F25</f>
        <v>0.82051282051282048</v>
      </c>
      <c r="G25" s="41">
        <f>'Load Factor Sheet June Acft  '!G25</f>
        <v>128</v>
      </c>
      <c r="H25" s="18">
        <f>'Load Factor Sheet June Acft  '!H25</f>
        <v>0.62820512820512819</v>
      </c>
      <c r="I25" s="41">
        <f>'Load Factor Sheet June Acft  '!I25</f>
        <v>147</v>
      </c>
      <c r="J25" s="21">
        <f t="shared" si="0"/>
        <v>0.84</v>
      </c>
      <c r="K25" s="2">
        <v>336</v>
      </c>
      <c r="L25" s="21">
        <f t="shared" si="1"/>
        <v>0.60499999999999998</v>
      </c>
      <c r="M25" s="3">
        <v>242</v>
      </c>
      <c r="N25" s="18">
        <f t="shared" si="2"/>
        <v>0.59399999999999997</v>
      </c>
      <c r="O25" s="2">
        <v>594</v>
      </c>
      <c r="P25" s="18">
        <f t="shared" si="3"/>
        <v>0.67500000000000004</v>
      </c>
      <c r="Q25" s="3">
        <v>675</v>
      </c>
      <c r="R25" s="18">
        <f t="shared" si="4"/>
        <v>0.78500000000000003</v>
      </c>
      <c r="S25" s="2">
        <v>157</v>
      </c>
      <c r="T25" s="18">
        <f t="shared" si="5"/>
        <v>0.77500000000000002</v>
      </c>
      <c r="U25" s="3">
        <v>155</v>
      </c>
      <c r="V25" s="18">
        <f>'Load Factor Sheet June Acft  '!J25</f>
        <v>0.72</v>
      </c>
      <c r="W25" s="41">
        <f>'Load Factor Sheet June Acft  '!K25</f>
        <v>8</v>
      </c>
      <c r="X25" s="18">
        <f>'Load Factor Sheet June Acft  '!L25</f>
        <v>0.54</v>
      </c>
      <c r="Y25" s="8">
        <f>'Load Factor Sheet June Acft  '!M25</f>
        <v>6</v>
      </c>
      <c r="Z25" s="39">
        <f>'Load Factor Sheet June Acft  '!N25</f>
        <v>0.88774341351660935</v>
      </c>
      <c r="AA25" s="39">
        <f>'Load Factor Sheet June Acft  '!Q25</f>
        <v>0.7761741122565865</v>
      </c>
      <c r="AB25" s="40">
        <f>'Load Factor Sheet June Acft  '!T25</f>
        <v>0.83195876288659798</v>
      </c>
    </row>
    <row r="26" spans="1:28" x14ac:dyDescent="0.25">
      <c r="A26" s="9">
        <v>46226</v>
      </c>
      <c r="B26" s="47">
        <f>C26/(13*200)/1</f>
        <v>0.96230769230769231</v>
      </c>
      <c r="C26" s="2">
        <f>'Load Factor Sheet June Acft  '!C26-K26-O26-S26</f>
        <v>2502</v>
      </c>
      <c r="D26" s="47">
        <f>E26/(13*200)/1</f>
        <v>0.85230769230769232</v>
      </c>
      <c r="E26" s="2">
        <f>'Load Factor Sheet June Acft  '!E26-M26-Q26-U26</f>
        <v>2216</v>
      </c>
      <c r="F26" s="18">
        <f>'Load Factor Sheet June Acft  '!F26</f>
        <v>0.95299145299145294</v>
      </c>
      <c r="G26" s="41">
        <f>'Load Factor Sheet June Acft  '!G26</f>
        <v>223</v>
      </c>
      <c r="H26" s="18">
        <f>'Load Factor Sheet June Acft  '!H26</f>
        <v>0.82051282051282048</v>
      </c>
      <c r="I26" s="41">
        <f>'Load Factor Sheet June Acft  '!I26</f>
        <v>192</v>
      </c>
      <c r="J26" s="21">
        <f t="shared" si="0"/>
        <v>0.83</v>
      </c>
      <c r="K26" s="2">
        <v>332</v>
      </c>
      <c r="L26" s="21">
        <f t="shared" si="1"/>
        <v>0.73499999999999999</v>
      </c>
      <c r="M26" s="3">
        <v>294</v>
      </c>
      <c r="N26" s="18">
        <f t="shared" si="2"/>
        <v>0.67900000000000005</v>
      </c>
      <c r="O26" s="2">
        <v>679</v>
      </c>
      <c r="P26" s="18">
        <f t="shared" si="3"/>
        <v>0.65500000000000003</v>
      </c>
      <c r="Q26" s="3">
        <v>655</v>
      </c>
      <c r="R26" s="18">
        <f t="shared" si="4"/>
        <v>0</v>
      </c>
      <c r="S26" s="2">
        <v>0</v>
      </c>
      <c r="T26" s="18">
        <f t="shared" si="5"/>
        <v>0</v>
      </c>
      <c r="U26" s="3">
        <v>0</v>
      </c>
      <c r="V26" s="18">
        <f>'Load Factor Sheet June Acft  '!J26</f>
        <v>0.18</v>
      </c>
      <c r="W26" s="41">
        <f>'Load Factor Sheet June Acft  '!K26</f>
        <v>2</v>
      </c>
      <c r="X26" s="18">
        <f>'Load Factor Sheet June Acft  '!L26</f>
        <v>0.09</v>
      </c>
      <c r="Y26" s="8">
        <f>'Load Factor Sheet June Acft  '!M26</f>
        <v>1</v>
      </c>
      <c r="Z26" s="39">
        <f>'Load Factor Sheet June Acft  '!N26</f>
        <v>0.89747899159663869</v>
      </c>
      <c r="AA26" s="39">
        <f>'Load Factor Sheet June Acft  '!Q26</f>
        <v>0.80624249699879957</v>
      </c>
      <c r="AB26" s="40">
        <f>'Load Factor Sheet June Acft  '!T26</f>
        <v>0.85186074429771907</v>
      </c>
    </row>
    <row r="27" spans="1:28" x14ac:dyDescent="0.25">
      <c r="A27" s="9">
        <v>46227</v>
      </c>
      <c r="B27" s="47">
        <f t="shared" ref="B27:B33" si="8">C27/(14*200)/1</f>
        <v>0.97857142857142854</v>
      </c>
      <c r="C27" s="2">
        <f>'Load Factor Sheet June Acft  '!C27-K27-O27-S27</f>
        <v>2740</v>
      </c>
      <c r="D27" s="47">
        <f>E27/(14*200)/1</f>
        <v>0.95285714285714285</v>
      </c>
      <c r="E27" s="2">
        <f>'Load Factor Sheet June Acft  '!E27-M27-Q27-U27</f>
        <v>2668</v>
      </c>
      <c r="F27" s="18">
        <f>'Load Factor Sheet June Acft  '!F27</f>
        <v>0.84615384615384615</v>
      </c>
      <c r="G27" s="41">
        <f>'Load Factor Sheet June Acft  '!G27</f>
        <v>132</v>
      </c>
      <c r="H27" s="18">
        <f>'Load Factor Sheet June Acft  '!H27</f>
        <v>0.88461538461538458</v>
      </c>
      <c r="I27" s="41">
        <f>'Load Factor Sheet June Acft  '!I27</f>
        <v>138</v>
      </c>
      <c r="J27" s="21">
        <f t="shared" si="0"/>
        <v>0.86</v>
      </c>
      <c r="K27" s="2">
        <v>344</v>
      </c>
      <c r="L27" s="21">
        <f t="shared" si="1"/>
        <v>0.79</v>
      </c>
      <c r="M27" s="3">
        <v>316</v>
      </c>
      <c r="N27" s="18">
        <f t="shared" si="2"/>
        <v>0.70499999999999996</v>
      </c>
      <c r="O27" s="2">
        <v>705</v>
      </c>
      <c r="P27" s="18">
        <f t="shared" si="3"/>
        <v>0.71299999999999997</v>
      </c>
      <c r="Q27" s="3">
        <v>713</v>
      </c>
      <c r="R27" s="18">
        <f t="shared" si="4"/>
        <v>0</v>
      </c>
      <c r="S27" s="2">
        <v>0</v>
      </c>
      <c r="T27" s="18">
        <f t="shared" si="5"/>
        <v>0</v>
      </c>
      <c r="U27" s="3">
        <v>0</v>
      </c>
      <c r="V27" s="18">
        <f>'Load Factor Sheet June Acft  '!J27</f>
        <v>0.54</v>
      </c>
      <c r="W27" s="41">
        <f>'Load Factor Sheet June Acft  '!K27</f>
        <v>6</v>
      </c>
      <c r="X27" s="18">
        <f>'Load Factor Sheet June Acft  '!L27</f>
        <v>0.45</v>
      </c>
      <c r="Y27" s="8">
        <f>'Load Factor Sheet June Acft  '!M27</f>
        <v>5</v>
      </c>
      <c r="Z27" s="45">
        <f>'Load Factor Sheet June Acft  '!N27</f>
        <v>0.89965635738831617</v>
      </c>
      <c r="AA27" s="45">
        <f>'Load Factor Sheet June Acft  '!Q27</f>
        <v>0.8797250859106529</v>
      </c>
      <c r="AB27" s="46">
        <f>'Load Factor Sheet June Acft  '!T27</f>
        <v>0.88969072164948448</v>
      </c>
    </row>
    <row r="28" spans="1:28" x14ac:dyDescent="0.25">
      <c r="A28" s="9">
        <v>46228</v>
      </c>
      <c r="B28" s="47">
        <f t="shared" si="8"/>
        <v>0.92142857142857137</v>
      </c>
      <c r="C28" s="2">
        <f>'Load Factor Sheet June Acft  '!C28-K28-O28-S28</f>
        <v>2580</v>
      </c>
      <c r="D28" s="47">
        <f>E28/(14*200)/1</f>
        <v>0.82428571428571429</v>
      </c>
      <c r="E28" s="2">
        <f>'Load Factor Sheet June Acft  '!E28-M28-Q28-U28</f>
        <v>2308</v>
      </c>
      <c r="F28" s="18">
        <f>'Load Factor Sheet June Acft  '!F28</f>
        <v>0.86752136752136755</v>
      </c>
      <c r="G28" s="41">
        <f>'Load Factor Sheet June Acft  '!G28</f>
        <v>203</v>
      </c>
      <c r="H28" s="18">
        <f>'Load Factor Sheet June Acft  '!H28</f>
        <v>0.84188034188034189</v>
      </c>
      <c r="I28" s="41">
        <f>'Load Factor Sheet June Acft  '!I28</f>
        <v>197</v>
      </c>
      <c r="J28" s="21">
        <f t="shared" si="0"/>
        <v>0.82750000000000001</v>
      </c>
      <c r="K28" s="2">
        <v>331</v>
      </c>
      <c r="L28" s="21">
        <f t="shared" si="1"/>
        <v>0.82</v>
      </c>
      <c r="M28" s="3">
        <v>328</v>
      </c>
      <c r="N28" s="18">
        <f t="shared" si="2"/>
        <v>0.52600000000000002</v>
      </c>
      <c r="O28" s="2">
        <v>526</v>
      </c>
      <c r="P28" s="18">
        <f t="shared" si="3"/>
        <v>0.61799999999999999</v>
      </c>
      <c r="Q28" s="3">
        <v>618</v>
      </c>
      <c r="R28" s="18">
        <f t="shared" si="4"/>
        <v>0.70499999999999996</v>
      </c>
      <c r="S28" s="2">
        <v>141</v>
      </c>
      <c r="T28" s="18">
        <f t="shared" si="5"/>
        <v>0.81</v>
      </c>
      <c r="U28" s="3">
        <v>162</v>
      </c>
      <c r="V28" s="18">
        <f>'Load Factor Sheet June Acft  '!J28</f>
        <v>0</v>
      </c>
      <c r="W28" s="41">
        <f>'Load Factor Sheet June Acft  '!K28</f>
        <v>0</v>
      </c>
      <c r="X28" s="18">
        <f>'Load Factor Sheet June Acft  '!L28</f>
        <v>0</v>
      </c>
      <c r="Y28" s="8">
        <f>'Load Factor Sheet June Acft  '!M28</f>
        <v>0</v>
      </c>
      <c r="Z28" s="39">
        <f>'Load Factor Sheet June Acft  '!N28</f>
        <v>0.90976900866217514</v>
      </c>
      <c r="AA28" s="39">
        <f>'Load Factor Sheet June Acft  '!Q28</f>
        <v>0.86934552454282965</v>
      </c>
      <c r="AB28" s="40">
        <f>'Load Factor Sheet June Acft  '!T28</f>
        <v>0.88955726660250245</v>
      </c>
    </row>
    <row r="29" spans="1:28" x14ac:dyDescent="0.25">
      <c r="A29" s="9">
        <v>46229</v>
      </c>
      <c r="B29" s="47">
        <f t="shared" si="8"/>
        <v>0.97857142857142854</v>
      </c>
      <c r="C29" s="2">
        <f>'Load Factor Sheet June Acft  '!C29-K29-O29-S29</f>
        <v>2740</v>
      </c>
      <c r="D29" s="47">
        <f>E29/(14*200)/1</f>
        <v>0.89571428571428569</v>
      </c>
      <c r="E29" s="2">
        <f>'Load Factor Sheet June Acft  '!E29-M29-Q29-U29</f>
        <v>2508</v>
      </c>
      <c r="F29" s="18">
        <f>'Load Factor Sheet June Acft  '!F29</f>
        <v>0.97435897435897434</v>
      </c>
      <c r="G29" s="41">
        <f>'Load Factor Sheet June Acft  '!G29</f>
        <v>152</v>
      </c>
      <c r="H29" s="18">
        <f>'Load Factor Sheet June Acft  '!H29</f>
        <v>0.80128205128205132</v>
      </c>
      <c r="I29" s="41">
        <f>'Load Factor Sheet June Acft  '!I29</f>
        <v>125</v>
      </c>
      <c r="J29" s="21">
        <f t="shared" si="0"/>
        <v>0.84750000000000003</v>
      </c>
      <c r="K29" s="2">
        <v>339</v>
      </c>
      <c r="L29" s="21">
        <f t="shared" si="1"/>
        <v>0.79500000000000004</v>
      </c>
      <c r="M29" s="3">
        <v>318</v>
      </c>
      <c r="N29" s="18">
        <f t="shared" si="2"/>
        <v>0.68600000000000005</v>
      </c>
      <c r="O29" s="2">
        <v>686</v>
      </c>
      <c r="P29" s="18">
        <f t="shared" si="3"/>
        <v>0.74199999999999999</v>
      </c>
      <c r="Q29" s="3">
        <v>742</v>
      </c>
      <c r="R29" s="18">
        <f t="shared" si="4"/>
        <v>0.70499999999999996</v>
      </c>
      <c r="S29" s="2">
        <v>141</v>
      </c>
      <c r="T29" s="18">
        <f t="shared" si="5"/>
        <v>0.9</v>
      </c>
      <c r="U29" s="3">
        <v>180</v>
      </c>
      <c r="V29" s="18">
        <f>'Load Factor Sheet June Acft  '!J29</f>
        <v>0</v>
      </c>
      <c r="W29" s="41">
        <f>'Load Factor Sheet June Acft  '!K29</f>
        <v>0</v>
      </c>
      <c r="X29" s="18">
        <f>'Load Factor Sheet June Acft  '!L29</f>
        <v>0</v>
      </c>
      <c r="Y29" s="8">
        <f>'Load Factor Sheet June Acft  '!M29</f>
        <v>0</v>
      </c>
      <c r="Z29" s="39">
        <f>'Load Factor Sheet June Acft  '!N29</f>
        <v>0.93158861340679522</v>
      </c>
      <c r="AA29" s="39">
        <f>'Load Factor Sheet June Acft  '!Q29</f>
        <v>0.8891184573002755</v>
      </c>
      <c r="AB29" s="40">
        <f>'Load Factor Sheet June Acft  '!T29</f>
        <v>0.91035353535353536</v>
      </c>
    </row>
    <row r="30" spans="1:28" x14ac:dyDescent="0.25">
      <c r="A30" s="9">
        <v>46230</v>
      </c>
      <c r="B30" s="47">
        <f t="shared" si="8"/>
        <v>0.78500000000000003</v>
      </c>
      <c r="C30" s="2">
        <f>'Load Factor Sheet June Acft  '!C30-K30-O30-S30</f>
        <v>2198</v>
      </c>
      <c r="D30" s="47">
        <f>E30/(13*200)/1</f>
        <v>0.96576923076923082</v>
      </c>
      <c r="E30" s="2">
        <f>'Load Factor Sheet June Acft  '!E30-M30-Q30-U30</f>
        <v>2511</v>
      </c>
      <c r="F30" s="18">
        <f>'Load Factor Sheet June Acft  '!F30</f>
        <v>0.88034188034188032</v>
      </c>
      <c r="G30" s="41">
        <f>'Load Factor Sheet June Acft  '!G30</f>
        <v>206</v>
      </c>
      <c r="H30" s="18">
        <f>'Load Factor Sheet June Acft  '!H30</f>
        <v>0.7649572649572649</v>
      </c>
      <c r="I30" s="41">
        <f>'Load Factor Sheet June Acft  '!I30</f>
        <v>179</v>
      </c>
      <c r="J30" s="21">
        <f t="shared" si="0"/>
        <v>0.83750000000000002</v>
      </c>
      <c r="K30" s="2">
        <v>335</v>
      </c>
      <c r="L30" s="21">
        <f t="shared" si="1"/>
        <v>0.8175</v>
      </c>
      <c r="M30" s="3">
        <v>327</v>
      </c>
      <c r="N30" s="18">
        <f t="shared" si="2"/>
        <v>0.76900000000000002</v>
      </c>
      <c r="O30" s="2">
        <v>769</v>
      </c>
      <c r="P30" s="18">
        <f t="shared" si="3"/>
        <v>0.65</v>
      </c>
      <c r="Q30" s="3">
        <v>650</v>
      </c>
      <c r="R30" s="18">
        <f t="shared" si="4"/>
        <v>0.69499999999999995</v>
      </c>
      <c r="S30" s="2">
        <v>139</v>
      </c>
      <c r="T30" s="18">
        <f t="shared" si="5"/>
        <v>0.86</v>
      </c>
      <c r="U30" s="3">
        <v>172</v>
      </c>
      <c r="V30" s="18">
        <f>'Load Factor Sheet June Acft  '!J30</f>
        <v>0.45</v>
      </c>
      <c r="W30" s="41">
        <f>'Load Factor Sheet June Acft  '!K30</f>
        <v>5</v>
      </c>
      <c r="X30" s="18">
        <f>'Load Factor Sheet June Acft  '!L30</f>
        <v>0.45</v>
      </c>
      <c r="Y30" s="8">
        <f>'Load Factor Sheet June Acft  '!M30</f>
        <v>5</v>
      </c>
      <c r="Z30" s="39">
        <f>'Load Factor Sheet June Acft  '!N30</f>
        <v>0.8366552119129439</v>
      </c>
      <c r="AA30" s="39">
        <f>'Load Factor Sheet June Acft  '!Q30</f>
        <v>0.8806414662084765</v>
      </c>
      <c r="AB30" s="40">
        <f>'Load Factor Sheet June Acft  '!T30</f>
        <v>0.85864833906071014</v>
      </c>
    </row>
    <row r="31" spans="1:28" x14ac:dyDescent="0.25">
      <c r="A31" s="9">
        <v>46231</v>
      </c>
      <c r="B31" s="47">
        <f t="shared" si="8"/>
        <v>0.91678571428571431</v>
      </c>
      <c r="C31" s="2">
        <v>2567</v>
      </c>
      <c r="D31" s="47">
        <f>E31/(14*200)/1</f>
        <v>0.93321428571428566</v>
      </c>
      <c r="E31" s="2">
        <v>2613</v>
      </c>
      <c r="F31" s="18">
        <f>'Load Factor Sheet June Acft  '!F31</f>
        <v>0.74358974358974361</v>
      </c>
      <c r="G31" s="41">
        <f>'Load Factor Sheet June Acft  '!G31</f>
        <v>116</v>
      </c>
      <c r="H31" s="18">
        <f>'Load Factor Sheet June Acft  '!H31</f>
        <v>0.74358974358974361</v>
      </c>
      <c r="I31" s="41">
        <f>'Load Factor Sheet June Acft  '!I31</f>
        <v>116</v>
      </c>
      <c r="J31" s="21">
        <f t="shared" si="0"/>
        <v>0.82</v>
      </c>
      <c r="K31" s="2">
        <v>328</v>
      </c>
      <c r="L31" s="21">
        <f t="shared" si="1"/>
        <v>0.85</v>
      </c>
      <c r="M31" s="3">
        <v>340</v>
      </c>
      <c r="N31" s="18">
        <f t="shared" si="2"/>
        <v>0.629</v>
      </c>
      <c r="O31" s="2">
        <v>629</v>
      </c>
      <c r="P31" s="18">
        <f t="shared" si="3"/>
        <v>0.70299999999999996</v>
      </c>
      <c r="Q31" s="3">
        <v>703</v>
      </c>
      <c r="R31" s="18">
        <f t="shared" si="4"/>
        <v>0</v>
      </c>
      <c r="S31" s="2">
        <v>0</v>
      </c>
      <c r="T31" s="18">
        <f t="shared" si="5"/>
        <v>0</v>
      </c>
      <c r="U31" s="3">
        <v>0</v>
      </c>
      <c r="V31" s="18">
        <f>'Load Factor Sheet June Acft  '!J31</f>
        <v>0.18</v>
      </c>
      <c r="W31" s="41">
        <f>'Load Factor Sheet June Acft  '!K31</f>
        <v>2</v>
      </c>
      <c r="X31" s="18">
        <f>'Load Factor Sheet June Acft  '!L31</f>
        <v>0.45</v>
      </c>
      <c r="Y31" s="8">
        <f>'Load Factor Sheet June Acft  '!M31</f>
        <v>5</v>
      </c>
      <c r="Z31" s="39">
        <f>'Load Factor Sheet June Acft  '!N31</f>
        <v>0.83963344788087058</v>
      </c>
      <c r="AA31" s="39">
        <f>'Load Factor Sheet June Acft  '!Q31</f>
        <v>0.91477663230240547</v>
      </c>
      <c r="AB31" s="40">
        <f>'Load Factor Sheet June Acft  '!T31</f>
        <v>0.87720504009163802</v>
      </c>
    </row>
    <row r="32" spans="1:28" x14ac:dyDescent="0.25">
      <c r="A32" s="9">
        <v>46232</v>
      </c>
      <c r="B32" s="47">
        <f t="shared" si="8"/>
        <v>0.90857142857142859</v>
      </c>
      <c r="C32" s="2">
        <f>'Load Factor Sheet June Acft  '!C32-K32-O32-S32</f>
        <v>2544</v>
      </c>
      <c r="D32" s="47">
        <f>E32/(14*200)/1</f>
        <v>0.92535714285714288</v>
      </c>
      <c r="E32" s="2">
        <v>2591</v>
      </c>
      <c r="F32" s="18">
        <f>'Load Factor Sheet June Acft  '!F32</f>
        <v>0.50854700854700852</v>
      </c>
      <c r="G32" s="41">
        <f>'Load Factor Sheet June Acft  '!G32</f>
        <v>119</v>
      </c>
      <c r="H32" s="18">
        <f>'Load Factor Sheet June Acft  '!H32</f>
        <v>0.62820512820512819</v>
      </c>
      <c r="I32" s="41">
        <f>'Load Factor Sheet June Acft  '!I32</f>
        <v>147</v>
      </c>
      <c r="J32" s="21">
        <f t="shared" si="0"/>
        <v>0.79749999999999999</v>
      </c>
      <c r="K32" s="2">
        <v>319</v>
      </c>
      <c r="L32" s="21">
        <f t="shared" si="1"/>
        <v>0.78749999999999998</v>
      </c>
      <c r="M32" s="3">
        <v>315</v>
      </c>
      <c r="N32" s="18">
        <f t="shared" ref="N32:N33" si="9">O32/(5*200)*1</f>
        <v>0.629</v>
      </c>
      <c r="O32" s="2">
        <v>629</v>
      </c>
      <c r="P32" s="18">
        <f t="shared" si="3"/>
        <v>0.70299999999999996</v>
      </c>
      <c r="Q32" s="3">
        <v>703</v>
      </c>
      <c r="R32" s="18">
        <f t="shared" si="4"/>
        <v>0.69499999999999995</v>
      </c>
      <c r="S32" s="2">
        <v>139</v>
      </c>
      <c r="T32" s="18">
        <f t="shared" si="5"/>
        <v>0.86</v>
      </c>
      <c r="U32" s="3">
        <v>172</v>
      </c>
      <c r="V32" s="18">
        <f>'Load Factor Sheet June Acft  '!J32</f>
        <v>0.54</v>
      </c>
      <c r="W32" s="41">
        <f>'Load Factor Sheet June Acft  '!K32</f>
        <v>6</v>
      </c>
      <c r="X32" s="18">
        <f>'Load Factor Sheet June Acft  '!L32</f>
        <v>0.27</v>
      </c>
      <c r="Y32" s="8">
        <f>'Load Factor Sheet June Acft  '!M32</f>
        <v>3</v>
      </c>
      <c r="Z32" s="45">
        <f>'Load Factor Sheet June Acft  '!N32</f>
        <v>0.86048109965635744</v>
      </c>
      <c r="AA32" s="45">
        <f>'Load Factor Sheet June Acft  '!Q32</f>
        <v>0.89301260022909512</v>
      </c>
      <c r="AB32" s="46">
        <f>'Load Factor Sheet June Acft  '!T32</f>
        <v>0.87674684994272623</v>
      </c>
    </row>
    <row r="33" spans="1:28" x14ac:dyDescent="0.25">
      <c r="A33" s="9">
        <v>46233</v>
      </c>
      <c r="B33" s="47">
        <f t="shared" si="8"/>
        <v>0.82428571428571429</v>
      </c>
      <c r="C33" s="4">
        <v>2308</v>
      </c>
      <c r="D33" s="47">
        <f>E33/(14*200)/1</f>
        <v>0.79214285714285715</v>
      </c>
      <c r="E33" s="5">
        <v>2218</v>
      </c>
      <c r="F33" s="18">
        <f>'Load Factor Sheet June Acft  '!F33</f>
        <v>0.87179487179487181</v>
      </c>
      <c r="G33" s="41">
        <v>204</v>
      </c>
      <c r="H33" s="18">
        <f>'Load Factor Sheet June Acft  '!H33</f>
        <v>0.78632478632478631</v>
      </c>
      <c r="I33" s="41">
        <v>184</v>
      </c>
      <c r="J33" s="21">
        <f t="shared" si="0"/>
        <v>0.8</v>
      </c>
      <c r="K33" s="4">
        <v>320</v>
      </c>
      <c r="L33" s="21">
        <f t="shared" si="1"/>
        <v>0.81499999999999995</v>
      </c>
      <c r="M33" s="5">
        <v>326</v>
      </c>
      <c r="N33" s="18">
        <f t="shared" si="9"/>
        <v>0.68799999999999994</v>
      </c>
      <c r="O33" s="4">
        <v>688</v>
      </c>
      <c r="P33" s="18">
        <f t="shared" si="3"/>
        <v>0.68100000000000005</v>
      </c>
      <c r="Q33" s="5">
        <v>681</v>
      </c>
      <c r="R33" s="18">
        <f t="shared" si="4"/>
        <v>0</v>
      </c>
      <c r="S33" s="4">
        <v>0</v>
      </c>
      <c r="T33" s="18">
        <f t="shared" si="5"/>
        <v>0</v>
      </c>
      <c r="U33" s="5">
        <v>0</v>
      </c>
      <c r="V33" s="18">
        <f>'Load Factor Sheet June Acft  '!J33</f>
        <v>0</v>
      </c>
      <c r="W33" s="41">
        <f>'Load Factor Sheet June Acft  '!K33</f>
        <v>0</v>
      </c>
      <c r="X33" s="18">
        <f>'Load Factor Sheet June Acft  '!L33</f>
        <v>0.54</v>
      </c>
      <c r="Y33" s="8">
        <v>6</v>
      </c>
      <c r="Z33" s="45">
        <f>'Load Factor Sheet June Acft  '!N33</f>
        <v>0.8064146620847652</v>
      </c>
      <c r="AA33" s="45">
        <f>'Load Factor Sheet June Acft  '!Q33</f>
        <v>0.78235967926689576</v>
      </c>
      <c r="AB33" s="46">
        <f>'Load Factor Sheet June Acft  '!T33</f>
        <v>0.79438717067583042</v>
      </c>
    </row>
    <row r="34" spans="1:28" x14ac:dyDescent="0.25">
      <c r="A34" s="9">
        <v>46234</v>
      </c>
      <c r="B34" s="72"/>
      <c r="C34" s="72"/>
      <c r="D34" s="72"/>
      <c r="E34" s="1"/>
      <c r="F34" s="73"/>
      <c r="G34" s="74"/>
      <c r="H34" s="73"/>
      <c r="I34" s="74"/>
      <c r="J34" s="72"/>
      <c r="K34" s="72"/>
      <c r="L34" s="72"/>
      <c r="M34" s="1"/>
      <c r="N34" s="72"/>
      <c r="O34" s="72"/>
      <c r="P34" s="72"/>
      <c r="Q34" s="1"/>
      <c r="R34" s="73"/>
      <c r="S34" s="72"/>
      <c r="T34" s="73"/>
      <c r="U34" s="1"/>
      <c r="V34" s="73"/>
      <c r="W34" s="74"/>
      <c r="X34" s="73"/>
      <c r="Y34" s="1"/>
      <c r="Z34" s="75"/>
      <c r="AA34" s="75"/>
      <c r="AB34" s="76"/>
    </row>
    <row r="35" spans="1:28" x14ac:dyDescent="0.25">
      <c r="A35" s="34" t="s">
        <v>14</v>
      </c>
      <c r="B35" s="35" t="s">
        <v>15</v>
      </c>
      <c r="C35" s="35">
        <f>SUM(C4:C33)</f>
        <v>75645</v>
      </c>
      <c r="D35" s="35"/>
      <c r="E35" s="35">
        <f>SUM(E4:E33)</f>
        <v>71414</v>
      </c>
      <c r="F35" s="35"/>
      <c r="G35" s="35">
        <f>SUM(G4:G33)</f>
        <v>4934</v>
      </c>
      <c r="H35" s="35"/>
      <c r="I35" s="35">
        <f>SUM(I4:I33)</f>
        <v>4953</v>
      </c>
      <c r="J35" s="35"/>
      <c r="K35" s="35">
        <f>SUM(K4:K33)</f>
        <v>10130</v>
      </c>
      <c r="L35" s="35"/>
      <c r="M35" s="35">
        <f>SUM(M4:M33)</f>
        <v>9122</v>
      </c>
      <c r="N35" s="35"/>
      <c r="O35" s="35">
        <f>SUM(O4:O33)</f>
        <v>19230</v>
      </c>
      <c r="P35" s="35"/>
      <c r="Q35" s="35">
        <f>SUM(Q4:Q33)</f>
        <v>20431</v>
      </c>
      <c r="R35" s="35"/>
      <c r="S35" s="35">
        <f>SUM(S4:S33)</f>
        <v>2313</v>
      </c>
      <c r="T35" s="35"/>
      <c r="U35" s="35">
        <f>SUM(U4:U33)</f>
        <v>2280</v>
      </c>
      <c r="V35" s="35"/>
      <c r="W35" s="35">
        <f>SUM(W4:W33)</f>
        <v>131</v>
      </c>
      <c r="X35" s="35"/>
      <c r="Y35" s="35">
        <f>SUM(Y4:Y33)</f>
        <v>108</v>
      </c>
      <c r="Z35" s="43">
        <f>'Load Factor Sheet June Acft  '!N34</f>
        <v>0.85185606232852829</v>
      </c>
      <c r="AA35" s="43">
        <f>'Load Factor Sheet June Acft  '!Q34</f>
        <v>0.82220756976338805</v>
      </c>
      <c r="AB35" s="44">
        <f>'Load Factor Sheet June Acft  '!T34</f>
        <v>0.83703181604595822</v>
      </c>
    </row>
    <row r="36" spans="1:28" x14ac:dyDescent="0.2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9"/>
      <c r="AA36" s="19"/>
      <c r="AB36" s="20"/>
    </row>
  </sheetData>
  <mergeCells count="8">
    <mergeCell ref="W2:Y2"/>
    <mergeCell ref="Z2:AB2"/>
    <mergeCell ref="S2:U2"/>
    <mergeCell ref="A2:A3"/>
    <mergeCell ref="C2:E2"/>
    <mergeCell ref="G2:I2"/>
    <mergeCell ref="K2:M2"/>
    <mergeCell ref="O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opLeftCell="A27" workbookViewId="0">
      <selection activeCell="A31" sqref="A31"/>
    </sheetView>
  </sheetViews>
  <sheetFormatPr defaultRowHeight="15" x14ac:dyDescent="0.25"/>
  <cols>
    <col min="1" max="1" width="9.42578125" bestFit="1" customWidth="1"/>
    <col min="2" max="2" width="9.42578125" customWidth="1"/>
    <col min="3" max="3" width="8.42578125" customWidth="1"/>
    <col min="4" max="4" width="9" customWidth="1"/>
    <col min="5" max="5" width="9.85546875" customWidth="1"/>
    <col min="6" max="6" width="10.85546875" customWidth="1"/>
    <col min="7" max="7" width="5.140625" bestFit="1" customWidth="1"/>
    <col min="8" max="8" width="8.7109375" customWidth="1"/>
    <col min="9" max="9" width="5.140625" bestFit="1" customWidth="1"/>
    <col min="10" max="10" width="9.42578125" customWidth="1"/>
    <col min="11" max="11" width="6.140625" customWidth="1"/>
    <col min="12" max="12" width="9.7109375" customWidth="1"/>
    <col min="13" max="13" width="5.85546875" customWidth="1"/>
    <col min="14" max="14" width="13.140625" customWidth="1"/>
    <col min="15" max="15" width="12" customWidth="1"/>
    <col min="16" max="16" width="12.85546875" customWidth="1"/>
    <col min="17" max="17" width="12.42578125" customWidth="1"/>
    <col min="18" max="18" width="10.85546875" customWidth="1"/>
    <col min="19" max="19" width="8.85546875" customWidth="1"/>
    <col min="20" max="20" width="14.140625" customWidth="1"/>
  </cols>
  <sheetData>
    <row r="1" spans="1:20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 t="s">
        <v>34</v>
      </c>
      <c r="K1" s="31"/>
      <c r="L1" s="31"/>
      <c r="M1" s="31"/>
      <c r="N1" s="32"/>
      <c r="O1" s="32"/>
      <c r="P1" s="32"/>
      <c r="Q1" s="32"/>
      <c r="R1" s="32"/>
      <c r="S1" s="32"/>
      <c r="T1" s="33"/>
    </row>
    <row r="2" spans="1:20" ht="30" customHeight="1" x14ac:dyDescent="0.25">
      <c r="A2" s="81" t="s">
        <v>1</v>
      </c>
      <c r="B2" s="12" t="s">
        <v>16</v>
      </c>
      <c r="C2" s="82" t="s">
        <v>17</v>
      </c>
      <c r="D2" s="82"/>
      <c r="E2" s="82"/>
      <c r="F2" s="13" t="s">
        <v>20</v>
      </c>
      <c r="G2" s="83" t="s">
        <v>18</v>
      </c>
      <c r="H2" s="83"/>
      <c r="I2" s="83"/>
      <c r="J2" s="14" t="s">
        <v>19</v>
      </c>
      <c r="K2" s="83" t="s">
        <v>11</v>
      </c>
      <c r="L2" s="83"/>
      <c r="M2" s="83"/>
      <c r="N2" s="84" t="s">
        <v>2</v>
      </c>
      <c r="O2" s="84"/>
      <c r="P2" s="84"/>
      <c r="Q2" s="84"/>
      <c r="R2" s="84"/>
      <c r="S2" s="84"/>
      <c r="T2" s="85"/>
    </row>
    <row r="3" spans="1:20" ht="30" customHeight="1" x14ac:dyDescent="0.25">
      <c r="A3" s="81"/>
      <c r="B3" s="15" t="s">
        <v>12</v>
      </c>
      <c r="C3" s="15" t="s">
        <v>21</v>
      </c>
      <c r="D3" s="15" t="s">
        <v>13</v>
      </c>
      <c r="E3" s="15" t="s">
        <v>22</v>
      </c>
      <c r="F3" s="17" t="s">
        <v>12</v>
      </c>
      <c r="G3" s="15" t="s">
        <v>21</v>
      </c>
      <c r="H3" s="17" t="s">
        <v>13</v>
      </c>
      <c r="I3" s="15" t="s">
        <v>22</v>
      </c>
      <c r="J3" s="15" t="s">
        <v>12</v>
      </c>
      <c r="K3" s="15" t="s">
        <v>21</v>
      </c>
      <c r="L3" s="15" t="s">
        <v>13</v>
      </c>
      <c r="M3" s="15" t="s">
        <v>22</v>
      </c>
      <c r="N3" s="16" t="s">
        <v>12</v>
      </c>
      <c r="O3" s="16" t="s">
        <v>23</v>
      </c>
      <c r="P3" s="16" t="s">
        <v>24</v>
      </c>
      <c r="Q3" s="16" t="s">
        <v>13</v>
      </c>
      <c r="R3" s="16" t="s">
        <v>25</v>
      </c>
      <c r="S3" s="16" t="s">
        <v>26</v>
      </c>
      <c r="T3" s="36" t="s">
        <v>5</v>
      </c>
    </row>
    <row r="4" spans="1:20" x14ac:dyDescent="0.25">
      <c r="A4" s="48">
        <v>46174</v>
      </c>
      <c r="B4" s="49">
        <f>C4/(22*200)/1</f>
        <v>0.80977272727272731</v>
      </c>
      <c r="C4" s="50">
        <v>3563</v>
      </c>
      <c r="D4" s="49">
        <f>E4/(22*200)/1</f>
        <v>0.87681818181818183</v>
      </c>
      <c r="E4" s="50">
        <v>3858</v>
      </c>
      <c r="F4" s="51">
        <f>G4/(78*3)/1</f>
        <v>0.67948717948717952</v>
      </c>
      <c r="G4" s="52">
        <v>159</v>
      </c>
      <c r="H4" s="51">
        <f>I4/(78*3)/1</f>
        <v>0.92735042735042739</v>
      </c>
      <c r="I4" s="52">
        <v>217</v>
      </c>
      <c r="J4" s="51">
        <f>K4*9/100</f>
        <v>0.45</v>
      </c>
      <c r="K4" s="52">
        <v>5</v>
      </c>
      <c r="L4" s="51">
        <f>M4*9/100</f>
        <v>0</v>
      </c>
      <c r="M4" s="52">
        <v>0</v>
      </c>
      <c r="N4" s="53">
        <f>O4/P4*1</f>
        <v>0.80271376265345684</v>
      </c>
      <c r="O4" s="54">
        <f>C4+G4+K4</f>
        <v>3727</v>
      </c>
      <c r="P4" s="50">
        <f>SUM(4400+234+9)</f>
        <v>4643</v>
      </c>
      <c r="Q4" s="53">
        <f>R4/S4*1</f>
        <v>0.87766530260607367</v>
      </c>
      <c r="R4" s="50">
        <f>E4+I4+M4</f>
        <v>4075</v>
      </c>
      <c r="S4" s="50">
        <f>P4</f>
        <v>4643</v>
      </c>
      <c r="T4" s="55">
        <f>(O4+R4)/(P4+S4)*1</f>
        <v>0.84018953262976526</v>
      </c>
    </row>
    <row r="5" spans="1:20" x14ac:dyDescent="0.25">
      <c r="A5" s="48">
        <v>46175</v>
      </c>
      <c r="B5" s="56">
        <f>C5/(18*200)/1</f>
        <v>0.80555555555555558</v>
      </c>
      <c r="C5" s="57">
        <v>2900</v>
      </c>
      <c r="D5" s="56">
        <f>E5/(18*200)/1</f>
        <v>0.94499999999999995</v>
      </c>
      <c r="E5" s="57">
        <v>3402</v>
      </c>
      <c r="F5" s="58">
        <f t="shared" ref="F5:F26" si="0">G5/(78*3)/1</f>
        <v>0.63247863247863245</v>
      </c>
      <c r="G5" s="59">
        <v>148</v>
      </c>
      <c r="H5" s="58">
        <f t="shared" ref="H5:H26" si="1">I5/(78*3)/1</f>
        <v>0.74786324786324787</v>
      </c>
      <c r="I5" s="60">
        <v>175</v>
      </c>
      <c r="J5" s="58">
        <f t="shared" ref="J5:J33" si="2">K5*9/100</f>
        <v>0</v>
      </c>
      <c r="K5" s="59">
        <v>0</v>
      </c>
      <c r="L5" s="58">
        <f t="shared" ref="L5:L33" si="3">M5*9/100</f>
        <v>0.18</v>
      </c>
      <c r="M5" s="61">
        <v>2</v>
      </c>
      <c r="N5" s="53">
        <f>O5/P5*1</f>
        <v>0.65647210855050608</v>
      </c>
      <c r="O5" s="54">
        <f>C5+G5+K5</f>
        <v>3048</v>
      </c>
      <c r="P5" s="50">
        <f>SUM(4400+234+9)</f>
        <v>4643</v>
      </c>
      <c r="Q5" s="53">
        <f>R5/S5*1</f>
        <v>0.77083782037475768</v>
      </c>
      <c r="R5" s="50">
        <f>E5+I5+M5</f>
        <v>3579</v>
      </c>
      <c r="S5" s="50">
        <f>P5</f>
        <v>4643</v>
      </c>
      <c r="T5" s="55">
        <f>(O5+R5)/(P5+S5)*1</f>
        <v>0.71365496446263188</v>
      </c>
    </row>
    <row r="6" spans="1:20" x14ac:dyDescent="0.25">
      <c r="A6" s="48">
        <v>46176</v>
      </c>
      <c r="B6" s="49">
        <f>C6/(22*200)/1</f>
        <v>0.81</v>
      </c>
      <c r="C6" s="50">
        <v>3564</v>
      </c>
      <c r="D6" s="49">
        <f>E6/(22*200)/1</f>
        <v>0.85977272727272724</v>
      </c>
      <c r="E6" s="50">
        <v>3783</v>
      </c>
      <c r="F6" s="51">
        <f t="shared" si="0"/>
        <v>0.85897435897435892</v>
      </c>
      <c r="G6" s="59">
        <v>201</v>
      </c>
      <c r="H6" s="51">
        <f t="shared" si="1"/>
        <v>0.66666666666666663</v>
      </c>
      <c r="I6" s="60">
        <v>156</v>
      </c>
      <c r="J6" s="51">
        <f t="shared" si="2"/>
        <v>0.36</v>
      </c>
      <c r="K6" s="59">
        <v>4</v>
      </c>
      <c r="L6" s="51">
        <f t="shared" si="3"/>
        <v>0.72</v>
      </c>
      <c r="M6" s="61">
        <v>8</v>
      </c>
      <c r="N6" s="53">
        <f>O6/P6*1</f>
        <v>0.81175963816497954</v>
      </c>
      <c r="O6" s="54">
        <f>C6+G6+K6</f>
        <v>3769</v>
      </c>
      <c r="P6" s="50">
        <f>SUM(4400+234+9)</f>
        <v>4643</v>
      </c>
      <c r="Q6" s="53">
        <f>R6/S6*1</f>
        <v>0.85009692009476634</v>
      </c>
      <c r="R6" s="50">
        <f>E6+I6+M6</f>
        <v>3947</v>
      </c>
      <c r="S6" s="50">
        <f>P6</f>
        <v>4643</v>
      </c>
      <c r="T6" s="55">
        <f>(O6+R6)/(P6+S6)*1</f>
        <v>0.83092827912987288</v>
      </c>
    </row>
    <row r="7" spans="1:20" x14ac:dyDescent="0.25">
      <c r="A7" s="48">
        <v>46177</v>
      </c>
      <c r="B7" s="56">
        <f>C7/(21*200)/1</f>
        <v>0.82880952380952377</v>
      </c>
      <c r="C7" s="50">
        <v>3481</v>
      </c>
      <c r="D7" s="49">
        <f>E7/(21*200)/1</f>
        <v>0.82880952380952377</v>
      </c>
      <c r="E7" s="50">
        <v>3481</v>
      </c>
      <c r="F7" s="51">
        <f t="shared" si="0"/>
        <v>0.90170940170940173</v>
      </c>
      <c r="G7" s="59">
        <v>211</v>
      </c>
      <c r="H7" s="51">
        <f t="shared" si="1"/>
        <v>0.90170940170940173</v>
      </c>
      <c r="I7" s="60">
        <v>211</v>
      </c>
      <c r="J7" s="51">
        <f t="shared" si="2"/>
        <v>0.72</v>
      </c>
      <c r="K7" s="59">
        <v>8</v>
      </c>
      <c r="L7" s="51">
        <f t="shared" si="3"/>
        <v>0.72</v>
      </c>
      <c r="M7" s="61">
        <v>8</v>
      </c>
      <c r="N7" s="53">
        <f t="shared" ref="N7:N34" si="4">O7/P7*1</f>
        <v>0.83277065046139997</v>
      </c>
      <c r="O7" s="54">
        <f t="shared" ref="O7:O34" si="5">C7+G7+K7</f>
        <v>3700</v>
      </c>
      <c r="P7" s="50">
        <f>SUM(4200+234+9)</f>
        <v>4443</v>
      </c>
      <c r="Q7" s="53">
        <f t="shared" ref="Q7:Q34" si="6">R7/S7*1</f>
        <v>0.83277065046139997</v>
      </c>
      <c r="R7" s="50">
        <f t="shared" ref="R7:R33" si="7">E7+I7+M7</f>
        <v>3700</v>
      </c>
      <c r="S7" s="50">
        <f t="shared" ref="S7:S28" si="8">P7</f>
        <v>4443</v>
      </c>
      <c r="T7" s="55">
        <f t="shared" ref="T7:T34" si="9">(O7+R7)/(P7+S7)*1</f>
        <v>0.83277065046139997</v>
      </c>
    </row>
    <row r="8" spans="1:20" x14ac:dyDescent="0.25">
      <c r="A8" s="48">
        <v>46178</v>
      </c>
      <c r="B8" s="56">
        <f>C8/(22*200)/1</f>
        <v>0.82977272727272722</v>
      </c>
      <c r="C8" s="50">
        <v>3651</v>
      </c>
      <c r="D8" s="49">
        <f>E8/(22*200)/1</f>
        <v>0.85795454545454541</v>
      </c>
      <c r="E8" s="50">
        <v>3775</v>
      </c>
      <c r="F8" s="51">
        <f t="shared" si="0"/>
        <v>0.8504273504273504</v>
      </c>
      <c r="G8" s="59">
        <v>199</v>
      </c>
      <c r="H8" s="51">
        <f t="shared" si="1"/>
        <v>0.74786324786324787</v>
      </c>
      <c r="I8" s="60">
        <v>175</v>
      </c>
      <c r="J8" s="51">
        <f t="shared" si="2"/>
        <v>0.27</v>
      </c>
      <c r="K8" s="59">
        <v>3</v>
      </c>
      <c r="L8" s="51">
        <f t="shared" si="3"/>
        <v>0.09</v>
      </c>
      <c r="M8" s="61">
        <v>1</v>
      </c>
      <c r="N8" s="53">
        <f t="shared" si="4"/>
        <v>0.86720684222372268</v>
      </c>
      <c r="O8" s="54">
        <f t="shared" si="5"/>
        <v>3853</v>
      </c>
      <c r="P8" s="50">
        <f>SUM(4200+234+9)</f>
        <v>4443</v>
      </c>
      <c r="Q8" s="53">
        <f t="shared" ref="Q8" si="10">R8/S8*1</f>
        <v>0.88926401080351114</v>
      </c>
      <c r="R8" s="50">
        <f t="shared" ref="R8" si="11">E8+I8+M8</f>
        <v>3951</v>
      </c>
      <c r="S8" s="50">
        <f t="shared" ref="S8" si="12">P8</f>
        <v>4443</v>
      </c>
      <c r="T8" s="55">
        <f t="shared" ref="T8" si="13">(O8+R8)/(P8+S8)*1</f>
        <v>0.87823542651361697</v>
      </c>
    </row>
    <row r="9" spans="1:20" x14ac:dyDescent="0.25">
      <c r="A9" s="48">
        <v>46179</v>
      </c>
      <c r="B9" s="56">
        <f>C9/(21*200)/1</f>
        <v>0.8716666666666667</v>
      </c>
      <c r="C9" s="50">
        <v>3661</v>
      </c>
      <c r="D9" s="49">
        <f>E9/(21*200)/1</f>
        <v>0.91761904761904767</v>
      </c>
      <c r="E9" s="50">
        <v>3854</v>
      </c>
      <c r="F9" s="51">
        <f t="shared" ref="F9" si="14">G9/(78*3)/1</f>
        <v>0.74358974358974361</v>
      </c>
      <c r="G9" s="59">
        <v>174</v>
      </c>
      <c r="H9" s="51">
        <f t="shared" ref="H9" si="15">I9/(78*3)/1</f>
        <v>0.78632478632478631</v>
      </c>
      <c r="I9" s="60">
        <v>184</v>
      </c>
      <c r="J9" s="51">
        <f t="shared" ref="J9" si="16">K9*9/100</f>
        <v>0.81</v>
      </c>
      <c r="K9" s="59">
        <v>9</v>
      </c>
      <c r="L9" s="51">
        <f t="shared" ref="L9" si="17">M9*9/100</f>
        <v>0.27</v>
      </c>
      <c r="M9" s="61">
        <v>3</v>
      </c>
      <c r="N9" s="53">
        <f t="shared" si="4"/>
        <v>0.86518118388476251</v>
      </c>
      <c r="O9" s="54">
        <f t="shared" si="5"/>
        <v>3844</v>
      </c>
      <c r="P9" s="50">
        <f>SUM(4200+234+9)</f>
        <v>4443</v>
      </c>
      <c r="Q9" s="53">
        <f t="shared" ref="Q9" si="18">R9/S9*1</f>
        <v>0.90952059419311271</v>
      </c>
      <c r="R9" s="50">
        <f t="shared" ref="R9" si="19">E9+I9+M9</f>
        <v>4041</v>
      </c>
      <c r="S9" s="50">
        <f t="shared" ref="S9" si="20">P9</f>
        <v>4443</v>
      </c>
      <c r="T9" s="55">
        <f t="shared" ref="T9" si="21">(O9+R9)/(P9+S9)*1</f>
        <v>0.88735088903893766</v>
      </c>
    </row>
    <row r="10" spans="1:20" x14ac:dyDescent="0.25">
      <c r="A10" s="48">
        <v>46180</v>
      </c>
      <c r="B10" s="56">
        <f>C10/(21*200)/1</f>
        <v>0.87119047619047618</v>
      </c>
      <c r="C10" s="50">
        <v>3659</v>
      </c>
      <c r="D10" s="49">
        <f>E10/(21*200)/1</f>
        <v>0.90785714285714281</v>
      </c>
      <c r="E10" s="50">
        <v>3813</v>
      </c>
      <c r="F10" s="51">
        <f t="shared" si="0"/>
        <v>0.62820512820512819</v>
      </c>
      <c r="G10" s="59">
        <v>147</v>
      </c>
      <c r="H10" s="51">
        <f t="shared" si="1"/>
        <v>0.71367521367521369</v>
      </c>
      <c r="I10" s="60">
        <v>167</v>
      </c>
      <c r="J10" s="51">
        <f t="shared" si="2"/>
        <v>0.45</v>
      </c>
      <c r="K10" s="59">
        <v>5</v>
      </c>
      <c r="L10" s="51">
        <f t="shared" si="3"/>
        <v>0.63</v>
      </c>
      <c r="M10" s="61">
        <v>7</v>
      </c>
      <c r="N10" s="53">
        <f t="shared" si="4"/>
        <v>0.857753769975242</v>
      </c>
      <c r="O10" s="54">
        <f t="shared" si="5"/>
        <v>3811</v>
      </c>
      <c r="P10" s="50">
        <f>SUM(4200+234+9)</f>
        <v>4443</v>
      </c>
      <c r="Q10" s="53">
        <f t="shared" si="6"/>
        <v>0.89736664415935175</v>
      </c>
      <c r="R10" s="50">
        <f t="shared" si="7"/>
        <v>3987</v>
      </c>
      <c r="S10" s="50">
        <f t="shared" si="8"/>
        <v>4443</v>
      </c>
      <c r="T10" s="55">
        <f t="shared" si="9"/>
        <v>0.87756020706729687</v>
      </c>
    </row>
    <row r="11" spans="1:20" x14ac:dyDescent="0.25">
      <c r="A11" s="48">
        <v>46181</v>
      </c>
      <c r="B11" s="56">
        <f>C11/(21*200)/1</f>
        <v>0.86428571428571432</v>
      </c>
      <c r="C11" s="50">
        <v>3630</v>
      </c>
      <c r="D11" s="49">
        <f>E11/(24*200)/1</f>
        <v>0.73250000000000004</v>
      </c>
      <c r="E11" s="50">
        <v>3516</v>
      </c>
      <c r="F11" s="51">
        <f t="shared" si="0"/>
        <v>0.79914529914529919</v>
      </c>
      <c r="G11" s="59">
        <v>187</v>
      </c>
      <c r="H11" s="51">
        <f t="shared" si="1"/>
        <v>0.71794871794871795</v>
      </c>
      <c r="I11" s="60">
        <v>168</v>
      </c>
      <c r="J11" s="51">
        <f t="shared" si="2"/>
        <v>0</v>
      </c>
      <c r="K11" s="59">
        <v>0</v>
      </c>
      <c r="L11" s="51">
        <f t="shared" si="3"/>
        <v>0.27</v>
      </c>
      <c r="M11" s="61">
        <v>3</v>
      </c>
      <c r="N11" s="53">
        <f t="shared" si="4"/>
        <v>0.85910420886788208</v>
      </c>
      <c r="O11" s="54">
        <f>C11+G11+K11</f>
        <v>3817</v>
      </c>
      <c r="P11" s="50">
        <f>SUM(4200+234+9)</f>
        <v>4443</v>
      </c>
      <c r="Q11" s="53">
        <f t="shared" si="6"/>
        <v>0.82984469952734641</v>
      </c>
      <c r="R11" s="50">
        <f t="shared" si="7"/>
        <v>3687</v>
      </c>
      <c r="S11" s="50">
        <f t="shared" si="8"/>
        <v>4443</v>
      </c>
      <c r="T11" s="55">
        <f t="shared" si="9"/>
        <v>0.84447445419761424</v>
      </c>
    </row>
    <row r="12" spans="1:20" x14ac:dyDescent="0.25">
      <c r="A12" s="48">
        <v>46182</v>
      </c>
      <c r="B12" s="56">
        <f>C12/(20*200)/1</f>
        <v>0.86475000000000002</v>
      </c>
      <c r="C12" s="50">
        <v>3459</v>
      </c>
      <c r="D12" s="49">
        <f>E12/(20*200)/1</f>
        <v>0.77549999999999997</v>
      </c>
      <c r="E12" s="50">
        <v>3102</v>
      </c>
      <c r="F12" s="51">
        <f t="shared" si="0"/>
        <v>0.62393162393162394</v>
      </c>
      <c r="G12" s="59">
        <v>146</v>
      </c>
      <c r="H12" s="51">
        <f t="shared" si="1"/>
        <v>0.81623931623931623</v>
      </c>
      <c r="I12" s="60">
        <v>191</v>
      </c>
      <c r="J12" s="51">
        <f t="shared" si="2"/>
        <v>0.18</v>
      </c>
      <c r="K12" s="59">
        <v>2</v>
      </c>
      <c r="L12" s="51">
        <f t="shared" si="3"/>
        <v>0.18</v>
      </c>
      <c r="M12" s="61">
        <v>2</v>
      </c>
      <c r="N12" s="53">
        <f t="shared" si="4"/>
        <v>0.85010605703511666</v>
      </c>
      <c r="O12" s="54">
        <f t="shared" si="5"/>
        <v>3607</v>
      </c>
      <c r="P12" s="50">
        <f>SUM(4000+234+9)</f>
        <v>4243</v>
      </c>
      <c r="Q12" s="53">
        <f t="shared" si="6"/>
        <v>0.77657317935423054</v>
      </c>
      <c r="R12" s="50">
        <f t="shared" si="7"/>
        <v>3295</v>
      </c>
      <c r="S12" s="50">
        <f t="shared" si="8"/>
        <v>4243</v>
      </c>
      <c r="T12" s="55">
        <f t="shared" si="9"/>
        <v>0.8133396181946736</v>
      </c>
    </row>
    <row r="13" spans="1:20" x14ac:dyDescent="0.25">
      <c r="A13" s="48">
        <v>46183</v>
      </c>
      <c r="B13" s="56">
        <f>C13/(22*200)/1</f>
        <v>0.87090909090909085</v>
      </c>
      <c r="C13" s="50">
        <v>3832</v>
      </c>
      <c r="D13" s="49">
        <f>E13/(22*200)/1</f>
        <v>0.84954545454545449</v>
      </c>
      <c r="E13" s="50">
        <v>3738</v>
      </c>
      <c r="F13" s="51">
        <f t="shared" si="0"/>
        <v>0.83760683760683763</v>
      </c>
      <c r="G13" s="59">
        <v>196</v>
      </c>
      <c r="H13" s="51">
        <f t="shared" si="1"/>
        <v>0.73076923076923073</v>
      </c>
      <c r="I13" s="60">
        <v>171</v>
      </c>
      <c r="J13" s="51">
        <f t="shared" si="2"/>
        <v>0.81</v>
      </c>
      <c r="K13" s="59">
        <v>9</v>
      </c>
      <c r="L13" s="51">
        <f t="shared" si="3"/>
        <v>0.54</v>
      </c>
      <c r="M13" s="61">
        <v>6</v>
      </c>
      <c r="N13" s="53">
        <f t="shared" si="4"/>
        <v>0.86948093904802926</v>
      </c>
      <c r="O13" s="54">
        <f t="shared" si="5"/>
        <v>4037</v>
      </c>
      <c r="P13" s="50">
        <f>SUM(4400+234+9)</f>
        <v>4643</v>
      </c>
      <c r="Q13" s="53">
        <f t="shared" si="6"/>
        <v>0.84320482446693945</v>
      </c>
      <c r="R13" s="50">
        <f t="shared" si="7"/>
        <v>3915</v>
      </c>
      <c r="S13" s="50">
        <f t="shared" si="8"/>
        <v>4643</v>
      </c>
      <c r="T13" s="55">
        <f t="shared" si="9"/>
        <v>0.85634288175748441</v>
      </c>
    </row>
    <row r="14" spans="1:20" x14ac:dyDescent="0.25">
      <c r="A14" s="48">
        <v>46184</v>
      </c>
      <c r="B14" s="56">
        <f>C14/(20*200)/1</f>
        <v>0.86899999999999999</v>
      </c>
      <c r="C14" s="50">
        <v>3476</v>
      </c>
      <c r="D14" s="49">
        <f>E14/(20*200)/1</f>
        <v>0.82299999999999995</v>
      </c>
      <c r="E14" s="50">
        <v>3292</v>
      </c>
      <c r="F14" s="51">
        <f t="shared" si="0"/>
        <v>0.94444444444444442</v>
      </c>
      <c r="G14" s="59">
        <v>221</v>
      </c>
      <c r="H14" s="51">
        <f t="shared" si="1"/>
        <v>0.85897435897435892</v>
      </c>
      <c r="I14" s="60">
        <v>201</v>
      </c>
      <c r="J14" s="51">
        <f t="shared" si="2"/>
        <v>0.72</v>
      </c>
      <c r="K14" s="59">
        <v>8</v>
      </c>
      <c r="L14" s="51">
        <f t="shared" si="3"/>
        <v>0.18</v>
      </c>
      <c r="M14" s="61">
        <v>2</v>
      </c>
      <c r="N14" s="53">
        <f t="shared" si="4"/>
        <v>0.87320292246052322</v>
      </c>
      <c r="O14" s="54">
        <f t="shared" si="5"/>
        <v>3705</v>
      </c>
      <c r="P14" s="50">
        <f>SUM(4000+234+9)</f>
        <v>4243</v>
      </c>
      <c r="Q14" s="53">
        <f t="shared" si="6"/>
        <v>0.82370963940608055</v>
      </c>
      <c r="R14" s="50">
        <f t="shared" si="7"/>
        <v>3495</v>
      </c>
      <c r="S14" s="50">
        <f t="shared" si="8"/>
        <v>4243</v>
      </c>
      <c r="T14" s="55">
        <f t="shared" si="9"/>
        <v>0.84845628093330194</v>
      </c>
    </row>
    <row r="15" spans="1:20" x14ac:dyDescent="0.25">
      <c r="A15" s="48">
        <v>46185</v>
      </c>
      <c r="B15" s="56">
        <f>C15/(22*200)/1</f>
        <v>0.86522727272727273</v>
      </c>
      <c r="C15" s="50">
        <v>3807</v>
      </c>
      <c r="D15" s="49">
        <f>E15/(22*200)/1</f>
        <v>0.81977272727272732</v>
      </c>
      <c r="E15" s="50">
        <v>3607</v>
      </c>
      <c r="F15" s="51">
        <f t="shared" si="0"/>
        <v>0.75213675213675213</v>
      </c>
      <c r="G15" s="59">
        <v>176</v>
      </c>
      <c r="H15" s="51">
        <f t="shared" si="1"/>
        <v>0.79487179487179482</v>
      </c>
      <c r="I15" s="60">
        <v>186</v>
      </c>
      <c r="J15" s="51">
        <f t="shared" si="2"/>
        <v>0.36</v>
      </c>
      <c r="K15" s="59">
        <v>4</v>
      </c>
      <c r="L15" s="51">
        <f t="shared" si="3"/>
        <v>0.09</v>
      </c>
      <c r="M15" s="61">
        <v>1</v>
      </c>
      <c r="N15" s="53">
        <f t="shared" si="4"/>
        <v>0.85871203962954989</v>
      </c>
      <c r="O15" s="54">
        <f t="shared" si="5"/>
        <v>3987</v>
      </c>
      <c r="P15" s="50">
        <f>SUM(4400+234+9)</f>
        <v>4643</v>
      </c>
      <c r="Q15" s="53">
        <f t="shared" si="6"/>
        <v>0.81714408787421922</v>
      </c>
      <c r="R15" s="50">
        <f t="shared" si="7"/>
        <v>3794</v>
      </c>
      <c r="S15" s="50">
        <f t="shared" si="8"/>
        <v>4643</v>
      </c>
      <c r="T15" s="55">
        <f t="shared" si="9"/>
        <v>0.83792806375188456</v>
      </c>
    </row>
    <row r="16" spans="1:20" x14ac:dyDescent="0.25">
      <c r="A16" s="48">
        <v>46186</v>
      </c>
      <c r="B16" s="56">
        <f>C16/(21*200)/1</f>
        <v>0.83547619047619048</v>
      </c>
      <c r="C16" s="50">
        <v>3509</v>
      </c>
      <c r="D16" s="49">
        <f>E16/(21*200)/1</f>
        <v>0.79928571428571427</v>
      </c>
      <c r="E16" s="50">
        <v>3357</v>
      </c>
      <c r="F16" s="51">
        <f t="shared" si="0"/>
        <v>0.89743589743589747</v>
      </c>
      <c r="G16" s="59">
        <v>210</v>
      </c>
      <c r="H16" s="51">
        <f t="shared" si="1"/>
        <v>0.76923076923076927</v>
      </c>
      <c r="I16" s="60">
        <v>180</v>
      </c>
      <c r="J16" s="51">
        <f t="shared" si="2"/>
        <v>0.81</v>
      </c>
      <c r="K16" s="59">
        <v>9</v>
      </c>
      <c r="L16" s="51">
        <f t="shared" si="3"/>
        <v>0</v>
      </c>
      <c r="M16" s="61">
        <v>0</v>
      </c>
      <c r="N16" s="53">
        <f t="shared" si="4"/>
        <v>0.8390726986270538</v>
      </c>
      <c r="O16" s="54">
        <f t="shared" si="5"/>
        <v>3728</v>
      </c>
      <c r="P16" s="50">
        <f>SUM(4200+234+9)</f>
        <v>4443</v>
      </c>
      <c r="Q16" s="53">
        <f t="shared" si="6"/>
        <v>0.79608372721134368</v>
      </c>
      <c r="R16" s="50">
        <f t="shared" si="7"/>
        <v>3537</v>
      </c>
      <c r="S16" s="50">
        <f t="shared" si="8"/>
        <v>4443</v>
      </c>
      <c r="T16" s="55">
        <f t="shared" si="9"/>
        <v>0.81757821291919874</v>
      </c>
    </row>
    <row r="17" spans="1:20" x14ac:dyDescent="0.25">
      <c r="A17" s="48">
        <v>46187</v>
      </c>
      <c r="B17" s="56">
        <f>C17/(21*200)/1</f>
        <v>0.83785714285714286</v>
      </c>
      <c r="C17" s="50">
        <v>3519</v>
      </c>
      <c r="D17" s="49">
        <f>E17/(21*200)/1</f>
        <v>0.82380952380952377</v>
      </c>
      <c r="E17" s="50">
        <v>3460</v>
      </c>
      <c r="F17" s="51">
        <f>G17/(78*2)/1</f>
        <v>0.57051282051282048</v>
      </c>
      <c r="G17" s="59">
        <v>89</v>
      </c>
      <c r="H17" s="51">
        <f>I17/(78*2)/1</f>
        <v>0.73717948717948723</v>
      </c>
      <c r="I17" s="60">
        <v>115</v>
      </c>
      <c r="J17" s="51">
        <f t="shared" si="2"/>
        <v>0.45</v>
      </c>
      <c r="K17" s="59">
        <v>5</v>
      </c>
      <c r="L17" s="51">
        <f t="shared" si="3"/>
        <v>0.09</v>
      </c>
      <c r="M17" s="61">
        <v>1</v>
      </c>
      <c r="N17" s="53">
        <f t="shared" si="4"/>
        <v>0.82772050400916375</v>
      </c>
      <c r="O17" s="54">
        <f t="shared" si="5"/>
        <v>3613</v>
      </c>
      <c r="P17" s="50">
        <f>SUM(4200+156+9)</f>
        <v>4365</v>
      </c>
      <c r="Q17" s="53">
        <f t="shared" si="6"/>
        <v>0.81924398625429551</v>
      </c>
      <c r="R17" s="50">
        <f t="shared" si="7"/>
        <v>3576</v>
      </c>
      <c r="S17" s="50">
        <f t="shared" si="8"/>
        <v>4365</v>
      </c>
      <c r="T17" s="55">
        <f t="shared" si="9"/>
        <v>0.82348224513172963</v>
      </c>
    </row>
    <row r="18" spans="1:20" x14ac:dyDescent="0.25">
      <c r="A18" s="48">
        <v>46188</v>
      </c>
      <c r="B18" s="56">
        <f>C18/(21*200)/1</f>
        <v>0.86333333333333329</v>
      </c>
      <c r="C18" s="50">
        <v>3626</v>
      </c>
      <c r="D18" s="49">
        <f>E18/(21*200)/1</f>
        <v>0.705952380952381</v>
      </c>
      <c r="E18" s="50">
        <v>2965</v>
      </c>
      <c r="F18" s="51">
        <f>G18/(78*2)/1</f>
        <v>0.55128205128205132</v>
      </c>
      <c r="G18" s="59">
        <v>86</v>
      </c>
      <c r="H18" s="51">
        <f>I18/(78*2)/1</f>
        <v>0.92948717948717952</v>
      </c>
      <c r="I18" s="60">
        <v>145</v>
      </c>
      <c r="J18" s="51">
        <f t="shared" si="2"/>
        <v>0.27</v>
      </c>
      <c r="K18" s="59">
        <v>3</v>
      </c>
      <c r="L18" s="51">
        <f t="shared" si="3"/>
        <v>0</v>
      </c>
      <c r="M18" s="61">
        <v>0</v>
      </c>
      <c r="N18" s="53">
        <f t="shared" si="4"/>
        <v>0.8510882016036655</v>
      </c>
      <c r="O18" s="54">
        <f t="shared" si="5"/>
        <v>3715</v>
      </c>
      <c r="P18" s="50">
        <f>SUM(4200+156+9)</f>
        <v>4365</v>
      </c>
      <c r="Q18" s="53">
        <f t="shared" si="6"/>
        <v>0.71248568155784653</v>
      </c>
      <c r="R18" s="50">
        <f t="shared" si="7"/>
        <v>3110</v>
      </c>
      <c r="S18" s="50">
        <f t="shared" si="8"/>
        <v>4365</v>
      </c>
      <c r="T18" s="55">
        <f t="shared" si="9"/>
        <v>0.78178694158075601</v>
      </c>
    </row>
    <row r="19" spans="1:20" x14ac:dyDescent="0.25">
      <c r="A19" s="48">
        <v>46189</v>
      </c>
      <c r="B19" s="56">
        <f>C19/(20*200)/1</f>
        <v>0.83550000000000002</v>
      </c>
      <c r="C19" s="50">
        <v>3342</v>
      </c>
      <c r="D19" s="49">
        <f>E19/(20*200)/1</f>
        <v>0.67949999999999999</v>
      </c>
      <c r="E19" s="50">
        <v>2718</v>
      </c>
      <c r="F19" s="51">
        <f t="shared" si="0"/>
        <v>0.71367521367521369</v>
      </c>
      <c r="G19" s="59">
        <v>167</v>
      </c>
      <c r="H19" s="51">
        <f t="shared" si="1"/>
        <v>0.81623931623931623</v>
      </c>
      <c r="I19" s="60">
        <v>191</v>
      </c>
      <c r="J19" s="51">
        <f t="shared" si="2"/>
        <v>0.36</v>
      </c>
      <c r="K19" s="59">
        <v>4</v>
      </c>
      <c r="L19" s="51">
        <f t="shared" si="3"/>
        <v>0.81</v>
      </c>
      <c r="M19" s="61">
        <v>9</v>
      </c>
      <c r="N19" s="53">
        <f t="shared" si="4"/>
        <v>0.80481099656357391</v>
      </c>
      <c r="O19" s="54">
        <f t="shared" si="5"/>
        <v>3513</v>
      </c>
      <c r="P19" s="50">
        <f>SUM(4200+156+9)</f>
        <v>4365</v>
      </c>
      <c r="Q19" s="53">
        <f t="shared" si="6"/>
        <v>0.66849942726231382</v>
      </c>
      <c r="R19" s="50">
        <f t="shared" si="7"/>
        <v>2918</v>
      </c>
      <c r="S19" s="50">
        <f t="shared" si="8"/>
        <v>4365</v>
      </c>
      <c r="T19" s="55">
        <f t="shared" si="9"/>
        <v>0.73665521191294392</v>
      </c>
    </row>
    <row r="20" spans="1:20" x14ac:dyDescent="0.25">
      <c r="A20" s="48">
        <v>46190</v>
      </c>
      <c r="B20" s="56">
        <f>C20/(21*200)/1</f>
        <v>0.84785714285714286</v>
      </c>
      <c r="C20" s="50">
        <v>3561</v>
      </c>
      <c r="D20" s="49">
        <f>E20/(21*200)/1</f>
        <v>0.7466666666666667</v>
      </c>
      <c r="E20" s="50">
        <v>3136</v>
      </c>
      <c r="F20" s="51">
        <f>G20/(78*2)/1</f>
        <v>0.78846153846153844</v>
      </c>
      <c r="G20" s="59">
        <v>123</v>
      </c>
      <c r="H20" s="51">
        <f>I20/(78*2)/1</f>
        <v>0.98076923076923073</v>
      </c>
      <c r="I20" s="60">
        <v>153</v>
      </c>
      <c r="J20" s="51">
        <f t="shared" si="2"/>
        <v>0.09</v>
      </c>
      <c r="K20" s="59">
        <v>1</v>
      </c>
      <c r="L20" s="51">
        <f t="shared" si="3"/>
        <v>0.27</v>
      </c>
      <c r="M20" s="61">
        <v>3</v>
      </c>
      <c r="N20" s="53">
        <f t="shared" si="4"/>
        <v>0.84421534936998854</v>
      </c>
      <c r="O20" s="54">
        <f t="shared" si="5"/>
        <v>3685</v>
      </c>
      <c r="P20" s="50">
        <f>SUM(4200+156+9)</f>
        <v>4365</v>
      </c>
      <c r="Q20" s="53">
        <f t="shared" si="6"/>
        <v>0.75418098510882015</v>
      </c>
      <c r="R20" s="50">
        <f t="shared" si="7"/>
        <v>3292</v>
      </c>
      <c r="S20" s="50">
        <f t="shared" si="8"/>
        <v>4365</v>
      </c>
      <c r="T20" s="55">
        <f t="shared" si="9"/>
        <v>0.7991981672394044</v>
      </c>
    </row>
    <row r="21" spans="1:20" x14ac:dyDescent="0.25">
      <c r="A21" s="48">
        <v>46191</v>
      </c>
      <c r="B21" s="56">
        <f>C21/(20*200)/1</f>
        <v>0.87224999999999997</v>
      </c>
      <c r="C21" s="50">
        <v>3489</v>
      </c>
      <c r="D21" s="49">
        <f>E21/(20*200)/1</f>
        <v>0.72950000000000004</v>
      </c>
      <c r="E21" s="50">
        <v>2918</v>
      </c>
      <c r="F21" s="51">
        <f t="shared" si="0"/>
        <v>0.83760683760683763</v>
      </c>
      <c r="G21" s="59">
        <v>196</v>
      </c>
      <c r="H21" s="51">
        <f t="shared" si="1"/>
        <v>0.7350427350427351</v>
      </c>
      <c r="I21" s="60">
        <v>172</v>
      </c>
      <c r="J21" s="51">
        <f t="shared" si="2"/>
        <v>0.36</v>
      </c>
      <c r="K21" s="59">
        <v>4</v>
      </c>
      <c r="L21" s="51">
        <f t="shared" si="3"/>
        <v>0.09</v>
      </c>
      <c r="M21" s="61">
        <v>1</v>
      </c>
      <c r="N21" s="53">
        <f t="shared" si="4"/>
        <v>0.88571428571428568</v>
      </c>
      <c r="O21" s="54">
        <f t="shared" si="5"/>
        <v>3689</v>
      </c>
      <c r="P21" s="50">
        <f>SUM(4000+156+9)</f>
        <v>4165</v>
      </c>
      <c r="Q21" s="53">
        <f t="shared" si="6"/>
        <v>0.74213685474189672</v>
      </c>
      <c r="R21" s="50">
        <f t="shared" si="7"/>
        <v>3091</v>
      </c>
      <c r="S21" s="50">
        <f t="shared" si="8"/>
        <v>4165</v>
      </c>
      <c r="T21" s="55">
        <f t="shared" si="9"/>
        <v>0.8139255702280912</v>
      </c>
    </row>
    <row r="22" spans="1:20" x14ac:dyDescent="0.25">
      <c r="A22" s="48">
        <v>46192</v>
      </c>
      <c r="B22" s="56">
        <f>C22/(22*200)/1</f>
        <v>0.83886363636363637</v>
      </c>
      <c r="C22" s="50">
        <v>3691</v>
      </c>
      <c r="D22" s="49">
        <f>E22/(21*200)/1</f>
        <v>0.75119047619047619</v>
      </c>
      <c r="E22" s="50">
        <v>3155</v>
      </c>
      <c r="F22" s="51">
        <f>G22/(78*2)/1</f>
        <v>0.73717948717948723</v>
      </c>
      <c r="G22" s="59">
        <v>115</v>
      </c>
      <c r="H22" s="51">
        <f>I22/(78*2)/1</f>
        <v>0.48717948717948717</v>
      </c>
      <c r="I22" s="60">
        <v>76</v>
      </c>
      <c r="J22" s="51">
        <f t="shared" si="2"/>
        <v>0.09</v>
      </c>
      <c r="K22" s="59">
        <v>1</v>
      </c>
      <c r="L22" s="51">
        <f t="shared" si="3"/>
        <v>0.54</v>
      </c>
      <c r="M22" s="61">
        <v>6</v>
      </c>
      <c r="N22" s="53">
        <f t="shared" si="4"/>
        <v>0.87216494845360826</v>
      </c>
      <c r="O22" s="54">
        <f t="shared" si="5"/>
        <v>3807</v>
      </c>
      <c r="P22" s="50">
        <f>SUM(4200+156+9)</f>
        <v>4365</v>
      </c>
      <c r="Q22" s="53">
        <f t="shared" si="6"/>
        <v>0.74158075601374573</v>
      </c>
      <c r="R22" s="50">
        <f t="shared" si="7"/>
        <v>3237</v>
      </c>
      <c r="S22" s="50">
        <f t="shared" si="8"/>
        <v>4365</v>
      </c>
      <c r="T22" s="55">
        <f t="shared" si="9"/>
        <v>0.806872852233677</v>
      </c>
    </row>
    <row r="23" spans="1:20" x14ac:dyDescent="0.25">
      <c r="A23" s="48">
        <v>46193</v>
      </c>
      <c r="B23" s="56">
        <f>C23/(21*200)/1</f>
        <v>0.8945238095238095</v>
      </c>
      <c r="C23" s="50">
        <v>3757</v>
      </c>
      <c r="D23" s="49">
        <f>E23/(21*200)/1</f>
        <v>0.79690476190476189</v>
      </c>
      <c r="E23" s="50">
        <v>3347</v>
      </c>
      <c r="F23" s="51">
        <f t="shared" si="0"/>
        <v>0.82905982905982911</v>
      </c>
      <c r="G23" s="59">
        <v>194</v>
      </c>
      <c r="H23" s="51">
        <f t="shared" si="1"/>
        <v>0.73931623931623935</v>
      </c>
      <c r="I23" s="60">
        <v>173</v>
      </c>
      <c r="J23" s="51">
        <f t="shared" si="2"/>
        <v>0.18</v>
      </c>
      <c r="K23" s="59">
        <v>2</v>
      </c>
      <c r="L23" s="51">
        <f t="shared" si="3"/>
        <v>0.27</v>
      </c>
      <c r="M23" s="61">
        <v>3</v>
      </c>
      <c r="N23" s="53">
        <f t="shared" si="4"/>
        <v>0.90561282932416953</v>
      </c>
      <c r="O23" s="54">
        <f t="shared" si="5"/>
        <v>3953</v>
      </c>
      <c r="P23" s="50">
        <f>SUM(4200+156+9)</f>
        <v>4365</v>
      </c>
      <c r="Q23" s="53">
        <f t="shared" si="6"/>
        <v>0.80710194730813289</v>
      </c>
      <c r="R23" s="50">
        <f t="shared" si="7"/>
        <v>3523</v>
      </c>
      <c r="S23" s="50">
        <f t="shared" si="8"/>
        <v>4365</v>
      </c>
      <c r="T23" s="55">
        <f t="shared" si="9"/>
        <v>0.85635738831615116</v>
      </c>
    </row>
    <row r="24" spans="1:20" x14ac:dyDescent="0.25">
      <c r="A24" s="48">
        <v>46194</v>
      </c>
      <c r="B24" s="56">
        <f>C24/(21*200)/1</f>
        <v>0.88190476190476186</v>
      </c>
      <c r="C24" s="52">
        <v>3704</v>
      </c>
      <c r="D24" s="49">
        <f>E24/(20*200)/1</f>
        <v>0.84675</v>
      </c>
      <c r="E24" s="62">
        <v>3387</v>
      </c>
      <c r="F24" s="51">
        <f>G24/(78*2)/1</f>
        <v>0.67948717948717952</v>
      </c>
      <c r="G24" s="59">
        <v>106</v>
      </c>
      <c r="H24" s="51">
        <f>I24/(78*2)/1</f>
        <v>0.77564102564102566</v>
      </c>
      <c r="I24" s="60">
        <v>121</v>
      </c>
      <c r="J24" s="51">
        <f t="shared" si="2"/>
        <v>0.81</v>
      </c>
      <c r="K24" s="59">
        <v>9</v>
      </c>
      <c r="L24" s="51">
        <f t="shared" si="3"/>
        <v>0.63</v>
      </c>
      <c r="M24" s="61">
        <v>7</v>
      </c>
      <c r="N24" s="53">
        <f t="shared" si="4"/>
        <v>0.87491408934707904</v>
      </c>
      <c r="O24" s="54">
        <f t="shared" si="5"/>
        <v>3819</v>
      </c>
      <c r="P24" s="50">
        <f>SUM(4200+156+9)</f>
        <v>4365</v>
      </c>
      <c r="Q24" s="53">
        <f t="shared" si="6"/>
        <v>0.80526918671248571</v>
      </c>
      <c r="R24" s="50">
        <f t="shared" si="7"/>
        <v>3515</v>
      </c>
      <c r="S24" s="50">
        <f t="shared" si="8"/>
        <v>4365</v>
      </c>
      <c r="T24" s="55">
        <f t="shared" si="9"/>
        <v>0.84009163802978237</v>
      </c>
    </row>
    <row r="25" spans="1:20" x14ac:dyDescent="0.25">
      <c r="A25" s="48">
        <v>46195</v>
      </c>
      <c r="B25" s="56">
        <f>C25/(22*200)/1</f>
        <v>0.84977272727272724</v>
      </c>
      <c r="C25" s="52">
        <v>3739</v>
      </c>
      <c r="D25" s="49">
        <f>E25/(22*200)/1</f>
        <v>0.73522727272727273</v>
      </c>
      <c r="E25" s="52">
        <v>3235</v>
      </c>
      <c r="F25" s="51">
        <f>G25/(78*2)/1</f>
        <v>0.82051282051282048</v>
      </c>
      <c r="G25" s="59">
        <v>128</v>
      </c>
      <c r="H25" s="51">
        <f t="shared" si="1"/>
        <v>0.62820512820512819</v>
      </c>
      <c r="I25" s="60">
        <v>147</v>
      </c>
      <c r="J25" s="51">
        <f t="shared" si="2"/>
        <v>0.72</v>
      </c>
      <c r="K25" s="59">
        <v>8</v>
      </c>
      <c r="L25" s="51">
        <f t="shared" si="3"/>
        <v>0.54</v>
      </c>
      <c r="M25" s="61">
        <v>6</v>
      </c>
      <c r="N25" s="53">
        <f t="shared" si="4"/>
        <v>0.88774341351660935</v>
      </c>
      <c r="O25" s="54">
        <f t="shared" si="5"/>
        <v>3875</v>
      </c>
      <c r="P25" s="50">
        <f>SUM(4200+156+9)</f>
        <v>4365</v>
      </c>
      <c r="Q25" s="53">
        <f t="shared" si="6"/>
        <v>0.7761741122565865</v>
      </c>
      <c r="R25" s="50">
        <f t="shared" si="7"/>
        <v>3388</v>
      </c>
      <c r="S25" s="50">
        <f t="shared" si="8"/>
        <v>4365</v>
      </c>
      <c r="T25" s="55">
        <f t="shared" si="9"/>
        <v>0.83195876288659798</v>
      </c>
    </row>
    <row r="26" spans="1:20" x14ac:dyDescent="0.25">
      <c r="A26" s="48">
        <v>46196</v>
      </c>
      <c r="B26" s="56">
        <f>C26/(20*200)/1</f>
        <v>0.87824999999999998</v>
      </c>
      <c r="C26" s="52">
        <v>3513</v>
      </c>
      <c r="D26" s="49">
        <f>E26/(20*200)/1</f>
        <v>0.79125000000000001</v>
      </c>
      <c r="E26" s="52">
        <v>3165</v>
      </c>
      <c r="F26" s="51">
        <f t="shared" si="0"/>
        <v>0.95299145299145294</v>
      </c>
      <c r="G26" s="59">
        <v>223</v>
      </c>
      <c r="H26" s="51">
        <f t="shared" si="1"/>
        <v>0.82051282051282048</v>
      </c>
      <c r="I26" s="60">
        <v>192</v>
      </c>
      <c r="J26" s="51">
        <f t="shared" si="2"/>
        <v>0.18</v>
      </c>
      <c r="K26" s="59">
        <v>2</v>
      </c>
      <c r="L26" s="51">
        <f t="shared" si="3"/>
        <v>0.09</v>
      </c>
      <c r="M26" s="61">
        <v>1</v>
      </c>
      <c r="N26" s="53">
        <f t="shared" si="4"/>
        <v>0.89747899159663869</v>
      </c>
      <c r="O26" s="54">
        <f t="shared" si="5"/>
        <v>3738</v>
      </c>
      <c r="P26" s="50">
        <f>SUM(4000+156+9)</f>
        <v>4165</v>
      </c>
      <c r="Q26" s="53">
        <f t="shared" si="6"/>
        <v>0.80624249699879957</v>
      </c>
      <c r="R26" s="50">
        <f t="shared" si="7"/>
        <v>3358</v>
      </c>
      <c r="S26" s="50">
        <f t="shared" si="8"/>
        <v>4165</v>
      </c>
      <c r="T26" s="55">
        <f t="shared" si="9"/>
        <v>0.85186074429771907</v>
      </c>
    </row>
    <row r="27" spans="1:20" x14ac:dyDescent="0.25">
      <c r="A27" s="48">
        <v>46197</v>
      </c>
      <c r="B27" s="56">
        <f>C27/(21*200)/1</f>
        <v>0.90214285714285714</v>
      </c>
      <c r="C27" s="52">
        <v>3789</v>
      </c>
      <c r="D27" s="49">
        <f>E27/(21*200)/1</f>
        <v>0.88023809523809526</v>
      </c>
      <c r="E27" s="52">
        <v>3697</v>
      </c>
      <c r="F27" s="51">
        <f>G27/(78*2)/1</f>
        <v>0.84615384615384615</v>
      </c>
      <c r="G27" s="59">
        <v>132</v>
      </c>
      <c r="H27" s="51">
        <f>I27/(78*2)/1</f>
        <v>0.88461538461538458</v>
      </c>
      <c r="I27" s="60">
        <v>138</v>
      </c>
      <c r="J27" s="51">
        <f t="shared" si="2"/>
        <v>0.54</v>
      </c>
      <c r="K27" s="59">
        <v>6</v>
      </c>
      <c r="L27" s="51">
        <f t="shared" si="3"/>
        <v>0.45</v>
      </c>
      <c r="M27" s="61">
        <v>5</v>
      </c>
      <c r="N27" s="53">
        <f t="shared" si="4"/>
        <v>0.89965635738831617</v>
      </c>
      <c r="O27" s="54">
        <f t="shared" si="5"/>
        <v>3927</v>
      </c>
      <c r="P27" s="50">
        <f>SUM(4200+156+9)</f>
        <v>4365</v>
      </c>
      <c r="Q27" s="53">
        <f t="shared" si="6"/>
        <v>0.8797250859106529</v>
      </c>
      <c r="R27" s="50">
        <f t="shared" si="7"/>
        <v>3840</v>
      </c>
      <c r="S27" s="50">
        <f t="shared" si="8"/>
        <v>4365</v>
      </c>
      <c r="T27" s="55">
        <f t="shared" si="9"/>
        <v>0.88969072164948448</v>
      </c>
    </row>
    <row r="28" spans="1:20" x14ac:dyDescent="0.25">
      <c r="A28" s="48">
        <v>46198</v>
      </c>
      <c r="B28" s="56">
        <f>C28/(20*200)/1</f>
        <v>0.89449999999999996</v>
      </c>
      <c r="C28" s="52">
        <v>3578</v>
      </c>
      <c r="D28" s="49">
        <f>E28/(20*200)/1</f>
        <v>0.85399999999999998</v>
      </c>
      <c r="E28" s="52">
        <v>3416</v>
      </c>
      <c r="F28" s="51">
        <f>G28/(78*3)/1</f>
        <v>0.86752136752136755</v>
      </c>
      <c r="G28" s="59">
        <v>203</v>
      </c>
      <c r="H28" s="51">
        <f>I28/(78*3)/1</f>
        <v>0.84188034188034189</v>
      </c>
      <c r="I28" s="60">
        <v>197</v>
      </c>
      <c r="J28" s="51">
        <f t="shared" si="2"/>
        <v>0</v>
      </c>
      <c r="K28" s="59">
        <v>0</v>
      </c>
      <c r="L28" s="51">
        <f t="shared" si="3"/>
        <v>0</v>
      </c>
      <c r="M28" s="61">
        <v>0</v>
      </c>
      <c r="N28" s="53">
        <f t="shared" si="4"/>
        <v>0.90976900866217514</v>
      </c>
      <c r="O28" s="54">
        <f t="shared" si="5"/>
        <v>3781</v>
      </c>
      <c r="P28" s="50">
        <f>SUM(4000+156+0)</f>
        <v>4156</v>
      </c>
      <c r="Q28" s="53">
        <f t="shared" si="6"/>
        <v>0.86934552454282965</v>
      </c>
      <c r="R28" s="50">
        <f t="shared" si="7"/>
        <v>3613</v>
      </c>
      <c r="S28" s="50">
        <f t="shared" si="8"/>
        <v>4156</v>
      </c>
      <c r="T28" s="55">
        <f t="shared" si="9"/>
        <v>0.88955726660250245</v>
      </c>
    </row>
    <row r="29" spans="1:20" x14ac:dyDescent="0.25">
      <c r="A29" s="48">
        <v>46199</v>
      </c>
      <c r="B29" s="56">
        <f>C29/(22*200)/1</f>
        <v>0.8877272727272727</v>
      </c>
      <c r="C29" s="52">
        <v>3906</v>
      </c>
      <c r="D29" s="49">
        <f>E29/(22*200)/1</f>
        <v>0.85181818181818181</v>
      </c>
      <c r="E29" s="52">
        <v>3748</v>
      </c>
      <c r="F29" s="51">
        <f>G29/(78*2)/1</f>
        <v>0.97435897435897434</v>
      </c>
      <c r="G29" s="59">
        <v>152</v>
      </c>
      <c r="H29" s="51">
        <f>I29/(78*2)/1</f>
        <v>0.80128205128205132</v>
      </c>
      <c r="I29" s="60">
        <v>125</v>
      </c>
      <c r="J29" s="51">
        <f t="shared" si="2"/>
        <v>0</v>
      </c>
      <c r="K29" s="59">
        <v>0</v>
      </c>
      <c r="L29" s="51">
        <f t="shared" si="3"/>
        <v>0</v>
      </c>
      <c r="M29" s="61">
        <v>0</v>
      </c>
      <c r="N29" s="53">
        <f t="shared" si="4"/>
        <v>0.93158861340679522</v>
      </c>
      <c r="O29" s="54">
        <f t="shared" si="5"/>
        <v>4058</v>
      </c>
      <c r="P29" s="50">
        <f>SUM(4200+156+0)</f>
        <v>4356</v>
      </c>
      <c r="Q29" s="53">
        <f t="shared" si="6"/>
        <v>0.8891184573002755</v>
      </c>
      <c r="R29" s="50">
        <f t="shared" si="7"/>
        <v>3873</v>
      </c>
      <c r="S29" s="50">
        <f>P29</f>
        <v>4356</v>
      </c>
      <c r="T29" s="55">
        <f t="shared" si="9"/>
        <v>0.91035353535353536</v>
      </c>
    </row>
    <row r="30" spans="1:20" x14ac:dyDescent="0.25">
      <c r="A30" s="48">
        <v>46200</v>
      </c>
      <c r="B30" s="56">
        <f>C30/(21*200)/1</f>
        <v>0.81928571428571428</v>
      </c>
      <c r="C30" s="52">
        <v>3441</v>
      </c>
      <c r="D30" s="56">
        <f>E30/(21*200)/1</f>
        <v>0.87142857142857144</v>
      </c>
      <c r="E30" s="52">
        <v>3660</v>
      </c>
      <c r="F30" s="51">
        <f>G30/(78*3)/1</f>
        <v>0.88034188034188032</v>
      </c>
      <c r="G30" s="59">
        <v>206</v>
      </c>
      <c r="H30" s="51">
        <f>I30/(78*3)/1</f>
        <v>0.7649572649572649</v>
      </c>
      <c r="I30" s="60">
        <v>179</v>
      </c>
      <c r="J30" s="51">
        <f t="shared" si="2"/>
        <v>0.45</v>
      </c>
      <c r="K30" s="59">
        <v>5</v>
      </c>
      <c r="L30" s="51">
        <f t="shared" si="3"/>
        <v>0.45</v>
      </c>
      <c r="M30" s="61">
        <v>5</v>
      </c>
      <c r="N30" s="53">
        <f t="shared" si="4"/>
        <v>0.8366552119129439</v>
      </c>
      <c r="O30" s="54">
        <f t="shared" si="5"/>
        <v>3652</v>
      </c>
      <c r="P30" s="50">
        <f>SUM(4200+156+9)</f>
        <v>4365</v>
      </c>
      <c r="Q30" s="53">
        <f t="shared" si="6"/>
        <v>0.8806414662084765</v>
      </c>
      <c r="R30" s="50">
        <f t="shared" si="7"/>
        <v>3844</v>
      </c>
      <c r="S30" s="50">
        <f>P30</f>
        <v>4365</v>
      </c>
      <c r="T30" s="55">
        <f t="shared" si="9"/>
        <v>0.85864833906071014</v>
      </c>
    </row>
    <row r="31" spans="1:20" x14ac:dyDescent="0.25">
      <c r="A31" s="48">
        <v>46201</v>
      </c>
      <c r="B31" s="63">
        <f>C31/(21*200)/1</f>
        <v>0.84452380952380957</v>
      </c>
      <c r="C31" s="64">
        <v>3547</v>
      </c>
      <c r="D31" s="63">
        <f>E31/(21*200)/1</f>
        <v>0.92190476190476189</v>
      </c>
      <c r="E31" s="65">
        <v>3872</v>
      </c>
      <c r="F31" s="66">
        <f>G31/(78*2)/1</f>
        <v>0.74358974358974361</v>
      </c>
      <c r="G31" s="64">
        <v>116</v>
      </c>
      <c r="H31" s="66">
        <f>I31/(78*2)/1</f>
        <v>0.74358974358974361</v>
      </c>
      <c r="I31" s="65">
        <v>116</v>
      </c>
      <c r="J31" s="51">
        <f t="shared" si="2"/>
        <v>0.18</v>
      </c>
      <c r="K31" s="64">
        <v>2</v>
      </c>
      <c r="L31" s="66">
        <f t="shared" si="3"/>
        <v>0.45</v>
      </c>
      <c r="M31" s="67">
        <v>5</v>
      </c>
      <c r="N31" s="68">
        <f t="shared" si="4"/>
        <v>0.83963344788087058</v>
      </c>
      <c r="O31" s="69">
        <f>C31+G31+K31</f>
        <v>3665</v>
      </c>
      <c r="P31" s="50">
        <f>SUM(4200+156+9)</f>
        <v>4365</v>
      </c>
      <c r="Q31" s="68">
        <f t="shared" si="6"/>
        <v>0.91477663230240547</v>
      </c>
      <c r="R31" s="70">
        <f t="shared" si="7"/>
        <v>3993</v>
      </c>
      <c r="S31" s="70">
        <f>P31</f>
        <v>4365</v>
      </c>
      <c r="T31" s="71">
        <f t="shared" si="9"/>
        <v>0.87720504009163802</v>
      </c>
    </row>
    <row r="32" spans="1:20" x14ac:dyDescent="0.25">
      <c r="A32" s="48">
        <v>46202</v>
      </c>
      <c r="B32" s="49">
        <f>C32/(22*200)/1</f>
        <v>0.8252272727272727</v>
      </c>
      <c r="C32" s="52">
        <v>3631</v>
      </c>
      <c r="D32" s="49">
        <f>E32/(22*200)/1</f>
        <v>0.85181818181818181</v>
      </c>
      <c r="E32" s="52">
        <v>3748</v>
      </c>
      <c r="F32" s="51">
        <f>G32/(78*3)/1</f>
        <v>0.50854700854700852</v>
      </c>
      <c r="G32" s="52">
        <v>119</v>
      </c>
      <c r="H32" s="51">
        <f>I32/(78*3)/1</f>
        <v>0.62820512820512819</v>
      </c>
      <c r="I32" s="52">
        <v>147</v>
      </c>
      <c r="J32" s="51">
        <f t="shared" si="2"/>
        <v>0.54</v>
      </c>
      <c r="K32" s="52">
        <v>6</v>
      </c>
      <c r="L32" s="51">
        <f t="shared" si="3"/>
        <v>0.27</v>
      </c>
      <c r="M32" s="52">
        <v>3</v>
      </c>
      <c r="N32" s="53">
        <f t="shared" si="4"/>
        <v>0.86048109965635744</v>
      </c>
      <c r="O32" s="54">
        <f>C32+G32+K32</f>
        <v>3756</v>
      </c>
      <c r="P32" s="50">
        <f>SUM(4200+156+9)</f>
        <v>4365</v>
      </c>
      <c r="Q32" s="53">
        <f t="shared" si="6"/>
        <v>0.89301260022909512</v>
      </c>
      <c r="R32" s="50">
        <f t="shared" si="7"/>
        <v>3898</v>
      </c>
      <c r="S32" s="50">
        <f t="shared" ref="S32:S33" si="22">P32</f>
        <v>4365</v>
      </c>
      <c r="T32" s="55">
        <f t="shared" si="9"/>
        <v>0.87674684994272623</v>
      </c>
    </row>
    <row r="33" spans="1:20" x14ac:dyDescent="0.25">
      <c r="A33" s="48">
        <v>46203</v>
      </c>
      <c r="B33" s="49">
        <f>C33/(20*200)/1</f>
        <v>0.82899999999999996</v>
      </c>
      <c r="C33" s="52">
        <v>3316</v>
      </c>
      <c r="D33" s="49">
        <f>E33/(20*200)/1</f>
        <v>0.80625000000000002</v>
      </c>
      <c r="E33" s="52">
        <v>3225</v>
      </c>
      <c r="F33" s="51">
        <f>G33/(78*3)/1</f>
        <v>0.87179487179487181</v>
      </c>
      <c r="G33" s="52">
        <v>204</v>
      </c>
      <c r="H33" s="51">
        <f>I33/(78*3)/1</f>
        <v>0.78632478632478631</v>
      </c>
      <c r="I33" s="52">
        <v>184</v>
      </c>
      <c r="J33" s="51">
        <f t="shared" si="2"/>
        <v>0</v>
      </c>
      <c r="K33" s="52">
        <v>0</v>
      </c>
      <c r="L33" s="51">
        <f t="shared" si="3"/>
        <v>0.54</v>
      </c>
      <c r="M33" s="52">
        <v>6</v>
      </c>
      <c r="N33" s="53">
        <f t="shared" si="4"/>
        <v>0.8064146620847652</v>
      </c>
      <c r="O33" s="54">
        <f>C33+G33+K33</f>
        <v>3520</v>
      </c>
      <c r="P33" s="50">
        <f>SUM(4200+156+9)</f>
        <v>4365</v>
      </c>
      <c r="Q33" s="53">
        <f t="shared" si="6"/>
        <v>0.78235967926689576</v>
      </c>
      <c r="R33" s="50">
        <f t="shared" si="7"/>
        <v>3415</v>
      </c>
      <c r="S33" s="50">
        <f t="shared" si="22"/>
        <v>4365</v>
      </c>
      <c r="T33" s="55">
        <f t="shared" si="9"/>
        <v>0.79438717067583042</v>
      </c>
    </row>
    <row r="34" spans="1:20" x14ac:dyDescent="0.25">
      <c r="A34" s="22" t="s">
        <v>14</v>
      </c>
      <c r="B34" s="23"/>
      <c r="C34" s="24">
        <f>SUM(C4:C33)</f>
        <v>107341</v>
      </c>
      <c r="D34" s="23"/>
      <c r="E34" s="24">
        <f>SUM(E4:E33)</f>
        <v>103430</v>
      </c>
      <c r="F34" s="24" t="s">
        <v>15</v>
      </c>
      <c r="G34" s="24">
        <f>SUM(G4:G33)</f>
        <v>4934</v>
      </c>
      <c r="H34" s="24" t="s">
        <v>15</v>
      </c>
      <c r="I34" s="24">
        <f>SUM(I4:I33)</f>
        <v>4953</v>
      </c>
      <c r="J34" s="25"/>
      <c r="K34" s="24">
        <f>SUM(K4:K33)</f>
        <v>124</v>
      </c>
      <c r="L34" s="24" t="s">
        <v>15</v>
      </c>
      <c r="M34" s="24">
        <f>SUM(M4:M33)</f>
        <v>104</v>
      </c>
      <c r="N34" s="26">
        <f t="shared" si="4"/>
        <v>0.85185606232852829</v>
      </c>
      <c r="O34" s="27">
        <f t="shared" si="5"/>
        <v>112399</v>
      </c>
      <c r="P34" s="28">
        <f>SUM(P4:P33)</f>
        <v>131946</v>
      </c>
      <c r="Q34" s="26">
        <f t="shared" si="6"/>
        <v>0.82220756976338805</v>
      </c>
      <c r="R34" s="28">
        <f>SUM(R4:R33)</f>
        <v>108487</v>
      </c>
      <c r="S34" s="28">
        <f>SUM(S4:S33)</f>
        <v>131946</v>
      </c>
      <c r="T34" s="29">
        <f t="shared" si="9"/>
        <v>0.83703181604595822</v>
      </c>
    </row>
  </sheetData>
  <mergeCells count="5">
    <mergeCell ref="A2:A3"/>
    <mergeCell ref="C2:E2"/>
    <mergeCell ref="G2:I2"/>
    <mergeCell ref="K2:M2"/>
    <mergeCell ref="N2:T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C33827E19AB4D94E1557100C1415C" ma:contentTypeVersion="3" ma:contentTypeDescription="Create a new document." ma:contentTypeScope="" ma:versionID="b181c330cd80ecbcda578dbae88d0b64">
  <xsd:schema xmlns:xsd="http://www.w3.org/2001/XMLSchema" xmlns:xs="http://www.w3.org/2001/XMLSchema" xmlns:p="http://schemas.microsoft.com/office/2006/metadata/properties" xmlns:ns2="60321b3b-ebe0-4127-8cbc-2828d6011f86" targetNamespace="http://schemas.microsoft.com/office/2006/metadata/properties" ma:root="true" ma:fieldsID="79c6460c87f36ebfbcd8f17df9e85a37" ns2:_="">
    <xsd:import namespace="60321b3b-ebe0-4127-8cbc-2828d6011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21b3b-ebe0-4127-8cbc-2828d6011f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5066F0-ABCB-41FB-B51D-B46BF54FF879}">
  <ds:schemaRefs>
    <ds:schemaRef ds:uri="http://purl.org/dc/elements/1.1/"/>
    <ds:schemaRef ds:uri="http://schemas.microsoft.com/office/2006/metadata/properties"/>
    <ds:schemaRef ds:uri="60321b3b-ebe0-4127-8cbc-2828d6011f8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C999A6-4611-4A5C-B1BB-DAE582481C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321b3b-ebe0-4127-8cbc-2828d6011f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ABC389-7ED1-4091-9896-77AD051DDB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Factor Sheet June Airl</vt:lpstr>
      <vt:lpstr>Load Factor Sheet June Acft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Prashant Kumar Verma</dc:creator>
  <cp:keywords/>
  <dc:description/>
  <cp:lastModifiedBy>Ashok  Krishnamoorthy</cp:lastModifiedBy>
  <cp:revision/>
  <dcterms:created xsi:type="dcterms:W3CDTF">2026-01-30T05:19:22Z</dcterms:created>
  <dcterms:modified xsi:type="dcterms:W3CDTF">2026-07-15T10:28:47Z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0x010100E5EC33827E19AB4D94E1557100C1415C</vt:lpwstr>
  </property>
</Properties>
</file>