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vrajyotiBatabyal\Downloads\"/>
    </mc:Choice>
  </mc:AlternateContent>
  <xr:revisionPtr revIDLastSave="0" documentId="13_ncr:1_{CDD5A805-23E0-462D-A35C-7913A766E2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ily Schedule" sheetId="1" r:id="rId1"/>
    <sheet name="Source Schedule" sheetId="2" r:id="rId2"/>
    <sheet name="Executive Summary" sheetId="3" state="hidden" r:id="rId3"/>
    <sheet name="Route Summary" sheetId="4" state="hidden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0" i="1" l="1"/>
  <c r="AA31" i="1"/>
  <c r="AA32" i="1"/>
  <c r="AA33" i="1"/>
  <c r="AA34" i="1"/>
  <c r="AA35" i="1"/>
  <c r="AA36" i="1"/>
  <c r="AA29" i="1"/>
  <c r="Y30" i="1"/>
  <c r="Y29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S123" i="1"/>
  <c r="S153" i="1"/>
  <c r="S198" i="1"/>
  <c r="S218" i="1"/>
  <c r="S226" i="1"/>
  <c r="S227" i="1"/>
  <c r="S315" i="1"/>
  <c r="S339" i="1"/>
  <c r="S355" i="1"/>
  <c r="S474" i="1"/>
  <c r="S489" i="1"/>
  <c r="S566" i="1"/>
  <c r="S651" i="1"/>
  <c r="S658" i="1"/>
  <c r="S692" i="1"/>
  <c r="S719" i="1"/>
  <c r="S733" i="1"/>
  <c r="S850" i="1"/>
  <c r="S874" i="1"/>
  <c r="S875" i="1"/>
  <c r="S973" i="1"/>
  <c r="S974" i="1"/>
  <c r="S988" i="1"/>
  <c r="S1008" i="1"/>
  <c r="S1009" i="1"/>
  <c r="S1023" i="1"/>
  <c r="S1239" i="1"/>
  <c r="S1325" i="1"/>
  <c r="S1326" i="1"/>
  <c r="S1327" i="1"/>
  <c r="S1330" i="1"/>
  <c r="S1345" i="1"/>
  <c r="S1368" i="1"/>
  <c r="S1462" i="1"/>
  <c r="S1467" i="1"/>
  <c r="S1469" i="1"/>
  <c r="S1514" i="1"/>
  <c r="S1530" i="1"/>
  <c r="S1546" i="1"/>
  <c r="S1644" i="1"/>
  <c r="S1659" i="1"/>
  <c r="S1783" i="1"/>
  <c r="S1799" i="1"/>
  <c r="S1801" i="1"/>
  <c r="S1802" i="1"/>
  <c r="S1834" i="1"/>
  <c r="S1844" i="1"/>
  <c r="S1967" i="1"/>
  <c r="S1976" i="1"/>
  <c r="S1980" i="1"/>
  <c r="S2082" i="1"/>
  <c r="S2083" i="1"/>
  <c r="S2091" i="1"/>
  <c r="S2103" i="1"/>
  <c r="S2172" i="1"/>
  <c r="S2178" i="1"/>
  <c r="S2203" i="1"/>
  <c r="S2344" i="1"/>
  <c r="S2345" i="1"/>
  <c r="S2347" i="1"/>
  <c r="S2348" i="1"/>
  <c r="S2364" i="1"/>
  <c r="S2449" i="1"/>
  <c r="S2462" i="1"/>
  <c r="S2472" i="1"/>
  <c r="S2482" i="1"/>
  <c r="S2488" i="1"/>
  <c r="S2493" i="1"/>
  <c r="S2569" i="1"/>
  <c r="S2606" i="1"/>
  <c r="S2622" i="1"/>
  <c r="S2717" i="1"/>
  <c r="S2725" i="1"/>
  <c r="S2730" i="1"/>
  <c r="S2744" i="1"/>
  <c r="S2758" i="1"/>
  <c r="S2759" i="1"/>
  <c r="S2896" i="1"/>
  <c r="S2941" i="1"/>
  <c r="S2954" i="1"/>
  <c r="S2957" i="1"/>
  <c r="S2980" i="1"/>
  <c r="S2994" i="1"/>
  <c r="S3000" i="1"/>
  <c r="S3001" i="1"/>
  <c r="S3059" i="1"/>
  <c r="S3119" i="1"/>
  <c r="S3125" i="1"/>
  <c r="S3126" i="1"/>
  <c r="S3231" i="1"/>
  <c r="S3238" i="1"/>
  <c r="S3246" i="1"/>
  <c r="S3349" i="1"/>
  <c r="S3369" i="1"/>
  <c r="S3372" i="1"/>
  <c r="S3373" i="1"/>
  <c r="S3382" i="1"/>
  <c r="S3384" i="1"/>
  <c r="S3388" i="1"/>
  <c r="S3469" i="1"/>
  <c r="S3470" i="1"/>
  <c r="S3592" i="1"/>
  <c r="S3594" i="1"/>
  <c r="S3631" i="1"/>
  <c r="S3632" i="1"/>
  <c r="S3676" i="1"/>
  <c r="S3705" i="1"/>
  <c r="S3741" i="1"/>
  <c r="S3742" i="1"/>
  <c r="S3750" i="1"/>
  <c r="S3829" i="1"/>
  <c r="S3831" i="1"/>
  <c r="S3832" i="1"/>
  <c r="S3857" i="1"/>
  <c r="S3877" i="1"/>
  <c r="S3914" i="1"/>
  <c r="S3969" i="1"/>
  <c r="S3971" i="1"/>
  <c r="S3982" i="1"/>
  <c r="S4017" i="1"/>
  <c r="S4020" i="1"/>
  <c r="S4076" i="1"/>
  <c r="S4132" i="1"/>
  <c r="S4133" i="1"/>
  <c r="S4159" i="1"/>
  <c r="S4166" i="1"/>
  <c r="S4167" i="1"/>
  <c r="S4182" i="1"/>
  <c r="S4183" i="1"/>
  <c r="S4185" i="1"/>
  <c r="S4236" i="1"/>
  <c r="S4333" i="1"/>
  <c r="S4359" i="1"/>
  <c r="S4368" i="1"/>
  <c r="S4373" i="1"/>
  <c r="S4376" i="1"/>
  <c r="S4388" i="1"/>
  <c r="S4462" i="1"/>
  <c r="S4464" i="1"/>
  <c r="S4465" i="1"/>
  <c r="S4466" i="1"/>
  <c r="S4526" i="1"/>
  <c r="S4527" i="1"/>
  <c r="S4557" i="1"/>
  <c r="S4565" i="1"/>
  <c r="S4566" i="1"/>
  <c r="S4661" i="1"/>
  <c r="S4666" i="1"/>
  <c r="S4667" i="1"/>
  <c r="S4707" i="1"/>
  <c r="S4723" i="1"/>
  <c r="S4724" i="1"/>
  <c r="S4823" i="1"/>
  <c r="S4827" i="1"/>
  <c r="S4828" i="1"/>
  <c r="S4831" i="1"/>
  <c r="S4836" i="1"/>
  <c r="S4850" i="1"/>
  <c r="S4851" i="1"/>
  <c r="S4895" i="1"/>
  <c r="S4904" i="1"/>
  <c r="S4951" i="1"/>
  <c r="S5015" i="1"/>
  <c r="S5019" i="1"/>
  <c r="S5020" i="1"/>
  <c r="S5024" i="1"/>
  <c r="S5028" i="1"/>
  <c r="S5105" i="1"/>
  <c r="S5112" i="1"/>
  <c r="S5117" i="1"/>
  <c r="S5118" i="1"/>
  <c r="S5123" i="1"/>
  <c r="S5171" i="1"/>
  <c r="S5178" i="1"/>
  <c r="S5183" i="1"/>
  <c r="S5212" i="1"/>
  <c r="S5301" i="1"/>
  <c r="S5302" i="1"/>
  <c r="S5303" i="1"/>
  <c r="S5323" i="1"/>
  <c r="S5349" i="1"/>
  <c r="S5366" i="1"/>
  <c r="S5376" i="1"/>
  <c r="S5440" i="1"/>
  <c r="S5450" i="1"/>
  <c r="S5462" i="1"/>
  <c r="S5466" i="1"/>
  <c r="S5470" i="1"/>
  <c r="S5477" i="1"/>
  <c r="S5516" i="1"/>
  <c r="S5530" i="1"/>
  <c r="S5544" i="1"/>
  <c r="S5566" i="1"/>
  <c r="S5571" i="1"/>
  <c r="S5598" i="1"/>
  <c r="S5630" i="1"/>
  <c r="S5637" i="1"/>
  <c r="S5701" i="1"/>
  <c r="S5702" i="1"/>
  <c r="S5716" i="1"/>
  <c r="S5717" i="1"/>
  <c r="S5726" i="1"/>
  <c r="S5727" i="1"/>
  <c r="S5773" i="1"/>
  <c r="S5774" i="1"/>
  <c r="S5778" i="1"/>
  <c r="R2" i="1"/>
  <c r="R21" i="1"/>
  <c r="R22" i="1"/>
  <c r="R27" i="1"/>
  <c r="R35" i="1"/>
  <c r="R46" i="1"/>
  <c r="R51" i="1"/>
  <c r="R52" i="1"/>
  <c r="R59" i="1"/>
  <c r="R60" i="1"/>
  <c r="R66" i="1"/>
  <c r="R75" i="1"/>
  <c r="R79" i="1"/>
  <c r="R114" i="1"/>
  <c r="R118" i="1"/>
  <c r="R123" i="1"/>
  <c r="R125" i="1"/>
  <c r="R126" i="1"/>
  <c r="R127" i="1"/>
  <c r="R140" i="1"/>
  <c r="R146" i="1"/>
  <c r="R148" i="1"/>
  <c r="R150" i="1"/>
  <c r="R158" i="1"/>
  <c r="R167" i="1"/>
  <c r="R168" i="1"/>
  <c r="R182" i="1"/>
  <c r="R186" i="1"/>
  <c r="R204" i="1"/>
  <c r="R213" i="1"/>
  <c r="R214" i="1"/>
  <c r="R216" i="1"/>
  <c r="R218" i="1"/>
  <c r="R235" i="1"/>
  <c r="R237" i="1"/>
  <c r="R261" i="1"/>
  <c r="R264" i="1"/>
  <c r="R267" i="1"/>
  <c r="R269" i="1"/>
  <c r="R270" i="1"/>
  <c r="R271" i="1"/>
  <c r="R272" i="1"/>
  <c r="R280" i="1"/>
  <c r="R290" i="1"/>
  <c r="R301" i="1"/>
  <c r="R321" i="1"/>
  <c r="R324" i="1"/>
  <c r="R327" i="1"/>
  <c r="R331" i="1"/>
  <c r="R339" i="1"/>
  <c r="R361" i="1"/>
  <c r="R362" i="1"/>
  <c r="R369" i="1"/>
  <c r="R370" i="1"/>
  <c r="R383" i="1"/>
  <c r="R388" i="1"/>
  <c r="R389" i="1"/>
  <c r="R390" i="1"/>
  <c r="R391" i="1"/>
  <c r="R393" i="1"/>
  <c r="R424" i="1"/>
  <c r="R425" i="1"/>
  <c r="R432" i="1"/>
  <c r="R445" i="1"/>
  <c r="R448" i="1"/>
  <c r="R454" i="1"/>
  <c r="R459" i="1"/>
  <c r="R463" i="1"/>
  <c r="R476" i="1"/>
  <c r="R477" i="1"/>
  <c r="R482" i="1"/>
  <c r="R483" i="1"/>
  <c r="R505" i="1"/>
  <c r="R506" i="1"/>
  <c r="R507" i="1"/>
  <c r="R527" i="1"/>
  <c r="R534" i="1"/>
  <c r="R537" i="1"/>
  <c r="R548" i="1"/>
  <c r="R550" i="1"/>
  <c r="R553" i="1"/>
  <c r="R571" i="1"/>
  <c r="R573" i="1"/>
  <c r="R579" i="1"/>
  <c r="R580" i="1"/>
  <c r="R581" i="1"/>
  <c r="R587" i="1"/>
  <c r="R599" i="1"/>
  <c r="R600" i="1"/>
  <c r="R602" i="1"/>
  <c r="R607" i="1"/>
  <c r="R639" i="1"/>
  <c r="R641" i="1"/>
  <c r="R642" i="1"/>
  <c r="R652" i="1"/>
  <c r="R660" i="1"/>
  <c r="R673" i="1"/>
  <c r="R677" i="1"/>
  <c r="R681" i="1"/>
  <c r="R690" i="1"/>
  <c r="R691" i="1"/>
  <c r="R692" i="1"/>
  <c r="R695" i="1"/>
  <c r="R697" i="1"/>
  <c r="R706" i="1"/>
  <c r="R708" i="1"/>
  <c r="R741" i="1"/>
  <c r="R751" i="1"/>
  <c r="R755" i="1"/>
  <c r="R756" i="1"/>
  <c r="R762" i="1"/>
  <c r="R763" i="1"/>
  <c r="R767" i="1"/>
  <c r="R768" i="1"/>
  <c r="R772" i="1"/>
  <c r="R787" i="1"/>
  <c r="R795" i="1"/>
  <c r="R797" i="1"/>
  <c r="R815" i="1"/>
  <c r="R816" i="1"/>
  <c r="R817" i="1"/>
  <c r="R818" i="1"/>
  <c r="R844" i="1"/>
  <c r="R845" i="1"/>
  <c r="R851" i="1"/>
  <c r="R852" i="1"/>
  <c r="R857" i="1"/>
  <c r="R863" i="1"/>
  <c r="R866" i="1"/>
  <c r="R889" i="1"/>
  <c r="R890" i="1"/>
  <c r="R893" i="1"/>
  <c r="R897" i="1"/>
  <c r="R908" i="1"/>
  <c r="R909" i="1"/>
  <c r="R910" i="1"/>
  <c r="R921" i="1"/>
  <c r="R938" i="1"/>
  <c r="R945" i="1"/>
  <c r="R946" i="1"/>
  <c r="R948" i="1"/>
  <c r="R953" i="1"/>
  <c r="R954" i="1"/>
  <c r="R982" i="1"/>
  <c r="R983" i="1"/>
  <c r="R984" i="1"/>
  <c r="R988" i="1"/>
  <c r="R998" i="1"/>
  <c r="R1003" i="1"/>
  <c r="R1007" i="1"/>
  <c r="R1009" i="1"/>
  <c r="R1011" i="1"/>
  <c r="R1043" i="1"/>
  <c r="R1051" i="1"/>
  <c r="R1052" i="1"/>
  <c r="R1062" i="1"/>
  <c r="R1063" i="1"/>
  <c r="R1064" i="1"/>
  <c r="R1066" i="1"/>
  <c r="R1070" i="1"/>
  <c r="R1071" i="1"/>
  <c r="R1092" i="1"/>
  <c r="R1095" i="1"/>
  <c r="R1099" i="1"/>
  <c r="R1103" i="1"/>
  <c r="R1105" i="1"/>
  <c r="R1110" i="1"/>
  <c r="R1120" i="1"/>
  <c r="R1157" i="1"/>
  <c r="R1158" i="1"/>
  <c r="R1160" i="1"/>
  <c r="R1161" i="1"/>
  <c r="R1163" i="1"/>
  <c r="R1165" i="1"/>
  <c r="R1173" i="1"/>
  <c r="R1189" i="1"/>
  <c r="R1190" i="1"/>
  <c r="R1191" i="1"/>
  <c r="R1196" i="1"/>
  <c r="R1202" i="1"/>
  <c r="R1203" i="1"/>
  <c r="R1204" i="1"/>
  <c r="R1220" i="1"/>
  <c r="R1223" i="1"/>
  <c r="R1236" i="1"/>
  <c r="R1250" i="1"/>
  <c r="R1252" i="1"/>
  <c r="R1262" i="1"/>
  <c r="R1269" i="1"/>
  <c r="R1278" i="1"/>
  <c r="R1279" i="1"/>
  <c r="R1290" i="1"/>
  <c r="R1294" i="1"/>
  <c r="R1298" i="1"/>
  <c r="R1305" i="1"/>
  <c r="R1306" i="1"/>
  <c r="R1307" i="1"/>
  <c r="R1319" i="1"/>
  <c r="R1322" i="1"/>
  <c r="R1348" i="1"/>
  <c r="R1350" i="1"/>
  <c r="R1355" i="1"/>
  <c r="R1356" i="1"/>
  <c r="R1358" i="1"/>
  <c r="R1371" i="1"/>
  <c r="R1373" i="1"/>
  <c r="R1383" i="1"/>
  <c r="R1384" i="1"/>
  <c r="R1401" i="1"/>
  <c r="R1402" i="1"/>
  <c r="R1406" i="1"/>
  <c r="R1410" i="1"/>
  <c r="R1415" i="1"/>
  <c r="R1416" i="1"/>
  <c r="R1444" i="1"/>
  <c r="R1461" i="1"/>
  <c r="R1462" i="1"/>
  <c r="R1465" i="1"/>
  <c r="R1466" i="1"/>
  <c r="R1467" i="1"/>
  <c r="R1471" i="1"/>
  <c r="R1475" i="1"/>
  <c r="R1477" i="1"/>
  <c r="R1492" i="1"/>
  <c r="R1495" i="1"/>
  <c r="R1503" i="1"/>
  <c r="R1505" i="1"/>
  <c r="R1513" i="1"/>
  <c r="R1514" i="1"/>
  <c r="R1521" i="1"/>
  <c r="R1537" i="1"/>
  <c r="R1538" i="1"/>
  <c r="R1543" i="1"/>
  <c r="R1555" i="1"/>
  <c r="R1565" i="1"/>
  <c r="R1571" i="1"/>
  <c r="R1572" i="1"/>
  <c r="R1586" i="1"/>
  <c r="R1587" i="1"/>
  <c r="R1588" i="1"/>
  <c r="R1589" i="1"/>
  <c r="R1590" i="1"/>
  <c r="R1598" i="1"/>
  <c r="R1602" i="1"/>
  <c r="R1603" i="1"/>
  <c r="R1615" i="1"/>
  <c r="R1628" i="1"/>
  <c r="R1631" i="1"/>
  <c r="R1637" i="1"/>
  <c r="R1647" i="1"/>
  <c r="R1652" i="1"/>
  <c r="R1656" i="1"/>
  <c r="R1665" i="1"/>
  <c r="R1666" i="1"/>
  <c r="R1667" i="1"/>
  <c r="R1668" i="1"/>
  <c r="R1685" i="1"/>
  <c r="R1691" i="1"/>
  <c r="R1692" i="1"/>
  <c r="R1696" i="1"/>
  <c r="R1697" i="1"/>
  <c r="R1711" i="1"/>
  <c r="R1718" i="1"/>
  <c r="R1719" i="1"/>
  <c r="R1724" i="1"/>
  <c r="R1729" i="1"/>
  <c r="R1743" i="1"/>
  <c r="R1744" i="1"/>
  <c r="R1753" i="1"/>
  <c r="R1757" i="1"/>
  <c r="R1773" i="1"/>
  <c r="R1774" i="1"/>
  <c r="R1779" i="1"/>
  <c r="R1780" i="1"/>
  <c r="R1782" i="1"/>
  <c r="R1783" i="1"/>
  <c r="R1784" i="1"/>
  <c r="R1785" i="1"/>
  <c r="R1813" i="1"/>
  <c r="R1814" i="1"/>
  <c r="R1817" i="1"/>
  <c r="R1821" i="1"/>
  <c r="R1822" i="1"/>
  <c r="R1834" i="1"/>
  <c r="R1835" i="1"/>
  <c r="R1841" i="1"/>
  <c r="R1863" i="1"/>
  <c r="R1865" i="1"/>
  <c r="R1866" i="1"/>
  <c r="R1868" i="1"/>
  <c r="R1869" i="1"/>
  <c r="R1876" i="1"/>
  <c r="R1878" i="1"/>
  <c r="R1883" i="1"/>
  <c r="R1902" i="1"/>
  <c r="R1908" i="1"/>
  <c r="R1909" i="1"/>
  <c r="R1913" i="1"/>
  <c r="R1931" i="1"/>
  <c r="R1932" i="1"/>
  <c r="R1933" i="1"/>
  <c r="R1937" i="1"/>
  <c r="R1938" i="1"/>
  <c r="R1940" i="1"/>
  <c r="R1941" i="1"/>
  <c r="R1942" i="1"/>
  <c r="R1959" i="1"/>
  <c r="R1963" i="1"/>
  <c r="R1966" i="1"/>
  <c r="R1975" i="1"/>
  <c r="R1985" i="1"/>
  <c r="R1997" i="1"/>
  <c r="R2002" i="1"/>
  <c r="R2003" i="1"/>
  <c r="R2007" i="1"/>
  <c r="R2020" i="1"/>
  <c r="R2023" i="1"/>
  <c r="R2025" i="1"/>
  <c r="R2026" i="1"/>
  <c r="R2027" i="1"/>
  <c r="R2034" i="1"/>
  <c r="R2049" i="1"/>
  <c r="R2050" i="1"/>
  <c r="R2051" i="1"/>
  <c r="R2063" i="1"/>
  <c r="R2068" i="1"/>
  <c r="R2076" i="1"/>
  <c r="R2087" i="1"/>
  <c r="R2088" i="1"/>
  <c r="R2093" i="1"/>
  <c r="R2094" i="1"/>
  <c r="R2095" i="1"/>
  <c r="R2117" i="1"/>
  <c r="R2120" i="1"/>
  <c r="R2125" i="1"/>
  <c r="R2127" i="1"/>
  <c r="R2141" i="1"/>
  <c r="R2142" i="1"/>
  <c r="R2143" i="1"/>
  <c r="R2144" i="1"/>
  <c r="R2147" i="1"/>
  <c r="R2152" i="1"/>
  <c r="R2157" i="1"/>
  <c r="R2172" i="1"/>
  <c r="R2179" i="1"/>
  <c r="R2180" i="1"/>
  <c r="R2182" i="1"/>
  <c r="R2187" i="1"/>
  <c r="R2188" i="1"/>
  <c r="R2202" i="1"/>
  <c r="R2215" i="1"/>
  <c r="R2221" i="1"/>
  <c r="R2230" i="1"/>
  <c r="R2237" i="1"/>
  <c r="R2238" i="1"/>
  <c r="R2240" i="1"/>
  <c r="R2241" i="1"/>
  <c r="R2243" i="1"/>
  <c r="R2248" i="1"/>
  <c r="R2249" i="1"/>
  <c r="R2265" i="1"/>
  <c r="R2266" i="1"/>
  <c r="R2276" i="1"/>
  <c r="R2292" i="1"/>
  <c r="R2293" i="1"/>
  <c r="R2295" i="1"/>
  <c r="R2303" i="1"/>
  <c r="R2304" i="1"/>
  <c r="R2305" i="1"/>
  <c r="R2323" i="1"/>
  <c r="R2327" i="1"/>
  <c r="R2329" i="1"/>
  <c r="R2335" i="1"/>
  <c r="R2336" i="1"/>
  <c r="R2337" i="1"/>
  <c r="R2340" i="1"/>
  <c r="R2368" i="1"/>
  <c r="R2369" i="1"/>
  <c r="R2370" i="1"/>
  <c r="R2372" i="1"/>
  <c r="R2373" i="1"/>
  <c r="R2386" i="1"/>
  <c r="R2389" i="1"/>
  <c r="R2395" i="1"/>
  <c r="R2399" i="1"/>
  <c r="R2400" i="1"/>
  <c r="R2408" i="1"/>
  <c r="R2417" i="1"/>
  <c r="R2420" i="1"/>
  <c r="R2421" i="1"/>
  <c r="R2424" i="1"/>
  <c r="R2425" i="1"/>
  <c r="R2457" i="1"/>
  <c r="R2462" i="1"/>
  <c r="R2463" i="1"/>
  <c r="R2466" i="1"/>
  <c r="R2467" i="1"/>
  <c r="R2480" i="1"/>
  <c r="R2482" i="1"/>
  <c r="R2489" i="1"/>
  <c r="R2490" i="1"/>
  <c r="R2491" i="1"/>
  <c r="R2493" i="1"/>
  <c r="R2494" i="1"/>
  <c r="R2495" i="1"/>
  <c r="R2499" i="1"/>
  <c r="R2529" i="1"/>
  <c r="R2530" i="1"/>
  <c r="R2540" i="1"/>
  <c r="R2546" i="1"/>
  <c r="R2547" i="1"/>
  <c r="R2552" i="1"/>
  <c r="R2554" i="1"/>
  <c r="R2555" i="1"/>
  <c r="R2576" i="1"/>
  <c r="R2578" i="1"/>
  <c r="R2581" i="1"/>
  <c r="R2582" i="1"/>
  <c r="R2587" i="1"/>
  <c r="R2588" i="1"/>
  <c r="R2603" i="1"/>
  <c r="R2604" i="1"/>
  <c r="R2605" i="1"/>
  <c r="R2606" i="1"/>
  <c r="R2609" i="1"/>
  <c r="R2610" i="1"/>
  <c r="R2638" i="1"/>
  <c r="R2640" i="1"/>
  <c r="R2641" i="1"/>
  <c r="R2647" i="1"/>
  <c r="R2648" i="1"/>
  <c r="R2650" i="1"/>
  <c r="R2663" i="1"/>
  <c r="R2674" i="1"/>
  <c r="R2676" i="1"/>
  <c r="R2679" i="1"/>
  <c r="R2680" i="1"/>
  <c r="R2682" i="1"/>
  <c r="R2690" i="1"/>
  <c r="R2693" i="1"/>
  <c r="R2700" i="1"/>
  <c r="R2703" i="1"/>
  <c r="R2710" i="1"/>
  <c r="R2722" i="1"/>
  <c r="R2724" i="1"/>
  <c r="R2726" i="1"/>
  <c r="R2733" i="1"/>
  <c r="R2734" i="1"/>
  <c r="R2750" i="1"/>
  <c r="R2751" i="1"/>
  <c r="R2752" i="1"/>
  <c r="R2753" i="1"/>
  <c r="R2757" i="1"/>
  <c r="R2762" i="1"/>
  <c r="R2764" i="1"/>
  <c r="R2778" i="1"/>
  <c r="R2779" i="1"/>
  <c r="R2782" i="1"/>
  <c r="R2790" i="1"/>
  <c r="R2794" i="1"/>
  <c r="R2805" i="1"/>
  <c r="R2806" i="1"/>
  <c r="R2812" i="1"/>
  <c r="R2814" i="1"/>
  <c r="R2818" i="1"/>
  <c r="R2820" i="1"/>
  <c r="R2823" i="1"/>
  <c r="R2835" i="1"/>
  <c r="R2837" i="1"/>
  <c r="R2844" i="1"/>
  <c r="R2845" i="1"/>
  <c r="R2850" i="1"/>
  <c r="R2861" i="1"/>
  <c r="R2862" i="1"/>
  <c r="R2871" i="1"/>
  <c r="R2874" i="1"/>
  <c r="R2875" i="1"/>
  <c r="R2876" i="1"/>
  <c r="R2895" i="1"/>
  <c r="R2900" i="1"/>
  <c r="R2901" i="1"/>
  <c r="R2903" i="1"/>
  <c r="R2905" i="1"/>
  <c r="R2906" i="1"/>
  <c r="R2918" i="1"/>
  <c r="R2919" i="1"/>
  <c r="R2922" i="1"/>
  <c r="R2923" i="1"/>
  <c r="R2924" i="1"/>
  <c r="R2927" i="1"/>
  <c r="R2928" i="1"/>
  <c r="R2954" i="1"/>
  <c r="R2958" i="1"/>
  <c r="R2959" i="1"/>
  <c r="R2965" i="1"/>
  <c r="R2972" i="1"/>
  <c r="R2974" i="1"/>
  <c r="R2980" i="1"/>
  <c r="R2983" i="1"/>
  <c r="R2990" i="1"/>
  <c r="R2991" i="1"/>
  <c r="R2992" i="1"/>
  <c r="R3002" i="1"/>
  <c r="R3003" i="1"/>
  <c r="R3006" i="1"/>
  <c r="R3007" i="1"/>
  <c r="R3016" i="1"/>
  <c r="R3032" i="1"/>
  <c r="R3036" i="1"/>
  <c r="R3037" i="1"/>
  <c r="R3043" i="1"/>
  <c r="R3046" i="1"/>
  <c r="R3056" i="1"/>
  <c r="R3061" i="1"/>
  <c r="R3062" i="1"/>
  <c r="R3063" i="1"/>
  <c r="R3069" i="1"/>
  <c r="R3071" i="1"/>
  <c r="R3074" i="1"/>
  <c r="R3090" i="1"/>
  <c r="R3091" i="1"/>
  <c r="R3094" i="1"/>
  <c r="R3095" i="1"/>
  <c r="R3096" i="1"/>
  <c r="R3116" i="1"/>
  <c r="R3118" i="1"/>
  <c r="R3123" i="1"/>
  <c r="R3124" i="1"/>
  <c r="R3125" i="1"/>
  <c r="R3127" i="1"/>
  <c r="R3141" i="1"/>
  <c r="R3144" i="1"/>
  <c r="R3159" i="1"/>
  <c r="R3160" i="1"/>
  <c r="R3161" i="1"/>
  <c r="R3169" i="1"/>
  <c r="R3170" i="1"/>
  <c r="R3171" i="1"/>
  <c r="R3172" i="1"/>
  <c r="R3173" i="1"/>
  <c r="R3185" i="1"/>
  <c r="R3188" i="1"/>
  <c r="R3200" i="1"/>
  <c r="R3208" i="1"/>
  <c r="R3210" i="1"/>
  <c r="R3211" i="1"/>
  <c r="R3224" i="1"/>
  <c r="R3225" i="1"/>
  <c r="R3226" i="1"/>
  <c r="R3230" i="1"/>
  <c r="R3231" i="1"/>
  <c r="R3232" i="1"/>
  <c r="R3236" i="1"/>
  <c r="R3257" i="1"/>
  <c r="R3259" i="1"/>
  <c r="R3260" i="1"/>
  <c r="R3267" i="1"/>
  <c r="R3268" i="1"/>
  <c r="R3271" i="1"/>
  <c r="R3281" i="1"/>
  <c r="R3282" i="1"/>
  <c r="R3288" i="1"/>
  <c r="R3291" i="1"/>
  <c r="R3296" i="1"/>
  <c r="R3297" i="1"/>
  <c r="R3298" i="1"/>
  <c r="R3316" i="1"/>
  <c r="R3318" i="1"/>
  <c r="R3319" i="1"/>
  <c r="R3322" i="1"/>
  <c r="R3326" i="1"/>
  <c r="R3327" i="1"/>
  <c r="R3343" i="1"/>
  <c r="R3351" i="1"/>
  <c r="R3357" i="1"/>
  <c r="R3364" i="1"/>
  <c r="R3365" i="1"/>
  <c r="R3367" i="1"/>
  <c r="R3369" i="1"/>
  <c r="R3378" i="1"/>
  <c r="R3379" i="1"/>
  <c r="R3383" i="1"/>
  <c r="R3392" i="1"/>
  <c r="R3393" i="1"/>
  <c r="R3394" i="1"/>
  <c r="R3402" i="1"/>
  <c r="R3404" i="1"/>
  <c r="R3407" i="1"/>
  <c r="R3408" i="1"/>
  <c r="R3427" i="1"/>
  <c r="R3430" i="1"/>
  <c r="R3432" i="1"/>
  <c r="R3435" i="1"/>
  <c r="R3436" i="1"/>
  <c r="R3451" i="1"/>
  <c r="R3456" i="1"/>
  <c r="R3457" i="1"/>
  <c r="R3458" i="1"/>
  <c r="R3459" i="1"/>
  <c r="R3465" i="1"/>
  <c r="R3466" i="1"/>
  <c r="R3467" i="1"/>
  <c r="R3477" i="1"/>
  <c r="R3479" i="1"/>
  <c r="R3480" i="1"/>
  <c r="R3486" i="1"/>
  <c r="R3510" i="1"/>
  <c r="R3512" i="1"/>
  <c r="R3513" i="1"/>
  <c r="R3515" i="1"/>
  <c r="R3520" i="1"/>
  <c r="R3521" i="1"/>
  <c r="R3524" i="1"/>
  <c r="R3533" i="1"/>
  <c r="R3534" i="1"/>
  <c r="R3536" i="1"/>
  <c r="R3537" i="1"/>
  <c r="R3545" i="1"/>
  <c r="R3552" i="1"/>
  <c r="R3553" i="1"/>
  <c r="R3560" i="1"/>
  <c r="R3564" i="1"/>
  <c r="R3571" i="1"/>
  <c r="R3575" i="1"/>
  <c r="R3576" i="1"/>
  <c r="R3577" i="1"/>
  <c r="R3587" i="1"/>
  <c r="R3596" i="1"/>
  <c r="R3600" i="1"/>
  <c r="R3601" i="1"/>
  <c r="R3603" i="1"/>
  <c r="R3604" i="1"/>
  <c r="R3619" i="1"/>
  <c r="R3624" i="1"/>
  <c r="R3625" i="1"/>
  <c r="R3626" i="1"/>
  <c r="R3627" i="1"/>
  <c r="R3628" i="1"/>
  <c r="R3649" i="1"/>
  <c r="R3650" i="1"/>
  <c r="R3651" i="1"/>
  <c r="R3652" i="1"/>
  <c r="R3653" i="1"/>
  <c r="R3654" i="1"/>
  <c r="R3657" i="1"/>
  <c r="R3659" i="1"/>
  <c r="R3676" i="1"/>
  <c r="R3677" i="1"/>
  <c r="R3681" i="1"/>
  <c r="R3684" i="1"/>
  <c r="R3686" i="1"/>
  <c r="R3691" i="1"/>
  <c r="R3702" i="1"/>
  <c r="R3703" i="1"/>
  <c r="R3709" i="1"/>
  <c r="R3710" i="1"/>
  <c r="R3714" i="1"/>
  <c r="R3715" i="1"/>
  <c r="R3716" i="1"/>
  <c r="R3717" i="1"/>
  <c r="R3739" i="1"/>
  <c r="R3742" i="1"/>
  <c r="R3743" i="1"/>
  <c r="R3744" i="1"/>
  <c r="R3745" i="1"/>
  <c r="R3746" i="1"/>
  <c r="R3757" i="1"/>
  <c r="R3758" i="1"/>
  <c r="R3762" i="1"/>
  <c r="R3763" i="1"/>
  <c r="R3765" i="1"/>
  <c r="R3776" i="1"/>
  <c r="R3789" i="1"/>
  <c r="R3795" i="1"/>
  <c r="R3796" i="1"/>
  <c r="R3797" i="1"/>
  <c r="R3798" i="1"/>
  <c r="R3800" i="1"/>
  <c r="R3802" i="1"/>
  <c r="R3803" i="1"/>
  <c r="R3818" i="1"/>
  <c r="R3820" i="1"/>
  <c r="R3821" i="1"/>
  <c r="R3824" i="1"/>
  <c r="R3825" i="1"/>
  <c r="R3826" i="1"/>
  <c r="R3830" i="1"/>
  <c r="R3851" i="1"/>
  <c r="R3852" i="1"/>
  <c r="R3853" i="1"/>
  <c r="R3860" i="1"/>
  <c r="R3861" i="1"/>
  <c r="R3869" i="1"/>
  <c r="R3874" i="1"/>
  <c r="R3876" i="1"/>
  <c r="R3877" i="1"/>
  <c r="R3878" i="1"/>
  <c r="R3884" i="1"/>
  <c r="R3886" i="1"/>
  <c r="R3896" i="1"/>
  <c r="R3897" i="1"/>
  <c r="R3898" i="1"/>
  <c r="R3899" i="1"/>
  <c r="R3904" i="1"/>
  <c r="R3915" i="1"/>
  <c r="R3916" i="1"/>
  <c r="R3927" i="1"/>
  <c r="R3933" i="1"/>
  <c r="R3936" i="1"/>
  <c r="R3937" i="1"/>
  <c r="R3941" i="1"/>
  <c r="R3942" i="1"/>
  <c r="R3952" i="1"/>
  <c r="R3956" i="1"/>
  <c r="R3957" i="1"/>
  <c r="R3959" i="1"/>
  <c r="R3962" i="1"/>
  <c r="R3970" i="1"/>
  <c r="R3971" i="1"/>
  <c r="R3982" i="1"/>
  <c r="R3987" i="1"/>
  <c r="R3988" i="1"/>
  <c r="R3989" i="1"/>
  <c r="R3992" i="1"/>
  <c r="R3994" i="1"/>
  <c r="R3995" i="1"/>
  <c r="R3998" i="1"/>
  <c r="R4014" i="1"/>
  <c r="R4015" i="1"/>
  <c r="R4019" i="1"/>
  <c r="R4020" i="1"/>
  <c r="R4021" i="1"/>
  <c r="R4029" i="1"/>
  <c r="R4038" i="1"/>
  <c r="R4039" i="1"/>
  <c r="R4040" i="1"/>
  <c r="R4047" i="1"/>
  <c r="R4048" i="1"/>
  <c r="R4054" i="1"/>
  <c r="R4055" i="1"/>
  <c r="R4065" i="1"/>
  <c r="R4067" i="1"/>
  <c r="R4068" i="1"/>
  <c r="R4072" i="1"/>
  <c r="R4076" i="1"/>
  <c r="R4077" i="1"/>
  <c r="R4085" i="1"/>
  <c r="R4092" i="1"/>
  <c r="R4093" i="1"/>
  <c r="R4094" i="1"/>
  <c r="R4095" i="1"/>
  <c r="R4096" i="1"/>
  <c r="R4112" i="1"/>
  <c r="R4119" i="1"/>
  <c r="R4127" i="1"/>
  <c r="R4128" i="1"/>
  <c r="R4129" i="1"/>
  <c r="R4131" i="1"/>
  <c r="R4132" i="1"/>
  <c r="R4134" i="1"/>
  <c r="R4135" i="1"/>
  <c r="R4138" i="1"/>
  <c r="R4153" i="1"/>
  <c r="R4154" i="1"/>
  <c r="R4156" i="1"/>
  <c r="R4161" i="1"/>
  <c r="R4163" i="1"/>
  <c r="R4164" i="1"/>
  <c r="R4165" i="1"/>
  <c r="R4180" i="1"/>
  <c r="R4181" i="1"/>
  <c r="R4183" i="1"/>
  <c r="R4186" i="1"/>
  <c r="R4187" i="1"/>
  <c r="R4198" i="1"/>
  <c r="R4209" i="1"/>
  <c r="R4212" i="1"/>
  <c r="R4214" i="1"/>
  <c r="R4215" i="1"/>
  <c r="R4216" i="1"/>
  <c r="R4217" i="1"/>
  <c r="R4218" i="1"/>
  <c r="R4222" i="1"/>
  <c r="R4223" i="1"/>
  <c r="R4224" i="1"/>
  <c r="R4234" i="1"/>
  <c r="R4248" i="1"/>
  <c r="R4250" i="1"/>
  <c r="R4251" i="1"/>
  <c r="R4252" i="1"/>
  <c r="R4261" i="1"/>
  <c r="R4265" i="1"/>
  <c r="R4272" i="1"/>
  <c r="R4275" i="1"/>
  <c r="R4278" i="1"/>
  <c r="R4279" i="1"/>
  <c r="R4281" i="1"/>
  <c r="R4288" i="1"/>
  <c r="R4294" i="1"/>
  <c r="R4295" i="1"/>
  <c r="R4296" i="1"/>
  <c r="R4301" i="1"/>
  <c r="R4305" i="1"/>
  <c r="R4306" i="1"/>
  <c r="R4307" i="1"/>
  <c r="R4322" i="1"/>
  <c r="R4328" i="1"/>
  <c r="R4329" i="1"/>
  <c r="R4333" i="1"/>
  <c r="R4334" i="1"/>
  <c r="R4335" i="1"/>
  <c r="R4348" i="1"/>
  <c r="R4350" i="1"/>
  <c r="R4351" i="1"/>
  <c r="R4354" i="1"/>
  <c r="R4355" i="1"/>
  <c r="R4357" i="1"/>
  <c r="R4358" i="1"/>
  <c r="R4374" i="1"/>
  <c r="R4376" i="1"/>
  <c r="R4381" i="1"/>
  <c r="R4382" i="1"/>
  <c r="R4383" i="1"/>
  <c r="R4392" i="1"/>
  <c r="R4393" i="1"/>
  <c r="R4401" i="1"/>
  <c r="R4404" i="1"/>
  <c r="R4405" i="1"/>
  <c r="R4406" i="1"/>
  <c r="R4410" i="1"/>
  <c r="R4411" i="1"/>
  <c r="R4412" i="1"/>
  <c r="R4417" i="1"/>
  <c r="R4418" i="1"/>
  <c r="R4441" i="1"/>
  <c r="R4442" i="1"/>
  <c r="R4443" i="1"/>
  <c r="R4444" i="1"/>
  <c r="R4445" i="1"/>
  <c r="R4446" i="1"/>
  <c r="R4448" i="1"/>
  <c r="R4458" i="1"/>
  <c r="R4459" i="1"/>
  <c r="R4460" i="1"/>
  <c r="R4464" i="1"/>
  <c r="R4465" i="1"/>
  <c r="R4468" i="1"/>
  <c r="R4471" i="1"/>
  <c r="R4472" i="1"/>
  <c r="R4477" i="1"/>
  <c r="R4484" i="1"/>
  <c r="R4494" i="1"/>
  <c r="R4498" i="1"/>
  <c r="R4499" i="1"/>
  <c r="R4500" i="1"/>
  <c r="R4501" i="1"/>
  <c r="R4503" i="1"/>
  <c r="R4514" i="1"/>
  <c r="R4517" i="1"/>
  <c r="R4520" i="1"/>
  <c r="R4521" i="1"/>
  <c r="R4523" i="1"/>
  <c r="R4524" i="1"/>
  <c r="R4526" i="1"/>
  <c r="R4527" i="1"/>
  <c r="R4529" i="1"/>
  <c r="R4544" i="1"/>
  <c r="R4549" i="1"/>
  <c r="R4550" i="1"/>
  <c r="R4551" i="1"/>
  <c r="R4554" i="1"/>
  <c r="R4555" i="1"/>
  <c r="R4561" i="1"/>
  <c r="R4571" i="1"/>
  <c r="R4572" i="1"/>
  <c r="R4573" i="1"/>
  <c r="R4575" i="1"/>
  <c r="R4576" i="1"/>
  <c r="R4577" i="1"/>
  <c r="R4578" i="1"/>
  <c r="R4580" i="1"/>
  <c r="R4587" i="1"/>
  <c r="R4588" i="1"/>
  <c r="R4589" i="1"/>
  <c r="R4601" i="1"/>
  <c r="R4603" i="1"/>
  <c r="R4610" i="1"/>
  <c r="R4611" i="1"/>
  <c r="R4612" i="1"/>
  <c r="R4613" i="1"/>
  <c r="R4615" i="1"/>
  <c r="R4624" i="1"/>
  <c r="R4626" i="1"/>
  <c r="R4627" i="1"/>
  <c r="R4630" i="1"/>
  <c r="R4634" i="1"/>
  <c r="R4638" i="1"/>
  <c r="R4639" i="1"/>
  <c r="R4640" i="1"/>
  <c r="R4642" i="1"/>
  <c r="R4654" i="1"/>
  <c r="R4658" i="1"/>
  <c r="R4659" i="1"/>
  <c r="R4660" i="1"/>
  <c r="R4662" i="1"/>
  <c r="R4663" i="1"/>
  <c r="R4667" i="1"/>
  <c r="R4668" i="1"/>
  <c r="R4669" i="1"/>
  <c r="R4683" i="1"/>
  <c r="R4684" i="1"/>
  <c r="R4685" i="1"/>
  <c r="R4689" i="1"/>
  <c r="R4690" i="1"/>
  <c r="R4691" i="1"/>
  <c r="R4692" i="1"/>
  <c r="R4699" i="1"/>
  <c r="R4700" i="1"/>
  <c r="R4710" i="1"/>
  <c r="R4711" i="1"/>
  <c r="R4712" i="1"/>
  <c r="R4714" i="1"/>
  <c r="R4719" i="1"/>
  <c r="R4721" i="1"/>
  <c r="R4723" i="1"/>
  <c r="R4724" i="1"/>
  <c r="R4726" i="1"/>
  <c r="R4737" i="1"/>
  <c r="R4741" i="1"/>
  <c r="R4742" i="1"/>
  <c r="R4743" i="1"/>
  <c r="R4744" i="1"/>
  <c r="R4749" i="1"/>
  <c r="R4750" i="1"/>
  <c r="R4756" i="1"/>
  <c r="R4766" i="1"/>
  <c r="R4768" i="1"/>
  <c r="R4769" i="1"/>
  <c r="R4770" i="1"/>
  <c r="R4772" i="1"/>
  <c r="R4774" i="1"/>
  <c r="R4778" i="1"/>
  <c r="R4779" i="1"/>
  <c r="R4781" i="1"/>
  <c r="R4784" i="1"/>
  <c r="R4785" i="1"/>
  <c r="R4793" i="1"/>
  <c r="R4794" i="1"/>
  <c r="R4795" i="1"/>
  <c r="R4807" i="1"/>
  <c r="R4809" i="1"/>
  <c r="R4810" i="1"/>
  <c r="R4813" i="1"/>
  <c r="R4820" i="1"/>
  <c r="R4821" i="1"/>
  <c r="R4828" i="1"/>
  <c r="R4829" i="1"/>
  <c r="R4830" i="1"/>
  <c r="R4832" i="1"/>
  <c r="R4833" i="1"/>
  <c r="R4834" i="1"/>
  <c r="R4837" i="1"/>
  <c r="R4838" i="1"/>
  <c r="R4839" i="1"/>
  <c r="R4852" i="1"/>
  <c r="R4853" i="1"/>
  <c r="R4859" i="1"/>
  <c r="R4860" i="1"/>
  <c r="R4861" i="1"/>
  <c r="R4862" i="1"/>
  <c r="R4863" i="1"/>
  <c r="R4864" i="1"/>
  <c r="R4865" i="1"/>
  <c r="R4879" i="1"/>
  <c r="R4883" i="1"/>
  <c r="R4884" i="1"/>
  <c r="R4886" i="1"/>
  <c r="R4887" i="1"/>
  <c r="R4889" i="1"/>
  <c r="R4890" i="1"/>
  <c r="R4891" i="1"/>
  <c r="R4894" i="1"/>
  <c r="R4895" i="1"/>
  <c r="R4909" i="1"/>
  <c r="R4910" i="1"/>
  <c r="R4911" i="1"/>
  <c r="R4912" i="1"/>
  <c r="R4913" i="1"/>
  <c r="R4918" i="1"/>
  <c r="R4919" i="1"/>
  <c r="R4925" i="1"/>
  <c r="R4934" i="1"/>
  <c r="R4935" i="1"/>
  <c r="R4938" i="1"/>
  <c r="R4940" i="1"/>
  <c r="R4941" i="1"/>
  <c r="R4942" i="1"/>
  <c r="R4943" i="1"/>
  <c r="R4948" i="1"/>
  <c r="R4949" i="1"/>
  <c r="R4963" i="1"/>
  <c r="R4964" i="1"/>
  <c r="R4965" i="1"/>
  <c r="R4968" i="1"/>
  <c r="R4972" i="1"/>
  <c r="R4973" i="1"/>
  <c r="R4974" i="1"/>
  <c r="R4977" i="1"/>
  <c r="R4978" i="1"/>
  <c r="R4979" i="1"/>
  <c r="R4982" i="1"/>
  <c r="R4989" i="1"/>
  <c r="R4990" i="1"/>
  <c r="R4991" i="1"/>
  <c r="R4996" i="1"/>
  <c r="R5000" i="1"/>
  <c r="R5001" i="1"/>
  <c r="R5009" i="1"/>
  <c r="R5016" i="1"/>
  <c r="R5020" i="1"/>
  <c r="R5021" i="1"/>
  <c r="R5022" i="1"/>
  <c r="R5023" i="1"/>
  <c r="R5026" i="1"/>
  <c r="R5029" i="1"/>
  <c r="R5030" i="1"/>
  <c r="R5031" i="1"/>
  <c r="R5032" i="1"/>
  <c r="R5033" i="1"/>
  <c r="R5048" i="1"/>
  <c r="R5050" i="1"/>
  <c r="R5052" i="1"/>
  <c r="R5053" i="1"/>
  <c r="R5054" i="1"/>
  <c r="R5055" i="1"/>
  <c r="R5059" i="1"/>
  <c r="R5061" i="1"/>
  <c r="R5062" i="1"/>
  <c r="R5063" i="1"/>
  <c r="R5075" i="1"/>
  <c r="R5077" i="1"/>
  <c r="R5081" i="1"/>
  <c r="R5083" i="1"/>
  <c r="R5084" i="1"/>
  <c r="R5087" i="1"/>
  <c r="R5088" i="1"/>
  <c r="R5094" i="1"/>
  <c r="R5095" i="1"/>
  <c r="R5102" i="1"/>
  <c r="R5103" i="1"/>
  <c r="R5104" i="1"/>
  <c r="R5105" i="1"/>
  <c r="R5109" i="1"/>
  <c r="R5110" i="1"/>
  <c r="R5111" i="1"/>
  <c r="R5114" i="1"/>
  <c r="R5121" i="1"/>
  <c r="R5131" i="1"/>
  <c r="R5133" i="1"/>
  <c r="R5137" i="1"/>
  <c r="R5138" i="1"/>
  <c r="R5142" i="1"/>
  <c r="R5143" i="1"/>
  <c r="R5144" i="1"/>
  <c r="R5145" i="1"/>
  <c r="R5146" i="1"/>
  <c r="R5147" i="1"/>
  <c r="R5148" i="1"/>
  <c r="R5149" i="1"/>
  <c r="R5167" i="1"/>
  <c r="R5168" i="1"/>
  <c r="R5170" i="1"/>
  <c r="R5171" i="1"/>
  <c r="R5172" i="1"/>
  <c r="R5173" i="1"/>
  <c r="R5174" i="1"/>
  <c r="R5185" i="1"/>
  <c r="R5186" i="1"/>
  <c r="R5191" i="1"/>
  <c r="R5192" i="1"/>
  <c r="R5193" i="1"/>
  <c r="R5194" i="1"/>
  <c r="R5195" i="1"/>
  <c r="R5196" i="1"/>
  <c r="R5202" i="1"/>
  <c r="R5203" i="1"/>
  <c r="R5217" i="1"/>
  <c r="R5218" i="1"/>
  <c r="R5219" i="1"/>
  <c r="R5220" i="1"/>
  <c r="R5221" i="1"/>
  <c r="R5224" i="1"/>
  <c r="R5225" i="1"/>
  <c r="R5228" i="1"/>
  <c r="R5229" i="1"/>
  <c r="R5230" i="1"/>
  <c r="R5231" i="1"/>
  <c r="R5242" i="1"/>
  <c r="R5247" i="1"/>
  <c r="R5249" i="1"/>
  <c r="R5251" i="1"/>
  <c r="R5252" i="1"/>
  <c r="R5253" i="1"/>
  <c r="R5257" i="1"/>
  <c r="R5258" i="1"/>
  <c r="R5262" i="1"/>
  <c r="R5271" i="1"/>
  <c r="R5272" i="1"/>
  <c r="R5273" i="1"/>
  <c r="R5275" i="1"/>
  <c r="R5278" i="1"/>
  <c r="R5281" i="1"/>
  <c r="R5282" i="1"/>
  <c r="R5286" i="1"/>
  <c r="R5290" i="1"/>
  <c r="R5291" i="1"/>
  <c r="R5298" i="1"/>
  <c r="R5299" i="1"/>
  <c r="R5300" i="1"/>
  <c r="R5301" i="1"/>
  <c r="R5306" i="1"/>
  <c r="R5312" i="1"/>
  <c r="R5313" i="1"/>
  <c r="R5315" i="1"/>
  <c r="R5316" i="1"/>
  <c r="R5326" i="1"/>
  <c r="R5327" i="1"/>
  <c r="R5330" i="1"/>
  <c r="R5336" i="1"/>
  <c r="R5337" i="1"/>
  <c r="R5338" i="1"/>
  <c r="R5339" i="1"/>
  <c r="R5340" i="1"/>
  <c r="R5341" i="1"/>
  <c r="R5342" i="1"/>
  <c r="R5343" i="1"/>
  <c r="R5344" i="1"/>
  <c r="R5345" i="1"/>
  <c r="R5361" i="1"/>
  <c r="R5362" i="1"/>
  <c r="R5364" i="1"/>
  <c r="R5367" i="1"/>
  <c r="R5369" i="1"/>
  <c r="R5370" i="1"/>
  <c r="R5372" i="1"/>
  <c r="R5384" i="1"/>
  <c r="R5385" i="1"/>
  <c r="R5386" i="1"/>
  <c r="R5387" i="1"/>
  <c r="R5388" i="1"/>
  <c r="R5389" i="1"/>
  <c r="R5390" i="1"/>
  <c r="R5392" i="1"/>
  <c r="R5393" i="1"/>
  <c r="R5394" i="1"/>
  <c r="R5401" i="1"/>
  <c r="R5411" i="1"/>
  <c r="R5412" i="1"/>
  <c r="R5415" i="1"/>
  <c r="R5416" i="1"/>
  <c r="R5417" i="1"/>
  <c r="R5418" i="1"/>
  <c r="R5423" i="1"/>
  <c r="R5424" i="1"/>
  <c r="R5425" i="1"/>
  <c r="R5427" i="1"/>
  <c r="R5428" i="1"/>
  <c r="R5438" i="1"/>
  <c r="R5439" i="1"/>
  <c r="R5440" i="1"/>
  <c r="R5441" i="1"/>
  <c r="R5445" i="1"/>
  <c r="R5450" i="1"/>
  <c r="R5451" i="1"/>
  <c r="R5456" i="1"/>
  <c r="R5457" i="1"/>
  <c r="R5458" i="1"/>
  <c r="R5467" i="1"/>
  <c r="R5468" i="1"/>
  <c r="R5471" i="1"/>
  <c r="R5472" i="1"/>
  <c r="R5473" i="1"/>
  <c r="R5474" i="1"/>
  <c r="R5476" i="1"/>
  <c r="R5480" i="1"/>
  <c r="R5482" i="1"/>
  <c r="R5483" i="1"/>
  <c r="R5484" i="1"/>
  <c r="R5485" i="1"/>
  <c r="R5498" i="1"/>
  <c r="R5500" i="1"/>
  <c r="R5504" i="1"/>
  <c r="R5505" i="1"/>
  <c r="R5507" i="1"/>
  <c r="R5510" i="1"/>
  <c r="R5511" i="1"/>
  <c r="R5513" i="1"/>
  <c r="R5514" i="1"/>
  <c r="R5521" i="1"/>
  <c r="R5522" i="1"/>
  <c r="R5524" i="1"/>
  <c r="R5528" i="1"/>
  <c r="R5529" i="1"/>
  <c r="R5532" i="1"/>
  <c r="R5535" i="1"/>
  <c r="R5536" i="1"/>
  <c r="R5548" i="1"/>
  <c r="R5553" i="1"/>
  <c r="R5554" i="1"/>
  <c r="R5555" i="1"/>
  <c r="R5556" i="1"/>
  <c r="R5557" i="1"/>
  <c r="R5558" i="1"/>
  <c r="R5560" i="1"/>
  <c r="R5562" i="1"/>
  <c r="R5563" i="1"/>
  <c r="R5564" i="1"/>
  <c r="R5565" i="1"/>
  <c r="R5567" i="1"/>
  <c r="R5578" i="1"/>
  <c r="R5579" i="1"/>
  <c r="R5580" i="1"/>
  <c r="R5581" i="1"/>
  <c r="R5582" i="1"/>
  <c r="R5588" i="1"/>
  <c r="R5590" i="1"/>
  <c r="R5591" i="1"/>
  <c r="R5592" i="1"/>
  <c r="R5593" i="1"/>
  <c r="R5605" i="1"/>
  <c r="R5607" i="1"/>
  <c r="R5608" i="1"/>
  <c r="R5610" i="1"/>
  <c r="R5611" i="1"/>
  <c r="R5612" i="1"/>
  <c r="R5613" i="1"/>
  <c r="R5614" i="1"/>
  <c r="R5616" i="1"/>
  <c r="R5617" i="1"/>
  <c r="R5622" i="1"/>
  <c r="R5623" i="1"/>
  <c r="R5634" i="1"/>
  <c r="R5635" i="1"/>
  <c r="R5636" i="1"/>
  <c r="R5638" i="1"/>
  <c r="R5639" i="1"/>
  <c r="R5645" i="1"/>
  <c r="R5648" i="1"/>
  <c r="R5649" i="1"/>
  <c r="R5656" i="1"/>
  <c r="R5658" i="1"/>
  <c r="R5659" i="1"/>
  <c r="R5660" i="1"/>
  <c r="R5661" i="1"/>
  <c r="R5663" i="1"/>
  <c r="R5664" i="1"/>
  <c r="R5668" i="1"/>
  <c r="R5669" i="1"/>
  <c r="R5675" i="1"/>
  <c r="R5682" i="1"/>
  <c r="R5683" i="1"/>
  <c r="R5685" i="1"/>
  <c r="R5687" i="1"/>
  <c r="R5691" i="1"/>
  <c r="R5692" i="1"/>
  <c r="R5695" i="1"/>
  <c r="R5696" i="1"/>
  <c r="R5698" i="1"/>
  <c r="R5699" i="1"/>
  <c r="R5700" i="1"/>
  <c r="R5701" i="1"/>
  <c r="R5709" i="1"/>
  <c r="R5710" i="1"/>
  <c r="R5714" i="1"/>
  <c r="R5716" i="1"/>
  <c r="R5721" i="1"/>
  <c r="R5723" i="1"/>
  <c r="R5724" i="1"/>
  <c r="R5726" i="1"/>
  <c r="R5727" i="1"/>
  <c r="R5738" i="1"/>
  <c r="R5739" i="1"/>
  <c r="R5741" i="1"/>
  <c r="R5742" i="1"/>
  <c r="R5743" i="1"/>
  <c r="R5744" i="1"/>
  <c r="R5745" i="1"/>
  <c r="R5746" i="1"/>
  <c r="R5748" i="1"/>
  <c r="R5749" i="1"/>
  <c r="R5753" i="1"/>
  <c r="R5754" i="1"/>
  <c r="R5769" i="1"/>
  <c r="R5770" i="1"/>
  <c r="R5771" i="1"/>
  <c r="R5773" i="1"/>
  <c r="R5774" i="1"/>
  <c r="R5775" i="1"/>
  <c r="R5776" i="1"/>
  <c r="R5778" i="1"/>
  <c r="R5779" i="1"/>
  <c r="R5783" i="1"/>
  <c r="R5790" i="1"/>
  <c r="R5791" i="1"/>
  <c r="R5792" i="1"/>
  <c r="R5795" i="1"/>
  <c r="R5796" i="1"/>
  <c r="R5798" i="1"/>
  <c r="R5801" i="1"/>
  <c r="R5809" i="1"/>
  <c r="R5817" i="1"/>
  <c r="R5818" i="1"/>
  <c r="R5819" i="1"/>
  <c r="R5820" i="1"/>
  <c r="R5821" i="1"/>
  <c r="S99" i="1" l="1"/>
  <c r="S280" i="1"/>
  <c r="S525" i="1"/>
  <c r="S834" i="1"/>
  <c r="S1056" i="1"/>
  <c r="S1338" i="1"/>
  <c r="S1548" i="1"/>
  <c r="S1792" i="1"/>
  <c r="S2040" i="1"/>
  <c r="S2210" i="1"/>
  <c r="S2447" i="1"/>
  <c r="S2624" i="1"/>
  <c r="S2836" i="1"/>
  <c r="S3002" i="1"/>
  <c r="S3215" i="1"/>
  <c r="S3448" i="1"/>
  <c r="S3622" i="1"/>
  <c r="S3823" i="1"/>
  <c r="S3976" i="1"/>
  <c r="S4143" i="1"/>
  <c r="S4293" i="1"/>
  <c r="S4456" i="1"/>
  <c r="S4612" i="1"/>
  <c r="S4752" i="1"/>
  <c r="S4899" i="1"/>
  <c r="S5026" i="1"/>
  <c r="S5181" i="1"/>
  <c r="S5304" i="1"/>
  <c r="S5445" i="1"/>
  <c r="S5595" i="1"/>
  <c r="S5715" i="1"/>
  <c r="S285" i="1"/>
  <c r="S526" i="1"/>
  <c r="S835" i="1"/>
  <c r="S1065" i="1"/>
  <c r="S1343" i="1"/>
  <c r="S1551" i="1"/>
  <c r="S1794" i="1"/>
  <c r="S2053" i="1"/>
  <c r="S2212" i="1"/>
  <c r="S2448" i="1"/>
  <c r="S2629" i="1"/>
  <c r="S2841" i="1"/>
  <c r="S3005" i="1"/>
  <c r="S3224" i="1"/>
  <c r="S3449" i="1"/>
  <c r="S3630" i="1"/>
  <c r="S3826" i="1"/>
  <c r="S3981" i="1"/>
  <c r="S4144" i="1"/>
  <c r="S4294" i="1"/>
  <c r="S4461" i="1"/>
  <c r="S4622" i="1"/>
  <c r="S4761" i="1"/>
  <c r="S4900" i="1"/>
  <c r="S5027" i="1"/>
  <c r="S5182" i="1"/>
  <c r="S5305" i="1"/>
  <c r="S136" i="1"/>
  <c r="S379" i="1"/>
  <c r="S657" i="1"/>
  <c r="S884" i="1"/>
  <c r="S1193" i="1"/>
  <c r="S1461" i="1"/>
  <c r="S1661" i="1"/>
  <c r="S1910" i="1"/>
  <c r="S2088" i="1"/>
  <c r="S2339" i="1"/>
  <c r="S2492" i="1"/>
  <c r="S2729" i="1"/>
  <c r="S2927" i="1"/>
  <c r="S3118" i="1"/>
  <c r="S3318" i="1"/>
  <c r="S3504" i="1"/>
  <c r="S3719" i="1"/>
  <c r="S3858" i="1"/>
  <c r="S4056" i="1"/>
  <c r="S4230" i="1"/>
  <c r="S4370" i="1"/>
  <c r="S4537" i="1"/>
  <c r="S4662" i="1"/>
  <c r="S4826" i="1"/>
  <c r="S4950" i="1"/>
  <c r="S5097" i="1"/>
  <c r="S5250" i="1"/>
  <c r="S5370" i="1"/>
  <c r="S5527" i="1"/>
  <c r="S5638" i="1"/>
  <c r="S5782" i="1"/>
  <c r="S337" i="1"/>
  <c r="S626" i="1"/>
  <c r="S880" i="1"/>
  <c r="S1205" i="1"/>
  <c r="S1474" i="1"/>
  <c r="S1772" i="1"/>
  <c r="S2056" i="1"/>
  <c r="S2253" i="1"/>
  <c r="S2489" i="1"/>
  <c r="S2735" i="1"/>
  <c r="S2963" i="1"/>
  <c r="S3195" i="1"/>
  <c r="S3389" i="1"/>
  <c r="S3640" i="1"/>
  <c r="S3838" i="1"/>
  <c r="S4057" i="1"/>
  <c r="S4244" i="1"/>
  <c r="S4430" i="1"/>
  <c r="S4576" i="1"/>
  <c r="S4763" i="1"/>
  <c r="S4921" i="1"/>
  <c r="S5091" i="1"/>
  <c r="S5253" i="1"/>
  <c r="S5435" i="1"/>
  <c r="S5558" i="1"/>
  <c r="S5711" i="1"/>
  <c r="S338" i="1"/>
  <c r="S644" i="1"/>
  <c r="S885" i="1"/>
  <c r="S1207" i="1"/>
  <c r="S1479" i="1"/>
  <c r="S1773" i="1"/>
  <c r="S2060" i="1"/>
  <c r="S2290" i="1"/>
  <c r="S2491" i="1"/>
  <c r="S2739" i="1"/>
  <c r="S2973" i="1"/>
  <c r="S3196" i="1"/>
  <c r="S3468" i="1"/>
  <c r="S3641" i="1"/>
  <c r="S3854" i="1"/>
  <c r="S4059" i="1"/>
  <c r="S4251" i="1"/>
  <c r="S4438" i="1"/>
  <c r="S4580" i="1"/>
  <c r="S4766" i="1"/>
  <c r="S4936" i="1"/>
  <c r="S5098" i="1"/>
  <c r="S5254" i="1"/>
  <c r="S5436" i="1"/>
  <c r="S5560" i="1"/>
  <c r="S5712" i="1"/>
  <c r="S139" i="1"/>
  <c r="S480" i="1"/>
  <c r="S833" i="1"/>
  <c r="S1141" i="1"/>
  <c r="S1463" i="1"/>
  <c r="S1761" i="1"/>
  <c r="S2061" i="1"/>
  <c r="S2305" i="1"/>
  <c r="S2574" i="1"/>
  <c r="S2823" i="1"/>
  <c r="S3087" i="1"/>
  <c r="S3320" i="1"/>
  <c r="S3581" i="1"/>
  <c r="S3822" i="1"/>
  <c r="S4022" i="1"/>
  <c r="S4234" i="1"/>
  <c r="S4439" i="1"/>
  <c r="S4634" i="1"/>
  <c r="S4824" i="1"/>
  <c r="S4992" i="1"/>
  <c r="S5172" i="1"/>
  <c r="S5355" i="1"/>
  <c r="S5517" i="1"/>
  <c r="S5691" i="1"/>
  <c r="S5819" i="1"/>
  <c r="S340" i="1"/>
  <c r="S713" i="1"/>
  <c r="S1020" i="1"/>
  <c r="S1353" i="1"/>
  <c r="S1664" i="1"/>
  <c r="S1971" i="1"/>
  <c r="S2251" i="1"/>
  <c r="S2570" i="1"/>
  <c r="S2822" i="1"/>
  <c r="S3089" i="1"/>
  <c r="S3355" i="1"/>
  <c r="S3595" i="1"/>
  <c r="S3833" i="1"/>
  <c r="S4074" i="1"/>
  <c r="S4273" i="1"/>
  <c r="S4468" i="1"/>
  <c r="S4670" i="1"/>
  <c r="S4852" i="1"/>
  <c r="S5081" i="1"/>
  <c r="S5252" i="1"/>
  <c r="S5442" i="1"/>
  <c r="S5620" i="1"/>
  <c r="S5781" i="1"/>
  <c r="S343" i="1"/>
  <c r="S718" i="1"/>
  <c r="S1022" i="1"/>
  <c r="S1364" i="1"/>
  <c r="S1665" i="1"/>
  <c r="S1972" i="1"/>
  <c r="S2298" i="1"/>
  <c r="S2571" i="1"/>
  <c r="S2824" i="1"/>
  <c r="S3097" i="1"/>
  <c r="S3366" i="1"/>
  <c r="S3596" i="1"/>
  <c r="S3837" i="1"/>
  <c r="S4075" i="1"/>
  <c r="S4274" i="1"/>
  <c r="S4471" i="1"/>
  <c r="S4706" i="1"/>
  <c r="S4894" i="1"/>
  <c r="S5084" i="1"/>
  <c r="S5256" i="1"/>
  <c r="S5444" i="1"/>
  <c r="S5626" i="1"/>
  <c r="S5783" i="1"/>
  <c r="S140" i="1"/>
  <c r="S505" i="1"/>
  <c r="S839" i="1"/>
  <c r="S1194" i="1"/>
  <c r="S1529" i="1"/>
  <c r="S1825" i="1"/>
  <c r="S2092" i="1"/>
  <c r="S2373" i="1"/>
  <c r="S2679" i="1"/>
  <c r="S2939" i="1"/>
  <c r="S3194" i="1"/>
  <c r="S3472" i="1"/>
  <c r="S3726" i="1"/>
  <c r="S3939" i="1"/>
  <c r="S4161" i="1"/>
  <c r="S4372" i="1"/>
  <c r="S4558" i="1"/>
  <c r="S4767" i="1"/>
  <c r="S4987" i="1"/>
  <c r="S5163" i="1"/>
  <c r="S5350" i="1"/>
  <c r="S5529" i="1"/>
  <c r="S5693" i="1"/>
  <c r="S372" i="1"/>
  <c r="S736" i="1"/>
  <c r="S1169" i="1"/>
  <c r="S1602" i="1"/>
  <c r="S1914" i="1"/>
  <c r="S2207" i="1"/>
  <c r="S2575" i="1"/>
  <c r="S2845" i="1"/>
  <c r="S3127" i="1"/>
  <c r="S3474" i="1"/>
  <c r="S3754" i="1"/>
  <c r="S4046" i="1"/>
  <c r="S4260" i="1"/>
  <c r="S4538" i="1"/>
  <c r="S4740" i="1"/>
  <c r="S4988" i="1"/>
  <c r="S5188" i="1"/>
  <c r="S5379" i="1"/>
  <c r="S5601" i="1"/>
  <c r="S5786" i="1"/>
  <c r="S380" i="1"/>
  <c r="S806" i="1"/>
  <c r="S1198" i="1"/>
  <c r="S1606" i="1"/>
  <c r="S1915" i="1"/>
  <c r="S2245" i="1"/>
  <c r="S2576" i="1"/>
  <c r="S2858" i="1"/>
  <c r="S3192" i="1"/>
  <c r="S3479" i="1"/>
  <c r="S3755" i="1"/>
  <c r="S4047" i="1"/>
  <c r="S4323" i="1"/>
  <c r="S4539" i="1"/>
  <c r="S4743" i="1"/>
  <c r="S4989" i="1"/>
  <c r="S5189" i="1"/>
  <c r="S5381" i="1"/>
  <c r="S5606" i="1"/>
  <c r="S5791" i="1"/>
  <c r="S382" i="1"/>
  <c r="S836" i="1"/>
  <c r="S1208" i="1"/>
  <c r="S1614" i="1"/>
  <c r="S1933" i="1"/>
  <c r="S2250" i="1"/>
  <c r="S2578" i="1"/>
  <c r="S2860" i="1"/>
  <c r="S3207" i="1"/>
  <c r="S3480" i="1"/>
  <c r="S3759" i="1"/>
  <c r="S4050" i="1"/>
  <c r="S4324" i="1"/>
  <c r="S4540" i="1"/>
  <c r="S4762" i="1"/>
  <c r="S4998" i="1"/>
  <c r="S5190" i="1"/>
  <c r="S5382" i="1"/>
  <c r="S5627" i="1"/>
  <c r="S5792" i="1"/>
  <c r="S383" i="1"/>
  <c r="S837" i="1"/>
  <c r="S1238" i="1"/>
  <c r="S1638" i="1"/>
  <c r="S1947" i="1"/>
  <c r="S2304" i="1"/>
  <c r="S2579" i="1"/>
  <c r="S2892" i="1"/>
  <c r="S3214" i="1"/>
  <c r="S3507" i="1"/>
  <c r="S3820" i="1"/>
  <c r="S4065" i="1"/>
  <c r="S4330" i="1"/>
  <c r="S4541" i="1"/>
  <c r="S4819" i="1"/>
  <c r="S4999" i="1"/>
  <c r="S5191" i="1"/>
  <c r="S5437" i="1"/>
  <c r="S5628" i="1"/>
  <c r="S5814" i="1"/>
  <c r="S146" i="1"/>
  <c r="S527" i="1"/>
  <c r="S975" i="1"/>
  <c r="S1346" i="1"/>
  <c r="S1683" i="1"/>
  <c r="S2084" i="1"/>
  <c r="S2371" i="1"/>
  <c r="S2716" i="1"/>
  <c r="S2999" i="1"/>
  <c r="S3311" i="1"/>
  <c r="S3600" i="1"/>
  <c r="S3916" i="1"/>
  <c r="S4158" i="1"/>
  <c r="S4374" i="1"/>
  <c r="S4635" i="1"/>
  <c r="S4835" i="1"/>
  <c r="S5077" i="1"/>
  <c r="S5291" i="1"/>
  <c r="S5472" i="1"/>
  <c r="S5694" i="1"/>
  <c r="S475" i="1"/>
  <c r="S986" i="1"/>
  <c r="S1465" i="1"/>
  <c r="S1912" i="1"/>
  <c r="S2349" i="1"/>
  <c r="S2740" i="1"/>
  <c r="S3122" i="1"/>
  <c r="S3564" i="1"/>
  <c r="S3929" i="1"/>
  <c r="S4233" i="1"/>
  <c r="S4556" i="1"/>
  <c r="S4832" i="1"/>
  <c r="S5115" i="1"/>
  <c r="S5374" i="1"/>
  <c r="S5650" i="1"/>
  <c r="S578" i="1"/>
  <c r="S1125" i="1"/>
  <c r="S1649" i="1"/>
  <c r="S2085" i="1"/>
  <c r="S2468" i="1"/>
  <c r="S2844" i="1"/>
  <c r="S3274" i="1"/>
  <c r="S3679" i="1"/>
  <c r="S3983" i="1"/>
  <c r="S4353" i="1"/>
  <c r="S4657" i="1"/>
  <c r="S4915" i="1"/>
  <c r="S5209" i="1"/>
  <c r="S5471" i="1"/>
  <c r="S5720" i="1"/>
  <c r="S120" i="1"/>
  <c r="S650" i="1"/>
  <c r="S1140" i="1"/>
  <c r="S1655" i="1"/>
  <c r="S2087" i="1"/>
  <c r="S5692" i="1"/>
  <c r="S5369" i="1"/>
  <c r="S5090" i="1"/>
  <c r="S4820" i="1"/>
  <c r="S4454" i="1"/>
  <c r="S4131" i="1"/>
  <c r="S3737" i="1"/>
  <c r="S3312" i="1"/>
  <c r="S2843" i="1"/>
  <c r="S2446" i="1"/>
  <c r="S1952" i="1"/>
  <c r="S1367" i="1"/>
  <c r="S847" i="1"/>
  <c r="S195" i="1"/>
  <c r="S5651" i="1"/>
  <c r="S5368" i="1"/>
  <c r="S5088" i="1"/>
  <c r="S4739" i="1"/>
  <c r="S4440" i="1"/>
  <c r="S4130" i="1"/>
  <c r="S3725" i="1"/>
  <c r="S3276" i="1"/>
  <c r="S2842" i="1"/>
  <c r="S2427" i="1"/>
  <c r="S1907" i="1"/>
  <c r="S1365" i="1"/>
  <c r="S735" i="1"/>
  <c r="S188" i="1"/>
  <c r="S5639" i="1"/>
  <c r="S5367" i="1"/>
  <c r="S5029" i="1"/>
  <c r="S4733" i="1"/>
  <c r="S4428" i="1"/>
  <c r="S4078" i="1"/>
  <c r="S3718" i="1"/>
  <c r="S3271" i="1"/>
  <c r="S2812" i="1"/>
  <c r="S2374" i="1"/>
  <c r="S1906" i="1"/>
  <c r="S1352" i="1"/>
  <c r="S734" i="1"/>
  <c r="S176" i="1"/>
  <c r="S5542" i="1"/>
  <c r="S5277" i="1"/>
  <c r="S4947" i="1"/>
  <c r="S4658" i="1"/>
  <c r="S4332" i="1"/>
  <c r="S3940" i="1"/>
  <c r="S3580" i="1"/>
  <c r="S3114" i="1"/>
  <c r="S2700" i="1"/>
  <c r="S2189" i="1"/>
  <c r="S1771" i="1"/>
  <c r="S1161" i="1"/>
  <c r="S547" i="1"/>
  <c r="S5820" i="1"/>
  <c r="S5533" i="1"/>
  <c r="S5276" i="1"/>
  <c r="S4937" i="1"/>
  <c r="S4639" i="1"/>
  <c r="S4258" i="1"/>
  <c r="S3938" i="1"/>
  <c r="S3510" i="1"/>
  <c r="S3113" i="1"/>
  <c r="S2682" i="1"/>
  <c r="S2188" i="1"/>
  <c r="S1755" i="1"/>
  <c r="S1143" i="1"/>
  <c r="S524" i="1"/>
  <c r="S5815" i="1"/>
  <c r="S5532" i="1"/>
  <c r="S5251" i="1"/>
  <c r="S4916" i="1"/>
  <c r="S4633" i="1"/>
  <c r="S4257" i="1"/>
  <c r="S3930" i="1"/>
  <c r="S3508" i="1"/>
  <c r="S3085" i="1"/>
  <c r="S2641" i="1"/>
  <c r="S2182" i="1"/>
  <c r="S1682" i="1"/>
  <c r="S1071" i="1"/>
  <c r="S522" i="1"/>
  <c r="S5785" i="1"/>
  <c r="S5531" i="1"/>
  <c r="S5218" i="1"/>
  <c r="S4914" i="1"/>
  <c r="S4632" i="1"/>
  <c r="S4254" i="1"/>
  <c r="S3927" i="1"/>
  <c r="S3473" i="1"/>
  <c r="S3081" i="1"/>
  <c r="S2638" i="1"/>
  <c r="S2179" i="1"/>
  <c r="S1663" i="1"/>
  <c r="S1068" i="1"/>
  <c r="S506" i="1"/>
  <c r="R49" i="1"/>
  <c r="R18" i="1"/>
  <c r="R87" i="1"/>
  <c r="R157" i="1"/>
  <c r="R230" i="1"/>
  <c r="R306" i="1"/>
  <c r="R373" i="1"/>
  <c r="R447" i="1"/>
  <c r="R520" i="1"/>
  <c r="R585" i="1"/>
  <c r="R659" i="1"/>
  <c r="R735" i="1"/>
  <c r="R799" i="1"/>
  <c r="R864" i="1"/>
  <c r="R943" i="1"/>
  <c r="R1008" i="1"/>
  <c r="R1069" i="1"/>
  <c r="R1142" i="1"/>
  <c r="R1219" i="1"/>
  <c r="R1280" i="1"/>
  <c r="R1351" i="1"/>
  <c r="R1414" i="1"/>
  <c r="R1480" i="1"/>
  <c r="R1561" i="1"/>
  <c r="R1624" i="1"/>
  <c r="R1693" i="1"/>
  <c r="R1770" i="1"/>
  <c r="R1833" i="1"/>
  <c r="R1901" i="1"/>
  <c r="R1965" i="1"/>
  <c r="R2037" i="1"/>
  <c r="R2116" i="1"/>
  <c r="R2178" i="1"/>
  <c r="R2242" i="1"/>
  <c r="R2306" i="1"/>
  <c r="R2374" i="1"/>
  <c r="R2450" i="1"/>
  <c r="R2521" i="1"/>
  <c r="R2584" i="1"/>
  <c r="R2649" i="1"/>
  <c r="R2709" i="1"/>
  <c r="R2777" i="1"/>
  <c r="R2832" i="1"/>
  <c r="R2896" i="1"/>
  <c r="R2952" i="1"/>
  <c r="R3012" i="1"/>
  <c r="R3070" i="1"/>
  <c r="R3126" i="1"/>
  <c r="R3184" i="1"/>
  <c r="R3255" i="1"/>
  <c r="R3312" i="1"/>
  <c r="R3368" i="1"/>
  <c r="R3426" i="1"/>
  <c r="R3481" i="1"/>
  <c r="R3535" i="1"/>
  <c r="R3593" i="1"/>
  <c r="R50" i="1"/>
  <c r="R120" i="1"/>
  <c r="R189" i="1"/>
  <c r="R266" i="1"/>
  <c r="R333" i="1"/>
  <c r="R401" i="1"/>
  <c r="R479" i="1"/>
  <c r="R551" i="1"/>
  <c r="R631" i="1"/>
  <c r="R696" i="1"/>
  <c r="R764" i="1"/>
  <c r="R827" i="1"/>
  <c r="R896" i="1"/>
  <c r="R972" i="1"/>
  <c r="R1039" i="1"/>
  <c r="R1107" i="1"/>
  <c r="R1171" i="1"/>
  <c r="R1248" i="1"/>
  <c r="R1311" i="1"/>
  <c r="R1379" i="1"/>
  <c r="R1452" i="1"/>
  <c r="R1522" i="1"/>
  <c r="R19" i="1"/>
  <c r="R94" i="1"/>
  <c r="R176" i="1"/>
  <c r="R262" i="1"/>
  <c r="R332" i="1"/>
  <c r="R416" i="1"/>
  <c r="R489" i="1"/>
  <c r="R574" i="1"/>
  <c r="R643" i="1"/>
  <c r="R722" i="1"/>
  <c r="R800" i="1"/>
  <c r="R882" i="1"/>
  <c r="R949" i="1"/>
  <c r="R1031" i="1"/>
  <c r="R1106" i="1"/>
  <c r="R1185" i="1"/>
  <c r="R1253" i="1"/>
  <c r="R1326" i="1"/>
  <c r="R1408" i="1"/>
  <c r="R1478" i="1"/>
  <c r="R1564" i="1"/>
  <c r="R1627" i="1"/>
  <c r="R1708" i="1"/>
  <c r="R1778" i="1"/>
  <c r="R1840" i="1"/>
  <c r="R1923" i="1"/>
  <c r="R1995" i="1"/>
  <c r="R2064" i="1"/>
  <c r="R2129" i="1"/>
  <c r="R2204" i="1"/>
  <c r="R2280" i="1"/>
  <c r="R2345" i="1"/>
  <c r="R2422" i="1"/>
  <c r="R2492" i="1"/>
  <c r="R2556" i="1"/>
  <c r="R2637" i="1"/>
  <c r="R2702" i="1"/>
  <c r="R2760" i="1"/>
  <c r="R2821" i="1"/>
  <c r="R2879" i="1"/>
  <c r="R2951" i="1"/>
  <c r="R3013" i="1"/>
  <c r="R3073" i="1"/>
  <c r="R3134" i="1"/>
  <c r="R3206" i="1"/>
  <c r="R3262" i="1"/>
  <c r="R3321" i="1"/>
  <c r="R3381" i="1"/>
  <c r="R3437" i="1"/>
  <c r="R3509" i="1"/>
  <c r="R3563" i="1"/>
  <c r="R3620" i="1"/>
  <c r="R3673" i="1"/>
  <c r="R3719" i="1"/>
  <c r="R3786" i="1"/>
  <c r="R3829" i="1"/>
  <c r="R3885" i="1"/>
  <c r="R3939" i="1"/>
  <c r="R3993" i="1"/>
  <c r="R4046" i="1"/>
  <c r="R4105" i="1"/>
  <c r="R4160" i="1"/>
  <c r="R4213" i="1"/>
  <c r="R4264" i="1"/>
  <c r="R4323" i="1"/>
  <c r="R4375" i="1"/>
  <c r="R4420" i="1"/>
  <c r="R4473" i="1"/>
  <c r="R4525" i="1"/>
  <c r="R4574" i="1"/>
  <c r="R4616" i="1"/>
  <c r="R4665" i="1"/>
  <c r="R4713" i="1"/>
  <c r="R4757" i="1"/>
  <c r="R4808" i="1"/>
  <c r="R4857" i="1"/>
  <c r="R4896" i="1"/>
  <c r="R4944" i="1"/>
  <c r="R4992" i="1"/>
  <c r="R5036" i="1"/>
  <c r="R5086" i="1"/>
  <c r="R5136" i="1"/>
  <c r="R5176" i="1"/>
  <c r="R5226" i="1"/>
  <c r="R5274" i="1"/>
  <c r="R5317" i="1"/>
  <c r="R5366" i="1"/>
  <c r="R5414" i="1"/>
  <c r="R5452" i="1"/>
  <c r="R5499" i="1"/>
  <c r="R5540" i="1"/>
  <c r="R5586" i="1"/>
  <c r="R5631" i="1"/>
  <c r="R5670" i="1"/>
  <c r="R5715" i="1"/>
  <c r="R5752" i="1"/>
  <c r="R5797" i="1"/>
  <c r="R20" i="1"/>
  <c r="R95" i="1"/>
  <c r="R179" i="1"/>
  <c r="R263" i="1"/>
  <c r="R334" i="1"/>
  <c r="R418" i="1"/>
  <c r="R498" i="1"/>
  <c r="R576" i="1"/>
  <c r="R645" i="1"/>
  <c r="R731" i="1"/>
  <c r="R801" i="1"/>
  <c r="R883" i="1"/>
  <c r="R950" i="1"/>
  <c r="R1034" i="1"/>
  <c r="R1108" i="1"/>
  <c r="R1186" i="1"/>
  <c r="R1256" i="1"/>
  <c r="R1327" i="1"/>
  <c r="R1409" i="1"/>
  <c r="R88" i="1"/>
  <c r="R181" i="1"/>
  <c r="R268" i="1"/>
  <c r="R353" i="1"/>
  <c r="R433" i="1"/>
  <c r="R525" i="1"/>
  <c r="R609" i="1"/>
  <c r="R698" i="1"/>
  <c r="R786" i="1"/>
  <c r="R859" i="1"/>
  <c r="R947" i="1"/>
  <c r="R1037" i="1"/>
  <c r="R1113" i="1"/>
  <c r="R1197" i="1"/>
  <c r="R1281" i="1"/>
  <c r="R1370" i="1"/>
  <c r="R1445" i="1"/>
  <c r="R1531" i="1"/>
  <c r="R1600" i="1"/>
  <c r="R1679" i="1"/>
  <c r="R1755" i="1"/>
  <c r="R1832" i="1"/>
  <c r="R1907" i="1"/>
  <c r="R1986" i="1"/>
  <c r="R2054" i="1"/>
  <c r="R2128" i="1"/>
  <c r="R2205" i="1"/>
  <c r="R2285" i="1"/>
  <c r="R2359" i="1"/>
  <c r="R2435" i="1"/>
  <c r="R2513" i="1"/>
  <c r="R2583" i="1"/>
  <c r="R2654" i="1"/>
  <c r="R2725" i="1"/>
  <c r="R2787" i="1"/>
  <c r="R2860" i="1"/>
  <c r="R2920" i="1"/>
  <c r="R2981" i="1"/>
  <c r="R3048" i="1"/>
  <c r="R3117" i="1"/>
  <c r="R3175" i="1"/>
  <c r="R3238" i="1"/>
  <c r="R3315" i="1"/>
  <c r="R3376" i="1"/>
  <c r="R3434" i="1"/>
  <c r="R3496" i="1"/>
  <c r="R3561" i="1"/>
  <c r="R3621" i="1"/>
  <c r="R3675" i="1"/>
  <c r="R3733" i="1"/>
  <c r="R3791" i="1"/>
  <c r="R3845" i="1"/>
  <c r="R3901" i="1"/>
  <c r="R3958" i="1"/>
  <c r="R4016" i="1"/>
  <c r="R4071" i="1"/>
  <c r="R4130" i="1"/>
  <c r="R4182" i="1"/>
  <c r="R4239" i="1"/>
  <c r="R4300" i="1"/>
  <c r="R61" i="1"/>
  <c r="R151" i="1"/>
  <c r="R245" i="1"/>
  <c r="R336" i="1"/>
  <c r="R428" i="1"/>
  <c r="R523" i="1"/>
  <c r="R608" i="1"/>
  <c r="R699" i="1"/>
  <c r="R793" i="1"/>
  <c r="R875" i="1"/>
  <c r="R971" i="1"/>
  <c r="R1053" i="1"/>
  <c r="R1137" i="1"/>
  <c r="R1226" i="1"/>
  <c r="R1308" i="1"/>
  <c r="R1404" i="1"/>
  <c r="R1479" i="1"/>
  <c r="R1569" i="1"/>
  <c r="R1650" i="1"/>
  <c r="R1722" i="1"/>
  <c r="R1806" i="1"/>
  <c r="R1879" i="1"/>
  <c r="R1960" i="1"/>
  <c r="R2038" i="1"/>
  <c r="R2121" i="1"/>
  <c r="R2191" i="1"/>
  <c r="R2279" i="1"/>
  <c r="R2358" i="1"/>
  <c r="R2436" i="1"/>
  <c r="R2515" i="1"/>
  <c r="R2593" i="1"/>
  <c r="R2666" i="1"/>
  <c r="R2735" i="1"/>
  <c r="R2807" i="1"/>
  <c r="R2872" i="1"/>
  <c r="R2947" i="1"/>
  <c r="R3008" i="1"/>
  <c r="R3086" i="1"/>
  <c r="R3146" i="1"/>
  <c r="R3214" i="1"/>
  <c r="R3284" i="1"/>
  <c r="R3354" i="1"/>
  <c r="R3411" i="1"/>
  <c r="R3482" i="1"/>
  <c r="R3546" i="1"/>
  <c r="R3605" i="1"/>
  <c r="R3662" i="1"/>
  <c r="R3720" i="1"/>
  <c r="R3790" i="1"/>
  <c r="R3846" i="1"/>
  <c r="R3908" i="1"/>
  <c r="R3963" i="1"/>
  <c r="R4022" i="1"/>
  <c r="R4083" i="1"/>
  <c r="R4136" i="1"/>
  <c r="R4206" i="1"/>
  <c r="R4262" i="1"/>
  <c r="R4324" i="1"/>
  <c r="R4377" i="1"/>
  <c r="R4435" i="1"/>
  <c r="R4489" i="1"/>
  <c r="R4531" i="1"/>
  <c r="R4586" i="1"/>
  <c r="R4635" i="1"/>
  <c r="R4687" i="1"/>
  <c r="R4730" i="1"/>
  <c r="R4780" i="1"/>
  <c r="R4831" i="1"/>
  <c r="R4882" i="1"/>
  <c r="R4933" i="1"/>
  <c r="R4976" i="1"/>
  <c r="R5027" i="1"/>
  <c r="R5076" i="1"/>
  <c r="R5122" i="1"/>
  <c r="R62" i="1"/>
  <c r="R156" i="1"/>
  <c r="R246" i="1"/>
  <c r="R337" i="1"/>
  <c r="R431" i="1"/>
  <c r="R524" i="1"/>
  <c r="R618" i="1"/>
  <c r="R703" i="1"/>
  <c r="R794" i="1"/>
  <c r="R884" i="1"/>
  <c r="R973" i="1"/>
  <c r="R1061" i="1"/>
  <c r="R1138" i="1"/>
  <c r="R1227" i="1"/>
  <c r="R1317" i="1"/>
  <c r="R1405" i="1"/>
  <c r="R1481" i="1"/>
  <c r="R1570" i="1"/>
  <c r="R1651" i="1"/>
  <c r="R1723" i="1"/>
  <c r="R1811" i="1"/>
  <c r="R1880" i="1"/>
  <c r="R1961" i="1"/>
  <c r="R2048" i="1"/>
  <c r="R2122" i="1"/>
  <c r="R2201" i="1"/>
  <c r="R2282" i="1"/>
  <c r="R2362" i="1"/>
  <c r="R2437" i="1"/>
  <c r="R2522" i="1"/>
  <c r="R2602" i="1"/>
  <c r="R2672" i="1"/>
  <c r="R2739" i="1"/>
  <c r="R2809" i="1"/>
  <c r="R2873" i="1"/>
  <c r="R2948" i="1"/>
  <c r="R3014" i="1"/>
  <c r="R3087" i="1"/>
  <c r="R3148" i="1"/>
  <c r="R3215" i="1"/>
  <c r="R3285" i="1"/>
  <c r="R3355" i="1"/>
  <c r="R3420" i="1"/>
  <c r="R3483" i="1"/>
  <c r="R3547" i="1"/>
  <c r="R3606" i="1"/>
  <c r="R3666" i="1"/>
  <c r="R3732" i="1"/>
  <c r="R3794" i="1"/>
  <c r="R3848" i="1"/>
  <c r="R3909" i="1"/>
  <c r="R3966" i="1"/>
  <c r="R4024" i="1"/>
  <c r="R4084" i="1"/>
  <c r="R4137" i="1"/>
  <c r="R4208" i="1"/>
  <c r="R4263" i="1"/>
  <c r="R4325" i="1"/>
  <c r="R4378" i="1"/>
  <c r="R4440" i="1"/>
  <c r="R4490" i="1"/>
  <c r="R4543" i="1"/>
  <c r="R17" i="1"/>
  <c r="R111" i="1"/>
  <c r="R207" i="1"/>
  <c r="R283" i="1"/>
  <c r="R384" i="1"/>
  <c r="R465" i="1"/>
  <c r="R555" i="1"/>
  <c r="R651" i="1"/>
  <c r="R742" i="1"/>
  <c r="R824" i="1"/>
  <c r="R920" i="1"/>
  <c r="R1004" i="1"/>
  <c r="R1093" i="1"/>
  <c r="R1166" i="1"/>
  <c r="R1263" i="1"/>
  <c r="R1352" i="1"/>
  <c r="R1434" i="1"/>
  <c r="R1527" i="1"/>
  <c r="R1599" i="1"/>
  <c r="R1682" i="1"/>
  <c r="R1758" i="1"/>
  <c r="R1836" i="1"/>
  <c r="R1929" i="1"/>
  <c r="R1998" i="1"/>
  <c r="R2078" i="1"/>
  <c r="R2154" i="1"/>
  <c r="R2239" i="1"/>
  <c r="R2314" i="1"/>
  <c r="R2394" i="1"/>
  <c r="R2468" i="1"/>
  <c r="R2551" i="1"/>
  <c r="R2633" i="1"/>
  <c r="R2701" i="1"/>
  <c r="R2763" i="1"/>
  <c r="R2836" i="1"/>
  <c r="R2904" i="1"/>
  <c r="R2973" i="1"/>
  <c r="R3042" i="1"/>
  <c r="R3101" i="1"/>
  <c r="R3174" i="1"/>
  <c r="R3254" i="1"/>
  <c r="R3317" i="1"/>
  <c r="R3380" i="1"/>
  <c r="R3453" i="1"/>
  <c r="R3514" i="1"/>
  <c r="R3574" i="1"/>
  <c r="R3633" i="1"/>
  <c r="R3701" i="1"/>
  <c r="R3756" i="1"/>
  <c r="R3813" i="1"/>
  <c r="R3873" i="1"/>
  <c r="R3934" i="1"/>
  <c r="R85" i="1"/>
  <c r="R206" i="1"/>
  <c r="R302" i="1"/>
  <c r="R394" i="1"/>
  <c r="R508" i="1"/>
  <c r="R630" i="1"/>
  <c r="R712" i="1"/>
  <c r="R819" i="1"/>
  <c r="R922" i="1"/>
  <c r="R1013" i="1"/>
  <c r="R1123" i="1"/>
  <c r="R1225" i="1"/>
  <c r="R1323" i="1"/>
  <c r="R1417" i="1"/>
  <c r="R1528" i="1"/>
  <c r="R1616" i="1"/>
  <c r="R1715" i="1"/>
  <c r="R1788" i="1"/>
  <c r="R1884" i="1"/>
  <c r="R1988" i="1"/>
  <c r="R2077" i="1"/>
  <c r="R2174" i="1"/>
  <c r="R2250" i="1"/>
  <c r="R2341" i="1"/>
  <c r="R2438" i="1"/>
  <c r="R2543" i="1"/>
  <c r="R2613" i="1"/>
  <c r="R2704" i="1"/>
  <c r="R2785" i="1"/>
  <c r="R2866" i="1"/>
  <c r="R2933" i="1"/>
  <c r="R3019" i="1"/>
  <c r="R3098" i="1"/>
  <c r="R3178" i="1"/>
  <c r="R3261" i="1"/>
  <c r="R3339" i="1"/>
  <c r="R3409" i="1"/>
  <c r="R3487" i="1"/>
  <c r="R3568" i="1"/>
  <c r="R3629" i="1"/>
  <c r="R3706" i="1"/>
  <c r="R3766" i="1"/>
  <c r="R3842" i="1"/>
  <c r="R3910" i="1"/>
  <c r="R3983" i="1"/>
  <c r="R4041" i="1"/>
  <c r="R4107" i="1"/>
  <c r="R4168" i="1"/>
  <c r="R4235" i="1"/>
  <c r="R4302" i="1"/>
  <c r="R4359" i="1"/>
  <c r="R4419" i="1"/>
  <c r="R4488" i="1"/>
  <c r="R4545" i="1"/>
  <c r="R4590" i="1"/>
  <c r="R4643" i="1"/>
  <c r="R4693" i="1"/>
  <c r="R4746" i="1"/>
  <c r="R4798" i="1"/>
  <c r="R4854" i="1"/>
  <c r="R4906" i="1"/>
  <c r="R4950" i="1"/>
  <c r="R5004" i="1"/>
  <c r="R5056" i="1"/>
  <c r="R5106" i="1"/>
  <c r="R5158" i="1"/>
  <c r="R5204" i="1"/>
  <c r="R5254" i="1"/>
  <c r="R5303" i="1"/>
  <c r="R5352" i="1"/>
  <c r="R5395" i="1"/>
  <c r="R5446" i="1"/>
  <c r="R5495" i="1"/>
  <c r="R5537" i="1"/>
  <c r="R5584" i="1"/>
  <c r="R5630" i="1"/>
  <c r="R5671" i="1"/>
  <c r="R5718" i="1"/>
  <c r="R5764" i="1"/>
  <c r="R5806" i="1"/>
  <c r="R93" i="1"/>
  <c r="R208" i="1"/>
  <c r="R310" i="1"/>
  <c r="R397" i="1"/>
  <c r="R511" i="1"/>
  <c r="R633" i="1"/>
  <c r="R721" i="1"/>
  <c r="R820" i="1"/>
  <c r="R923" i="1"/>
  <c r="R1014" i="1"/>
  <c r="R1124" i="1"/>
  <c r="R1228" i="1"/>
  <c r="R1324" i="1"/>
  <c r="R1431" i="1"/>
  <c r="R1532" i="1"/>
  <c r="R1622" i="1"/>
  <c r="R1716" i="1"/>
  <c r="R1805" i="1"/>
  <c r="R1891" i="1"/>
  <c r="R1990" i="1"/>
  <c r="R2081" i="1"/>
  <c r="R2175" i="1"/>
  <c r="R2251" i="1"/>
  <c r="R2342" i="1"/>
  <c r="R2447" i="1"/>
  <c r="R2544" i="1"/>
  <c r="R2619" i="1"/>
  <c r="R2705" i="1"/>
  <c r="R2786" i="1"/>
  <c r="R2867" i="1"/>
  <c r="R2950" i="1"/>
  <c r="R3029" i="1"/>
  <c r="R3099" i="1"/>
  <c r="R3182" i="1"/>
  <c r="R3263" i="1"/>
  <c r="R3340" i="1"/>
  <c r="R3410" i="1"/>
  <c r="R3488" i="1"/>
  <c r="R3569" i="1"/>
  <c r="R3634" i="1"/>
  <c r="R3707" i="1"/>
  <c r="R3767" i="1"/>
  <c r="R3843" i="1"/>
  <c r="R3911" i="1"/>
  <c r="R3984" i="1"/>
  <c r="R4042" i="1"/>
  <c r="R4110" i="1"/>
  <c r="R4178" i="1"/>
  <c r="R4236" i="1"/>
  <c r="R4303" i="1"/>
  <c r="R4360" i="1"/>
  <c r="R4433" i="1"/>
  <c r="R4491" i="1"/>
  <c r="R4547" i="1"/>
  <c r="R4599" i="1"/>
  <c r="R4644" i="1"/>
  <c r="R4697" i="1"/>
  <c r="R4747" i="1"/>
  <c r="R4802" i="1"/>
  <c r="R4856" i="1"/>
  <c r="R4907" i="1"/>
  <c r="R4951" i="1"/>
  <c r="R5007" i="1"/>
  <c r="R5057" i="1"/>
  <c r="R5107" i="1"/>
  <c r="R5159" i="1"/>
  <c r="R5215" i="1"/>
  <c r="R5255" i="1"/>
  <c r="R5304" i="1"/>
  <c r="R5356" i="1"/>
  <c r="R5396" i="1"/>
  <c r="R5447" i="1"/>
  <c r="R5496" i="1"/>
  <c r="R5538" i="1"/>
  <c r="R5585" i="1"/>
  <c r="R5632" i="1"/>
  <c r="R5672" i="1"/>
  <c r="R5719" i="1"/>
  <c r="R5766" i="1"/>
  <c r="R5807" i="1"/>
  <c r="R96" i="1"/>
  <c r="R211" i="1"/>
  <c r="R311" i="1"/>
  <c r="R415" i="1"/>
  <c r="R519" i="1"/>
  <c r="R634" i="1"/>
  <c r="R736" i="1"/>
  <c r="R830" i="1"/>
  <c r="R926" i="1"/>
  <c r="R1017" i="1"/>
  <c r="R1125" i="1"/>
  <c r="R1229" i="1"/>
  <c r="R1346" i="1"/>
  <c r="R1433" i="1"/>
  <c r="R1535" i="1"/>
  <c r="R1623" i="1"/>
  <c r="R1717" i="1"/>
  <c r="R1812" i="1"/>
  <c r="R1894" i="1"/>
  <c r="R1996" i="1"/>
  <c r="R2083" i="1"/>
  <c r="R2177" i="1"/>
  <c r="R2252" i="1"/>
  <c r="R2357" i="1"/>
  <c r="R2455" i="1"/>
  <c r="R2545" i="1"/>
  <c r="R2634" i="1"/>
  <c r="R2706" i="1"/>
  <c r="R2789" i="1"/>
  <c r="R2870" i="1"/>
  <c r="R2953" i="1"/>
  <c r="R3030" i="1"/>
  <c r="R3100" i="1"/>
  <c r="R3183" i="1"/>
  <c r="R3266" i="1"/>
  <c r="R3342" i="1"/>
  <c r="R3425" i="1"/>
  <c r="R3492" i="1"/>
  <c r="R3570" i="1"/>
  <c r="R3646" i="1"/>
  <c r="R3708" i="1"/>
  <c r="R3768" i="1"/>
  <c r="R3844" i="1"/>
  <c r="R3914" i="1"/>
  <c r="R3985" i="1"/>
  <c r="R4045" i="1"/>
  <c r="R4111" i="1"/>
  <c r="R4179" i="1"/>
  <c r="R4246" i="1"/>
  <c r="R4304" i="1"/>
  <c r="R4362" i="1"/>
  <c r="R4434" i="1"/>
  <c r="R4493" i="1"/>
  <c r="R4548" i="1"/>
  <c r="R4600" i="1"/>
  <c r="R4653" i="1"/>
  <c r="R4698" i="1"/>
  <c r="R4748" i="1"/>
  <c r="R4803" i="1"/>
  <c r="R4858" i="1"/>
  <c r="R4908" i="1"/>
  <c r="R4952" i="1"/>
  <c r="R5008" i="1"/>
  <c r="R5058" i="1"/>
  <c r="R5108" i="1"/>
  <c r="R5166" i="1"/>
  <c r="R5216" i="1"/>
  <c r="R5256" i="1"/>
  <c r="R5305" i="1"/>
  <c r="R5360" i="1"/>
  <c r="R5400" i="1"/>
  <c r="R5448" i="1"/>
  <c r="R5497" i="1"/>
  <c r="R5539" i="1"/>
  <c r="R5587" i="1"/>
  <c r="R5633" i="1"/>
  <c r="R5673" i="1"/>
  <c r="R5720" i="1"/>
  <c r="R5768" i="1"/>
  <c r="R5808" i="1"/>
  <c r="R108" i="1"/>
  <c r="R212" i="1"/>
  <c r="R312" i="1"/>
  <c r="R423" i="1"/>
  <c r="R526" i="1"/>
  <c r="R635" i="1"/>
  <c r="R740" i="1"/>
  <c r="R837" i="1"/>
  <c r="R937" i="1"/>
  <c r="R1042" i="1"/>
  <c r="R1132" i="1"/>
  <c r="R1235" i="1"/>
  <c r="R1347" i="1"/>
  <c r="R1443" i="1"/>
  <c r="R1536" i="1"/>
  <c r="R29" i="1"/>
  <c r="R139" i="1"/>
  <c r="R236" i="1"/>
  <c r="R340" i="1"/>
  <c r="R455" i="1"/>
  <c r="R554" i="1"/>
  <c r="R668" i="1"/>
  <c r="R765" i="1"/>
  <c r="R858" i="1"/>
  <c r="R977" i="1"/>
  <c r="R1065" i="1"/>
  <c r="R1164" i="1"/>
  <c r="R1277" i="1"/>
  <c r="R1372" i="1"/>
  <c r="R1470" i="1"/>
  <c r="R1566" i="1"/>
  <c r="R1657" i="1"/>
  <c r="R1748" i="1"/>
  <c r="R1839" i="1"/>
  <c r="R1936" i="1"/>
  <c r="R2024" i="1"/>
  <c r="R2118" i="1"/>
  <c r="R2214" i="1"/>
  <c r="R2302" i="1"/>
  <c r="R2393" i="1"/>
  <c r="R2483" i="1"/>
  <c r="R2577" i="1"/>
  <c r="R2661" i="1"/>
  <c r="R2749" i="1"/>
  <c r="R2819" i="1"/>
  <c r="R2902" i="1"/>
  <c r="R2975" i="1"/>
  <c r="R3060" i="1"/>
  <c r="R3128" i="1"/>
  <c r="R3213" i="1"/>
  <c r="R3292" i="1"/>
  <c r="R3370" i="1"/>
  <c r="R3454" i="1"/>
  <c r="R3522" i="1"/>
  <c r="R3598" i="1"/>
  <c r="R3658" i="1"/>
  <c r="R3741" i="1"/>
  <c r="R3799" i="1"/>
  <c r="R3872" i="1"/>
  <c r="R3938" i="1"/>
  <c r="R3997" i="1"/>
  <c r="R4070" i="1"/>
  <c r="R4133" i="1"/>
  <c r="R4205" i="1"/>
  <c r="R4266" i="1"/>
  <c r="R4330" i="1"/>
  <c r="R4394" i="1"/>
  <c r="R4457" i="1"/>
  <c r="R4504" i="1"/>
  <c r="R4570" i="1"/>
  <c r="R4614" i="1"/>
  <c r="R4666" i="1"/>
  <c r="R4720" i="1"/>
  <c r="R4771" i="1"/>
  <c r="R4822" i="1"/>
  <c r="R4866" i="1"/>
  <c r="R4920" i="1"/>
  <c r="R4975" i="1"/>
  <c r="R5028" i="1"/>
  <c r="R5078" i="1"/>
  <c r="R5132" i="1"/>
  <c r="R5175" i="1"/>
  <c r="R5227" i="1"/>
  <c r="R5277" i="1"/>
  <c r="R5328" i="1"/>
  <c r="R5371" i="1"/>
  <c r="R5419" i="1"/>
  <c r="R5469" i="1"/>
  <c r="R5512" i="1"/>
  <c r="R5559" i="1"/>
  <c r="R5606" i="1"/>
  <c r="R5647" i="1"/>
  <c r="R5694" i="1"/>
  <c r="R5740" i="1"/>
  <c r="R5777" i="1"/>
  <c r="R5802" i="1"/>
  <c r="R5747" i="1"/>
  <c r="R5697" i="1"/>
  <c r="R5641" i="1"/>
  <c r="R5589" i="1"/>
  <c r="R5534" i="1"/>
  <c r="R5475" i="1"/>
  <c r="R5422" i="1"/>
  <c r="R5365" i="1"/>
  <c r="R5302" i="1"/>
  <c r="R5248" i="1"/>
  <c r="R5190" i="1"/>
  <c r="R5129" i="1"/>
  <c r="R5060" i="1"/>
  <c r="R4997" i="1"/>
  <c r="R4939" i="1"/>
  <c r="R4867" i="1"/>
  <c r="R4812" i="1"/>
  <c r="R4745" i="1"/>
  <c r="R4688" i="1"/>
  <c r="R4625" i="1"/>
  <c r="R4556" i="1"/>
  <c r="R4495" i="1"/>
  <c r="R4416" i="1"/>
  <c r="R4349" i="1"/>
  <c r="R4270" i="1"/>
  <c r="R4184" i="1"/>
  <c r="R4106" i="1"/>
  <c r="R4028" i="1"/>
  <c r="R3943" i="1"/>
  <c r="R3862" i="1"/>
  <c r="R3787" i="1"/>
  <c r="R3692" i="1"/>
  <c r="R3607" i="1"/>
  <c r="R3523" i="1"/>
  <c r="R3433" i="1"/>
  <c r="R3338" i="1"/>
  <c r="R3233" i="1"/>
  <c r="R3145" i="1"/>
  <c r="R3055" i="1"/>
  <c r="R2955" i="1"/>
  <c r="R2852" i="1"/>
  <c r="R2756" i="1"/>
  <c r="R2662" i="1"/>
  <c r="R2553" i="1"/>
  <c r="R2426" i="1"/>
  <c r="R2330" i="1"/>
  <c r="R2223" i="1"/>
  <c r="R2097" i="1"/>
  <c r="R1999" i="1"/>
  <c r="R1877" i="1"/>
  <c r="R1777" i="1"/>
  <c r="R1664" i="1"/>
  <c r="R1541" i="1"/>
  <c r="R1413" i="1"/>
  <c r="R1293" i="1"/>
  <c r="R1162" i="1"/>
  <c r="R1012" i="1"/>
  <c r="R895" i="1"/>
  <c r="R766" i="1"/>
  <c r="R640" i="1"/>
  <c r="R484" i="1"/>
  <c r="R367" i="1"/>
  <c r="R217" i="1"/>
  <c r="R76" i="1"/>
  <c r="R4786" i="1"/>
  <c r="R4725" i="1"/>
  <c r="R4664" i="1"/>
  <c r="R4604" i="1"/>
  <c r="R4530" i="1"/>
  <c r="R4466" i="1"/>
  <c r="R4403" i="1"/>
  <c r="R4327" i="1"/>
  <c r="R4247" i="1"/>
  <c r="R4162" i="1"/>
  <c r="R4080" i="1"/>
  <c r="R3996" i="1"/>
  <c r="R3926" i="1"/>
  <c r="R3828" i="1"/>
  <c r="R3747" i="1"/>
  <c r="R3674" i="1"/>
  <c r="R3580" i="1"/>
  <c r="R3497" i="1"/>
  <c r="R3403" i="1"/>
  <c r="R3311" i="1"/>
  <c r="R3212" i="1"/>
  <c r="R3122" i="1"/>
  <c r="R3015" i="1"/>
  <c r="R2921" i="1"/>
  <c r="R2822" i="1"/>
  <c r="R2727" i="1"/>
  <c r="R2635" i="1"/>
  <c r="R2514" i="1"/>
  <c r="R2401" i="1"/>
  <c r="R2301" i="1"/>
  <c r="R2181" i="1"/>
  <c r="R2069" i="1"/>
  <c r="R1956" i="1"/>
  <c r="R1842" i="1"/>
  <c r="R1742" i="1"/>
  <c r="R1626" i="1"/>
  <c r="R1504" i="1"/>
  <c r="R1374" i="1"/>
  <c r="R1251" i="1"/>
  <c r="R1109" i="1"/>
  <c r="R987" i="1"/>
  <c r="R853" i="1"/>
  <c r="R711" i="1"/>
  <c r="R582" i="1"/>
  <c r="R458" i="1"/>
  <c r="R322" i="1"/>
  <c r="R175" i="1"/>
  <c r="R47" i="1"/>
  <c r="S5772" i="1"/>
  <c r="S5686" i="1"/>
  <c r="S5594" i="1"/>
  <c r="S5515" i="1"/>
  <c r="S5431" i="1"/>
  <c r="S5322" i="1"/>
  <c r="S5247" i="1"/>
  <c r="S5159" i="1"/>
  <c r="S5076" i="1"/>
  <c r="S4976" i="1"/>
  <c r="S4893" i="1"/>
  <c r="S4806" i="1"/>
  <c r="S4700" i="1"/>
  <c r="S4611" i="1"/>
  <c r="S4524" i="1"/>
  <c r="S4406" i="1"/>
  <c r="S4322" i="1"/>
  <c r="S4227" i="1"/>
  <c r="S4123" i="1"/>
  <c r="S4010" i="1"/>
  <c r="S3913" i="1"/>
  <c r="S3818" i="1"/>
  <c r="S3675" i="1"/>
  <c r="S3561" i="1"/>
  <c r="S3447" i="1"/>
  <c r="S3310" i="1"/>
  <c r="S3191" i="1"/>
  <c r="S3049" i="1"/>
  <c r="S2924" i="1"/>
  <c r="S2811" i="1"/>
  <c r="S2666" i="1"/>
  <c r="S2566" i="1"/>
  <c r="S2426" i="1"/>
  <c r="S2286" i="1"/>
  <c r="S2164" i="1"/>
  <c r="S2011" i="1"/>
  <c r="S1894" i="1"/>
  <c r="S1750" i="1"/>
  <c r="S1589" i="1"/>
  <c r="S1438" i="1"/>
  <c r="S1292" i="1"/>
  <c r="S1123" i="1"/>
  <c r="S967" i="1"/>
  <c r="S774" i="1"/>
  <c r="S624" i="1"/>
  <c r="S466" i="1"/>
  <c r="S277" i="1"/>
  <c r="S105" i="1"/>
  <c r="S5771" i="1"/>
  <c r="S5668" i="1"/>
  <c r="S5588" i="1"/>
  <c r="S5504" i="1"/>
  <c r="S5430" i="1"/>
  <c r="S5321" i="1"/>
  <c r="S5246" i="1"/>
  <c r="S5158" i="1"/>
  <c r="S5054" i="1"/>
  <c r="S4967" i="1"/>
  <c r="S4890" i="1"/>
  <c r="S4794" i="1"/>
  <c r="S4699" i="1"/>
  <c r="S4607" i="1"/>
  <c r="S4520" i="1"/>
  <c r="S4404" i="1"/>
  <c r="S4321" i="1"/>
  <c r="S4226" i="1"/>
  <c r="S4122" i="1"/>
  <c r="S4007" i="1"/>
  <c r="S3910" i="1"/>
  <c r="S3801" i="1"/>
  <c r="S3672" i="1"/>
  <c r="S3560" i="1"/>
  <c r="S3441" i="1"/>
  <c r="S3309" i="1"/>
  <c r="S3188" i="1"/>
  <c r="S3046" i="1"/>
  <c r="S2923" i="1"/>
  <c r="S2809" i="1"/>
  <c r="S2663" i="1"/>
  <c r="S2546" i="1"/>
  <c r="S2422" i="1"/>
  <c r="S2285" i="1"/>
  <c r="S2161" i="1"/>
  <c r="S2010" i="1"/>
  <c r="S1881" i="1"/>
  <c r="S1747" i="1"/>
  <c r="S1588" i="1"/>
  <c r="S1437" i="1"/>
  <c r="S1285" i="1"/>
  <c r="S1104" i="1"/>
  <c r="S962" i="1"/>
  <c r="S760" i="1"/>
  <c r="S623" i="1"/>
  <c r="S465" i="1"/>
  <c r="S275" i="1"/>
  <c r="S102" i="1"/>
  <c r="S5759" i="1"/>
  <c r="S5664" i="1"/>
  <c r="S5587" i="1"/>
  <c r="S5500" i="1"/>
  <c r="S5415" i="1"/>
  <c r="S5320" i="1"/>
  <c r="S5242" i="1"/>
  <c r="S5150" i="1"/>
  <c r="S5053" i="1"/>
  <c r="S4965" i="1"/>
  <c r="S4887" i="1"/>
  <c r="S4792" i="1"/>
  <c r="S4698" i="1"/>
  <c r="S4606" i="1"/>
  <c r="S4512" i="1"/>
  <c r="S4403" i="1"/>
  <c r="S4308" i="1"/>
  <c r="S4221" i="1"/>
  <c r="S4110" i="1"/>
  <c r="S4004" i="1"/>
  <c r="S3907" i="1"/>
  <c r="S3791" i="1"/>
  <c r="S3670" i="1"/>
  <c r="S3552" i="1"/>
  <c r="S3408" i="1"/>
  <c r="S3308" i="1"/>
  <c r="S3187" i="1"/>
  <c r="S3037" i="1"/>
  <c r="S2921" i="1"/>
  <c r="S2808" i="1"/>
  <c r="S2654" i="1"/>
  <c r="S2544" i="1"/>
  <c r="S2414" i="1"/>
  <c r="S2284" i="1"/>
  <c r="S2160" i="1"/>
  <c r="S2009" i="1"/>
  <c r="S1878" i="1"/>
  <c r="S1746" i="1"/>
  <c r="S1578" i="1"/>
  <c r="S1434" i="1"/>
  <c r="S1252" i="1"/>
  <c r="S1101" i="1"/>
  <c r="S960" i="1"/>
  <c r="S759" i="1"/>
  <c r="S622" i="1"/>
  <c r="S460" i="1"/>
  <c r="S274" i="1"/>
  <c r="S2" i="1"/>
  <c r="S24" i="1"/>
  <c r="S46" i="1"/>
  <c r="S68" i="1"/>
  <c r="S90" i="1"/>
  <c r="S112" i="1"/>
  <c r="S134" i="1"/>
  <c r="S156" i="1"/>
  <c r="S178" i="1"/>
  <c r="S200" i="1"/>
  <c r="S222" i="1"/>
  <c r="S244" i="1"/>
  <c r="S266" i="1"/>
  <c r="S288" i="1"/>
  <c r="S310" i="1"/>
  <c r="S332" i="1"/>
  <c r="S354" i="1"/>
  <c r="S376" i="1"/>
  <c r="S398" i="1"/>
  <c r="S420" i="1"/>
  <c r="S442" i="1"/>
  <c r="S464" i="1"/>
  <c r="S486" i="1"/>
  <c r="S508" i="1"/>
  <c r="S530" i="1"/>
  <c r="S552" i="1"/>
  <c r="S574" i="1"/>
  <c r="S596" i="1"/>
  <c r="S618" i="1"/>
  <c r="S640" i="1"/>
  <c r="S662" i="1"/>
  <c r="S684" i="1"/>
  <c r="S706" i="1"/>
  <c r="S728" i="1"/>
  <c r="S750" i="1"/>
  <c r="S772" i="1"/>
  <c r="S794" i="1"/>
  <c r="S816" i="1"/>
  <c r="S838" i="1"/>
  <c r="S860" i="1"/>
  <c r="S882" i="1"/>
  <c r="S904" i="1"/>
  <c r="S926" i="1"/>
  <c r="S948" i="1"/>
  <c r="S970" i="1"/>
  <c r="S992" i="1"/>
  <c r="S1014" i="1"/>
  <c r="S1036" i="1"/>
  <c r="S1058" i="1"/>
  <c r="S1080" i="1"/>
  <c r="S1102" i="1"/>
  <c r="S1124" i="1"/>
  <c r="S1146" i="1"/>
  <c r="S1168" i="1"/>
  <c r="S1190" i="1"/>
  <c r="S1212" i="1"/>
  <c r="S1234" i="1"/>
  <c r="S1256" i="1"/>
  <c r="S1278" i="1"/>
  <c r="S1300" i="1"/>
  <c r="S1322" i="1"/>
  <c r="S1344" i="1"/>
  <c r="S1366" i="1"/>
  <c r="S1388" i="1"/>
  <c r="S1410" i="1"/>
  <c r="S1432" i="1"/>
  <c r="S1454" i="1"/>
  <c r="S1476" i="1"/>
  <c r="S1498" i="1"/>
  <c r="S1520" i="1"/>
  <c r="S1542" i="1"/>
  <c r="S1564" i="1"/>
  <c r="S1586" i="1"/>
  <c r="S1608" i="1"/>
  <c r="S1630" i="1"/>
  <c r="S1652" i="1"/>
  <c r="S1674" i="1"/>
  <c r="S1696" i="1"/>
  <c r="S1718" i="1"/>
  <c r="S1740" i="1"/>
  <c r="S1762" i="1"/>
  <c r="S1784" i="1"/>
  <c r="S1806" i="1"/>
  <c r="S1828" i="1"/>
  <c r="S1850" i="1"/>
  <c r="S3" i="1"/>
  <c r="S26" i="1"/>
  <c r="S49" i="1"/>
  <c r="S72" i="1"/>
  <c r="S95" i="1"/>
  <c r="S118" i="1"/>
  <c r="S141" i="1"/>
  <c r="S164" i="1"/>
  <c r="S187" i="1"/>
  <c r="S210" i="1"/>
  <c r="S233" i="1"/>
  <c r="S256" i="1"/>
  <c r="S279" i="1"/>
  <c r="S302" i="1"/>
  <c r="S325" i="1"/>
  <c r="S348" i="1"/>
  <c r="S371" i="1"/>
  <c r="S394" i="1"/>
  <c r="S417" i="1"/>
  <c r="S440" i="1"/>
  <c r="S463" i="1"/>
  <c r="S487" i="1"/>
  <c r="S510" i="1"/>
  <c r="S533" i="1"/>
  <c r="S556" i="1"/>
  <c r="S579" i="1"/>
  <c r="S602" i="1"/>
  <c r="S625" i="1"/>
  <c r="S648" i="1"/>
  <c r="S671" i="1"/>
  <c r="S694" i="1"/>
  <c r="S717" i="1"/>
  <c r="S740" i="1"/>
  <c r="S763" i="1"/>
  <c r="S786" i="1"/>
  <c r="S809" i="1"/>
  <c r="S832" i="1"/>
  <c r="S855" i="1"/>
  <c r="S878" i="1"/>
  <c r="S901" i="1"/>
  <c r="S924" i="1"/>
  <c r="S947" i="1"/>
  <c r="S971" i="1"/>
  <c r="S994" i="1"/>
  <c r="S1017" i="1"/>
  <c r="S1040" i="1"/>
  <c r="S1063" i="1"/>
  <c r="S1086" i="1"/>
  <c r="S1109" i="1"/>
  <c r="S1132" i="1"/>
  <c r="S1155" i="1"/>
  <c r="S1178" i="1"/>
  <c r="S1201" i="1"/>
  <c r="S1224" i="1"/>
  <c r="S1247" i="1"/>
  <c r="S1270" i="1"/>
  <c r="S1293" i="1"/>
  <c r="S1316" i="1"/>
  <c r="S1339" i="1"/>
  <c r="S1362" i="1"/>
  <c r="S1385" i="1"/>
  <c r="S1408" i="1"/>
  <c r="S1431" i="1"/>
  <c r="S1455" i="1"/>
  <c r="S1478" i="1"/>
  <c r="S1501" i="1"/>
  <c r="S1524" i="1"/>
  <c r="S1547" i="1"/>
  <c r="S1570" i="1"/>
  <c r="S1593" i="1"/>
  <c r="S1616" i="1"/>
  <c r="S1639" i="1"/>
  <c r="S1662" i="1"/>
  <c r="S1685" i="1"/>
  <c r="S1708" i="1"/>
  <c r="S1731" i="1"/>
  <c r="S1754" i="1"/>
  <c r="S1777" i="1"/>
  <c r="S1800" i="1"/>
  <c r="S1823" i="1"/>
  <c r="S1846" i="1"/>
  <c r="S1869" i="1"/>
  <c r="S1891" i="1"/>
  <c r="S1913" i="1"/>
  <c r="S1935" i="1"/>
  <c r="S1957" i="1"/>
  <c r="S1979" i="1"/>
  <c r="S2001" i="1"/>
  <c r="S2023" i="1"/>
  <c r="S2045" i="1"/>
  <c r="S2067" i="1"/>
  <c r="S2089" i="1"/>
  <c r="S2111" i="1"/>
  <c r="S2133" i="1"/>
  <c r="S2155" i="1"/>
  <c r="S2177" i="1"/>
  <c r="S2199" i="1"/>
  <c r="S2221" i="1"/>
  <c r="S2243" i="1"/>
  <c r="S2265" i="1"/>
  <c r="S2287" i="1"/>
  <c r="S2309" i="1"/>
  <c r="S2331" i="1"/>
  <c r="S2353" i="1"/>
  <c r="S2375" i="1"/>
  <c r="S2397" i="1"/>
  <c r="S2419" i="1"/>
  <c r="S2441" i="1"/>
  <c r="S2463" i="1"/>
  <c r="S2485" i="1"/>
  <c r="S2507" i="1"/>
  <c r="S2529" i="1"/>
  <c r="S2551" i="1"/>
  <c r="S2573" i="1"/>
  <c r="S2595" i="1"/>
  <c r="S2617" i="1"/>
  <c r="S2639" i="1"/>
  <c r="S2661" i="1"/>
  <c r="S2683" i="1"/>
  <c r="S2705" i="1"/>
  <c r="S2727" i="1"/>
  <c r="S2749" i="1"/>
  <c r="S2771" i="1"/>
  <c r="S2793" i="1"/>
  <c r="S2815" i="1"/>
  <c r="S2837" i="1"/>
  <c r="S2859" i="1"/>
  <c r="S2881" i="1"/>
  <c r="S2903" i="1"/>
  <c r="S2925" i="1"/>
  <c r="S2947" i="1"/>
  <c r="S2969" i="1"/>
  <c r="S2991" i="1"/>
  <c r="S3013" i="1"/>
  <c r="S3035" i="1"/>
  <c r="S3057" i="1"/>
  <c r="S3079" i="1"/>
  <c r="S3101" i="1"/>
  <c r="S3123" i="1"/>
  <c r="S3145" i="1"/>
  <c r="S3167" i="1"/>
  <c r="S3189" i="1"/>
  <c r="S3211" i="1"/>
  <c r="S3233" i="1"/>
  <c r="S3255" i="1"/>
  <c r="S3277" i="1"/>
  <c r="S3299" i="1"/>
  <c r="S3321" i="1"/>
  <c r="S3343" i="1"/>
  <c r="S3365" i="1"/>
  <c r="S3387" i="1"/>
  <c r="S3409" i="1"/>
  <c r="S3431" i="1"/>
  <c r="S3453" i="1"/>
  <c r="S3475" i="1"/>
  <c r="S3497" i="1"/>
  <c r="S3519" i="1"/>
  <c r="S3541" i="1"/>
  <c r="S3563" i="1"/>
  <c r="S3585" i="1"/>
  <c r="S3607" i="1"/>
  <c r="S3629" i="1"/>
  <c r="S3651" i="1"/>
  <c r="S3673" i="1"/>
  <c r="S3695" i="1"/>
  <c r="S3717" i="1"/>
  <c r="S3739" i="1"/>
  <c r="S3761" i="1"/>
  <c r="S3783" i="1"/>
  <c r="S3805" i="1"/>
  <c r="S4" i="1"/>
  <c r="S28" i="1"/>
  <c r="S52" i="1"/>
  <c r="S76" i="1"/>
  <c r="S100" i="1"/>
  <c r="S124" i="1"/>
  <c r="S148" i="1"/>
  <c r="S172" i="1"/>
  <c r="S196" i="1"/>
  <c r="S220" i="1"/>
  <c r="S245" i="1"/>
  <c r="S269" i="1"/>
  <c r="S293" i="1"/>
  <c r="S317" i="1"/>
  <c r="S341" i="1"/>
  <c r="S365" i="1"/>
  <c r="S389" i="1"/>
  <c r="S413" i="1"/>
  <c r="S437" i="1"/>
  <c r="S461" i="1"/>
  <c r="S485" i="1"/>
  <c r="S511" i="1"/>
  <c r="S535" i="1"/>
  <c r="S559" i="1"/>
  <c r="S583" i="1"/>
  <c r="S607" i="1"/>
  <c r="S631" i="1"/>
  <c r="S655" i="1"/>
  <c r="S679" i="1"/>
  <c r="S703" i="1"/>
  <c r="S727" i="1"/>
  <c r="S752" i="1"/>
  <c r="S776" i="1"/>
  <c r="S800" i="1"/>
  <c r="S824" i="1"/>
  <c r="S848" i="1"/>
  <c r="S872" i="1"/>
  <c r="S896" i="1"/>
  <c r="S920" i="1"/>
  <c r="S944" i="1"/>
  <c r="S968" i="1"/>
  <c r="S993" i="1"/>
  <c r="S1018" i="1"/>
  <c r="S1042" i="1"/>
  <c r="S1066" i="1"/>
  <c r="S1090" i="1"/>
  <c r="S1114" i="1"/>
  <c r="S1138" i="1"/>
  <c r="S1162" i="1"/>
  <c r="S1186" i="1"/>
  <c r="S1210" i="1"/>
  <c r="S1235" i="1"/>
  <c r="S1259" i="1"/>
  <c r="S1283" i="1"/>
  <c r="S1307" i="1"/>
  <c r="S1331" i="1"/>
  <c r="S1355" i="1"/>
  <c r="S1379" i="1"/>
  <c r="S1403" i="1"/>
  <c r="S1427" i="1"/>
  <c r="S1451" i="1"/>
  <c r="S1475" i="1"/>
  <c r="S1500" i="1"/>
  <c r="S1525" i="1"/>
  <c r="S1549" i="1"/>
  <c r="S1573" i="1"/>
  <c r="S1597" i="1"/>
  <c r="S1621" i="1"/>
  <c r="S1645" i="1"/>
  <c r="S1669" i="1"/>
  <c r="S1693" i="1"/>
  <c r="S1717" i="1"/>
  <c r="S1742" i="1"/>
  <c r="S1766" i="1"/>
  <c r="S1790" i="1"/>
  <c r="S1814" i="1"/>
  <c r="S1838" i="1"/>
  <c r="S1862" i="1"/>
  <c r="S1885" i="1"/>
  <c r="S1908" i="1"/>
  <c r="S1931" i="1"/>
  <c r="S1954" i="1"/>
  <c r="S1977" i="1"/>
  <c r="S2000" i="1"/>
  <c r="S2024" i="1"/>
  <c r="S2047" i="1"/>
  <c r="S2070" i="1"/>
  <c r="S2093" i="1"/>
  <c r="S2116" i="1"/>
  <c r="S2139" i="1"/>
  <c r="S2162" i="1"/>
  <c r="S2185" i="1"/>
  <c r="S2208" i="1"/>
  <c r="S2231" i="1"/>
  <c r="S2254" i="1"/>
  <c r="S2277" i="1"/>
  <c r="S2300" i="1"/>
  <c r="S2323" i="1"/>
  <c r="S2346" i="1"/>
  <c r="S2369" i="1"/>
  <c r="S2392" i="1"/>
  <c r="S2415" i="1"/>
  <c r="S2438" i="1"/>
  <c r="S2461" i="1"/>
  <c r="S2484" i="1"/>
  <c r="S2508" i="1"/>
  <c r="S2531" i="1"/>
  <c r="S2554" i="1"/>
  <c r="S2577" i="1"/>
  <c r="S2600" i="1"/>
  <c r="S2623" i="1"/>
  <c r="S2646" i="1"/>
  <c r="S2669" i="1"/>
  <c r="S2692" i="1"/>
  <c r="S2715" i="1"/>
  <c r="S2738" i="1"/>
  <c r="S2761" i="1"/>
  <c r="S2784" i="1"/>
  <c r="S2807" i="1"/>
  <c r="S2830" i="1"/>
  <c r="S2853" i="1"/>
  <c r="S2876" i="1"/>
  <c r="S2899" i="1"/>
  <c r="S2922" i="1"/>
  <c r="S2945" i="1"/>
  <c r="S2968" i="1"/>
  <c r="S2992" i="1"/>
  <c r="S3015" i="1"/>
  <c r="S3038" i="1"/>
  <c r="S3061" i="1"/>
  <c r="S3084" i="1"/>
  <c r="S3107" i="1"/>
  <c r="S3130" i="1"/>
  <c r="S3153" i="1"/>
  <c r="S3176" i="1"/>
  <c r="S3199" i="1"/>
  <c r="S3222" i="1"/>
  <c r="S3245" i="1"/>
  <c r="S3268" i="1"/>
  <c r="S3291" i="1"/>
  <c r="S3314" i="1"/>
  <c r="S3337" i="1"/>
  <c r="S3360" i="1"/>
  <c r="S3383" i="1"/>
  <c r="S3406" i="1"/>
  <c r="S3429" i="1"/>
  <c r="S3452" i="1"/>
  <c r="S3476" i="1"/>
  <c r="S3499" i="1"/>
  <c r="S3522" i="1"/>
  <c r="S3545" i="1"/>
  <c r="S3568" i="1"/>
  <c r="S3591" i="1"/>
  <c r="S3614" i="1"/>
  <c r="S3637" i="1"/>
  <c r="S3660" i="1"/>
  <c r="S3683" i="1"/>
  <c r="S3706" i="1"/>
  <c r="S3729" i="1"/>
  <c r="S3752" i="1"/>
  <c r="S3775" i="1"/>
  <c r="S3798" i="1"/>
  <c r="S3821" i="1"/>
  <c r="S3843" i="1"/>
  <c r="S3865" i="1"/>
  <c r="S3887" i="1"/>
  <c r="S3909" i="1"/>
  <c r="S3931" i="1"/>
  <c r="S3953" i="1"/>
  <c r="S3975" i="1"/>
  <c r="S3997" i="1"/>
  <c r="S4019" i="1"/>
  <c r="S4041" i="1"/>
  <c r="S4063" i="1"/>
  <c r="S4085" i="1"/>
  <c r="S4107" i="1"/>
  <c r="S4129" i="1"/>
  <c r="S4151" i="1"/>
  <c r="S4173" i="1"/>
  <c r="S4195" i="1"/>
  <c r="S4217" i="1"/>
  <c r="S4239" i="1"/>
  <c r="S4261" i="1"/>
  <c r="S4283" i="1"/>
  <c r="S4305" i="1"/>
  <c r="S4327" i="1"/>
  <c r="S4349" i="1"/>
  <c r="S4371" i="1"/>
  <c r="S4393" i="1"/>
  <c r="S4415" i="1"/>
  <c r="S4437" i="1"/>
  <c r="S4459" i="1"/>
  <c r="S4481" i="1"/>
  <c r="S4503" i="1"/>
  <c r="S4525" i="1"/>
  <c r="S4547" i="1"/>
  <c r="S4569" i="1"/>
  <c r="S4591" i="1"/>
  <c r="S5" i="1"/>
  <c r="S29" i="1"/>
  <c r="S53" i="1"/>
  <c r="S77" i="1"/>
  <c r="S101" i="1"/>
  <c r="S125" i="1"/>
  <c r="S149" i="1"/>
  <c r="S173" i="1"/>
  <c r="S197" i="1"/>
  <c r="S221" i="1"/>
  <c r="S246" i="1"/>
  <c r="S270" i="1"/>
  <c r="S294" i="1"/>
  <c r="S318" i="1"/>
  <c r="S342" i="1"/>
  <c r="S366" i="1"/>
  <c r="S390" i="1"/>
  <c r="S414" i="1"/>
  <c r="S438" i="1"/>
  <c r="S462" i="1"/>
  <c r="S488" i="1"/>
  <c r="S512" i="1"/>
  <c r="S536" i="1"/>
  <c r="S560" i="1"/>
  <c r="S584" i="1"/>
  <c r="S608" i="1"/>
  <c r="S632" i="1"/>
  <c r="S656" i="1"/>
  <c r="S680" i="1"/>
  <c r="S704" i="1"/>
  <c r="S729" i="1"/>
  <c r="S753" i="1"/>
  <c r="S777" i="1"/>
  <c r="S801" i="1"/>
  <c r="S825" i="1"/>
  <c r="S849" i="1"/>
  <c r="S873" i="1"/>
  <c r="S897" i="1"/>
  <c r="S921" i="1"/>
  <c r="S945" i="1"/>
  <c r="S969" i="1"/>
  <c r="S995" i="1"/>
  <c r="S1019" i="1"/>
  <c r="S1043" i="1"/>
  <c r="S1067" i="1"/>
  <c r="S1091" i="1"/>
  <c r="S1115" i="1"/>
  <c r="S1139" i="1"/>
  <c r="S1163" i="1"/>
  <c r="S1187" i="1"/>
  <c r="S1211" i="1"/>
  <c r="S1236" i="1"/>
  <c r="S1260" i="1"/>
  <c r="S1284" i="1"/>
  <c r="S1308" i="1"/>
  <c r="S1332" i="1"/>
  <c r="S1356" i="1"/>
  <c r="S1380" i="1"/>
  <c r="S1404" i="1"/>
  <c r="S1428" i="1"/>
  <c r="S1452" i="1"/>
  <c r="S1477" i="1"/>
  <c r="S1502" i="1"/>
  <c r="S1526" i="1"/>
  <c r="S1550" i="1"/>
  <c r="S1574" i="1"/>
  <c r="S1598" i="1"/>
  <c r="S1622" i="1"/>
  <c r="S1646" i="1"/>
  <c r="S1670" i="1"/>
  <c r="S1694" i="1"/>
  <c r="S1719" i="1"/>
  <c r="S1743" i="1"/>
  <c r="S1767" i="1"/>
  <c r="S1791" i="1"/>
  <c r="S1815" i="1"/>
  <c r="S1839" i="1"/>
  <c r="S1863" i="1"/>
  <c r="S1886" i="1"/>
  <c r="S1909" i="1"/>
  <c r="S1932" i="1"/>
  <c r="S1955" i="1"/>
  <c r="S1978" i="1"/>
  <c r="S2002" i="1"/>
  <c r="S2025" i="1"/>
  <c r="S6" i="1"/>
  <c r="S32" i="1"/>
  <c r="S58" i="1"/>
  <c r="S84" i="1"/>
  <c r="S110" i="1"/>
  <c r="S137" i="1"/>
  <c r="S163" i="1"/>
  <c r="S190" i="1"/>
  <c r="S216" i="1"/>
  <c r="S242" i="1"/>
  <c r="S271" i="1"/>
  <c r="S297" i="1"/>
  <c r="S323" i="1"/>
  <c r="S350" i="1"/>
  <c r="S377" i="1"/>
  <c r="S403" i="1"/>
  <c r="S429" i="1"/>
  <c r="S455" i="1"/>
  <c r="S481" i="1"/>
  <c r="S507" i="1"/>
  <c r="S537" i="1"/>
  <c r="S563" i="1"/>
  <c r="S589" i="1"/>
  <c r="S7" i="1"/>
  <c r="S33" i="1"/>
  <c r="S59" i="1"/>
  <c r="S85" i="1"/>
  <c r="S111" i="1"/>
  <c r="S138" i="1"/>
  <c r="S165" i="1"/>
  <c r="S191" i="1"/>
  <c r="S217" i="1"/>
  <c r="S243" i="1"/>
  <c r="S272" i="1"/>
  <c r="S298" i="1"/>
  <c r="S324" i="1"/>
  <c r="S351" i="1"/>
  <c r="S378" i="1"/>
  <c r="S404" i="1"/>
  <c r="S430" i="1"/>
  <c r="S456" i="1"/>
  <c r="S482" i="1"/>
  <c r="S509" i="1"/>
  <c r="S538" i="1"/>
  <c r="S564" i="1"/>
  <c r="S590" i="1"/>
  <c r="S616" i="1"/>
  <c r="S643" i="1"/>
  <c r="S669" i="1"/>
  <c r="S696" i="1"/>
  <c r="S722" i="1"/>
  <c r="S748" i="1"/>
  <c r="S775" i="1"/>
  <c r="S803" i="1"/>
  <c r="S829" i="1"/>
  <c r="S856" i="1"/>
  <c r="S883" i="1"/>
  <c r="S909" i="1"/>
  <c r="S935" i="1"/>
  <c r="S961" i="1"/>
  <c r="S987" i="1"/>
  <c r="S1013" i="1"/>
  <c r="S1041" i="1"/>
  <c r="S1069" i="1"/>
  <c r="S1095" i="1"/>
  <c r="S1121" i="1"/>
  <c r="S1148" i="1"/>
  <c r="S1174" i="1"/>
  <c r="S1200" i="1"/>
  <c r="S1227" i="1"/>
  <c r="S1253" i="1"/>
  <c r="S1280" i="1"/>
  <c r="S1306" i="1"/>
  <c r="S1334" i="1"/>
  <c r="S1360" i="1"/>
  <c r="S1387" i="1"/>
  <c r="S1414" i="1"/>
  <c r="S1440" i="1"/>
  <c r="S1466" i="1"/>
  <c r="S1492" i="1"/>
  <c r="S1518" i="1"/>
  <c r="S1545" i="1"/>
  <c r="S1572" i="1"/>
  <c r="S1600" i="1"/>
  <c r="S1626" i="1"/>
  <c r="S1653" i="1"/>
  <c r="S1679" i="1"/>
  <c r="S1705" i="1"/>
  <c r="S1732" i="1"/>
  <c r="S1758" i="1"/>
  <c r="S1785" i="1"/>
  <c r="S1811" i="1"/>
  <c r="S1837" i="1"/>
  <c r="S1865" i="1"/>
  <c r="S1890" i="1"/>
  <c r="S1916" i="1"/>
  <c r="S1941" i="1"/>
  <c r="S1966" i="1"/>
  <c r="S1991" i="1"/>
  <c r="S2016" i="1"/>
  <c r="S2041" i="1"/>
  <c r="S2065" i="1"/>
  <c r="S2090" i="1"/>
  <c r="S2114" i="1"/>
  <c r="S2138" i="1"/>
  <c r="S2163" i="1"/>
  <c r="S2187" i="1"/>
  <c r="S2211" i="1"/>
  <c r="S2235" i="1"/>
  <c r="S2259" i="1"/>
  <c r="S2283" i="1"/>
  <c r="S2307" i="1"/>
  <c r="S2332" i="1"/>
  <c r="S2356" i="1"/>
  <c r="S2380" i="1"/>
  <c r="S2404" i="1"/>
  <c r="S2428" i="1"/>
  <c r="S2452" i="1"/>
  <c r="S2476" i="1"/>
  <c r="S2500" i="1"/>
  <c r="S2524" i="1"/>
  <c r="S2548" i="1"/>
  <c r="S2572" i="1"/>
  <c r="S2597" i="1"/>
  <c r="S2621" i="1"/>
  <c r="S2645" i="1"/>
  <c r="S2670" i="1"/>
  <c r="S2694" i="1"/>
  <c r="S2718" i="1"/>
  <c r="S2742" i="1"/>
  <c r="S2766" i="1"/>
  <c r="S2790" i="1"/>
  <c r="S2814" i="1"/>
  <c r="S2839" i="1"/>
  <c r="S2863" i="1"/>
  <c r="S2887" i="1"/>
  <c r="S2911" i="1"/>
  <c r="S2935" i="1"/>
  <c r="S2959" i="1"/>
  <c r="S2983" i="1"/>
  <c r="S3007" i="1"/>
  <c r="S3031" i="1"/>
  <c r="S3055" i="1"/>
  <c r="S3080" i="1"/>
  <c r="S3104" i="1"/>
  <c r="S3128" i="1"/>
  <c r="S3152" i="1"/>
  <c r="S3177" i="1"/>
  <c r="S3201" i="1"/>
  <c r="S3225" i="1"/>
  <c r="S3249" i="1"/>
  <c r="S3273" i="1"/>
  <c r="S3297" i="1"/>
  <c r="S3322" i="1"/>
  <c r="S3346" i="1"/>
  <c r="S3370" i="1"/>
  <c r="S3394" i="1"/>
  <c r="S3418" i="1"/>
  <c r="S3442" i="1"/>
  <c r="S3466" i="1"/>
  <c r="S3490" i="1"/>
  <c r="S3514" i="1"/>
  <c r="S3538" i="1"/>
  <c r="S3562" i="1"/>
  <c r="S3587" i="1"/>
  <c r="S3611" i="1"/>
  <c r="S3635" i="1"/>
  <c r="S3659" i="1"/>
  <c r="S3684" i="1"/>
  <c r="S3708" i="1"/>
  <c r="S3732" i="1"/>
  <c r="S3756" i="1"/>
  <c r="S3780" i="1"/>
  <c r="S3804" i="1"/>
  <c r="S3828" i="1"/>
  <c r="S3851" i="1"/>
  <c r="S3874" i="1"/>
  <c r="S3897" i="1"/>
  <c r="S3920" i="1"/>
  <c r="S3943" i="1"/>
  <c r="S3966" i="1"/>
  <c r="S3989" i="1"/>
  <c r="S4012" i="1"/>
  <c r="S4035" i="1"/>
  <c r="S4058" i="1"/>
  <c r="S4081" i="1"/>
  <c r="S4104" i="1"/>
  <c r="S4127" i="1"/>
  <c r="S4150" i="1"/>
  <c r="S4174" i="1"/>
  <c r="S4197" i="1"/>
  <c r="S4220" i="1"/>
  <c r="S4243" i="1"/>
  <c r="S8" i="1"/>
  <c r="S36" i="1"/>
  <c r="S64" i="1"/>
  <c r="S93" i="1"/>
  <c r="S122" i="1"/>
  <c r="S152" i="1"/>
  <c r="S181" i="1"/>
  <c r="S209" i="1"/>
  <c r="S238" i="1"/>
  <c r="S267" i="1"/>
  <c r="S299" i="1"/>
  <c r="S328" i="1"/>
  <c r="S357" i="1"/>
  <c r="S385" i="1"/>
  <c r="S415" i="1"/>
  <c r="S445" i="1"/>
  <c r="S473" i="1"/>
  <c r="S501" i="1"/>
  <c r="S529" i="1"/>
  <c r="S561" i="1"/>
  <c r="S591" i="1"/>
  <c r="S619" i="1"/>
  <c r="S646" i="1"/>
  <c r="S674" i="1"/>
  <c r="S701" i="1"/>
  <c r="S731" i="1"/>
  <c r="S758" i="1"/>
  <c r="S785" i="1"/>
  <c r="S813" i="1"/>
  <c r="S841" i="1"/>
  <c r="S868" i="1"/>
  <c r="S895" i="1"/>
  <c r="S925" i="1"/>
  <c r="S953" i="1"/>
  <c r="S980" i="1"/>
  <c r="S1007" i="1"/>
  <c r="S1034" i="1"/>
  <c r="S1062" i="1"/>
  <c r="S1092" i="1"/>
  <c r="S1119" i="1"/>
  <c r="S1147" i="1"/>
  <c r="S1175" i="1"/>
  <c r="S1203" i="1"/>
  <c r="S1230" i="1"/>
  <c r="S1258" i="1"/>
  <c r="S1287" i="1"/>
  <c r="S1314" i="1"/>
  <c r="S1342" i="1"/>
  <c r="S1370" i="1"/>
  <c r="S1397" i="1"/>
  <c r="S1424" i="1"/>
  <c r="S1453" i="1"/>
  <c r="S1482" i="1"/>
  <c r="S1509" i="1"/>
  <c r="S1536" i="1"/>
  <c r="S1563" i="1"/>
  <c r="S1591" i="1"/>
  <c r="S1619" i="1"/>
  <c r="S1648" i="1"/>
  <c r="S1676" i="1"/>
  <c r="S1703" i="1"/>
  <c r="S1730" i="1"/>
  <c r="S1759" i="1"/>
  <c r="S1787" i="1"/>
  <c r="S1816" i="1"/>
  <c r="S1843" i="1"/>
  <c r="S1871" i="1"/>
  <c r="S1897" i="1"/>
  <c r="S1923" i="1"/>
  <c r="S1949" i="1"/>
  <c r="S1975" i="1"/>
  <c r="S2004" i="1"/>
  <c r="S2030" i="1"/>
  <c r="S2055" i="1"/>
  <c r="S2080" i="1"/>
  <c r="S2105" i="1"/>
  <c r="S2130" i="1"/>
  <c r="S2156" i="1"/>
  <c r="S2181" i="1"/>
  <c r="S2206" i="1"/>
  <c r="S2232" i="1"/>
  <c r="S2257" i="1"/>
  <c r="S2282" i="1"/>
  <c r="S2308" i="1"/>
  <c r="S2334" i="1"/>
  <c r="S2359" i="1"/>
  <c r="S2384" i="1"/>
  <c r="S2409" i="1"/>
  <c r="S2434" i="1"/>
  <c r="S2459" i="1"/>
  <c r="S2486" i="1"/>
  <c r="S2511" i="1"/>
  <c r="S2536" i="1"/>
  <c r="S2561" i="1"/>
  <c r="S2586" i="1"/>
  <c r="S2611" i="1"/>
  <c r="S2636" i="1"/>
  <c r="S2662" i="1"/>
  <c r="S2687" i="1"/>
  <c r="S2712" i="1"/>
  <c r="S2737" i="1"/>
  <c r="S2763" i="1"/>
  <c r="S2788" i="1"/>
  <c r="S2813" i="1"/>
  <c r="S2840" i="1"/>
  <c r="S2865" i="1"/>
  <c r="S2890" i="1"/>
  <c r="S2915" i="1"/>
  <c r="S2940" i="1"/>
  <c r="S2965" i="1"/>
  <c r="S2990" i="1"/>
  <c r="S3017" i="1"/>
  <c r="S3042" i="1"/>
  <c r="S3067" i="1"/>
  <c r="S3092" i="1"/>
  <c r="S3117" i="1"/>
  <c r="S3142" i="1"/>
  <c r="S3168" i="1"/>
  <c r="S3193" i="1"/>
  <c r="S3218" i="1"/>
  <c r="S3243" i="1"/>
  <c r="S3269" i="1"/>
  <c r="S3294" i="1"/>
  <c r="S3319" i="1"/>
  <c r="S3345" i="1"/>
  <c r="S3371" i="1"/>
  <c r="S3396" i="1"/>
  <c r="S3421" i="1"/>
  <c r="S3446" i="1"/>
  <c r="S3471" i="1"/>
  <c r="S3496" i="1"/>
  <c r="S3523" i="1"/>
  <c r="S3548" i="1"/>
  <c r="S3573" i="1"/>
  <c r="S3598" i="1"/>
  <c r="S3623" i="1"/>
  <c r="S3648" i="1"/>
  <c r="S3674" i="1"/>
  <c r="S3699" i="1"/>
  <c r="S3724" i="1"/>
  <c r="S3749" i="1"/>
  <c r="S3774" i="1"/>
  <c r="S3800" i="1"/>
  <c r="S3825" i="1"/>
  <c r="S3849" i="1"/>
  <c r="S3873" i="1"/>
  <c r="S3898" i="1"/>
  <c r="S3922" i="1"/>
  <c r="S3946" i="1"/>
  <c r="S3970" i="1"/>
  <c r="S3994" i="1"/>
  <c r="S4018" i="1"/>
  <c r="S4043" i="1"/>
  <c r="S4067" i="1"/>
  <c r="S4091" i="1"/>
  <c r="S4115" i="1"/>
  <c r="S4139" i="1"/>
  <c r="S4163" i="1"/>
  <c r="S4187" i="1"/>
  <c r="S4211" i="1"/>
  <c r="S4235" i="1"/>
  <c r="S4259" i="1"/>
  <c r="S4282" i="1"/>
  <c r="S4306" i="1"/>
  <c r="S4329" i="1"/>
  <c r="S4352" i="1"/>
  <c r="S4375" i="1"/>
  <c r="S4398" i="1"/>
  <c r="S4421" i="1"/>
  <c r="S4444" i="1"/>
  <c r="S4467" i="1"/>
  <c r="S4490" i="1"/>
  <c r="S4513" i="1"/>
  <c r="S4536" i="1"/>
  <c r="S4559" i="1"/>
  <c r="S4582" i="1"/>
  <c r="S4605" i="1"/>
  <c r="S4627" i="1"/>
  <c r="S4649" i="1"/>
  <c r="S4671" i="1"/>
  <c r="S4693" i="1"/>
  <c r="S4715" i="1"/>
  <c r="S4737" i="1"/>
  <c r="S4759" i="1"/>
  <c r="S4781" i="1"/>
  <c r="S4803" i="1"/>
  <c r="S4825" i="1"/>
  <c r="S4847" i="1"/>
  <c r="S4869" i="1"/>
  <c r="S4891" i="1"/>
  <c r="S4913" i="1"/>
  <c r="S4935" i="1"/>
  <c r="S4957" i="1"/>
  <c r="S4979" i="1"/>
  <c r="S5001" i="1"/>
  <c r="S5023" i="1"/>
  <c r="S5045" i="1"/>
  <c r="S5067" i="1"/>
  <c r="S5089" i="1"/>
  <c r="S5111" i="1"/>
  <c r="S5133" i="1"/>
  <c r="S5155" i="1"/>
  <c r="S5177" i="1"/>
  <c r="S5199" i="1"/>
  <c r="S5221" i="1"/>
  <c r="S5243" i="1"/>
  <c r="S5265" i="1"/>
  <c r="S5287" i="1"/>
  <c r="S5309" i="1"/>
  <c r="S5331" i="1"/>
  <c r="S5353" i="1"/>
  <c r="S5375" i="1"/>
  <c r="S5397" i="1"/>
  <c r="S5419" i="1"/>
  <c r="S5441" i="1"/>
  <c r="S5463" i="1"/>
  <c r="S5485" i="1"/>
  <c r="S35" i="1"/>
  <c r="S63" i="1"/>
  <c r="S92" i="1"/>
  <c r="S121" i="1"/>
  <c r="S151" i="1"/>
  <c r="S180" i="1"/>
  <c r="S208" i="1"/>
  <c r="S237" i="1"/>
  <c r="S265" i="1"/>
  <c r="S296" i="1"/>
  <c r="S327" i="1"/>
  <c r="S356" i="1"/>
  <c r="S384" i="1"/>
  <c r="S412" i="1"/>
  <c r="S444" i="1"/>
  <c r="S472" i="1"/>
  <c r="S500" i="1"/>
  <c r="S528" i="1"/>
  <c r="S558" i="1"/>
  <c r="S588" i="1"/>
  <c r="S617" i="1"/>
  <c r="S645" i="1"/>
  <c r="S673" i="1"/>
  <c r="S700" i="1"/>
  <c r="S730" i="1"/>
  <c r="S757" i="1"/>
  <c r="S784" i="1"/>
  <c r="S812" i="1"/>
  <c r="S840" i="1"/>
  <c r="S867" i="1"/>
  <c r="S894" i="1"/>
  <c r="S923" i="1"/>
  <c r="S952" i="1"/>
  <c r="S979" i="1"/>
  <c r="S1006" i="1"/>
  <c r="S1033" i="1"/>
  <c r="S1061" i="1"/>
  <c r="S1089" i="1"/>
  <c r="S1118" i="1"/>
  <c r="S1145" i="1"/>
  <c r="S1173" i="1"/>
  <c r="S1202" i="1"/>
  <c r="S1229" i="1"/>
  <c r="S1257" i="1"/>
  <c r="S1286" i="1"/>
  <c r="S1313" i="1"/>
  <c r="S1341" i="1"/>
  <c r="S1369" i="1"/>
  <c r="S1396" i="1"/>
  <c r="S1423" i="1"/>
  <c r="S1450" i="1"/>
  <c r="S1481" i="1"/>
  <c r="S1508" i="1"/>
  <c r="S1535" i="1"/>
  <c r="S1562" i="1"/>
  <c r="S1590" i="1"/>
  <c r="S1618" i="1"/>
  <c r="S1647" i="1"/>
  <c r="S1675" i="1"/>
  <c r="S1702" i="1"/>
  <c r="S1729" i="1"/>
  <c r="S1757" i="1"/>
  <c r="S1786" i="1"/>
  <c r="S1813" i="1"/>
  <c r="S1842" i="1"/>
  <c r="S1870" i="1"/>
  <c r="S1896" i="1"/>
  <c r="S1922" i="1"/>
  <c r="S1948" i="1"/>
  <c r="S1974" i="1"/>
  <c r="S2003" i="1"/>
  <c r="S2029" i="1"/>
  <c r="S2054" i="1"/>
  <c r="S2079" i="1"/>
  <c r="S2104" i="1"/>
  <c r="S2129" i="1"/>
  <c r="S2154" i="1"/>
  <c r="S2180" i="1"/>
  <c r="S2205" i="1"/>
  <c r="S2230" i="1"/>
  <c r="S2256" i="1"/>
  <c r="S2281" i="1"/>
  <c r="S2306" i="1"/>
  <c r="S2333" i="1"/>
  <c r="S2358" i="1"/>
  <c r="S9" i="1"/>
  <c r="S39" i="1"/>
  <c r="S70" i="1"/>
  <c r="S103" i="1"/>
  <c r="S133" i="1"/>
  <c r="S167" i="1"/>
  <c r="S199" i="1"/>
  <c r="S230" i="1"/>
  <c r="S261" i="1"/>
  <c r="S292" i="1"/>
  <c r="S329" i="1"/>
  <c r="S360" i="1"/>
  <c r="S392" i="1"/>
  <c r="S424" i="1"/>
  <c r="S454" i="1"/>
  <c r="S490" i="1"/>
  <c r="S520" i="1"/>
  <c r="S550" i="1"/>
  <c r="S582" i="1"/>
  <c r="S614" i="1"/>
  <c r="S647" i="1"/>
  <c r="S677" i="1"/>
  <c r="S709" i="1"/>
  <c r="S738" i="1"/>
  <c r="S768" i="1"/>
  <c r="S798" i="1"/>
  <c r="S830" i="1"/>
  <c r="S861" i="1"/>
  <c r="S890" i="1"/>
  <c r="S919" i="1"/>
  <c r="S954" i="1"/>
  <c r="S983" i="1"/>
  <c r="S1012" i="1"/>
  <c r="S1046" i="1"/>
  <c r="S1075" i="1"/>
  <c r="S1105" i="1"/>
  <c r="S1135" i="1"/>
  <c r="S1166" i="1"/>
  <c r="S1196" i="1"/>
  <c r="S1226" i="1"/>
  <c r="S1261" i="1"/>
  <c r="S1290" i="1"/>
  <c r="S1320" i="1"/>
  <c r="S1350" i="1"/>
  <c r="S1381" i="1"/>
  <c r="S1412" i="1"/>
  <c r="S1442" i="1"/>
  <c r="S1471" i="1"/>
  <c r="S1504" i="1"/>
  <c r="S1533" i="1"/>
  <c r="S1565" i="1"/>
  <c r="S1595" i="1"/>
  <c r="S1627" i="1"/>
  <c r="S1657" i="1"/>
  <c r="S1687" i="1"/>
  <c r="S1716" i="1"/>
  <c r="S1748" i="1"/>
  <c r="S1778" i="1"/>
  <c r="S1808" i="1"/>
  <c r="S1840" i="1"/>
  <c r="S1872" i="1"/>
  <c r="S1900" i="1"/>
  <c r="S1928" i="1"/>
  <c r="S1959" i="1"/>
  <c r="S1987" i="1"/>
  <c r="S2015" i="1"/>
  <c r="S2044" i="1"/>
  <c r="S2073" i="1"/>
  <c r="S2100" i="1"/>
  <c r="S2127" i="1"/>
  <c r="S2157" i="1"/>
  <c r="S2184" i="1"/>
  <c r="S2213" i="1"/>
  <c r="S2240" i="1"/>
  <c r="S2268" i="1"/>
  <c r="S2295" i="1"/>
  <c r="S2322" i="1"/>
  <c r="S2350" i="1"/>
  <c r="S2378" i="1"/>
  <c r="S2405" i="1"/>
  <c r="S2431" i="1"/>
  <c r="S2457" i="1"/>
  <c r="S2483" i="1"/>
  <c r="S2512" i="1"/>
  <c r="S2538" i="1"/>
  <c r="S2564" i="1"/>
  <c r="S2590" i="1"/>
  <c r="S2616" i="1"/>
  <c r="S2643" i="1"/>
  <c r="S2671" i="1"/>
  <c r="S2697" i="1"/>
  <c r="S2723" i="1"/>
  <c r="S2750" i="1"/>
  <c r="S2776" i="1"/>
  <c r="S2802" i="1"/>
  <c r="S2828" i="1"/>
  <c r="S2855" i="1"/>
  <c r="S2882" i="1"/>
  <c r="S2908" i="1"/>
  <c r="S2934" i="1"/>
  <c r="S2961" i="1"/>
  <c r="S2987" i="1"/>
  <c r="S3014" i="1"/>
  <c r="S3041" i="1"/>
  <c r="S3068" i="1"/>
  <c r="S3094" i="1"/>
  <c r="S3120" i="1"/>
  <c r="S3147" i="1"/>
  <c r="S3173" i="1"/>
  <c r="S3200" i="1"/>
  <c r="S3227" i="1"/>
  <c r="S3253" i="1"/>
  <c r="S3280" i="1"/>
  <c r="S3306" i="1"/>
  <c r="S3332" i="1"/>
  <c r="S3358" i="1"/>
  <c r="S3385" i="1"/>
  <c r="S3412" i="1"/>
  <c r="S3438" i="1"/>
  <c r="S3464" i="1"/>
  <c r="S3491" i="1"/>
  <c r="S3517" i="1"/>
  <c r="S3544" i="1"/>
  <c r="S3571" i="1"/>
  <c r="S3597" i="1"/>
  <c r="S3624" i="1"/>
  <c r="S3650" i="1"/>
  <c r="S3677" i="1"/>
  <c r="S3703" i="1"/>
  <c r="S3730" i="1"/>
  <c r="S3757" i="1"/>
  <c r="S3784" i="1"/>
  <c r="S3810" i="1"/>
  <c r="S3835" i="1"/>
  <c r="S3860" i="1"/>
  <c r="S3885" i="1"/>
  <c r="S3911" i="1"/>
  <c r="S3936" i="1"/>
  <c r="S3961" i="1"/>
  <c r="S3986" i="1"/>
  <c r="S4011" i="1"/>
  <c r="S4037" i="1"/>
  <c r="S4062" i="1"/>
  <c r="S4088" i="1"/>
  <c r="S4113" i="1"/>
  <c r="S4138" i="1"/>
  <c r="S4164" i="1"/>
  <c r="S4189" i="1"/>
  <c r="S4214" i="1"/>
  <c r="S4240" i="1"/>
  <c r="S4265" i="1"/>
  <c r="S4289" i="1"/>
  <c r="S4313" i="1"/>
  <c r="S4337" i="1"/>
  <c r="S4361" i="1"/>
  <c r="S4385" i="1"/>
  <c r="S4409" i="1"/>
  <c r="S4433" i="1"/>
  <c r="S4457" i="1"/>
  <c r="S4482" i="1"/>
  <c r="S4506" i="1"/>
  <c r="S4530" i="1"/>
  <c r="S4554" i="1"/>
  <c r="S4578" i="1"/>
  <c r="S4602" i="1"/>
  <c r="S4625" i="1"/>
  <c r="S4648" i="1"/>
  <c r="S4672" i="1"/>
  <c r="S4695" i="1"/>
  <c r="S4718" i="1"/>
  <c r="S4741" i="1"/>
  <c r="S4764" i="1"/>
  <c r="S4787" i="1"/>
  <c r="S4810" i="1"/>
  <c r="S4833" i="1"/>
  <c r="S4856" i="1"/>
  <c r="S4879" i="1"/>
  <c r="S4902" i="1"/>
  <c r="S4925" i="1"/>
  <c r="S4948" i="1"/>
  <c r="S4971" i="1"/>
  <c r="S4994" i="1"/>
  <c r="S5017" i="1"/>
  <c r="S5040" i="1"/>
  <c r="S5063" i="1"/>
  <c r="S5086" i="1"/>
  <c r="S5109" i="1"/>
  <c r="S5132" i="1"/>
  <c r="S5156" i="1"/>
  <c r="S5179" i="1"/>
  <c r="S5202" i="1"/>
  <c r="S5225" i="1"/>
  <c r="S5248" i="1"/>
  <c r="S5271" i="1"/>
  <c r="S5294" i="1"/>
  <c r="S5317" i="1"/>
  <c r="S5340" i="1"/>
  <c r="S5363" i="1"/>
  <c r="S5386" i="1"/>
  <c r="S5409" i="1"/>
  <c r="S5432" i="1"/>
  <c r="S5455" i="1"/>
  <c r="S5478" i="1"/>
  <c r="S5501" i="1"/>
  <c r="S5523" i="1"/>
  <c r="S5545" i="1"/>
  <c r="S5567" i="1"/>
  <c r="S5589" i="1"/>
  <c r="S5611" i="1"/>
  <c r="S5633" i="1"/>
  <c r="S5655" i="1"/>
  <c r="S5677" i="1"/>
  <c r="S5699" i="1"/>
  <c r="S5721" i="1"/>
  <c r="S5743" i="1"/>
  <c r="S5765" i="1"/>
  <c r="S5787" i="1"/>
  <c r="S5809" i="1"/>
  <c r="S10" i="1"/>
  <c r="S40" i="1"/>
  <c r="S71" i="1"/>
  <c r="S104" i="1"/>
  <c r="S135" i="1"/>
  <c r="S168" i="1"/>
  <c r="S201" i="1"/>
  <c r="S231" i="1"/>
  <c r="S262" i="1"/>
  <c r="S295" i="1"/>
  <c r="S330" i="1"/>
  <c r="S361" i="1"/>
  <c r="S393" i="1"/>
  <c r="S425" i="1"/>
  <c r="S457" i="1"/>
  <c r="S491" i="1"/>
  <c r="S521" i="1"/>
  <c r="S551" i="1"/>
  <c r="S585" i="1"/>
  <c r="S615" i="1"/>
  <c r="S649" i="1"/>
  <c r="S678" i="1"/>
  <c r="S710" i="1"/>
  <c r="S739" i="1"/>
  <c r="S769" i="1"/>
  <c r="S799" i="1"/>
  <c r="S831" i="1"/>
  <c r="S862" i="1"/>
  <c r="S891" i="1"/>
  <c r="S922" i="1"/>
  <c r="S955" i="1"/>
  <c r="S984" i="1"/>
  <c r="S1015" i="1"/>
  <c r="S1047" i="1"/>
  <c r="S1076" i="1"/>
  <c r="S1106" i="1"/>
  <c r="S1136" i="1"/>
  <c r="S1167" i="1"/>
  <c r="S1197" i="1"/>
  <c r="S1228" i="1"/>
  <c r="S1262" i="1"/>
  <c r="S1291" i="1"/>
  <c r="S1321" i="1"/>
  <c r="S1351" i="1"/>
  <c r="S1382" i="1"/>
  <c r="S1413" i="1"/>
  <c r="S1443" i="1"/>
  <c r="S1472" i="1"/>
  <c r="S1505" i="1"/>
  <c r="S1534" i="1"/>
  <c r="S1566" i="1"/>
  <c r="S1596" i="1"/>
  <c r="S1628" i="1"/>
  <c r="S1658" i="1"/>
  <c r="S1688" i="1"/>
  <c r="S1720" i="1"/>
  <c r="S1749" i="1"/>
  <c r="S1779" i="1"/>
  <c r="S1809" i="1"/>
  <c r="S1841" i="1"/>
  <c r="S1873" i="1"/>
  <c r="S1901" i="1"/>
  <c r="S1929" i="1"/>
  <c r="S1960" i="1"/>
  <c r="S1988" i="1"/>
  <c r="S2017" i="1"/>
  <c r="S2046" i="1"/>
  <c r="S2074" i="1"/>
  <c r="S2101" i="1"/>
  <c r="S2128" i="1"/>
  <c r="S2158" i="1"/>
  <c r="S2186" i="1"/>
  <c r="S2214" i="1"/>
  <c r="S2241" i="1"/>
  <c r="S2269" i="1"/>
  <c r="S2296" i="1"/>
  <c r="S2324" i="1"/>
  <c r="S2351" i="1"/>
  <c r="S2379" i="1"/>
  <c r="S2406" i="1"/>
  <c r="S2432" i="1"/>
  <c r="S2458" i="1"/>
  <c r="S2487" i="1"/>
  <c r="S2513" i="1"/>
  <c r="S2539" i="1"/>
  <c r="S2565" i="1"/>
  <c r="S2591" i="1"/>
  <c r="S2618" i="1"/>
  <c r="S2644" i="1"/>
  <c r="S2672" i="1"/>
  <c r="S2698" i="1"/>
  <c r="S2724" i="1"/>
  <c r="S2751" i="1"/>
  <c r="S2777" i="1"/>
  <c r="S2803" i="1"/>
  <c r="S2829" i="1"/>
  <c r="S2856" i="1"/>
  <c r="S2883" i="1"/>
  <c r="S2909" i="1"/>
  <c r="S2936" i="1"/>
  <c r="S2962" i="1"/>
  <c r="S2988" i="1"/>
  <c r="S3016" i="1"/>
  <c r="S3043" i="1"/>
  <c r="S3069" i="1"/>
  <c r="S3095" i="1"/>
  <c r="S3121" i="1"/>
  <c r="S3148" i="1"/>
  <c r="S3174" i="1"/>
  <c r="S3202" i="1"/>
  <c r="S3228" i="1"/>
  <c r="S3254" i="1"/>
  <c r="S3281" i="1"/>
  <c r="S3307" i="1"/>
  <c r="S3333" i="1"/>
  <c r="S3359" i="1"/>
  <c r="S3386" i="1"/>
  <c r="S3413" i="1"/>
  <c r="S3439" i="1"/>
  <c r="S3465" i="1"/>
  <c r="S3492" i="1"/>
  <c r="S3518" i="1"/>
  <c r="S3546" i="1"/>
  <c r="S3572" i="1"/>
  <c r="S3599" i="1"/>
  <c r="S3625" i="1"/>
  <c r="S3652" i="1"/>
  <c r="S3678" i="1"/>
  <c r="S3704" i="1"/>
  <c r="S3731" i="1"/>
  <c r="S3758" i="1"/>
  <c r="S3785" i="1"/>
  <c r="S3811" i="1"/>
  <c r="S3836" i="1"/>
  <c r="S3861" i="1"/>
  <c r="S3886" i="1"/>
  <c r="S3912" i="1"/>
  <c r="S3937" i="1"/>
  <c r="S3962" i="1"/>
  <c r="S3987" i="1"/>
  <c r="S4013" i="1"/>
  <c r="S4038" i="1"/>
  <c r="S4064" i="1"/>
  <c r="S4089" i="1"/>
  <c r="S4114" i="1"/>
  <c r="S4140" i="1"/>
  <c r="S4165" i="1"/>
  <c r="S4190" i="1"/>
  <c r="S4215" i="1"/>
  <c r="S4241" i="1"/>
  <c r="S4266" i="1"/>
  <c r="S4290" i="1"/>
  <c r="S4314" i="1"/>
  <c r="S4338" i="1"/>
  <c r="S4362" i="1"/>
  <c r="S4386" i="1"/>
  <c r="S4410" i="1"/>
  <c r="S4434" i="1"/>
  <c r="S4458" i="1"/>
  <c r="S4483" i="1"/>
  <c r="S4507" i="1"/>
  <c r="S4531" i="1"/>
  <c r="S4555" i="1"/>
  <c r="S4579" i="1"/>
  <c r="S4603" i="1"/>
  <c r="S4626" i="1"/>
  <c r="S4650" i="1"/>
  <c r="S4673" i="1"/>
  <c r="S4696" i="1"/>
  <c r="S4719" i="1"/>
  <c r="S4742" i="1"/>
  <c r="S4765" i="1"/>
  <c r="S4788" i="1"/>
  <c r="S4811" i="1"/>
  <c r="S4834" i="1"/>
  <c r="S4857" i="1"/>
  <c r="S4880" i="1"/>
  <c r="S4903" i="1"/>
  <c r="S4926" i="1"/>
  <c r="S4949" i="1"/>
  <c r="S4972" i="1"/>
  <c r="S4995" i="1"/>
  <c r="S5018" i="1"/>
  <c r="S5041" i="1"/>
  <c r="S5064" i="1"/>
  <c r="S5087" i="1"/>
  <c r="S5110" i="1"/>
  <c r="S5134" i="1"/>
  <c r="S5157" i="1"/>
  <c r="S5180" i="1"/>
  <c r="S5203" i="1"/>
  <c r="S5226" i="1"/>
  <c r="S5249" i="1"/>
  <c r="S5272" i="1"/>
  <c r="S5295" i="1"/>
  <c r="S5318" i="1"/>
  <c r="S5341" i="1"/>
  <c r="S5364" i="1"/>
  <c r="S5387" i="1"/>
  <c r="S5410" i="1"/>
  <c r="S5433" i="1"/>
  <c r="S5456" i="1"/>
  <c r="S5479" i="1"/>
  <c r="S5502" i="1"/>
  <c r="S5524" i="1"/>
  <c r="S5546" i="1"/>
  <c r="S5568" i="1"/>
  <c r="S5590" i="1"/>
  <c r="S5612" i="1"/>
  <c r="S5634" i="1"/>
  <c r="S5656" i="1"/>
  <c r="S5678" i="1"/>
  <c r="S5700" i="1"/>
  <c r="S5722" i="1"/>
  <c r="S5744" i="1"/>
  <c r="S5766" i="1"/>
  <c r="S5788" i="1"/>
  <c r="S5810" i="1"/>
  <c r="S11" i="1"/>
  <c r="S43" i="1"/>
  <c r="S79" i="1"/>
  <c r="S114" i="1"/>
  <c r="S147" i="1"/>
  <c r="S184" i="1"/>
  <c r="S219" i="1"/>
  <c r="S254" i="1"/>
  <c r="S287" i="1"/>
  <c r="S322" i="1"/>
  <c r="S362" i="1"/>
  <c r="S397" i="1"/>
  <c r="S432" i="1"/>
  <c r="S468" i="1"/>
  <c r="S502" i="1"/>
  <c r="S540" i="1"/>
  <c r="S572" i="1"/>
  <c r="S606" i="1"/>
  <c r="S639" i="1"/>
  <c r="S675" i="1"/>
  <c r="S711" i="1"/>
  <c r="S743" i="1"/>
  <c r="S778" i="1"/>
  <c r="S810" i="1"/>
  <c r="S844" i="1"/>
  <c r="S877" i="1"/>
  <c r="S911" i="1"/>
  <c r="S942" i="1"/>
  <c r="S977" i="1"/>
  <c r="S1010" i="1"/>
  <c r="S1048" i="1"/>
  <c r="S1079" i="1"/>
  <c r="S1112" i="1"/>
  <c r="S1149" i="1"/>
  <c r="S1181" i="1"/>
  <c r="S1215" i="1"/>
  <c r="S1246" i="1"/>
  <c r="S1279" i="1"/>
  <c r="S1315" i="1"/>
  <c r="S1348" i="1"/>
  <c r="S1383" i="1"/>
  <c r="S1417" i="1"/>
  <c r="S1448" i="1"/>
  <c r="S1485" i="1"/>
  <c r="S1516" i="1"/>
  <c r="S1552" i="1"/>
  <c r="S1583" i="1"/>
  <c r="S1615" i="1"/>
  <c r="S1651" i="1"/>
  <c r="S1684" i="1"/>
  <c r="S1721" i="1"/>
  <c r="S1752" i="1"/>
  <c r="S1788" i="1"/>
  <c r="S1821" i="1"/>
  <c r="S1854" i="1"/>
  <c r="S1884" i="1"/>
  <c r="S1918" i="1"/>
  <c r="S1950" i="1"/>
  <c r="S1983" i="1"/>
  <c r="S2013" i="1"/>
  <c r="S2048" i="1"/>
  <c r="S2077" i="1"/>
  <c r="S2108" i="1"/>
  <c r="S2140" i="1"/>
  <c r="S2169" i="1"/>
  <c r="S2198" i="1"/>
  <c r="S2228" i="1"/>
  <c r="S2261" i="1"/>
  <c r="S2291" i="1"/>
  <c r="S2320" i="1"/>
  <c r="S2352" i="1"/>
  <c r="S2383" i="1"/>
  <c r="S2412" i="1"/>
  <c r="S2442" i="1"/>
  <c r="S2470" i="1"/>
  <c r="S2498" i="1"/>
  <c r="S2527" i="1"/>
  <c r="S2557" i="1"/>
  <c r="S2585" i="1"/>
  <c r="S2614" i="1"/>
  <c r="S2647" i="1"/>
  <c r="S2675" i="1"/>
  <c r="S2703" i="1"/>
  <c r="S2732" i="1"/>
  <c r="S2760" i="1"/>
  <c r="S2791" i="1"/>
  <c r="S2820" i="1"/>
  <c r="S2848" i="1"/>
  <c r="S2877" i="1"/>
  <c r="S2906" i="1"/>
  <c r="S2937" i="1"/>
  <c r="S2966" i="1"/>
  <c r="S2996" i="1"/>
  <c r="S3024" i="1"/>
  <c r="S3052" i="1"/>
  <c r="S3082" i="1"/>
  <c r="S3111" i="1"/>
  <c r="S3139" i="1"/>
  <c r="S3169" i="1"/>
  <c r="S3197" i="1"/>
  <c r="S3229" i="1"/>
  <c r="S3258" i="1"/>
  <c r="S3286" i="1"/>
  <c r="S3315" i="1"/>
  <c r="S3344" i="1"/>
  <c r="S3374" i="1"/>
  <c r="S3402" i="1"/>
  <c r="S3432" i="1"/>
  <c r="S3460" i="1"/>
  <c r="S3488" i="1"/>
  <c r="S3520" i="1"/>
  <c r="S3550" i="1"/>
  <c r="S3578" i="1"/>
  <c r="S3606" i="1"/>
  <c r="S3636" i="1"/>
  <c r="S3665" i="1"/>
  <c r="S3693" i="1"/>
  <c r="S3722" i="1"/>
  <c r="S3751" i="1"/>
  <c r="S3781" i="1"/>
  <c r="S3812" i="1"/>
  <c r="S3839" i="1"/>
  <c r="S3867" i="1"/>
  <c r="S3894" i="1"/>
  <c r="S3923" i="1"/>
  <c r="S3950" i="1"/>
  <c r="S3978" i="1"/>
  <c r="S4005" i="1"/>
  <c r="S4032" i="1"/>
  <c r="S4060" i="1"/>
  <c r="S4090" i="1"/>
  <c r="S4118" i="1"/>
  <c r="S4145" i="1"/>
  <c r="S4172" i="1"/>
  <c r="S4201" i="1"/>
  <c r="S4228" i="1"/>
  <c r="S4255" i="1"/>
  <c r="S4281" i="1"/>
  <c r="S4309" i="1"/>
  <c r="S4335" i="1"/>
  <c r="S4363" i="1"/>
  <c r="S4389" i="1"/>
  <c r="S4416" i="1"/>
  <c r="S4442" i="1"/>
  <c r="S4469" i="1"/>
  <c r="S4495" i="1"/>
  <c r="S4521" i="1"/>
  <c r="S4548" i="1"/>
  <c r="S4574" i="1"/>
  <c r="S4600" i="1"/>
  <c r="S4628" i="1"/>
  <c r="S4653" i="1"/>
  <c r="S4678" i="1"/>
  <c r="S4703" i="1"/>
  <c r="S4728" i="1"/>
  <c r="S4753" i="1"/>
  <c r="S4778" i="1"/>
  <c r="S4804" i="1"/>
  <c r="S4829" i="1"/>
  <c r="S4854" i="1"/>
  <c r="S4881" i="1"/>
  <c r="S4906" i="1"/>
  <c r="S4931" i="1"/>
  <c r="S4956" i="1"/>
  <c r="S4982" i="1"/>
  <c r="S5007" i="1"/>
  <c r="S5032" i="1"/>
  <c r="S5057" i="1"/>
  <c r="S5082" i="1"/>
  <c r="S5107" i="1"/>
  <c r="S5135" i="1"/>
  <c r="S5160" i="1"/>
  <c r="S5185" i="1"/>
  <c r="S5210" i="1"/>
  <c r="S5235" i="1"/>
  <c r="S5260" i="1"/>
  <c r="S5285" i="1"/>
  <c r="S5311" i="1"/>
  <c r="S5336" i="1"/>
  <c r="S5361" i="1"/>
  <c r="S5388" i="1"/>
  <c r="S5413" i="1"/>
  <c r="S5438" i="1"/>
  <c r="S5464" i="1"/>
  <c r="S5489" i="1"/>
  <c r="S5513" i="1"/>
  <c r="S5537" i="1"/>
  <c r="S5561" i="1"/>
  <c r="S5585" i="1"/>
  <c r="S5609" i="1"/>
  <c r="S5635" i="1"/>
  <c r="S5659" i="1"/>
  <c r="S5683" i="1"/>
  <c r="S5707" i="1"/>
  <c r="S5731" i="1"/>
  <c r="S5755" i="1"/>
  <c r="S5779" i="1"/>
  <c r="S5803" i="1"/>
  <c r="S12" i="1"/>
  <c r="S44" i="1"/>
  <c r="S80" i="1"/>
  <c r="S115" i="1"/>
  <c r="S150" i="1"/>
  <c r="S185" i="1"/>
  <c r="S223" i="1"/>
  <c r="S255" i="1"/>
  <c r="S289" i="1"/>
  <c r="S326" i="1"/>
  <c r="S363" i="1"/>
  <c r="S399" i="1"/>
  <c r="S433" i="1"/>
  <c r="S469" i="1"/>
  <c r="S503" i="1"/>
  <c r="S541" i="1"/>
  <c r="S573" i="1"/>
  <c r="S609" i="1"/>
  <c r="S641" i="1"/>
  <c r="S676" i="1"/>
  <c r="S712" i="1"/>
  <c r="S744" i="1"/>
  <c r="S779" i="1"/>
  <c r="S811" i="1"/>
  <c r="S845" i="1"/>
  <c r="S879" i="1"/>
  <c r="S912" i="1"/>
  <c r="S943" i="1"/>
  <c r="S978" i="1"/>
  <c r="S1011" i="1"/>
  <c r="S1049" i="1"/>
  <c r="S1081" i="1"/>
  <c r="S1113" i="1"/>
  <c r="S1150" i="1"/>
  <c r="S1182" i="1"/>
  <c r="S1216" i="1"/>
  <c r="S1248" i="1"/>
  <c r="S1281" i="1"/>
  <c r="S1317" i="1"/>
  <c r="S1349" i="1"/>
  <c r="S1384" i="1"/>
  <c r="S1418" i="1"/>
  <c r="S1449" i="1"/>
  <c r="S1486" i="1"/>
  <c r="S1517" i="1"/>
  <c r="S1553" i="1"/>
  <c r="S1584" i="1"/>
  <c r="S1617" i="1"/>
  <c r="S1654" i="1"/>
  <c r="S1686" i="1"/>
  <c r="S1722" i="1"/>
  <c r="S1753" i="1"/>
  <c r="S1789" i="1"/>
  <c r="S1822" i="1"/>
  <c r="S1855" i="1"/>
  <c r="S1887" i="1"/>
  <c r="S1919" i="1"/>
  <c r="S1951" i="1"/>
  <c r="S1984" i="1"/>
  <c r="S2014" i="1"/>
  <c r="S2049" i="1"/>
  <c r="S2078" i="1"/>
  <c r="S2109" i="1"/>
  <c r="S2141" i="1"/>
  <c r="S2170" i="1"/>
  <c r="S2200" i="1"/>
  <c r="S2229" i="1"/>
  <c r="S2262" i="1"/>
  <c r="S2292" i="1"/>
  <c r="S2321" i="1"/>
  <c r="S2354" i="1"/>
  <c r="S2385" i="1"/>
  <c r="S2413" i="1"/>
  <c r="S2443" i="1"/>
  <c r="S2471" i="1"/>
  <c r="S2499" i="1"/>
  <c r="S2528" i="1"/>
  <c r="S2558" i="1"/>
  <c r="S2587" i="1"/>
  <c r="S2615" i="1"/>
  <c r="S2648" i="1"/>
  <c r="S2676" i="1"/>
  <c r="S2704" i="1"/>
  <c r="S2733" i="1"/>
  <c r="S2762" i="1"/>
  <c r="S2792" i="1"/>
  <c r="S2821" i="1"/>
  <c r="S2849" i="1"/>
  <c r="S2878" i="1"/>
  <c r="S2907" i="1"/>
  <c r="S2938" i="1"/>
  <c r="S2967" i="1"/>
  <c r="S2997" i="1"/>
  <c r="S3025" i="1"/>
  <c r="S3053" i="1"/>
  <c r="S3083" i="1"/>
  <c r="S3112" i="1"/>
  <c r="S3140" i="1"/>
  <c r="S3170" i="1"/>
  <c r="S3198" i="1"/>
  <c r="S3230" i="1"/>
  <c r="S3259" i="1"/>
  <c r="S3287" i="1"/>
  <c r="S3316" i="1"/>
  <c r="S3347" i="1"/>
  <c r="S3375" i="1"/>
  <c r="S3403" i="1"/>
  <c r="S3433" i="1"/>
  <c r="S3461" i="1"/>
  <c r="S3489" i="1"/>
  <c r="S3521" i="1"/>
  <c r="S3551" i="1"/>
  <c r="S3579" i="1"/>
  <c r="S3608" i="1"/>
  <c r="S3638" i="1"/>
  <c r="S3666" i="1"/>
  <c r="S3694" i="1"/>
  <c r="S3723" i="1"/>
  <c r="S3753" i="1"/>
  <c r="S3782" i="1"/>
  <c r="S3813" i="1"/>
  <c r="S3840" i="1"/>
  <c r="S3868" i="1"/>
  <c r="S3895" i="1"/>
  <c r="S3924" i="1"/>
  <c r="S3951" i="1"/>
  <c r="S3979" i="1"/>
  <c r="S4006" i="1"/>
  <c r="S4033" i="1"/>
  <c r="S4061" i="1"/>
  <c r="S4092" i="1"/>
  <c r="S4119" i="1"/>
  <c r="S4146" i="1"/>
  <c r="S4175" i="1"/>
  <c r="S4202" i="1"/>
  <c r="S4229" i="1"/>
  <c r="S4256" i="1"/>
  <c r="S4284" i="1"/>
  <c r="S4310" i="1"/>
  <c r="S4336" i="1"/>
  <c r="S4364" i="1"/>
  <c r="S4390" i="1"/>
  <c r="S4417" i="1"/>
  <c r="S4443" i="1"/>
  <c r="S4470" i="1"/>
  <c r="S4496" i="1"/>
  <c r="S4522" i="1"/>
  <c r="S4549" i="1"/>
  <c r="S4575" i="1"/>
  <c r="S4601" i="1"/>
  <c r="S4629" i="1"/>
  <c r="S4654" i="1"/>
  <c r="S4679" i="1"/>
  <c r="S4704" i="1"/>
  <c r="S4729" i="1"/>
  <c r="S4754" i="1"/>
  <c r="S4779" i="1"/>
  <c r="S4805" i="1"/>
  <c r="S4830" i="1"/>
  <c r="S4855" i="1"/>
  <c r="S4882" i="1"/>
  <c r="S4907" i="1"/>
  <c r="S4932" i="1"/>
  <c r="S4958" i="1"/>
  <c r="S4983" i="1"/>
  <c r="S5008" i="1"/>
  <c r="S5033" i="1"/>
  <c r="S5058" i="1"/>
  <c r="S5083" i="1"/>
  <c r="S5108" i="1"/>
  <c r="S5136" i="1"/>
  <c r="S5161" i="1"/>
  <c r="S5186" i="1"/>
  <c r="S5211" i="1"/>
  <c r="S5236" i="1"/>
  <c r="S5261" i="1"/>
  <c r="S5286" i="1"/>
  <c r="S5312" i="1"/>
  <c r="S5337" i="1"/>
  <c r="S5362" i="1"/>
  <c r="S5389" i="1"/>
  <c r="S5414" i="1"/>
  <c r="S5439" i="1"/>
  <c r="S5465" i="1"/>
  <c r="S5490" i="1"/>
  <c r="S5514" i="1"/>
  <c r="S5538" i="1"/>
  <c r="S5562" i="1"/>
  <c r="S5586" i="1"/>
  <c r="S5610" i="1"/>
  <c r="S5636" i="1"/>
  <c r="S5660" i="1"/>
  <c r="S5684" i="1"/>
  <c r="S5708" i="1"/>
  <c r="S5732" i="1"/>
  <c r="S5756" i="1"/>
  <c r="S5780" i="1"/>
  <c r="S5804" i="1"/>
  <c r="S13" i="1"/>
  <c r="S48" i="1"/>
  <c r="S87" i="1"/>
  <c r="S127" i="1"/>
  <c r="S162" i="1"/>
  <c r="S204" i="1"/>
  <c r="S241" i="1"/>
  <c r="S281" i="1"/>
  <c r="S316" i="1"/>
  <c r="S358" i="1"/>
  <c r="S400" i="1"/>
  <c r="S436" i="1"/>
  <c r="S476" i="1"/>
  <c r="S516" i="1"/>
  <c r="S553" i="1"/>
  <c r="S594" i="1"/>
  <c r="S629" i="1"/>
  <c r="S665" i="1"/>
  <c r="S702" i="1"/>
  <c r="S741" i="1"/>
  <c r="S780" i="1"/>
  <c r="S817" i="1"/>
  <c r="S852" i="1"/>
  <c r="S888" i="1"/>
  <c r="S929" i="1"/>
  <c r="S963" i="1"/>
  <c r="S1000" i="1"/>
  <c r="S1035" i="1"/>
  <c r="S1073" i="1"/>
  <c r="S1110" i="1"/>
  <c r="S1151" i="1"/>
  <c r="S1185" i="1"/>
  <c r="S1221" i="1"/>
  <c r="S1263" i="1"/>
  <c r="S1297" i="1"/>
  <c r="S1333" i="1"/>
  <c r="S1371" i="1"/>
  <c r="S1406" i="1"/>
  <c r="S1444" i="1"/>
  <c r="S1483" i="1"/>
  <c r="S1519" i="1"/>
  <c r="S1556" i="1"/>
  <c r="S1592" i="1"/>
  <c r="S1632" i="1"/>
  <c r="S1666" i="1"/>
  <c r="S1704" i="1"/>
  <c r="S1739" i="1"/>
  <c r="S1775" i="1"/>
  <c r="S1817" i="1"/>
  <c r="S1852" i="1"/>
  <c r="S1888" i="1"/>
  <c r="S1924" i="1"/>
  <c r="S1961" i="1"/>
  <c r="S1994" i="1"/>
  <c r="S2031" i="1"/>
  <c r="S2062" i="1"/>
  <c r="S2096" i="1"/>
  <c r="S2131" i="1"/>
  <c r="S2165" i="1"/>
  <c r="S2196" i="1"/>
  <c r="S2233" i="1"/>
  <c r="S2266" i="1"/>
  <c r="S2299" i="1"/>
  <c r="S2335" i="1"/>
  <c r="S2366" i="1"/>
  <c r="S2398" i="1"/>
  <c r="S2429" i="1"/>
  <c r="S2464" i="1"/>
  <c r="S2494" i="1"/>
  <c r="S2525" i="1"/>
  <c r="S2559" i="1"/>
  <c r="S2592" i="1"/>
  <c r="S2625" i="1"/>
  <c r="S2655" i="1"/>
  <c r="S2686" i="1"/>
  <c r="S2719" i="1"/>
  <c r="S2752" i="1"/>
  <c r="S2782" i="1"/>
  <c r="S2816" i="1"/>
  <c r="S2846" i="1"/>
  <c r="S2879" i="1"/>
  <c r="S2913" i="1"/>
  <c r="S2944" i="1"/>
  <c r="S2976" i="1"/>
  <c r="S3006" i="1"/>
  <c r="S3039" i="1"/>
  <c r="S3072" i="1"/>
  <c r="S3103" i="1"/>
  <c r="S3135" i="1"/>
  <c r="S3165" i="1"/>
  <c r="S3203" i="1"/>
  <c r="S3234" i="1"/>
  <c r="S3264" i="1"/>
  <c r="S3296" i="1"/>
  <c r="S3328" i="1"/>
  <c r="S3361" i="1"/>
  <c r="S3392" i="1"/>
  <c r="S3424" i="1"/>
  <c r="S3456" i="1"/>
  <c r="S3486" i="1"/>
  <c r="S3524" i="1"/>
  <c r="S3554" i="1"/>
  <c r="S3584" i="1"/>
  <c r="S3617" i="1"/>
  <c r="S3647" i="1"/>
  <c r="S3681" i="1"/>
  <c r="S3713" i="1"/>
  <c r="S3744" i="1"/>
  <c r="S3776" i="1"/>
  <c r="S3808" i="1"/>
  <c r="S3841" i="1"/>
  <c r="S3871" i="1"/>
  <c r="S3902" i="1"/>
  <c r="S3932" i="1"/>
  <c r="S3963" i="1"/>
  <c r="S3993" i="1"/>
  <c r="S4024" i="1"/>
  <c r="S4053" i="1"/>
  <c r="S4083" i="1"/>
  <c r="S4116" i="1"/>
  <c r="S4147" i="1"/>
  <c r="S4178" i="1"/>
  <c r="S4207" i="1"/>
  <c r="S4237" i="1"/>
  <c r="S4269" i="1"/>
  <c r="S4297" i="1"/>
  <c r="S4325" i="1"/>
  <c r="S4355" i="1"/>
  <c r="S4383" i="1"/>
  <c r="S4413" i="1"/>
  <c r="S4445" i="1"/>
  <c r="S4473" i="1"/>
  <c r="S4501" i="1"/>
  <c r="S4532" i="1"/>
  <c r="S4561" i="1"/>
  <c r="S4589" i="1"/>
  <c r="S4617" i="1"/>
  <c r="S4644" i="1"/>
  <c r="S4674" i="1"/>
  <c r="S4701" i="1"/>
  <c r="S4730" i="1"/>
  <c r="S4757" i="1"/>
  <c r="S4785" i="1"/>
  <c r="S4814" i="1"/>
  <c r="S4841" i="1"/>
  <c r="S4868" i="1"/>
  <c r="S4896" i="1"/>
  <c r="S4923" i="1"/>
  <c r="S4952" i="1"/>
  <c r="S4980" i="1"/>
  <c r="S5009" i="1"/>
  <c r="S5036" i="1"/>
  <c r="S5065" i="1"/>
  <c r="S5093" i="1"/>
  <c r="S5120" i="1"/>
  <c r="S5147" i="1"/>
  <c r="S5174" i="1"/>
  <c r="S5204" i="1"/>
  <c r="S5231" i="1"/>
  <c r="S5258" i="1"/>
  <c r="S5288" i="1"/>
  <c r="S5315" i="1"/>
  <c r="S5344" i="1"/>
  <c r="S5371" i="1"/>
  <c r="S5399" i="1"/>
  <c r="S5426" i="1"/>
  <c r="S5453" i="1"/>
  <c r="S5482" i="1"/>
  <c r="S5509" i="1"/>
  <c r="S5535" i="1"/>
  <c r="S5563" i="1"/>
  <c r="S5591" i="1"/>
  <c r="S5617" i="1"/>
  <c r="S5643" i="1"/>
  <c r="S5669" i="1"/>
  <c r="S5695" i="1"/>
  <c r="S5723" i="1"/>
  <c r="S5749" i="1"/>
  <c r="S5775" i="1"/>
  <c r="S5801" i="1"/>
  <c r="S14" i="1"/>
  <c r="S50" i="1"/>
  <c r="S88" i="1"/>
  <c r="S128" i="1"/>
  <c r="S166" i="1"/>
  <c r="S205" i="1"/>
  <c r="S247" i="1"/>
  <c r="S282" i="1"/>
  <c r="S319" i="1"/>
  <c r="S359" i="1"/>
  <c r="S401" i="1"/>
  <c r="S439" i="1"/>
  <c r="S477" i="1"/>
  <c r="S517" i="1"/>
  <c r="S554" i="1"/>
  <c r="S595" i="1"/>
  <c r="S630" i="1"/>
  <c r="S666" i="1"/>
  <c r="S705" i="1"/>
  <c r="S742" i="1"/>
  <c r="S781" i="1"/>
  <c r="S818" i="1"/>
  <c r="S853" i="1"/>
  <c r="S889" i="1"/>
  <c r="S930" i="1"/>
  <c r="S964" i="1"/>
  <c r="S1001" i="1"/>
  <c r="S1037" i="1"/>
  <c r="S1074" i="1"/>
  <c r="S1111" i="1"/>
  <c r="S1152" i="1"/>
  <c r="S1188" i="1"/>
  <c r="S1222" i="1"/>
  <c r="S1264" i="1"/>
  <c r="S1298" i="1"/>
  <c r="S1335" i="1"/>
  <c r="S1372" i="1"/>
  <c r="S1407" i="1"/>
  <c r="S1445" i="1"/>
  <c r="S1484" i="1"/>
  <c r="S1521" i="1"/>
  <c r="S1557" i="1"/>
  <c r="S1594" i="1"/>
  <c r="S1633" i="1"/>
  <c r="S1667" i="1"/>
  <c r="S1706" i="1"/>
  <c r="S1741" i="1"/>
  <c r="S1776" i="1"/>
  <c r="S1818" i="1"/>
  <c r="S1853" i="1"/>
  <c r="S1889" i="1"/>
  <c r="S1925" i="1"/>
  <c r="S1962" i="1"/>
  <c r="S1995" i="1"/>
  <c r="S2032" i="1"/>
  <c r="S2063" i="1"/>
  <c r="S2097" i="1"/>
  <c r="S2132" i="1"/>
  <c r="S2166" i="1"/>
  <c r="S2197" i="1"/>
  <c r="S2234" i="1"/>
  <c r="S2267" i="1"/>
  <c r="S2301" i="1"/>
  <c r="S2336" i="1"/>
  <c r="S2367" i="1"/>
  <c r="S2399" i="1"/>
  <c r="S2430" i="1"/>
  <c r="S2465" i="1"/>
  <c r="S2495" i="1"/>
  <c r="S2526" i="1"/>
  <c r="S2560" i="1"/>
  <c r="S2593" i="1"/>
  <c r="S2626" i="1"/>
  <c r="S2656" i="1"/>
  <c r="S2688" i="1"/>
  <c r="S2720" i="1"/>
  <c r="S2753" i="1"/>
  <c r="S2783" i="1"/>
  <c r="S2817" i="1"/>
  <c r="S2847" i="1"/>
  <c r="S2880" i="1"/>
  <c r="S2914" i="1"/>
  <c r="S2946" i="1"/>
  <c r="S2977" i="1"/>
  <c r="S3008" i="1"/>
  <c r="S3040" i="1"/>
  <c r="S3073" i="1"/>
  <c r="S3105" i="1"/>
  <c r="S3136" i="1"/>
  <c r="S3166" i="1"/>
  <c r="S3204" i="1"/>
  <c r="S3235" i="1"/>
  <c r="S3265" i="1"/>
  <c r="S3298" i="1"/>
  <c r="S3329" i="1"/>
  <c r="S3362" i="1"/>
  <c r="S3393" i="1"/>
  <c r="S3425" i="1"/>
  <c r="S3457" i="1"/>
  <c r="S3487" i="1"/>
  <c r="S3525" i="1"/>
  <c r="S3555" i="1"/>
  <c r="S3586" i="1"/>
  <c r="S3618" i="1"/>
  <c r="S3649" i="1"/>
  <c r="S3682" i="1"/>
  <c r="S3714" i="1"/>
  <c r="S3745" i="1"/>
  <c r="S3777" i="1"/>
  <c r="S3809" i="1"/>
  <c r="S3842" i="1"/>
  <c r="S3872" i="1"/>
  <c r="S3903" i="1"/>
  <c r="S3933" i="1"/>
  <c r="S3964" i="1"/>
  <c r="S3995" i="1"/>
  <c r="S4025" i="1"/>
  <c r="S4054" i="1"/>
  <c r="S4084" i="1"/>
  <c r="S4117" i="1"/>
  <c r="S4148" i="1"/>
  <c r="S4179" i="1"/>
  <c r="S4208" i="1"/>
  <c r="S4238" i="1"/>
  <c r="S4270" i="1"/>
  <c r="S4298" i="1"/>
  <c r="S4326" i="1"/>
  <c r="S4356" i="1"/>
  <c r="S4384" i="1"/>
  <c r="S4414" i="1"/>
  <c r="S4446" i="1"/>
  <c r="S4474" i="1"/>
  <c r="S4502" i="1"/>
  <c r="S4533" i="1"/>
  <c r="S4562" i="1"/>
  <c r="S4590" i="1"/>
  <c r="S4618" i="1"/>
  <c r="S4645" i="1"/>
  <c r="S4675" i="1"/>
  <c r="S4702" i="1"/>
  <c r="S4731" i="1"/>
  <c r="S4758" i="1"/>
  <c r="S4786" i="1"/>
  <c r="S4815" i="1"/>
  <c r="S4842" i="1"/>
  <c r="S4870" i="1"/>
  <c r="S4897" i="1"/>
  <c r="S4924" i="1"/>
  <c r="S4953" i="1"/>
  <c r="S4981" i="1"/>
  <c r="S5010" i="1"/>
  <c r="S5037" i="1"/>
  <c r="S5066" i="1"/>
  <c r="S5094" i="1"/>
  <c r="S5121" i="1"/>
  <c r="S5148" i="1"/>
  <c r="S5175" i="1"/>
  <c r="S5205" i="1"/>
  <c r="S5232" i="1"/>
  <c r="S5259" i="1"/>
  <c r="S5289" i="1"/>
  <c r="S5316" i="1"/>
  <c r="S5345" i="1"/>
  <c r="S5372" i="1"/>
  <c r="S5400" i="1"/>
  <c r="S5427" i="1"/>
  <c r="S5454" i="1"/>
  <c r="S5483" i="1"/>
  <c r="S5510" i="1"/>
  <c r="S5536" i="1"/>
  <c r="S5564" i="1"/>
  <c r="S5592" i="1"/>
  <c r="S5618" i="1"/>
  <c r="S5644" i="1"/>
  <c r="S5670" i="1"/>
  <c r="S5696" i="1"/>
  <c r="S5724" i="1"/>
  <c r="S5750" i="1"/>
  <c r="S5776" i="1"/>
  <c r="S5802" i="1"/>
  <c r="S15" i="1"/>
  <c r="S51" i="1"/>
  <c r="S89" i="1"/>
  <c r="S129" i="1"/>
  <c r="S169" i="1"/>
  <c r="S206" i="1"/>
  <c r="S248" i="1"/>
  <c r="S283" i="1"/>
  <c r="S320" i="1"/>
  <c r="S364" i="1"/>
  <c r="S402" i="1"/>
  <c r="S441" i="1"/>
  <c r="S478" i="1"/>
  <c r="S518" i="1"/>
  <c r="S555" i="1"/>
  <c r="S597" i="1"/>
  <c r="S633" i="1"/>
  <c r="S667" i="1"/>
  <c r="S707" i="1"/>
  <c r="S745" i="1"/>
  <c r="S782" i="1"/>
  <c r="S819" i="1"/>
  <c r="S854" i="1"/>
  <c r="S892" i="1"/>
  <c r="S931" i="1"/>
  <c r="S965" i="1"/>
  <c r="S1002" i="1"/>
  <c r="S1038" i="1"/>
  <c r="S1077" i="1"/>
  <c r="S1116" i="1"/>
  <c r="S1153" i="1"/>
  <c r="S1189" i="1"/>
  <c r="S1223" i="1"/>
  <c r="S1265" i="1"/>
  <c r="S1299" i="1"/>
  <c r="S1336" i="1"/>
  <c r="S1373" i="1"/>
  <c r="S1409" i="1"/>
  <c r="S1446" i="1"/>
  <c r="S1487" i="1"/>
  <c r="S1522" i="1"/>
  <c r="S1558" i="1"/>
  <c r="S1599" i="1"/>
  <c r="S1634" i="1"/>
  <c r="S1668" i="1"/>
  <c r="S1707" i="1"/>
  <c r="S1744" i="1"/>
  <c r="S1780" i="1"/>
  <c r="S1819" i="1"/>
  <c r="S1856" i="1"/>
  <c r="S1892" i="1"/>
  <c r="S1926" i="1"/>
  <c r="S1963" i="1"/>
  <c r="S1996" i="1"/>
  <c r="S2033" i="1"/>
  <c r="S2064" i="1"/>
  <c r="S2098" i="1"/>
  <c r="S2134" i="1"/>
  <c r="S2167" i="1"/>
  <c r="S2201" i="1"/>
  <c r="S2236" i="1"/>
  <c r="S2270" i="1"/>
  <c r="S2302" i="1"/>
  <c r="S2337" i="1"/>
  <c r="S2368" i="1"/>
  <c r="S2400" i="1"/>
  <c r="S2433" i="1"/>
  <c r="S2466" i="1"/>
  <c r="S2496" i="1"/>
  <c r="S2530" i="1"/>
  <c r="S2562" i="1"/>
  <c r="S2594" i="1"/>
  <c r="S2627" i="1"/>
  <c r="S2657" i="1"/>
  <c r="S2689" i="1"/>
  <c r="S2721" i="1"/>
  <c r="S2754" i="1"/>
  <c r="S2785" i="1"/>
  <c r="S2818" i="1"/>
  <c r="S2850" i="1"/>
  <c r="S2884" i="1"/>
  <c r="S2916" i="1"/>
  <c r="S2948" i="1"/>
  <c r="S2978" i="1"/>
  <c r="S3009" i="1"/>
  <c r="S3044" i="1"/>
  <c r="S3074" i="1"/>
  <c r="S3106" i="1"/>
  <c r="S3137" i="1"/>
  <c r="S3171" i="1"/>
  <c r="S3205" i="1"/>
  <c r="S3236" i="1"/>
  <c r="S3266" i="1"/>
  <c r="S3300" i="1"/>
  <c r="S3330" i="1"/>
  <c r="S3363" i="1"/>
  <c r="S3395" i="1"/>
  <c r="S3426" i="1"/>
  <c r="S3458" i="1"/>
  <c r="S3493" i="1"/>
  <c r="S3526" i="1"/>
  <c r="S3556" i="1"/>
  <c r="S3588" i="1"/>
  <c r="S3619" i="1"/>
  <c r="S3653" i="1"/>
  <c r="S3685" i="1"/>
  <c r="S3715" i="1"/>
  <c r="S3746" i="1"/>
  <c r="S3778" i="1"/>
  <c r="S3814" i="1"/>
  <c r="S3844" i="1"/>
  <c r="S3875" i="1"/>
  <c r="S3904" i="1"/>
  <c r="S3934" i="1"/>
  <c r="S3965" i="1"/>
  <c r="S3996" i="1"/>
  <c r="S4026" i="1"/>
  <c r="S4055" i="1"/>
  <c r="S4086" i="1"/>
  <c r="S4120" i="1"/>
  <c r="S4149" i="1"/>
  <c r="S4180" i="1"/>
  <c r="S4209" i="1"/>
  <c r="S4242" i="1"/>
  <c r="S4271" i="1"/>
  <c r="S4299" i="1"/>
  <c r="S4328" i="1"/>
  <c r="S4357" i="1"/>
  <c r="S4387" i="1"/>
  <c r="S4418" i="1"/>
  <c r="S4447" i="1"/>
  <c r="S4475" i="1"/>
  <c r="S4504" i="1"/>
  <c r="S4534" i="1"/>
  <c r="S4563" i="1"/>
  <c r="S4592" i="1"/>
  <c r="S4619" i="1"/>
  <c r="S4646" i="1"/>
  <c r="S4676" i="1"/>
  <c r="S4705" i="1"/>
  <c r="S4732" i="1"/>
  <c r="S4760" i="1"/>
  <c r="S4789" i="1"/>
  <c r="S4816" i="1"/>
  <c r="S4843" i="1"/>
  <c r="S4871" i="1"/>
  <c r="S4898" i="1"/>
  <c r="S4927" i="1"/>
  <c r="S4954" i="1"/>
  <c r="S4984" i="1"/>
  <c r="S5011" i="1"/>
  <c r="S5038" i="1"/>
  <c r="S5068" i="1"/>
  <c r="S5095" i="1"/>
  <c r="S5122" i="1"/>
  <c r="S5149" i="1"/>
  <c r="S5176" i="1"/>
  <c r="S5206" i="1"/>
  <c r="S5233" i="1"/>
  <c r="S5262" i="1"/>
  <c r="S5290" i="1"/>
  <c r="S5319" i="1"/>
  <c r="S5346" i="1"/>
  <c r="S5373" i="1"/>
  <c r="S5401" i="1"/>
  <c r="S5428" i="1"/>
  <c r="S5457" i="1"/>
  <c r="S5484" i="1"/>
  <c r="S5511" i="1"/>
  <c r="S5539" i="1"/>
  <c r="S5565" i="1"/>
  <c r="S5593" i="1"/>
  <c r="S5619" i="1"/>
  <c r="S5645" i="1"/>
  <c r="S5671" i="1"/>
  <c r="S5697" i="1"/>
  <c r="S5725" i="1"/>
  <c r="S5751" i="1"/>
  <c r="S5777" i="1"/>
  <c r="S5805" i="1"/>
  <c r="S16" i="1"/>
  <c r="S54" i="1"/>
  <c r="S91" i="1"/>
  <c r="S130" i="1"/>
  <c r="S170" i="1"/>
  <c r="S207" i="1"/>
  <c r="S249" i="1"/>
  <c r="S284" i="1"/>
  <c r="S321" i="1"/>
  <c r="S367" i="1"/>
  <c r="S405" i="1"/>
  <c r="S443" i="1"/>
  <c r="S479" i="1"/>
  <c r="S519" i="1"/>
  <c r="S557" i="1"/>
  <c r="S598" i="1"/>
  <c r="S634" i="1"/>
  <c r="S668" i="1"/>
  <c r="S708" i="1"/>
  <c r="S746" i="1"/>
  <c r="S783" i="1"/>
  <c r="S820" i="1"/>
  <c r="S857" i="1"/>
  <c r="S893" i="1"/>
  <c r="S932" i="1"/>
  <c r="S966" i="1"/>
  <c r="S1003" i="1"/>
  <c r="S1039" i="1"/>
  <c r="S1078" i="1"/>
  <c r="S1117" i="1"/>
  <c r="S1154" i="1"/>
  <c r="S1191" i="1"/>
  <c r="S1225" i="1"/>
  <c r="S1266" i="1"/>
  <c r="S1301" i="1"/>
  <c r="S1337" i="1"/>
  <c r="S1374" i="1"/>
  <c r="S1411" i="1"/>
  <c r="S1447" i="1"/>
  <c r="S1488" i="1"/>
  <c r="S1523" i="1"/>
  <c r="S1559" i="1"/>
  <c r="S1601" i="1"/>
  <c r="S1635" i="1"/>
  <c r="S1671" i="1"/>
  <c r="S1709" i="1"/>
  <c r="S1745" i="1"/>
  <c r="S1781" i="1"/>
  <c r="S1820" i="1"/>
  <c r="S1857" i="1"/>
  <c r="S1893" i="1"/>
  <c r="S1927" i="1"/>
  <c r="S1964" i="1"/>
  <c r="S1997" i="1"/>
  <c r="S2034" i="1"/>
  <c r="S2066" i="1"/>
  <c r="S2099" i="1"/>
  <c r="S2135" i="1"/>
  <c r="S2168" i="1"/>
  <c r="S2202" i="1"/>
  <c r="S2237" i="1"/>
  <c r="S2271" i="1"/>
  <c r="S2303" i="1"/>
  <c r="S2338" i="1"/>
  <c r="S2370" i="1"/>
  <c r="S2401" i="1"/>
  <c r="S2435" i="1"/>
  <c r="S2467" i="1"/>
  <c r="S2497" i="1"/>
  <c r="S2532" i="1"/>
  <c r="S2563" i="1"/>
  <c r="S2596" i="1"/>
  <c r="S2628" i="1"/>
  <c r="S2658" i="1"/>
  <c r="S2690" i="1"/>
  <c r="S2722" i="1"/>
  <c r="S2755" i="1"/>
  <c r="S2786" i="1"/>
  <c r="S2819" i="1"/>
  <c r="S2851" i="1"/>
  <c r="S2885" i="1"/>
  <c r="S2917" i="1"/>
  <c r="S2949" i="1"/>
  <c r="S2979" i="1"/>
  <c r="S3010" i="1"/>
  <c r="S3045" i="1"/>
  <c r="S3075" i="1"/>
  <c r="S3108" i="1"/>
  <c r="S3138" i="1"/>
  <c r="S3172" i="1"/>
  <c r="S3206" i="1"/>
  <c r="S3237" i="1"/>
  <c r="S3267" i="1"/>
  <c r="S3301" i="1"/>
  <c r="S3331" i="1"/>
  <c r="S3364" i="1"/>
  <c r="S3397" i="1"/>
  <c r="S3427" i="1"/>
  <c r="S3459" i="1"/>
  <c r="S3494" i="1"/>
  <c r="S3527" i="1"/>
  <c r="S3557" i="1"/>
  <c r="S3589" i="1"/>
  <c r="S3620" i="1"/>
  <c r="S3654" i="1"/>
  <c r="S3686" i="1"/>
  <c r="S3716" i="1"/>
  <c r="S3747" i="1"/>
  <c r="S3779" i="1"/>
  <c r="S3815" i="1"/>
  <c r="S3845" i="1"/>
  <c r="S3876" i="1"/>
  <c r="S3905" i="1"/>
  <c r="S3935" i="1"/>
  <c r="S3967" i="1"/>
  <c r="S3998" i="1"/>
  <c r="S17" i="1"/>
  <c r="S61" i="1"/>
  <c r="S107" i="1"/>
  <c r="S155" i="1"/>
  <c r="S202" i="1"/>
  <c r="S252" i="1"/>
  <c r="S303" i="1"/>
  <c r="S344" i="1"/>
  <c r="S388" i="1"/>
  <c r="S446" i="1"/>
  <c r="S492" i="1"/>
  <c r="S534" i="1"/>
  <c r="S580" i="1"/>
  <c r="S627" i="1"/>
  <c r="S681" i="1"/>
  <c r="S720" i="1"/>
  <c r="S764" i="1"/>
  <c r="S807" i="1"/>
  <c r="S858" i="1"/>
  <c r="S903" i="1"/>
  <c r="S946" i="1"/>
  <c r="S990" i="1"/>
  <c r="S1031" i="1"/>
  <c r="S1084" i="1"/>
  <c r="S1128" i="1"/>
  <c r="S1171" i="1"/>
  <c r="S1217" i="1"/>
  <c r="S1267" i="1"/>
  <c r="S1309" i="1"/>
  <c r="S1354" i="1"/>
  <c r="S1398" i="1"/>
  <c r="S1439" i="1"/>
  <c r="S1491" i="1"/>
  <c r="S1537" i="1"/>
  <c r="S1579" i="1"/>
  <c r="S1624" i="1"/>
  <c r="S1672" i="1"/>
  <c r="S1714" i="1"/>
  <c r="S1763" i="1"/>
  <c r="S1803" i="1"/>
  <c r="S1849" i="1"/>
  <c r="S1898" i="1"/>
  <c r="S1939" i="1"/>
  <c r="S1981" i="1"/>
  <c r="S2022" i="1"/>
  <c r="S2068" i="1"/>
  <c r="S2110" i="1"/>
  <c r="S2148" i="1"/>
  <c r="S2190" i="1"/>
  <c r="S2226" i="1"/>
  <c r="S2274" i="1"/>
  <c r="S2314" i="1"/>
  <c r="S2355" i="1"/>
  <c r="S2393" i="1"/>
  <c r="S2436" i="1"/>
  <c r="S2474" i="1"/>
  <c r="S2514" i="1"/>
  <c r="S2549" i="1"/>
  <c r="S2588" i="1"/>
  <c r="S2631" i="1"/>
  <c r="S2667" i="1"/>
  <c r="S2708" i="1"/>
  <c r="S2745" i="1"/>
  <c r="S2787" i="1"/>
  <c r="S2826" i="1"/>
  <c r="S2866" i="1"/>
  <c r="S2901" i="1"/>
  <c r="S2942" i="1"/>
  <c r="S2982" i="1"/>
  <c r="S3022" i="1"/>
  <c r="S3060" i="1"/>
  <c r="S3098" i="1"/>
  <c r="S3141" i="1"/>
  <c r="S3181" i="1"/>
  <c r="S3216" i="1"/>
  <c r="S3256" i="1"/>
  <c r="S3293" i="1"/>
  <c r="S3336" i="1"/>
  <c r="S3376" i="1"/>
  <c r="S3414" i="1"/>
  <c r="S3450" i="1"/>
  <c r="S3495" i="1"/>
  <c r="S3532" i="1"/>
  <c r="S3569" i="1"/>
  <c r="S3609" i="1"/>
  <c r="S3645" i="1"/>
  <c r="S3689" i="1"/>
  <c r="S3727" i="1"/>
  <c r="S3766" i="1"/>
  <c r="S3802" i="1"/>
  <c r="S3846" i="1"/>
  <c r="S3881" i="1"/>
  <c r="S3917" i="1"/>
  <c r="S3955" i="1"/>
  <c r="S3991" i="1"/>
  <c r="S4029" i="1"/>
  <c r="S4068" i="1"/>
  <c r="S4100" i="1"/>
  <c r="S4134" i="1"/>
  <c r="S4169" i="1"/>
  <c r="S4205" i="1"/>
  <c r="S4245" i="1"/>
  <c r="S4276" i="1"/>
  <c r="S4311" i="1"/>
  <c r="S4344" i="1"/>
  <c r="S4377" i="1"/>
  <c r="S4408" i="1"/>
  <c r="S4448" i="1"/>
  <c r="S4479" i="1"/>
  <c r="S4514" i="1"/>
  <c r="S4545" i="1"/>
  <c r="S4581" i="1"/>
  <c r="S4613" i="1"/>
  <c r="S4643" i="1"/>
  <c r="S4681" i="1"/>
  <c r="S4711" i="1"/>
  <c r="S4744" i="1"/>
  <c r="S4774" i="1"/>
  <c r="S4807" i="1"/>
  <c r="S4839" i="1"/>
  <c r="S4873" i="1"/>
  <c r="S4905" i="1"/>
  <c r="S4938" i="1"/>
  <c r="S4968" i="1"/>
  <c r="S5000" i="1"/>
  <c r="S5031" i="1"/>
  <c r="S5069" i="1"/>
  <c r="S5099" i="1"/>
  <c r="S5129" i="1"/>
  <c r="S5164" i="1"/>
  <c r="S5194" i="1"/>
  <c r="S5227" i="1"/>
  <c r="S5257" i="1"/>
  <c r="S5293" i="1"/>
  <c r="S5325" i="1"/>
  <c r="S5356" i="1"/>
  <c r="S5390" i="1"/>
  <c r="S5421" i="1"/>
  <c r="S5451" i="1"/>
  <c r="S5487" i="1"/>
  <c r="S5518" i="1"/>
  <c r="S5549" i="1"/>
  <c r="S5578" i="1"/>
  <c r="S5607" i="1"/>
  <c r="S5640" i="1"/>
  <c r="S5672" i="1"/>
  <c r="S5703" i="1"/>
  <c r="S5734" i="1"/>
  <c r="S5763" i="1"/>
  <c r="S5794" i="1"/>
  <c r="S18" i="1"/>
  <c r="S62" i="1"/>
  <c r="S108" i="1"/>
  <c r="S157" i="1"/>
  <c r="S203" i="1"/>
  <c r="S253" i="1"/>
  <c r="S304" i="1"/>
  <c r="S345" i="1"/>
  <c r="S391" i="1"/>
  <c r="S447" i="1"/>
  <c r="S493" i="1"/>
  <c r="S539" i="1"/>
  <c r="S581" i="1"/>
  <c r="S628" i="1"/>
  <c r="S682" i="1"/>
  <c r="S721" i="1"/>
  <c r="S765" i="1"/>
  <c r="S808" i="1"/>
  <c r="S859" i="1"/>
  <c r="S905" i="1"/>
  <c r="S949" i="1"/>
  <c r="S991" i="1"/>
  <c r="S1032" i="1"/>
  <c r="S1085" i="1"/>
  <c r="S1129" i="1"/>
  <c r="S1172" i="1"/>
  <c r="S1218" i="1"/>
  <c r="S1268" i="1"/>
  <c r="S1310" i="1"/>
  <c r="S1357" i="1"/>
  <c r="S1399" i="1"/>
  <c r="S1441" i="1"/>
  <c r="S1493" i="1"/>
  <c r="S1538" i="1"/>
  <c r="S1580" i="1"/>
  <c r="S1625" i="1"/>
  <c r="S1673" i="1"/>
  <c r="S1715" i="1"/>
  <c r="S1764" i="1"/>
  <c r="S1804" i="1"/>
  <c r="S1851" i="1"/>
  <c r="S1899" i="1"/>
  <c r="S1940" i="1"/>
  <c r="S1982" i="1"/>
  <c r="S2026" i="1"/>
  <c r="S2069" i="1"/>
  <c r="S2112" i="1"/>
  <c r="S2149" i="1"/>
  <c r="S2191" i="1"/>
  <c r="S2227" i="1"/>
  <c r="S2275" i="1"/>
  <c r="S2315" i="1"/>
  <c r="S2357" i="1"/>
  <c r="S2394" i="1"/>
  <c r="S2437" i="1"/>
  <c r="S2475" i="1"/>
  <c r="S2515" i="1"/>
  <c r="S2550" i="1"/>
  <c r="S2589" i="1"/>
  <c r="S2632" i="1"/>
  <c r="S2668" i="1"/>
  <c r="S2709" i="1"/>
  <c r="S2746" i="1"/>
  <c r="S2789" i="1"/>
  <c r="S2827" i="1"/>
  <c r="S2867" i="1"/>
  <c r="S2902" i="1"/>
  <c r="S2943" i="1"/>
  <c r="S2984" i="1"/>
  <c r="S3023" i="1"/>
  <c r="S3062" i="1"/>
  <c r="S3099" i="1"/>
  <c r="S3143" i="1"/>
  <c r="S3182" i="1"/>
  <c r="S3217" i="1"/>
  <c r="S3257" i="1"/>
  <c r="S3295" i="1"/>
  <c r="S3338" i="1"/>
  <c r="S3377" i="1"/>
  <c r="S3415" i="1"/>
  <c r="S3451" i="1"/>
  <c r="S3498" i="1"/>
  <c r="S3533" i="1"/>
  <c r="S3570" i="1"/>
  <c r="S3610" i="1"/>
  <c r="S3646" i="1"/>
  <c r="S3690" i="1"/>
  <c r="S3728" i="1"/>
  <c r="S3767" i="1"/>
  <c r="S3803" i="1"/>
  <c r="S3847" i="1"/>
  <c r="S3882" i="1"/>
  <c r="S3918" i="1"/>
  <c r="S3956" i="1"/>
  <c r="S3992" i="1"/>
  <c r="S4030" i="1"/>
  <c r="S4069" i="1"/>
  <c r="S4101" i="1"/>
  <c r="S4135" i="1"/>
  <c r="S4170" i="1"/>
  <c r="S4206" i="1"/>
  <c r="S4246" i="1"/>
  <c r="S4277" i="1"/>
  <c r="S4312" i="1"/>
  <c r="S4345" i="1"/>
  <c r="S4378" i="1"/>
  <c r="S4411" i="1"/>
  <c r="S4449" i="1"/>
  <c r="S4480" i="1"/>
  <c r="S4515" i="1"/>
  <c r="S4546" i="1"/>
  <c r="S4583" i="1"/>
  <c r="S4614" i="1"/>
  <c r="S4647" i="1"/>
  <c r="S4682" i="1"/>
  <c r="S4712" i="1"/>
  <c r="S4745" i="1"/>
  <c r="S4775" i="1"/>
  <c r="S4808" i="1"/>
  <c r="S4840" i="1"/>
  <c r="S4874" i="1"/>
  <c r="S4908" i="1"/>
  <c r="S4939" i="1"/>
  <c r="S4969" i="1"/>
  <c r="S5002" i="1"/>
  <c r="S5034" i="1"/>
  <c r="S5070" i="1"/>
  <c r="S5100" i="1"/>
  <c r="S5130" i="1"/>
  <c r="S5165" i="1"/>
  <c r="S5195" i="1"/>
  <c r="S5228" i="1"/>
  <c r="S5263" i="1"/>
  <c r="S5296" i="1"/>
  <c r="S5326" i="1"/>
  <c r="S5357" i="1"/>
  <c r="S5391" i="1"/>
  <c r="S5422" i="1"/>
  <c r="S5452" i="1"/>
  <c r="S5488" i="1"/>
  <c r="S5519" i="1"/>
  <c r="S5550" i="1"/>
  <c r="S5579" i="1"/>
  <c r="S5608" i="1"/>
  <c r="S5641" i="1"/>
  <c r="S5673" i="1"/>
  <c r="S5704" i="1"/>
  <c r="S5735" i="1"/>
  <c r="S5764" i="1"/>
  <c r="S5795" i="1"/>
  <c r="S19" i="1"/>
  <c r="S65" i="1"/>
  <c r="S109" i="1"/>
  <c r="S158" i="1"/>
  <c r="S211" i="1"/>
  <c r="S257" i="1"/>
  <c r="S305" i="1"/>
  <c r="S346" i="1"/>
  <c r="S395" i="1"/>
  <c r="S448" i="1"/>
  <c r="S494" i="1"/>
  <c r="S542" i="1"/>
  <c r="S586" i="1"/>
  <c r="S635" i="1"/>
  <c r="S683" i="1"/>
  <c r="S723" i="1"/>
  <c r="S766" i="1"/>
  <c r="S814" i="1"/>
  <c r="S863" i="1"/>
  <c r="S906" i="1"/>
  <c r="S950" i="1"/>
  <c r="S996" i="1"/>
  <c r="S1044" i="1"/>
  <c r="S1087" i="1"/>
  <c r="S1130" i="1"/>
  <c r="S1176" i="1"/>
  <c r="S1219" i="1"/>
  <c r="S1269" i="1"/>
  <c r="S1311" i="1"/>
  <c r="S1358" i="1"/>
  <c r="S1400" i="1"/>
  <c r="S1456" i="1"/>
  <c r="S1494" i="1"/>
  <c r="S1539" i="1"/>
  <c r="S1581" i="1"/>
  <c r="S1629" i="1"/>
  <c r="S1677" i="1"/>
  <c r="S1723" i="1"/>
  <c r="S1765" i="1"/>
  <c r="S1805" i="1"/>
  <c r="S1858" i="1"/>
  <c r="S1902" i="1"/>
  <c r="S1942" i="1"/>
  <c r="S1985" i="1"/>
  <c r="S2027" i="1"/>
  <c r="S2071" i="1"/>
  <c r="S2113" i="1"/>
  <c r="S2150" i="1"/>
  <c r="S2192" i="1"/>
  <c r="S2238" i="1"/>
  <c r="S2276" i="1"/>
  <c r="S2316" i="1"/>
  <c r="S2360" i="1"/>
  <c r="S2395" i="1"/>
  <c r="S2439" i="1"/>
  <c r="S2477" i="1"/>
  <c r="S2516" i="1"/>
  <c r="S2552" i="1"/>
  <c r="S2598" i="1"/>
  <c r="S2633" i="1"/>
  <c r="S2673" i="1"/>
  <c r="S2710" i="1"/>
  <c r="S2747" i="1"/>
  <c r="S2794" i="1"/>
  <c r="S2831" i="1"/>
  <c r="S2868" i="1"/>
  <c r="S2904" i="1"/>
  <c r="S2950" i="1"/>
  <c r="S2985" i="1"/>
  <c r="S3026" i="1"/>
  <c r="S3063" i="1"/>
  <c r="S3100" i="1"/>
  <c r="S3144" i="1"/>
  <c r="S3183" i="1"/>
  <c r="S3219" i="1"/>
  <c r="S3260" i="1"/>
  <c r="S3302" i="1"/>
  <c r="S3339" i="1"/>
  <c r="S3378" i="1"/>
  <c r="S3416" i="1"/>
  <c r="S3454" i="1"/>
  <c r="S3500" i="1"/>
  <c r="S3534" i="1"/>
  <c r="S3574" i="1"/>
  <c r="S3612" i="1"/>
  <c r="S3655" i="1"/>
  <c r="S3691" i="1"/>
  <c r="S3733" i="1"/>
  <c r="S3768" i="1"/>
  <c r="S3806" i="1"/>
  <c r="S3848" i="1"/>
  <c r="S3883" i="1"/>
  <c r="S3919" i="1"/>
  <c r="S3957" i="1"/>
  <c r="S3999" i="1"/>
  <c r="S4031" i="1"/>
  <c r="S4070" i="1"/>
  <c r="S4102" i="1"/>
  <c r="S4136" i="1"/>
  <c r="S4171" i="1"/>
  <c r="S4210" i="1"/>
  <c r="S4247" i="1"/>
  <c r="S4278" i="1"/>
  <c r="S4315" i="1"/>
  <c r="S4346" i="1"/>
  <c r="S4379" i="1"/>
  <c r="S4412" i="1"/>
  <c r="S4450" i="1"/>
  <c r="S4484" i="1"/>
  <c r="S4516" i="1"/>
  <c r="S4550" i="1"/>
  <c r="S4584" i="1"/>
  <c r="S4615" i="1"/>
  <c r="S4651" i="1"/>
  <c r="S4683" i="1"/>
  <c r="S4713" i="1"/>
  <c r="S4746" i="1"/>
  <c r="S4776" i="1"/>
  <c r="S4809" i="1"/>
  <c r="S4844" i="1"/>
  <c r="S4875" i="1"/>
  <c r="S4909" i="1"/>
  <c r="S4940" i="1"/>
  <c r="S4970" i="1"/>
  <c r="S5003" i="1"/>
  <c r="S5035" i="1"/>
  <c r="S5071" i="1"/>
  <c r="S5101" i="1"/>
  <c r="S5131" i="1"/>
  <c r="S5166" i="1"/>
  <c r="S5196" i="1"/>
  <c r="S5229" i="1"/>
  <c r="S5264" i="1"/>
  <c r="S5297" i="1"/>
  <c r="S5327" i="1"/>
  <c r="S5358" i="1"/>
  <c r="S5392" i="1"/>
  <c r="S5423" i="1"/>
  <c r="S5458" i="1"/>
  <c r="S5491" i="1"/>
  <c r="S5520" i="1"/>
  <c r="S5551" i="1"/>
  <c r="S5580" i="1"/>
  <c r="S5613" i="1"/>
  <c r="S5642" i="1"/>
  <c r="S5674" i="1"/>
  <c r="S5705" i="1"/>
  <c r="S5736" i="1"/>
  <c r="S5767" i="1"/>
  <c r="S5796" i="1"/>
  <c r="S20" i="1"/>
  <c r="S66" i="1"/>
  <c r="S113" i="1"/>
  <c r="S159" i="1"/>
  <c r="S212" i="1"/>
  <c r="S258" i="1"/>
  <c r="S306" i="1"/>
  <c r="S347" i="1"/>
  <c r="S396" i="1"/>
  <c r="S449" i="1"/>
  <c r="S495" i="1"/>
  <c r="S543" i="1"/>
  <c r="S587" i="1"/>
  <c r="S636" i="1"/>
  <c r="S685" i="1"/>
  <c r="S724" i="1"/>
  <c r="S767" i="1"/>
  <c r="S815" i="1"/>
  <c r="S864" i="1"/>
  <c r="S907" i="1"/>
  <c r="S951" i="1"/>
  <c r="S997" i="1"/>
  <c r="S1045" i="1"/>
  <c r="S1088" i="1"/>
  <c r="S1131" i="1"/>
  <c r="S1177" i="1"/>
  <c r="S1220" i="1"/>
  <c r="S1271" i="1"/>
  <c r="S1312" i="1"/>
  <c r="S1359" i="1"/>
  <c r="S1401" i="1"/>
  <c r="S1457" i="1"/>
  <c r="S1495" i="1"/>
  <c r="S1540" i="1"/>
  <c r="S1582" i="1"/>
  <c r="S1631" i="1"/>
  <c r="S1678" i="1"/>
  <c r="S1724" i="1"/>
  <c r="S1768" i="1"/>
  <c r="S1807" i="1"/>
  <c r="S1859" i="1"/>
  <c r="S1903" i="1"/>
  <c r="S1943" i="1"/>
  <c r="S1986" i="1"/>
  <c r="S2028" i="1"/>
  <c r="S2072" i="1"/>
  <c r="S2115" i="1"/>
  <c r="S2151" i="1"/>
  <c r="S2193" i="1"/>
  <c r="S2239" i="1"/>
  <c r="S2278" i="1"/>
  <c r="S2317" i="1"/>
  <c r="S2361" i="1"/>
  <c r="S2396" i="1"/>
  <c r="S2440" i="1"/>
  <c r="S2478" i="1"/>
  <c r="S2517" i="1"/>
  <c r="S2553" i="1"/>
  <c r="S2599" i="1"/>
  <c r="S2634" i="1"/>
  <c r="S2674" i="1"/>
  <c r="S2711" i="1"/>
  <c r="S2748" i="1"/>
  <c r="S2795" i="1"/>
  <c r="S2832" i="1"/>
  <c r="S2869" i="1"/>
  <c r="S2905" i="1"/>
  <c r="S2951" i="1"/>
  <c r="S2986" i="1"/>
  <c r="S3027" i="1"/>
  <c r="S3102" i="1"/>
  <c r="S3146" i="1"/>
  <c r="S3184" i="1"/>
  <c r="S3220" i="1"/>
  <c r="S3261" i="1"/>
  <c r="S3303" i="1"/>
  <c r="S3340" i="1"/>
  <c r="S3379" i="1"/>
  <c r="S3417" i="1"/>
  <c r="S3455" i="1"/>
  <c r="S3501" i="1"/>
  <c r="S3535" i="1"/>
  <c r="S3575" i="1"/>
  <c r="S3613" i="1"/>
  <c r="S3656" i="1"/>
  <c r="S3692" i="1"/>
  <c r="S3734" i="1"/>
  <c r="S3769" i="1"/>
  <c r="S3807" i="1"/>
  <c r="S3850" i="1"/>
  <c r="S3884" i="1"/>
  <c r="S3921" i="1"/>
  <c r="S3958" i="1"/>
  <c r="S4000" i="1"/>
  <c r="S4034" i="1"/>
  <c r="S4071" i="1"/>
  <c r="S4103" i="1"/>
  <c r="S4137" i="1"/>
  <c r="S4176" i="1"/>
  <c r="S4212" i="1"/>
  <c r="S4248" i="1"/>
  <c r="S4279" i="1"/>
  <c r="S4316" i="1"/>
  <c r="S4347" i="1"/>
  <c r="S4380" i="1"/>
  <c r="S4419" i="1"/>
  <c r="S4451" i="1"/>
  <c r="S4485" i="1"/>
  <c r="S4517" i="1"/>
  <c r="S4551" i="1"/>
  <c r="S4585" i="1"/>
  <c r="S4616" i="1"/>
  <c r="S4652" i="1"/>
  <c r="S4684" i="1"/>
  <c r="S4714" i="1"/>
  <c r="S4747" i="1"/>
  <c r="S4777" i="1"/>
  <c r="S4812" i="1"/>
  <c r="S4845" i="1"/>
  <c r="S4876" i="1"/>
  <c r="S4910" i="1"/>
  <c r="S4941" i="1"/>
  <c r="S4973" i="1"/>
  <c r="S5004" i="1"/>
  <c r="S5039" i="1"/>
  <c r="S5072" i="1"/>
  <c r="S5102" i="1"/>
  <c r="S5137" i="1"/>
  <c r="S5167" i="1"/>
  <c r="S5197" i="1"/>
  <c r="S5230" i="1"/>
  <c r="S5298" i="1"/>
  <c r="S5328" i="1"/>
  <c r="S5359" i="1"/>
  <c r="S5393" i="1"/>
  <c r="S5424" i="1"/>
  <c r="S5459" i="1"/>
  <c r="S5492" i="1"/>
  <c r="S5521" i="1"/>
  <c r="S5552" i="1"/>
  <c r="S5581" i="1"/>
  <c r="S5614" i="1"/>
  <c r="S5646" i="1"/>
  <c r="S5675" i="1"/>
  <c r="S5737" i="1"/>
  <c r="S5768" i="1"/>
  <c r="S5797" i="1"/>
  <c r="S67" i="1"/>
  <c r="S686" i="1"/>
  <c r="S865" i="1"/>
  <c r="S908" i="1"/>
  <c r="S956" i="1"/>
  <c r="S998" i="1"/>
  <c r="S1050" i="1"/>
  <c r="S1093" i="1"/>
  <c r="S1133" i="1"/>
  <c r="S1179" i="1"/>
  <c r="S1231" i="1"/>
  <c r="S1272" i="1"/>
  <c r="S1318" i="1"/>
  <c r="S1361" i="1"/>
  <c r="S1402" i="1"/>
  <c r="S1458" i="1"/>
  <c r="S1496" i="1"/>
  <c r="S1541" i="1"/>
  <c r="S1585" i="1"/>
  <c r="S1636" i="1"/>
  <c r="S1680" i="1"/>
  <c r="S1725" i="1"/>
  <c r="S1769" i="1"/>
  <c r="S1810" i="1"/>
  <c r="S1860" i="1"/>
  <c r="S1904" i="1"/>
  <c r="S1944" i="1"/>
  <c r="S1989" i="1"/>
  <c r="S2035" i="1"/>
  <c r="S2075" i="1"/>
  <c r="S2117" i="1"/>
  <c r="S2152" i="1"/>
  <c r="S2194" i="1"/>
  <c r="S2242" i="1"/>
  <c r="S2279" i="1"/>
  <c r="S2318" i="1"/>
  <c r="S2362" i="1"/>
  <c r="S2402" i="1"/>
  <c r="S2444" i="1"/>
  <c r="S2479" i="1"/>
  <c r="S2518" i="1"/>
  <c r="S2555" i="1"/>
  <c r="S2601" i="1"/>
  <c r="S2635" i="1"/>
  <c r="S2677" i="1"/>
  <c r="S2713" i="1"/>
  <c r="S2756" i="1"/>
  <c r="S2796" i="1"/>
  <c r="S2833" i="1"/>
  <c r="S2870" i="1"/>
  <c r="S2910" i="1"/>
  <c r="S2952" i="1"/>
  <c r="S2989" i="1"/>
  <c r="S3028" i="1"/>
  <c r="S3065" i="1"/>
  <c r="S3109" i="1"/>
  <c r="S3149" i="1"/>
  <c r="S3185" i="1"/>
  <c r="S3221" i="1"/>
  <c r="S3262" i="1"/>
  <c r="S3304" i="1"/>
  <c r="S3341" i="1"/>
  <c r="S3380" i="1"/>
  <c r="S3419" i="1"/>
  <c r="S3462" i="1"/>
  <c r="S3502" i="1"/>
  <c r="S3536" i="1"/>
  <c r="S3576" i="1"/>
  <c r="S3615" i="1"/>
  <c r="S3657" i="1"/>
  <c r="S3696" i="1"/>
  <c r="S3735" i="1"/>
  <c r="S3770" i="1"/>
  <c r="S3816" i="1"/>
  <c r="S3852" i="1"/>
  <c r="S3888" i="1"/>
  <c r="S3925" i="1"/>
  <c r="S3959" i="1"/>
  <c r="S4001" i="1"/>
  <c r="S4036" i="1"/>
  <c r="S4072" i="1"/>
  <c r="S4105" i="1"/>
  <c r="S4141" i="1"/>
  <c r="S4177" i="1"/>
  <c r="S4213" i="1"/>
  <c r="S4249" i="1"/>
  <c r="S4280" i="1"/>
  <c r="S4317" i="1"/>
  <c r="S4348" i="1"/>
  <c r="S4381" i="1"/>
  <c r="S4420" i="1"/>
  <c r="S4452" i="1"/>
  <c r="S4486" i="1"/>
  <c r="S4518" i="1"/>
  <c r="S4552" i="1"/>
  <c r="S4586" i="1"/>
  <c r="S4620" i="1"/>
  <c r="S4655" i="1"/>
  <c r="S4685" i="1"/>
  <c r="S4716" i="1"/>
  <c r="S4748" i="1"/>
  <c r="S4780" i="1"/>
  <c r="S4813" i="1"/>
  <c r="S4846" i="1"/>
  <c r="S4877" i="1"/>
  <c r="S4911" i="1"/>
  <c r="S4942" i="1"/>
  <c r="S4974" i="1"/>
  <c r="S5005" i="1"/>
  <c r="S5042" i="1"/>
  <c r="S5073" i="1"/>
  <c r="S5103" i="1"/>
  <c r="S5138" i="1"/>
  <c r="S5168" i="1"/>
  <c r="S5198" i="1"/>
  <c r="S5234" i="1"/>
  <c r="S5267" i="1"/>
  <c r="S5299" i="1"/>
  <c r="S5329" i="1"/>
  <c r="S5360" i="1"/>
  <c r="S5394" i="1"/>
  <c r="S5425" i="1"/>
  <c r="S5460" i="1"/>
  <c r="S5493" i="1"/>
  <c r="S5522" i="1"/>
  <c r="S5553" i="1"/>
  <c r="S5582" i="1"/>
  <c r="S5615" i="1"/>
  <c r="S5647" i="1"/>
  <c r="S5676" i="1"/>
  <c r="S5709" i="1"/>
  <c r="S5738" i="1"/>
  <c r="S5769" i="1"/>
  <c r="S5798" i="1"/>
  <c r="S22" i="1"/>
  <c r="S2195" i="1"/>
  <c r="S2797" i="1"/>
  <c r="S3066" i="1"/>
  <c r="S3263" i="1"/>
  <c r="S3381" i="1"/>
  <c r="S3463" i="1"/>
  <c r="S3537" i="1"/>
  <c r="S3616" i="1"/>
  <c r="S3658" i="1"/>
  <c r="S3771" i="1"/>
  <c r="S3853" i="1"/>
  <c r="S3926" i="1"/>
  <c r="S4002" i="1"/>
  <c r="S4073" i="1"/>
  <c r="S4142" i="1"/>
  <c r="S4216" i="1"/>
  <c r="S4285" i="1"/>
  <c r="S4382" i="1"/>
  <c r="S4453" i="1"/>
  <c r="S4519" i="1"/>
  <c r="S4587" i="1"/>
  <c r="S4656" i="1"/>
  <c r="S4749" i="1"/>
  <c r="S4817" i="1"/>
  <c r="S4878" i="1"/>
  <c r="S4943" i="1"/>
  <c r="S5006" i="1"/>
  <c r="S5074" i="1"/>
  <c r="S5169" i="1"/>
  <c r="S5268" i="1"/>
  <c r="S5330" i="1"/>
  <c r="S5365" i="1"/>
  <c r="S5429" i="1"/>
  <c r="S5494" i="1"/>
  <c r="S5583" i="1"/>
  <c r="S5648" i="1"/>
  <c r="S5710" i="1"/>
  <c r="S5770" i="1"/>
  <c r="S73" i="1"/>
  <c r="S642" i="1"/>
  <c r="S869" i="1"/>
  <c r="S1004" i="1"/>
  <c r="S1137" i="1"/>
  <c r="S1323" i="1"/>
  <c r="S1460" i="1"/>
  <c r="S3064" i="1"/>
  <c r="S5266" i="1"/>
  <c r="S5706" i="1"/>
  <c r="S21" i="1"/>
  <c r="S116" i="1"/>
  <c r="S160" i="1"/>
  <c r="S213" i="1"/>
  <c r="S259" i="1"/>
  <c r="S307" i="1"/>
  <c r="S349" i="1"/>
  <c r="S406" i="1"/>
  <c r="S450" i="1"/>
  <c r="S496" i="1"/>
  <c r="S544" i="1"/>
  <c r="S592" i="1"/>
  <c r="S637" i="1"/>
  <c r="S725" i="1"/>
  <c r="S770" i="1"/>
  <c r="S821" i="1"/>
  <c r="S69" i="1"/>
  <c r="S117" i="1"/>
  <c r="S161" i="1"/>
  <c r="S214" i="1"/>
  <c r="S260" i="1"/>
  <c r="S308" i="1"/>
  <c r="S352" i="1"/>
  <c r="S407" i="1"/>
  <c r="S451" i="1"/>
  <c r="S497" i="1"/>
  <c r="S545" i="1"/>
  <c r="S593" i="1"/>
  <c r="S638" i="1"/>
  <c r="S687" i="1"/>
  <c r="S726" i="1"/>
  <c r="S771" i="1"/>
  <c r="S822" i="1"/>
  <c r="S866" i="1"/>
  <c r="S910" i="1"/>
  <c r="S957" i="1"/>
  <c r="S999" i="1"/>
  <c r="S1051" i="1"/>
  <c r="S1094" i="1"/>
  <c r="S1134" i="1"/>
  <c r="S1180" i="1"/>
  <c r="S1232" i="1"/>
  <c r="S1273" i="1"/>
  <c r="S1319" i="1"/>
  <c r="S1363" i="1"/>
  <c r="S1405" i="1"/>
  <c r="S1459" i="1"/>
  <c r="S1497" i="1"/>
  <c r="S1543" i="1"/>
  <c r="S1587" i="1"/>
  <c r="S1637" i="1"/>
  <c r="S1681" i="1"/>
  <c r="S1726" i="1"/>
  <c r="S1770" i="1"/>
  <c r="S1812" i="1"/>
  <c r="S1861" i="1"/>
  <c r="S1905" i="1"/>
  <c r="S1945" i="1"/>
  <c r="S1990" i="1"/>
  <c r="S2036" i="1"/>
  <c r="S2076" i="1"/>
  <c r="S2118" i="1"/>
  <c r="S2153" i="1"/>
  <c r="S2244" i="1"/>
  <c r="S2280" i="1"/>
  <c r="S2319" i="1"/>
  <c r="S2363" i="1"/>
  <c r="S2403" i="1"/>
  <c r="S2445" i="1"/>
  <c r="S2480" i="1"/>
  <c r="S2519" i="1"/>
  <c r="S2556" i="1"/>
  <c r="S2602" i="1"/>
  <c r="S2637" i="1"/>
  <c r="S2678" i="1"/>
  <c r="S2714" i="1"/>
  <c r="S2757" i="1"/>
  <c r="S2834" i="1"/>
  <c r="S2871" i="1"/>
  <c r="S2912" i="1"/>
  <c r="S2953" i="1"/>
  <c r="S2993" i="1"/>
  <c r="S3029" i="1"/>
  <c r="S3110" i="1"/>
  <c r="S3150" i="1"/>
  <c r="S3186" i="1"/>
  <c r="S3223" i="1"/>
  <c r="S3305" i="1"/>
  <c r="S3342" i="1"/>
  <c r="S3420" i="1"/>
  <c r="S3503" i="1"/>
  <c r="S3577" i="1"/>
  <c r="S3697" i="1"/>
  <c r="S3736" i="1"/>
  <c r="S3817" i="1"/>
  <c r="S3889" i="1"/>
  <c r="S3960" i="1"/>
  <c r="S4039" i="1"/>
  <c r="S4106" i="1"/>
  <c r="S4181" i="1"/>
  <c r="S4250" i="1"/>
  <c r="S4318" i="1"/>
  <c r="S4350" i="1"/>
  <c r="S4422" i="1"/>
  <c r="S4487" i="1"/>
  <c r="S4553" i="1"/>
  <c r="S4621" i="1"/>
  <c r="S4686" i="1"/>
  <c r="S4717" i="1"/>
  <c r="S4782" i="1"/>
  <c r="S4848" i="1"/>
  <c r="S4912" i="1"/>
  <c r="S4975" i="1"/>
  <c r="S5043" i="1"/>
  <c r="S5139" i="1"/>
  <c r="S5200" i="1"/>
  <c r="S5237" i="1"/>
  <c r="S5300" i="1"/>
  <c r="S5395" i="1"/>
  <c r="S5461" i="1"/>
  <c r="S5525" i="1"/>
  <c r="S5554" i="1"/>
  <c r="S5616" i="1"/>
  <c r="S5679" i="1"/>
  <c r="S5739" i="1"/>
  <c r="S5799" i="1"/>
  <c r="S23" i="1"/>
  <c r="S171" i="1"/>
  <c r="S215" i="1"/>
  <c r="S263" i="1"/>
  <c r="S309" i="1"/>
  <c r="S353" i="1"/>
  <c r="S408" i="1"/>
  <c r="S452" i="1"/>
  <c r="S498" i="1"/>
  <c r="S546" i="1"/>
  <c r="S599" i="1"/>
  <c r="S688" i="1"/>
  <c r="S732" i="1"/>
  <c r="S773" i="1"/>
  <c r="S823" i="1"/>
  <c r="S913" i="1"/>
  <c r="S1052" i="1"/>
  <c r="S1096" i="1"/>
  <c r="S1183" i="1"/>
  <c r="S1233" i="1"/>
  <c r="S1274" i="1"/>
  <c r="S1415" i="1"/>
  <c r="S1499" i="1"/>
  <c r="S1544" i="1"/>
  <c r="S5104" i="1"/>
  <c r="S119" i="1"/>
  <c r="S958" i="1"/>
  <c r="S25" i="1"/>
  <c r="S94" i="1"/>
  <c r="S154" i="1"/>
  <c r="S229" i="1"/>
  <c r="S300" i="1"/>
  <c r="S373" i="1"/>
  <c r="S431" i="1"/>
  <c r="S513" i="1"/>
  <c r="S575" i="1"/>
  <c r="S652" i="1"/>
  <c r="S714" i="1"/>
  <c r="S788" i="1"/>
  <c r="S842" i="1"/>
  <c r="S915" i="1"/>
  <c r="S976" i="1"/>
  <c r="S1053" i="1"/>
  <c r="S1107" i="1"/>
  <c r="S1170" i="1"/>
  <c r="S1243" i="1"/>
  <c r="S1304" i="1"/>
  <c r="S1376" i="1"/>
  <c r="S1435" i="1"/>
  <c r="S1510" i="1"/>
  <c r="S1571" i="1"/>
  <c r="S1640" i="1"/>
  <c r="S1697" i="1"/>
  <c r="S1756" i="1"/>
  <c r="S1827" i="1"/>
  <c r="S1879" i="1"/>
  <c r="S1938" i="1"/>
  <c r="S2006" i="1"/>
  <c r="S2057" i="1"/>
  <c r="S2120" i="1"/>
  <c r="S2174" i="1"/>
  <c r="S2223" i="1"/>
  <c r="S2288" i="1"/>
  <c r="S2342" i="1"/>
  <c r="S2391" i="1"/>
  <c r="S2451" i="1"/>
  <c r="S2504" i="1"/>
  <c r="S2567" i="1"/>
  <c r="S2610" i="1"/>
  <c r="S2664" i="1"/>
  <c r="S2726" i="1"/>
  <c r="S2773" i="1"/>
  <c r="S2825" i="1"/>
  <c r="S2888" i="1"/>
  <c r="S2931" i="1"/>
  <c r="S2995" i="1"/>
  <c r="S3047" i="1"/>
  <c r="S3093" i="1"/>
  <c r="S3156" i="1"/>
  <c r="S3208" i="1"/>
  <c r="S3252" i="1"/>
  <c r="S3313" i="1"/>
  <c r="S3367" i="1"/>
  <c r="S3423" i="1"/>
  <c r="S3477" i="1"/>
  <c r="S3529" i="1"/>
  <c r="S3583" i="1"/>
  <c r="S3634" i="1"/>
  <c r="S3688" i="1"/>
  <c r="S3743" i="1"/>
  <c r="S3795" i="1"/>
  <c r="S3855" i="1"/>
  <c r="S3901" i="1"/>
  <c r="S3949" i="1"/>
  <c r="S4008" i="1"/>
  <c r="S4051" i="1"/>
  <c r="S4099" i="1"/>
  <c r="S4155" i="1"/>
  <c r="S4198" i="1"/>
  <c r="S4252" i="1"/>
  <c r="S4295" i="1"/>
  <c r="S4341" i="1"/>
  <c r="S4394" i="1"/>
  <c r="S4432" i="1"/>
  <c r="S4478" i="1"/>
  <c r="S4528" i="1"/>
  <c r="S4572" i="1"/>
  <c r="S4623" i="1"/>
  <c r="S4664" i="1"/>
  <c r="S4708" i="1"/>
  <c r="S4755" i="1"/>
  <c r="S4797" i="1"/>
  <c r="S4838" i="1"/>
  <c r="S4888" i="1"/>
  <c r="S4930" i="1"/>
  <c r="S4977" i="1"/>
  <c r="S5021" i="1"/>
  <c r="S5060" i="1"/>
  <c r="S5113" i="1"/>
  <c r="S5152" i="1"/>
  <c r="S5193" i="1"/>
  <c r="S5244" i="1"/>
  <c r="S5282" i="1"/>
  <c r="S5333" i="1"/>
  <c r="S5377" i="1"/>
  <c r="S5417" i="1"/>
  <c r="S5468" i="1"/>
  <c r="S5506" i="1"/>
  <c r="S5548" i="1"/>
  <c r="S5596" i="1"/>
  <c r="S5631" i="1"/>
  <c r="S5681" i="1"/>
  <c r="S5718" i="1"/>
  <c r="S5760" i="1"/>
  <c r="S5808" i="1"/>
  <c r="S27" i="1"/>
  <c r="S96" i="1"/>
  <c r="S174" i="1"/>
  <c r="S232" i="1"/>
  <c r="S301" i="1"/>
  <c r="S374" i="1"/>
  <c r="S434" i="1"/>
  <c r="S514" i="1"/>
  <c r="S576" i="1"/>
  <c r="S653" i="1"/>
  <c r="S715" i="1"/>
  <c r="S789" i="1"/>
  <c r="S843" i="1"/>
  <c r="S916" i="1"/>
  <c r="S981" i="1"/>
  <c r="S1054" i="1"/>
  <c r="S1108" i="1"/>
  <c r="S1184" i="1"/>
  <c r="S1244" i="1"/>
  <c r="S1305" i="1"/>
  <c r="S1377" i="1"/>
  <c r="S1436" i="1"/>
  <c r="S1511" i="1"/>
  <c r="S1575" i="1"/>
  <c r="S1641" i="1"/>
  <c r="S1698" i="1"/>
  <c r="S1760" i="1"/>
  <c r="S1829" i="1"/>
  <c r="S1880" i="1"/>
  <c r="S1946" i="1"/>
  <c r="S2007" i="1"/>
  <c r="S2058" i="1"/>
  <c r="S2121" i="1"/>
  <c r="S2175" i="1"/>
  <c r="S2224" i="1"/>
  <c r="S2289" i="1"/>
  <c r="S2343" i="1"/>
  <c r="S2407" i="1"/>
  <c r="S2453" i="1"/>
  <c r="S2505" i="1"/>
  <c r="S2568" i="1"/>
  <c r="S2612" i="1"/>
  <c r="S2665" i="1"/>
  <c r="S2728" i="1"/>
  <c r="S2774" i="1"/>
  <c r="S2835" i="1"/>
  <c r="S2889" i="1"/>
  <c r="S2932" i="1"/>
  <c r="S2998" i="1"/>
  <c r="S3048" i="1"/>
  <c r="S3096" i="1"/>
  <c r="S3157" i="1"/>
  <c r="S3209" i="1"/>
  <c r="S3270" i="1"/>
  <c r="S3317" i="1"/>
  <c r="S3368" i="1"/>
  <c r="S3428" i="1"/>
  <c r="S3478" i="1"/>
  <c r="S3530" i="1"/>
  <c r="S3590" i="1"/>
  <c r="S3639" i="1"/>
  <c r="S3698" i="1"/>
  <c r="S3748" i="1"/>
  <c r="S3796" i="1"/>
  <c r="S3856" i="1"/>
  <c r="S3906" i="1"/>
  <c r="S3952" i="1"/>
  <c r="S4009" i="1"/>
  <c r="S4052" i="1"/>
  <c r="S4108" i="1"/>
  <c r="S4156" i="1"/>
  <c r="S4199" i="1"/>
  <c r="S4253" i="1"/>
  <c r="S4296" i="1"/>
  <c r="S4342" i="1"/>
  <c r="S4395" i="1"/>
  <c r="S4435" i="1"/>
  <c r="S4488" i="1"/>
  <c r="S4529" i="1"/>
  <c r="S4573" i="1"/>
  <c r="S4624" i="1"/>
  <c r="S4665" i="1"/>
  <c r="S4709" i="1"/>
  <c r="S4756" i="1"/>
  <c r="S4798" i="1"/>
  <c r="S4849" i="1"/>
  <c r="S4889" i="1"/>
  <c r="S4933" i="1"/>
  <c r="S4978" i="1"/>
  <c r="S5022" i="1"/>
  <c r="S5061" i="1"/>
  <c r="S5114" i="1"/>
  <c r="S5153" i="1"/>
  <c r="S5201" i="1"/>
  <c r="S5245" i="1"/>
  <c r="S5283" i="1"/>
  <c r="S5334" i="1"/>
  <c r="S5378" i="1"/>
  <c r="S5418" i="1"/>
  <c r="S5469" i="1"/>
  <c r="S5507" i="1"/>
  <c r="S5555" i="1"/>
  <c r="S5597" i="1"/>
  <c r="S5632" i="1"/>
  <c r="S5682" i="1"/>
  <c r="S5719" i="1"/>
  <c r="S5761" i="1"/>
  <c r="S5811" i="1"/>
  <c r="S30" i="1"/>
  <c r="S97" i="1"/>
  <c r="S175" i="1"/>
  <c r="S234" i="1"/>
  <c r="S311" i="1"/>
  <c r="S375" i="1"/>
  <c r="S435" i="1"/>
  <c r="S515" i="1"/>
  <c r="S577" i="1"/>
  <c r="S654" i="1"/>
  <c r="S716" i="1"/>
  <c r="S790" i="1"/>
  <c r="S846" i="1"/>
  <c r="S917" i="1"/>
  <c r="S982" i="1"/>
  <c r="S1055" i="1"/>
  <c r="S1120" i="1"/>
  <c r="S1192" i="1"/>
  <c r="S1245" i="1"/>
  <c r="S1324" i="1"/>
  <c r="S47" i="1"/>
  <c r="S126" i="1"/>
  <c r="S189" i="1"/>
  <c r="S268" i="1"/>
  <c r="S335" i="1"/>
  <c r="S409" i="1"/>
  <c r="S470" i="1"/>
  <c r="S532" i="1"/>
  <c r="S611" i="1"/>
  <c r="S670" i="1"/>
  <c r="S747" i="1"/>
  <c r="S804" i="1"/>
  <c r="S876" i="1"/>
  <c r="S938" i="1"/>
  <c r="S1016" i="1"/>
  <c r="S1070" i="1"/>
  <c r="S1142" i="1"/>
  <c r="S1206" i="1"/>
  <c r="S1276" i="1"/>
  <c r="S1340" i="1"/>
  <c r="S1395" i="1"/>
  <c r="S1468" i="1"/>
  <c r="S1531" i="1"/>
  <c r="S1605" i="1"/>
  <c r="S1660" i="1"/>
  <c r="S1728" i="1"/>
  <c r="S1793" i="1"/>
  <c r="S1845" i="1"/>
  <c r="S1911" i="1"/>
  <c r="S1969" i="1"/>
  <c r="S2021" i="1"/>
  <c r="S2086" i="1"/>
  <c r="S2143" i="1"/>
  <c r="S2204" i="1"/>
  <c r="S2252" i="1"/>
  <c r="S2311" i="1"/>
  <c r="S2372" i="1"/>
  <c r="S2421" i="1"/>
  <c r="S2473" i="1"/>
  <c r="S2534" i="1"/>
  <c r="S2580" i="1"/>
  <c r="S2640" i="1"/>
  <c r="S2693" i="1"/>
  <c r="S2741" i="1"/>
  <c r="S2801" i="1"/>
  <c r="S2854" i="1"/>
  <c r="S2900" i="1"/>
  <c r="S2960" i="1"/>
  <c r="S3012" i="1"/>
  <c r="S3071" i="1"/>
  <c r="S3124" i="1"/>
  <c r="S3178" i="1"/>
  <c r="S3232" i="1"/>
  <c r="S3283" i="1"/>
  <c r="S3335" i="1"/>
  <c r="S3391" i="1"/>
  <c r="S3444" i="1"/>
  <c r="S3505" i="1"/>
  <c r="S3553" i="1"/>
  <c r="S3603" i="1"/>
  <c r="S3664" i="1"/>
  <c r="S3712" i="1"/>
  <c r="S3765" i="1"/>
  <c r="S3824" i="1"/>
  <c r="S3870" i="1"/>
  <c r="S3928" i="1"/>
  <c r="S3977" i="1"/>
  <c r="S4023" i="1"/>
  <c r="S4077" i="1"/>
  <c r="S4125" i="1"/>
  <c r="S4168" i="1"/>
  <c r="S4224" i="1"/>
  <c r="S4268" i="1"/>
  <c r="S4320" i="1"/>
  <c r="S4366" i="1"/>
  <c r="S4405" i="1"/>
  <c r="S4460" i="1"/>
  <c r="S4500" i="1"/>
  <c r="S4544" i="1"/>
  <c r="S4597" i="1"/>
  <c r="S4638" i="1"/>
  <c r="S4688" i="1"/>
  <c r="S4727" i="1"/>
  <c r="S4771" i="1"/>
  <c r="S4821" i="1"/>
  <c r="S31" i="1"/>
  <c r="S106" i="1"/>
  <c r="S193" i="1"/>
  <c r="S278" i="1"/>
  <c r="S370" i="1"/>
  <c r="S459" i="1"/>
  <c r="S531" i="1"/>
  <c r="S621" i="1"/>
  <c r="S697" i="1"/>
  <c r="S791" i="1"/>
  <c r="S871" i="1"/>
  <c r="S940" i="1"/>
  <c r="S1025" i="1"/>
  <c r="S1103" i="1"/>
  <c r="S1195" i="1"/>
  <c r="S1275" i="1"/>
  <c r="S1347" i="1"/>
  <c r="S1426" i="1"/>
  <c r="S1506" i="1"/>
  <c r="S1577" i="1"/>
  <c r="S1650" i="1"/>
  <c r="S1727" i="1"/>
  <c r="S1796" i="1"/>
  <c r="S1868" i="1"/>
  <c r="S1934" i="1"/>
  <c r="S2008" i="1"/>
  <c r="S2081" i="1"/>
  <c r="S2137" i="1"/>
  <c r="S2209" i="1"/>
  <c r="S2263" i="1"/>
  <c r="S2330" i="1"/>
  <c r="S2390" i="1"/>
  <c r="S2456" i="1"/>
  <c r="S2522" i="1"/>
  <c r="S2581" i="1"/>
  <c r="S2650" i="1"/>
  <c r="S2706" i="1"/>
  <c r="S2770" i="1"/>
  <c r="S2838" i="1"/>
  <c r="S2895" i="1"/>
  <c r="S2958" i="1"/>
  <c r="S3020" i="1"/>
  <c r="S3086" i="1"/>
  <c r="S3151" i="1"/>
  <c r="S3210" i="1"/>
  <c r="S3275" i="1"/>
  <c r="S3327" i="1"/>
  <c r="S3399" i="1"/>
  <c r="S3467" i="1"/>
  <c r="S3513" i="1"/>
  <c r="S3582" i="1"/>
  <c r="S3642" i="1"/>
  <c r="S3709" i="1"/>
  <c r="S3772" i="1"/>
  <c r="S3830" i="1"/>
  <c r="S3892" i="1"/>
  <c r="S3947" i="1"/>
  <c r="S4014" i="1"/>
  <c r="S4066" i="1"/>
  <c r="S4124" i="1"/>
  <c r="S4184" i="1"/>
  <c r="S4232" i="1"/>
  <c r="S4292" i="1"/>
  <c r="S4343" i="1"/>
  <c r="S4400" i="1"/>
  <c r="S4455" i="1"/>
  <c r="S4508" i="1"/>
  <c r="S4564" i="1"/>
  <c r="S4610" i="1"/>
  <c r="S4663" i="1"/>
  <c r="S4721" i="1"/>
  <c r="S4768" i="1"/>
  <c r="S4822" i="1"/>
  <c r="S4865" i="1"/>
  <c r="S4918" i="1"/>
  <c r="S4964" i="1"/>
  <c r="S5016" i="1"/>
  <c r="S5059" i="1"/>
  <c r="S5116" i="1"/>
  <c r="S5162" i="1"/>
  <c r="S5214" i="1"/>
  <c r="S5255" i="1"/>
  <c r="S5307" i="1"/>
  <c r="S5354" i="1"/>
  <c r="S5406" i="1"/>
  <c r="S5449" i="1"/>
  <c r="S5503" i="1"/>
  <c r="S5547" i="1"/>
  <c r="S5599" i="1"/>
  <c r="S5649" i="1"/>
  <c r="S5690" i="1"/>
  <c r="S5740" i="1"/>
  <c r="S5784" i="1"/>
  <c r="S60" i="1"/>
  <c r="S144" i="1"/>
  <c r="S235" i="1"/>
  <c r="S331" i="1"/>
  <c r="S411" i="1"/>
  <c r="S484" i="1"/>
  <c r="S570" i="1"/>
  <c r="S659" i="1"/>
  <c r="S737" i="1"/>
  <c r="S827" i="1"/>
  <c r="S899" i="1"/>
  <c r="S985" i="1"/>
  <c r="S1064" i="1"/>
  <c r="S1144" i="1"/>
  <c r="S1237" i="1"/>
  <c r="S1302" i="1"/>
  <c r="S1389" i="1"/>
  <c r="S1464" i="1"/>
  <c r="S1532" i="1"/>
  <c r="S1610" i="1"/>
  <c r="S1689" i="1"/>
  <c r="S1751" i="1"/>
  <c r="S1831" i="1"/>
  <c r="S1895" i="1"/>
  <c r="S1968" i="1"/>
  <c r="S2039" i="1"/>
  <c r="S2095" i="1"/>
  <c r="S2171" i="1"/>
  <c r="S2225" i="1"/>
  <c r="S2297" i="1"/>
  <c r="S2365" i="1"/>
  <c r="S2423" i="1"/>
  <c r="S2490" i="1"/>
  <c r="S2545" i="1"/>
  <c r="S2609" i="1"/>
  <c r="S2680" i="1"/>
  <c r="S2736" i="1"/>
  <c r="S2804" i="1"/>
  <c r="S2861" i="1"/>
  <c r="S2926" i="1"/>
  <c r="S2981" i="1"/>
  <c r="S3050" i="1"/>
  <c r="S3116" i="1"/>
  <c r="S3175" i="1"/>
  <c r="S3240" i="1"/>
  <c r="S3292" i="1"/>
  <c r="S3356" i="1"/>
  <c r="S3430" i="1"/>
  <c r="S3482" i="1"/>
  <c r="S3549" i="1"/>
  <c r="S3605" i="1"/>
  <c r="S3671" i="1"/>
  <c r="S3738" i="1"/>
  <c r="S3794" i="1"/>
  <c r="S3859" i="1"/>
  <c r="S3915" i="1"/>
  <c r="S3980" i="1"/>
  <c r="S4042" i="1"/>
  <c r="S4094" i="1"/>
  <c r="S4153" i="1"/>
  <c r="S4203" i="1"/>
  <c r="S4262" i="1"/>
  <c r="S4319" i="1"/>
  <c r="S4369" i="1"/>
  <c r="S4426" i="1"/>
  <c r="S4472" i="1"/>
  <c r="S4535" i="1"/>
  <c r="S4588" i="1"/>
  <c r="S4636" i="1"/>
  <c r="S4690" i="1"/>
  <c r="S4738" i="1"/>
  <c r="S4793" i="1"/>
  <c r="S4837" i="1"/>
  <c r="S4892" i="1"/>
  <c r="S4944" i="1"/>
  <c r="S4990" i="1"/>
  <c r="S5044" i="1"/>
  <c r="S5085" i="1"/>
  <c r="S5140" i="1"/>
  <c r="S5184" i="1"/>
  <c r="S5238" i="1"/>
  <c r="S5279" i="1"/>
  <c r="S5332" i="1"/>
  <c r="S5380" i="1"/>
  <c r="S5434" i="1"/>
  <c r="S5475" i="1"/>
  <c r="S5528" i="1"/>
  <c r="S5572" i="1"/>
  <c r="S5622" i="1"/>
  <c r="S5663" i="1"/>
  <c r="S5713" i="1"/>
  <c r="S5757" i="1"/>
  <c r="S5807" i="1"/>
  <c r="S34" i="1"/>
  <c r="S131" i="1"/>
  <c r="S224" i="1"/>
  <c r="S313" i="1"/>
  <c r="S410" i="1"/>
  <c r="S499" i="1"/>
  <c r="S601" i="1"/>
  <c r="S689" i="1"/>
  <c r="S761" i="1"/>
  <c r="S851" i="1"/>
  <c r="S941" i="1"/>
  <c r="S1028" i="1"/>
  <c r="S1126" i="1"/>
  <c r="S1209" i="1"/>
  <c r="S1296" i="1"/>
  <c r="S1391" i="1"/>
  <c r="S1470" i="1"/>
  <c r="S1560" i="1"/>
  <c r="S1642" i="1"/>
  <c r="S1712" i="1"/>
  <c r="S1797" i="1"/>
  <c r="S1876" i="1"/>
  <c r="S1953" i="1"/>
  <c r="S2020" i="1"/>
  <c r="S2094" i="1"/>
  <c r="S2173" i="1"/>
  <c r="S2248" i="1"/>
  <c r="S2313" i="1"/>
  <c r="S2386" i="1"/>
  <c r="S2454" i="1"/>
  <c r="S2523" i="1"/>
  <c r="S2584" i="1"/>
  <c r="S2659" i="1"/>
  <c r="S2731" i="1"/>
  <c r="S2800" i="1"/>
  <c r="S2864" i="1"/>
  <c r="S2930" i="1"/>
  <c r="S3003" i="1"/>
  <c r="S3077" i="1"/>
  <c r="S3133" i="1"/>
  <c r="S3212" i="1"/>
  <c r="S3279" i="1"/>
  <c r="S3351" i="1"/>
  <c r="S3410" i="1"/>
  <c r="S3481" i="1"/>
  <c r="S3558" i="1"/>
  <c r="S3627" i="1"/>
  <c r="S3687" i="1"/>
  <c r="S3760" i="1"/>
  <c r="S3827" i="1"/>
  <c r="S3893" i="1"/>
  <c r="S3968" i="1"/>
  <c r="S4021" i="1"/>
  <c r="S4082" i="1"/>
  <c r="S4152" i="1"/>
  <c r="S4218" i="1"/>
  <c r="S4272" i="1"/>
  <c r="S4331" i="1"/>
  <c r="S4392" i="1"/>
  <c r="S4441" i="1"/>
  <c r="S4509" i="1"/>
  <c r="S4567" i="1"/>
  <c r="S4631" i="1"/>
  <c r="S4680" i="1"/>
  <c r="S4736" i="1"/>
  <c r="S4795" i="1"/>
  <c r="S4853" i="1"/>
  <c r="S4901" i="1"/>
  <c r="S4960" i="1"/>
  <c r="S5014" i="1"/>
  <c r="S5062" i="1"/>
  <c r="S5119" i="1"/>
  <c r="S5173" i="1"/>
  <c r="S5222" i="1"/>
  <c r="S5278" i="1"/>
  <c r="S5338" i="1"/>
  <c r="S5384" i="1"/>
  <c r="S5443" i="1"/>
  <c r="S5497" i="1"/>
  <c r="S5543" i="1"/>
  <c r="S5600" i="1"/>
  <c r="S5652" i="1"/>
  <c r="S5698" i="1"/>
  <c r="S5752" i="1"/>
  <c r="S5806" i="1"/>
  <c r="S37" i="1"/>
  <c r="S132" i="1"/>
  <c r="S225" i="1"/>
  <c r="S314" i="1"/>
  <c r="S416" i="1"/>
  <c r="S504" i="1"/>
  <c r="S603" i="1"/>
  <c r="S690" i="1"/>
  <c r="S762" i="1"/>
  <c r="S870" i="1"/>
  <c r="S959" i="1"/>
  <c r="S1029" i="1"/>
  <c r="S1127" i="1"/>
  <c r="S1213" i="1"/>
  <c r="S1303" i="1"/>
  <c r="S1392" i="1"/>
  <c r="S1473" i="1"/>
  <c r="S1561" i="1"/>
  <c r="S1643" i="1"/>
  <c r="S1713" i="1"/>
  <c r="S1798" i="1"/>
  <c r="S1877" i="1"/>
  <c r="S1956" i="1"/>
  <c r="S2037" i="1"/>
  <c r="S2102" i="1"/>
  <c r="S2176" i="1"/>
  <c r="S2249" i="1"/>
  <c r="S2325" i="1"/>
  <c r="S2387" i="1"/>
  <c r="S2455" i="1"/>
  <c r="S2533" i="1"/>
  <c r="S2603" i="1"/>
  <c r="S2660" i="1"/>
  <c r="S2734" i="1"/>
  <c r="S2805" i="1"/>
  <c r="S2872" i="1"/>
  <c r="S2933" i="1"/>
  <c r="S3004" i="1"/>
  <c r="S3078" i="1"/>
  <c r="S3134" i="1"/>
  <c r="S3213" i="1"/>
  <c r="S3282" i="1"/>
  <c r="S3352" i="1"/>
  <c r="S3411" i="1"/>
  <c r="S3483" i="1"/>
  <c r="S3559" i="1"/>
  <c r="S45" i="1"/>
  <c r="S142" i="1"/>
  <c r="S236" i="1"/>
  <c r="S336" i="1"/>
  <c r="S422" i="1"/>
  <c r="S523" i="1"/>
  <c r="S612" i="1"/>
  <c r="S695" i="1"/>
  <c r="S793" i="1"/>
  <c r="S881" i="1"/>
  <c r="S972" i="1"/>
  <c r="S1059" i="1"/>
  <c r="S1156" i="1"/>
  <c r="S1240" i="1"/>
  <c r="S1328" i="1"/>
  <c r="S1419" i="1"/>
  <c r="S1489" i="1"/>
  <c r="S1576" i="1"/>
  <c r="S1656" i="1"/>
  <c r="S1736" i="1"/>
  <c r="S1824" i="1"/>
  <c r="S1883" i="1"/>
  <c r="S1970" i="1"/>
  <c r="S2043" i="1"/>
  <c r="S2119" i="1"/>
  <c r="S2183" i="1"/>
  <c r="S2255" i="1"/>
  <c r="S2329" i="1"/>
  <c r="S2410" i="1"/>
  <c r="S2469" i="1"/>
  <c r="S2541" i="1"/>
  <c r="S2607" i="1"/>
  <c r="S2681" i="1"/>
  <c r="S2743" i="1"/>
  <c r="S2810" i="1"/>
  <c r="S2886" i="1"/>
  <c r="S2955" i="1"/>
  <c r="S3019" i="1"/>
  <c r="S3088" i="1"/>
  <c r="S3159" i="1"/>
  <c r="S3226" i="1"/>
  <c r="S3289" i="1"/>
  <c r="S3357" i="1"/>
  <c r="S3436" i="1"/>
  <c r="S3506" i="1"/>
  <c r="S3565" i="1"/>
  <c r="S3633" i="1"/>
  <c r="S3707" i="1"/>
  <c r="S3786" i="1"/>
  <c r="S3834" i="1"/>
  <c r="S3908" i="1"/>
  <c r="S3974" i="1"/>
  <c r="S4044" i="1"/>
  <c r="S4097" i="1"/>
  <c r="S4160" i="1"/>
  <c r="S4225" i="1"/>
  <c r="S4287" i="1"/>
  <c r="S4340" i="1"/>
  <c r="S4402" i="1"/>
  <c r="S4463" i="1"/>
  <c r="S4523" i="1"/>
  <c r="S4577" i="1"/>
  <c r="S4637" i="1"/>
  <c r="S4694" i="1"/>
  <c r="S4751" i="1"/>
  <c r="S4802" i="1"/>
  <c r="S4862" i="1"/>
  <c r="S4917" i="1"/>
  <c r="S4966" i="1"/>
  <c r="S5025" i="1"/>
  <c r="S5079" i="1"/>
  <c r="S5127" i="1"/>
  <c r="S5187" i="1"/>
  <c r="S5241" i="1"/>
  <c r="S5292" i="1"/>
  <c r="S5348" i="1"/>
  <c r="S5403" i="1"/>
  <c r="S5448" i="1"/>
  <c r="S5505" i="1"/>
  <c r="S5559" i="1"/>
  <c r="S5605" i="1"/>
  <c r="S5661" i="1"/>
  <c r="S5714" i="1"/>
  <c r="S5762" i="1"/>
  <c r="S5816" i="1"/>
  <c r="S38" i="1"/>
  <c r="S143" i="1"/>
  <c r="S251" i="1"/>
  <c r="S368" i="1"/>
  <c r="S467" i="1"/>
  <c r="S569" i="1"/>
  <c r="S672" i="1"/>
  <c r="S792" i="1"/>
  <c r="S886" i="1"/>
  <c r="S989" i="1"/>
  <c r="S1098" i="1"/>
  <c r="S1199" i="1"/>
  <c r="S1294" i="1"/>
  <c r="S1394" i="1"/>
  <c r="S1503" i="1"/>
  <c r="S1603" i="1"/>
  <c r="S1690" i="1"/>
  <c r="S1774" i="1"/>
  <c r="S1867" i="1"/>
  <c r="S1958" i="1"/>
  <c r="S2050" i="1"/>
  <c r="S2125" i="1"/>
  <c r="S2215" i="1"/>
  <c r="S2293" i="1"/>
  <c r="S2376" i="1"/>
  <c r="S2450" i="1"/>
  <c r="S2540" i="1"/>
  <c r="S2619" i="1"/>
  <c r="S2696" i="1"/>
  <c r="S2772" i="1"/>
  <c r="S2852" i="1"/>
  <c r="S2928" i="1"/>
  <c r="S3011" i="1"/>
  <c r="S3090" i="1"/>
  <c r="S3164" i="1"/>
  <c r="S3247" i="1"/>
  <c r="S3325" i="1"/>
  <c r="S3405" i="1"/>
  <c r="S3484" i="1"/>
  <c r="S3566" i="1"/>
  <c r="S3643" i="1"/>
  <c r="S3720" i="1"/>
  <c r="S3793" i="1"/>
  <c r="S3866" i="1"/>
  <c r="S3941" i="1"/>
  <c r="S4015" i="1"/>
  <c r="S4079" i="1"/>
  <c r="S4154" i="1"/>
  <c r="S4222" i="1"/>
  <c r="S4288" i="1"/>
  <c r="S4354" i="1"/>
  <c r="S4423" i="1"/>
  <c r="S4477" i="1"/>
  <c r="S4542" i="1"/>
  <c r="S4608" i="1"/>
  <c r="S4668" i="1"/>
  <c r="S4734" i="1"/>
  <c r="S4796" i="1"/>
  <c r="S4860" i="1"/>
  <c r="S4919" i="1"/>
  <c r="S4985" i="1"/>
  <c r="S5030" i="1"/>
  <c r="S5092" i="1"/>
  <c r="S5151" i="1"/>
  <c r="S5215" i="1"/>
  <c r="S5274" i="1"/>
  <c r="S5324" i="1"/>
  <c r="S5385" i="1"/>
  <c r="S5446" i="1"/>
  <c r="S5508" i="1"/>
  <c r="S5569" i="1"/>
  <c r="S5624" i="1"/>
  <c r="S5680" i="1"/>
  <c r="S5730" i="1"/>
  <c r="S5789" i="1"/>
  <c r="S41" i="1"/>
  <c r="S145" i="1"/>
  <c r="S264" i="1"/>
  <c r="S369" i="1"/>
  <c r="S471" i="1"/>
  <c r="S571" i="1"/>
  <c r="S691" i="1"/>
  <c r="S795" i="1"/>
  <c r="S887" i="1"/>
  <c r="S1005" i="1"/>
  <c r="S1099" i="1"/>
  <c r="S1204" i="1"/>
  <c r="S1295" i="1"/>
  <c r="S1416" i="1"/>
  <c r="S1507" i="1"/>
  <c r="S1604" i="1"/>
  <c r="S1691" i="1"/>
  <c r="S1782" i="1"/>
  <c r="S1874" i="1"/>
  <c r="S1965" i="1"/>
  <c r="S2051" i="1"/>
  <c r="S2126" i="1"/>
  <c r="S2216" i="1"/>
  <c r="S2294" i="1"/>
  <c r="S2377" i="1"/>
  <c r="S2460" i="1"/>
  <c r="S2542" i="1"/>
  <c r="S2620" i="1"/>
  <c r="S2699" i="1"/>
  <c r="S2775" i="1"/>
  <c r="S2857" i="1"/>
  <c r="S2929" i="1"/>
  <c r="S3018" i="1"/>
  <c r="S3091" i="1"/>
  <c r="S3179" i="1"/>
  <c r="S3248" i="1"/>
  <c r="S3326" i="1"/>
  <c r="S3407" i="1"/>
  <c r="S3485" i="1"/>
  <c r="S3567" i="1"/>
  <c r="S3644" i="1"/>
  <c r="S3721" i="1"/>
  <c r="S3797" i="1"/>
  <c r="S3869" i="1"/>
  <c r="S3942" i="1"/>
  <c r="S4016" i="1"/>
  <c r="S4080" i="1"/>
  <c r="S4157" i="1"/>
  <c r="S4223" i="1"/>
  <c r="S4291" i="1"/>
  <c r="S4358" i="1"/>
  <c r="S4424" i="1"/>
  <c r="S4489" i="1"/>
  <c r="S4543" i="1"/>
  <c r="S4609" i="1"/>
  <c r="S4669" i="1"/>
  <c r="S4735" i="1"/>
  <c r="S4799" i="1"/>
  <c r="S4861" i="1"/>
  <c r="S4920" i="1"/>
  <c r="S4986" i="1"/>
  <c r="S5046" i="1"/>
  <c r="S5096" i="1"/>
  <c r="S5154" i="1"/>
  <c r="S5216" i="1"/>
  <c r="S5275" i="1"/>
  <c r="S5335" i="1"/>
  <c r="S5396" i="1"/>
  <c r="S5447" i="1"/>
  <c r="S5512" i="1"/>
  <c r="S5570" i="1"/>
  <c r="S5625" i="1"/>
  <c r="S5685" i="1"/>
  <c r="S5733" i="1"/>
  <c r="S5790" i="1"/>
  <c r="S57" i="1"/>
  <c r="S177" i="1"/>
  <c r="S276" i="1"/>
  <c r="S381" i="1"/>
  <c r="S483" i="1"/>
  <c r="S605" i="1"/>
  <c r="S699" i="1"/>
  <c r="S805" i="1"/>
  <c r="S914" i="1"/>
  <c r="S1021" i="1"/>
  <c r="S1122" i="1"/>
  <c r="S1214" i="1"/>
  <c r="S1329" i="1"/>
  <c r="S1425" i="1"/>
  <c r="S1515" i="1"/>
  <c r="S1611" i="1"/>
  <c r="S1700" i="1"/>
  <c r="S1795" i="1"/>
  <c r="S1882" i="1"/>
  <c r="S1973" i="1"/>
  <c r="S2059" i="1"/>
  <c r="S2145" i="1"/>
  <c r="S2220" i="1"/>
  <c r="S2310" i="1"/>
  <c r="S2389" i="1"/>
  <c r="S2481" i="1"/>
  <c r="S2547" i="1"/>
  <c r="S2630" i="1"/>
  <c r="S2707" i="1"/>
  <c r="S2781" i="1"/>
  <c r="S2873" i="1"/>
  <c r="S2956" i="1"/>
  <c r="S3033" i="1"/>
  <c r="S3115" i="1"/>
  <c r="S3190" i="1"/>
  <c r="S3272" i="1"/>
  <c r="S3350" i="1"/>
  <c r="S3435" i="1"/>
  <c r="S3509" i="1"/>
  <c r="S3593" i="1"/>
  <c r="S3667" i="1"/>
  <c r="S3740" i="1"/>
  <c r="S3819" i="1"/>
  <c r="S3880" i="1"/>
  <c r="S3954" i="1"/>
  <c r="S4027" i="1"/>
  <c r="S4096" i="1"/>
  <c r="S4162" i="1"/>
  <c r="S4231" i="1"/>
  <c r="S4301" i="1"/>
  <c r="S4367" i="1"/>
  <c r="S4429" i="1"/>
  <c r="S4494" i="1"/>
  <c r="S4560" i="1"/>
  <c r="S4630" i="1"/>
  <c r="S4689" i="1"/>
  <c r="S4750" i="1"/>
  <c r="S4818" i="1"/>
  <c r="S4867" i="1"/>
  <c r="S4929" i="1"/>
  <c r="S4991" i="1"/>
  <c r="S5050" i="1"/>
  <c r="S5106" i="1"/>
  <c r="S5170" i="1"/>
  <c r="S5220" i="1"/>
  <c r="S5281" i="1"/>
  <c r="S5347" i="1"/>
  <c r="S5405" i="1"/>
  <c r="S5467" i="1"/>
  <c r="S5526" i="1"/>
  <c r="S5575" i="1"/>
  <c r="S5629" i="1"/>
  <c r="S5689" i="1"/>
  <c r="S5746" i="1"/>
  <c r="S5800" i="1"/>
  <c r="S42" i="1"/>
  <c r="S179" i="1"/>
  <c r="S286" i="1"/>
  <c r="S421" i="1"/>
  <c r="S548" i="1"/>
  <c r="S660" i="1"/>
  <c r="S787" i="1"/>
  <c r="S902" i="1"/>
  <c r="S1024" i="1"/>
  <c r="S1157" i="1"/>
  <c r="S1254" i="1"/>
  <c r="S1375" i="1"/>
  <c r="S1480" i="1"/>
  <c r="S1607" i="1"/>
  <c r="S1710" i="1"/>
  <c r="S1826" i="1"/>
  <c r="S1917" i="1"/>
  <c r="S2012" i="1"/>
  <c r="S2122" i="1"/>
  <c r="S2217" i="1"/>
  <c r="S2312" i="1"/>
  <c r="S2416" i="1"/>
  <c r="S2501" i="1"/>
  <c r="S2582" i="1"/>
  <c r="S2684" i="1"/>
  <c r="S2769" i="1"/>
  <c r="S2862" i="1"/>
  <c r="S2964" i="1"/>
  <c r="S3051" i="1"/>
  <c r="S3132" i="1"/>
  <c r="S3239" i="1"/>
  <c r="S3323" i="1"/>
  <c r="S3422" i="1"/>
  <c r="S3511" i="1"/>
  <c r="S3601" i="1"/>
  <c r="S3680" i="1"/>
  <c r="S3787" i="1"/>
  <c r="S3862" i="1"/>
  <c r="S3944" i="1"/>
  <c r="S4028" i="1"/>
  <c r="S4111" i="1"/>
  <c r="S4188" i="1"/>
  <c r="S4263" i="1"/>
  <c r="S4334" i="1"/>
  <c r="S4407" i="1"/>
  <c r="S4493" i="1"/>
  <c r="S4568" i="1"/>
  <c r="S4640" i="1"/>
  <c r="S4710" i="1"/>
  <c r="S4784" i="1"/>
  <c r="S4858" i="1"/>
  <c r="S4922" i="1"/>
  <c r="S4993" i="1"/>
  <c r="S5055" i="1"/>
  <c r="S5126" i="1"/>
  <c r="S5192" i="1"/>
  <c r="S5269" i="1"/>
  <c r="S5339" i="1"/>
  <c r="S5407" i="1"/>
  <c r="S5473" i="1"/>
  <c r="S5534" i="1"/>
  <c r="S5602" i="1"/>
  <c r="S5665" i="1"/>
  <c r="S5729" i="1"/>
  <c r="S5793" i="1"/>
  <c r="S4121" i="1"/>
  <c r="S74" i="1"/>
  <c r="S55" i="1"/>
  <c r="S182" i="1"/>
  <c r="S290" i="1"/>
  <c r="S423" i="1"/>
  <c r="S549" i="1"/>
  <c r="S661" i="1"/>
  <c r="S796" i="1"/>
  <c r="S918" i="1"/>
  <c r="S1026" i="1"/>
  <c r="S1158" i="1"/>
  <c r="S1255" i="1"/>
  <c r="S1378" i="1"/>
  <c r="S1490" i="1"/>
  <c r="S1609" i="1"/>
  <c r="S1711" i="1"/>
  <c r="S1830" i="1"/>
  <c r="S1920" i="1"/>
  <c r="S2018" i="1"/>
  <c r="S2123" i="1"/>
  <c r="S2218" i="1"/>
  <c r="S2326" i="1"/>
  <c r="S2417" i="1"/>
  <c r="S2502" i="1"/>
  <c r="S2583" i="1"/>
  <c r="S2685" i="1"/>
  <c r="S2778" i="1"/>
  <c r="S2874" i="1"/>
  <c r="S2970" i="1"/>
  <c r="S3054" i="1"/>
  <c r="S3154" i="1"/>
  <c r="S3241" i="1"/>
  <c r="S3324" i="1"/>
  <c r="S3434" i="1"/>
  <c r="S3512" i="1"/>
  <c r="S3602" i="1"/>
  <c r="S3700" i="1"/>
  <c r="S3788" i="1"/>
  <c r="S3863" i="1"/>
  <c r="S3945" i="1"/>
  <c r="S4040" i="1"/>
  <c r="S4112" i="1"/>
  <c r="S4191" i="1"/>
  <c r="S4264" i="1"/>
  <c r="S4339" i="1"/>
  <c r="S4425" i="1"/>
  <c r="S4497" i="1"/>
  <c r="S4570" i="1"/>
  <c r="S4641" i="1"/>
  <c r="S4720" i="1"/>
  <c r="S4790" i="1"/>
  <c r="S4859" i="1"/>
  <c r="S4928" i="1"/>
  <c r="S4996" i="1"/>
  <c r="S5056" i="1"/>
  <c r="S5128" i="1"/>
  <c r="S5207" i="1"/>
  <c r="S5270" i="1"/>
  <c r="S5342" i="1"/>
  <c r="S5408" i="1"/>
  <c r="S5474" i="1"/>
  <c r="S5540" i="1"/>
  <c r="S5603" i="1"/>
  <c r="S5666" i="1"/>
  <c r="S5741" i="1"/>
  <c r="S5812" i="1"/>
  <c r="S4192" i="1"/>
  <c r="S186" i="1"/>
  <c r="S664" i="1"/>
  <c r="S1030" i="1"/>
  <c r="S1390" i="1"/>
  <c r="S1613" i="1"/>
  <c r="S1833" i="1"/>
  <c r="S2038" i="1"/>
  <c r="S2222" i="1"/>
  <c r="S2420" i="1"/>
  <c r="S2695" i="1"/>
  <c r="S3058" i="1"/>
  <c r="S3348" i="1"/>
  <c r="S3621" i="1"/>
  <c r="S56" i="1"/>
  <c r="S183" i="1"/>
  <c r="S291" i="1"/>
  <c r="S426" i="1"/>
  <c r="S562" i="1"/>
  <c r="S663" i="1"/>
  <c r="S797" i="1"/>
  <c r="S927" i="1"/>
  <c r="S1027" i="1"/>
  <c r="S1159" i="1"/>
  <c r="S1277" i="1"/>
  <c r="S1386" i="1"/>
  <c r="S1512" i="1"/>
  <c r="S1612" i="1"/>
  <c r="S1733" i="1"/>
  <c r="S1832" i="1"/>
  <c r="S1921" i="1"/>
  <c r="S2019" i="1"/>
  <c r="S2124" i="1"/>
  <c r="S2219" i="1"/>
  <c r="S2327" i="1"/>
  <c r="S2418" i="1"/>
  <c r="S2503" i="1"/>
  <c r="S2604" i="1"/>
  <c r="S2691" i="1"/>
  <c r="S2779" i="1"/>
  <c r="S2875" i="1"/>
  <c r="S2971" i="1"/>
  <c r="S3056" i="1"/>
  <c r="S3155" i="1"/>
  <c r="S3242" i="1"/>
  <c r="S3334" i="1"/>
  <c r="S3437" i="1"/>
  <c r="S3515" i="1"/>
  <c r="S3604" i="1"/>
  <c r="S3701" i="1"/>
  <c r="S3789" i="1"/>
  <c r="S3864" i="1"/>
  <c r="S3948" i="1"/>
  <c r="S4045" i="1"/>
  <c r="S4267" i="1"/>
  <c r="S4351" i="1"/>
  <c r="S4427" i="1"/>
  <c r="S4498" i="1"/>
  <c r="S4571" i="1"/>
  <c r="S4642" i="1"/>
  <c r="S4722" i="1"/>
  <c r="S4791" i="1"/>
  <c r="S4863" i="1"/>
  <c r="S4934" i="1"/>
  <c r="S4997" i="1"/>
  <c r="S5075" i="1"/>
  <c r="S5141" i="1"/>
  <c r="S5208" i="1"/>
  <c r="S5273" i="1"/>
  <c r="S5343" i="1"/>
  <c r="S5411" i="1"/>
  <c r="S5476" i="1"/>
  <c r="S5541" i="1"/>
  <c r="S5604" i="1"/>
  <c r="S5667" i="1"/>
  <c r="S5742" i="1"/>
  <c r="S5813" i="1"/>
  <c r="S312" i="1"/>
  <c r="S427" i="1"/>
  <c r="S565" i="1"/>
  <c r="S802" i="1"/>
  <c r="S928" i="1"/>
  <c r="S1160" i="1"/>
  <c r="S1282" i="1"/>
  <c r="S1513" i="1"/>
  <c r="S1734" i="1"/>
  <c r="S1930" i="1"/>
  <c r="S2136" i="1"/>
  <c r="S2328" i="1"/>
  <c r="S2506" i="1"/>
  <c r="S2605" i="1"/>
  <c r="S2780" i="1"/>
  <c r="S2891" i="1"/>
  <c r="S2972" i="1"/>
  <c r="S3158" i="1"/>
  <c r="S3244" i="1"/>
  <c r="S3440" i="1"/>
  <c r="S3516" i="1"/>
  <c r="S3702" i="1"/>
  <c r="S78" i="1"/>
  <c r="S192" i="1"/>
  <c r="S333" i="1"/>
  <c r="S453" i="1"/>
  <c r="S567" i="1"/>
  <c r="S693" i="1"/>
  <c r="S826" i="1"/>
  <c r="S934" i="1"/>
  <c r="S1057" i="1"/>
  <c r="S1164" i="1"/>
  <c r="S1288" i="1"/>
  <c r="S1420" i="1"/>
  <c r="S1527" i="1"/>
  <c r="S1620" i="1"/>
  <c r="S1737" i="1"/>
  <c r="S1835" i="1"/>
  <c r="S1936" i="1"/>
  <c r="S2042" i="1"/>
  <c r="S2144" i="1"/>
  <c r="S2246" i="1"/>
  <c r="S2340" i="1"/>
  <c r="S2424" i="1"/>
  <c r="S2510" i="1"/>
  <c r="S2608" i="1"/>
  <c r="S2701" i="1"/>
  <c r="S2799" i="1"/>
  <c r="S2893" i="1"/>
  <c r="S2974" i="1"/>
  <c r="S3070" i="1"/>
  <c r="S3161" i="1"/>
  <c r="S3250" i="1"/>
  <c r="S3353" i="1"/>
  <c r="S3443" i="1"/>
  <c r="S3531" i="1"/>
  <c r="S3626" i="1"/>
  <c r="S3710" i="1"/>
  <c r="S3792" i="1"/>
  <c r="S3879" i="1"/>
  <c r="S3972" i="1"/>
  <c r="S4048" i="1"/>
  <c r="S4126" i="1"/>
  <c r="S4196" i="1"/>
  <c r="S4275" i="1"/>
  <c r="S4360" i="1"/>
  <c r="S4431" i="1"/>
  <c r="S4510" i="1"/>
  <c r="S4593" i="1"/>
  <c r="S4659" i="1"/>
  <c r="S4725" i="1"/>
  <c r="S4800" i="1"/>
  <c r="S4872" i="1"/>
  <c r="S4945" i="1"/>
  <c r="S5012" i="1"/>
  <c r="S5078" i="1"/>
  <c r="S5144" i="1"/>
  <c r="S5213" i="1"/>
  <c r="S5280" i="1"/>
  <c r="S5351" i="1"/>
  <c r="S5416" i="1"/>
  <c r="S5481" i="1"/>
  <c r="S5556" i="1"/>
  <c r="S5621" i="1"/>
  <c r="S5687" i="1"/>
  <c r="S5748" i="1"/>
  <c r="S5817" i="1"/>
  <c r="S81" i="1"/>
  <c r="S194" i="1"/>
  <c r="S334" i="1"/>
  <c r="S458" i="1"/>
  <c r="S568" i="1"/>
  <c r="S698" i="1"/>
  <c r="S828" i="1"/>
  <c r="S936" i="1"/>
  <c r="S1060" i="1"/>
  <c r="S1165" i="1"/>
  <c r="S1289" i="1"/>
  <c r="S1421" i="1"/>
  <c r="S1528" i="1"/>
  <c r="S1623" i="1"/>
  <c r="S1738" i="1"/>
  <c r="S1836" i="1"/>
  <c r="S1937" i="1"/>
  <c r="S2052" i="1"/>
  <c r="S2146" i="1"/>
  <c r="S2247" i="1"/>
  <c r="S2341" i="1"/>
  <c r="S2425" i="1"/>
  <c r="S2520" i="1"/>
  <c r="S2613" i="1"/>
  <c r="S2702" i="1"/>
  <c r="S2806" i="1"/>
  <c r="S2894" i="1"/>
  <c r="S2975" i="1"/>
  <c r="S3076" i="1"/>
  <c r="S3162" i="1"/>
  <c r="S3251" i="1"/>
  <c r="S3354" i="1"/>
  <c r="S3445" i="1"/>
  <c r="S3539" i="1"/>
  <c r="S3628" i="1"/>
  <c r="S3711" i="1"/>
  <c r="S3799" i="1"/>
  <c r="S3890" i="1"/>
  <c r="S3973" i="1"/>
  <c r="S4049" i="1"/>
  <c r="S4128" i="1"/>
  <c r="S4200" i="1"/>
  <c r="S4286" i="1"/>
  <c r="S4365" i="1"/>
  <c r="S4436" i="1"/>
  <c r="S4511" i="1"/>
  <c r="S4594" i="1"/>
  <c r="S4660" i="1"/>
  <c r="S4726" i="1"/>
  <c r="S4801" i="1"/>
  <c r="S4883" i="1"/>
  <c r="S4946" i="1"/>
  <c r="S5013" i="1"/>
  <c r="S5080" i="1"/>
  <c r="S5145" i="1"/>
  <c r="S5217" i="1"/>
  <c r="S5284" i="1"/>
  <c r="S5352" i="1"/>
  <c r="S5420" i="1"/>
  <c r="S5486" i="1"/>
  <c r="S5557" i="1"/>
  <c r="S5623" i="1"/>
  <c r="S5688" i="1"/>
  <c r="S5753" i="1"/>
  <c r="S5818" i="1"/>
  <c r="S5584" i="1"/>
  <c r="S5314" i="1"/>
  <c r="S5052" i="1"/>
  <c r="S4783" i="1"/>
  <c r="S4505" i="1"/>
  <c r="S4219" i="1"/>
  <c r="S3900" i="1"/>
  <c r="S3547" i="1"/>
  <c r="S3180" i="1"/>
  <c r="S2798" i="1"/>
  <c r="S2273" i="1"/>
  <c r="S428" i="1"/>
  <c r="S5754" i="1"/>
  <c r="S5658" i="1"/>
  <c r="S5577" i="1"/>
  <c r="S5498" i="1"/>
  <c r="S5404" i="1"/>
  <c r="S5313" i="1"/>
  <c r="S5239" i="1"/>
  <c r="S5143" i="1"/>
  <c r="S5051" i="1"/>
  <c r="S4962" i="1"/>
  <c r="S4885" i="1"/>
  <c r="S4773" i="1"/>
  <c r="S4692" i="1"/>
  <c r="S4599" i="1"/>
  <c r="S4499" i="1"/>
  <c r="S4399" i="1"/>
  <c r="S4304" i="1"/>
  <c r="S3990" i="1"/>
  <c r="S3899" i="1"/>
  <c r="S3773" i="1"/>
  <c r="S3668" i="1"/>
  <c r="S3543" i="1"/>
  <c r="S3401" i="1"/>
  <c r="S3288" i="1"/>
  <c r="S3163" i="1"/>
  <c r="S3034" i="1"/>
  <c r="S2919" i="1"/>
  <c r="S2768" i="1"/>
  <c r="S2652" i="1"/>
  <c r="S2537" i="1"/>
  <c r="S2408" i="1"/>
  <c r="S2272" i="1"/>
  <c r="S2147" i="1"/>
  <c r="S1999" i="1"/>
  <c r="S1866" i="1"/>
  <c r="S1701" i="1"/>
  <c r="S1568" i="1"/>
  <c r="S1430" i="1"/>
  <c r="S1250" i="1"/>
  <c r="S1097" i="1"/>
  <c r="S937" i="1"/>
  <c r="S755" i="1"/>
  <c r="S613" i="1"/>
  <c r="S419" i="1"/>
  <c r="S250" i="1"/>
  <c r="S86" i="1"/>
  <c r="S5747" i="1"/>
  <c r="S5657" i="1"/>
  <c r="S5576" i="1"/>
  <c r="S5496" i="1"/>
  <c r="S5402" i="1"/>
  <c r="S5310" i="1"/>
  <c r="S5224" i="1"/>
  <c r="S5142" i="1"/>
  <c r="S5049" i="1"/>
  <c r="S4961" i="1"/>
  <c r="S4884" i="1"/>
  <c r="S4772" i="1"/>
  <c r="S4691" i="1"/>
  <c r="S4598" i="1"/>
  <c r="S4492" i="1"/>
  <c r="S4397" i="1"/>
  <c r="S4303" i="1"/>
  <c r="S4194" i="1"/>
  <c r="S4095" i="1"/>
  <c r="S3988" i="1"/>
  <c r="S3896" i="1"/>
  <c r="S3764" i="1"/>
  <c r="S3663" i="1"/>
  <c r="S3542" i="1"/>
  <c r="S3400" i="1"/>
  <c r="S3285" i="1"/>
  <c r="S3160" i="1"/>
  <c r="S3032" i="1"/>
  <c r="S2918" i="1"/>
  <c r="S2767" i="1"/>
  <c r="S2651" i="1"/>
  <c r="S2535" i="1"/>
  <c r="S2388" i="1"/>
  <c r="S2264" i="1"/>
  <c r="S2142" i="1"/>
  <c r="S1998" i="1"/>
  <c r="S1864" i="1"/>
  <c r="S1699" i="1"/>
  <c r="S1567" i="1"/>
  <c r="S1429" i="1"/>
  <c r="S1249" i="1"/>
  <c r="S1083" i="1"/>
  <c r="S933" i="1"/>
  <c r="S754" i="1"/>
  <c r="S610" i="1"/>
  <c r="S418" i="1"/>
  <c r="S240" i="1"/>
  <c r="S83" i="1"/>
  <c r="S5662" i="1"/>
  <c r="S5412" i="1"/>
  <c r="S5146" i="1"/>
  <c r="S4886" i="1"/>
  <c r="S4697" i="1"/>
  <c r="S4401" i="1"/>
  <c r="S4109" i="1"/>
  <c r="S3790" i="1"/>
  <c r="S3404" i="1"/>
  <c r="S3036" i="1"/>
  <c r="S2653" i="1"/>
  <c r="S2411" i="1"/>
  <c r="S2005" i="1"/>
  <c r="S1735" i="1"/>
  <c r="S1433" i="1"/>
  <c r="S1100" i="1"/>
  <c r="S756" i="1"/>
  <c r="S620" i="1"/>
  <c r="S98" i="1"/>
  <c r="S4204" i="1"/>
  <c r="S5745" i="1"/>
  <c r="S5654" i="1"/>
  <c r="S5574" i="1"/>
  <c r="S5495" i="1"/>
  <c r="S5398" i="1"/>
  <c r="S5308" i="1"/>
  <c r="S5223" i="1"/>
  <c r="S5125" i="1"/>
  <c r="S5048" i="1"/>
  <c r="S4959" i="1"/>
  <c r="S4866" i="1"/>
  <c r="S4770" i="1"/>
  <c r="S4687" i="1"/>
  <c r="S4596" i="1"/>
  <c r="S4491" i="1"/>
  <c r="S4396" i="1"/>
  <c r="S4302" i="1"/>
  <c r="S4193" i="1"/>
  <c r="S4093" i="1"/>
  <c r="S3985" i="1"/>
  <c r="S3891" i="1"/>
  <c r="S3763" i="1"/>
  <c r="S3662" i="1"/>
  <c r="S3540" i="1"/>
  <c r="S3398" i="1"/>
  <c r="S3284" i="1"/>
  <c r="S3131" i="1"/>
  <c r="S3030" i="1"/>
  <c r="S2898" i="1"/>
  <c r="S2765" i="1"/>
  <c r="S2649" i="1"/>
  <c r="S2521" i="1"/>
  <c r="S2382" i="1"/>
  <c r="S2260" i="1"/>
  <c r="S2107" i="1"/>
  <c r="S1993" i="1"/>
  <c r="S1848" i="1"/>
  <c r="S1695" i="1"/>
  <c r="S1555" i="1"/>
  <c r="S1422" i="1"/>
  <c r="S1242" i="1"/>
  <c r="S1082" i="1"/>
  <c r="S900" i="1"/>
  <c r="S751" i="1"/>
  <c r="S604" i="1"/>
  <c r="S387" i="1"/>
  <c r="S239" i="1"/>
  <c r="S82" i="1"/>
  <c r="S5758" i="1"/>
  <c r="S5499" i="1"/>
  <c r="S5240" i="1"/>
  <c r="S4963" i="1"/>
  <c r="S4604" i="1"/>
  <c r="S4307" i="1"/>
  <c r="S4003" i="1"/>
  <c r="S3669" i="1"/>
  <c r="S3290" i="1"/>
  <c r="S2920" i="1"/>
  <c r="S2543" i="1"/>
  <c r="S2159" i="1"/>
  <c r="S1875" i="1"/>
  <c r="S1569" i="1"/>
  <c r="S1251" i="1"/>
  <c r="S939" i="1"/>
  <c r="S273" i="1"/>
  <c r="S4098" i="1"/>
  <c r="S5821" i="1"/>
  <c r="S5728" i="1"/>
  <c r="S5653" i="1"/>
  <c r="S5573" i="1"/>
  <c r="S5480" i="1"/>
  <c r="S5383" i="1"/>
  <c r="S5306" i="1"/>
  <c r="S5219" i="1"/>
  <c r="S5124" i="1"/>
  <c r="S5047" i="1"/>
  <c r="S4955" i="1"/>
  <c r="S4864" i="1"/>
  <c r="S4769" i="1"/>
  <c r="S4677" i="1"/>
  <c r="S4595" i="1"/>
  <c r="S4476" i="1"/>
  <c r="S4391" i="1"/>
  <c r="S4300" i="1"/>
  <c r="S4186" i="1"/>
  <c r="S4087" i="1"/>
  <c r="S3984" i="1"/>
  <c r="S3878" i="1"/>
  <c r="S3762" i="1"/>
  <c r="S3661" i="1"/>
  <c r="S3528" i="1"/>
  <c r="S3390" i="1"/>
  <c r="S3278" i="1"/>
  <c r="S3129" i="1"/>
  <c r="S3021" i="1"/>
  <c r="S2897" i="1"/>
  <c r="S2764" i="1"/>
  <c r="S2642" i="1"/>
  <c r="S2509" i="1"/>
  <c r="S2381" i="1"/>
  <c r="S2258" i="1"/>
  <c r="S2106" i="1"/>
  <c r="S1992" i="1"/>
  <c r="S1847" i="1"/>
  <c r="S1692" i="1"/>
  <c r="S1554" i="1"/>
  <c r="S1393" i="1"/>
  <c r="S1241" i="1"/>
  <c r="S1072" i="1"/>
  <c r="S898" i="1"/>
  <c r="S749" i="1"/>
  <c r="S600" i="1"/>
  <c r="S386" i="1"/>
  <c r="S228" i="1"/>
  <c r="S75" i="1"/>
  <c r="R5799" i="1"/>
  <c r="R5765" i="1"/>
  <c r="R5722" i="1"/>
  <c r="R5686" i="1"/>
  <c r="R5646" i="1"/>
  <c r="R5609" i="1"/>
  <c r="R5566" i="1"/>
  <c r="R5533" i="1"/>
  <c r="R5494" i="1"/>
  <c r="R5449" i="1"/>
  <c r="R5413" i="1"/>
  <c r="R5368" i="1"/>
  <c r="R5329" i="1"/>
  <c r="R5287" i="1"/>
  <c r="R5250" i="1"/>
  <c r="R5205" i="1"/>
  <c r="R5169" i="1"/>
  <c r="R5130" i="1"/>
  <c r="R5085" i="1"/>
  <c r="R5051" i="1"/>
  <c r="R5006" i="1"/>
  <c r="R4966" i="1"/>
  <c r="R4924" i="1"/>
  <c r="R4885" i="1"/>
  <c r="R4840" i="1"/>
  <c r="R4806" i="1"/>
  <c r="R4767" i="1"/>
  <c r="R4722" i="1"/>
  <c r="R4686" i="1"/>
  <c r="R4641" i="1"/>
  <c r="R4602" i="1"/>
  <c r="R4560" i="1"/>
  <c r="R4522" i="1"/>
  <c r="R4476" i="1"/>
  <c r="R4436" i="1"/>
  <c r="R4384" i="1"/>
  <c r="R4347" i="1"/>
  <c r="R4297" i="1"/>
  <c r="R4249" i="1"/>
  <c r="R4207" i="1"/>
  <c r="R4157" i="1"/>
  <c r="R4108" i="1"/>
  <c r="R4066" i="1"/>
  <c r="R4017" i="1"/>
  <c r="R3967" i="1"/>
  <c r="R3923" i="1"/>
  <c r="R3875" i="1"/>
  <c r="R3827" i="1"/>
  <c r="R3788" i="1"/>
  <c r="R3740" i="1"/>
  <c r="R3690" i="1"/>
  <c r="R3647" i="1"/>
  <c r="R3599" i="1"/>
  <c r="R3548" i="1"/>
  <c r="R3504" i="1"/>
  <c r="R3455" i="1"/>
  <c r="R3405" i="1"/>
  <c r="R3356" i="1"/>
  <c r="R3310" i="1"/>
  <c r="R3258" i="1"/>
  <c r="R3207" i="1"/>
  <c r="R3147" i="1"/>
  <c r="R3097" i="1"/>
  <c r="R3047" i="1"/>
  <c r="R2999" i="1"/>
  <c r="R2949" i="1"/>
  <c r="R2897" i="1"/>
  <c r="R2838" i="1"/>
  <c r="R2788" i="1"/>
  <c r="R2738" i="1"/>
  <c r="R2689" i="1"/>
  <c r="R2636" i="1"/>
  <c r="R2580" i="1"/>
  <c r="R2518" i="1"/>
  <c r="R2461" i="1"/>
  <c r="R2396" i="1"/>
  <c r="R2339" i="1"/>
  <c r="R2281" i="1"/>
  <c r="R2222" i="1"/>
  <c r="R2158" i="1"/>
  <c r="R2096" i="1"/>
  <c r="R2047" i="1"/>
  <c r="R1987" i="1"/>
  <c r="R1930" i="1"/>
  <c r="R1867" i="1"/>
  <c r="R1809" i="1"/>
  <c r="R1745" i="1"/>
  <c r="R1689" i="1"/>
  <c r="R1625" i="1"/>
  <c r="R1568" i="1"/>
  <c r="R1512" i="1"/>
  <c r="R1450" i="1"/>
  <c r="R1389" i="1"/>
  <c r="R1325" i="1"/>
  <c r="R1276" i="1"/>
  <c r="R1214" i="1"/>
  <c r="R1159" i="1"/>
  <c r="R1096" i="1"/>
  <c r="R1036" i="1"/>
  <c r="R974" i="1"/>
  <c r="R911" i="1"/>
  <c r="R854" i="1"/>
  <c r="R796" i="1"/>
  <c r="R739" i="1"/>
  <c r="R678" i="1"/>
  <c r="R610" i="1"/>
  <c r="R552" i="1"/>
  <c r="R485" i="1"/>
  <c r="R427" i="1"/>
  <c r="R368" i="1"/>
  <c r="R308" i="1"/>
  <c r="R244" i="1"/>
  <c r="R180" i="1"/>
  <c r="R119" i="1"/>
  <c r="R54" i="1"/>
  <c r="R5325" i="1"/>
  <c r="R5280" i="1"/>
  <c r="R5246" i="1"/>
  <c r="R5199" i="1"/>
  <c r="R5162" i="1"/>
  <c r="R5119" i="1"/>
  <c r="R5080" i="1"/>
  <c r="R5035" i="1"/>
  <c r="R4999" i="1"/>
  <c r="R4962" i="1"/>
  <c r="R4917" i="1"/>
  <c r="R4881" i="1"/>
  <c r="R4836" i="1"/>
  <c r="R4797" i="1"/>
  <c r="R4755" i="1"/>
  <c r="R4718" i="1"/>
  <c r="R4671" i="1"/>
  <c r="R4637" i="1"/>
  <c r="R4598" i="1"/>
  <c r="R4553" i="1"/>
  <c r="R4516" i="1"/>
  <c r="R4470" i="1"/>
  <c r="R4428" i="1"/>
  <c r="R4380" i="1"/>
  <c r="R4332" i="1"/>
  <c r="R4290" i="1"/>
  <c r="R4242" i="1"/>
  <c r="R4191" i="1"/>
  <c r="R4152" i="1"/>
  <c r="R4103" i="1"/>
  <c r="R4053" i="1"/>
  <c r="R4011" i="1"/>
  <c r="R3961" i="1"/>
  <c r="R3913" i="1"/>
  <c r="R3871" i="1"/>
  <c r="R3823" i="1"/>
  <c r="R3775" i="1"/>
  <c r="R3730" i="1"/>
  <c r="R3680" i="1"/>
  <c r="R3631" i="1"/>
  <c r="R3592" i="1"/>
  <c r="R3539" i="1"/>
  <c r="R3491" i="1"/>
  <c r="R3450" i="1"/>
  <c r="R3401" i="1"/>
  <c r="R3345" i="1"/>
  <c r="R3295" i="1"/>
  <c r="R3244" i="1"/>
  <c r="R3187" i="1"/>
  <c r="R3143" i="1"/>
  <c r="R3093" i="1"/>
  <c r="R3039" i="1"/>
  <c r="R2989" i="1"/>
  <c r="R2932" i="1"/>
  <c r="R2878" i="1"/>
  <c r="R2834" i="1"/>
  <c r="R2784" i="1"/>
  <c r="R2730" i="1"/>
  <c r="R2678" i="1"/>
  <c r="R2623" i="1"/>
  <c r="R2558" i="1"/>
  <c r="R2509" i="1"/>
  <c r="R2449" i="1"/>
  <c r="R2392" i="1"/>
  <c r="R2334" i="1"/>
  <c r="R2275" i="1"/>
  <c r="R2213" i="1"/>
  <c r="R2151" i="1"/>
  <c r="R2092" i="1"/>
  <c r="R2029" i="1"/>
  <c r="R1972" i="1"/>
  <c r="R1912" i="1"/>
  <c r="R1862" i="1"/>
  <c r="R1787" i="1"/>
  <c r="R1741" i="1"/>
  <c r="R1676" i="1"/>
  <c r="R1621" i="1"/>
  <c r="R1563" i="1"/>
  <c r="R1497" i="1"/>
  <c r="R1438" i="1"/>
  <c r="R1378" i="1"/>
  <c r="R1321" i="1"/>
  <c r="R1261" i="1"/>
  <c r="R1201" i="1"/>
  <c r="R1141" i="1"/>
  <c r="R1081" i="1"/>
  <c r="R1016" i="1"/>
  <c r="R970" i="1"/>
  <c r="R907" i="1"/>
  <c r="R849" i="1"/>
  <c r="R790" i="1"/>
  <c r="R729" i="1"/>
  <c r="R667" i="1"/>
  <c r="R604" i="1"/>
  <c r="R546" i="1"/>
  <c r="R481" i="1"/>
  <c r="R422" i="1"/>
  <c r="R359" i="1"/>
  <c r="R294" i="1"/>
  <c r="R234" i="1"/>
  <c r="R173" i="1"/>
  <c r="R110" i="1"/>
  <c r="R11" i="1"/>
  <c r="R33" i="1"/>
  <c r="R55" i="1"/>
  <c r="R77" i="1"/>
  <c r="R99" i="1"/>
  <c r="R121" i="1"/>
  <c r="R143" i="1"/>
  <c r="R165" i="1"/>
  <c r="R187" i="1"/>
  <c r="R209" i="1"/>
  <c r="R231" i="1"/>
  <c r="R253" i="1"/>
  <c r="R275" i="1"/>
  <c r="R297" i="1"/>
  <c r="R319" i="1"/>
  <c r="R341" i="1"/>
  <c r="R363" i="1"/>
  <c r="R385" i="1"/>
  <c r="R407" i="1"/>
  <c r="R429" i="1"/>
  <c r="R451" i="1"/>
  <c r="R473" i="1"/>
  <c r="R495" i="1"/>
  <c r="R517" i="1"/>
  <c r="R539" i="1"/>
  <c r="R561" i="1"/>
  <c r="R583" i="1"/>
  <c r="R605" i="1"/>
  <c r="R627" i="1"/>
  <c r="R649" i="1"/>
  <c r="R671" i="1"/>
  <c r="R693" i="1"/>
  <c r="R715" i="1"/>
  <c r="R737" i="1"/>
  <c r="R759" i="1"/>
  <c r="R781" i="1"/>
  <c r="R803" i="1"/>
  <c r="R825" i="1"/>
  <c r="R847" i="1"/>
  <c r="R869" i="1"/>
  <c r="R891" i="1"/>
  <c r="R913" i="1"/>
  <c r="R935" i="1"/>
  <c r="R957" i="1"/>
  <c r="R979" i="1"/>
  <c r="R1001" i="1"/>
  <c r="R1023" i="1"/>
  <c r="R1045" i="1"/>
  <c r="R1067" i="1"/>
  <c r="R1089" i="1"/>
  <c r="R1111" i="1"/>
  <c r="R1133" i="1"/>
  <c r="R1155" i="1"/>
  <c r="R1177" i="1"/>
  <c r="R1199" i="1"/>
  <c r="R1221" i="1"/>
  <c r="R1243" i="1"/>
  <c r="R1265" i="1"/>
  <c r="R1287" i="1"/>
  <c r="R1309" i="1"/>
  <c r="R1331" i="1"/>
  <c r="R1353" i="1"/>
  <c r="R1375" i="1"/>
  <c r="R1397" i="1"/>
  <c r="R1419" i="1"/>
  <c r="R1441" i="1"/>
  <c r="R1463" i="1"/>
  <c r="R1485" i="1"/>
  <c r="R1507" i="1"/>
  <c r="R1529" i="1"/>
  <c r="R1551" i="1"/>
  <c r="R1573" i="1"/>
  <c r="R1595" i="1"/>
  <c r="R1617" i="1"/>
  <c r="R1639" i="1"/>
  <c r="R1661" i="1"/>
  <c r="R1683" i="1"/>
  <c r="R1705" i="1"/>
  <c r="R1727" i="1"/>
  <c r="R1749" i="1"/>
  <c r="R1771" i="1"/>
  <c r="R1793" i="1"/>
  <c r="R1815" i="1"/>
  <c r="R1837" i="1"/>
  <c r="R1859" i="1"/>
  <c r="R1881" i="1"/>
  <c r="R1903" i="1"/>
  <c r="R1925" i="1"/>
  <c r="R1947" i="1"/>
  <c r="R1969" i="1"/>
  <c r="R1991" i="1"/>
  <c r="R2013" i="1"/>
  <c r="R2035" i="1"/>
  <c r="R2057" i="1"/>
  <c r="R2079" i="1"/>
  <c r="R2101" i="1"/>
  <c r="R2123" i="1"/>
  <c r="R2145" i="1"/>
  <c r="R2167" i="1"/>
  <c r="R2189" i="1"/>
  <c r="R2211" i="1"/>
  <c r="R2233" i="1"/>
  <c r="R2255" i="1"/>
  <c r="R2277" i="1"/>
  <c r="R2299" i="1"/>
  <c r="R2321" i="1"/>
  <c r="R2343" i="1"/>
  <c r="R2365" i="1"/>
  <c r="R2387" i="1"/>
  <c r="R2409" i="1"/>
  <c r="R2431" i="1"/>
  <c r="R2453" i="1"/>
  <c r="R2475" i="1"/>
  <c r="R2497" i="1"/>
  <c r="R2519" i="1"/>
  <c r="R2541" i="1"/>
  <c r="R2563" i="1"/>
  <c r="R2585" i="1"/>
  <c r="R2607" i="1"/>
  <c r="R2629" i="1"/>
  <c r="R2651" i="1"/>
  <c r="R2673" i="1"/>
  <c r="R2695" i="1"/>
  <c r="R12" i="1"/>
  <c r="R34" i="1"/>
  <c r="R56" i="1"/>
  <c r="R78" i="1"/>
  <c r="R100" i="1"/>
  <c r="R122" i="1"/>
  <c r="R144" i="1"/>
  <c r="R166" i="1"/>
  <c r="R188" i="1"/>
  <c r="R210" i="1"/>
  <c r="R232" i="1"/>
  <c r="R254" i="1"/>
  <c r="R276" i="1"/>
  <c r="R298" i="1"/>
  <c r="R320" i="1"/>
  <c r="R342" i="1"/>
  <c r="R364" i="1"/>
  <c r="R386" i="1"/>
  <c r="R408" i="1"/>
  <c r="R430" i="1"/>
  <c r="R452" i="1"/>
  <c r="R474" i="1"/>
  <c r="R496" i="1"/>
  <c r="R518" i="1"/>
  <c r="R540" i="1"/>
  <c r="R562" i="1"/>
  <c r="R584" i="1"/>
  <c r="R606" i="1"/>
  <c r="R628" i="1"/>
  <c r="R650" i="1"/>
  <c r="R672" i="1"/>
  <c r="R694" i="1"/>
  <c r="R716" i="1"/>
  <c r="R738" i="1"/>
  <c r="R760" i="1"/>
  <c r="R782" i="1"/>
  <c r="R804" i="1"/>
  <c r="R826" i="1"/>
  <c r="R848" i="1"/>
  <c r="R870" i="1"/>
  <c r="R892" i="1"/>
  <c r="R914" i="1"/>
  <c r="R936" i="1"/>
  <c r="R958" i="1"/>
  <c r="R980" i="1"/>
  <c r="R1002" i="1"/>
  <c r="R1024" i="1"/>
  <c r="R1046" i="1"/>
  <c r="R1068" i="1"/>
  <c r="R1090" i="1"/>
  <c r="R1112" i="1"/>
  <c r="R1134" i="1"/>
  <c r="R1156" i="1"/>
  <c r="R1178" i="1"/>
  <c r="R1200" i="1"/>
  <c r="R1222" i="1"/>
  <c r="R1244" i="1"/>
  <c r="R1266" i="1"/>
  <c r="R1288" i="1"/>
  <c r="R1310" i="1"/>
  <c r="R1332" i="1"/>
  <c r="R1354" i="1"/>
  <c r="R1376" i="1"/>
  <c r="R1398" i="1"/>
  <c r="R1420" i="1"/>
  <c r="R1442" i="1"/>
  <c r="R1464" i="1"/>
  <c r="R1486" i="1"/>
  <c r="R1508" i="1"/>
  <c r="R1530" i="1"/>
  <c r="R1552" i="1"/>
  <c r="R1574" i="1"/>
  <c r="R1596" i="1"/>
  <c r="R1618" i="1"/>
  <c r="R1640" i="1"/>
  <c r="R1662" i="1"/>
  <c r="R1684" i="1"/>
  <c r="R1706" i="1"/>
  <c r="R1728" i="1"/>
  <c r="R1750" i="1"/>
  <c r="R1772" i="1"/>
  <c r="R1794" i="1"/>
  <c r="R1816" i="1"/>
  <c r="R1838" i="1"/>
  <c r="R1860" i="1"/>
  <c r="R1882" i="1"/>
  <c r="R1904" i="1"/>
  <c r="R1926" i="1"/>
  <c r="R1948" i="1"/>
  <c r="R1970" i="1"/>
  <c r="R1992" i="1"/>
  <c r="R2014" i="1"/>
  <c r="R2036" i="1"/>
  <c r="R2058" i="1"/>
  <c r="R2080" i="1"/>
  <c r="R2102" i="1"/>
  <c r="R2124" i="1"/>
  <c r="R2146" i="1"/>
  <c r="R2168" i="1"/>
  <c r="R2190" i="1"/>
  <c r="R2212" i="1"/>
  <c r="R2234" i="1"/>
  <c r="R2256" i="1"/>
  <c r="R2278" i="1"/>
  <c r="R2300" i="1"/>
  <c r="R2322" i="1"/>
  <c r="R2344" i="1"/>
  <c r="R2366" i="1"/>
  <c r="R2388" i="1"/>
  <c r="R2410" i="1"/>
  <c r="R2432" i="1"/>
  <c r="R2454" i="1"/>
  <c r="R2476" i="1"/>
  <c r="R2498" i="1"/>
  <c r="R2520" i="1"/>
  <c r="R2542" i="1"/>
  <c r="R2564" i="1"/>
  <c r="R2586" i="1"/>
  <c r="R2608" i="1"/>
  <c r="R2630" i="1"/>
  <c r="R7" i="1"/>
  <c r="R31" i="1"/>
  <c r="R57" i="1"/>
  <c r="R81" i="1"/>
  <c r="R105" i="1"/>
  <c r="R129" i="1"/>
  <c r="R153" i="1"/>
  <c r="R177" i="1"/>
  <c r="R201" i="1"/>
  <c r="R225" i="1"/>
  <c r="R249" i="1"/>
  <c r="R273" i="1"/>
  <c r="R299" i="1"/>
  <c r="R323" i="1"/>
  <c r="R347" i="1"/>
  <c r="R371" i="1"/>
  <c r="R395" i="1"/>
  <c r="R419" i="1"/>
  <c r="R443" i="1"/>
  <c r="R467" i="1"/>
  <c r="R491" i="1"/>
  <c r="R515" i="1"/>
  <c r="R541" i="1"/>
  <c r="R565" i="1"/>
  <c r="R589" i="1"/>
  <c r="R613" i="1"/>
  <c r="R637" i="1"/>
  <c r="R661" i="1"/>
  <c r="R685" i="1"/>
  <c r="R709" i="1"/>
  <c r="R733" i="1"/>
  <c r="R757" i="1"/>
  <c r="R783" i="1"/>
  <c r="R807" i="1"/>
  <c r="R831" i="1"/>
  <c r="R855" i="1"/>
  <c r="R879" i="1"/>
  <c r="R903" i="1"/>
  <c r="R927" i="1"/>
  <c r="R951" i="1"/>
  <c r="R975" i="1"/>
  <c r="R999" i="1"/>
  <c r="R1025" i="1"/>
  <c r="R1049" i="1"/>
  <c r="R1073" i="1"/>
  <c r="R1097" i="1"/>
  <c r="R1121" i="1"/>
  <c r="R1145" i="1"/>
  <c r="R1169" i="1"/>
  <c r="R1193" i="1"/>
  <c r="R1217" i="1"/>
  <c r="R1241" i="1"/>
  <c r="R1267" i="1"/>
  <c r="R1291" i="1"/>
  <c r="R1315" i="1"/>
  <c r="R1339" i="1"/>
  <c r="R1363" i="1"/>
  <c r="R1387" i="1"/>
  <c r="R1411" i="1"/>
  <c r="R1435" i="1"/>
  <c r="R1459" i="1"/>
  <c r="R1483" i="1"/>
  <c r="R1509" i="1"/>
  <c r="R1533" i="1"/>
  <c r="R1557" i="1"/>
  <c r="R1581" i="1"/>
  <c r="R1605" i="1"/>
  <c r="R1629" i="1"/>
  <c r="R1653" i="1"/>
  <c r="R1677" i="1"/>
  <c r="R1701" i="1"/>
  <c r="R1725" i="1"/>
  <c r="R1751" i="1"/>
  <c r="R1775" i="1"/>
  <c r="R1799" i="1"/>
  <c r="R1823" i="1"/>
  <c r="R1847" i="1"/>
  <c r="R1871" i="1"/>
  <c r="R1895" i="1"/>
  <c r="R1919" i="1"/>
  <c r="R1943" i="1"/>
  <c r="R1967" i="1"/>
  <c r="R1993" i="1"/>
  <c r="R2017" i="1"/>
  <c r="R2041" i="1"/>
  <c r="R2065" i="1"/>
  <c r="R2089" i="1"/>
  <c r="R2113" i="1"/>
  <c r="R2137" i="1"/>
  <c r="R2161" i="1"/>
  <c r="R2185" i="1"/>
  <c r="R2209" i="1"/>
  <c r="R2235" i="1"/>
  <c r="R2259" i="1"/>
  <c r="R2283" i="1"/>
  <c r="R2307" i="1"/>
  <c r="R2331" i="1"/>
  <c r="R2355" i="1"/>
  <c r="R2379" i="1"/>
  <c r="R2403" i="1"/>
  <c r="R2427" i="1"/>
  <c r="R2451" i="1"/>
  <c r="R2477" i="1"/>
  <c r="R2501" i="1"/>
  <c r="R2525" i="1"/>
  <c r="R2549" i="1"/>
  <c r="R2573" i="1"/>
  <c r="R2597" i="1"/>
  <c r="R2621" i="1"/>
  <c r="R2645" i="1"/>
  <c r="R2668" i="1"/>
  <c r="R2691" i="1"/>
  <c r="R2714" i="1"/>
  <c r="R2736" i="1"/>
  <c r="R2758" i="1"/>
  <c r="R2780" i="1"/>
  <c r="R2802" i="1"/>
  <c r="R2824" i="1"/>
  <c r="R2846" i="1"/>
  <c r="R2868" i="1"/>
  <c r="R2890" i="1"/>
  <c r="R2912" i="1"/>
  <c r="R2934" i="1"/>
  <c r="R2956" i="1"/>
  <c r="R2978" i="1"/>
  <c r="R3000" i="1"/>
  <c r="R3022" i="1"/>
  <c r="R3044" i="1"/>
  <c r="R3066" i="1"/>
  <c r="R3088" i="1"/>
  <c r="R3110" i="1"/>
  <c r="R3132" i="1"/>
  <c r="R3154" i="1"/>
  <c r="R3176" i="1"/>
  <c r="R3198" i="1"/>
  <c r="R3220" i="1"/>
  <c r="R3242" i="1"/>
  <c r="R3264" i="1"/>
  <c r="R3286" i="1"/>
  <c r="R3308" i="1"/>
  <c r="R3330" i="1"/>
  <c r="R3352" i="1"/>
  <c r="R3374" i="1"/>
  <c r="R3396" i="1"/>
  <c r="R3418" i="1"/>
  <c r="R3440" i="1"/>
  <c r="R3462" i="1"/>
  <c r="R3484" i="1"/>
  <c r="R3506" i="1"/>
  <c r="R3528" i="1"/>
  <c r="R3550" i="1"/>
  <c r="R3572" i="1"/>
  <c r="R3594" i="1"/>
  <c r="R3616" i="1"/>
  <c r="R3638" i="1"/>
  <c r="R3660" i="1"/>
  <c r="R3682" i="1"/>
  <c r="R3704" i="1"/>
  <c r="R3726" i="1"/>
  <c r="R3748" i="1"/>
  <c r="R3770" i="1"/>
  <c r="R3792" i="1"/>
  <c r="R3814" i="1"/>
  <c r="R3836" i="1"/>
  <c r="R3858" i="1"/>
  <c r="R3880" i="1"/>
  <c r="R3902" i="1"/>
  <c r="R3924" i="1"/>
  <c r="R3946" i="1"/>
  <c r="R3968" i="1"/>
  <c r="R3990" i="1"/>
  <c r="R4012" i="1"/>
  <c r="R4034" i="1"/>
  <c r="R4056" i="1"/>
  <c r="R4078" i="1"/>
  <c r="R4100" i="1"/>
  <c r="R4122" i="1"/>
  <c r="R4144" i="1"/>
  <c r="R4166" i="1"/>
  <c r="R4188" i="1"/>
  <c r="R4210" i="1"/>
  <c r="R4232" i="1"/>
  <c r="R4254" i="1"/>
  <c r="R4276" i="1"/>
  <c r="R4298" i="1"/>
  <c r="R4320" i="1"/>
  <c r="R4342" i="1"/>
  <c r="R4364" i="1"/>
  <c r="R4386" i="1"/>
  <c r="R4408" i="1"/>
  <c r="R4430" i="1"/>
  <c r="R4452" i="1"/>
  <c r="R4474" i="1"/>
  <c r="R4496" i="1"/>
  <c r="R4518" i="1"/>
  <c r="R4540" i="1"/>
  <c r="R4562" i="1"/>
  <c r="R4584" i="1"/>
  <c r="R4606" i="1"/>
  <c r="R4628" i="1"/>
  <c r="R4650" i="1"/>
  <c r="R4672" i="1"/>
  <c r="R4694" i="1"/>
  <c r="R4716" i="1"/>
  <c r="R4738" i="1"/>
  <c r="R4760" i="1"/>
  <c r="R4782" i="1"/>
  <c r="R4804" i="1"/>
  <c r="R4826" i="1"/>
  <c r="R4848" i="1"/>
  <c r="R4870" i="1"/>
  <c r="R4892" i="1"/>
  <c r="R4914" i="1"/>
  <c r="R4936" i="1"/>
  <c r="R4958" i="1"/>
  <c r="R4980" i="1"/>
  <c r="R5002" i="1"/>
  <c r="R5024" i="1"/>
  <c r="R5046" i="1"/>
  <c r="R5068" i="1"/>
  <c r="R5090" i="1"/>
  <c r="R5112" i="1"/>
  <c r="R5134" i="1"/>
  <c r="R5156" i="1"/>
  <c r="R5178" i="1"/>
  <c r="R5200" i="1"/>
  <c r="R5222" i="1"/>
  <c r="R5244" i="1"/>
  <c r="R5266" i="1"/>
  <c r="R5288" i="1"/>
  <c r="R5310" i="1"/>
  <c r="R5332" i="1"/>
  <c r="R5354" i="1"/>
  <c r="R5376" i="1"/>
  <c r="R5398" i="1"/>
  <c r="R5420" i="1"/>
  <c r="R5442" i="1"/>
  <c r="R5464" i="1"/>
  <c r="R5486" i="1"/>
  <c r="R5508" i="1"/>
  <c r="R5530" i="1"/>
  <c r="R5552" i="1"/>
  <c r="R5574" i="1"/>
  <c r="R5596" i="1"/>
  <c r="R5618" i="1"/>
  <c r="R5640" i="1"/>
  <c r="R5662" i="1"/>
  <c r="R5684" i="1"/>
  <c r="R5706" i="1"/>
  <c r="R5728" i="1"/>
  <c r="R5750" i="1"/>
  <c r="R5772" i="1"/>
  <c r="R5794" i="1"/>
  <c r="R5816" i="1"/>
  <c r="R348" i="1"/>
  <c r="R372" i="1"/>
  <c r="R396" i="1"/>
  <c r="R420" i="1"/>
  <c r="R444" i="1"/>
  <c r="R468" i="1"/>
  <c r="R492" i="1"/>
  <c r="R516" i="1"/>
  <c r="R542" i="1"/>
  <c r="R566" i="1"/>
  <c r="R590" i="1"/>
  <c r="R614" i="1"/>
  <c r="R638" i="1"/>
  <c r="R662" i="1"/>
  <c r="R686" i="1"/>
  <c r="R710" i="1"/>
  <c r="R734" i="1"/>
  <c r="R758" i="1"/>
  <c r="R784" i="1"/>
  <c r="R808" i="1"/>
  <c r="R832" i="1"/>
  <c r="R856" i="1"/>
  <c r="R880" i="1"/>
  <c r="R904" i="1"/>
  <c r="R928" i="1"/>
  <c r="R952" i="1"/>
  <c r="R976" i="1"/>
  <c r="R1000" i="1"/>
  <c r="R1026" i="1"/>
  <c r="R1050" i="1"/>
  <c r="R1074" i="1"/>
  <c r="R1098" i="1"/>
  <c r="R1122" i="1"/>
  <c r="R1146" i="1"/>
  <c r="R1170" i="1"/>
  <c r="R1194" i="1"/>
  <c r="R1218" i="1"/>
  <c r="R1242" i="1"/>
  <c r="R1268" i="1"/>
  <c r="R1292" i="1"/>
  <c r="R1316" i="1"/>
  <c r="R1340" i="1"/>
  <c r="R1364" i="1"/>
  <c r="R1388" i="1"/>
  <c r="R1412" i="1"/>
  <c r="R1436" i="1"/>
  <c r="R1460" i="1"/>
  <c r="R1484" i="1"/>
  <c r="R1510" i="1"/>
  <c r="R1534" i="1"/>
  <c r="R1558" i="1"/>
  <c r="R1582" i="1"/>
  <c r="R1606" i="1"/>
  <c r="R1630" i="1"/>
  <c r="R1654" i="1"/>
  <c r="R1678" i="1"/>
  <c r="R1702" i="1"/>
  <c r="R1726" i="1"/>
  <c r="R1752" i="1"/>
  <c r="R1776" i="1"/>
  <c r="R1800" i="1"/>
  <c r="R1824" i="1"/>
  <c r="R1848" i="1"/>
  <c r="R1872" i="1"/>
  <c r="R1896" i="1"/>
  <c r="R1920" i="1"/>
  <c r="R1944" i="1"/>
  <c r="R1968" i="1"/>
  <c r="R1994" i="1"/>
  <c r="R2018" i="1"/>
  <c r="R2042" i="1"/>
  <c r="R2066" i="1"/>
  <c r="R2090" i="1"/>
  <c r="R2114" i="1"/>
  <c r="R2138" i="1"/>
  <c r="R2162" i="1"/>
  <c r="R2186" i="1"/>
  <c r="R2210" i="1"/>
  <c r="R2236" i="1"/>
  <c r="R2260" i="1"/>
  <c r="R2284" i="1"/>
  <c r="R2308" i="1"/>
  <c r="R2332" i="1"/>
  <c r="R2356" i="1"/>
  <c r="R2380" i="1"/>
  <c r="R2404" i="1"/>
  <c r="R2428" i="1"/>
  <c r="R2452" i="1"/>
  <c r="R2478" i="1"/>
  <c r="R2502" i="1"/>
  <c r="R2526" i="1"/>
  <c r="R2550" i="1"/>
  <c r="R2574" i="1"/>
  <c r="R2598" i="1"/>
  <c r="R2622" i="1"/>
  <c r="R2646" i="1"/>
  <c r="R2669" i="1"/>
  <c r="R2692" i="1"/>
  <c r="R2715" i="1"/>
  <c r="R2737" i="1"/>
  <c r="R2759" i="1"/>
  <c r="R2781" i="1"/>
  <c r="R2803" i="1"/>
  <c r="R2825" i="1"/>
  <c r="R2847" i="1"/>
  <c r="R2869" i="1"/>
  <c r="R2891" i="1"/>
  <c r="R2913" i="1"/>
  <c r="R2935" i="1"/>
  <c r="R2957" i="1"/>
  <c r="R2979" i="1"/>
  <c r="R3001" i="1"/>
  <c r="R3023" i="1"/>
  <c r="R3045" i="1"/>
  <c r="R3067" i="1"/>
  <c r="R3089" i="1"/>
  <c r="R3111" i="1"/>
  <c r="R3133" i="1"/>
  <c r="R3155" i="1"/>
  <c r="R3177" i="1"/>
  <c r="R3199" i="1"/>
  <c r="R3221" i="1"/>
  <c r="R3243" i="1"/>
  <c r="R3265" i="1"/>
  <c r="R3287" i="1"/>
  <c r="R3309" i="1"/>
  <c r="R3331" i="1"/>
  <c r="R3353" i="1"/>
  <c r="R3375" i="1"/>
  <c r="R3397" i="1"/>
  <c r="R3419" i="1"/>
  <c r="R3441" i="1"/>
  <c r="R3463" i="1"/>
  <c r="R3485" i="1"/>
  <c r="R3507" i="1"/>
  <c r="R3529" i="1"/>
  <c r="R3551" i="1"/>
  <c r="R3573" i="1"/>
  <c r="R3595" i="1"/>
  <c r="R3617" i="1"/>
  <c r="R3639" i="1"/>
  <c r="R3661" i="1"/>
  <c r="R3683" i="1"/>
  <c r="R3705" i="1"/>
  <c r="R3727" i="1"/>
  <c r="R3749" i="1"/>
  <c r="R3771" i="1"/>
  <c r="R3793" i="1"/>
  <c r="R3815" i="1"/>
  <c r="R3837" i="1"/>
  <c r="R3859" i="1"/>
  <c r="R3881" i="1"/>
  <c r="R3903" i="1"/>
  <c r="R3925" i="1"/>
  <c r="R3947" i="1"/>
  <c r="R3969" i="1"/>
  <c r="R3991" i="1"/>
  <c r="R4013" i="1"/>
  <c r="R4035" i="1"/>
  <c r="R4057" i="1"/>
  <c r="R4079" i="1"/>
  <c r="R4101" i="1"/>
  <c r="R4123" i="1"/>
  <c r="R4145" i="1"/>
  <c r="R4167" i="1"/>
  <c r="R4189" i="1"/>
  <c r="R4211" i="1"/>
  <c r="R4233" i="1"/>
  <c r="R4255" i="1"/>
  <c r="R4277" i="1"/>
  <c r="R4299" i="1"/>
  <c r="R4321" i="1"/>
  <c r="R4343" i="1"/>
  <c r="R4365" i="1"/>
  <c r="R4387" i="1"/>
  <c r="R4409" i="1"/>
  <c r="R4431" i="1"/>
  <c r="R4453" i="1"/>
  <c r="R4475" i="1"/>
  <c r="R4497" i="1"/>
  <c r="R4519" i="1"/>
  <c r="R4541" i="1"/>
  <c r="R4563" i="1"/>
  <c r="R4585" i="1"/>
  <c r="R4607" i="1"/>
  <c r="R4629" i="1"/>
  <c r="R4651" i="1"/>
  <c r="R4673" i="1"/>
  <c r="R4695" i="1"/>
  <c r="R4717" i="1"/>
  <c r="R4739" i="1"/>
  <c r="R4761" i="1"/>
  <c r="R4783" i="1"/>
  <c r="R4805" i="1"/>
  <c r="R4827" i="1"/>
  <c r="R4849" i="1"/>
  <c r="R4871" i="1"/>
  <c r="R4893" i="1"/>
  <c r="R4915" i="1"/>
  <c r="R4937" i="1"/>
  <c r="R4959" i="1"/>
  <c r="R4981" i="1"/>
  <c r="R5003" i="1"/>
  <c r="R5025" i="1"/>
  <c r="R5047" i="1"/>
  <c r="R5069" i="1"/>
  <c r="R5091" i="1"/>
  <c r="R5113" i="1"/>
  <c r="R5135" i="1"/>
  <c r="R5157" i="1"/>
  <c r="R5179" i="1"/>
  <c r="R5201" i="1"/>
  <c r="R5223" i="1"/>
  <c r="R5245" i="1"/>
  <c r="R5267" i="1"/>
  <c r="R5289" i="1"/>
  <c r="R5311" i="1"/>
  <c r="R5333" i="1"/>
  <c r="R5355" i="1"/>
  <c r="R5377" i="1"/>
  <c r="R5399" i="1"/>
  <c r="R5421" i="1"/>
  <c r="R5443" i="1"/>
  <c r="R5465" i="1"/>
  <c r="R5487" i="1"/>
  <c r="R5509" i="1"/>
  <c r="R5531" i="1"/>
  <c r="R8" i="1"/>
  <c r="R32" i="1"/>
  <c r="R58" i="1"/>
  <c r="R82" i="1"/>
  <c r="R106" i="1"/>
  <c r="R130" i="1"/>
  <c r="R154" i="1"/>
  <c r="R178" i="1"/>
  <c r="R202" i="1"/>
  <c r="R226" i="1"/>
  <c r="R250" i="1"/>
  <c r="R274" i="1"/>
  <c r="R300" i="1"/>
  <c r="R9" i="1"/>
  <c r="R37" i="1"/>
  <c r="R63" i="1"/>
  <c r="R89" i="1"/>
  <c r="R115" i="1"/>
  <c r="R141" i="1"/>
  <c r="R169" i="1"/>
  <c r="R195" i="1"/>
  <c r="R221" i="1"/>
  <c r="R247" i="1"/>
  <c r="R277" i="1"/>
  <c r="R303" i="1"/>
  <c r="R328" i="1"/>
  <c r="R354" i="1"/>
  <c r="R380" i="1"/>
  <c r="R406" i="1"/>
  <c r="R434" i="1"/>
  <c r="R460" i="1"/>
  <c r="R486" i="1"/>
  <c r="R512" i="1"/>
  <c r="R538" i="1"/>
  <c r="R568" i="1"/>
  <c r="R594" i="1"/>
  <c r="R620" i="1"/>
  <c r="R646" i="1"/>
  <c r="R674" i="1"/>
  <c r="R700" i="1"/>
  <c r="R726" i="1"/>
  <c r="R752" i="1"/>
  <c r="R778" i="1"/>
  <c r="R806" i="1"/>
  <c r="R834" i="1"/>
  <c r="R860" i="1"/>
  <c r="R886" i="1"/>
  <c r="R912" i="1"/>
  <c r="R940" i="1"/>
  <c r="R966" i="1"/>
  <c r="R992" i="1"/>
  <c r="R1018" i="1"/>
  <c r="R1044" i="1"/>
  <c r="R1072" i="1"/>
  <c r="R1100" i="1"/>
  <c r="R1126" i="1"/>
  <c r="R1152" i="1"/>
  <c r="R1180" i="1"/>
  <c r="R1206" i="1"/>
  <c r="R1232" i="1"/>
  <c r="R1258" i="1"/>
  <c r="R1284" i="1"/>
  <c r="R1312" i="1"/>
  <c r="R1338" i="1"/>
  <c r="R1366" i="1"/>
  <c r="R1392" i="1"/>
  <c r="R1418" i="1"/>
  <c r="R1446" i="1"/>
  <c r="R1472" i="1"/>
  <c r="R1498" i="1"/>
  <c r="R1524" i="1"/>
  <c r="R1550" i="1"/>
  <c r="R1578" i="1"/>
  <c r="R1604" i="1"/>
  <c r="R1632" i="1"/>
  <c r="R1658" i="1"/>
  <c r="R1686" i="1"/>
  <c r="R1712" i="1"/>
  <c r="R1738" i="1"/>
  <c r="R1764" i="1"/>
  <c r="R1790" i="1"/>
  <c r="R1818" i="1"/>
  <c r="R1844" i="1"/>
  <c r="R1870" i="1"/>
  <c r="R1898" i="1"/>
  <c r="R1924" i="1"/>
  <c r="R1952" i="1"/>
  <c r="R1978" i="1"/>
  <c r="R2004" i="1"/>
  <c r="R2030" i="1"/>
  <c r="R2056" i="1"/>
  <c r="R2084" i="1"/>
  <c r="R2110" i="1"/>
  <c r="R2136" i="1"/>
  <c r="R2164" i="1"/>
  <c r="R2192" i="1"/>
  <c r="R2218" i="1"/>
  <c r="R2244" i="1"/>
  <c r="R2270" i="1"/>
  <c r="R2296" i="1"/>
  <c r="R2324" i="1"/>
  <c r="R2350" i="1"/>
  <c r="R2376" i="1"/>
  <c r="R2402" i="1"/>
  <c r="R2430" i="1"/>
  <c r="R2458" i="1"/>
  <c r="R2484" i="1"/>
  <c r="R2510" i="1"/>
  <c r="R2536" i="1"/>
  <c r="R2562" i="1"/>
  <c r="R2590" i="1"/>
  <c r="R2616" i="1"/>
  <c r="R2642" i="1"/>
  <c r="R2667" i="1"/>
  <c r="R2694" i="1"/>
  <c r="R2719" i="1"/>
  <c r="R2743" i="1"/>
  <c r="R2767" i="1"/>
  <c r="R2791" i="1"/>
  <c r="R2815" i="1"/>
  <c r="R2839" i="1"/>
  <c r="R2863" i="1"/>
  <c r="R2887" i="1"/>
  <c r="R2911" i="1"/>
  <c r="R2937" i="1"/>
  <c r="R2961" i="1"/>
  <c r="R2985" i="1"/>
  <c r="R3009" i="1"/>
  <c r="R3033" i="1"/>
  <c r="R3057" i="1"/>
  <c r="R3081" i="1"/>
  <c r="R3105" i="1"/>
  <c r="R3129" i="1"/>
  <c r="R3153" i="1"/>
  <c r="R3179" i="1"/>
  <c r="R3203" i="1"/>
  <c r="R3227" i="1"/>
  <c r="R3251" i="1"/>
  <c r="R3275" i="1"/>
  <c r="R3299" i="1"/>
  <c r="R3323" i="1"/>
  <c r="R3347" i="1"/>
  <c r="R3371" i="1"/>
  <c r="R3395" i="1"/>
  <c r="R3421" i="1"/>
  <c r="R3445" i="1"/>
  <c r="R3469" i="1"/>
  <c r="R3493" i="1"/>
  <c r="R3517" i="1"/>
  <c r="R3541" i="1"/>
  <c r="R3565" i="1"/>
  <c r="R3589" i="1"/>
  <c r="R3613" i="1"/>
  <c r="R3637" i="1"/>
  <c r="R3663" i="1"/>
  <c r="R3687" i="1"/>
  <c r="R3711" i="1"/>
  <c r="R3735" i="1"/>
  <c r="R3759" i="1"/>
  <c r="R3783" i="1"/>
  <c r="R3807" i="1"/>
  <c r="R3831" i="1"/>
  <c r="R3855" i="1"/>
  <c r="R3879" i="1"/>
  <c r="R3905" i="1"/>
  <c r="R3929" i="1"/>
  <c r="R3953" i="1"/>
  <c r="R3977" i="1"/>
  <c r="R4001" i="1"/>
  <c r="R4025" i="1"/>
  <c r="R4049" i="1"/>
  <c r="R4073" i="1"/>
  <c r="R4097" i="1"/>
  <c r="R4121" i="1"/>
  <c r="R4147" i="1"/>
  <c r="R4171" i="1"/>
  <c r="R4195" i="1"/>
  <c r="R4219" i="1"/>
  <c r="R4243" i="1"/>
  <c r="R4267" i="1"/>
  <c r="R4291" i="1"/>
  <c r="R4315" i="1"/>
  <c r="R4339" i="1"/>
  <c r="R4363" i="1"/>
  <c r="R4389" i="1"/>
  <c r="R4413" i="1"/>
  <c r="R4437" i="1"/>
  <c r="R4461" i="1"/>
  <c r="R4485" i="1"/>
  <c r="R4509" i="1"/>
  <c r="R4533" i="1"/>
  <c r="R4557" i="1"/>
  <c r="R4581" i="1"/>
  <c r="R4605" i="1"/>
  <c r="R4631" i="1"/>
  <c r="R4655" i="1"/>
  <c r="R4679" i="1"/>
  <c r="R4703" i="1"/>
  <c r="R4727" i="1"/>
  <c r="R4751" i="1"/>
  <c r="R4775" i="1"/>
  <c r="R4799" i="1"/>
  <c r="R4823" i="1"/>
  <c r="R4847" i="1"/>
  <c r="R4873" i="1"/>
  <c r="R4897" i="1"/>
  <c r="R4921" i="1"/>
  <c r="R4945" i="1"/>
  <c r="R4969" i="1"/>
  <c r="R4993" i="1"/>
  <c r="R5017" i="1"/>
  <c r="R5041" i="1"/>
  <c r="R5065" i="1"/>
  <c r="R5089" i="1"/>
  <c r="R5115" i="1"/>
  <c r="R5139" i="1"/>
  <c r="R5163" i="1"/>
  <c r="R5187" i="1"/>
  <c r="R5211" i="1"/>
  <c r="R5235" i="1"/>
  <c r="R5259" i="1"/>
  <c r="R5283" i="1"/>
  <c r="R5307" i="1"/>
  <c r="R5331" i="1"/>
  <c r="R5357" i="1"/>
  <c r="R5381" i="1"/>
  <c r="R5405" i="1"/>
  <c r="R5429" i="1"/>
  <c r="R5453" i="1"/>
  <c r="R5477" i="1"/>
  <c r="R5501" i="1"/>
  <c r="R5525" i="1"/>
  <c r="R5549" i="1"/>
  <c r="R5572" i="1"/>
  <c r="R5595" i="1"/>
  <c r="R5619" i="1"/>
  <c r="R5642" i="1"/>
  <c r="R5665" i="1"/>
  <c r="R5688" i="1"/>
  <c r="R5711" i="1"/>
  <c r="R5734" i="1"/>
  <c r="R5757" i="1"/>
  <c r="R5780" i="1"/>
  <c r="R5803" i="1"/>
  <c r="R10" i="1"/>
  <c r="R38" i="1"/>
  <c r="R64" i="1"/>
  <c r="R90" i="1"/>
  <c r="R116" i="1"/>
  <c r="R142" i="1"/>
  <c r="R170" i="1"/>
  <c r="R196" i="1"/>
  <c r="R222" i="1"/>
  <c r="R248" i="1"/>
  <c r="R278" i="1"/>
  <c r="R304" i="1"/>
  <c r="R329" i="1"/>
  <c r="R355" i="1"/>
  <c r="R381" i="1"/>
  <c r="R409" i="1"/>
  <c r="R435" i="1"/>
  <c r="R461" i="1"/>
  <c r="R487" i="1"/>
  <c r="R513" i="1"/>
  <c r="R543" i="1"/>
  <c r="R569" i="1"/>
  <c r="R595" i="1"/>
  <c r="R621" i="1"/>
  <c r="R647" i="1"/>
  <c r="R675" i="1"/>
  <c r="R701" i="1"/>
  <c r="R727" i="1"/>
  <c r="R753" i="1"/>
  <c r="R779" i="1"/>
  <c r="R809" i="1"/>
  <c r="R835" i="1"/>
  <c r="R861" i="1"/>
  <c r="R887" i="1"/>
  <c r="R915" i="1"/>
  <c r="R941" i="1"/>
  <c r="R967" i="1"/>
  <c r="R993" i="1"/>
  <c r="R1019" i="1"/>
  <c r="R1047" i="1"/>
  <c r="R1075" i="1"/>
  <c r="R1101" i="1"/>
  <c r="R1127" i="1"/>
  <c r="R1153" i="1"/>
  <c r="R1181" i="1"/>
  <c r="R1207" i="1"/>
  <c r="R1233" i="1"/>
  <c r="R1259" i="1"/>
  <c r="R1285" i="1"/>
  <c r="R1313" i="1"/>
  <c r="R1341" i="1"/>
  <c r="R1367" i="1"/>
  <c r="R1393" i="1"/>
  <c r="R1421" i="1"/>
  <c r="R1447" i="1"/>
  <c r="R1473" i="1"/>
  <c r="R1499" i="1"/>
  <c r="R1525" i="1"/>
  <c r="R1553" i="1"/>
  <c r="R1579" i="1"/>
  <c r="R1607" i="1"/>
  <c r="R1633" i="1"/>
  <c r="R1659" i="1"/>
  <c r="R1687" i="1"/>
  <c r="R1713" i="1"/>
  <c r="R1739" i="1"/>
  <c r="R1765" i="1"/>
  <c r="R1791" i="1"/>
  <c r="R1819" i="1"/>
  <c r="R1845" i="1"/>
  <c r="R1873" i="1"/>
  <c r="R1899" i="1"/>
  <c r="R1927" i="1"/>
  <c r="R1953" i="1"/>
  <c r="R1979" i="1"/>
  <c r="R2005" i="1"/>
  <c r="R2031" i="1"/>
  <c r="R2059" i="1"/>
  <c r="R2085" i="1"/>
  <c r="R2111" i="1"/>
  <c r="R2139" i="1"/>
  <c r="R2165" i="1"/>
  <c r="R2193" i="1"/>
  <c r="R2219" i="1"/>
  <c r="R2245" i="1"/>
  <c r="R2271" i="1"/>
  <c r="R2297" i="1"/>
  <c r="R2325" i="1"/>
  <c r="R2351" i="1"/>
  <c r="R2377" i="1"/>
  <c r="R2405" i="1"/>
  <c r="R2433" i="1"/>
  <c r="R2459" i="1"/>
  <c r="R2485" i="1"/>
  <c r="R2511" i="1"/>
  <c r="R2537" i="1"/>
  <c r="R2565" i="1"/>
  <c r="R2591" i="1"/>
  <c r="R2617" i="1"/>
  <c r="R2643" i="1"/>
  <c r="R2670" i="1"/>
  <c r="R2696" i="1"/>
  <c r="R2720" i="1"/>
  <c r="R2744" i="1"/>
  <c r="R2768" i="1"/>
  <c r="R2792" i="1"/>
  <c r="R2816" i="1"/>
  <c r="R2840" i="1"/>
  <c r="R2864" i="1"/>
  <c r="R2888" i="1"/>
  <c r="R2914" i="1"/>
  <c r="R2938" i="1"/>
  <c r="R2962" i="1"/>
  <c r="R2986" i="1"/>
  <c r="R3010" i="1"/>
  <c r="R3034" i="1"/>
  <c r="R3058" i="1"/>
  <c r="R3082" i="1"/>
  <c r="R3106" i="1"/>
  <c r="R3130" i="1"/>
  <c r="R3156" i="1"/>
  <c r="R3180" i="1"/>
  <c r="R3204" i="1"/>
  <c r="R3228" i="1"/>
  <c r="R3252" i="1"/>
  <c r="R3276" i="1"/>
  <c r="R3300" i="1"/>
  <c r="R3324" i="1"/>
  <c r="R3348" i="1"/>
  <c r="R3372" i="1"/>
  <c r="R3398" i="1"/>
  <c r="R3422" i="1"/>
  <c r="R3446" i="1"/>
  <c r="R3470" i="1"/>
  <c r="R3494" i="1"/>
  <c r="R3518" i="1"/>
  <c r="R3542" i="1"/>
  <c r="R3566" i="1"/>
  <c r="R3590" i="1"/>
  <c r="R3614" i="1"/>
  <c r="R3640" i="1"/>
  <c r="R3664" i="1"/>
  <c r="R3688" i="1"/>
  <c r="R3712" i="1"/>
  <c r="R3736" i="1"/>
  <c r="R3760" i="1"/>
  <c r="R3784" i="1"/>
  <c r="R3808" i="1"/>
  <c r="R3832" i="1"/>
  <c r="R3856" i="1"/>
  <c r="R3882" i="1"/>
  <c r="R3906" i="1"/>
  <c r="R3930" i="1"/>
  <c r="R3954" i="1"/>
  <c r="R3978" i="1"/>
  <c r="R4002" i="1"/>
  <c r="R4026" i="1"/>
  <c r="R4050" i="1"/>
  <c r="R4074" i="1"/>
  <c r="R4098" i="1"/>
  <c r="R4124" i="1"/>
  <c r="R4148" i="1"/>
  <c r="R4172" i="1"/>
  <c r="R4196" i="1"/>
  <c r="R4220" i="1"/>
  <c r="R4244" i="1"/>
  <c r="R4268" i="1"/>
  <c r="R4292" i="1"/>
  <c r="R4316" i="1"/>
  <c r="R4340" i="1"/>
  <c r="R4366" i="1"/>
  <c r="R4390" i="1"/>
  <c r="R4414" i="1"/>
  <c r="R4438" i="1"/>
  <c r="R4462" i="1"/>
  <c r="R4486" i="1"/>
  <c r="R4510" i="1"/>
  <c r="R4534" i="1"/>
  <c r="R4558" i="1"/>
  <c r="R4582" i="1"/>
  <c r="R4608" i="1"/>
  <c r="R4632" i="1"/>
  <c r="R4656" i="1"/>
  <c r="R4680" i="1"/>
  <c r="R4704" i="1"/>
  <c r="R4728" i="1"/>
  <c r="R4752" i="1"/>
  <c r="R4776" i="1"/>
  <c r="R4800" i="1"/>
  <c r="R4824" i="1"/>
  <c r="R4850" i="1"/>
  <c r="R4874" i="1"/>
  <c r="R4898" i="1"/>
  <c r="R4922" i="1"/>
  <c r="R4946" i="1"/>
  <c r="R4970" i="1"/>
  <c r="R4994" i="1"/>
  <c r="R5018" i="1"/>
  <c r="R5042" i="1"/>
  <c r="R5066" i="1"/>
  <c r="R5092" i="1"/>
  <c r="R5116" i="1"/>
  <c r="R5140" i="1"/>
  <c r="R5164" i="1"/>
  <c r="R5188" i="1"/>
  <c r="R5212" i="1"/>
  <c r="R5236" i="1"/>
  <c r="R5260" i="1"/>
  <c r="R5284" i="1"/>
  <c r="R5308" i="1"/>
  <c r="R5334" i="1"/>
  <c r="R5358" i="1"/>
  <c r="R5382" i="1"/>
  <c r="R5406" i="1"/>
  <c r="R5430" i="1"/>
  <c r="R5454" i="1"/>
  <c r="R5478" i="1"/>
  <c r="R5502" i="1"/>
  <c r="R5526" i="1"/>
  <c r="R5550" i="1"/>
  <c r="R5573" i="1"/>
  <c r="R5597" i="1"/>
  <c r="R5620" i="1"/>
  <c r="R5643" i="1"/>
  <c r="R5666" i="1"/>
  <c r="R5689" i="1"/>
  <c r="R5712" i="1"/>
  <c r="R5735" i="1"/>
  <c r="R5758" i="1"/>
  <c r="R5781" i="1"/>
  <c r="R5804" i="1"/>
  <c r="R13" i="1"/>
  <c r="R39" i="1"/>
  <c r="R65" i="1"/>
  <c r="R91" i="1"/>
  <c r="R117" i="1"/>
  <c r="R145" i="1"/>
  <c r="R171" i="1"/>
  <c r="R197" i="1"/>
  <c r="R223" i="1"/>
  <c r="R251" i="1"/>
  <c r="R279" i="1"/>
  <c r="R305" i="1"/>
  <c r="R330" i="1"/>
  <c r="R356" i="1"/>
  <c r="R382" i="1"/>
  <c r="R410" i="1"/>
  <c r="R436" i="1"/>
  <c r="R462" i="1"/>
  <c r="R488" i="1"/>
  <c r="R514" i="1"/>
  <c r="R544" i="1"/>
  <c r="R570" i="1"/>
  <c r="R596" i="1"/>
  <c r="R622" i="1"/>
  <c r="R648" i="1"/>
  <c r="R676" i="1"/>
  <c r="R702" i="1"/>
  <c r="R728" i="1"/>
  <c r="R754" i="1"/>
  <c r="R780" i="1"/>
  <c r="R810" i="1"/>
  <c r="R836" i="1"/>
  <c r="R862" i="1"/>
  <c r="R888" i="1"/>
  <c r="R916" i="1"/>
  <c r="R942" i="1"/>
  <c r="R968" i="1"/>
  <c r="R994" i="1"/>
  <c r="R1020" i="1"/>
  <c r="R1048" i="1"/>
  <c r="R1076" i="1"/>
  <c r="R1102" i="1"/>
  <c r="R1128" i="1"/>
  <c r="R1154" i="1"/>
  <c r="R1182" i="1"/>
  <c r="R1208" i="1"/>
  <c r="R1234" i="1"/>
  <c r="R1260" i="1"/>
  <c r="R1286" i="1"/>
  <c r="R1314" i="1"/>
  <c r="R1342" i="1"/>
  <c r="R1368" i="1"/>
  <c r="R1394" i="1"/>
  <c r="R1422" i="1"/>
  <c r="R1448" i="1"/>
  <c r="R1474" i="1"/>
  <c r="R1500" i="1"/>
  <c r="R1526" i="1"/>
  <c r="R1554" i="1"/>
  <c r="R1580" i="1"/>
  <c r="R1608" i="1"/>
  <c r="R1634" i="1"/>
  <c r="R1660" i="1"/>
  <c r="R1688" i="1"/>
  <c r="R1714" i="1"/>
  <c r="R1740" i="1"/>
  <c r="R1766" i="1"/>
  <c r="R1792" i="1"/>
  <c r="R1820" i="1"/>
  <c r="R1846" i="1"/>
  <c r="R1874" i="1"/>
  <c r="R1900" i="1"/>
  <c r="R1928" i="1"/>
  <c r="R1954" i="1"/>
  <c r="R1980" i="1"/>
  <c r="R2006" i="1"/>
  <c r="R2032" i="1"/>
  <c r="R2060" i="1"/>
  <c r="R2086" i="1"/>
  <c r="R2112" i="1"/>
  <c r="R2140" i="1"/>
  <c r="R2166" i="1"/>
  <c r="R2194" i="1"/>
  <c r="R2220" i="1"/>
  <c r="R2246" i="1"/>
  <c r="R2272" i="1"/>
  <c r="R2298" i="1"/>
  <c r="R2326" i="1"/>
  <c r="R2352" i="1"/>
  <c r="R2378" i="1"/>
  <c r="R2406" i="1"/>
  <c r="R2434" i="1"/>
  <c r="R2460" i="1"/>
  <c r="R2486" i="1"/>
  <c r="R2512" i="1"/>
  <c r="R2538" i="1"/>
  <c r="R2566" i="1"/>
  <c r="R2592" i="1"/>
  <c r="R2618" i="1"/>
  <c r="R2644" i="1"/>
  <c r="R2671" i="1"/>
  <c r="R2697" i="1"/>
  <c r="R2721" i="1"/>
  <c r="R2745" i="1"/>
  <c r="R2769" i="1"/>
  <c r="R2793" i="1"/>
  <c r="R2817" i="1"/>
  <c r="R2841" i="1"/>
  <c r="R2865" i="1"/>
  <c r="R2889" i="1"/>
  <c r="R2915" i="1"/>
  <c r="R2939" i="1"/>
  <c r="R2963" i="1"/>
  <c r="R2987" i="1"/>
  <c r="R3011" i="1"/>
  <c r="R3035" i="1"/>
  <c r="R3059" i="1"/>
  <c r="R3083" i="1"/>
  <c r="R3107" i="1"/>
  <c r="R3131" i="1"/>
  <c r="R3157" i="1"/>
  <c r="R3181" i="1"/>
  <c r="R3205" i="1"/>
  <c r="R3229" i="1"/>
  <c r="R3253" i="1"/>
  <c r="R3277" i="1"/>
  <c r="R3301" i="1"/>
  <c r="R3325" i="1"/>
  <c r="R3349" i="1"/>
  <c r="R3373" i="1"/>
  <c r="R3399" i="1"/>
  <c r="R3423" i="1"/>
  <c r="R3447" i="1"/>
  <c r="R3471" i="1"/>
  <c r="R3495" i="1"/>
  <c r="R3519" i="1"/>
  <c r="R3543" i="1"/>
  <c r="R3567" i="1"/>
  <c r="R3591" i="1"/>
  <c r="R3615" i="1"/>
  <c r="R3641" i="1"/>
  <c r="R3665" i="1"/>
  <c r="R3689" i="1"/>
  <c r="R3713" i="1"/>
  <c r="R3737" i="1"/>
  <c r="R3761" i="1"/>
  <c r="R3785" i="1"/>
  <c r="R3809" i="1"/>
  <c r="R3833" i="1"/>
  <c r="R3857" i="1"/>
  <c r="R3883" i="1"/>
  <c r="R3907" i="1"/>
  <c r="R3931" i="1"/>
  <c r="R3955" i="1"/>
  <c r="R3979" i="1"/>
  <c r="R4003" i="1"/>
  <c r="R4027" i="1"/>
  <c r="R4051" i="1"/>
  <c r="R4075" i="1"/>
  <c r="R4099" i="1"/>
  <c r="R4125" i="1"/>
  <c r="R4149" i="1"/>
  <c r="R4173" i="1"/>
  <c r="R4197" i="1"/>
  <c r="R4221" i="1"/>
  <c r="R4245" i="1"/>
  <c r="R4269" i="1"/>
  <c r="R4293" i="1"/>
  <c r="R4317" i="1"/>
  <c r="R4341" i="1"/>
  <c r="R4367" i="1"/>
  <c r="R4391" i="1"/>
  <c r="R4415" i="1"/>
  <c r="R4439" i="1"/>
  <c r="R4463" i="1"/>
  <c r="R4487" i="1"/>
  <c r="R4511" i="1"/>
  <c r="R4535" i="1"/>
  <c r="R4559" i="1"/>
  <c r="R4583" i="1"/>
  <c r="R4609" i="1"/>
  <c r="R4633" i="1"/>
  <c r="R4657" i="1"/>
  <c r="R4681" i="1"/>
  <c r="R4705" i="1"/>
  <c r="R4729" i="1"/>
  <c r="R4753" i="1"/>
  <c r="R4777" i="1"/>
  <c r="R4801" i="1"/>
  <c r="R4825" i="1"/>
  <c r="R4851" i="1"/>
  <c r="R4875" i="1"/>
  <c r="R4899" i="1"/>
  <c r="R4923" i="1"/>
  <c r="R4947" i="1"/>
  <c r="R4971" i="1"/>
  <c r="R4995" i="1"/>
  <c r="R5019" i="1"/>
  <c r="R5043" i="1"/>
  <c r="R5067" i="1"/>
  <c r="R5093" i="1"/>
  <c r="R5117" i="1"/>
  <c r="R5141" i="1"/>
  <c r="R5165" i="1"/>
  <c r="R5189" i="1"/>
  <c r="R5213" i="1"/>
  <c r="R5237" i="1"/>
  <c r="R5261" i="1"/>
  <c r="R5285" i="1"/>
  <c r="R5309" i="1"/>
  <c r="R5335" i="1"/>
  <c r="R5359" i="1"/>
  <c r="R5383" i="1"/>
  <c r="R5407" i="1"/>
  <c r="R5431" i="1"/>
  <c r="R5455" i="1"/>
  <c r="R5479" i="1"/>
  <c r="R5503" i="1"/>
  <c r="R5527" i="1"/>
  <c r="R5551" i="1"/>
  <c r="R5575" i="1"/>
  <c r="R5598" i="1"/>
  <c r="R5621" i="1"/>
  <c r="R5644" i="1"/>
  <c r="R5667" i="1"/>
  <c r="R5690" i="1"/>
  <c r="R5713" i="1"/>
  <c r="R5736" i="1"/>
  <c r="R5759" i="1"/>
  <c r="R5782" i="1"/>
  <c r="R5805" i="1"/>
  <c r="R3" i="1"/>
  <c r="R36" i="1"/>
  <c r="R68" i="1"/>
  <c r="R97" i="1"/>
  <c r="R128" i="1"/>
  <c r="R159" i="1"/>
  <c r="R190" i="1"/>
  <c r="R219" i="1"/>
  <c r="R255" i="1"/>
  <c r="R284" i="1"/>
  <c r="R313" i="1"/>
  <c r="R343" i="1"/>
  <c r="R374" i="1"/>
  <c r="R403" i="1"/>
  <c r="R437" i="1"/>
  <c r="R466" i="1"/>
  <c r="R499" i="1"/>
  <c r="R528" i="1"/>
  <c r="R557" i="1"/>
  <c r="R588" i="1"/>
  <c r="R619" i="1"/>
  <c r="R653" i="1"/>
  <c r="R682" i="1"/>
  <c r="R713" i="1"/>
  <c r="R744" i="1"/>
  <c r="R773" i="1"/>
  <c r="R802" i="1"/>
  <c r="R838" i="1"/>
  <c r="R867" i="1"/>
  <c r="R898" i="1"/>
  <c r="R929" i="1"/>
  <c r="R960" i="1"/>
  <c r="R989" i="1"/>
  <c r="R1021" i="1"/>
  <c r="R1054" i="1"/>
  <c r="R1083" i="1"/>
  <c r="R1114" i="1"/>
  <c r="R1143" i="1"/>
  <c r="R1174" i="1"/>
  <c r="R1205" i="1"/>
  <c r="R1237" i="1"/>
  <c r="R1270" i="1"/>
  <c r="R1299" i="1"/>
  <c r="R1328" i="1"/>
  <c r="R1359" i="1"/>
  <c r="R1390" i="1"/>
  <c r="R1424" i="1"/>
  <c r="R1453" i="1"/>
  <c r="R1482" i="1"/>
  <c r="R1515" i="1"/>
  <c r="R1544" i="1"/>
  <c r="R1575" i="1"/>
  <c r="R1609" i="1"/>
  <c r="R1638" i="1"/>
  <c r="R1669" i="1"/>
  <c r="R1698" i="1"/>
  <c r="R1731" i="1"/>
  <c r="R1760" i="1"/>
  <c r="R1789" i="1"/>
  <c r="R1825" i="1"/>
  <c r="R1854" i="1"/>
  <c r="R1885" i="1"/>
  <c r="R1914" i="1"/>
  <c r="R1945" i="1"/>
  <c r="R1976" i="1"/>
  <c r="R2008" i="1"/>
  <c r="R2039" i="1"/>
  <c r="R2070" i="1"/>
  <c r="R2099" i="1"/>
  <c r="R2130" i="1"/>
  <c r="R2159" i="1"/>
  <c r="R2195" i="1"/>
  <c r="R2224" i="1"/>
  <c r="R2253" i="1"/>
  <c r="R2286" i="1"/>
  <c r="R2315" i="1"/>
  <c r="R2346" i="1"/>
  <c r="R2375" i="1"/>
  <c r="R2411" i="1"/>
  <c r="R2440" i="1"/>
  <c r="R2469" i="1"/>
  <c r="R2500" i="1"/>
  <c r="R2531" i="1"/>
  <c r="R2560" i="1"/>
  <c r="R2594" i="1"/>
  <c r="R2625" i="1"/>
  <c r="R2655" i="1"/>
  <c r="R2683" i="1"/>
  <c r="R2711" i="1"/>
  <c r="R2740" i="1"/>
  <c r="R2770" i="1"/>
  <c r="R2797" i="1"/>
  <c r="R2826" i="1"/>
  <c r="R2853" i="1"/>
  <c r="R2880" i="1"/>
  <c r="R2907" i="1"/>
  <c r="R2936" i="1"/>
  <c r="R2966" i="1"/>
  <c r="R2993" i="1"/>
  <c r="R3020" i="1"/>
  <c r="R3049" i="1"/>
  <c r="R3076" i="1"/>
  <c r="R3103" i="1"/>
  <c r="R3135" i="1"/>
  <c r="R3162" i="1"/>
  <c r="R3189" i="1"/>
  <c r="R3216" i="1"/>
  <c r="R3245" i="1"/>
  <c r="R3272" i="1"/>
  <c r="R3302" i="1"/>
  <c r="R3329" i="1"/>
  <c r="R3358" i="1"/>
  <c r="R3385" i="1"/>
  <c r="R3412" i="1"/>
  <c r="R3439" i="1"/>
  <c r="R3468" i="1"/>
  <c r="R3498" i="1"/>
  <c r="R3525" i="1"/>
  <c r="R3554" i="1"/>
  <c r="R3581" i="1"/>
  <c r="R3608" i="1"/>
  <c r="R3635" i="1"/>
  <c r="R3667" i="1"/>
  <c r="R3694" i="1"/>
  <c r="R3721" i="1"/>
  <c r="R3750" i="1"/>
  <c r="R3777" i="1"/>
  <c r="R3804" i="1"/>
  <c r="R3834" i="1"/>
  <c r="R3863" i="1"/>
  <c r="R3890" i="1"/>
  <c r="R3917" i="1"/>
  <c r="R3944" i="1"/>
  <c r="R3973" i="1"/>
  <c r="R4000" i="1"/>
  <c r="R4030" i="1"/>
  <c r="R4059" i="1"/>
  <c r="R4086" i="1"/>
  <c r="R4113" i="1"/>
  <c r="R4140" i="1"/>
  <c r="R4169" i="1"/>
  <c r="R4199" i="1"/>
  <c r="R4226" i="1"/>
  <c r="R4253" i="1"/>
  <c r="R4282" i="1"/>
  <c r="R4309" i="1"/>
  <c r="R4336" i="1"/>
  <c r="R4368" i="1"/>
  <c r="R4395" i="1"/>
  <c r="R4422" i="1"/>
  <c r="R4449" i="1"/>
  <c r="R4478" i="1"/>
  <c r="R4505" i="1"/>
  <c r="R4532" i="1"/>
  <c r="R4564" i="1"/>
  <c r="R4591" i="1"/>
  <c r="R4618" i="1"/>
  <c r="R4645" i="1"/>
  <c r="R4674" i="1"/>
  <c r="R4701" i="1"/>
  <c r="R4731" i="1"/>
  <c r="R4758" i="1"/>
  <c r="R4787" i="1"/>
  <c r="R4814" i="1"/>
  <c r="R4841" i="1"/>
  <c r="R4868" i="1"/>
  <c r="R4900" i="1"/>
  <c r="R4927" i="1"/>
  <c r="R4954" i="1"/>
  <c r="R4983" i="1"/>
  <c r="R5010" i="1"/>
  <c r="R5037" i="1"/>
  <c r="R5064" i="1"/>
  <c r="R5096" i="1"/>
  <c r="R5123" i="1"/>
  <c r="R5150" i="1"/>
  <c r="R5177" i="1"/>
  <c r="R5206" i="1"/>
  <c r="R5233" i="1"/>
  <c r="R5263" i="1"/>
  <c r="R5292" i="1"/>
  <c r="R5319" i="1"/>
  <c r="R5346" i="1"/>
  <c r="R5373" i="1"/>
  <c r="R5402" i="1"/>
  <c r="R5432" i="1"/>
  <c r="R5459" i="1"/>
  <c r="R5488" i="1"/>
  <c r="R5515" i="1"/>
  <c r="R5542" i="1"/>
  <c r="R5568" i="1"/>
  <c r="R5594" i="1"/>
  <c r="R5624" i="1"/>
  <c r="R5650" i="1"/>
  <c r="R5676" i="1"/>
  <c r="R5702" i="1"/>
  <c r="R5729" i="1"/>
  <c r="R5755" i="1"/>
  <c r="R5784" i="1"/>
  <c r="R5810" i="1"/>
  <c r="R4" i="1"/>
  <c r="R40" i="1"/>
  <c r="R69" i="1"/>
  <c r="R98" i="1"/>
  <c r="R131" i="1"/>
  <c r="R160" i="1"/>
  <c r="R191" i="1"/>
  <c r="R220" i="1"/>
  <c r="R256" i="1"/>
  <c r="R285" i="1"/>
  <c r="R314" i="1"/>
  <c r="R344" i="1"/>
  <c r="R375" i="1"/>
  <c r="R404" i="1"/>
  <c r="R438" i="1"/>
  <c r="R469" i="1"/>
  <c r="R500" i="1"/>
  <c r="R529" i="1"/>
  <c r="R558" i="1"/>
  <c r="R591" i="1"/>
  <c r="R623" i="1"/>
  <c r="R654" i="1"/>
  <c r="R683" i="1"/>
  <c r="R714" i="1"/>
  <c r="R745" i="1"/>
  <c r="R774" i="1"/>
  <c r="R805" i="1"/>
  <c r="R839" i="1"/>
  <c r="R868" i="1"/>
  <c r="R899" i="1"/>
  <c r="R930" i="1"/>
  <c r="R961" i="1"/>
  <c r="R990" i="1"/>
  <c r="R1022" i="1"/>
  <c r="R1055" i="1"/>
  <c r="R1084" i="1"/>
  <c r="R1115" i="1"/>
  <c r="R1144" i="1"/>
  <c r="R1175" i="1"/>
  <c r="R1209" i="1"/>
  <c r="R1238" i="1"/>
  <c r="R1271" i="1"/>
  <c r="R1300" i="1"/>
  <c r="R1329" i="1"/>
  <c r="R1360" i="1"/>
  <c r="R1391" i="1"/>
  <c r="R1425" i="1"/>
  <c r="R1454" i="1"/>
  <c r="R1487" i="1"/>
  <c r="R1516" i="1"/>
  <c r="R1545" i="1"/>
  <c r="R1576" i="1"/>
  <c r="R1610" i="1"/>
  <c r="R1641" i="1"/>
  <c r="R1670" i="1"/>
  <c r="R1699" i="1"/>
  <c r="R1732" i="1"/>
  <c r="R1761" i="1"/>
  <c r="R1795" i="1"/>
  <c r="R1826" i="1"/>
  <c r="R1855" i="1"/>
  <c r="R1886" i="1"/>
  <c r="R1915" i="1"/>
  <c r="R1946" i="1"/>
  <c r="R1977" i="1"/>
  <c r="R2009" i="1"/>
  <c r="R2040" i="1"/>
  <c r="R2071" i="1"/>
  <c r="R2100" i="1"/>
  <c r="R2131" i="1"/>
  <c r="R2160" i="1"/>
  <c r="R2196" i="1"/>
  <c r="R2225" i="1"/>
  <c r="R2254" i="1"/>
  <c r="R2287" i="1"/>
  <c r="R2316" i="1"/>
  <c r="R2347" i="1"/>
  <c r="R2381" i="1"/>
  <c r="R2412" i="1"/>
  <c r="R2441" i="1"/>
  <c r="R2470" i="1"/>
  <c r="R2503" i="1"/>
  <c r="R2532" i="1"/>
  <c r="R2561" i="1"/>
  <c r="R2595" i="1"/>
  <c r="R2626" i="1"/>
  <c r="R2656" i="1"/>
  <c r="R2684" i="1"/>
  <c r="R2712" i="1"/>
  <c r="R2741" i="1"/>
  <c r="R2771" i="1"/>
  <c r="R2798" i="1"/>
  <c r="R2827" i="1"/>
  <c r="R2854" i="1"/>
  <c r="R2881" i="1"/>
  <c r="R2908" i="1"/>
  <c r="R2940" i="1"/>
  <c r="R2967" i="1"/>
  <c r="R2994" i="1"/>
  <c r="R3021" i="1"/>
  <c r="R3050" i="1"/>
  <c r="R3077" i="1"/>
  <c r="R3104" i="1"/>
  <c r="R3136" i="1"/>
  <c r="R3163" i="1"/>
  <c r="R3190" i="1"/>
  <c r="R3217" i="1"/>
  <c r="R3246" i="1"/>
  <c r="R3273" i="1"/>
  <c r="R3303" i="1"/>
  <c r="R3332" i="1"/>
  <c r="R3359" i="1"/>
  <c r="R3386" i="1"/>
  <c r="R3413" i="1"/>
  <c r="R3442" i="1"/>
  <c r="R3472" i="1"/>
  <c r="R3499" i="1"/>
  <c r="R3526" i="1"/>
  <c r="R3555" i="1"/>
  <c r="R3582" i="1"/>
  <c r="R3609" i="1"/>
  <c r="R3636" i="1"/>
  <c r="R3668" i="1"/>
  <c r="R3695" i="1"/>
  <c r="R3722" i="1"/>
  <c r="R3751" i="1"/>
  <c r="R3778" i="1"/>
  <c r="R3805" i="1"/>
  <c r="R3835" i="1"/>
  <c r="R3864" i="1"/>
  <c r="R3891" i="1"/>
  <c r="R3918" i="1"/>
  <c r="R3945" i="1"/>
  <c r="R3974" i="1"/>
  <c r="R4004" i="1"/>
  <c r="R4031" i="1"/>
  <c r="R4060" i="1"/>
  <c r="R4087" i="1"/>
  <c r="R4114" i="1"/>
  <c r="R4141" i="1"/>
  <c r="R4170" i="1"/>
  <c r="R4200" i="1"/>
  <c r="R4227" i="1"/>
  <c r="R4256" i="1"/>
  <c r="R4283" i="1"/>
  <c r="R4310" i="1"/>
  <c r="R4337" i="1"/>
  <c r="R4369" i="1"/>
  <c r="R4396" i="1"/>
  <c r="R4423" i="1"/>
  <c r="R4450" i="1"/>
  <c r="R4479" i="1"/>
  <c r="R4506" i="1"/>
  <c r="R4536" i="1"/>
  <c r="R4565" i="1"/>
  <c r="R4592" i="1"/>
  <c r="R4619" i="1"/>
  <c r="R4646" i="1"/>
  <c r="R4675" i="1"/>
  <c r="R4702" i="1"/>
  <c r="R4732" i="1"/>
  <c r="R4759" i="1"/>
  <c r="R4788" i="1"/>
  <c r="R4815" i="1"/>
  <c r="R4842" i="1"/>
  <c r="R4869" i="1"/>
  <c r="R4901" i="1"/>
  <c r="R4928" i="1"/>
  <c r="R4955" i="1"/>
  <c r="R4984" i="1"/>
  <c r="R5011" i="1"/>
  <c r="R5038" i="1"/>
  <c r="R5070" i="1"/>
  <c r="R5097" i="1"/>
  <c r="R5124" i="1"/>
  <c r="R5151" i="1"/>
  <c r="R5180" i="1"/>
  <c r="R5207" i="1"/>
  <c r="R5234" i="1"/>
  <c r="R5264" i="1"/>
  <c r="R5293" i="1"/>
  <c r="R5320" i="1"/>
  <c r="R5347" i="1"/>
  <c r="R5374" i="1"/>
  <c r="R5403" i="1"/>
  <c r="R5433" i="1"/>
  <c r="R5460" i="1"/>
  <c r="R5489" i="1"/>
  <c r="R5516" i="1"/>
  <c r="R5543" i="1"/>
  <c r="R5569" i="1"/>
  <c r="R5599" i="1"/>
  <c r="R5625" i="1"/>
  <c r="R5651" i="1"/>
  <c r="R5677" i="1"/>
  <c r="R5703" i="1"/>
  <c r="R5730" i="1"/>
  <c r="R5756" i="1"/>
  <c r="R5785" i="1"/>
  <c r="R5811" i="1"/>
  <c r="R5" i="1"/>
  <c r="R41" i="1"/>
  <c r="R70" i="1"/>
  <c r="R101" i="1"/>
  <c r="R132" i="1"/>
  <c r="R161" i="1"/>
  <c r="R192" i="1"/>
  <c r="R224" i="1"/>
  <c r="R257" i="1"/>
  <c r="R286" i="1"/>
  <c r="R315" i="1"/>
  <c r="R345" i="1"/>
  <c r="R376" i="1"/>
  <c r="R405" i="1"/>
  <c r="R439" i="1"/>
  <c r="R470" i="1"/>
  <c r="R501" i="1"/>
  <c r="R530" i="1"/>
  <c r="R559" i="1"/>
  <c r="R592" i="1"/>
  <c r="R624" i="1"/>
  <c r="R655" i="1"/>
  <c r="R684" i="1"/>
  <c r="R717" i="1"/>
  <c r="R746" i="1"/>
  <c r="R775" i="1"/>
  <c r="R811" i="1"/>
  <c r="R840" i="1"/>
  <c r="R871" i="1"/>
  <c r="R900" i="1"/>
  <c r="R931" i="1"/>
  <c r="R962" i="1"/>
  <c r="R991" i="1"/>
  <c r="R1027" i="1"/>
  <c r="R1056" i="1"/>
  <c r="R1085" i="1"/>
  <c r="R1116" i="1"/>
  <c r="R1147" i="1"/>
  <c r="R1176" i="1"/>
  <c r="R1210" i="1"/>
  <c r="R1239" i="1"/>
  <c r="R1272" i="1"/>
  <c r="R1301" i="1"/>
  <c r="R1330" i="1"/>
  <c r="R1361" i="1"/>
  <c r="R1395" i="1"/>
  <c r="R1426" i="1"/>
  <c r="R1455" i="1"/>
  <c r="R1488" i="1"/>
  <c r="R1517" i="1"/>
  <c r="R1546" i="1"/>
  <c r="R1577" i="1"/>
  <c r="R1611" i="1"/>
  <c r="R1642" i="1"/>
  <c r="R1671" i="1"/>
  <c r="R1700" i="1"/>
  <c r="R1733" i="1"/>
  <c r="R1762" i="1"/>
  <c r="R1796" i="1"/>
  <c r="R1827" i="1"/>
  <c r="R1856" i="1"/>
  <c r="R1887" i="1"/>
  <c r="R1916" i="1"/>
  <c r="R1949" i="1"/>
  <c r="R1981" i="1"/>
  <c r="R2010" i="1"/>
  <c r="R2043" i="1"/>
  <c r="R2072" i="1"/>
  <c r="R2103" i="1"/>
  <c r="R2132" i="1"/>
  <c r="R2163" i="1"/>
  <c r="R2197" i="1"/>
  <c r="R2226" i="1"/>
  <c r="R2257" i="1"/>
  <c r="R2288" i="1"/>
  <c r="R2317" i="1"/>
  <c r="R2348" i="1"/>
  <c r="R2382" i="1"/>
  <c r="R2413" i="1"/>
  <c r="R2442" i="1"/>
  <c r="R2471" i="1"/>
  <c r="R2504" i="1"/>
  <c r="R2533" i="1"/>
  <c r="R2567" i="1"/>
  <c r="R2596" i="1"/>
  <c r="R2627" i="1"/>
  <c r="R2657" i="1"/>
  <c r="R2685" i="1"/>
  <c r="R2713" i="1"/>
  <c r="R2742" i="1"/>
  <c r="R2772" i="1"/>
  <c r="R2799" i="1"/>
  <c r="R2828" i="1"/>
  <c r="R2855" i="1"/>
  <c r="R2882" i="1"/>
  <c r="R2909" i="1"/>
  <c r="R2941" i="1"/>
  <c r="R2968" i="1"/>
  <c r="R2995" i="1"/>
  <c r="R3024" i="1"/>
  <c r="R3051" i="1"/>
  <c r="R3078" i="1"/>
  <c r="R3108" i="1"/>
  <c r="R3137" i="1"/>
  <c r="R3164" i="1"/>
  <c r="R3191" i="1"/>
  <c r="R3218" i="1"/>
  <c r="R3247" i="1"/>
  <c r="R3274" i="1"/>
  <c r="R3304" i="1"/>
  <c r="R3333" i="1"/>
  <c r="R3360" i="1"/>
  <c r="R3387" i="1"/>
  <c r="R3414" i="1"/>
  <c r="R3443" i="1"/>
  <c r="R3473" i="1"/>
  <c r="R3500" i="1"/>
  <c r="R3527" i="1"/>
  <c r="R3556" i="1"/>
  <c r="R3583" i="1"/>
  <c r="R3610" i="1"/>
  <c r="R3642" i="1"/>
  <c r="R3669" i="1"/>
  <c r="R3696" i="1"/>
  <c r="R3723" i="1"/>
  <c r="R3752" i="1"/>
  <c r="R3779" i="1"/>
  <c r="R3806" i="1"/>
  <c r="R3838" i="1"/>
  <c r="R3865" i="1"/>
  <c r="R3892" i="1"/>
  <c r="R3919" i="1"/>
  <c r="R3948" i="1"/>
  <c r="R3975" i="1"/>
  <c r="R4005" i="1"/>
  <c r="R4032" i="1"/>
  <c r="R4061" i="1"/>
  <c r="R4088" i="1"/>
  <c r="R4115" i="1"/>
  <c r="R4142" i="1"/>
  <c r="R4174" i="1"/>
  <c r="R4201" i="1"/>
  <c r="R4228" i="1"/>
  <c r="R4257" i="1"/>
  <c r="R4284" i="1"/>
  <c r="R4311" i="1"/>
  <c r="R4338" i="1"/>
  <c r="R4370" i="1"/>
  <c r="R4397" i="1"/>
  <c r="R4424" i="1"/>
  <c r="R4451" i="1"/>
  <c r="R4480" i="1"/>
  <c r="R4507" i="1"/>
  <c r="R4537" i="1"/>
  <c r="R4566" i="1"/>
  <c r="R4593" i="1"/>
  <c r="R4620" i="1"/>
  <c r="R4647" i="1"/>
  <c r="R4676" i="1"/>
  <c r="R4706" i="1"/>
  <c r="R4733" i="1"/>
  <c r="R4762" i="1"/>
  <c r="R4789" i="1"/>
  <c r="R4816" i="1"/>
  <c r="R4843" i="1"/>
  <c r="R4872" i="1"/>
  <c r="R4902" i="1"/>
  <c r="R4929" i="1"/>
  <c r="R4956" i="1"/>
  <c r="R4985" i="1"/>
  <c r="R5012" i="1"/>
  <c r="R5039" i="1"/>
  <c r="R5071" i="1"/>
  <c r="R5098" i="1"/>
  <c r="R5125" i="1"/>
  <c r="R5152" i="1"/>
  <c r="R5181" i="1"/>
  <c r="R5208" i="1"/>
  <c r="R5238" i="1"/>
  <c r="R5265" i="1"/>
  <c r="R5294" i="1"/>
  <c r="R5321" i="1"/>
  <c r="R5348" i="1"/>
  <c r="R5375" i="1"/>
  <c r="R5404" i="1"/>
  <c r="R5434" i="1"/>
  <c r="R5461" i="1"/>
  <c r="R5490" i="1"/>
  <c r="R5517" i="1"/>
  <c r="R5544" i="1"/>
  <c r="R5570" i="1"/>
  <c r="R5600" i="1"/>
  <c r="R5626" i="1"/>
  <c r="R5652" i="1"/>
  <c r="R5678" i="1"/>
  <c r="R5704" i="1"/>
  <c r="R5731" i="1"/>
  <c r="R5760" i="1"/>
  <c r="R5786" i="1"/>
  <c r="R5812" i="1"/>
  <c r="R6" i="1"/>
  <c r="R71" i="1"/>
  <c r="R102" i="1"/>
  <c r="R133" i="1"/>
  <c r="R193" i="1"/>
  <c r="R258" i="1"/>
  <c r="R316" i="1"/>
  <c r="R346" i="1"/>
  <c r="R411" i="1"/>
  <c r="R471" i="1"/>
  <c r="R531" i="1"/>
  <c r="R593" i="1"/>
  <c r="R687" i="1"/>
  <c r="R747" i="1"/>
  <c r="R812" i="1"/>
  <c r="R872" i="1"/>
  <c r="R932" i="1"/>
  <c r="R963" i="1"/>
  <c r="R1028" i="1"/>
  <c r="R1086" i="1"/>
  <c r="R1148" i="1"/>
  <c r="R1179" i="1"/>
  <c r="R1240" i="1"/>
  <c r="R1302" i="1"/>
  <c r="R1396" i="1"/>
  <c r="R1456" i="1"/>
  <c r="R1518" i="1"/>
  <c r="R1583" i="1"/>
  <c r="R1643" i="1"/>
  <c r="R1703" i="1"/>
  <c r="R1734" i="1"/>
  <c r="R1797" i="1"/>
  <c r="R1857" i="1"/>
  <c r="R1917" i="1"/>
  <c r="R1982" i="1"/>
  <c r="R2044" i="1"/>
  <c r="R2104" i="1"/>
  <c r="R2169" i="1"/>
  <c r="R2258" i="1"/>
  <c r="R2318" i="1"/>
  <c r="R2383" i="1"/>
  <c r="R2443" i="1"/>
  <c r="R2505" i="1"/>
  <c r="R2568" i="1"/>
  <c r="R2628" i="1"/>
  <c r="R2686" i="1"/>
  <c r="R2746" i="1"/>
  <c r="R2800" i="1"/>
  <c r="R2856" i="1"/>
  <c r="R2910" i="1"/>
  <c r="R2969" i="1"/>
  <c r="R3025" i="1"/>
  <c r="R3052" i="1"/>
  <c r="R3109" i="1"/>
  <c r="R3165" i="1"/>
  <c r="R3192" i="1"/>
  <c r="R3248" i="1"/>
  <c r="R3305" i="1"/>
  <c r="R3361" i="1"/>
  <c r="R3415" i="1"/>
  <c r="R3444" i="1"/>
  <c r="R3501" i="1"/>
  <c r="R3557" i="1"/>
  <c r="R3611" i="1"/>
  <c r="R3670" i="1"/>
  <c r="R3697" i="1"/>
  <c r="R3753" i="1"/>
  <c r="R3810" i="1"/>
  <c r="R3866" i="1"/>
  <c r="R3920" i="1"/>
  <c r="R3976" i="1"/>
  <c r="R4033" i="1"/>
  <c r="R4089" i="1"/>
  <c r="R4143" i="1"/>
  <c r="R4202" i="1"/>
  <c r="R4229" i="1"/>
  <c r="R4285" i="1"/>
  <c r="R4344" i="1"/>
  <c r="R4425" i="1"/>
  <c r="R4481" i="1"/>
  <c r="R4538" i="1"/>
  <c r="R4594" i="1"/>
  <c r="R4677" i="1"/>
  <c r="R4734" i="1"/>
  <c r="R4790" i="1"/>
  <c r="R4876" i="1"/>
  <c r="R4930" i="1"/>
  <c r="R4986" i="1"/>
  <c r="R5040" i="1"/>
  <c r="R5099" i="1"/>
  <c r="R5153" i="1"/>
  <c r="R5209" i="1"/>
  <c r="R5268" i="1"/>
  <c r="R5322" i="1"/>
  <c r="R5378" i="1"/>
  <c r="R5435" i="1"/>
  <c r="R5491" i="1"/>
  <c r="R5571" i="1"/>
  <c r="R5627" i="1"/>
  <c r="R5679" i="1"/>
  <c r="R5761" i="1"/>
  <c r="R5813" i="1"/>
  <c r="R14" i="1"/>
  <c r="R43" i="1"/>
  <c r="R72" i="1"/>
  <c r="R103" i="1"/>
  <c r="R134" i="1"/>
  <c r="R163" i="1"/>
  <c r="R194" i="1"/>
  <c r="R228" i="1"/>
  <c r="R259" i="1"/>
  <c r="R288" i="1"/>
  <c r="R317" i="1"/>
  <c r="R349" i="1"/>
  <c r="R378" i="1"/>
  <c r="R412" i="1"/>
  <c r="R441" i="1"/>
  <c r="R472" i="1"/>
  <c r="R503" i="1"/>
  <c r="R532" i="1"/>
  <c r="R563" i="1"/>
  <c r="R597" i="1"/>
  <c r="R626" i="1"/>
  <c r="R657" i="1"/>
  <c r="R688" i="1"/>
  <c r="R719" i="1"/>
  <c r="R748" i="1"/>
  <c r="R777" i="1"/>
  <c r="R813" i="1"/>
  <c r="R842" i="1"/>
  <c r="R873" i="1"/>
  <c r="R902" i="1"/>
  <c r="R933" i="1"/>
  <c r="R964" i="1"/>
  <c r="R996" i="1"/>
  <c r="R1029" i="1"/>
  <c r="R1058" i="1"/>
  <c r="R1087" i="1"/>
  <c r="R1118" i="1"/>
  <c r="R1149" i="1"/>
  <c r="R1183" i="1"/>
  <c r="R1212" i="1"/>
  <c r="R1245" i="1"/>
  <c r="R1274" i="1"/>
  <c r="R1303" i="1"/>
  <c r="R1334" i="1"/>
  <c r="R1365" i="1"/>
  <c r="R1399" i="1"/>
  <c r="R1428" i="1"/>
  <c r="R1457" i="1"/>
  <c r="R1490" i="1"/>
  <c r="R1519" i="1"/>
  <c r="R1548" i="1"/>
  <c r="R1584" i="1"/>
  <c r="R1613" i="1"/>
  <c r="R1644" i="1"/>
  <c r="R1673" i="1"/>
  <c r="R1704" i="1"/>
  <c r="R1735" i="1"/>
  <c r="R1767" i="1"/>
  <c r="R1798" i="1"/>
  <c r="R1829" i="1"/>
  <c r="R1858" i="1"/>
  <c r="R1889" i="1"/>
  <c r="R1918" i="1"/>
  <c r="R1951" i="1"/>
  <c r="R1983" i="1"/>
  <c r="R2012" i="1"/>
  <c r="R2045" i="1"/>
  <c r="R2074" i="1"/>
  <c r="R2105" i="1"/>
  <c r="R2134" i="1"/>
  <c r="R2170" i="1"/>
  <c r="R2199" i="1"/>
  <c r="R2228" i="1"/>
  <c r="R2261" i="1"/>
  <c r="R2290" i="1"/>
  <c r="R2319" i="1"/>
  <c r="R2353" i="1"/>
  <c r="R2384" i="1"/>
  <c r="R2415" i="1"/>
  <c r="R2444" i="1"/>
  <c r="R2473" i="1"/>
  <c r="R2506" i="1"/>
  <c r="R2535" i="1"/>
  <c r="R2569" i="1"/>
  <c r="R2600" i="1"/>
  <c r="R2631" i="1"/>
  <c r="R2659" i="1"/>
  <c r="R2687" i="1"/>
  <c r="R2717" i="1"/>
  <c r="R2747" i="1"/>
  <c r="R2774" i="1"/>
  <c r="R2801" i="1"/>
  <c r="R2830" i="1"/>
  <c r="R2857" i="1"/>
  <c r="R2884" i="1"/>
  <c r="R2916" i="1"/>
  <c r="R2943" i="1"/>
  <c r="R2970" i="1"/>
  <c r="R2997" i="1"/>
  <c r="R3026" i="1"/>
  <c r="R3053" i="1"/>
  <c r="R3080" i="1"/>
  <c r="R3112" i="1"/>
  <c r="R3139" i="1"/>
  <c r="R3166" i="1"/>
  <c r="R3193" i="1"/>
  <c r="R3222" i="1"/>
  <c r="R3249" i="1"/>
  <c r="R3279" i="1"/>
  <c r="R3306" i="1"/>
  <c r="R3335" i="1"/>
  <c r="R3362" i="1"/>
  <c r="R3389" i="1"/>
  <c r="R3416" i="1"/>
  <c r="R3448" i="1"/>
  <c r="R3475" i="1"/>
  <c r="R3502" i="1"/>
  <c r="R3531" i="1"/>
  <c r="R3558" i="1"/>
  <c r="R3585" i="1"/>
  <c r="R3612" i="1"/>
  <c r="R3644" i="1"/>
  <c r="R3671" i="1"/>
  <c r="R3698" i="1"/>
  <c r="R3725" i="1"/>
  <c r="R3754" i="1"/>
  <c r="R3781" i="1"/>
  <c r="R3811" i="1"/>
  <c r="R3840" i="1"/>
  <c r="R3867" i="1"/>
  <c r="R3894" i="1"/>
  <c r="R3921" i="1"/>
  <c r="R3950" i="1"/>
  <c r="R3980" i="1"/>
  <c r="R4007" i="1"/>
  <c r="R4036" i="1"/>
  <c r="R4063" i="1"/>
  <c r="R4090" i="1"/>
  <c r="R4117" i="1"/>
  <c r="R4146" i="1"/>
  <c r="R4176" i="1"/>
  <c r="R4203" i="1"/>
  <c r="R4230" i="1"/>
  <c r="R4259" i="1"/>
  <c r="R4286" i="1"/>
  <c r="R4313" i="1"/>
  <c r="R4345" i="1"/>
  <c r="R4372" i="1"/>
  <c r="R4399" i="1"/>
  <c r="R4426" i="1"/>
  <c r="R4455" i="1"/>
  <c r="R4482" i="1"/>
  <c r="R4512" i="1"/>
  <c r="R4539" i="1"/>
  <c r="R4568" i="1"/>
  <c r="R4595" i="1"/>
  <c r="R4622" i="1"/>
  <c r="R4649" i="1"/>
  <c r="R4678" i="1"/>
  <c r="R4708" i="1"/>
  <c r="R4735" i="1"/>
  <c r="R4764" i="1"/>
  <c r="R4791" i="1"/>
  <c r="R4818" i="1"/>
  <c r="R4845" i="1"/>
  <c r="R4877" i="1"/>
  <c r="R4904" i="1"/>
  <c r="R4931" i="1"/>
  <c r="R4960" i="1"/>
  <c r="R4987" i="1"/>
  <c r="R5014" i="1"/>
  <c r="R5073" i="1"/>
  <c r="R5100" i="1"/>
  <c r="R5127" i="1"/>
  <c r="R5154" i="1"/>
  <c r="R5183" i="1"/>
  <c r="R5210" i="1"/>
  <c r="R5240" i="1"/>
  <c r="R5269" i="1"/>
  <c r="R5296" i="1"/>
  <c r="R5323" i="1"/>
  <c r="R5350" i="1"/>
  <c r="R5379" i="1"/>
  <c r="R5409" i="1"/>
  <c r="R5436" i="1"/>
  <c r="R5463" i="1"/>
  <c r="R5492" i="1"/>
  <c r="R5519" i="1"/>
  <c r="R5546" i="1"/>
  <c r="R5576" i="1"/>
  <c r="R5602" i="1"/>
  <c r="R5628" i="1"/>
  <c r="R5654" i="1"/>
  <c r="R5680" i="1"/>
  <c r="R5707" i="1"/>
  <c r="R5733" i="1"/>
  <c r="R5762" i="1"/>
  <c r="R5788" i="1"/>
  <c r="R5814" i="1"/>
  <c r="R15" i="1"/>
  <c r="R73" i="1"/>
  <c r="R135" i="1"/>
  <c r="R198" i="1"/>
  <c r="R289" i="1"/>
  <c r="R350" i="1"/>
  <c r="R413" i="1"/>
  <c r="R475" i="1"/>
  <c r="R533" i="1"/>
  <c r="R629" i="1"/>
  <c r="R689" i="1"/>
  <c r="R749" i="1"/>
  <c r="R814" i="1"/>
  <c r="R874" i="1"/>
  <c r="R905" i="1"/>
  <c r="R965" i="1"/>
  <c r="R1030" i="1"/>
  <c r="R1088" i="1"/>
  <c r="R1150" i="1"/>
  <c r="R1213" i="1"/>
  <c r="R1304" i="1"/>
  <c r="R1400" i="1"/>
  <c r="R1458" i="1"/>
  <c r="R1520" i="1"/>
  <c r="R1549" i="1"/>
  <c r="R1614" i="1"/>
  <c r="R1707" i="1"/>
  <c r="R1801" i="1"/>
  <c r="R1861" i="1"/>
  <c r="R1890" i="1"/>
  <c r="R1955" i="1"/>
  <c r="R2015" i="1"/>
  <c r="R2046" i="1"/>
  <c r="R2106" i="1"/>
  <c r="R2200" i="1"/>
  <c r="R2262" i="1"/>
  <c r="R2291" i="1"/>
  <c r="R2354" i="1"/>
  <c r="R2416" i="1"/>
  <c r="R2507" i="1"/>
  <c r="R2601" i="1"/>
  <c r="R2660" i="1"/>
  <c r="R2718" i="1"/>
  <c r="R2804" i="1"/>
  <c r="R2885" i="1"/>
  <c r="R2971" i="1"/>
  <c r="R3054" i="1"/>
  <c r="R3140" i="1"/>
  <c r="R3194" i="1"/>
  <c r="R3280" i="1"/>
  <c r="R3363" i="1"/>
  <c r="R3476" i="1"/>
  <c r="R3559" i="1"/>
  <c r="R3645" i="1"/>
  <c r="R3728" i="1"/>
  <c r="R3812" i="1"/>
  <c r="R3895" i="1"/>
  <c r="R3981" i="1"/>
  <c r="R4064" i="1"/>
  <c r="R4091" i="1"/>
  <c r="R4177" i="1"/>
  <c r="R4260" i="1"/>
  <c r="R4373" i="1"/>
  <c r="R4456" i="1"/>
  <c r="R4542" i="1"/>
  <c r="R4652" i="1"/>
  <c r="R4736" i="1"/>
  <c r="R4846" i="1"/>
  <c r="R4932" i="1"/>
  <c r="R5015" i="1"/>
  <c r="R5074" i="1"/>
  <c r="R5155" i="1"/>
  <c r="R5241" i="1"/>
  <c r="R5297" i="1"/>
  <c r="R5380" i="1"/>
  <c r="R5466" i="1"/>
  <c r="R5577" i="1"/>
  <c r="R5681" i="1"/>
  <c r="R5789" i="1"/>
  <c r="R42" i="1"/>
  <c r="R162" i="1"/>
  <c r="R227" i="1"/>
  <c r="R287" i="1"/>
  <c r="R377" i="1"/>
  <c r="R440" i="1"/>
  <c r="R502" i="1"/>
  <c r="R560" i="1"/>
  <c r="R625" i="1"/>
  <c r="R656" i="1"/>
  <c r="R718" i="1"/>
  <c r="R776" i="1"/>
  <c r="R841" i="1"/>
  <c r="R901" i="1"/>
  <c r="R995" i="1"/>
  <c r="R1057" i="1"/>
  <c r="R1117" i="1"/>
  <c r="R1211" i="1"/>
  <c r="R1273" i="1"/>
  <c r="R1333" i="1"/>
  <c r="R1362" i="1"/>
  <c r="R1427" i="1"/>
  <c r="R1489" i="1"/>
  <c r="R1547" i="1"/>
  <c r="R1612" i="1"/>
  <c r="R1672" i="1"/>
  <c r="R1763" i="1"/>
  <c r="R1828" i="1"/>
  <c r="R1888" i="1"/>
  <c r="R1950" i="1"/>
  <c r="R2011" i="1"/>
  <c r="R2073" i="1"/>
  <c r="R2133" i="1"/>
  <c r="R2198" i="1"/>
  <c r="R2227" i="1"/>
  <c r="R2289" i="1"/>
  <c r="R2349" i="1"/>
  <c r="R2414" i="1"/>
  <c r="R2472" i="1"/>
  <c r="R2534" i="1"/>
  <c r="R2599" i="1"/>
  <c r="R2658" i="1"/>
  <c r="R2716" i="1"/>
  <c r="R2773" i="1"/>
  <c r="R2829" i="1"/>
  <c r="R2883" i="1"/>
  <c r="R2942" i="1"/>
  <c r="R2996" i="1"/>
  <c r="R3079" i="1"/>
  <c r="R3138" i="1"/>
  <c r="R3219" i="1"/>
  <c r="R3278" i="1"/>
  <c r="R3334" i="1"/>
  <c r="R3388" i="1"/>
  <c r="R3474" i="1"/>
  <c r="R3530" i="1"/>
  <c r="R3584" i="1"/>
  <c r="R3643" i="1"/>
  <c r="R3724" i="1"/>
  <c r="R3780" i="1"/>
  <c r="R3839" i="1"/>
  <c r="R3893" i="1"/>
  <c r="R3949" i="1"/>
  <c r="R4006" i="1"/>
  <c r="R4062" i="1"/>
  <c r="R4116" i="1"/>
  <c r="R4175" i="1"/>
  <c r="R4258" i="1"/>
  <c r="R4312" i="1"/>
  <c r="R4371" i="1"/>
  <c r="R4398" i="1"/>
  <c r="R4454" i="1"/>
  <c r="R4508" i="1"/>
  <c r="R4567" i="1"/>
  <c r="R4621" i="1"/>
  <c r="R4648" i="1"/>
  <c r="R4707" i="1"/>
  <c r="R4763" i="1"/>
  <c r="R4817" i="1"/>
  <c r="R4844" i="1"/>
  <c r="R4903" i="1"/>
  <c r="R4957" i="1"/>
  <c r="R5013" i="1"/>
  <c r="R5072" i="1"/>
  <c r="R5126" i="1"/>
  <c r="R5182" i="1"/>
  <c r="R5239" i="1"/>
  <c r="R5295" i="1"/>
  <c r="R5349" i="1"/>
  <c r="R5408" i="1"/>
  <c r="R5462" i="1"/>
  <c r="R5518" i="1"/>
  <c r="R5545" i="1"/>
  <c r="R5601" i="1"/>
  <c r="R5653" i="1"/>
  <c r="R5705" i="1"/>
  <c r="R5732" i="1"/>
  <c r="R5787" i="1"/>
  <c r="R5044" i="1"/>
  <c r="R44" i="1"/>
  <c r="R104" i="1"/>
  <c r="R164" i="1"/>
  <c r="R229" i="1"/>
  <c r="R260" i="1"/>
  <c r="R318" i="1"/>
  <c r="R379" i="1"/>
  <c r="R442" i="1"/>
  <c r="R504" i="1"/>
  <c r="R564" i="1"/>
  <c r="R598" i="1"/>
  <c r="R658" i="1"/>
  <c r="R720" i="1"/>
  <c r="R785" i="1"/>
  <c r="R843" i="1"/>
  <c r="R934" i="1"/>
  <c r="R997" i="1"/>
  <c r="R1059" i="1"/>
  <c r="R1119" i="1"/>
  <c r="R1184" i="1"/>
  <c r="R1246" i="1"/>
  <c r="R1275" i="1"/>
  <c r="R1335" i="1"/>
  <c r="R1369" i="1"/>
  <c r="R1429" i="1"/>
  <c r="R1491" i="1"/>
  <c r="R1585" i="1"/>
  <c r="R1645" i="1"/>
  <c r="R1674" i="1"/>
  <c r="R1736" i="1"/>
  <c r="R1830" i="1"/>
  <c r="R1921" i="1"/>
  <c r="R1984" i="1"/>
  <c r="R2075" i="1"/>
  <c r="R2135" i="1"/>
  <c r="R2171" i="1"/>
  <c r="R2229" i="1"/>
  <c r="R2320" i="1"/>
  <c r="R2385" i="1"/>
  <c r="R2445" i="1"/>
  <c r="R2539" i="1"/>
  <c r="R2570" i="1"/>
  <c r="R2632" i="1"/>
  <c r="R2688" i="1"/>
  <c r="R2748" i="1"/>
  <c r="R2831" i="1"/>
  <c r="R2858" i="1"/>
  <c r="R2944" i="1"/>
  <c r="R2998" i="1"/>
  <c r="R3084" i="1"/>
  <c r="R3167" i="1"/>
  <c r="R3250" i="1"/>
  <c r="R3336" i="1"/>
  <c r="R3390" i="1"/>
  <c r="R3449" i="1"/>
  <c r="R3532" i="1"/>
  <c r="R3586" i="1"/>
  <c r="R3672" i="1"/>
  <c r="R3755" i="1"/>
  <c r="R3841" i="1"/>
  <c r="R3922" i="1"/>
  <c r="R4037" i="1"/>
  <c r="R4118" i="1"/>
  <c r="R4204" i="1"/>
  <c r="R4287" i="1"/>
  <c r="R4346" i="1"/>
  <c r="R4400" i="1"/>
  <c r="R4483" i="1"/>
  <c r="R4569" i="1"/>
  <c r="R4623" i="1"/>
  <c r="R4682" i="1"/>
  <c r="R4765" i="1"/>
  <c r="R4819" i="1"/>
  <c r="R4905" i="1"/>
  <c r="R4961" i="1"/>
  <c r="R5045" i="1"/>
  <c r="R5101" i="1"/>
  <c r="R5184" i="1"/>
  <c r="R5270" i="1"/>
  <c r="R5351" i="1"/>
  <c r="R5437" i="1"/>
  <c r="R5493" i="1"/>
  <c r="R5547" i="1"/>
  <c r="R5603" i="1"/>
  <c r="R5629" i="1"/>
  <c r="R5708" i="1"/>
  <c r="R5763" i="1"/>
  <c r="R1768" i="1"/>
  <c r="R2474" i="1"/>
  <c r="R2775" i="1"/>
  <c r="R2917" i="1"/>
  <c r="R3027" i="1"/>
  <c r="R3113" i="1"/>
  <c r="R3223" i="1"/>
  <c r="R3307" i="1"/>
  <c r="R3417" i="1"/>
  <c r="R3503" i="1"/>
  <c r="R3618" i="1"/>
  <c r="R3699" i="1"/>
  <c r="R3782" i="1"/>
  <c r="R3868" i="1"/>
  <c r="R3951" i="1"/>
  <c r="R4008" i="1"/>
  <c r="R4150" i="1"/>
  <c r="R4231" i="1"/>
  <c r="R4314" i="1"/>
  <c r="R4427" i="1"/>
  <c r="R4513" i="1"/>
  <c r="R4596" i="1"/>
  <c r="R4709" i="1"/>
  <c r="R4792" i="1"/>
  <c r="R4878" i="1"/>
  <c r="R4988" i="1"/>
  <c r="R5128" i="1"/>
  <c r="R5214" i="1"/>
  <c r="R5324" i="1"/>
  <c r="R5410" i="1"/>
  <c r="R5520" i="1"/>
  <c r="R5655" i="1"/>
  <c r="R5737" i="1"/>
  <c r="R5815" i="1"/>
  <c r="R25" i="1"/>
  <c r="R67" i="1"/>
  <c r="R112" i="1"/>
  <c r="R152" i="1"/>
  <c r="R200" i="1"/>
  <c r="R239" i="1"/>
  <c r="R281" i="1"/>
  <c r="R325" i="1"/>
  <c r="R365" i="1"/>
  <c r="R402" i="1"/>
  <c r="R450" i="1"/>
  <c r="R490" i="1"/>
  <c r="R535" i="1"/>
  <c r="R577" i="1"/>
  <c r="R616" i="1"/>
  <c r="R664" i="1"/>
  <c r="R704" i="1"/>
  <c r="R743" i="1"/>
  <c r="R791" i="1"/>
  <c r="R828" i="1"/>
  <c r="R876" i="1"/>
  <c r="R918" i="1"/>
  <c r="R955" i="1"/>
  <c r="R1005" i="1"/>
  <c r="R1040" i="1"/>
  <c r="R1082" i="1"/>
  <c r="R1130" i="1"/>
  <c r="R1167" i="1"/>
  <c r="R1215" i="1"/>
  <c r="R1254" i="1"/>
  <c r="R1296" i="1"/>
  <c r="R1344" i="1"/>
  <c r="R1381" i="1"/>
  <c r="R1423" i="1"/>
  <c r="R1468" i="1"/>
  <c r="R1506" i="1"/>
  <c r="R1556" i="1"/>
  <c r="R1593" i="1"/>
  <c r="R1635" i="1"/>
  <c r="R1680" i="1"/>
  <c r="R1720" i="1"/>
  <c r="R1759" i="1"/>
  <c r="R1807" i="1"/>
  <c r="R1849" i="1"/>
  <c r="R1892" i="1"/>
  <c r="R1934" i="1"/>
  <c r="R1973" i="1"/>
  <c r="R2021" i="1"/>
  <c r="R2061" i="1"/>
  <c r="R2098" i="1"/>
  <c r="R2148" i="1"/>
  <c r="R2183" i="1"/>
  <c r="R2231" i="1"/>
  <c r="R2273" i="1"/>
  <c r="R2312" i="1"/>
  <c r="R2360" i="1"/>
  <c r="R2397" i="1"/>
  <c r="R2439" i="1"/>
  <c r="R2487" i="1"/>
  <c r="R2524" i="1"/>
  <c r="R2572" i="1"/>
  <c r="R2611" i="1"/>
  <c r="R2652" i="1"/>
  <c r="R2698" i="1"/>
  <c r="R2731" i="1"/>
  <c r="R2766" i="1"/>
  <c r="R2810" i="1"/>
  <c r="R2848" i="1"/>
  <c r="R2892" i="1"/>
  <c r="R2925" i="1"/>
  <c r="R2960" i="1"/>
  <c r="R3004" i="1"/>
  <c r="R3040" i="1"/>
  <c r="R3075" i="1"/>
  <c r="R3119" i="1"/>
  <c r="R3152" i="1"/>
  <c r="R3196" i="1"/>
  <c r="R3234" i="1"/>
  <c r="R3269" i="1"/>
  <c r="R3313" i="1"/>
  <c r="R3346" i="1"/>
  <c r="R3384" i="1"/>
  <c r="R3428" i="1"/>
  <c r="R3461" i="1"/>
  <c r="R3505" i="1"/>
  <c r="R3540" i="1"/>
  <c r="R3578" i="1"/>
  <c r="R3622" i="1"/>
  <c r="R3655" i="1"/>
  <c r="R3693" i="1"/>
  <c r="R3734" i="1"/>
  <c r="R3772" i="1"/>
  <c r="R3816" i="1"/>
  <c r="R3849" i="1"/>
  <c r="R3887" i="1"/>
  <c r="R3928" i="1"/>
  <c r="R3964" i="1"/>
  <c r="R3999" i="1"/>
  <c r="R4043" i="1"/>
  <c r="R4081" i="1"/>
  <c r="R4120" i="1"/>
  <c r="R4158" i="1"/>
  <c r="R4193" i="1"/>
  <c r="R4237" i="1"/>
  <c r="R4273" i="1"/>
  <c r="R4308" i="1"/>
  <c r="R4352" i="1"/>
  <c r="R4385" i="1"/>
  <c r="R4429" i="1"/>
  <c r="R4467" i="1"/>
  <c r="R4502" i="1"/>
  <c r="R4546" i="1"/>
  <c r="R4579" i="1"/>
  <c r="R4617" i="1"/>
  <c r="R4661" i="1"/>
  <c r="R4696" i="1"/>
  <c r="R4740" i="1"/>
  <c r="R4773" i="1"/>
  <c r="R4811" i="1"/>
  <c r="R4855" i="1"/>
  <c r="R4888" i="1"/>
  <c r="R4926" i="1"/>
  <c r="R4967" i="1"/>
  <c r="R5005" i="1"/>
  <c r="R5049" i="1"/>
  <c r="R5082" i="1"/>
  <c r="R5120" i="1"/>
  <c r="R5161" i="1"/>
  <c r="R5197" i="1"/>
  <c r="R5232" i="1"/>
  <c r="R5276" i="1"/>
  <c r="R5314" i="1"/>
  <c r="R5353" i="1"/>
  <c r="R5391" i="1"/>
  <c r="R5426" i="1"/>
  <c r="R5470" i="1"/>
  <c r="R5506" i="1"/>
  <c r="R5541" i="1"/>
  <c r="R5583" i="1"/>
  <c r="R5615" i="1"/>
  <c r="R5657" i="1"/>
  <c r="R5693" i="1"/>
  <c r="R5725" i="1"/>
  <c r="R5767" i="1"/>
  <c r="R5800" i="1"/>
  <c r="R26" i="1"/>
  <c r="R74" i="1"/>
  <c r="R113" i="1"/>
  <c r="R155" i="1"/>
  <c r="R203" i="1"/>
  <c r="R240" i="1"/>
  <c r="R282" i="1"/>
  <c r="R326" i="1"/>
  <c r="R366" i="1"/>
  <c r="R414" i="1"/>
  <c r="R453" i="1"/>
  <c r="R493" i="1"/>
  <c r="R536" i="1"/>
  <c r="R578" i="1"/>
  <c r="R617" i="1"/>
  <c r="R665" i="1"/>
  <c r="R705" i="1"/>
  <c r="R750" i="1"/>
  <c r="R792" i="1"/>
  <c r="R829" i="1"/>
  <c r="R877" i="1"/>
  <c r="R919" i="1"/>
  <c r="R956" i="1"/>
  <c r="R1006" i="1"/>
  <c r="R1041" i="1"/>
  <c r="R1091" i="1"/>
  <c r="R1131" i="1"/>
  <c r="R1168" i="1"/>
  <c r="R1216" i="1"/>
  <c r="R1255" i="1"/>
  <c r="R1297" i="1"/>
  <c r="R1345" i="1"/>
  <c r="R1382" i="1"/>
  <c r="R1430" i="1"/>
  <c r="R1469" i="1"/>
  <c r="R1511" i="1"/>
  <c r="R1559" i="1"/>
  <c r="R1594" i="1"/>
  <c r="R1636" i="1"/>
  <c r="R1681" i="1"/>
  <c r="R1721" i="1"/>
  <c r="R1769" i="1"/>
  <c r="R1808" i="1"/>
  <c r="R1850" i="1"/>
  <c r="R1893" i="1"/>
  <c r="R1935" i="1"/>
  <c r="R1974" i="1"/>
  <c r="R2022" i="1"/>
  <c r="R2062" i="1"/>
  <c r="R2107" i="1"/>
  <c r="R2149" i="1"/>
  <c r="R2184" i="1"/>
  <c r="R2232" i="1"/>
  <c r="R2274" i="1"/>
  <c r="R2313" i="1"/>
  <c r="R2361" i="1"/>
  <c r="R2398" i="1"/>
  <c r="R2446" i="1"/>
  <c r="R2488" i="1"/>
  <c r="R2527" i="1"/>
  <c r="R2575" i="1"/>
  <c r="R2612" i="1"/>
  <c r="R2653" i="1"/>
  <c r="R2699" i="1"/>
  <c r="R2732" i="1"/>
  <c r="R2776" i="1"/>
  <c r="R2811" i="1"/>
  <c r="R2849" i="1"/>
  <c r="R2893" i="1"/>
  <c r="R2926" i="1"/>
  <c r="R2964" i="1"/>
  <c r="R3005" i="1"/>
  <c r="R3041" i="1"/>
  <c r="R3085" i="1"/>
  <c r="R3120" i="1"/>
  <c r="R3158" i="1"/>
  <c r="R3197" i="1"/>
  <c r="R3235" i="1"/>
  <c r="R3270" i="1"/>
  <c r="R3314" i="1"/>
  <c r="R3350" i="1"/>
  <c r="R3391" i="1"/>
  <c r="R3429" i="1"/>
  <c r="R3464" i="1"/>
  <c r="R3508" i="1"/>
  <c r="R3544" i="1"/>
  <c r="R3579" i="1"/>
  <c r="R3623" i="1"/>
  <c r="R3656" i="1"/>
  <c r="R3700" i="1"/>
  <c r="R3738" i="1"/>
  <c r="R3773" i="1"/>
  <c r="R3817" i="1"/>
  <c r="R3850" i="1"/>
  <c r="R3888" i="1"/>
  <c r="R3932" i="1"/>
  <c r="R3965" i="1"/>
  <c r="R4009" i="1"/>
  <c r="R4044" i="1"/>
  <c r="R4082" i="1"/>
  <c r="R4126" i="1"/>
  <c r="R4159" i="1"/>
  <c r="R4194" i="1"/>
  <c r="R4238" i="1"/>
  <c r="R4274" i="1"/>
  <c r="R4318" i="1"/>
  <c r="R4353" i="1"/>
  <c r="R4388" i="1"/>
  <c r="R4432" i="1"/>
  <c r="R16" i="1"/>
  <c r="R53" i="1"/>
  <c r="R107" i="1"/>
  <c r="R149" i="1"/>
  <c r="R199" i="1"/>
  <c r="R242" i="1"/>
  <c r="R292" i="1"/>
  <c r="R335" i="1"/>
  <c r="R387" i="1"/>
  <c r="R426" i="1"/>
  <c r="R478" i="1"/>
  <c r="R522" i="1"/>
  <c r="R572" i="1"/>
  <c r="R611" i="1"/>
  <c r="R663" i="1"/>
  <c r="R707" i="1"/>
  <c r="R761" i="1"/>
  <c r="R798" i="1"/>
  <c r="R850" i="1"/>
  <c r="R894" i="1"/>
  <c r="R944" i="1"/>
  <c r="R985" i="1"/>
  <c r="R1035" i="1"/>
  <c r="R1079" i="1"/>
  <c r="R1129" i="1"/>
  <c r="R1172" i="1"/>
  <c r="R1224" i="1"/>
  <c r="R1264" i="1"/>
  <c r="R1318" i="1"/>
  <c r="R1357" i="1"/>
  <c r="R1407" i="1"/>
  <c r="R1451" i="1"/>
  <c r="R1501" i="1"/>
  <c r="R1542" i="1"/>
  <c r="R1592" i="1"/>
  <c r="R1646" i="1"/>
  <c r="R1690" i="1"/>
  <c r="R1737" i="1"/>
  <c r="R1781" i="1"/>
  <c r="R1831" i="1"/>
  <c r="R1875" i="1"/>
  <c r="R1922" i="1"/>
  <c r="R1964" i="1"/>
  <c r="R2016" i="1"/>
  <c r="R2055" i="1"/>
  <c r="R2109" i="1"/>
  <c r="R2153" i="1"/>
  <c r="R2203" i="1"/>
  <c r="R2247" i="1"/>
  <c r="R2294" i="1"/>
  <c r="R2338" i="1"/>
  <c r="R2390" i="1"/>
  <c r="R2429" i="1"/>
  <c r="R2481" i="1"/>
  <c r="R2523" i="1"/>
  <c r="R28" i="1"/>
  <c r="R80" i="1"/>
  <c r="R124" i="1"/>
  <c r="R174" i="1"/>
  <c r="R215" i="1"/>
  <c r="R265" i="1"/>
  <c r="R309" i="1"/>
  <c r="R358" i="1"/>
  <c r="R399" i="1"/>
  <c r="R449" i="1"/>
  <c r="R497" i="1"/>
  <c r="R547" i="1"/>
  <c r="R586" i="1"/>
  <c r="R636" i="1"/>
  <c r="R680" i="1"/>
  <c r="R730" i="1"/>
  <c r="R771" i="1"/>
  <c r="R821" i="1"/>
  <c r="R865" i="1"/>
  <c r="R917" i="1"/>
  <c r="R969" i="1"/>
  <c r="R1010" i="1"/>
  <c r="R1060" i="1"/>
  <c r="R1104" i="1"/>
  <c r="R1151" i="1"/>
  <c r="R1195" i="1"/>
  <c r="R1247" i="1"/>
  <c r="R1289" i="1"/>
  <c r="R1336" i="1"/>
  <c r="R1380" i="1"/>
  <c r="R1432" i="1"/>
  <c r="R1476" i="1"/>
  <c r="R1523" i="1"/>
  <c r="R1567" i="1"/>
  <c r="R1619" i="1"/>
  <c r="R1663" i="1"/>
  <c r="R1710" i="1"/>
  <c r="R1754" i="1"/>
  <c r="R1804" i="1"/>
  <c r="R1843" i="1"/>
  <c r="R1897" i="1"/>
  <c r="R1939" i="1"/>
  <c r="R1989" i="1"/>
  <c r="R2033" i="1"/>
  <c r="R2082" i="1"/>
  <c r="R2126" i="1"/>
  <c r="R2176" i="1"/>
  <c r="R2217" i="1"/>
  <c r="R2267" i="1"/>
  <c r="R2311" i="1"/>
  <c r="R2363" i="1"/>
  <c r="R2407" i="1"/>
  <c r="R2456" i="1"/>
  <c r="R2496" i="1"/>
  <c r="R2548" i="1"/>
  <c r="R2589" i="1"/>
  <c r="R2639" i="1"/>
  <c r="R2681" i="1"/>
  <c r="R2728" i="1"/>
  <c r="R2765" i="1"/>
  <c r="R2813" i="1"/>
  <c r="R2859" i="1"/>
  <c r="R2899" i="1"/>
  <c r="R2945" i="1"/>
  <c r="R2982" i="1"/>
  <c r="R3028" i="1"/>
  <c r="R3068" i="1"/>
  <c r="R3114" i="1"/>
  <c r="R3149" i="1"/>
  <c r="R3195" i="1"/>
  <c r="R3237" i="1"/>
  <c r="R3283" i="1"/>
  <c r="R3320" i="1"/>
  <c r="R3366" i="1"/>
  <c r="R3406" i="1"/>
  <c r="R3452" i="1"/>
  <c r="R3489" i="1"/>
  <c r="R30" i="1"/>
  <c r="R86" i="1"/>
  <c r="R138" i="1"/>
  <c r="R184" i="1"/>
  <c r="R238" i="1"/>
  <c r="R293" i="1"/>
  <c r="R338" i="1"/>
  <c r="R392" i="1"/>
  <c r="R446" i="1"/>
  <c r="R494" i="1"/>
  <c r="R549" i="1"/>
  <c r="R601" i="1"/>
  <c r="R644" i="1"/>
  <c r="R23" i="1"/>
  <c r="R83" i="1"/>
  <c r="R136" i="1"/>
  <c r="R183" i="1"/>
  <c r="R241" i="1"/>
  <c r="R295" i="1"/>
  <c r="R351" i="1"/>
  <c r="R398" i="1"/>
  <c r="R456" i="1"/>
  <c r="R509" i="1"/>
  <c r="R556" i="1"/>
  <c r="R612" i="1"/>
  <c r="R669" i="1"/>
  <c r="R723" i="1"/>
  <c r="R769" i="1"/>
  <c r="R822" i="1"/>
  <c r="R878" i="1"/>
  <c r="R924" i="1"/>
  <c r="R978" i="1"/>
  <c r="R1032" i="1"/>
  <c r="R1078" i="1"/>
  <c r="R1135" i="1"/>
  <c r="R1187" i="1"/>
  <c r="R1230" i="1"/>
  <c r="R1282" i="1"/>
  <c r="R1337" i="1"/>
  <c r="R1385" i="1"/>
  <c r="R1439" i="1"/>
  <c r="R1493" i="1"/>
  <c r="R1539" i="1"/>
  <c r="R1591" i="1"/>
  <c r="R1648" i="1"/>
  <c r="R1694" i="1"/>
  <c r="R1746" i="1"/>
  <c r="R1802" i="1"/>
  <c r="R1851" i="1"/>
  <c r="R1905" i="1"/>
  <c r="R1957" i="1"/>
  <c r="R2000" i="1"/>
  <c r="R2052" i="1"/>
  <c r="R2108" i="1"/>
  <c r="R2155" i="1"/>
  <c r="R2207" i="1"/>
  <c r="R2263" i="1"/>
  <c r="R2309" i="1"/>
  <c r="R2364" i="1"/>
  <c r="R2418" i="1"/>
  <c r="R2464" i="1"/>
  <c r="R2516" i="1"/>
  <c r="R2559" i="1"/>
  <c r="R2614" i="1"/>
  <c r="R2664" i="1"/>
  <c r="R2707" i="1"/>
  <c r="R2754" i="1"/>
  <c r="R2795" i="1"/>
  <c r="R2842" i="1"/>
  <c r="R2886" i="1"/>
  <c r="R2929" i="1"/>
  <c r="R2976" i="1"/>
  <c r="R3017" i="1"/>
  <c r="R3064" i="1"/>
  <c r="R3102" i="1"/>
  <c r="R3150" i="1"/>
  <c r="R3201" i="1"/>
  <c r="R3240" i="1"/>
  <c r="R3289" i="1"/>
  <c r="R3328" i="1"/>
  <c r="R3377" i="1"/>
  <c r="R3424" i="1"/>
  <c r="R3460" i="1"/>
  <c r="R3511" i="1"/>
  <c r="R3549" i="1"/>
  <c r="R3597" i="1"/>
  <c r="R3632" i="1"/>
  <c r="R3678" i="1"/>
  <c r="R3718" i="1"/>
  <c r="R3764" i="1"/>
  <c r="R3801" i="1"/>
  <c r="R3847" i="1"/>
  <c r="R3889" i="1"/>
  <c r="R3935" i="1"/>
  <c r="R3972" i="1"/>
  <c r="R4018" i="1"/>
  <c r="R4058" i="1"/>
  <c r="R4104" i="1"/>
  <c r="R4139" i="1"/>
  <c r="R4185" i="1"/>
  <c r="R4225" i="1"/>
  <c r="R4271" i="1"/>
  <c r="R4319" i="1"/>
  <c r="R4356" i="1"/>
  <c r="R4402" i="1"/>
  <c r="R24" i="1"/>
  <c r="R84" i="1"/>
  <c r="R137" i="1"/>
  <c r="R185" i="1"/>
  <c r="R243" i="1"/>
  <c r="R296" i="1"/>
  <c r="R352" i="1"/>
  <c r="R400" i="1"/>
  <c r="R457" i="1"/>
  <c r="R510" i="1"/>
  <c r="R567" i="1"/>
  <c r="R615" i="1"/>
  <c r="R670" i="1"/>
  <c r="R724" i="1"/>
  <c r="R770" i="1"/>
  <c r="R823" i="1"/>
  <c r="R881" i="1"/>
  <c r="R925" i="1"/>
  <c r="R981" i="1"/>
  <c r="R1033" i="1"/>
  <c r="R1080" i="1"/>
  <c r="R1136" i="1"/>
  <c r="R1188" i="1"/>
  <c r="R1231" i="1"/>
  <c r="R1283" i="1"/>
  <c r="R1343" i="1"/>
  <c r="R1386" i="1"/>
  <c r="R1440" i="1"/>
  <c r="R1494" i="1"/>
  <c r="R1540" i="1"/>
  <c r="R1597" i="1"/>
  <c r="R1649" i="1"/>
  <c r="R1695" i="1"/>
  <c r="R1747" i="1"/>
  <c r="R1803" i="1"/>
  <c r="R1852" i="1"/>
  <c r="R1906" i="1"/>
  <c r="R1958" i="1"/>
  <c r="R2001" i="1"/>
  <c r="R2053" i="1"/>
  <c r="R2115" i="1"/>
  <c r="R2156" i="1"/>
  <c r="R2208" i="1"/>
  <c r="R2264" i="1"/>
  <c r="R2310" i="1"/>
  <c r="R2367" i="1"/>
  <c r="R2419" i="1"/>
  <c r="R2465" i="1"/>
  <c r="R2517" i="1"/>
  <c r="R2571" i="1"/>
  <c r="R2615" i="1"/>
  <c r="R2665" i="1"/>
  <c r="R2708" i="1"/>
  <c r="R2755" i="1"/>
  <c r="R2796" i="1"/>
  <c r="R2843" i="1"/>
  <c r="R2894" i="1"/>
  <c r="R2930" i="1"/>
  <c r="R2977" i="1"/>
  <c r="R3018" i="1"/>
  <c r="R3065" i="1"/>
  <c r="R3115" i="1"/>
  <c r="R3151" i="1"/>
  <c r="R3202" i="1"/>
  <c r="R3241" i="1"/>
  <c r="R3290" i="1"/>
  <c r="R3337" i="1"/>
  <c r="R45" i="1"/>
  <c r="R92" i="1"/>
  <c r="R147" i="1"/>
  <c r="R205" i="1"/>
  <c r="R252" i="1"/>
  <c r="R307" i="1"/>
  <c r="R360" i="1"/>
  <c r="R417" i="1"/>
  <c r="R464" i="1"/>
  <c r="R521" i="1"/>
  <c r="R575" i="1"/>
  <c r="R632" i="1"/>
  <c r="R679" i="1"/>
  <c r="R732" i="1"/>
  <c r="R788" i="1"/>
  <c r="R833" i="1"/>
  <c r="R885" i="1"/>
  <c r="R939" i="1"/>
  <c r="R986" i="1"/>
  <c r="R1038" i="1"/>
  <c r="R1094" i="1"/>
  <c r="R1140" i="1"/>
  <c r="R1192" i="1"/>
  <c r="R1249" i="1"/>
  <c r="R1295" i="1"/>
  <c r="R1349" i="1"/>
  <c r="R1403" i="1"/>
  <c r="R1449" i="1"/>
  <c r="R1502" i="1"/>
  <c r="R1560" i="1"/>
  <c r="R1601" i="1"/>
  <c r="R1655" i="1"/>
  <c r="R1709" i="1"/>
  <c r="R1756" i="1"/>
  <c r="R1810" i="1"/>
  <c r="R1864" i="1"/>
  <c r="R1910" i="1"/>
  <c r="R1962" i="1"/>
  <c r="R2019" i="1"/>
  <c r="R2067" i="1"/>
  <c r="R2119" i="1"/>
  <c r="R2173" i="1"/>
  <c r="R2216" i="1"/>
  <c r="R2269" i="1"/>
  <c r="R2328" i="1"/>
  <c r="R2371" i="1"/>
  <c r="R2423" i="1"/>
  <c r="R2479" i="1"/>
  <c r="R2528" i="1"/>
  <c r="R2579" i="1"/>
  <c r="R2624" i="1"/>
  <c r="R2675" i="1"/>
  <c r="R2723" i="1"/>
  <c r="R2761" i="1"/>
  <c r="R2808" i="1"/>
  <c r="R2851" i="1"/>
  <c r="R2898" i="1"/>
  <c r="R2946" i="1"/>
  <c r="R2984" i="1"/>
  <c r="R3031" i="1"/>
  <c r="R3072" i="1"/>
  <c r="R3121" i="1"/>
  <c r="R3168" i="1"/>
  <c r="R3209" i="1"/>
  <c r="R3256" i="1"/>
  <c r="R3294" i="1"/>
  <c r="R3341" i="1"/>
  <c r="R3382" i="1"/>
  <c r="R3431" i="1"/>
  <c r="R3478" i="1"/>
  <c r="R3516" i="1"/>
  <c r="R3562" i="1"/>
  <c r="R3602" i="1"/>
  <c r="R3648" i="1"/>
  <c r="R3685" i="1"/>
  <c r="R3731" i="1"/>
  <c r="R3769" i="1"/>
  <c r="R3819" i="1"/>
  <c r="R3854" i="1"/>
  <c r="R3900" i="1"/>
  <c r="R3940" i="1"/>
  <c r="R3986" i="1"/>
  <c r="R4023" i="1"/>
  <c r="R4069" i="1"/>
  <c r="R4109" i="1"/>
  <c r="R4155" i="1"/>
  <c r="R4192" i="1"/>
  <c r="R4240" i="1"/>
  <c r="R4280" i="1"/>
  <c r="R4326" i="1"/>
  <c r="R4361" i="1"/>
  <c r="R4407" i="1"/>
  <c r="R4447" i="1"/>
  <c r="R4492" i="1"/>
  <c r="R4528" i="1"/>
  <c r="R5793" i="1"/>
  <c r="R5751" i="1"/>
  <c r="R5717" i="1"/>
  <c r="R5674" i="1"/>
  <c r="R5637" i="1"/>
  <c r="R5604" i="1"/>
  <c r="R5561" i="1"/>
  <c r="R5523" i="1"/>
  <c r="R5481" i="1"/>
  <c r="R5444" i="1"/>
  <c r="R5397" i="1"/>
  <c r="R5363" i="1"/>
  <c r="R5318" i="1"/>
  <c r="R5279" i="1"/>
  <c r="R5243" i="1"/>
  <c r="R5198" i="1"/>
  <c r="R5160" i="1"/>
  <c r="R5118" i="1"/>
  <c r="R5079" i="1"/>
  <c r="R5034" i="1"/>
  <c r="R4998" i="1"/>
  <c r="R4953" i="1"/>
  <c r="R4916" i="1"/>
  <c r="R4880" i="1"/>
  <c r="R4835" i="1"/>
  <c r="R4796" i="1"/>
  <c r="R4754" i="1"/>
  <c r="R4715" i="1"/>
  <c r="R4670" i="1"/>
  <c r="R4636" i="1"/>
  <c r="R4597" i="1"/>
  <c r="R4552" i="1"/>
  <c r="R4515" i="1"/>
  <c r="R4469" i="1"/>
  <c r="R4421" i="1"/>
  <c r="R4379" i="1"/>
  <c r="R4331" i="1"/>
  <c r="R4289" i="1"/>
  <c r="R4241" i="1"/>
  <c r="R4190" i="1"/>
  <c r="R4151" i="1"/>
  <c r="R4102" i="1"/>
  <c r="R4052" i="1"/>
  <c r="R4010" i="1"/>
  <c r="R3960" i="1"/>
  <c r="R3912" i="1"/>
  <c r="R3870" i="1"/>
  <c r="R3822" i="1"/>
  <c r="R3774" i="1"/>
  <c r="R3729" i="1"/>
  <c r="R3679" i="1"/>
  <c r="R3630" i="1"/>
  <c r="R3588" i="1"/>
  <c r="R3538" i="1"/>
  <c r="R3490" i="1"/>
  <c r="R3438" i="1"/>
  <c r="R3400" i="1"/>
  <c r="R3344" i="1"/>
  <c r="R3293" i="1"/>
  <c r="R3239" i="1"/>
  <c r="R3186" i="1"/>
  <c r="R3142" i="1"/>
  <c r="R3092" i="1"/>
  <c r="R3038" i="1"/>
  <c r="R2988" i="1"/>
  <c r="R2931" i="1"/>
  <c r="R2877" i="1"/>
  <c r="R2833" i="1"/>
  <c r="R2783" i="1"/>
  <c r="R2729" i="1"/>
  <c r="R2677" i="1"/>
  <c r="R2620" i="1"/>
  <c r="R2557" i="1"/>
  <c r="R2508" i="1"/>
  <c r="R2448" i="1"/>
  <c r="R2391" i="1"/>
  <c r="R2333" i="1"/>
  <c r="R2268" i="1"/>
  <c r="R2206" i="1"/>
  <c r="R2150" i="1"/>
  <c r="R2091" i="1"/>
  <c r="R2028" i="1"/>
  <c r="R1971" i="1"/>
  <c r="R1911" i="1"/>
  <c r="R1853" i="1"/>
  <c r="R1786" i="1"/>
  <c r="R1730" i="1"/>
  <c r="R1675" i="1"/>
  <c r="R1620" i="1"/>
  <c r="R1562" i="1"/>
  <c r="R1496" i="1"/>
  <c r="R1437" i="1"/>
  <c r="R1377" i="1"/>
  <c r="R1320" i="1"/>
  <c r="R1257" i="1"/>
  <c r="R1198" i="1"/>
  <c r="R1139" i="1"/>
  <c r="R1077" i="1"/>
  <c r="R1015" i="1"/>
  <c r="R959" i="1"/>
  <c r="R906" i="1"/>
  <c r="R846" i="1"/>
  <c r="R789" i="1"/>
  <c r="R725" i="1"/>
  <c r="R666" i="1"/>
  <c r="R603" i="1"/>
  <c r="R545" i="1"/>
  <c r="R480" i="1"/>
  <c r="R421" i="1"/>
  <c r="R357" i="1"/>
  <c r="R291" i="1"/>
  <c r="R233" i="1"/>
  <c r="R172" i="1"/>
  <c r="R109" i="1"/>
  <c r="R48" i="1"/>
</calcChain>
</file>

<file path=xl/sharedStrings.xml><?xml version="1.0" encoding="utf-8"?>
<sst xmlns="http://schemas.openxmlformats.org/spreadsheetml/2006/main" count="58865" uniqueCount="153">
  <si>
    <t>Date</t>
  </si>
  <si>
    <t>Day No</t>
  </si>
  <si>
    <t>Day</t>
  </si>
  <si>
    <t>Season</t>
  </si>
  <si>
    <t>SL No</t>
  </si>
  <si>
    <t>Frequency</t>
  </si>
  <si>
    <t>Arrival Flight</t>
  </si>
  <si>
    <t>Origin</t>
  </si>
  <si>
    <t>STA</t>
  </si>
  <si>
    <t>Departure Flight</t>
  </si>
  <si>
    <t>Destination</t>
  </si>
  <si>
    <t>STD</t>
  </si>
  <si>
    <t>Aircraft Type</t>
  </si>
  <si>
    <t>Capacity Approx</t>
  </si>
  <si>
    <t>Traffic Type</t>
  </si>
  <si>
    <t>Time Band</t>
  </si>
  <si>
    <t>Data Quality Flag</t>
  </si>
  <si>
    <t>Sunday</t>
  </si>
  <si>
    <t>S26</t>
  </si>
  <si>
    <t>1234567</t>
  </si>
  <si>
    <t>6E6425</t>
  </si>
  <si>
    <t>DEL</t>
  </si>
  <si>
    <t>6E6426</t>
  </si>
  <si>
    <t>A320N</t>
  </si>
  <si>
    <t>Domestic</t>
  </si>
  <si>
    <t>Morning</t>
  </si>
  <si>
    <t>6E557</t>
  </si>
  <si>
    <t>MAA</t>
  </si>
  <si>
    <t>6E845</t>
  </si>
  <si>
    <t>A320</t>
  </si>
  <si>
    <t>IX2837</t>
  </si>
  <si>
    <t>HYD</t>
  </si>
  <si>
    <t>IX2745</t>
  </si>
  <si>
    <t>B737</t>
  </si>
  <si>
    <t>1357</t>
  </si>
  <si>
    <t>6E1443</t>
  </si>
  <si>
    <t>AUH</t>
  </si>
  <si>
    <t>6E1444</t>
  </si>
  <si>
    <t>A32N</t>
  </si>
  <si>
    <t>International</t>
  </si>
  <si>
    <t>6E6408</t>
  </si>
  <si>
    <t>6E915</t>
  </si>
  <si>
    <t>I7105</t>
  </si>
  <si>
    <t>PYB</t>
  </si>
  <si>
    <t>I7205</t>
  </si>
  <si>
    <t>C 2088</t>
  </si>
  <si>
    <t>6E714</t>
  </si>
  <si>
    <t>6E6294</t>
  </si>
  <si>
    <t>6E7128</t>
  </si>
  <si>
    <t>VGA</t>
  </si>
  <si>
    <t>6E7129</t>
  </si>
  <si>
    <t>ATR-72</t>
  </si>
  <si>
    <t>6E6181</t>
  </si>
  <si>
    <t>6E881</t>
  </si>
  <si>
    <t>6E879</t>
  </si>
  <si>
    <t>6E6645</t>
  </si>
  <si>
    <t>Afternoon</t>
  </si>
  <si>
    <t>6E7064</t>
  </si>
  <si>
    <t>TIR</t>
  </si>
  <si>
    <t>6E7063</t>
  </si>
  <si>
    <t>6E6336</t>
  </si>
  <si>
    <t>BLR</t>
  </si>
  <si>
    <t>6E5309</t>
  </si>
  <si>
    <t>A321</t>
  </si>
  <si>
    <t>6E409</t>
  </si>
  <si>
    <t>6E5247</t>
  </si>
  <si>
    <t>BOM</t>
  </si>
  <si>
    <t>6E504</t>
  </si>
  <si>
    <t>6E783</t>
  </si>
  <si>
    <t>IX2819</t>
  </si>
  <si>
    <t>IX2744</t>
  </si>
  <si>
    <t>AI419</t>
  </si>
  <si>
    <t>AI420</t>
  </si>
  <si>
    <t>6E2698</t>
  </si>
  <si>
    <t>6E6089</t>
  </si>
  <si>
    <t>6E7361</t>
  </si>
  <si>
    <t>881</t>
  </si>
  <si>
    <t>6E7362</t>
  </si>
  <si>
    <t>BBI</t>
  </si>
  <si>
    <t>Evening</t>
  </si>
  <si>
    <t>Check Origin</t>
  </si>
  <si>
    <t>IX2023</t>
  </si>
  <si>
    <t>IX1358</t>
  </si>
  <si>
    <t>6E 208</t>
  </si>
  <si>
    <t>6E 216</t>
  </si>
  <si>
    <t>6E 616</t>
  </si>
  <si>
    <t>CCU</t>
  </si>
  <si>
    <t>6E 617</t>
  </si>
  <si>
    <t>6E5248</t>
  </si>
  <si>
    <t>NMI</t>
  </si>
  <si>
    <t>6E883</t>
  </si>
  <si>
    <t>6E969</t>
  </si>
  <si>
    <t>6E2772</t>
  </si>
  <si>
    <t>6E384</t>
  </si>
  <si>
    <t>6E385</t>
  </si>
  <si>
    <t>AI1702</t>
  </si>
  <si>
    <t>AI1802</t>
  </si>
  <si>
    <t>IX1373</t>
  </si>
  <si>
    <t>6E2213</t>
  </si>
  <si>
    <t>6E6631</t>
  </si>
  <si>
    <t>Monday</t>
  </si>
  <si>
    <t>1246</t>
  </si>
  <si>
    <t>IX2064</t>
  </si>
  <si>
    <t>IX2065</t>
  </si>
  <si>
    <t>1356</t>
  </si>
  <si>
    <t>TR784</t>
  </si>
  <si>
    <t>SIN</t>
  </si>
  <si>
    <t>TR785</t>
  </si>
  <si>
    <t>Tuesday</t>
  </si>
  <si>
    <t>246</t>
  </si>
  <si>
    <t>6E7176</t>
  </si>
  <si>
    <t>KJB</t>
  </si>
  <si>
    <t>6E7177</t>
  </si>
  <si>
    <t>Wednesday</t>
  </si>
  <si>
    <t>Thursday</t>
  </si>
  <si>
    <t>Friday</t>
  </si>
  <si>
    <t>Saturday</t>
  </si>
  <si>
    <t>Remarks</t>
  </si>
  <si>
    <t>INTL</t>
  </si>
  <si>
    <t>Metric</t>
  </si>
  <si>
    <t>Value</t>
  </si>
  <si>
    <t>Schedule period</t>
  </si>
  <si>
    <t>29-Mar-2026 to 24-Oct-2026</t>
  </si>
  <si>
    <t>Calendar days inclusive</t>
  </si>
  <si>
    <t>Base schedule rows</t>
  </si>
  <si>
    <t>Expanded operating rotations</t>
  </si>
  <si>
    <t>Expanded arrivals</t>
  </si>
  <si>
    <t>Expanded departures</t>
  </si>
  <si>
    <t>Expanded total aircraft movements</t>
  </si>
  <si>
    <t>Approx inbound seats</t>
  </si>
  <si>
    <t>Approx outbound seats</t>
  </si>
  <si>
    <t>Source data quality flags</t>
  </si>
  <si>
    <t>Dates in Period</t>
  </si>
  <si>
    <t>Avg Rotations per Date</t>
  </si>
  <si>
    <t>Total Rotations</t>
  </si>
  <si>
    <t>Total Movements</t>
  </si>
  <si>
    <t>Approx Seats per Direction</t>
  </si>
  <si>
    <t>Rotations</t>
  </si>
  <si>
    <t>Movements</t>
  </si>
  <si>
    <t>Arrival</t>
  </si>
  <si>
    <t>Dep</t>
  </si>
  <si>
    <t>Hour</t>
  </si>
  <si>
    <t>&lt;30 min</t>
  </si>
  <si>
    <t>30&gt; &lt;60 min</t>
  </si>
  <si>
    <t>&gt;60&lt;90</t>
  </si>
  <si>
    <t>&gt;90&lt;120</t>
  </si>
  <si>
    <t>120&gt;150&lt;</t>
  </si>
  <si>
    <t>&gt;150&lt;180</t>
  </si>
  <si>
    <t>&gt;180</t>
  </si>
  <si>
    <t>6:30-6:00</t>
  </si>
  <si>
    <t>7:00-7:30</t>
  </si>
  <si>
    <t>06:00-5:30</t>
  </si>
  <si>
    <t>5:00-5:30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</si>
</sst>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165" fontId="0" fillId="3" borderId="0" xfId="0" applyNumberFormat="1" applyFill="1" applyAlignment="1">
      <alignment vertical="center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vertical="center"/>
    </xf>
    <xf numFmtId="20" fontId="0" fillId="3" borderId="0" xfId="0" applyNumberFormat="1" applyFill="1" applyAlignment="1">
      <alignment vertical="center"/>
    </xf>
    <xf numFmtId="0" fontId="2" fillId="4" borderId="0" xfId="0" applyFont="1" applyFill="1" applyAlignment="1">
      <alignment vertical="center"/>
    </xf>
    <xf numFmtId="164" fontId="0" fillId="0" borderId="0" xfId="0" applyNumberFormat="1"/>
    <xf numFmtId="21" fontId="0" fillId="0" borderId="0" xfId="0" applyNumberFormat="1"/>
    <xf numFmtId="164" fontId="0" fillId="3" borderId="0" xfId="0" applyNumberFormat="1" applyFill="1"/>
    <xf numFmtId="0" fontId="0" fillId="3" borderId="0" xfId="0" applyFill="1"/>
    <xf numFmtId="21" fontId="0" fillId="3" borderId="0" xfId="0" applyNumberFormat="1" applyFill="1"/>
    <xf numFmtId="0" fontId="2" fillId="4" borderId="0" xfId="0" applyFont="1" applyFill="1"/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vertical="center"/>
    </xf>
    <xf numFmtId="20" fontId="0" fillId="4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right" vertical="center"/>
    </xf>
    <xf numFmtId="20" fontId="0" fillId="0" borderId="0" xfId="0" applyNumberFormat="1"/>
  </cellXfs>
  <cellStyles count="1">
    <cellStyle name="Normal" xfId="0" builtinId="0"/>
  </cellStyles>
  <dxfs count="3">
    <dxf>
      <numFmt numFmtId="25" formatCode="hh:mm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vrajyotiBatabyal/AppData/Local/Microsoft/Windows/INetCache/Content.Outlook/BTM6CT1I/JUN%20LOADS%20FOR%20AIR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d Factor Sheet June Airl"/>
      <sheetName val="Load Factor Sheet June Acft  "/>
    </sheetNames>
    <sheetDataSet>
      <sheetData sheetId="0"/>
      <sheetData sheetId="1">
        <row r="5">
          <cell r="B5">
            <v>0.80977272727272731</v>
          </cell>
          <cell r="D5">
            <v>0.87681818181818183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ilySchedule" displayName="tblDailySchedule" ref="A1:T5821">
  <autoFilter ref="A1:T5821" xr:uid="{00000000-0009-0000-0100-000001000000}">
    <filterColumn colId="0">
      <filters>
        <dateGroupItem year="2026" month="3" day="30" dateTimeGrouping="day"/>
      </filters>
    </filterColumn>
    <filterColumn colId="12">
      <filters>
        <filter val="A320"/>
        <filter val="A320N"/>
        <filter val="A321"/>
        <filter val="A32N"/>
        <filter val="B737"/>
      </filters>
    </filterColumn>
  </autoFilter>
  <tableColumns count="20">
    <tableColumn id="1" xr3:uid="{00000000-0010-0000-0000-000001000000}" name="Date"/>
    <tableColumn id="2" xr3:uid="{00000000-0010-0000-0000-000002000000}" name="Day No"/>
    <tableColumn id="3" xr3:uid="{00000000-0010-0000-0000-000003000000}" name="Day"/>
    <tableColumn id="4" xr3:uid="{00000000-0010-0000-0000-000004000000}" name="Season"/>
    <tableColumn id="5" xr3:uid="{00000000-0010-0000-0000-000005000000}" name="SL No"/>
    <tableColumn id="6" xr3:uid="{00000000-0010-0000-0000-000006000000}" name="Frequency"/>
    <tableColumn id="7" xr3:uid="{00000000-0010-0000-0000-000007000000}" name="Arrival Flight"/>
    <tableColumn id="8" xr3:uid="{00000000-0010-0000-0000-000008000000}" name="Origin"/>
    <tableColumn id="9" xr3:uid="{00000000-0010-0000-0000-000009000000}" name="STA"/>
    <tableColumn id="10" xr3:uid="{00000000-0010-0000-0000-00000A000000}" name="Departure Flight"/>
    <tableColumn id="11" xr3:uid="{00000000-0010-0000-0000-00000B000000}" name="Destination"/>
    <tableColumn id="12" xr3:uid="{00000000-0010-0000-0000-00000C000000}" name="STD"/>
    <tableColumn id="13" xr3:uid="{00000000-0010-0000-0000-00000D000000}" name="Aircraft Type"/>
    <tableColumn id="14" xr3:uid="{00000000-0010-0000-0000-00000E000000}" name="Capacity Approx"/>
    <tableColumn id="15" xr3:uid="{00000000-0010-0000-0000-00000F000000}" name="Traffic Type"/>
    <tableColumn id="16" xr3:uid="{00000000-0010-0000-0000-000010000000}" name="Time Band"/>
    <tableColumn id="17" xr3:uid="{00000000-0010-0000-0000-000011000000}" name="Data Quality Flag"/>
    <tableColumn id="18" xr3:uid="{4A6FC747-FF6D-4F68-9604-6A9FADBE7635}" name="Arrival" dataDxfId="2">
      <calculatedColumnFormula>tblDailySchedule[[#This Row],[Capacity Approx]]*'[1]Load Factor Sheet June Acft  '!$B$5</calculatedColumnFormula>
    </tableColumn>
    <tableColumn id="19" xr3:uid="{6F8C0BDC-8C32-4CEC-8E6C-8BDD6EA7E971}" name="Dep" dataDxfId="1">
      <calculatedColumnFormula>tblDailySchedule[[#This Row],[Capacity Approx]]*'[1]Load Factor Sheet June Acft  '!$D$5</calculatedColumnFormula>
    </tableColumn>
    <tableColumn id="20" xr3:uid="{807B921E-BC7B-4E83-BD48-BA1D73768312}" name="Hour" dataDxfId="0">
      <calculatedColumnFormula>tblDailySchedule[[#This Row],[STD]]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ourceSchedule" displayName="tblSourceSchedule" ref="A1:K31">
  <autoFilter ref="A1:K31" xr:uid="{00000000-0009-0000-0100-000002000000}"/>
  <tableColumns count="11">
    <tableColumn id="1" xr3:uid="{00000000-0010-0000-0100-000001000000}" name="SL No"/>
    <tableColumn id="2" xr3:uid="{00000000-0010-0000-0100-000002000000}" name="Frequency"/>
    <tableColumn id="3" xr3:uid="{00000000-0010-0000-0100-000003000000}" name="Capacity Approx"/>
    <tableColumn id="4" xr3:uid="{00000000-0010-0000-0100-000004000000}" name="Aircraft Type"/>
    <tableColumn id="5" xr3:uid="{00000000-0010-0000-0100-000005000000}" name="Arrival Flight"/>
    <tableColumn id="6" xr3:uid="{00000000-0010-0000-0100-000006000000}" name="Origin"/>
    <tableColumn id="7" xr3:uid="{00000000-0010-0000-0100-000007000000}" name="STA"/>
    <tableColumn id="8" xr3:uid="{00000000-0010-0000-0100-000008000000}" name="Departure Flight"/>
    <tableColumn id="9" xr3:uid="{00000000-0010-0000-0100-000009000000}" name="Destination"/>
    <tableColumn id="10" xr3:uid="{00000000-0010-0000-0100-00000A000000}" name="STD"/>
    <tableColumn id="11" xr3:uid="{00000000-0010-0000-0100-00000B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outeSummary" displayName="tblRouteSummary" ref="A1:F17">
  <autoFilter ref="A1:F17" xr:uid="{00000000-0009-0000-0100-000003000000}"/>
  <tableColumns count="6">
    <tableColumn id="1" xr3:uid="{00000000-0010-0000-0200-000001000000}" name="Origin"/>
    <tableColumn id="2" xr3:uid="{00000000-0010-0000-0200-000002000000}" name="Destination"/>
    <tableColumn id="3" xr3:uid="{00000000-0010-0000-0200-000003000000}" name="Traffic Type"/>
    <tableColumn id="4" xr3:uid="{00000000-0010-0000-0200-000004000000}" name="Rotations"/>
    <tableColumn id="5" xr3:uid="{00000000-0010-0000-0200-000005000000}" name="Movements"/>
    <tableColumn id="6" xr3:uid="{00000000-0010-0000-0200-000006000000}" name="Approx Seats per Dire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821"/>
  <sheetViews>
    <sheetView showGridLines="0" tabSelected="1" topLeftCell="N1" workbookViewId="0">
      <pane ySplit="1" topLeftCell="A29" activePane="bottomLeft" state="frozen"/>
      <selection pane="bottomLeft" activeCell="X30" sqref="X30"/>
    </sheetView>
  </sheetViews>
  <sheetFormatPr defaultRowHeight="14.5" x14ac:dyDescent="0.35"/>
  <cols>
    <col min="1" max="1" width="13" customWidth="1"/>
    <col min="2" max="2" width="10" customWidth="1"/>
    <col min="3" max="3" width="11" customWidth="1"/>
    <col min="4" max="5" width="10" customWidth="1"/>
    <col min="6" max="6" width="11" customWidth="1"/>
    <col min="7" max="7" width="16" customWidth="1"/>
    <col min="8" max="9" width="10" customWidth="1"/>
    <col min="10" max="10" width="18" customWidth="1"/>
    <col min="11" max="11" width="13" customWidth="1"/>
    <col min="12" max="12" width="10" customWidth="1"/>
    <col min="13" max="13" width="15" customWidth="1"/>
    <col min="14" max="14" width="17" customWidth="1"/>
    <col min="15" max="15" width="15" customWidth="1"/>
    <col min="16" max="16" width="11" customWidth="1"/>
    <col min="17" max="17" width="19" customWidth="1"/>
    <col min="24" max="24" width="10.90625" bestFit="1" customWidth="1"/>
    <col min="28" max="28" width="12.0898437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t="s">
        <v>139</v>
      </c>
      <c r="S1" t="s">
        <v>140</v>
      </c>
      <c r="T1" t="s">
        <v>141</v>
      </c>
    </row>
    <row r="2" spans="1:20" hidden="1" x14ac:dyDescent="0.35">
      <c r="A2" s="2">
        <v>46110</v>
      </c>
      <c r="B2" s="3">
        <v>7</v>
      </c>
      <c r="C2" s="4" t="s">
        <v>17</v>
      </c>
      <c r="D2" s="4" t="s">
        <v>18</v>
      </c>
      <c r="E2" s="3">
        <v>2</v>
      </c>
      <c r="F2" s="4" t="s">
        <v>19</v>
      </c>
      <c r="G2" s="4" t="s">
        <v>20</v>
      </c>
      <c r="H2" s="4" t="s">
        <v>21</v>
      </c>
      <c r="I2" s="5">
        <v>0.31944444444444442</v>
      </c>
      <c r="J2" s="4" t="s">
        <v>22</v>
      </c>
      <c r="K2" s="4" t="s">
        <v>21</v>
      </c>
      <c r="L2" s="5">
        <v>0.34722222222222221</v>
      </c>
      <c r="M2" s="4" t="s">
        <v>23</v>
      </c>
      <c r="N2" s="3">
        <v>186</v>
      </c>
      <c r="O2" s="4" t="s">
        <v>24</v>
      </c>
      <c r="P2" s="4" t="s">
        <v>25</v>
      </c>
      <c r="Q2" s="4"/>
      <c r="R2">
        <f>tblDailySchedule[[#This Row],[Capacity Approx]]*'[1]Load Factor Sheet June Acft  '!$B$5</f>
        <v>150.61772727272728</v>
      </c>
      <c r="S2">
        <f>tblDailySchedule[[#This Row],[Capacity Approx]]*'[1]Load Factor Sheet June Acft  '!$D$5</f>
        <v>163.08818181818182</v>
      </c>
      <c r="T2" s="22">
        <f>tblDailySchedule[[#This Row],[STD]]</f>
        <v>0.34722222222222221</v>
      </c>
    </row>
    <row r="3" spans="1:20" hidden="1" x14ac:dyDescent="0.35">
      <c r="A3" s="2">
        <v>46110</v>
      </c>
      <c r="B3" s="3">
        <v>7</v>
      </c>
      <c r="C3" s="4" t="s">
        <v>17</v>
      </c>
      <c r="D3" s="4" t="s">
        <v>18</v>
      </c>
      <c r="E3" s="3">
        <v>3</v>
      </c>
      <c r="F3" s="4" t="s">
        <v>19</v>
      </c>
      <c r="G3" s="4" t="s">
        <v>26</v>
      </c>
      <c r="H3" s="4" t="s">
        <v>27</v>
      </c>
      <c r="I3" s="5">
        <v>0.3263888888888889</v>
      </c>
      <c r="J3" s="4" t="s">
        <v>28</v>
      </c>
      <c r="K3" s="4" t="s">
        <v>27</v>
      </c>
      <c r="L3" s="5">
        <v>0.35416666666666669</v>
      </c>
      <c r="M3" s="4" t="s">
        <v>29</v>
      </c>
      <c r="N3" s="3">
        <v>186</v>
      </c>
      <c r="O3" s="4" t="s">
        <v>24</v>
      </c>
      <c r="P3" s="4" t="s">
        <v>25</v>
      </c>
      <c r="Q3" s="4"/>
      <c r="R3">
        <f>tblDailySchedule[[#This Row],[Capacity Approx]]*'[1]Load Factor Sheet June Acft  '!$B$5</f>
        <v>150.61772727272728</v>
      </c>
      <c r="S3">
        <f>tblDailySchedule[[#This Row],[Capacity Approx]]*'[1]Load Factor Sheet June Acft  '!$D$5</f>
        <v>163.08818181818182</v>
      </c>
      <c r="T3" s="22">
        <f>tblDailySchedule[[#This Row],[STD]]</f>
        <v>0.35416666666666669</v>
      </c>
    </row>
    <row r="4" spans="1:20" hidden="1" x14ac:dyDescent="0.35">
      <c r="A4" s="2">
        <v>46110</v>
      </c>
      <c r="B4" s="3">
        <v>7</v>
      </c>
      <c r="C4" s="4" t="s">
        <v>17</v>
      </c>
      <c r="D4" s="4" t="s">
        <v>18</v>
      </c>
      <c r="E4" s="3">
        <v>4</v>
      </c>
      <c r="F4" s="4" t="s">
        <v>19</v>
      </c>
      <c r="G4" s="4" t="s">
        <v>30</v>
      </c>
      <c r="H4" s="4" t="s">
        <v>31</v>
      </c>
      <c r="I4" s="5">
        <v>0.34722222222222221</v>
      </c>
      <c r="J4" s="4" t="s">
        <v>32</v>
      </c>
      <c r="K4" s="4" t="s">
        <v>31</v>
      </c>
      <c r="L4" s="5">
        <v>0.36805555555555558</v>
      </c>
      <c r="M4" s="4" t="s">
        <v>33</v>
      </c>
      <c r="N4" s="3">
        <v>189</v>
      </c>
      <c r="O4" s="4" t="s">
        <v>24</v>
      </c>
      <c r="P4" s="4" t="s">
        <v>25</v>
      </c>
      <c r="Q4" s="4"/>
      <c r="R4">
        <f>tblDailySchedule[[#This Row],[Capacity Approx]]*'[1]Load Factor Sheet June Acft  '!$B$5</f>
        <v>153.04704545454547</v>
      </c>
      <c r="S4">
        <f>tblDailySchedule[[#This Row],[Capacity Approx]]*'[1]Load Factor Sheet June Acft  '!$D$5</f>
        <v>165.71863636363636</v>
      </c>
      <c r="T4" s="22">
        <f>tblDailySchedule[[#This Row],[STD]]</f>
        <v>0.36805555555555558</v>
      </c>
    </row>
    <row r="5" spans="1:20" hidden="1" x14ac:dyDescent="0.35">
      <c r="A5" s="6">
        <v>46110</v>
      </c>
      <c r="B5" s="7">
        <v>7</v>
      </c>
      <c r="C5" s="8" t="s">
        <v>17</v>
      </c>
      <c r="D5" s="8" t="s">
        <v>18</v>
      </c>
      <c r="E5" s="7">
        <v>6</v>
      </c>
      <c r="F5" s="8" t="s">
        <v>34</v>
      </c>
      <c r="G5" s="8" t="s">
        <v>35</v>
      </c>
      <c r="H5" s="8" t="s">
        <v>36</v>
      </c>
      <c r="I5" s="9">
        <v>0.34722222222222221</v>
      </c>
      <c r="J5" s="8" t="s">
        <v>37</v>
      </c>
      <c r="K5" s="8" t="s">
        <v>36</v>
      </c>
      <c r="L5" s="9">
        <v>0.40972222222222221</v>
      </c>
      <c r="M5" s="8" t="s">
        <v>38</v>
      </c>
      <c r="N5" s="7">
        <v>186</v>
      </c>
      <c r="O5" s="8" t="s">
        <v>39</v>
      </c>
      <c r="P5" s="8" t="s">
        <v>25</v>
      </c>
      <c r="Q5" s="8" t="s">
        <v>39</v>
      </c>
      <c r="R5">
        <f>tblDailySchedule[[#This Row],[Capacity Approx]]*'[1]Load Factor Sheet June Acft  '!$B$5</f>
        <v>150.61772727272728</v>
      </c>
      <c r="S5">
        <f>tblDailySchedule[[#This Row],[Capacity Approx]]*'[1]Load Factor Sheet June Acft  '!$D$5</f>
        <v>163.08818181818182</v>
      </c>
      <c r="T5" s="22">
        <f>tblDailySchedule[[#This Row],[STD]]</f>
        <v>0.40972222222222221</v>
      </c>
    </row>
    <row r="6" spans="1:20" hidden="1" x14ac:dyDescent="0.35">
      <c r="A6" s="2">
        <v>46110</v>
      </c>
      <c r="B6" s="3">
        <v>7</v>
      </c>
      <c r="C6" s="4" t="s">
        <v>17</v>
      </c>
      <c r="D6" s="4" t="s">
        <v>18</v>
      </c>
      <c r="E6" s="3">
        <v>5</v>
      </c>
      <c r="F6" s="4" t="s">
        <v>19</v>
      </c>
      <c r="G6" s="4" t="s">
        <v>40</v>
      </c>
      <c r="H6" s="4" t="s">
        <v>31</v>
      </c>
      <c r="I6" s="5">
        <v>0.35069444444444442</v>
      </c>
      <c r="J6" s="4" t="s">
        <v>41</v>
      </c>
      <c r="K6" s="4" t="s">
        <v>31</v>
      </c>
      <c r="L6" s="5">
        <v>0.37152777777777779</v>
      </c>
      <c r="M6" s="4" t="s">
        <v>23</v>
      </c>
      <c r="N6" s="3">
        <v>186</v>
      </c>
      <c r="O6" s="4" t="s">
        <v>24</v>
      </c>
      <c r="P6" s="4" t="s">
        <v>25</v>
      </c>
      <c r="Q6" s="4"/>
      <c r="R6">
        <f>tblDailySchedule[[#This Row],[Capacity Approx]]*'[1]Load Factor Sheet June Acft  '!$B$5</f>
        <v>150.61772727272728</v>
      </c>
      <c r="S6">
        <f>tblDailySchedule[[#This Row],[Capacity Approx]]*'[1]Load Factor Sheet June Acft  '!$D$5</f>
        <v>163.08818181818182</v>
      </c>
      <c r="T6" s="22">
        <f>tblDailySchedule[[#This Row],[STD]]</f>
        <v>0.37152777777777779</v>
      </c>
    </row>
    <row r="7" spans="1:20" hidden="1" x14ac:dyDescent="0.35">
      <c r="A7" s="2">
        <v>46110</v>
      </c>
      <c r="B7" s="3">
        <v>7</v>
      </c>
      <c r="C7" s="4" t="s">
        <v>17</v>
      </c>
      <c r="D7" s="4" t="s">
        <v>18</v>
      </c>
      <c r="E7" s="3">
        <v>7</v>
      </c>
      <c r="F7" s="4" t="s">
        <v>19</v>
      </c>
      <c r="G7" s="4" t="s">
        <v>42</v>
      </c>
      <c r="H7" s="4" t="s">
        <v>43</v>
      </c>
      <c r="I7" s="5">
        <v>0.3923611111111111</v>
      </c>
      <c r="J7" s="4" t="s">
        <v>44</v>
      </c>
      <c r="K7" s="4" t="s">
        <v>43</v>
      </c>
      <c r="L7" s="5">
        <v>0.40277777777777779</v>
      </c>
      <c r="M7" s="4" t="s">
        <v>45</v>
      </c>
      <c r="N7" s="3">
        <v>9</v>
      </c>
      <c r="O7" s="4" t="s">
        <v>24</v>
      </c>
      <c r="P7" s="4" t="s">
        <v>25</v>
      </c>
      <c r="Q7" s="4"/>
      <c r="R7">
        <f>tblDailySchedule[[#This Row],[Capacity Approx]]*'[1]Load Factor Sheet June Acft  '!$B$5</f>
        <v>7.2879545454545456</v>
      </c>
      <c r="S7">
        <f>tblDailySchedule[[#This Row],[Capacity Approx]]*'[1]Load Factor Sheet June Acft  '!$D$5</f>
        <v>7.8913636363636366</v>
      </c>
      <c r="T7" s="22">
        <f>tblDailySchedule[[#This Row],[STD]]</f>
        <v>0.40277777777777779</v>
      </c>
    </row>
    <row r="8" spans="1:20" hidden="1" x14ac:dyDescent="0.35">
      <c r="A8" s="2">
        <v>46110</v>
      </c>
      <c r="B8" s="3">
        <v>7</v>
      </c>
      <c r="C8" s="4" t="s">
        <v>17</v>
      </c>
      <c r="D8" s="4" t="s">
        <v>18</v>
      </c>
      <c r="E8" s="3">
        <v>8</v>
      </c>
      <c r="F8" s="4" t="s">
        <v>19</v>
      </c>
      <c r="G8" s="4" t="s">
        <v>46</v>
      </c>
      <c r="H8" s="4" t="s">
        <v>31</v>
      </c>
      <c r="I8" s="5">
        <v>0.4201388888888889</v>
      </c>
      <c r="J8" s="4" t="s">
        <v>47</v>
      </c>
      <c r="K8" s="4" t="s">
        <v>31</v>
      </c>
      <c r="L8" s="5">
        <v>0.44444444444444442</v>
      </c>
      <c r="M8" s="4" t="s">
        <v>29</v>
      </c>
      <c r="N8" s="3">
        <v>186</v>
      </c>
      <c r="O8" s="4" t="s">
        <v>24</v>
      </c>
      <c r="P8" s="4" t="s">
        <v>25</v>
      </c>
      <c r="Q8" s="4"/>
      <c r="R8">
        <f>tblDailySchedule[[#This Row],[Capacity Approx]]*'[1]Load Factor Sheet June Acft  '!$B$5</f>
        <v>150.61772727272728</v>
      </c>
      <c r="S8">
        <f>tblDailySchedule[[#This Row],[Capacity Approx]]*'[1]Load Factor Sheet June Acft  '!$D$5</f>
        <v>163.08818181818182</v>
      </c>
      <c r="T8" s="22">
        <f>tblDailySchedule[[#This Row],[STD]]</f>
        <v>0.44444444444444442</v>
      </c>
    </row>
    <row r="9" spans="1:20" hidden="1" x14ac:dyDescent="0.35">
      <c r="A9" s="2">
        <v>46110</v>
      </c>
      <c r="B9" s="3">
        <v>7</v>
      </c>
      <c r="C9" s="4" t="s">
        <v>17</v>
      </c>
      <c r="D9" s="4" t="s">
        <v>18</v>
      </c>
      <c r="E9" s="3">
        <v>9</v>
      </c>
      <c r="F9" s="4" t="s">
        <v>19</v>
      </c>
      <c r="G9" s="4" t="s">
        <v>48</v>
      </c>
      <c r="H9" s="4" t="s">
        <v>49</v>
      </c>
      <c r="I9" s="5">
        <v>0.4375</v>
      </c>
      <c r="J9" s="4" t="s">
        <v>50</v>
      </c>
      <c r="K9" s="4" t="s">
        <v>49</v>
      </c>
      <c r="L9" s="5">
        <v>0.45833333333333331</v>
      </c>
      <c r="M9" s="4" t="s">
        <v>51</v>
      </c>
      <c r="N9" s="3">
        <v>78</v>
      </c>
      <c r="O9" s="4" t="s">
        <v>24</v>
      </c>
      <c r="P9" s="4" t="s">
        <v>25</v>
      </c>
      <c r="Q9" s="4"/>
      <c r="R9">
        <f>tblDailySchedule[[#This Row],[Capacity Approx]]*'[1]Load Factor Sheet June Acft  '!$B$5</f>
        <v>63.162272727272729</v>
      </c>
      <c r="S9">
        <f>tblDailySchedule[[#This Row],[Capacity Approx]]*'[1]Load Factor Sheet June Acft  '!$D$5</f>
        <v>68.391818181818181</v>
      </c>
      <c r="T9" s="22">
        <f>tblDailySchedule[[#This Row],[STD]]</f>
        <v>0.45833333333333331</v>
      </c>
    </row>
    <row r="10" spans="1:20" hidden="1" x14ac:dyDescent="0.35">
      <c r="A10" s="2">
        <v>46110</v>
      </c>
      <c r="B10" s="3">
        <v>7</v>
      </c>
      <c r="C10" s="4" t="s">
        <v>17</v>
      </c>
      <c r="D10" s="4" t="s">
        <v>18</v>
      </c>
      <c r="E10" s="3">
        <v>10</v>
      </c>
      <c r="F10" s="4" t="s">
        <v>19</v>
      </c>
      <c r="G10" s="4" t="s">
        <v>52</v>
      </c>
      <c r="H10" s="4" t="s">
        <v>27</v>
      </c>
      <c r="I10" s="5">
        <v>0.4826388888888889</v>
      </c>
      <c r="J10" s="4" t="s">
        <v>53</v>
      </c>
      <c r="K10" s="4" t="s">
        <v>27</v>
      </c>
      <c r="L10" s="5">
        <v>0.51041666666666663</v>
      </c>
      <c r="M10" s="4" t="s">
        <v>23</v>
      </c>
      <c r="N10" s="3">
        <v>186</v>
      </c>
      <c r="O10" s="4" t="s">
        <v>24</v>
      </c>
      <c r="P10" s="4" t="s">
        <v>25</v>
      </c>
      <c r="Q10" s="4"/>
      <c r="R10">
        <f>tblDailySchedule[[#This Row],[Capacity Approx]]*'[1]Load Factor Sheet June Acft  '!$B$5</f>
        <v>150.61772727272728</v>
      </c>
      <c r="S10">
        <f>tblDailySchedule[[#This Row],[Capacity Approx]]*'[1]Load Factor Sheet June Acft  '!$D$5</f>
        <v>163.08818181818182</v>
      </c>
      <c r="T10" s="22">
        <f>tblDailySchedule[[#This Row],[STD]]</f>
        <v>0.51041666666666663</v>
      </c>
    </row>
    <row r="11" spans="1:20" hidden="1" x14ac:dyDescent="0.35">
      <c r="A11" s="2">
        <v>46110</v>
      </c>
      <c r="B11" s="3">
        <v>7</v>
      </c>
      <c r="C11" s="4" t="s">
        <v>17</v>
      </c>
      <c r="D11" s="4" t="s">
        <v>18</v>
      </c>
      <c r="E11" s="3">
        <v>11</v>
      </c>
      <c r="F11" s="4" t="s">
        <v>19</v>
      </c>
      <c r="G11" s="4" t="s">
        <v>54</v>
      </c>
      <c r="H11" s="4" t="s">
        <v>31</v>
      </c>
      <c r="I11" s="5">
        <v>0.51388888888888884</v>
      </c>
      <c r="J11" s="4" t="s">
        <v>55</v>
      </c>
      <c r="K11" s="4" t="s">
        <v>31</v>
      </c>
      <c r="L11" s="5">
        <v>0.54166666666666663</v>
      </c>
      <c r="M11" s="4" t="s">
        <v>23</v>
      </c>
      <c r="N11" s="3">
        <v>186</v>
      </c>
      <c r="O11" s="4" t="s">
        <v>24</v>
      </c>
      <c r="P11" s="4" t="s">
        <v>56</v>
      </c>
      <c r="Q11" s="4"/>
      <c r="R11">
        <f>tblDailySchedule[[#This Row],[Capacity Approx]]*'[1]Load Factor Sheet June Acft  '!$B$5</f>
        <v>150.61772727272728</v>
      </c>
      <c r="S11">
        <f>tblDailySchedule[[#This Row],[Capacity Approx]]*'[1]Load Factor Sheet June Acft  '!$D$5</f>
        <v>163.08818181818182</v>
      </c>
      <c r="T11" s="22">
        <f>tblDailySchedule[[#This Row],[STD]]</f>
        <v>0.54166666666666663</v>
      </c>
    </row>
    <row r="12" spans="1:20" hidden="1" x14ac:dyDescent="0.35">
      <c r="A12" s="2">
        <v>46110</v>
      </c>
      <c r="B12" s="3">
        <v>7</v>
      </c>
      <c r="C12" s="4" t="s">
        <v>17</v>
      </c>
      <c r="D12" s="4" t="s">
        <v>18</v>
      </c>
      <c r="E12" s="3">
        <v>13</v>
      </c>
      <c r="F12" s="4" t="s">
        <v>19</v>
      </c>
      <c r="G12" s="4" t="s">
        <v>57</v>
      </c>
      <c r="H12" s="4" t="s">
        <v>58</v>
      </c>
      <c r="I12" s="5">
        <v>0.55902777777777779</v>
      </c>
      <c r="J12" s="4" t="s">
        <v>59</v>
      </c>
      <c r="K12" s="4" t="s">
        <v>58</v>
      </c>
      <c r="L12" s="5">
        <v>0.57638888888888884</v>
      </c>
      <c r="M12" s="4" t="s">
        <v>51</v>
      </c>
      <c r="N12" s="3">
        <v>78</v>
      </c>
      <c r="O12" s="4" t="s">
        <v>24</v>
      </c>
      <c r="P12" s="4" t="s">
        <v>56</v>
      </c>
      <c r="Q12" s="4"/>
      <c r="R12">
        <f>tblDailySchedule[[#This Row],[Capacity Approx]]*'[1]Load Factor Sheet June Acft  '!$B$5</f>
        <v>63.162272727272729</v>
      </c>
      <c r="S12">
        <f>tblDailySchedule[[#This Row],[Capacity Approx]]*'[1]Load Factor Sheet June Acft  '!$D$5</f>
        <v>68.391818181818181</v>
      </c>
      <c r="T12" s="22">
        <f>tblDailySchedule[[#This Row],[STD]]</f>
        <v>0.57638888888888884</v>
      </c>
    </row>
    <row r="13" spans="1:20" hidden="1" x14ac:dyDescent="0.35">
      <c r="A13" s="2">
        <v>46110</v>
      </c>
      <c r="B13" s="3">
        <v>7</v>
      </c>
      <c r="C13" s="4" t="s">
        <v>17</v>
      </c>
      <c r="D13" s="4" t="s">
        <v>18</v>
      </c>
      <c r="E13" s="3">
        <v>14</v>
      </c>
      <c r="F13" s="4" t="s">
        <v>19</v>
      </c>
      <c r="G13" s="4" t="s">
        <v>60</v>
      </c>
      <c r="H13" s="4" t="s">
        <v>61</v>
      </c>
      <c r="I13" s="5">
        <v>0.59027777777777779</v>
      </c>
      <c r="J13" s="4" t="s">
        <v>62</v>
      </c>
      <c r="K13" s="4" t="s">
        <v>61</v>
      </c>
      <c r="L13" s="5">
        <v>0.62152777777777779</v>
      </c>
      <c r="M13" s="4" t="s">
        <v>63</v>
      </c>
      <c r="N13" s="3">
        <v>232</v>
      </c>
      <c r="O13" s="4" t="s">
        <v>24</v>
      </c>
      <c r="P13" s="4" t="s">
        <v>56</v>
      </c>
      <c r="Q13" s="4"/>
      <c r="R13">
        <f>tblDailySchedule[[#This Row],[Capacity Approx]]*'[1]Load Factor Sheet June Acft  '!$B$5</f>
        <v>187.86727272727273</v>
      </c>
      <c r="S13">
        <f>tblDailySchedule[[#This Row],[Capacity Approx]]*'[1]Load Factor Sheet June Acft  '!$D$5</f>
        <v>203.4218181818182</v>
      </c>
      <c r="T13" s="22">
        <f>tblDailySchedule[[#This Row],[STD]]</f>
        <v>0.62152777777777779</v>
      </c>
    </row>
    <row r="14" spans="1:20" hidden="1" x14ac:dyDescent="0.35">
      <c r="A14" s="2">
        <v>46110</v>
      </c>
      <c r="B14" s="3">
        <v>7</v>
      </c>
      <c r="C14" s="4" t="s">
        <v>17</v>
      </c>
      <c r="D14" s="4" t="s">
        <v>18</v>
      </c>
      <c r="E14" s="3">
        <v>15</v>
      </c>
      <c r="F14" s="4" t="s">
        <v>19</v>
      </c>
      <c r="G14" s="4" t="s">
        <v>64</v>
      </c>
      <c r="H14" s="4" t="s">
        <v>31</v>
      </c>
      <c r="I14" s="5">
        <v>0.60069444444444442</v>
      </c>
      <c r="J14" s="4" t="s">
        <v>65</v>
      </c>
      <c r="K14" s="4" t="s">
        <v>66</v>
      </c>
      <c r="L14" s="5">
        <v>0.62847222222222221</v>
      </c>
      <c r="M14" s="4" t="s">
        <v>63</v>
      </c>
      <c r="N14" s="3">
        <v>232</v>
      </c>
      <c r="O14" s="4" t="s">
        <v>24</v>
      </c>
      <c r="P14" s="4" t="s">
        <v>56</v>
      </c>
      <c r="Q14" s="4"/>
      <c r="R14">
        <f>tblDailySchedule[[#This Row],[Capacity Approx]]*'[1]Load Factor Sheet June Acft  '!$B$5</f>
        <v>187.86727272727273</v>
      </c>
      <c r="S14">
        <f>tblDailySchedule[[#This Row],[Capacity Approx]]*'[1]Load Factor Sheet June Acft  '!$D$5</f>
        <v>203.4218181818182</v>
      </c>
      <c r="T14" s="22">
        <f>tblDailySchedule[[#This Row],[STD]]</f>
        <v>0.62847222222222221</v>
      </c>
    </row>
    <row r="15" spans="1:20" hidden="1" x14ac:dyDescent="0.35">
      <c r="A15" s="2">
        <v>46110</v>
      </c>
      <c r="B15" s="3">
        <v>7</v>
      </c>
      <c r="C15" s="4" t="s">
        <v>17</v>
      </c>
      <c r="D15" s="4" t="s">
        <v>18</v>
      </c>
      <c r="E15" s="3">
        <v>16</v>
      </c>
      <c r="F15" s="4" t="s">
        <v>19</v>
      </c>
      <c r="G15" s="4" t="s">
        <v>67</v>
      </c>
      <c r="H15" s="4" t="s">
        <v>31</v>
      </c>
      <c r="I15" s="5">
        <v>0.65625</v>
      </c>
      <c r="J15" s="4" t="s">
        <v>68</v>
      </c>
      <c r="K15" s="4" t="s">
        <v>31</v>
      </c>
      <c r="L15" s="5">
        <v>0.68402777777777779</v>
      </c>
      <c r="M15" s="4" t="s">
        <v>63</v>
      </c>
      <c r="N15" s="3">
        <v>232</v>
      </c>
      <c r="O15" s="4" t="s">
        <v>24</v>
      </c>
      <c r="P15" s="4" t="s">
        <v>56</v>
      </c>
      <c r="Q15" s="4"/>
      <c r="R15">
        <f>tblDailySchedule[[#This Row],[Capacity Approx]]*'[1]Load Factor Sheet June Acft  '!$B$5</f>
        <v>187.86727272727273</v>
      </c>
      <c r="S15">
        <f>tblDailySchedule[[#This Row],[Capacity Approx]]*'[1]Load Factor Sheet June Acft  '!$D$5</f>
        <v>203.4218181818182</v>
      </c>
      <c r="T15" s="22">
        <f>tblDailySchedule[[#This Row],[STD]]</f>
        <v>0.68402777777777779</v>
      </c>
    </row>
    <row r="16" spans="1:20" hidden="1" x14ac:dyDescent="0.35">
      <c r="A16" s="2">
        <v>46110</v>
      </c>
      <c r="B16" s="3">
        <v>7</v>
      </c>
      <c r="C16" s="4" t="s">
        <v>17</v>
      </c>
      <c r="D16" s="4" t="s">
        <v>18</v>
      </c>
      <c r="E16" s="3">
        <v>17</v>
      </c>
      <c r="F16" s="4" t="s">
        <v>19</v>
      </c>
      <c r="G16" s="4" t="s">
        <v>69</v>
      </c>
      <c r="H16" s="4" t="s">
        <v>31</v>
      </c>
      <c r="I16" s="5">
        <v>0.66319444444444442</v>
      </c>
      <c r="J16" s="4" t="s">
        <v>70</v>
      </c>
      <c r="K16" s="4" t="s">
        <v>31</v>
      </c>
      <c r="L16" s="5">
        <v>0.69097222222222221</v>
      </c>
      <c r="M16" s="4" t="s">
        <v>33</v>
      </c>
      <c r="N16" s="3">
        <v>189</v>
      </c>
      <c r="O16" s="4" t="s">
        <v>24</v>
      </c>
      <c r="P16" s="4" t="s">
        <v>56</v>
      </c>
      <c r="Q16" s="4"/>
      <c r="R16">
        <f>tblDailySchedule[[#This Row],[Capacity Approx]]*'[1]Load Factor Sheet June Acft  '!$B$5</f>
        <v>153.04704545454547</v>
      </c>
      <c r="S16">
        <f>tblDailySchedule[[#This Row],[Capacity Approx]]*'[1]Load Factor Sheet June Acft  '!$D$5</f>
        <v>165.71863636363636</v>
      </c>
      <c r="T16" s="22">
        <f>tblDailySchedule[[#This Row],[STD]]</f>
        <v>0.69097222222222221</v>
      </c>
    </row>
    <row r="17" spans="1:28" hidden="1" x14ac:dyDescent="0.35">
      <c r="A17" s="2">
        <v>46110</v>
      </c>
      <c r="B17" s="3">
        <v>7</v>
      </c>
      <c r="C17" s="4" t="s">
        <v>17</v>
      </c>
      <c r="D17" s="4" t="s">
        <v>18</v>
      </c>
      <c r="E17" s="3">
        <v>18</v>
      </c>
      <c r="F17" s="4" t="s">
        <v>19</v>
      </c>
      <c r="G17" s="4" t="s">
        <v>71</v>
      </c>
      <c r="H17" s="4" t="s">
        <v>21</v>
      </c>
      <c r="I17" s="5">
        <v>0.67013888888888884</v>
      </c>
      <c r="J17" s="4" t="s">
        <v>72</v>
      </c>
      <c r="K17" s="4" t="s">
        <v>21</v>
      </c>
      <c r="L17" s="5">
        <v>0.69791666666666663</v>
      </c>
      <c r="M17" s="4" t="s">
        <v>63</v>
      </c>
      <c r="N17" s="3">
        <v>232</v>
      </c>
      <c r="O17" s="4" t="s">
        <v>24</v>
      </c>
      <c r="P17" s="4" t="s">
        <v>56</v>
      </c>
      <c r="Q17" s="4"/>
      <c r="R17">
        <f>tblDailySchedule[[#This Row],[Capacity Approx]]*'[1]Load Factor Sheet June Acft  '!$B$5</f>
        <v>187.86727272727273</v>
      </c>
      <c r="S17">
        <f>tblDailySchedule[[#This Row],[Capacity Approx]]*'[1]Load Factor Sheet June Acft  '!$D$5</f>
        <v>203.4218181818182</v>
      </c>
      <c r="T17" s="22">
        <f>tblDailySchedule[[#This Row],[STD]]</f>
        <v>0.69791666666666663</v>
      </c>
    </row>
    <row r="18" spans="1:28" hidden="1" x14ac:dyDescent="0.35">
      <c r="A18" s="2">
        <v>46110</v>
      </c>
      <c r="B18" s="3">
        <v>7</v>
      </c>
      <c r="C18" s="4" t="s">
        <v>17</v>
      </c>
      <c r="D18" s="4" t="s">
        <v>18</v>
      </c>
      <c r="E18" s="3">
        <v>19</v>
      </c>
      <c r="F18" s="4" t="s">
        <v>19</v>
      </c>
      <c r="G18" s="4" t="s">
        <v>73</v>
      </c>
      <c r="H18" s="4" t="s">
        <v>27</v>
      </c>
      <c r="I18" s="5">
        <v>0.74652777777777779</v>
      </c>
      <c r="J18" s="4" t="s">
        <v>74</v>
      </c>
      <c r="K18" s="4" t="s">
        <v>27</v>
      </c>
      <c r="L18" s="5">
        <v>0.77430555555555558</v>
      </c>
      <c r="M18" s="4" t="s">
        <v>63</v>
      </c>
      <c r="N18" s="3">
        <v>232</v>
      </c>
      <c r="O18" s="4" t="s">
        <v>24</v>
      </c>
      <c r="P18" s="4" t="s">
        <v>56</v>
      </c>
      <c r="Q18" s="4"/>
      <c r="R18">
        <f>tblDailySchedule[[#This Row],[Capacity Approx]]*'[1]Load Factor Sheet June Acft  '!$B$5</f>
        <v>187.86727272727273</v>
      </c>
      <c r="S18">
        <f>tblDailySchedule[[#This Row],[Capacity Approx]]*'[1]Load Factor Sheet June Acft  '!$D$5</f>
        <v>203.4218181818182</v>
      </c>
      <c r="T18" s="22">
        <f>tblDailySchedule[[#This Row],[STD]]</f>
        <v>0.77430555555555558</v>
      </c>
    </row>
    <row r="19" spans="1:28" hidden="1" x14ac:dyDescent="0.35">
      <c r="A19" s="2">
        <v>46110</v>
      </c>
      <c r="B19" s="3">
        <v>7</v>
      </c>
      <c r="C19" s="4" t="s">
        <v>17</v>
      </c>
      <c r="D19" s="4" t="s">
        <v>18</v>
      </c>
      <c r="E19" s="3">
        <v>20</v>
      </c>
      <c r="F19" s="4" t="s">
        <v>34</v>
      </c>
      <c r="G19" s="4" t="s">
        <v>75</v>
      </c>
      <c r="H19" s="4" t="s">
        <v>76</v>
      </c>
      <c r="I19" s="5">
        <v>0.76388888888888884</v>
      </c>
      <c r="J19" s="4" t="s">
        <v>77</v>
      </c>
      <c r="K19" s="4" t="s">
        <v>78</v>
      </c>
      <c r="L19" s="5">
        <v>0.78472222222222221</v>
      </c>
      <c r="M19" s="4" t="s">
        <v>51</v>
      </c>
      <c r="N19" s="3">
        <v>78</v>
      </c>
      <c r="O19" s="4" t="s">
        <v>24</v>
      </c>
      <c r="P19" s="4" t="s">
        <v>79</v>
      </c>
      <c r="Q19" s="10" t="s">
        <v>80</v>
      </c>
      <c r="R19">
        <f>tblDailySchedule[[#This Row],[Capacity Approx]]*'[1]Load Factor Sheet June Acft  '!$B$5</f>
        <v>63.162272727272729</v>
      </c>
      <c r="S19">
        <f>tblDailySchedule[[#This Row],[Capacity Approx]]*'[1]Load Factor Sheet June Acft  '!$D$5</f>
        <v>68.391818181818181</v>
      </c>
      <c r="T19" s="22">
        <f>tblDailySchedule[[#This Row],[STD]]</f>
        <v>0.78472222222222221</v>
      </c>
    </row>
    <row r="20" spans="1:28" hidden="1" x14ac:dyDescent="0.35">
      <c r="A20" s="2">
        <v>46110</v>
      </c>
      <c r="B20" s="3">
        <v>7</v>
      </c>
      <c r="C20" s="4" t="s">
        <v>17</v>
      </c>
      <c r="D20" s="4" t="s">
        <v>18</v>
      </c>
      <c r="E20" s="3">
        <v>21</v>
      </c>
      <c r="F20" s="4" t="s">
        <v>19</v>
      </c>
      <c r="G20" s="4" t="s">
        <v>81</v>
      </c>
      <c r="H20" s="4" t="s">
        <v>61</v>
      </c>
      <c r="I20" s="5">
        <v>0.77083333333333337</v>
      </c>
      <c r="J20" s="4" t="s">
        <v>82</v>
      </c>
      <c r="K20" s="4" t="s">
        <v>49</v>
      </c>
      <c r="L20" s="5">
        <v>0.79166666666666663</v>
      </c>
      <c r="M20" s="4" t="s">
        <v>33</v>
      </c>
      <c r="N20" s="3">
        <v>189</v>
      </c>
      <c r="O20" s="4" t="s">
        <v>24</v>
      </c>
      <c r="P20" s="4" t="s">
        <v>79</v>
      </c>
      <c r="Q20" s="4"/>
      <c r="R20">
        <f>tblDailySchedule[[#This Row],[Capacity Approx]]*'[1]Load Factor Sheet June Acft  '!$B$5</f>
        <v>153.04704545454547</v>
      </c>
      <c r="S20">
        <f>tblDailySchedule[[#This Row],[Capacity Approx]]*'[1]Load Factor Sheet June Acft  '!$D$5</f>
        <v>165.71863636363636</v>
      </c>
      <c r="T20" s="22">
        <f>tblDailySchedule[[#This Row],[STD]]</f>
        <v>0.79166666666666663</v>
      </c>
    </row>
    <row r="21" spans="1:28" hidden="1" x14ac:dyDescent="0.35">
      <c r="A21" s="2">
        <v>46110</v>
      </c>
      <c r="B21" s="3">
        <v>7</v>
      </c>
      <c r="C21" s="4" t="s">
        <v>17</v>
      </c>
      <c r="D21" s="4" t="s">
        <v>18</v>
      </c>
      <c r="E21" s="3">
        <v>22</v>
      </c>
      <c r="F21" s="4" t="s">
        <v>19</v>
      </c>
      <c r="G21" s="4" t="s">
        <v>83</v>
      </c>
      <c r="H21" s="4" t="s">
        <v>31</v>
      </c>
      <c r="I21" s="5">
        <v>0.77777777777777779</v>
      </c>
      <c r="J21" s="4" t="s">
        <v>84</v>
      </c>
      <c r="K21" s="4" t="s">
        <v>31</v>
      </c>
      <c r="L21" s="5">
        <v>0.80555555555555558</v>
      </c>
      <c r="M21" s="4" t="s">
        <v>63</v>
      </c>
      <c r="N21" s="3">
        <v>232</v>
      </c>
      <c r="O21" s="4" t="s">
        <v>24</v>
      </c>
      <c r="P21" s="4" t="s">
        <v>79</v>
      </c>
      <c r="Q21" s="4"/>
      <c r="R21">
        <f>tblDailySchedule[[#This Row],[Capacity Approx]]*'[1]Load Factor Sheet June Acft  '!$B$5</f>
        <v>187.86727272727273</v>
      </c>
      <c r="S21">
        <f>tblDailySchedule[[#This Row],[Capacity Approx]]*'[1]Load Factor Sheet June Acft  '!$D$5</f>
        <v>203.4218181818182</v>
      </c>
      <c r="T21" s="22">
        <f>tblDailySchedule[[#This Row],[STD]]</f>
        <v>0.80555555555555558</v>
      </c>
    </row>
    <row r="22" spans="1:28" hidden="1" x14ac:dyDescent="0.35">
      <c r="A22" s="2">
        <v>46110</v>
      </c>
      <c r="B22" s="3">
        <v>7</v>
      </c>
      <c r="C22" s="4" t="s">
        <v>17</v>
      </c>
      <c r="D22" s="4" t="s">
        <v>18</v>
      </c>
      <c r="E22" s="3">
        <v>23</v>
      </c>
      <c r="F22" s="4" t="s">
        <v>19</v>
      </c>
      <c r="G22" s="4" t="s">
        <v>85</v>
      </c>
      <c r="H22" s="4" t="s">
        <v>86</v>
      </c>
      <c r="I22" s="5">
        <v>0.79861111111111116</v>
      </c>
      <c r="J22" s="4" t="s">
        <v>87</v>
      </c>
      <c r="K22" s="4" t="s">
        <v>86</v>
      </c>
      <c r="L22" s="5">
        <v>0.82638888888888884</v>
      </c>
      <c r="M22" s="4" t="s">
        <v>63</v>
      </c>
      <c r="N22" s="3">
        <v>232</v>
      </c>
      <c r="O22" s="4" t="s">
        <v>24</v>
      </c>
      <c r="P22" s="4" t="s">
        <v>79</v>
      </c>
      <c r="Q22" s="4"/>
      <c r="R22">
        <f>tblDailySchedule[[#This Row],[Capacity Approx]]*'[1]Load Factor Sheet June Acft  '!$B$5</f>
        <v>187.86727272727273</v>
      </c>
      <c r="S22">
        <f>tblDailySchedule[[#This Row],[Capacity Approx]]*'[1]Load Factor Sheet June Acft  '!$D$5</f>
        <v>203.4218181818182</v>
      </c>
      <c r="T22" s="22">
        <f>tblDailySchedule[[#This Row],[STD]]</f>
        <v>0.82638888888888884</v>
      </c>
    </row>
    <row r="23" spans="1:28" hidden="1" x14ac:dyDescent="0.35">
      <c r="A23" s="2">
        <v>46110</v>
      </c>
      <c r="B23" s="3">
        <v>7</v>
      </c>
      <c r="C23" s="4" t="s">
        <v>17</v>
      </c>
      <c r="D23" s="4" t="s">
        <v>18</v>
      </c>
      <c r="E23" s="3">
        <v>24</v>
      </c>
      <c r="F23" s="4" t="s">
        <v>19</v>
      </c>
      <c r="G23" s="4" t="s">
        <v>88</v>
      </c>
      <c r="H23" s="4" t="s">
        <v>89</v>
      </c>
      <c r="I23" s="5">
        <v>0.83333333333333337</v>
      </c>
      <c r="J23" s="4" t="s">
        <v>90</v>
      </c>
      <c r="K23" s="4" t="s">
        <v>31</v>
      </c>
      <c r="L23" s="5">
        <v>0.86111111111111116</v>
      </c>
      <c r="M23" s="4" t="s">
        <v>63</v>
      </c>
      <c r="N23" s="3">
        <v>232</v>
      </c>
      <c r="O23" s="4" t="s">
        <v>24</v>
      </c>
      <c r="P23" s="4" t="s">
        <v>79</v>
      </c>
      <c r="Q23" s="4"/>
      <c r="R23">
        <f>tblDailySchedule[[#This Row],[Capacity Approx]]*'[1]Load Factor Sheet June Acft  '!$B$5</f>
        <v>187.86727272727273</v>
      </c>
      <c r="S23">
        <f>tblDailySchedule[[#This Row],[Capacity Approx]]*'[1]Load Factor Sheet June Acft  '!$D$5</f>
        <v>203.4218181818182</v>
      </c>
      <c r="T23" s="22">
        <f>tblDailySchedule[[#This Row],[STD]]</f>
        <v>0.86111111111111116</v>
      </c>
    </row>
    <row r="24" spans="1:28" hidden="1" x14ac:dyDescent="0.35">
      <c r="A24" s="2">
        <v>46110</v>
      </c>
      <c r="B24" s="3">
        <v>7</v>
      </c>
      <c r="C24" s="4" t="s">
        <v>17</v>
      </c>
      <c r="D24" s="4" t="s">
        <v>18</v>
      </c>
      <c r="E24" s="3">
        <v>25</v>
      </c>
      <c r="F24" s="4" t="s">
        <v>19</v>
      </c>
      <c r="G24" s="4" t="s">
        <v>91</v>
      </c>
      <c r="H24" s="4" t="s">
        <v>61</v>
      </c>
      <c r="I24" s="5">
        <v>0.85416666666666663</v>
      </c>
      <c r="J24" s="4" t="s">
        <v>92</v>
      </c>
      <c r="K24" s="4" t="s">
        <v>61</v>
      </c>
      <c r="L24" s="5">
        <v>0.88194444444444442</v>
      </c>
      <c r="M24" s="4" t="s">
        <v>63</v>
      </c>
      <c r="N24" s="3">
        <v>232</v>
      </c>
      <c r="O24" s="4" t="s">
        <v>24</v>
      </c>
      <c r="P24" s="4" t="s">
        <v>79</v>
      </c>
      <c r="Q24" s="4"/>
      <c r="R24">
        <f>tblDailySchedule[[#This Row],[Capacity Approx]]*'[1]Load Factor Sheet June Acft  '!$B$5</f>
        <v>187.86727272727273</v>
      </c>
      <c r="S24">
        <f>tblDailySchedule[[#This Row],[Capacity Approx]]*'[1]Load Factor Sheet June Acft  '!$D$5</f>
        <v>203.4218181818182</v>
      </c>
      <c r="T24" s="22">
        <f>tblDailySchedule[[#This Row],[STD]]</f>
        <v>0.88194444444444442</v>
      </c>
    </row>
    <row r="25" spans="1:28" hidden="1" x14ac:dyDescent="0.35">
      <c r="A25" s="2">
        <v>46110</v>
      </c>
      <c r="B25" s="3">
        <v>7</v>
      </c>
      <c r="C25" s="4" t="s">
        <v>17</v>
      </c>
      <c r="D25" s="4" t="s">
        <v>18</v>
      </c>
      <c r="E25" s="3">
        <v>26</v>
      </c>
      <c r="F25" s="4" t="s">
        <v>19</v>
      </c>
      <c r="G25" s="4" t="s">
        <v>93</v>
      </c>
      <c r="H25" s="4" t="s">
        <v>31</v>
      </c>
      <c r="I25" s="5">
        <v>0.86111111111111116</v>
      </c>
      <c r="J25" s="4" t="s">
        <v>94</v>
      </c>
      <c r="K25" s="4" t="s">
        <v>31</v>
      </c>
      <c r="L25" s="5">
        <v>0.88888888888888884</v>
      </c>
      <c r="M25" s="4" t="s">
        <v>23</v>
      </c>
      <c r="N25" s="3">
        <v>186</v>
      </c>
      <c r="O25" s="4" t="s">
        <v>24</v>
      </c>
      <c r="P25" s="4" t="s">
        <v>79</v>
      </c>
      <c r="Q25" s="4"/>
      <c r="R25">
        <f>tblDailySchedule[[#This Row],[Capacity Approx]]*'[1]Load Factor Sheet June Acft  '!$B$5</f>
        <v>150.61772727272728</v>
      </c>
      <c r="S25">
        <f>tblDailySchedule[[#This Row],[Capacity Approx]]*'[1]Load Factor Sheet June Acft  '!$D$5</f>
        <v>163.08818181818182</v>
      </c>
      <c r="T25" s="22">
        <f>tblDailySchedule[[#This Row],[STD]]</f>
        <v>0.88888888888888884</v>
      </c>
    </row>
    <row r="26" spans="1:28" hidden="1" x14ac:dyDescent="0.35">
      <c r="A26" s="2">
        <v>46110</v>
      </c>
      <c r="B26" s="3">
        <v>7</v>
      </c>
      <c r="C26" s="4" t="s">
        <v>17</v>
      </c>
      <c r="D26" s="4" t="s">
        <v>18</v>
      </c>
      <c r="E26" s="3">
        <v>27</v>
      </c>
      <c r="F26" s="4" t="s">
        <v>19</v>
      </c>
      <c r="G26" s="4" t="s">
        <v>95</v>
      </c>
      <c r="H26" s="4" t="s">
        <v>21</v>
      </c>
      <c r="I26" s="5">
        <v>0.86805555555555558</v>
      </c>
      <c r="J26" s="4" t="s">
        <v>96</v>
      </c>
      <c r="K26" s="4" t="s">
        <v>21</v>
      </c>
      <c r="L26" s="5">
        <v>0.89583333333333337</v>
      </c>
      <c r="M26" s="4" t="s">
        <v>29</v>
      </c>
      <c r="N26" s="3">
        <v>186</v>
      </c>
      <c r="O26" s="4" t="s">
        <v>24</v>
      </c>
      <c r="P26" s="4" t="s">
        <v>79</v>
      </c>
      <c r="Q26" s="4"/>
      <c r="R26">
        <f>tblDailySchedule[[#This Row],[Capacity Approx]]*'[1]Load Factor Sheet June Acft  '!$B$5</f>
        <v>150.61772727272728</v>
      </c>
      <c r="S26">
        <f>tblDailySchedule[[#This Row],[Capacity Approx]]*'[1]Load Factor Sheet June Acft  '!$D$5</f>
        <v>163.08818181818182</v>
      </c>
      <c r="T26" s="22">
        <f>tblDailySchedule[[#This Row],[STD]]</f>
        <v>0.89583333333333337</v>
      </c>
    </row>
    <row r="27" spans="1:28" hidden="1" x14ac:dyDescent="0.35">
      <c r="A27" s="2">
        <v>46110</v>
      </c>
      <c r="B27" s="3">
        <v>7</v>
      </c>
      <c r="C27" s="4" t="s">
        <v>17</v>
      </c>
      <c r="D27" s="4" t="s">
        <v>18</v>
      </c>
      <c r="E27" s="3">
        <v>28</v>
      </c>
      <c r="F27" s="4" t="s">
        <v>19</v>
      </c>
      <c r="G27" s="4" t="s">
        <v>97</v>
      </c>
      <c r="H27" s="4" t="s">
        <v>49</v>
      </c>
      <c r="I27" s="5">
        <v>0.90277777777777779</v>
      </c>
      <c r="J27" s="4" t="s">
        <v>97</v>
      </c>
      <c r="K27" s="4" t="s">
        <v>61</v>
      </c>
      <c r="L27" s="5">
        <v>0.92361111111111116</v>
      </c>
      <c r="M27" s="4" t="s">
        <v>33</v>
      </c>
      <c r="N27" s="3">
        <v>189</v>
      </c>
      <c r="O27" s="4" t="s">
        <v>24</v>
      </c>
      <c r="P27" s="4" t="s">
        <v>79</v>
      </c>
      <c r="Q27" s="4"/>
      <c r="R27">
        <f>tblDailySchedule[[#This Row],[Capacity Approx]]*'[1]Load Factor Sheet June Acft  '!$B$5</f>
        <v>153.04704545454547</v>
      </c>
      <c r="S27">
        <f>tblDailySchedule[[#This Row],[Capacity Approx]]*'[1]Load Factor Sheet June Acft  '!$D$5</f>
        <v>165.71863636363636</v>
      </c>
      <c r="T27" s="22">
        <f>tblDailySchedule[[#This Row],[STD]]</f>
        <v>0.92361111111111116</v>
      </c>
    </row>
    <row r="28" spans="1:28" hidden="1" x14ac:dyDescent="0.35">
      <c r="A28" s="2">
        <v>46110</v>
      </c>
      <c r="B28" s="3">
        <v>7</v>
      </c>
      <c r="C28" s="4" t="s">
        <v>17</v>
      </c>
      <c r="D28" s="4" t="s">
        <v>18</v>
      </c>
      <c r="E28" s="3">
        <v>29</v>
      </c>
      <c r="F28" s="4" t="s">
        <v>19</v>
      </c>
      <c r="G28" s="4" t="s">
        <v>98</v>
      </c>
      <c r="H28" s="4" t="s">
        <v>21</v>
      </c>
      <c r="I28" s="5">
        <v>0.92013888888888884</v>
      </c>
      <c r="J28" s="4" t="s">
        <v>99</v>
      </c>
      <c r="K28" s="4" t="s">
        <v>21</v>
      </c>
      <c r="L28" s="5">
        <v>0.94791666666666663</v>
      </c>
      <c r="M28" s="4" t="s">
        <v>63</v>
      </c>
      <c r="N28" s="3">
        <v>232</v>
      </c>
      <c r="O28" s="4" t="s">
        <v>24</v>
      </c>
      <c r="P28" s="4" t="s">
        <v>79</v>
      </c>
      <c r="Q28" s="4"/>
      <c r="R28">
        <f>tblDailySchedule[[#This Row],[Capacity Approx]]*'[1]Load Factor Sheet June Acft  '!$B$5</f>
        <v>187.86727272727273</v>
      </c>
      <c r="S28">
        <f>tblDailySchedule[[#This Row],[Capacity Approx]]*'[1]Load Factor Sheet June Acft  '!$D$5</f>
        <v>203.4218181818182</v>
      </c>
      <c r="T28" s="22">
        <f>tblDailySchedule[[#This Row],[STD]]</f>
        <v>0.94791666666666663</v>
      </c>
    </row>
    <row r="29" spans="1:28" x14ac:dyDescent="0.35">
      <c r="A29" s="2">
        <v>46111</v>
      </c>
      <c r="B29" s="3">
        <v>1</v>
      </c>
      <c r="C29" s="4" t="s">
        <v>100</v>
      </c>
      <c r="D29" s="4" t="s">
        <v>18</v>
      </c>
      <c r="E29" s="3">
        <v>1</v>
      </c>
      <c r="F29" s="4" t="s">
        <v>101</v>
      </c>
      <c r="G29" s="4" t="s">
        <v>102</v>
      </c>
      <c r="H29" s="4" t="s">
        <v>61</v>
      </c>
      <c r="I29" s="5">
        <v>0.3125</v>
      </c>
      <c r="J29" s="4" t="s">
        <v>103</v>
      </c>
      <c r="K29" s="4" t="s">
        <v>61</v>
      </c>
      <c r="L29" s="5">
        <v>0.33333333333333331</v>
      </c>
      <c r="M29" s="4" t="s">
        <v>33</v>
      </c>
      <c r="N29" s="3">
        <v>189</v>
      </c>
      <c r="O29" s="4" t="s">
        <v>24</v>
      </c>
      <c r="P29" s="4" t="s">
        <v>25</v>
      </c>
      <c r="Q29" s="4"/>
      <c r="R29">
        <f>tblDailySchedule[[#This Row],[Capacity Approx]]*'[1]Load Factor Sheet June Acft  '!$B$5</f>
        <v>153.04704545454547</v>
      </c>
      <c r="S29">
        <f>tblDailySchedule[[#This Row],[Capacity Approx]]*'[1]Load Factor Sheet June Acft  '!$D$5</f>
        <v>165.71863636363636</v>
      </c>
      <c r="T29" s="22">
        <f>tblDailySchedule[[#This Row],[STD]]</f>
        <v>0.33333333333333331</v>
      </c>
      <c r="W29">
        <v>29</v>
      </c>
      <c r="X29" t="s">
        <v>142</v>
      </c>
      <c r="Y29">
        <f>100-(SUM(Y30:Y36))</f>
        <v>5</v>
      </c>
      <c r="AA29">
        <f>180*Y29/100</f>
        <v>9</v>
      </c>
      <c r="AB29" s="22">
        <v>0.3125</v>
      </c>
    </row>
    <row r="30" spans="1:28" x14ac:dyDescent="0.35">
      <c r="A30" s="2">
        <v>46111</v>
      </c>
      <c r="B30" s="3">
        <v>1</v>
      </c>
      <c r="C30" s="4" t="s">
        <v>100</v>
      </c>
      <c r="D30" s="4" t="s">
        <v>18</v>
      </c>
      <c r="E30" s="3">
        <v>2</v>
      </c>
      <c r="F30" s="4" t="s">
        <v>19</v>
      </c>
      <c r="G30" s="4" t="s">
        <v>20</v>
      </c>
      <c r="H30" s="4" t="s">
        <v>21</v>
      </c>
      <c r="I30" s="5">
        <v>0.31944444444444442</v>
      </c>
      <c r="J30" s="4" t="s">
        <v>22</v>
      </c>
      <c r="K30" s="4" t="s">
        <v>21</v>
      </c>
      <c r="L30" s="5">
        <v>0.34722222222222221</v>
      </c>
      <c r="M30" s="4" t="s">
        <v>23</v>
      </c>
      <c r="N30" s="3">
        <v>186</v>
      </c>
      <c r="O30" s="4" t="s">
        <v>24</v>
      </c>
      <c r="P30" s="4" t="s">
        <v>25</v>
      </c>
      <c r="Q30" s="4"/>
      <c r="R30">
        <f>tblDailySchedule[[#This Row],[Capacity Approx]]*'[1]Load Factor Sheet June Acft  '!$B$5</f>
        <v>150.61772727272728</v>
      </c>
      <c r="S30">
        <f>tblDailySchedule[[#This Row],[Capacity Approx]]*'[1]Load Factor Sheet June Acft  '!$D$5</f>
        <v>163.08818181818182</v>
      </c>
      <c r="T30" s="22">
        <f>tblDailySchedule[[#This Row],[STD]]</f>
        <v>0.34722222222222221</v>
      </c>
      <c r="X30" t="s">
        <v>143</v>
      </c>
      <c r="Y30">
        <f>5</f>
        <v>5</v>
      </c>
      <c r="AA30">
        <f t="shared" ref="AA30:AA36" si="0">180*Y30/100</f>
        <v>9</v>
      </c>
      <c r="AB30" t="s">
        <v>150</v>
      </c>
    </row>
    <row r="31" spans="1:28" x14ac:dyDescent="0.35">
      <c r="A31" s="2">
        <v>46111</v>
      </c>
      <c r="B31" s="3">
        <v>1</v>
      </c>
      <c r="C31" s="4" t="s">
        <v>100</v>
      </c>
      <c r="D31" s="4" t="s">
        <v>18</v>
      </c>
      <c r="E31" s="3">
        <v>3</v>
      </c>
      <c r="F31" s="4" t="s">
        <v>19</v>
      </c>
      <c r="G31" s="4" t="s">
        <v>26</v>
      </c>
      <c r="H31" s="4" t="s">
        <v>27</v>
      </c>
      <c r="I31" s="5">
        <v>0.3263888888888889</v>
      </c>
      <c r="J31" s="4" t="s">
        <v>28</v>
      </c>
      <c r="K31" s="4" t="s">
        <v>27</v>
      </c>
      <c r="L31" s="5">
        <v>0.35416666666666669</v>
      </c>
      <c r="M31" s="4" t="s">
        <v>29</v>
      </c>
      <c r="N31" s="3">
        <v>186</v>
      </c>
      <c r="O31" s="4" t="s">
        <v>24</v>
      </c>
      <c r="P31" s="4" t="s">
        <v>25</v>
      </c>
      <c r="Q31" s="4"/>
      <c r="R31">
        <f>tblDailySchedule[[#This Row],[Capacity Approx]]*'[1]Load Factor Sheet June Acft  '!$B$5</f>
        <v>150.61772727272728</v>
      </c>
      <c r="S31">
        <f>tblDailySchedule[[#This Row],[Capacity Approx]]*'[1]Load Factor Sheet June Acft  '!$D$5</f>
        <v>163.08818181818182</v>
      </c>
      <c r="T31" s="22">
        <f>tblDailySchedule[[#This Row],[STD]]</f>
        <v>0.35416666666666669</v>
      </c>
      <c r="X31" t="s">
        <v>144</v>
      </c>
      <c r="Y31">
        <v>25</v>
      </c>
      <c r="AA31">
        <f t="shared" si="0"/>
        <v>45</v>
      </c>
      <c r="AB31" t="s">
        <v>149</v>
      </c>
    </row>
    <row r="32" spans="1:28" x14ac:dyDescent="0.35">
      <c r="A32" s="2">
        <v>46111</v>
      </c>
      <c r="B32" s="3">
        <v>1</v>
      </c>
      <c r="C32" s="4" t="s">
        <v>100</v>
      </c>
      <c r="D32" s="4" t="s">
        <v>18</v>
      </c>
      <c r="E32" s="3">
        <v>4</v>
      </c>
      <c r="F32" s="4" t="s">
        <v>19</v>
      </c>
      <c r="G32" s="4" t="s">
        <v>30</v>
      </c>
      <c r="H32" s="4" t="s">
        <v>31</v>
      </c>
      <c r="I32" s="5">
        <v>0.34722222222222221</v>
      </c>
      <c r="J32" s="4" t="s">
        <v>32</v>
      </c>
      <c r="K32" s="4" t="s">
        <v>31</v>
      </c>
      <c r="L32" s="5">
        <v>0.36805555555555558</v>
      </c>
      <c r="M32" s="4" t="s">
        <v>33</v>
      </c>
      <c r="N32" s="3">
        <v>189</v>
      </c>
      <c r="O32" s="4" t="s">
        <v>24</v>
      </c>
      <c r="P32" s="4" t="s">
        <v>25</v>
      </c>
      <c r="Q32" s="4"/>
      <c r="R32">
        <f>tblDailySchedule[[#This Row],[Capacity Approx]]*'[1]Load Factor Sheet June Acft  '!$B$5</f>
        <v>153.04704545454547</v>
      </c>
      <c r="S32">
        <f>tblDailySchedule[[#This Row],[Capacity Approx]]*'[1]Load Factor Sheet June Acft  '!$D$5</f>
        <v>165.71863636363636</v>
      </c>
      <c r="T32" s="22">
        <f>tblDailySchedule[[#This Row],[STD]]</f>
        <v>0.36805555555555558</v>
      </c>
      <c r="X32" t="s">
        <v>145</v>
      </c>
      <c r="Y32">
        <v>33</v>
      </c>
      <c r="AA32">
        <f t="shared" si="0"/>
        <v>59.4</v>
      </c>
      <c r="AB32" s="22" t="s">
        <v>151</v>
      </c>
    </row>
    <row r="33" spans="1:28" x14ac:dyDescent="0.35">
      <c r="A33" s="6">
        <v>46111</v>
      </c>
      <c r="B33" s="7">
        <v>1</v>
      </c>
      <c r="C33" s="8" t="s">
        <v>100</v>
      </c>
      <c r="D33" s="8" t="s">
        <v>18</v>
      </c>
      <c r="E33" s="7">
        <v>6</v>
      </c>
      <c r="F33" s="8" t="s">
        <v>34</v>
      </c>
      <c r="G33" s="8" t="s">
        <v>35</v>
      </c>
      <c r="H33" s="8" t="s">
        <v>36</v>
      </c>
      <c r="I33" s="9">
        <v>0.34722222222222221</v>
      </c>
      <c r="J33" s="8" t="s">
        <v>37</v>
      </c>
      <c r="K33" s="8" t="s">
        <v>36</v>
      </c>
      <c r="L33" s="9">
        <v>0.40972222222222221</v>
      </c>
      <c r="M33" s="8" t="s">
        <v>38</v>
      </c>
      <c r="N33" s="7">
        <v>186</v>
      </c>
      <c r="O33" s="8" t="s">
        <v>39</v>
      </c>
      <c r="P33" s="8" t="s">
        <v>25</v>
      </c>
      <c r="Q33" s="8" t="s">
        <v>39</v>
      </c>
      <c r="R33">
        <f>tblDailySchedule[[#This Row],[Capacity Approx]]*'[1]Load Factor Sheet June Acft  '!$B$5</f>
        <v>150.61772727272728</v>
      </c>
      <c r="S33">
        <f>tblDailySchedule[[#This Row],[Capacity Approx]]*'[1]Load Factor Sheet June Acft  '!$D$5</f>
        <v>163.08818181818182</v>
      </c>
      <c r="T33" s="22">
        <f>tblDailySchedule[[#This Row],[STD]]</f>
        <v>0.40972222222222221</v>
      </c>
      <c r="X33" t="s">
        <v>146</v>
      </c>
      <c r="Y33">
        <v>20</v>
      </c>
      <c r="AA33">
        <f t="shared" si="0"/>
        <v>36</v>
      </c>
      <c r="AB33" t="s">
        <v>152</v>
      </c>
    </row>
    <row r="34" spans="1:28" x14ac:dyDescent="0.35">
      <c r="A34" s="2">
        <v>46111</v>
      </c>
      <c r="B34" s="3">
        <v>1</v>
      </c>
      <c r="C34" s="4" t="s">
        <v>100</v>
      </c>
      <c r="D34" s="4" t="s">
        <v>18</v>
      </c>
      <c r="E34" s="3">
        <v>5</v>
      </c>
      <c r="F34" s="4" t="s">
        <v>19</v>
      </c>
      <c r="G34" s="4" t="s">
        <v>40</v>
      </c>
      <c r="H34" s="4" t="s">
        <v>31</v>
      </c>
      <c r="I34" s="5">
        <v>0.35069444444444442</v>
      </c>
      <c r="J34" s="4" t="s">
        <v>41</v>
      </c>
      <c r="K34" s="4" t="s">
        <v>31</v>
      </c>
      <c r="L34" s="5">
        <v>0.37152777777777779</v>
      </c>
      <c r="M34" s="4" t="s">
        <v>23</v>
      </c>
      <c r="N34" s="3">
        <v>186</v>
      </c>
      <c r="O34" s="4" t="s">
        <v>24</v>
      </c>
      <c r="P34" s="4" t="s">
        <v>25</v>
      </c>
      <c r="Q34" s="4"/>
      <c r="R34">
        <f>tblDailySchedule[[#This Row],[Capacity Approx]]*'[1]Load Factor Sheet June Acft  '!$B$5</f>
        <v>150.61772727272728</v>
      </c>
      <c r="S34">
        <f>tblDailySchedule[[#This Row],[Capacity Approx]]*'[1]Load Factor Sheet June Acft  '!$D$5</f>
        <v>163.08818181818182</v>
      </c>
      <c r="T34" s="22">
        <f>tblDailySchedule[[#This Row],[STD]]</f>
        <v>0.37152777777777779</v>
      </c>
      <c r="X34" t="s">
        <v>147</v>
      </c>
      <c r="Y34">
        <v>8</v>
      </c>
      <c r="AA34">
        <f t="shared" si="0"/>
        <v>14.4</v>
      </c>
    </row>
    <row r="35" spans="1:28" hidden="1" x14ac:dyDescent="0.35">
      <c r="A35" s="2">
        <v>46111</v>
      </c>
      <c r="B35" s="3">
        <v>1</v>
      </c>
      <c r="C35" s="4" t="s">
        <v>100</v>
      </c>
      <c r="D35" s="4" t="s">
        <v>18</v>
      </c>
      <c r="E35" s="3">
        <v>7</v>
      </c>
      <c r="F35" s="4" t="s">
        <v>19</v>
      </c>
      <c r="G35" s="4" t="s">
        <v>42</v>
      </c>
      <c r="H35" s="4" t="s">
        <v>43</v>
      </c>
      <c r="I35" s="5">
        <v>0.3923611111111111</v>
      </c>
      <c r="J35" s="4" t="s">
        <v>44</v>
      </c>
      <c r="K35" s="4" t="s">
        <v>43</v>
      </c>
      <c r="L35" s="5">
        <v>0.40277777777777779</v>
      </c>
      <c r="M35" s="4" t="s">
        <v>45</v>
      </c>
      <c r="N35" s="3">
        <v>9</v>
      </c>
      <c r="O35" s="4" t="s">
        <v>24</v>
      </c>
      <c r="P35" s="4" t="s">
        <v>25</v>
      </c>
      <c r="Q35" s="4"/>
      <c r="R35">
        <f>tblDailySchedule[[#This Row],[Capacity Approx]]*'[1]Load Factor Sheet June Acft  '!$B$5</f>
        <v>7.2879545454545456</v>
      </c>
      <c r="S35">
        <f>tblDailySchedule[[#This Row],[Capacity Approx]]*'[1]Load Factor Sheet June Acft  '!$D$5</f>
        <v>7.8913636363636366</v>
      </c>
      <c r="T35" s="22">
        <f>tblDailySchedule[[#This Row],[STD]]</f>
        <v>0.40277777777777779</v>
      </c>
      <c r="AA35">
        <f t="shared" si="0"/>
        <v>0</v>
      </c>
    </row>
    <row r="36" spans="1:28" x14ac:dyDescent="0.35">
      <c r="A36" s="2">
        <v>46111</v>
      </c>
      <c r="B36" s="3">
        <v>1</v>
      </c>
      <c r="C36" s="4" t="s">
        <v>100</v>
      </c>
      <c r="D36" s="4" t="s">
        <v>18</v>
      </c>
      <c r="E36" s="3">
        <v>8</v>
      </c>
      <c r="F36" s="4" t="s">
        <v>19</v>
      </c>
      <c r="G36" s="4" t="s">
        <v>46</v>
      </c>
      <c r="H36" s="4" t="s">
        <v>31</v>
      </c>
      <c r="I36" s="5">
        <v>0.4201388888888889</v>
      </c>
      <c r="J36" s="4" t="s">
        <v>47</v>
      </c>
      <c r="K36" s="4" t="s">
        <v>31</v>
      </c>
      <c r="L36" s="5">
        <v>0.44444444444444442</v>
      </c>
      <c r="M36" s="4" t="s">
        <v>29</v>
      </c>
      <c r="N36" s="3">
        <v>186</v>
      </c>
      <c r="O36" s="4" t="s">
        <v>24</v>
      </c>
      <c r="P36" s="4" t="s">
        <v>25</v>
      </c>
      <c r="Q36" s="4"/>
      <c r="R36">
        <f>tblDailySchedule[[#This Row],[Capacity Approx]]*'[1]Load Factor Sheet June Acft  '!$B$5</f>
        <v>150.61772727272728</v>
      </c>
      <c r="S36">
        <f>tblDailySchedule[[#This Row],[Capacity Approx]]*'[1]Load Factor Sheet June Acft  '!$D$5</f>
        <v>163.08818181818182</v>
      </c>
      <c r="T36" s="22">
        <f>tblDailySchedule[[#This Row],[STD]]</f>
        <v>0.44444444444444442</v>
      </c>
      <c r="X36" t="s">
        <v>148</v>
      </c>
      <c r="Y36">
        <v>4</v>
      </c>
      <c r="AA36">
        <f t="shared" si="0"/>
        <v>7.2</v>
      </c>
    </row>
    <row r="37" spans="1:28" hidden="1" x14ac:dyDescent="0.35">
      <c r="A37" s="2">
        <v>46111</v>
      </c>
      <c r="B37" s="3">
        <v>1</v>
      </c>
      <c r="C37" s="4" t="s">
        <v>100</v>
      </c>
      <c r="D37" s="4" t="s">
        <v>18</v>
      </c>
      <c r="E37" s="3">
        <v>9</v>
      </c>
      <c r="F37" s="4" t="s">
        <v>19</v>
      </c>
      <c r="G37" s="4" t="s">
        <v>48</v>
      </c>
      <c r="H37" s="4" t="s">
        <v>49</v>
      </c>
      <c r="I37" s="5">
        <v>0.4375</v>
      </c>
      <c r="J37" s="4" t="s">
        <v>50</v>
      </c>
      <c r="K37" s="4" t="s">
        <v>49</v>
      </c>
      <c r="L37" s="5">
        <v>0.45833333333333331</v>
      </c>
      <c r="M37" s="4" t="s">
        <v>51</v>
      </c>
      <c r="N37" s="3">
        <v>78</v>
      </c>
      <c r="O37" s="4" t="s">
        <v>24</v>
      </c>
      <c r="P37" s="4" t="s">
        <v>25</v>
      </c>
      <c r="Q37" s="4"/>
      <c r="R37">
        <f>tblDailySchedule[[#This Row],[Capacity Approx]]*'[1]Load Factor Sheet June Acft  '!$B$5</f>
        <v>63.162272727272729</v>
      </c>
      <c r="S37">
        <f>tblDailySchedule[[#This Row],[Capacity Approx]]*'[1]Load Factor Sheet June Acft  '!$D$5</f>
        <v>68.391818181818181</v>
      </c>
      <c r="T37" s="22">
        <f>tblDailySchedule[[#This Row],[STD]]</f>
        <v>0.45833333333333331</v>
      </c>
    </row>
    <row r="38" spans="1:28" x14ac:dyDescent="0.35">
      <c r="A38" s="2">
        <v>46111</v>
      </c>
      <c r="B38" s="3">
        <v>1</v>
      </c>
      <c r="C38" s="4" t="s">
        <v>100</v>
      </c>
      <c r="D38" s="4" t="s">
        <v>18</v>
      </c>
      <c r="E38" s="3">
        <v>10</v>
      </c>
      <c r="F38" s="4" t="s">
        <v>19</v>
      </c>
      <c r="G38" s="4" t="s">
        <v>52</v>
      </c>
      <c r="H38" s="4" t="s">
        <v>27</v>
      </c>
      <c r="I38" s="5">
        <v>0.4826388888888889</v>
      </c>
      <c r="J38" s="4" t="s">
        <v>53</v>
      </c>
      <c r="K38" s="4" t="s">
        <v>27</v>
      </c>
      <c r="L38" s="5">
        <v>0.51041666666666663</v>
      </c>
      <c r="M38" s="4" t="s">
        <v>23</v>
      </c>
      <c r="N38" s="3">
        <v>186</v>
      </c>
      <c r="O38" s="4" t="s">
        <v>24</v>
      </c>
      <c r="P38" s="4" t="s">
        <v>25</v>
      </c>
      <c r="Q38" s="4"/>
      <c r="R38">
        <f>tblDailySchedule[[#This Row],[Capacity Approx]]*'[1]Load Factor Sheet June Acft  '!$B$5</f>
        <v>150.61772727272728</v>
      </c>
      <c r="S38">
        <f>tblDailySchedule[[#This Row],[Capacity Approx]]*'[1]Load Factor Sheet June Acft  '!$D$5</f>
        <v>163.08818181818182</v>
      </c>
      <c r="T38" s="22">
        <f>tblDailySchedule[[#This Row],[STD]]</f>
        <v>0.51041666666666663</v>
      </c>
    </row>
    <row r="39" spans="1:28" x14ac:dyDescent="0.35">
      <c r="A39" s="2">
        <v>46111</v>
      </c>
      <c r="B39" s="3">
        <v>1</v>
      </c>
      <c r="C39" s="4" t="s">
        <v>100</v>
      </c>
      <c r="D39" s="4" t="s">
        <v>18</v>
      </c>
      <c r="E39" s="3">
        <v>11</v>
      </c>
      <c r="F39" s="4" t="s">
        <v>19</v>
      </c>
      <c r="G39" s="4" t="s">
        <v>54</v>
      </c>
      <c r="H39" s="4" t="s">
        <v>31</v>
      </c>
      <c r="I39" s="5">
        <v>0.51388888888888884</v>
      </c>
      <c r="J39" s="4" t="s">
        <v>55</v>
      </c>
      <c r="K39" s="4" t="s">
        <v>31</v>
      </c>
      <c r="L39" s="5">
        <v>0.54166666666666663</v>
      </c>
      <c r="M39" s="4" t="s">
        <v>23</v>
      </c>
      <c r="N39" s="3">
        <v>186</v>
      </c>
      <c r="O39" s="4" t="s">
        <v>24</v>
      </c>
      <c r="P39" s="4" t="s">
        <v>56</v>
      </c>
      <c r="Q39" s="4"/>
      <c r="R39">
        <f>tblDailySchedule[[#This Row],[Capacity Approx]]*'[1]Load Factor Sheet June Acft  '!$B$5</f>
        <v>150.61772727272728</v>
      </c>
      <c r="S39">
        <f>tblDailySchedule[[#This Row],[Capacity Approx]]*'[1]Load Factor Sheet June Acft  '!$D$5</f>
        <v>163.08818181818182</v>
      </c>
      <c r="T39" s="22">
        <f>tblDailySchedule[[#This Row],[STD]]</f>
        <v>0.54166666666666663</v>
      </c>
    </row>
    <row r="40" spans="1:28" hidden="1" x14ac:dyDescent="0.35">
      <c r="A40" s="2">
        <v>46111</v>
      </c>
      <c r="B40" s="3">
        <v>1</v>
      </c>
      <c r="C40" s="4" t="s">
        <v>100</v>
      </c>
      <c r="D40" s="4" t="s">
        <v>18</v>
      </c>
      <c r="E40" s="3">
        <v>13</v>
      </c>
      <c r="F40" s="4" t="s">
        <v>19</v>
      </c>
      <c r="G40" s="4" t="s">
        <v>57</v>
      </c>
      <c r="H40" s="4" t="s">
        <v>58</v>
      </c>
      <c r="I40" s="5">
        <v>0.55902777777777779</v>
      </c>
      <c r="J40" s="4" t="s">
        <v>59</v>
      </c>
      <c r="K40" s="4" t="s">
        <v>58</v>
      </c>
      <c r="L40" s="5">
        <v>0.57638888888888884</v>
      </c>
      <c r="M40" s="4" t="s">
        <v>51</v>
      </c>
      <c r="N40" s="3">
        <v>78</v>
      </c>
      <c r="O40" s="4" t="s">
        <v>24</v>
      </c>
      <c r="P40" s="4" t="s">
        <v>56</v>
      </c>
      <c r="Q40" s="4"/>
      <c r="R40">
        <f>tblDailySchedule[[#This Row],[Capacity Approx]]*'[1]Load Factor Sheet June Acft  '!$B$5</f>
        <v>63.162272727272729</v>
      </c>
      <c r="S40">
        <f>tblDailySchedule[[#This Row],[Capacity Approx]]*'[1]Load Factor Sheet June Acft  '!$D$5</f>
        <v>68.391818181818181</v>
      </c>
      <c r="T40" s="22">
        <f>tblDailySchedule[[#This Row],[STD]]</f>
        <v>0.57638888888888884</v>
      </c>
    </row>
    <row r="41" spans="1:28" x14ac:dyDescent="0.35">
      <c r="A41" s="2">
        <v>46111</v>
      </c>
      <c r="B41" s="3">
        <v>1</v>
      </c>
      <c r="C41" s="4" t="s">
        <v>100</v>
      </c>
      <c r="D41" s="4" t="s">
        <v>18</v>
      </c>
      <c r="E41" s="3">
        <v>14</v>
      </c>
      <c r="F41" s="4" t="s">
        <v>19</v>
      </c>
      <c r="G41" s="4" t="s">
        <v>60</v>
      </c>
      <c r="H41" s="4" t="s">
        <v>61</v>
      </c>
      <c r="I41" s="5">
        <v>0.59027777777777779</v>
      </c>
      <c r="J41" s="4" t="s">
        <v>62</v>
      </c>
      <c r="K41" s="4" t="s">
        <v>61</v>
      </c>
      <c r="L41" s="5">
        <v>0.62152777777777779</v>
      </c>
      <c r="M41" s="4" t="s">
        <v>63</v>
      </c>
      <c r="N41" s="3">
        <v>232</v>
      </c>
      <c r="O41" s="4" t="s">
        <v>24</v>
      </c>
      <c r="P41" s="4" t="s">
        <v>56</v>
      </c>
      <c r="Q41" s="4"/>
      <c r="R41">
        <f>tblDailySchedule[[#This Row],[Capacity Approx]]*'[1]Load Factor Sheet June Acft  '!$B$5</f>
        <v>187.86727272727273</v>
      </c>
      <c r="S41">
        <f>tblDailySchedule[[#This Row],[Capacity Approx]]*'[1]Load Factor Sheet June Acft  '!$D$5</f>
        <v>203.4218181818182</v>
      </c>
      <c r="T41" s="22">
        <f>tblDailySchedule[[#This Row],[STD]]</f>
        <v>0.62152777777777779</v>
      </c>
    </row>
    <row r="42" spans="1:28" x14ac:dyDescent="0.35">
      <c r="A42" s="2">
        <v>46111</v>
      </c>
      <c r="B42" s="3">
        <v>1</v>
      </c>
      <c r="C42" s="4" t="s">
        <v>100</v>
      </c>
      <c r="D42" s="4" t="s">
        <v>18</v>
      </c>
      <c r="E42" s="3">
        <v>15</v>
      </c>
      <c r="F42" s="4" t="s">
        <v>19</v>
      </c>
      <c r="G42" s="4" t="s">
        <v>64</v>
      </c>
      <c r="H42" s="4" t="s">
        <v>31</v>
      </c>
      <c r="I42" s="5">
        <v>0.60069444444444442</v>
      </c>
      <c r="J42" s="4" t="s">
        <v>65</v>
      </c>
      <c r="K42" s="4" t="s">
        <v>66</v>
      </c>
      <c r="L42" s="5">
        <v>0.62847222222222221</v>
      </c>
      <c r="M42" s="4" t="s">
        <v>63</v>
      </c>
      <c r="N42" s="3">
        <v>232</v>
      </c>
      <c r="O42" s="4" t="s">
        <v>24</v>
      </c>
      <c r="P42" s="4" t="s">
        <v>56</v>
      </c>
      <c r="Q42" s="4"/>
      <c r="R42">
        <f>tblDailySchedule[[#This Row],[Capacity Approx]]*'[1]Load Factor Sheet June Acft  '!$B$5</f>
        <v>187.86727272727273</v>
      </c>
      <c r="S42">
        <f>tblDailySchedule[[#This Row],[Capacity Approx]]*'[1]Load Factor Sheet June Acft  '!$D$5</f>
        <v>203.4218181818182</v>
      </c>
      <c r="T42" s="22">
        <f>tblDailySchedule[[#This Row],[STD]]</f>
        <v>0.62847222222222221</v>
      </c>
    </row>
    <row r="43" spans="1:28" x14ac:dyDescent="0.35">
      <c r="A43" s="2">
        <v>46111</v>
      </c>
      <c r="B43" s="3">
        <v>1</v>
      </c>
      <c r="C43" s="4" t="s">
        <v>100</v>
      </c>
      <c r="D43" s="4" t="s">
        <v>18</v>
      </c>
      <c r="E43" s="3">
        <v>16</v>
      </c>
      <c r="F43" s="4" t="s">
        <v>19</v>
      </c>
      <c r="G43" s="4" t="s">
        <v>67</v>
      </c>
      <c r="H43" s="4" t="s">
        <v>31</v>
      </c>
      <c r="I43" s="5">
        <v>0.65625</v>
      </c>
      <c r="J43" s="4" t="s">
        <v>68</v>
      </c>
      <c r="K43" s="4" t="s">
        <v>31</v>
      </c>
      <c r="L43" s="5">
        <v>0.68402777777777779</v>
      </c>
      <c r="M43" s="4" t="s">
        <v>63</v>
      </c>
      <c r="N43" s="3">
        <v>232</v>
      </c>
      <c r="O43" s="4" t="s">
        <v>24</v>
      </c>
      <c r="P43" s="4" t="s">
        <v>56</v>
      </c>
      <c r="Q43" s="4"/>
      <c r="R43">
        <f>tblDailySchedule[[#This Row],[Capacity Approx]]*'[1]Load Factor Sheet June Acft  '!$B$5</f>
        <v>187.86727272727273</v>
      </c>
      <c r="S43">
        <f>tblDailySchedule[[#This Row],[Capacity Approx]]*'[1]Load Factor Sheet June Acft  '!$D$5</f>
        <v>203.4218181818182</v>
      </c>
      <c r="T43" s="22">
        <f>tblDailySchedule[[#This Row],[STD]]</f>
        <v>0.68402777777777779</v>
      </c>
    </row>
    <row r="44" spans="1:28" x14ac:dyDescent="0.35">
      <c r="A44" s="2">
        <v>46111</v>
      </c>
      <c r="B44" s="3">
        <v>1</v>
      </c>
      <c r="C44" s="4" t="s">
        <v>100</v>
      </c>
      <c r="D44" s="4" t="s">
        <v>18</v>
      </c>
      <c r="E44" s="3">
        <v>17</v>
      </c>
      <c r="F44" s="4" t="s">
        <v>19</v>
      </c>
      <c r="G44" s="4" t="s">
        <v>69</v>
      </c>
      <c r="H44" s="4" t="s">
        <v>31</v>
      </c>
      <c r="I44" s="5">
        <v>0.66319444444444442</v>
      </c>
      <c r="J44" s="4" t="s">
        <v>70</v>
      </c>
      <c r="K44" s="4" t="s">
        <v>31</v>
      </c>
      <c r="L44" s="5">
        <v>0.69097222222222221</v>
      </c>
      <c r="M44" s="4" t="s">
        <v>33</v>
      </c>
      <c r="N44" s="3">
        <v>189</v>
      </c>
      <c r="O44" s="4" t="s">
        <v>24</v>
      </c>
      <c r="P44" s="4" t="s">
        <v>56</v>
      </c>
      <c r="Q44" s="4"/>
      <c r="R44">
        <f>tblDailySchedule[[#This Row],[Capacity Approx]]*'[1]Load Factor Sheet June Acft  '!$B$5</f>
        <v>153.04704545454547</v>
      </c>
      <c r="S44">
        <f>tblDailySchedule[[#This Row],[Capacity Approx]]*'[1]Load Factor Sheet June Acft  '!$D$5</f>
        <v>165.71863636363636</v>
      </c>
      <c r="T44" s="22">
        <f>tblDailySchedule[[#This Row],[STD]]</f>
        <v>0.69097222222222221</v>
      </c>
    </row>
    <row r="45" spans="1:28" x14ac:dyDescent="0.35">
      <c r="A45" s="2">
        <v>46111</v>
      </c>
      <c r="B45" s="3">
        <v>1</v>
      </c>
      <c r="C45" s="4" t="s">
        <v>100</v>
      </c>
      <c r="D45" s="4" t="s">
        <v>18</v>
      </c>
      <c r="E45" s="3">
        <v>18</v>
      </c>
      <c r="F45" s="4" t="s">
        <v>19</v>
      </c>
      <c r="G45" s="4" t="s">
        <v>71</v>
      </c>
      <c r="H45" s="4" t="s">
        <v>21</v>
      </c>
      <c r="I45" s="5">
        <v>0.67013888888888884</v>
      </c>
      <c r="J45" s="4" t="s">
        <v>72</v>
      </c>
      <c r="K45" s="4" t="s">
        <v>21</v>
      </c>
      <c r="L45" s="5">
        <v>0.69791666666666663</v>
      </c>
      <c r="M45" s="4" t="s">
        <v>63</v>
      </c>
      <c r="N45" s="3">
        <v>232</v>
      </c>
      <c r="O45" s="4" t="s">
        <v>24</v>
      </c>
      <c r="P45" s="4" t="s">
        <v>56</v>
      </c>
      <c r="Q45" s="4"/>
      <c r="R45">
        <f>tblDailySchedule[[#This Row],[Capacity Approx]]*'[1]Load Factor Sheet June Acft  '!$B$5</f>
        <v>187.86727272727273</v>
      </c>
      <c r="S45">
        <f>tblDailySchedule[[#This Row],[Capacity Approx]]*'[1]Load Factor Sheet June Acft  '!$D$5</f>
        <v>203.4218181818182</v>
      </c>
      <c r="T45" s="22">
        <f>tblDailySchedule[[#This Row],[STD]]</f>
        <v>0.69791666666666663</v>
      </c>
    </row>
    <row r="46" spans="1:28" x14ac:dyDescent="0.35">
      <c r="A46" s="2">
        <v>46111</v>
      </c>
      <c r="B46" s="3">
        <v>1</v>
      </c>
      <c r="C46" s="4" t="s">
        <v>100</v>
      </c>
      <c r="D46" s="4" t="s">
        <v>18</v>
      </c>
      <c r="E46" s="3">
        <v>19</v>
      </c>
      <c r="F46" s="4" t="s">
        <v>19</v>
      </c>
      <c r="G46" s="4" t="s">
        <v>73</v>
      </c>
      <c r="H46" s="4" t="s">
        <v>27</v>
      </c>
      <c r="I46" s="5">
        <v>0.74652777777777779</v>
      </c>
      <c r="J46" s="4" t="s">
        <v>74</v>
      </c>
      <c r="K46" s="4" t="s">
        <v>27</v>
      </c>
      <c r="L46" s="5">
        <v>0.77430555555555558</v>
      </c>
      <c r="M46" s="4" t="s">
        <v>63</v>
      </c>
      <c r="N46" s="3">
        <v>232</v>
      </c>
      <c r="O46" s="4" t="s">
        <v>24</v>
      </c>
      <c r="P46" s="4" t="s">
        <v>56</v>
      </c>
      <c r="Q46" s="4"/>
      <c r="R46">
        <f>tblDailySchedule[[#This Row],[Capacity Approx]]*'[1]Load Factor Sheet June Acft  '!$B$5</f>
        <v>187.86727272727273</v>
      </c>
      <c r="S46">
        <f>tblDailySchedule[[#This Row],[Capacity Approx]]*'[1]Load Factor Sheet June Acft  '!$D$5</f>
        <v>203.4218181818182</v>
      </c>
      <c r="T46" s="22">
        <f>tblDailySchedule[[#This Row],[STD]]</f>
        <v>0.77430555555555558</v>
      </c>
    </row>
    <row r="47" spans="1:28" hidden="1" x14ac:dyDescent="0.35">
      <c r="A47" s="2">
        <v>46111</v>
      </c>
      <c r="B47" s="3">
        <v>1</v>
      </c>
      <c r="C47" s="4" t="s">
        <v>100</v>
      </c>
      <c r="D47" s="4" t="s">
        <v>18</v>
      </c>
      <c r="E47" s="3">
        <v>20</v>
      </c>
      <c r="F47" s="4" t="s">
        <v>34</v>
      </c>
      <c r="G47" s="4" t="s">
        <v>75</v>
      </c>
      <c r="H47" s="4" t="s">
        <v>76</v>
      </c>
      <c r="I47" s="5">
        <v>0.76388888888888884</v>
      </c>
      <c r="J47" s="4" t="s">
        <v>77</v>
      </c>
      <c r="K47" s="4" t="s">
        <v>78</v>
      </c>
      <c r="L47" s="5">
        <v>0.78472222222222221</v>
      </c>
      <c r="M47" s="4" t="s">
        <v>51</v>
      </c>
      <c r="N47" s="3">
        <v>78</v>
      </c>
      <c r="O47" s="4" t="s">
        <v>24</v>
      </c>
      <c r="P47" s="4" t="s">
        <v>79</v>
      </c>
      <c r="Q47" s="10" t="s">
        <v>80</v>
      </c>
      <c r="R47">
        <f>tblDailySchedule[[#This Row],[Capacity Approx]]*'[1]Load Factor Sheet June Acft  '!$B$5</f>
        <v>63.162272727272729</v>
      </c>
      <c r="S47">
        <f>tblDailySchedule[[#This Row],[Capacity Approx]]*'[1]Load Factor Sheet June Acft  '!$D$5</f>
        <v>68.391818181818181</v>
      </c>
      <c r="T47" s="22">
        <f>tblDailySchedule[[#This Row],[STD]]</f>
        <v>0.78472222222222221</v>
      </c>
    </row>
    <row r="48" spans="1:28" x14ac:dyDescent="0.35">
      <c r="A48" s="2">
        <v>46111</v>
      </c>
      <c r="B48" s="3">
        <v>1</v>
      </c>
      <c r="C48" s="4" t="s">
        <v>100</v>
      </c>
      <c r="D48" s="4" t="s">
        <v>18</v>
      </c>
      <c r="E48" s="3">
        <v>21</v>
      </c>
      <c r="F48" s="4" t="s">
        <v>19</v>
      </c>
      <c r="G48" s="4" t="s">
        <v>81</v>
      </c>
      <c r="H48" s="4" t="s">
        <v>61</v>
      </c>
      <c r="I48" s="5">
        <v>0.77083333333333337</v>
      </c>
      <c r="J48" s="4" t="s">
        <v>82</v>
      </c>
      <c r="K48" s="4" t="s">
        <v>49</v>
      </c>
      <c r="L48" s="5">
        <v>0.79166666666666663</v>
      </c>
      <c r="M48" s="4" t="s">
        <v>33</v>
      </c>
      <c r="N48" s="3">
        <v>189</v>
      </c>
      <c r="O48" s="4" t="s">
        <v>24</v>
      </c>
      <c r="P48" s="4" t="s">
        <v>79</v>
      </c>
      <c r="Q48" s="4"/>
      <c r="R48">
        <f>tblDailySchedule[[#This Row],[Capacity Approx]]*'[1]Load Factor Sheet June Acft  '!$B$5</f>
        <v>153.04704545454547</v>
      </c>
      <c r="S48">
        <f>tblDailySchedule[[#This Row],[Capacity Approx]]*'[1]Load Factor Sheet June Acft  '!$D$5</f>
        <v>165.71863636363636</v>
      </c>
      <c r="T48" s="22">
        <f>tblDailySchedule[[#This Row],[STD]]</f>
        <v>0.79166666666666663</v>
      </c>
    </row>
    <row r="49" spans="1:20" x14ac:dyDescent="0.35">
      <c r="A49" s="2">
        <v>46111</v>
      </c>
      <c r="B49" s="3">
        <v>1</v>
      </c>
      <c r="C49" s="4" t="s">
        <v>100</v>
      </c>
      <c r="D49" s="4" t="s">
        <v>18</v>
      </c>
      <c r="E49" s="3">
        <v>22</v>
      </c>
      <c r="F49" s="4" t="s">
        <v>19</v>
      </c>
      <c r="G49" s="4" t="s">
        <v>83</v>
      </c>
      <c r="H49" s="4" t="s">
        <v>31</v>
      </c>
      <c r="I49" s="5">
        <v>0.77777777777777779</v>
      </c>
      <c r="J49" s="4" t="s">
        <v>84</v>
      </c>
      <c r="K49" s="4" t="s">
        <v>31</v>
      </c>
      <c r="L49" s="5">
        <v>0.80555555555555558</v>
      </c>
      <c r="M49" s="4" t="s">
        <v>63</v>
      </c>
      <c r="N49" s="3">
        <v>232</v>
      </c>
      <c r="O49" s="4" t="s">
        <v>24</v>
      </c>
      <c r="P49" s="4" t="s">
        <v>79</v>
      </c>
      <c r="Q49" s="4"/>
      <c r="R49">
        <f>tblDailySchedule[[#This Row],[Capacity Approx]]*'[1]Load Factor Sheet June Acft  '!$B$5</f>
        <v>187.86727272727273</v>
      </c>
      <c r="S49">
        <f>tblDailySchedule[[#This Row],[Capacity Approx]]*'[1]Load Factor Sheet June Acft  '!$D$5</f>
        <v>203.4218181818182</v>
      </c>
      <c r="T49" s="22">
        <f>tblDailySchedule[[#This Row],[STD]]</f>
        <v>0.80555555555555558</v>
      </c>
    </row>
    <row r="50" spans="1:20" x14ac:dyDescent="0.35">
      <c r="A50" s="2">
        <v>46111</v>
      </c>
      <c r="B50" s="3">
        <v>1</v>
      </c>
      <c r="C50" s="4" t="s">
        <v>100</v>
      </c>
      <c r="D50" s="4" t="s">
        <v>18</v>
      </c>
      <c r="E50" s="3">
        <v>23</v>
      </c>
      <c r="F50" s="4" t="s">
        <v>19</v>
      </c>
      <c r="G50" s="4" t="s">
        <v>85</v>
      </c>
      <c r="H50" s="4" t="s">
        <v>86</v>
      </c>
      <c r="I50" s="5">
        <v>0.79861111111111116</v>
      </c>
      <c r="J50" s="4" t="s">
        <v>87</v>
      </c>
      <c r="K50" s="4" t="s">
        <v>86</v>
      </c>
      <c r="L50" s="5">
        <v>0.82638888888888884</v>
      </c>
      <c r="M50" s="4" t="s">
        <v>63</v>
      </c>
      <c r="N50" s="3">
        <v>232</v>
      </c>
      <c r="O50" s="4" t="s">
        <v>24</v>
      </c>
      <c r="P50" s="4" t="s">
        <v>79</v>
      </c>
      <c r="Q50" s="4"/>
      <c r="R50">
        <f>tblDailySchedule[[#This Row],[Capacity Approx]]*'[1]Load Factor Sheet June Acft  '!$B$5</f>
        <v>187.86727272727273</v>
      </c>
      <c r="S50">
        <f>tblDailySchedule[[#This Row],[Capacity Approx]]*'[1]Load Factor Sheet June Acft  '!$D$5</f>
        <v>203.4218181818182</v>
      </c>
      <c r="T50" s="22">
        <f>tblDailySchedule[[#This Row],[STD]]</f>
        <v>0.82638888888888884</v>
      </c>
    </row>
    <row r="51" spans="1:20" x14ac:dyDescent="0.35">
      <c r="A51" s="2">
        <v>46111</v>
      </c>
      <c r="B51" s="3">
        <v>1</v>
      </c>
      <c r="C51" s="4" t="s">
        <v>100</v>
      </c>
      <c r="D51" s="4" t="s">
        <v>18</v>
      </c>
      <c r="E51" s="3">
        <v>24</v>
      </c>
      <c r="F51" s="4" t="s">
        <v>19</v>
      </c>
      <c r="G51" s="4" t="s">
        <v>88</v>
      </c>
      <c r="H51" s="4" t="s">
        <v>89</v>
      </c>
      <c r="I51" s="5">
        <v>0.83333333333333337</v>
      </c>
      <c r="J51" s="4" t="s">
        <v>90</v>
      </c>
      <c r="K51" s="4" t="s">
        <v>31</v>
      </c>
      <c r="L51" s="5">
        <v>0.86111111111111116</v>
      </c>
      <c r="M51" s="4" t="s">
        <v>63</v>
      </c>
      <c r="N51" s="3">
        <v>232</v>
      </c>
      <c r="O51" s="4" t="s">
        <v>24</v>
      </c>
      <c r="P51" s="4" t="s">
        <v>79</v>
      </c>
      <c r="Q51" s="4"/>
      <c r="R51">
        <f>tblDailySchedule[[#This Row],[Capacity Approx]]*'[1]Load Factor Sheet June Acft  '!$B$5</f>
        <v>187.86727272727273</v>
      </c>
      <c r="S51">
        <f>tblDailySchedule[[#This Row],[Capacity Approx]]*'[1]Load Factor Sheet June Acft  '!$D$5</f>
        <v>203.4218181818182</v>
      </c>
      <c r="T51" s="22">
        <f>tblDailySchedule[[#This Row],[STD]]</f>
        <v>0.86111111111111116</v>
      </c>
    </row>
    <row r="52" spans="1:20" x14ac:dyDescent="0.35">
      <c r="A52" s="2">
        <v>46111</v>
      </c>
      <c r="B52" s="3">
        <v>1</v>
      </c>
      <c r="C52" s="4" t="s">
        <v>100</v>
      </c>
      <c r="D52" s="4" t="s">
        <v>18</v>
      </c>
      <c r="E52" s="3">
        <v>25</v>
      </c>
      <c r="F52" s="4" t="s">
        <v>19</v>
      </c>
      <c r="G52" s="4" t="s">
        <v>91</v>
      </c>
      <c r="H52" s="4" t="s">
        <v>61</v>
      </c>
      <c r="I52" s="5">
        <v>0.85416666666666663</v>
      </c>
      <c r="J52" s="4" t="s">
        <v>92</v>
      </c>
      <c r="K52" s="4" t="s">
        <v>61</v>
      </c>
      <c r="L52" s="5">
        <v>0.88194444444444442</v>
      </c>
      <c r="M52" s="4" t="s">
        <v>63</v>
      </c>
      <c r="N52" s="3">
        <v>232</v>
      </c>
      <c r="O52" s="4" t="s">
        <v>24</v>
      </c>
      <c r="P52" s="4" t="s">
        <v>79</v>
      </c>
      <c r="Q52" s="4"/>
      <c r="R52">
        <f>tblDailySchedule[[#This Row],[Capacity Approx]]*'[1]Load Factor Sheet June Acft  '!$B$5</f>
        <v>187.86727272727273</v>
      </c>
      <c r="S52">
        <f>tblDailySchedule[[#This Row],[Capacity Approx]]*'[1]Load Factor Sheet June Acft  '!$D$5</f>
        <v>203.4218181818182</v>
      </c>
      <c r="T52" s="22">
        <f>tblDailySchedule[[#This Row],[STD]]</f>
        <v>0.88194444444444442</v>
      </c>
    </row>
    <row r="53" spans="1:20" x14ac:dyDescent="0.35">
      <c r="A53" s="2">
        <v>46111</v>
      </c>
      <c r="B53" s="3">
        <v>1</v>
      </c>
      <c r="C53" s="4" t="s">
        <v>100</v>
      </c>
      <c r="D53" s="4" t="s">
        <v>18</v>
      </c>
      <c r="E53" s="3">
        <v>26</v>
      </c>
      <c r="F53" s="4" t="s">
        <v>19</v>
      </c>
      <c r="G53" s="4" t="s">
        <v>93</v>
      </c>
      <c r="H53" s="4" t="s">
        <v>31</v>
      </c>
      <c r="I53" s="5">
        <v>0.86111111111111116</v>
      </c>
      <c r="J53" s="4" t="s">
        <v>94</v>
      </c>
      <c r="K53" s="4" t="s">
        <v>31</v>
      </c>
      <c r="L53" s="5">
        <v>0.88888888888888884</v>
      </c>
      <c r="M53" s="4" t="s">
        <v>23</v>
      </c>
      <c r="N53" s="3">
        <v>186</v>
      </c>
      <c r="O53" s="4" t="s">
        <v>24</v>
      </c>
      <c r="P53" s="4" t="s">
        <v>79</v>
      </c>
      <c r="Q53" s="4"/>
      <c r="R53">
        <f>tblDailySchedule[[#This Row],[Capacity Approx]]*'[1]Load Factor Sheet June Acft  '!$B$5</f>
        <v>150.61772727272728</v>
      </c>
      <c r="S53">
        <f>tblDailySchedule[[#This Row],[Capacity Approx]]*'[1]Load Factor Sheet June Acft  '!$D$5</f>
        <v>163.08818181818182</v>
      </c>
      <c r="T53" s="22">
        <f>tblDailySchedule[[#This Row],[STD]]</f>
        <v>0.88888888888888884</v>
      </c>
    </row>
    <row r="54" spans="1:20" x14ac:dyDescent="0.35">
      <c r="A54" s="2">
        <v>46111</v>
      </c>
      <c r="B54" s="3">
        <v>1</v>
      </c>
      <c r="C54" s="4" t="s">
        <v>100</v>
      </c>
      <c r="D54" s="4" t="s">
        <v>18</v>
      </c>
      <c r="E54" s="3">
        <v>27</v>
      </c>
      <c r="F54" s="4" t="s">
        <v>19</v>
      </c>
      <c r="G54" s="4" t="s">
        <v>95</v>
      </c>
      <c r="H54" s="4" t="s">
        <v>21</v>
      </c>
      <c r="I54" s="5">
        <v>0.86805555555555558</v>
      </c>
      <c r="J54" s="4" t="s">
        <v>96</v>
      </c>
      <c r="K54" s="4" t="s">
        <v>21</v>
      </c>
      <c r="L54" s="5">
        <v>0.89583333333333337</v>
      </c>
      <c r="M54" s="4" t="s">
        <v>29</v>
      </c>
      <c r="N54" s="3">
        <v>186</v>
      </c>
      <c r="O54" s="4" t="s">
        <v>24</v>
      </c>
      <c r="P54" s="4" t="s">
        <v>79</v>
      </c>
      <c r="Q54" s="4"/>
      <c r="R54">
        <f>tblDailySchedule[[#This Row],[Capacity Approx]]*'[1]Load Factor Sheet June Acft  '!$B$5</f>
        <v>150.61772727272728</v>
      </c>
      <c r="S54">
        <f>tblDailySchedule[[#This Row],[Capacity Approx]]*'[1]Load Factor Sheet June Acft  '!$D$5</f>
        <v>163.08818181818182</v>
      </c>
      <c r="T54" s="22">
        <f>tblDailySchedule[[#This Row],[STD]]</f>
        <v>0.89583333333333337</v>
      </c>
    </row>
    <row r="55" spans="1:20" x14ac:dyDescent="0.35">
      <c r="A55" s="2">
        <v>46111</v>
      </c>
      <c r="B55" s="3">
        <v>1</v>
      </c>
      <c r="C55" s="4" t="s">
        <v>100</v>
      </c>
      <c r="D55" s="4" t="s">
        <v>18</v>
      </c>
      <c r="E55" s="3">
        <v>28</v>
      </c>
      <c r="F55" s="4" t="s">
        <v>19</v>
      </c>
      <c r="G55" s="4" t="s">
        <v>97</v>
      </c>
      <c r="H55" s="4" t="s">
        <v>49</v>
      </c>
      <c r="I55" s="5">
        <v>0.90277777777777779</v>
      </c>
      <c r="J55" s="4" t="s">
        <v>97</v>
      </c>
      <c r="K55" s="4" t="s">
        <v>61</v>
      </c>
      <c r="L55" s="5">
        <v>0.92361111111111116</v>
      </c>
      <c r="M55" s="4" t="s">
        <v>33</v>
      </c>
      <c r="N55" s="3">
        <v>189</v>
      </c>
      <c r="O55" s="4" t="s">
        <v>24</v>
      </c>
      <c r="P55" s="4" t="s">
        <v>79</v>
      </c>
      <c r="Q55" s="4"/>
      <c r="R55">
        <f>tblDailySchedule[[#This Row],[Capacity Approx]]*'[1]Load Factor Sheet June Acft  '!$B$5</f>
        <v>153.04704545454547</v>
      </c>
      <c r="S55">
        <f>tblDailySchedule[[#This Row],[Capacity Approx]]*'[1]Load Factor Sheet June Acft  '!$D$5</f>
        <v>165.71863636363636</v>
      </c>
      <c r="T55" s="22">
        <f>tblDailySchedule[[#This Row],[STD]]</f>
        <v>0.92361111111111116</v>
      </c>
    </row>
    <row r="56" spans="1:20" x14ac:dyDescent="0.35">
      <c r="A56" s="2">
        <v>46111</v>
      </c>
      <c r="B56" s="3">
        <v>1</v>
      </c>
      <c r="C56" s="4" t="s">
        <v>100</v>
      </c>
      <c r="D56" s="4" t="s">
        <v>18</v>
      </c>
      <c r="E56" s="3">
        <v>29</v>
      </c>
      <c r="F56" s="4" t="s">
        <v>19</v>
      </c>
      <c r="G56" s="4" t="s">
        <v>98</v>
      </c>
      <c r="H56" s="4" t="s">
        <v>21</v>
      </c>
      <c r="I56" s="5">
        <v>0.92013888888888884</v>
      </c>
      <c r="J56" s="4" t="s">
        <v>99</v>
      </c>
      <c r="K56" s="4" t="s">
        <v>21</v>
      </c>
      <c r="L56" s="5">
        <v>0.94791666666666663</v>
      </c>
      <c r="M56" s="4" t="s">
        <v>63</v>
      </c>
      <c r="N56" s="3">
        <v>232</v>
      </c>
      <c r="O56" s="4" t="s">
        <v>24</v>
      </c>
      <c r="P56" s="4" t="s">
        <v>79</v>
      </c>
      <c r="Q56" s="4"/>
      <c r="R56">
        <f>tblDailySchedule[[#This Row],[Capacity Approx]]*'[1]Load Factor Sheet June Acft  '!$B$5</f>
        <v>187.86727272727273</v>
      </c>
      <c r="S56">
        <f>tblDailySchedule[[#This Row],[Capacity Approx]]*'[1]Load Factor Sheet June Acft  '!$D$5</f>
        <v>203.4218181818182</v>
      </c>
      <c r="T56" s="22">
        <f>tblDailySchedule[[#This Row],[STD]]</f>
        <v>0.94791666666666663</v>
      </c>
    </row>
    <row r="57" spans="1:20" x14ac:dyDescent="0.35">
      <c r="A57" s="6">
        <v>46111</v>
      </c>
      <c r="B57" s="7">
        <v>1</v>
      </c>
      <c r="C57" s="8" t="s">
        <v>100</v>
      </c>
      <c r="D57" s="8" t="s">
        <v>18</v>
      </c>
      <c r="E57" s="7">
        <v>30</v>
      </c>
      <c r="F57" s="8" t="s">
        <v>104</v>
      </c>
      <c r="G57" s="8" t="s">
        <v>105</v>
      </c>
      <c r="H57" s="8" t="s">
        <v>106</v>
      </c>
      <c r="I57" s="9">
        <v>0.92708333333333337</v>
      </c>
      <c r="J57" s="8" t="s">
        <v>107</v>
      </c>
      <c r="K57" s="8" t="s">
        <v>106</v>
      </c>
      <c r="L57" s="9">
        <v>0.95833333333333337</v>
      </c>
      <c r="M57" s="8" t="s">
        <v>38</v>
      </c>
      <c r="N57" s="7">
        <v>186</v>
      </c>
      <c r="O57" s="8" t="s">
        <v>39</v>
      </c>
      <c r="P57" s="8" t="s">
        <v>79</v>
      </c>
      <c r="Q57" s="8" t="s">
        <v>39</v>
      </c>
      <c r="R57">
        <f>tblDailySchedule[[#This Row],[Capacity Approx]]*'[1]Load Factor Sheet June Acft  '!$B$5</f>
        <v>150.61772727272728</v>
      </c>
      <c r="S57">
        <f>tblDailySchedule[[#This Row],[Capacity Approx]]*'[1]Load Factor Sheet June Acft  '!$D$5</f>
        <v>163.08818181818182</v>
      </c>
      <c r="T57" s="22">
        <f>tblDailySchedule[[#This Row],[STD]]</f>
        <v>0.95833333333333337</v>
      </c>
    </row>
    <row r="58" spans="1:20" hidden="1" x14ac:dyDescent="0.35">
      <c r="A58" s="2">
        <v>46112</v>
      </c>
      <c r="B58" s="3">
        <v>2</v>
      </c>
      <c r="C58" s="4" t="s">
        <v>108</v>
      </c>
      <c r="D58" s="4" t="s">
        <v>18</v>
      </c>
      <c r="E58" s="3">
        <v>1</v>
      </c>
      <c r="F58" s="4" t="s">
        <v>101</v>
      </c>
      <c r="G58" s="4" t="s">
        <v>102</v>
      </c>
      <c r="H58" s="4" t="s">
        <v>61</v>
      </c>
      <c r="I58" s="5">
        <v>0.3125</v>
      </c>
      <c r="J58" s="4" t="s">
        <v>103</v>
      </c>
      <c r="K58" s="4" t="s">
        <v>61</v>
      </c>
      <c r="L58" s="5">
        <v>0.33333333333333331</v>
      </c>
      <c r="M58" s="4" t="s">
        <v>33</v>
      </c>
      <c r="N58" s="3">
        <v>189</v>
      </c>
      <c r="O58" s="4" t="s">
        <v>24</v>
      </c>
      <c r="P58" s="4" t="s">
        <v>25</v>
      </c>
      <c r="Q58" s="4"/>
      <c r="R58">
        <f>tblDailySchedule[[#This Row],[Capacity Approx]]*'[1]Load Factor Sheet June Acft  '!$B$5</f>
        <v>153.04704545454547</v>
      </c>
      <c r="S58">
        <f>tblDailySchedule[[#This Row],[Capacity Approx]]*'[1]Load Factor Sheet June Acft  '!$D$5</f>
        <v>165.71863636363636</v>
      </c>
      <c r="T58" s="22">
        <f>tblDailySchedule[[#This Row],[STD]]</f>
        <v>0.33333333333333331</v>
      </c>
    </row>
    <row r="59" spans="1:20" hidden="1" x14ac:dyDescent="0.35">
      <c r="A59" s="2">
        <v>46112</v>
      </c>
      <c r="B59" s="3">
        <v>2</v>
      </c>
      <c r="C59" s="4" t="s">
        <v>108</v>
      </c>
      <c r="D59" s="4" t="s">
        <v>18</v>
      </c>
      <c r="E59" s="3">
        <v>2</v>
      </c>
      <c r="F59" s="4" t="s">
        <v>19</v>
      </c>
      <c r="G59" s="4" t="s">
        <v>20</v>
      </c>
      <c r="H59" s="4" t="s">
        <v>21</v>
      </c>
      <c r="I59" s="5">
        <v>0.31944444444444442</v>
      </c>
      <c r="J59" s="4" t="s">
        <v>22</v>
      </c>
      <c r="K59" s="4" t="s">
        <v>21</v>
      </c>
      <c r="L59" s="5">
        <v>0.34722222222222221</v>
      </c>
      <c r="M59" s="4" t="s">
        <v>23</v>
      </c>
      <c r="N59" s="3">
        <v>186</v>
      </c>
      <c r="O59" s="4" t="s">
        <v>24</v>
      </c>
      <c r="P59" s="4" t="s">
        <v>25</v>
      </c>
      <c r="Q59" s="4"/>
      <c r="R59">
        <f>tblDailySchedule[[#This Row],[Capacity Approx]]*'[1]Load Factor Sheet June Acft  '!$B$5</f>
        <v>150.61772727272728</v>
      </c>
      <c r="S59">
        <f>tblDailySchedule[[#This Row],[Capacity Approx]]*'[1]Load Factor Sheet June Acft  '!$D$5</f>
        <v>163.08818181818182</v>
      </c>
      <c r="T59" s="22">
        <f>tblDailySchedule[[#This Row],[STD]]</f>
        <v>0.34722222222222221</v>
      </c>
    </row>
    <row r="60" spans="1:20" hidden="1" x14ac:dyDescent="0.35">
      <c r="A60" s="2">
        <v>46112</v>
      </c>
      <c r="B60" s="3">
        <v>2</v>
      </c>
      <c r="C60" s="4" t="s">
        <v>108</v>
      </c>
      <c r="D60" s="4" t="s">
        <v>18</v>
      </c>
      <c r="E60" s="3">
        <v>3</v>
      </c>
      <c r="F60" s="4" t="s">
        <v>19</v>
      </c>
      <c r="G60" s="4" t="s">
        <v>26</v>
      </c>
      <c r="H60" s="4" t="s">
        <v>27</v>
      </c>
      <c r="I60" s="5">
        <v>0.3263888888888889</v>
      </c>
      <c r="J60" s="4" t="s">
        <v>28</v>
      </c>
      <c r="K60" s="4" t="s">
        <v>27</v>
      </c>
      <c r="L60" s="5">
        <v>0.35416666666666669</v>
      </c>
      <c r="M60" s="4" t="s">
        <v>29</v>
      </c>
      <c r="N60" s="3">
        <v>186</v>
      </c>
      <c r="O60" s="4" t="s">
        <v>24</v>
      </c>
      <c r="P60" s="4" t="s">
        <v>25</v>
      </c>
      <c r="Q60" s="4"/>
      <c r="R60">
        <f>tblDailySchedule[[#This Row],[Capacity Approx]]*'[1]Load Factor Sheet June Acft  '!$B$5</f>
        <v>150.61772727272728</v>
      </c>
      <c r="S60">
        <f>tblDailySchedule[[#This Row],[Capacity Approx]]*'[1]Load Factor Sheet June Acft  '!$D$5</f>
        <v>163.08818181818182</v>
      </c>
      <c r="T60" s="22">
        <f>tblDailySchedule[[#This Row],[STD]]</f>
        <v>0.35416666666666669</v>
      </c>
    </row>
    <row r="61" spans="1:20" hidden="1" x14ac:dyDescent="0.35">
      <c r="A61" s="2">
        <v>46112</v>
      </c>
      <c r="B61" s="3">
        <v>2</v>
      </c>
      <c r="C61" s="4" t="s">
        <v>108</v>
      </c>
      <c r="D61" s="4" t="s">
        <v>18</v>
      </c>
      <c r="E61" s="3">
        <v>4</v>
      </c>
      <c r="F61" s="4" t="s">
        <v>19</v>
      </c>
      <c r="G61" s="4" t="s">
        <v>30</v>
      </c>
      <c r="H61" s="4" t="s">
        <v>31</v>
      </c>
      <c r="I61" s="5">
        <v>0.34722222222222221</v>
      </c>
      <c r="J61" s="4" t="s">
        <v>32</v>
      </c>
      <c r="K61" s="4" t="s">
        <v>31</v>
      </c>
      <c r="L61" s="5">
        <v>0.36805555555555558</v>
      </c>
      <c r="M61" s="4" t="s">
        <v>33</v>
      </c>
      <c r="N61" s="3">
        <v>189</v>
      </c>
      <c r="O61" s="4" t="s">
        <v>24</v>
      </c>
      <c r="P61" s="4" t="s">
        <v>25</v>
      </c>
      <c r="Q61" s="4"/>
      <c r="R61">
        <f>tblDailySchedule[[#This Row],[Capacity Approx]]*'[1]Load Factor Sheet June Acft  '!$B$5</f>
        <v>153.04704545454547</v>
      </c>
      <c r="S61">
        <f>tblDailySchedule[[#This Row],[Capacity Approx]]*'[1]Load Factor Sheet June Acft  '!$D$5</f>
        <v>165.71863636363636</v>
      </c>
      <c r="T61" s="22">
        <f>tblDailySchedule[[#This Row],[STD]]</f>
        <v>0.36805555555555558</v>
      </c>
    </row>
    <row r="62" spans="1:20" hidden="1" x14ac:dyDescent="0.35">
      <c r="A62" s="2">
        <v>46112</v>
      </c>
      <c r="B62" s="3">
        <v>2</v>
      </c>
      <c r="C62" s="4" t="s">
        <v>108</v>
      </c>
      <c r="D62" s="4" t="s">
        <v>18</v>
      </c>
      <c r="E62" s="3">
        <v>5</v>
      </c>
      <c r="F62" s="4" t="s">
        <v>19</v>
      </c>
      <c r="G62" s="4" t="s">
        <v>40</v>
      </c>
      <c r="H62" s="4" t="s">
        <v>31</v>
      </c>
      <c r="I62" s="5">
        <v>0.35069444444444442</v>
      </c>
      <c r="J62" s="4" t="s">
        <v>41</v>
      </c>
      <c r="K62" s="4" t="s">
        <v>31</v>
      </c>
      <c r="L62" s="5">
        <v>0.37152777777777779</v>
      </c>
      <c r="M62" s="4" t="s">
        <v>23</v>
      </c>
      <c r="N62" s="3">
        <v>186</v>
      </c>
      <c r="O62" s="4" t="s">
        <v>24</v>
      </c>
      <c r="P62" s="4" t="s">
        <v>25</v>
      </c>
      <c r="Q62" s="4"/>
      <c r="R62">
        <f>tblDailySchedule[[#This Row],[Capacity Approx]]*'[1]Load Factor Sheet June Acft  '!$B$5</f>
        <v>150.61772727272728</v>
      </c>
      <c r="S62">
        <f>tblDailySchedule[[#This Row],[Capacity Approx]]*'[1]Load Factor Sheet June Acft  '!$D$5</f>
        <v>163.08818181818182</v>
      </c>
      <c r="T62" s="22">
        <f>tblDailySchedule[[#This Row],[STD]]</f>
        <v>0.37152777777777779</v>
      </c>
    </row>
    <row r="63" spans="1:20" hidden="1" x14ac:dyDescent="0.35">
      <c r="A63" s="2">
        <v>46112</v>
      </c>
      <c r="B63" s="3">
        <v>2</v>
      </c>
      <c r="C63" s="4" t="s">
        <v>108</v>
      </c>
      <c r="D63" s="4" t="s">
        <v>18</v>
      </c>
      <c r="E63" s="3">
        <v>7</v>
      </c>
      <c r="F63" s="4" t="s">
        <v>19</v>
      </c>
      <c r="G63" s="4" t="s">
        <v>42</v>
      </c>
      <c r="H63" s="4" t="s">
        <v>43</v>
      </c>
      <c r="I63" s="5">
        <v>0.3923611111111111</v>
      </c>
      <c r="J63" s="4" t="s">
        <v>44</v>
      </c>
      <c r="K63" s="4" t="s">
        <v>43</v>
      </c>
      <c r="L63" s="5">
        <v>0.40277777777777779</v>
      </c>
      <c r="M63" s="4" t="s">
        <v>45</v>
      </c>
      <c r="N63" s="3">
        <v>9</v>
      </c>
      <c r="O63" s="4" t="s">
        <v>24</v>
      </c>
      <c r="P63" s="4" t="s">
        <v>25</v>
      </c>
      <c r="Q63" s="4"/>
      <c r="R63">
        <f>tblDailySchedule[[#This Row],[Capacity Approx]]*'[1]Load Factor Sheet June Acft  '!$B$5</f>
        <v>7.2879545454545456</v>
      </c>
      <c r="S63">
        <f>tblDailySchedule[[#This Row],[Capacity Approx]]*'[1]Load Factor Sheet June Acft  '!$D$5</f>
        <v>7.8913636363636366</v>
      </c>
      <c r="T63" s="22">
        <f>tblDailySchedule[[#This Row],[STD]]</f>
        <v>0.40277777777777779</v>
      </c>
    </row>
    <row r="64" spans="1:20" hidden="1" x14ac:dyDescent="0.35">
      <c r="A64" s="2">
        <v>46112</v>
      </c>
      <c r="B64" s="3">
        <v>2</v>
      </c>
      <c r="C64" s="4" t="s">
        <v>108</v>
      </c>
      <c r="D64" s="4" t="s">
        <v>18</v>
      </c>
      <c r="E64" s="3">
        <v>8</v>
      </c>
      <c r="F64" s="4" t="s">
        <v>19</v>
      </c>
      <c r="G64" s="4" t="s">
        <v>46</v>
      </c>
      <c r="H64" s="4" t="s">
        <v>31</v>
      </c>
      <c r="I64" s="5">
        <v>0.4201388888888889</v>
      </c>
      <c r="J64" s="4" t="s">
        <v>47</v>
      </c>
      <c r="K64" s="4" t="s">
        <v>31</v>
      </c>
      <c r="L64" s="5">
        <v>0.44444444444444442</v>
      </c>
      <c r="M64" s="4" t="s">
        <v>29</v>
      </c>
      <c r="N64" s="3">
        <v>186</v>
      </c>
      <c r="O64" s="4" t="s">
        <v>24</v>
      </c>
      <c r="P64" s="4" t="s">
        <v>25</v>
      </c>
      <c r="Q64" s="4"/>
      <c r="R64">
        <f>tblDailySchedule[[#This Row],[Capacity Approx]]*'[1]Load Factor Sheet June Acft  '!$B$5</f>
        <v>150.61772727272728</v>
      </c>
      <c r="S64">
        <f>tblDailySchedule[[#This Row],[Capacity Approx]]*'[1]Load Factor Sheet June Acft  '!$D$5</f>
        <v>163.08818181818182</v>
      </c>
      <c r="T64" s="22">
        <f>tblDailySchedule[[#This Row],[STD]]</f>
        <v>0.44444444444444442</v>
      </c>
    </row>
    <row r="65" spans="1:20" hidden="1" x14ac:dyDescent="0.35">
      <c r="A65" s="2">
        <v>46112</v>
      </c>
      <c r="B65" s="3">
        <v>2</v>
      </c>
      <c r="C65" s="4" t="s">
        <v>108</v>
      </c>
      <c r="D65" s="4" t="s">
        <v>18</v>
      </c>
      <c r="E65" s="3">
        <v>9</v>
      </c>
      <c r="F65" s="4" t="s">
        <v>19</v>
      </c>
      <c r="G65" s="4" t="s">
        <v>48</v>
      </c>
      <c r="H65" s="4" t="s">
        <v>49</v>
      </c>
      <c r="I65" s="5">
        <v>0.4375</v>
      </c>
      <c r="J65" s="4" t="s">
        <v>50</v>
      </c>
      <c r="K65" s="4" t="s">
        <v>49</v>
      </c>
      <c r="L65" s="5">
        <v>0.45833333333333331</v>
      </c>
      <c r="M65" s="4" t="s">
        <v>51</v>
      </c>
      <c r="N65" s="3">
        <v>78</v>
      </c>
      <c r="O65" s="4" t="s">
        <v>24</v>
      </c>
      <c r="P65" s="4" t="s">
        <v>25</v>
      </c>
      <c r="Q65" s="4"/>
      <c r="R65">
        <f>tblDailySchedule[[#This Row],[Capacity Approx]]*'[1]Load Factor Sheet June Acft  '!$B$5</f>
        <v>63.162272727272729</v>
      </c>
      <c r="S65">
        <f>tblDailySchedule[[#This Row],[Capacity Approx]]*'[1]Load Factor Sheet June Acft  '!$D$5</f>
        <v>68.391818181818181</v>
      </c>
      <c r="T65" s="22">
        <f>tblDailySchedule[[#This Row],[STD]]</f>
        <v>0.45833333333333331</v>
      </c>
    </row>
    <row r="66" spans="1:20" hidden="1" x14ac:dyDescent="0.35">
      <c r="A66" s="2">
        <v>46112</v>
      </c>
      <c r="B66" s="3">
        <v>2</v>
      </c>
      <c r="C66" s="4" t="s">
        <v>108</v>
      </c>
      <c r="D66" s="4" t="s">
        <v>18</v>
      </c>
      <c r="E66" s="3">
        <v>10</v>
      </c>
      <c r="F66" s="4" t="s">
        <v>19</v>
      </c>
      <c r="G66" s="4" t="s">
        <v>52</v>
      </c>
      <c r="H66" s="4" t="s">
        <v>27</v>
      </c>
      <c r="I66" s="5">
        <v>0.4826388888888889</v>
      </c>
      <c r="J66" s="4" t="s">
        <v>53</v>
      </c>
      <c r="K66" s="4" t="s">
        <v>27</v>
      </c>
      <c r="L66" s="5">
        <v>0.51041666666666663</v>
      </c>
      <c r="M66" s="4" t="s">
        <v>23</v>
      </c>
      <c r="N66" s="3">
        <v>186</v>
      </c>
      <c r="O66" s="4" t="s">
        <v>24</v>
      </c>
      <c r="P66" s="4" t="s">
        <v>25</v>
      </c>
      <c r="Q66" s="4"/>
      <c r="R66">
        <f>tblDailySchedule[[#This Row],[Capacity Approx]]*'[1]Load Factor Sheet June Acft  '!$B$5</f>
        <v>150.61772727272728</v>
      </c>
      <c r="S66">
        <f>tblDailySchedule[[#This Row],[Capacity Approx]]*'[1]Load Factor Sheet June Acft  '!$D$5</f>
        <v>163.08818181818182</v>
      </c>
      <c r="T66" s="22">
        <f>tblDailySchedule[[#This Row],[STD]]</f>
        <v>0.51041666666666663</v>
      </c>
    </row>
    <row r="67" spans="1:20" hidden="1" x14ac:dyDescent="0.35">
      <c r="A67" s="2">
        <v>46112</v>
      </c>
      <c r="B67" s="3">
        <v>2</v>
      </c>
      <c r="C67" s="4" t="s">
        <v>108</v>
      </c>
      <c r="D67" s="4" t="s">
        <v>18</v>
      </c>
      <c r="E67" s="3">
        <v>11</v>
      </c>
      <c r="F67" s="4" t="s">
        <v>19</v>
      </c>
      <c r="G67" s="4" t="s">
        <v>54</v>
      </c>
      <c r="H67" s="4" t="s">
        <v>31</v>
      </c>
      <c r="I67" s="5">
        <v>0.51388888888888884</v>
      </c>
      <c r="J67" s="4" t="s">
        <v>55</v>
      </c>
      <c r="K67" s="4" t="s">
        <v>31</v>
      </c>
      <c r="L67" s="5">
        <v>0.54166666666666663</v>
      </c>
      <c r="M67" s="4" t="s">
        <v>23</v>
      </c>
      <c r="N67" s="3">
        <v>186</v>
      </c>
      <c r="O67" s="4" t="s">
        <v>24</v>
      </c>
      <c r="P67" s="4" t="s">
        <v>56</v>
      </c>
      <c r="Q67" s="4"/>
      <c r="R67">
        <f>tblDailySchedule[[#This Row],[Capacity Approx]]*'[1]Load Factor Sheet June Acft  '!$B$5</f>
        <v>150.61772727272728</v>
      </c>
      <c r="S67">
        <f>tblDailySchedule[[#This Row],[Capacity Approx]]*'[1]Load Factor Sheet June Acft  '!$D$5</f>
        <v>163.08818181818182</v>
      </c>
      <c r="T67" s="22">
        <f>tblDailySchedule[[#This Row],[STD]]</f>
        <v>0.54166666666666663</v>
      </c>
    </row>
    <row r="68" spans="1:20" hidden="1" x14ac:dyDescent="0.35">
      <c r="A68" s="2">
        <v>46112</v>
      </c>
      <c r="B68" s="3">
        <v>2</v>
      </c>
      <c r="C68" s="4" t="s">
        <v>108</v>
      </c>
      <c r="D68" s="4" t="s">
        <v>18</v>
      </c>
      <c r="E68" s="3">
        <v>12</v>
      </c>
      <c r="F68" s="4" t="s">
        <v>109</v>
      </c>
      <c r="G68" s="4" t="s">
        <v>110</v>
      </c>
      <c r="H68" s="4" t="s">
        <v>111</v>
      </c>
      <c r="I68" s="5">
        <v>0.55555555555555558</v>
      </c>
      <c r="J68" s="4" t="s">
        <v>112</v>
      </c>
      <c r="K68" s="4" t="s">
        <v>111</v>
      </c>
      <c r="L68" s="5">
        <v>0.56944444444444442</v>
      </c>
      <c r="M68" s="4" t="s">
        <v>51</v>
      </c>
      <c r="N68" s="3">
        <v>78</v>
      </c>
      <c r="O68" s="4" t="s">
        <v>24</v>
      </c>
      <c r="P68" s="4" t="s">
        <v>56</v>
      </c>
      <c r="Q68" s="4"/>
      <c r="R68">
        <f>tblDailySchedule[[#This Row],[Capacity Approx]]*'[1]Load Factor Sheet June Acft  '!$B$5</f>
        <v>63.162272727272729</v>
      </c>
      <c r="S68">
        <f>tblDailySchedule[[#This Row],[Capacity Approx]]*'[1]Load Factor Sheet June Acft  '!$D$5</f>
        <v>68.391818181818181</v>
      </c>
      <c r="T68" s="22">
        <f>tblDailySchedule[[#This Row],[STD]]</f>
        <v>0.56944444444444442</v>
      </c>
    </row>
    <row r="69" spans="1:20" hidden="1" x14ac:dyDescent="0.35">
      <c r="A69" s="2">
        <v>46112</v>
      </c>
      <c r="B69" s="3">
        <v>2</v>
      </c>
      <c r="C69" s="4" t="s">
        <v>108</v>
      </c>
      <c r="D69" s="4" t="s">
        <v>18</v>
      </c>
      <c r="E69" s="3">
        <v>13</v>
      </c>
      <c r="F69" s="4" t="s">
        <v>19</v>
      </c>
      <c r="G69" s="4" t="s">
        <v>57</v>
      </c>
      <c r="H69" s="4" t="s">
        <v>58</v>
      </c>
      <c r="I69" s="5">
        <v>0.55902777777777779</v>
      </c>
      <c r="J69" s="4" t="s">
        <v>59</v>
      </c>
      <c r="K69" s="4" t="s">
        <v>58</v>
      </c>
      <c r="L69" s="5">
        <v>0.57638888888888884</v>
      </c>
      <c r="M69" s="4" t="s">
        <v>51</v>
      </c>
      <c r="N69" s="3">
        <v>78</v>
      </c>
      <c r="O69" s="4" t="s">
        <v>24</v>
      </c>
      <c r="P69" s="4" t="s">
        <v>56</v>
      </c>
      <c r="Q69" s="4"/>
      <c r="R69">
        <f>tblDailySchedule[[#This Row],[Capacity Approx]]*'[1]Load Factor Sheet June Acft  '!$B$5</f>
        <v>63.162272727272729</v>
      </c>
      <c r="S69">
        <f>tblDailySchedule[[#This Row],[Capacity Approx]]*'[1]Load Factor Sheet June Acft  '!$D$5</f>
        <v>68.391818181818181</v>
      </c>
      <c r="T69" s="22">
        <f>tblDailySchedule[[#This Row],[STD]]</f>
        <v>0.57638888888888884</v>
      </c>
    </row>
    <row r="70" spans="1:20" hidden="1" x14ac:dyDescent="0.35">
      <c r="A70" s="2">
        <v>46112</v>
      </c>
      <c r="B70" s="3">
        <v>2</v>
      </c>
      <c r="C70" s="4" t="s">
        <v>108</v>
      </c>
      <c r="D70" s="4" t="s">
        <v>18</v>
      </c>
      <c r="E70" s="3">
        <v>14</v>
      </c>
      <c r="F70" s="4" t="s">
        <v>19</v>
      </c>
      <c r="G70" s="4" t="s">
        <v>60</v>
      </c>
      <c r="H70" s="4" t="s">
        <v>61</v>
      </c>
      <c r="I70" s="5">
        <v>0.59027777777777779</v>
      </c>
      <c r="J70" s="4" t="s">
        <v>62</v>
      </c>
      <c r="K70" s="4" t="s">
        <v>61</v>
      </c>
      <c r="L70" s="5">
        <v>0.62152777777777779</v>
      </c>
      <c r="M70" s="4" t="s">
        <v>63</v>
      </c>
      <c r="N70" s="3">
        <v>232</v>
      </c>
      <c r="O70" s="4" t="s">
        <v>24</v>
      </c>
      <c r="P70" s="4" t="s">
        <v>56</v>
      </c>
      <c r="Q70" s="4"/>
      <c r="R70">
        <f>tblDailySchedule[[#This Row],[Capacity Approx]]*'[1]Load Factor Sheet June Acft  '!$B$5</f>
        <v>187.86727272727273</v>
      </c>
      <c r="S70">
        <f>tblDailySchedule[[#This Row],[Capacity Approx]]*'[1]Load Factor Sheet June Acft  '!$D$5</f>
        <v>203.4218181818182</v>
      </c>
      <c r="T70" s="22">
        <f>tblDailySchedule[[#This Row],[STD]]</f>
        <v>0.62152777777777779</v>
      </c>
    </row>
    <row r="71" spans="1:20" hidden="1" x14ac:dyDescent="0.35">
      <c r="A71" s="2">
        <v>46112</v>
      </c>
      <c r="B71" s="3">
        <v>2</v>
      </c>
      <c r="C71" s="4" t="s">
        <v>108</v>
      </c>
      <c r="D71" s="4" t="s">
        <v>18</v>
      </c>
      <c r="E71" s="3">
        <v>15</v>
      </c>
      <c r="F71" s="4" t="s">
        <v>19</v>
      </c>
      <c r="G71" s="4" t="s">
        <v>64</v>
      </c>
      <c r="H71" s="4" t="s">
        <v>31</v>
      </c>
      <c r="I71" s="5">
        <v>0.60069444444444442</v>
      </c>
      <c r="J71" s="4" t="s">
        <v>65</v>
      </c>
      <c r="K71" s="4" t="s">
        <v>66</v>
      </c>
      <c r="L71" s="5">
        <v>0.62847222222222221</v>
      </c>
      <c r="M71" s="4" t="s">
        <v>63</v>
      </c>
      <c r="N71" s="3">
        <v>232</v>
      </c>
      <c r="O71" s="4" t="s">
        <v>24</v>
      </c>
      <c r="P71" s="4" t="s">
        <v>56</v>
      </c>
      <c r="Q71" s="4"/>
      <c r="R71">
        <f>tblDailySchedule[[#This Row],[Capacity Approx]]*'[1]Load Factor Sheet June Acft  '!$B$5</f>
        <v>187.86727272727273</v>
      </c>
      <c r="S71">
        <f>tblDailySchedule[[#This Row],[Capacity Approx]]*'[1]Load Factor Sheet June Acft  '!$D$5</f>
        <v>203.4218181818182</v>
      </c>
      <c r="T71" s="22">
        <f>tblDailySchedule[[#This Row],[STD]]</f>
        <v>0.62847222222222221</v>
      </c>
    </row>
    <row r="72" spans="1:20" hidden="1" x14ac:dyDescent="0.35">
      <c r="A72" s="2">
        <v>46112</v>
      </c>
      <c r="B72" s="3">
        <v>2</v>
      </c>
      <c r="C72" s="4" t="s">
        <v>108</v>
      </c>
      <c r="D72" s="4" t="s">
        <v>18</v>
      </c>
      <c r="E72" s="3">
        <v>16</v>
      </c>
      <c r="F72" s="4" t="s">
        <v>19</v>
      </c>
      <c r="G72" s="4" t="s">
        <v>67</v>
      </c>
      <c r="H72" s="4" t="s">
        <v>31</v>
      </c>
      <c r="I72" s="5">
        <v>0.65625</v>
      </c>
      <c r="J72" s="4" t="s">
        <v>68</v>
      </c>
      <c r="K72" s="4" t="s">
        <v>31</v>
      </c>
      <c r="L72" s="5">
        <v>0.68402777777777779</v>
      </c>
      <c r="M72" s="4" t="s">
        <v>63</v>
      </c>
      <c r="N72" s="3">
        <v>232</v>
      </c>
      <c r="O72" s="4" t="s">
        <v>24</v>
      </c>
      <c r="P72" s="4" t="s">
        <v>56</v>
      </c>
      <c r="Q72" s="4"/>
      <c r="R72">
        <f>tblDailySchedule[[#This Row],[Capacity Approx]]*'[1]Load Factor Sheet June Acft  '!$B$5</f>
        <v>187.86727272727273</v>
      </c>
      <c r="S72">
        <f>tblDailySchedule[[#This Row],[Capacity Approx]]*'[1]Load Factor Sheet June Acft  '!$D$5</f>
        <v>203.4218181818182</v>
      </c>
      <c r="T72" s="22">
        <f>tblDailySchedule[[#This Row],[STD]]</f>
        <v>0.68402777777777779</v>
      </c>
    </row>
    <row r="73" spans="1:20" hidden="1" x14ac:dyDescent="0.35">
      <c r="A73" s="2">
        <v>46112</v>
      </c>
      <c r="B73" s="3">
        <v>2</v>
      </c>
      <c r="C73" s="4" t="s">
        <v>108</v>
      </c>
      <c r="D73" s="4" t="s">
        <v>18</v>
      </c>
      <c r="E73" s="3">
        <v>17</v>
      </c>
      <c r="F73" s="4" t="s">
        <v>19</v>
      </c>
      <c r="G73" s="4" t="s">
        <v>69</v>
      </c>
      <c r="H73" s="4" t="s">
        <v>31</v>
      </c>
      <c r="I73" s="5">
        <v>0.66319444444444442</v>
      </c>
      <c r="J73" s="4" t="s">
        <v>70</v>
      </c>
      <c r="K73" s="4" t="s">
        <v>31</v>
      </c>
      <c r="L73" s="5">
        <v>0.69097222222222221</v>
      </c>
      <c r="M73" s="4" t="s">
        <v>33</v>
      </c>
      <c r="N73" s="3">
        <v>189</v>
      </c>
      <c r="O73" s="4" t="s">
        <v>24</v>
      </c>
      <c r="P73" s="4" t="s">
        <v>56</v>
      </c>
      <c r="Q73" s="4"/>
      <c r="R73">
        <f>tblDailySchedule[[#This Row],[Capacity Approx]]*'[1]Load Factor Sheet June Acft  '!$B$5</f>
        <v>153.04704545454547</v>
      </c>
      <c r="S73">
        <f>tblDailySchedule[[#This Row],[Capacity Approx]]*'[1]Load Factor Sheet June Acft  '!$D$5</f>
        <v>165.71863636363636</v>
      </c>
      <c r="T73" s="22">
        <f>tblDailySchedule[[#This Row],[STD]]</f>
        <v>0.69097222222222221</v>
      </c>
    </row>
    <row r="74" spans="1:20" hidden="1" x14ac:dyDescent="0.35">
      <c r="A74" s="2">
        <v>46112</v>
      </c>
      <c r="B74" s="3">
        <v>2</v>
      </c>
      <c r="C74" s="4" t="s">
        <v>108</v>
      </c>
      <c r="D74" s="4" t="s">
        <v>18</v>
      </c>
      <c r="E74" s="3">
        <v>18</v>
      </c>
      <c r="F74" s="4" t="s">
        <v>19</v>
      </c>
      <c r="G74" s="4" t="s">
        <v>71</v>
      </c>
      <c r="H74" s="4" t="s">
        <v>21</v>
      </c>
      <c r="I74" s="5">
        <v>0.67013888888888884</v>
      </c>
      <c r="J74" s="4" t="s">
        <v>72</v>
      </c>
      <c r="K74" s="4" t="s">
        <v>21</v>
      </c>
      <c r="L74" s="5">
        <v>0.69791666666666663</v>
      </c>
      <c r="M74" s="4" t="s">
        <v>63</v>
      </c>
      <c r="N74" s="3">
        <v>232</v>
      </c>
      <c r="O74" s="4" t="s">
        <v>24</v>
      </c>
      <c r="P74" s="4" t="s">
        <v>56</v>
      </c>
      <c r="Q74" s="4"/>
      <c r="R74">
        <f>tblDailySchedule[[#This Row],[Capacity Approx]]*'[1]Load Factor Sheet June Acft  '!$B$5</f>
        <v>187.86727272727273</v>
      </c>
      <c r="S74">
        <f>tblDailySchedule[[#This Row],[Capacity Approx]]*'[1]Load Factor Sheet June Acft  '!$D$5</f>
        <v>203.4218181818182</v>
      </c>
      <c r="T74" s="22">
        <f>tblDailySchedule[[#This Row],[STD]]</f>
        <v>0.69791666666666663</v>
      </c>
    </row>
    <row r="75" spans="1:20" hidden="1" x14ac:dyDescent="0.35">
      <c r="A75" s="2">
        <v>46112</v>
      </c>
      <c r="B75" s="3">
        <v>2</v>
      </c>
      <c r="C75" s="4" t="s">
        <v>108</v>
      </c>
      <c r="D75" s="4" t="s">
        <v>18</v>
      </c>
      <c r="E75" s="3">
        <v>19</v>
      </c>
      <c r="F75" s="4" t="s">
        <v>19</v>
      </c>
      <c r="G75" s="4" t="s">
        <v>73</v>
      </c>
      <c r="H75" s="4" t="s">
        <v>27</v>
      </c>
      <c r="I75" s="5">
        <v>0.74652777777777779</v>
      </c>
      <c r="J75" s="4" t="s">
        <v>74</v>
      </c>
      <c r="K75" s="4" t="s">
        <v>27</v>
      </c>
      <c r="L75" s="5">
        <v>0.77430555555555558</v>
      </c>
      <c r="M75" s="4" t="s">
        <v>63</v>
      </c>
      <c r="N75" s="3">
        <v>232</v>
      </c>
      <c r="O75" s="4" t="s">
        <v>24</v>
      </c>
      <c r="P75" s="4" t="s">
        <v>56</v>
      </c>
      <c r="Q75" s="4"/>
      <c r="R75">
        <f>tblDailySchedule[[#This Row],[Capacity Approx]]*'[1]Load Factor Sheet June Acft  '!$B$5</f>
        <v>187.86727272727273</v>
      </c>
      <c r="S75">
        <f>tblDailySchedule[[#This Row],[Capacity Approx]]*'[1]Load Factor Sheet June Acft  '!$D$5</f>
        <v>203.4218181818182</v>
      </c>
      <c r="T75" s="22">
        <f>tblDailySchedule[[#This Row],[STD]]</f>
        <v>0.77430555555555558</v>
      </c>
    </row>
    <row r="76" spans="1:20" hidden="1" x14ac:dyDescent="0.35">
      <c r="A76" s="2">
        <v>46112</v>
      </c>
      <c r="B76" s="3">
        <v>2</v>
      </c>
      <c r="C76" s="4" t="s">
        <v>108</v>
      </c>
      <c r="D76" s="4" t="s">
        <v>18</v>
      </c>
      <c r="E76" s="3">
        <v>21</v>
      </c>
      <c r="F76" s="4" t="s">
        <v>19</v>
      </c>
      <c r="G76" s="4" t="s">
        <v>81</v>
      </c>
      <c r="H76" s="4" t="s">
        <v>61</v>
      </c>
      <c r="I76" s="5">
        <v>0.77083333333333337</v>
      </c>
      <c r="J76" s="4" t="s">
        <v>82</v>
      </c>
      <c r="K76" s="4" t="s">
        <v>49</v>
      </c>
      <c r="L76" s="5">
        <v>0.79166666666666663</v>
      </c>
      <c r="M76" s="4" t="s">
        <v>33</v>
      </c>
      <c r="N76" s="3">
        <v>189</v>
      </c>
      <c r="O76" s="4" t="s">
        <v>24</v>
      </c>
      <c r="P76" s="4" t="s">
        <v>79</v>
      </c>
      <c r="Q76" s="4"/>
      <c r="R76">
        <f>tblDailySchedule[[#This Row],[Capacity Approx]]*'[1]Load Factor Sheet June Acft  '!$B$5</f>
        <v>153.04704545454547</v>
      </c>
      <c r="S76">
        <f>tblDailySchedule[[#This Row],[Capacity Approx]]*'[1]Load Factor Sheet June Acft  '!$D$5</f>
        <v>165.71863636363636</v>
      </c>
      <c r="T76" s="22">
        <f>tblDailySchedule[[#This Row],[STD]]</f>
        <v>0.79166666666666663</v>
      </c>
    </row>
    <row r="77" spans="1:20" hidden="1" x14ac:dyDescent="0.35">
      <c r="A77" s="2">
        <v>46112</v>
      </c>
      <c r="B77" s="3">
        <v>2</v>
      </c>
      <c r="C77" s="4" t="s">
        <v>108</v>
      </c>
      <c r="D77" s="4" t="s">
        <v>18</v>
      </c>
      <c r="E77" s="3">
        <v>22</v>
      </c>
      <c r="F77" s="4" t="s">
        <v>19</v>
      </c>
      <c r="G77" s="4" t="s">
        <v>83</v>
      </c>
      <c r="H77" s="4" t="s">
        <v>31</v>
      </c>
      <c r="I77" s="5">
        <v>0.77777777777777779</v>
      </c>
      <c r="J77" s="4" t="s">
        <v>84</v>
      </c>
      <c r="K77" s="4" t="s">
        <v>31</v>
      </c>
      <c r="L77" s="5">
        <v>0.80555555555555558</v>
      </c>
      <c r="M77" s="4" t="s">
        <v>63</v>
      </c>
      <c r="N77" s="3">
        <v>232</v>
      </c>
      <c r="O77" s="4" t="s">
        <v>24</v>
      </c>
      <c r="P77" s="4" t="s">
        <v>79</v>
      </c>
      <c r="Q77" s="4"/>
      <c r="R77">
        <f>tblDailySchedule[[#This Row],[Capacity Approx]]*'[1]Load Factor Sheet June Acft  '!$B$5</f>
        <v>187.86727272727273</v>
      </c>
      <c r="S77">
        <f>tblDailySchedule[[#This Row],[Capacity Approx]]*'[1]Load Factor Sheet June Acft  '!$D$5</f>
        <v>203.4218181818182</v>
      </c>
      <c r="T77" s="22">
        <f>tblDailySchedule[[#This Row],[STD]]</f>
        <v>0.80555555555555558</v>
      </c>
    </row>
    <row r="78" spans="1:20" hidden="1" x14ac:dyDescent="0.35">
      <c r="A78" s="2">
        <v>46112</v>
      </c>
      <c r="B78" s="3">
        <v>2</v>
      </c>
      <c r="C78" s="4" t="s">
        <v>108</v>
      </c>
      <c r="D78" s="4" t="s">
        <v>18</v>
      </c>
      <c r="E78" s="3">
        <v>23</v>
      </c>
      <c r="F78" s="4" t="s">
        <v>19</v>
      </c>
      <c r="G78" s="4" t="s">
        <v>85</v>
      </c>
      <c r="H78" s="4" t="s">
        <v>86</v>
      </c>
      <c r="I78" s="5">
        <v>0.79861111111111116</v>
      </c>
      <c r="J78" s="4" t="s">
        <v>87</v>
      </c>
      <c r="K78" s="4" t="s">
        <v>86</v>
      </c>
      <c r="L78" s="5">
        <v>0.82638888888888884</v>
      </c>
      <c r="M78" s="4" t="s">
        <v>63</v>
      </c>
      <c r="N78" s="3">
        <v>232</v>
      </c>
      <c r="O78" s="4" t="s">
        <v>24</v>
      </c>
      <c r="P78" s="4" t="s">
        <v>79</v>
      </c>
      <c r="Q78" s="4"/>
      <c r="R78">
        <f>tblDailySchedule[[#This Row],[Capacity Approx]]*'[1]Load Factor Sheet June Acft  '!$B$5</f>
        <v>187.86727272727273</v>
      </c>
      <c r="S78">
        <f>tblDailySchedule[[#This Row],[Capacity Approx]]*'[1]Load Factor Sheet June Acft  '!$D$5</f>
        <v>203.4218181818182</v>
      </c>
      <c r="T78" s="22">
        <f>tblDailySchedule[[#This Row],[STD]]</f>
        <v>0.82638888888888884</v>
      </c>
    </row>
    <row r="79" spans="1:20" hidden="1" x14ac:dyDescent="0.35">
      <c r="A79" s="2">
        <v>46112</v>
      </c>
      <c r="B79" s="3">
        <v>2</v>
      </c>
      <c r="C79" s="4" t="s">
        <v>108</v>
      </c>
      <c r="D79" s="4" t="s">
        <v>18</v>
      </c>
      <c r="E79" s="3">
        <v>24</v>
      </c>
      <c r="F79" s="4" t="s">
        <v>19</v>
      </c>
      <c r="G79" s="4" t="s">
        <v>88</v>
      </c>
      <c r="H79" s="4" t="s">
        <v>89</v>
      </c>
      <c r="I79" s="5">
        <v>0.83333333333333337</v>
      </c>
      <c r="J79" s="4" t="s">
        <v>90</v>
      </c>
      <c r="K79" s="4" t="s">
        <v>31</v>
      </c>
      <c r="L79" s="5">
        <v>0.86111111111111116</v>
      </c>
      <c r="M79" s="4" t="s">
        <v>63</v>
      </c>
      <c r="N79" s="3">
        <v>232</v>
      </c>
      <c r="O79" s="4" t="s">
        <v>24</v>
      </c>
      <c r="P79" s="4" t="s">
        <v>79</v>
      </c>
      <c r="Q79" s="4"/>
      <c r="R79">
        <f>tblDailySchedule[[#This Row],[Capacity Approx]]*'[1]Load Factor Sheet June Acft  '!$B$5</f>
        <v>187.86727272727273</v>
      </c>
      <c r="S79">
        <f>tblDailySchedule[[#This Row],[Capacity Approx]]*'[1]Load Factor Sheet June Acft  '!$D$5</f>
        <v>203.4218181818182</v>
      </c>
      <c r="T79" s="22">
        <f>tblDailySchedule[[#This Row],[STD]]</f>
        <v>0.86111111111111116</v>
      </c>
    </row>
    <row r="80" spans="1:20" hidden="1" x14ac:dyDescent="0.35">
      <c r="A80" s="2">
        <v>46112</v>
      </c>
      <c r="B80" s="3">
        <v>2</v>
      </c>
      <c r="C80" s="4" t="s">
        <v>108</v>
      </c>
      <c r="D80" s="4" t="s">
        <v>18</v>
      </c>
      <c r="E80" s="3">
        <v>25</v>
      </c>
      <c r="F80" s="4" t="s">
        <v>19</v>
      </c>
      <c r="G80" s="4" t="s">
        <v>91</v>
      </c>
      <c r="H80" s="4" t="s">
        <v>61</v>
      </c>
      <c r="I80" s="5">
        <v>0.85416666666666663</v>
      </c>
      <c r="J80" s="4" t="s">
        <v>92</v>
      </c>
      <c r="K80" s="4" t="s">
        <v>61</v>
      </c>
      <c r="L80" s="5">
        <v>0.88194444444444442</v>
      </c>
      <c r="M80" s="4" t="s">
        <v>63</v>
      </c>
      <c r="N80" s="3">
        <v>232</v>
      </c>
      <c r="O80" s="4" t="s">
        <v>24</v>
      </c>
      <c r="P80" s="4" t="s">
        <v>79</v>
      </c>
      <c r="Q80" s="4"/>
      <c r="R80">
        <f>tblDailySchedule[[#This Row],[Capacity Approx]]*'[1]Load Factor Sheet June Acft  '!$B$5</f>
        <v>187.86727272727273</v>
      </c>
      <c r="S80">
        <f>tblDailySchedule[[#This Row],[Capacity Approx]]*'[1]Load Factor Sheet June Acft  '!$D$5</f>
        <v>203.4218181818182</v>
      </c>
      <c r="T80" s="22">
        <f>tblDailySchedule[[#This Row],[STD]]</f>
        <v>0.88194444444444442</v>
      </c>
    </row>
    <row r="81" spans="1:20" hidden="1" x14ac:dyDescent="0.35">
      <c r="A81" s="2">
        <v>46112</v>
      </c>
      <c r="B81" s="3">
        <v>2</v>
      </c>
      <c r="C81" s="4" t="s">
        <v>108</v>
      </c>
      <c r="D81" s="4" t="s">
        <v>18</v>
      </c>
      <c r="E81" s="3">
        <v>26</v>
      </c>
      <c r="F81" s="4" t="s">
        <v>19</v>
      </c>
      <c r="G81" s="4" t="s">
        <v>93</v>
      </c>
      <c r="H81" s="4" t="s">
        <v>31</v>
      </c>
      <c r="I81" s="5">
        <v>0.86111111111111116</v>
      </c>
      <c r="J81" s="4" t="s">
        <v>94</v>
      </c>
      <c r="K81" s="4" t="s">
        <v>31</v>
      </c>
      <c r="L81" s="5">
        <v>0.88888888888888884</v>
      </c>
      <c r="M81" s="4" t="s">
        <v>23</v>
      </c>
      <c r="N81" s="3">
        <v>186</v>
      </c>
      <c r="O81" s="4" t="s">
        <v>24</v>
      </c>
      <c r="P81" s="4" t="s">
        <v>79</v>
      </c>
      <c r="Q81" s="4"/>
      <c r="R81">
        <f>tblDailySchedule[[#This Row],[Capacity Approx]]*'[1]Load Factor Sheet June Acft  '!$B$5</f>
        <v>150.61772727272728</v>
      </c>
      <c r="S81">
        <f>tblDailySchedule[[#This Row],[Capacity Approx]]*'[1]Load Factor Sheet June Acft  '!$D$5</f>
        <v>163.08818181818182</v>
      </c>
      <c r="T81" s="22">
        <f>tblDailySchedule[[#This Row],[STD]]</f>
        <v>0.88888888888888884</v>
      </c>
    </row>
    <row r="82" spans="1:20" hidden="1" x14ac:dyDescent="0.35">
      <c r="A82" s="2">
        <v>46112</v>
      </c>
      <c r="B82" s="3">
        <v>2</v>
      </c>
      <c r="C82" s="4" t="s">
        <v>108</v>
      </c>
      <c r="D82" s="4" t="s">
        <v>18</v>
      </c>
      <c r="E82" s="3">
        <v>27</v>
      </c>
      <c r="F82" s="4" t="s">
        <v>19</v>
      </c>
      <c r="G82" s="4" t="s">
        <v>95</v>
      </c>
      <c r="H82" s="4" t="s">
        <v>21</v>
      </c>
      <c r="I82" s="5">
        <v>0.86805555555555558</v>
      </c>
      <c r="J82" s="4" t="s">
        <v>96</v>
      </c>
      <c r="K82" s="4" t="s">
        <v>21</v>
      </c>
      <c r="L82" s="5">
        <v>0.89583333333333337</v>
      </c>
      <c r="M82" s="4" t="s">
        <v>29</v>
      </c>
      <c r="N82" s="3">
        <v>186</v>
      </c>
      <c r="O82" s="4" t="s">
        <v>24</v>
      </c>
      <c r="P82" s="4" t="s">
        <v>79</v>
      </c>
      <c r="Q82" s="4"/>
      <c r="R82">
        <f>tblDailySchedule[[#This Row],[Capacity Approx]]*'[1]Load Factor Sheet June Acft  '!$B$5</f>
        <v>150.61772727272728</v>
      </c>
      <c r="S82">
        <f>tblDailySchedule[[#This Row],[Capacity Approx]]*'[1]Load Factor Sheet June Acft  '!$D$5</f>
        <v>163.08818181818182</v>
      </c>
      <c r="T82" s="22">
        <f>tblDailySchedule[[#This Row],[STD]]</f>
        <v>0.89583333333333337</v>
      </c>
    </row>
    <row r="83" spans="1:20" hidden="1" x14ac:dyDescent="0.35">
      <c r="A83" s="2">
        <v>46112</v>
      </c>
      <c r="B83" s="3">
        <v>2</v>
      </c>
      <c r="C83" s="4" t="s">
        <v>108</v>
      </c>
      <c r="D83" s="4" t="s">
        <v>18</v>
      </c>
      <c r="E83" s="3">
        <v>28</v>
      </c>
      <c r="F83" s="4" t="s">
        <v>19</v>
      </c>
      <c r="G83" s="4" t="s">
        <v>97</v>
      </c>
      <c r="H83" s="4" t="s">
        <v>49</v>
      </c>
      <c r="I83" s="5">
        <v>0.90277777777777779</v>
      </c>
      <c r="J83" s="4" t="s">
        <v>97</v>
      </c>
      <c r="K83" s="4" t="s">
        <v>61</v>
      </c>
      <c r="L83" s="5">
        <v>0.92361111111111116</v>
      </c>
      <c r="M83" s="4" t="s">
        <v>33</v>
      </c>
      <c r="N83" s="3">
        <v>189</v>
      </c>
      <c r="O83" s="4" t="s">
        <v>24</v>
      </c>
      <c r="P83" s="4" t="s">
        <v>79</v>
      </c>
      <c r="Q83" s="4"/>
      <c r="R83">
        <f>tblDailySchedule[[#This Row],[Capacity Approx]]*'[1]Load Factor Sheet June Acft  '!$B$5</f>
        <v>153.04704545454547</v>
      </c>
      <c r="S83">
        <f>tblDailySchedule[[#This Row],[Capacity Approx]]*'[1]Load Factor Sheet June Acft  '!$D$5</f>
        <v>165.71863636363636</v>
      </c>
      <c r="T83" s="22">
        <f>tblDailySchedule[[#This Row],[STD]]</f>
        <v>0.92361111111111116</v>
      </c>
    </row>
    <row r="84" spans="1:20" hidden="1" x14ac:dyDescent="0.35">
      <c r="A84" s="2">
        <v>46112</v>
      </c>
      <c r="B84" s="3">
        <v>2</v>
      </c>
      <c r="C84" s="4" t="s">
        <v>108</v>
      </c>
      <c r="D84" s="4" t="s">
        <v>18</v>
      </c>
      <c r="E84" s="3">
        <v>29</v>
      </c>
      <c r="F84" s="4" t="s">
        <v>19</v>
      </c>
      <c r="G84" s="4" t="s">
        <v>98</v>
      </c>
      <c r="H84" s="4" t="s">
        <v>21</v>
      </c>
      <c r="I84" s="5">
        <v>0.92013888888888884</v>
      </c>
      <c r="J84" s="4" t="s">
        <v>99</v>
      </c>
      <c r="K84" s="4" t="s">
        <v>21</v>
      </c>
      <c r="L84" s="5">
        <v>0.94791666666666663</v>
      </c>
      <c r="M84" s="4" t="s">
        <v>63</v>
      </c>
      <c r="N84" s="3">
        <v>232</v>
      </c>
      <c r="O84" s="4" t="s">
        <v>24</v>
      </c>
      <c r="P84" s="4" t="s">
        <v>79</v>
      </c>
      <c r="Q84" s="4"/>
      <c r="R84">
        <f>tblDailySchedule[[#This Row],[Capacity Approx]]*'[1]Load Factor Sheet June Acft  '!$B$5</f>
        <v>187.86727272727273</v>
      </c>
      <c r="S84">
        <f>tblDailySchedule[[#This Row],[Capacity Approx]]*'[1]Load Factor Sheet June Acft  '!$D$5</f>
        <v>203.4218181818182</v>
      </c>
      <c r="T84" s="22">
        <f>tblDailySchedule[[#This Row],[STD]]</f>
        <v>0.94791666666666663</v>
      </c>
    </row>
    <row r="85" spans="1:20" hidden="1" x14ac:dyDescent="0.35">
      <c r="A85" s="2">
        <v>46113</v>
      </c>
      <c r="B85" s="3">
        <v>3</v>
      </c>
      <c r="C85" s="4" t="s">
        <v>113</v>
      </c>
      <c r="D85" s="4" t="s">
        <v>18</v>
      </c>
      <c r="E85" s="3">
        <v>2</v>
      </c>
      <c r="F85" s="4" t="s">
        <v>19</v>
      </c>
      <c r="G85" s="4" t="s">
        <v>20</v>
      </c>
      <c r="H85" s="4" t="s">
        <v>21</v>
      </c>
      <c r="I85" s="5">
        <v>0.31944444444444442</v>
      </c>
      <c r="J85" s="4" t="s">
        <v>22</v>
      </c>
      <c r="K85" s="4" t="s">
        <v>21</v>
      </c>
      <c r="L85" s="5">
        <v>0.34722222222222221</v>
      </c>
      <c r="M85" s="4" t="s">
        <v>23</v>
      </c>
      <c r="N85" s="3">
        <v>186</v>
      </c>
      <c r="O85" s="4" t="s">
        <v>24</v>
      </c>
      <c r="P85" s="4" t="s">
        <v>25</v>
      </c>
      <c r="Q85" s="4"/>
      <c r="R85">
        <f>tblDailySchedule[[#This Row],[Capacity Approx]]*'[1]Load Factor Sheet June Acft  '!$B$5</f>
        <v>150.61772727272728</v>
      </c>
      <c r="S85">
        <f>tblDailySchedule[[#This Row],[Capacity Approx]]*'[1]Load Factor Sheet June Acft  '!$D$5</f>
        <v>163.08818181818182</v>
      </c>
      <c r="T85" s="22">
        <f>tblDailySchedule[[#This Row],[STD]]</f>
        <v>0.34722222222222221</v>
      </c>
    </row>
    <row r="86" spans="1:20" hidden="1" x14ac:dyDescent="0.35">
      <c r="A86" s="2">
        <v>46113</v>
      </c>
      <c r="B86" s="3">
        <v>3</v>
      </c>
      <c r="C86" s="4" t="s">
        <v>113</v>
      </c>
      <c r="D86" s="4" t="s">
        <v>18</v>
      </c>
      <c r="E86" s="3">
        <v>3</v>
      </c>
      <c r="F86" s="4" t="s">
        <v>19</v>
      </c>
      <c r="G86" s="4" t="s">
        <v>26</v>
      </c>
      <c r="H86" s="4" t="s">
        <v>27</v>
      </c>
      <c r="I86" s="5">
        <v>0.3263888888888889</v>
      </c>
      <c r="J86" s="4" t="s">
        <v>28</v>
      </c>
      <c r="K86" s="4" t="s">
        <v>27</v>
      </c>
      <c r="L86" s="5">
        <v>0.35416666666666669</v>
      </c>
      <c r="M86" s="4" t="s">
        <v>29</v>
      </c>
      <c r="N86" s="3">
        <v>186</v>
      </c>
      <c r="O86" s="4" t="s">
        <v>24</v>
      </c>
      <c r="P86" s="4" t="s">
        <v>25</v>
      </c>
      <c r="Q86" s="4"/>
      <c r="R86">
        <f>tblDailySchedule[[#This Row],[Capacity Approx]]*'[1]Load Factor Sheet June Acft  '!$B$5</f>
        <v>150.61772727272728</v>
      </c>
      <c r="S86">
        <f>tblDailySchedule[[#This Row],[Capacity Approx]]*'[1]Load Factor Sheet June Acft  '!$D$5</f>
        <v>163.08818181818182</v>
      </c>
      <c r="T86" s="22">
        <f>tblDailySchedule[[#This Row],[STD]]</f>
        <v>0.35416666666666669</v>
      </c>
    </row>
    <row r="87" spans="1:20" hidden="1" x14ac:dyDescent="0.35">
      <c r="A87" s="2">
        <v>46113</v>
      </c>
      <c r="B87" s="3">
        <v>3</v>
      </c>
      <c r="C87" s="4" t="s">
        <v>113</v>
      </c>
      <c r="D87" s="4" t="s">
        <v>18</v>
      </c>
      <c r="E87" s="3">
        <v>4</v>
      </c>
      <c r="F87" s="4" t="s">
        <v>19</v>
      </c>
      <c r="G87" s="4" t="s">
        <v>30</v>
      </c>
      <c r="H87" s="4" t="s">
        <v>31</v>
      </c>
      <c r="I87" s="5">
        <v>0.34722222222222221</v>
      </c>
      <c r="J87" s="4" t="s">
        <v>32</v>
      </c>
      <c r="K87" s="4" t="s">
        <v>31</v>
      </c>
      <c r="L87" s="5">
        <v>0.36805555555555558</v>
      </c>
      <c r="M87" s="4" t="s">
        <v>33</v>
      </c>
      <c r="N87" s="3">
        <v>189</v>
      </c>
      <c r="O87" s="4" t="s">
        <v>24</v>
      </c>
      <c r="P87" s="4" t="s">
        <v>25</v>
      </c>
      <c r="Q87" s="4"/>
      <c r="R87">
        <f>tblDailySchedule[[#This Row],[Capacity Approx]]*'[1]Load Factor Sheet June Acft  '!$B$5</f>
        <v>153.04704545454547</v>
      </c>
      <c r="S87">
        <f>tblDailySchedule[[#This Row],[Capacity Approx]]*'[1]Load Factor Sheet June Acft  '!$D$5</f>
        <v>165.71863636363636</v>
      </c>
      <c r="T87" s="22">
        <f>tblDailySchedule[[#This Row],[STD]]</f>
        <v>0.36805555555555558</v>
      </c>
    </row>
    <row r="88" spans="1:20" hidden="1" x14ac:dyDescent="0.35">
      <c r="A88" s="6">
        <v>46113</v>
      </c>
      <c r="B88" s="7">
        <v>3</v>
      </c>
      <c r="C88" s="8" t="s">
        <v>113</v>
      </c>
      <c r="D88" s="8" t="s">
        <v>18</v>
      </c>
      <c r="E88" s="7">
        <v>6</v>
      </c>
      <c r="F88" s="8" t="s">
        <v>34</v>
      </c>
      <c r="G88" s="8" t="s">
        <v>35</v>
      </c>
      <c r="H88" s="8" t="s">
        <v>36</v>
      </c>
      <c r="I88" s="9">
        <v>0.34722222222222221</v>
      </c>
      <c r="J88" s="8" t="s">
        <v>37</v>
      </c>
      <c r="K88" s="8" t="s">
        <v>36</v>
      </c>
      <c r="L88" s="9">
        <v>0.40972222222222221</v>
      </c>
      <c r="M88" s="8" t="s">
        <v>38</v>
      </c>
      <c r="N88" s="7">
        <v>186</v>
      </c>
      <c r="O88" s="8" t="s">
        <v>39</v>
      </c>
      <c r="P88" s="8" t="s">
        <v>25</v>
      </c>
      <c r="Q88" s="8" t="s">
        <v>39</v>
      </c>
      <c r="R88">
        <f>tblDailySchedule[[#This Row],[Capacity Approx]]*'[1]Load Factor Sheet June Acft  '!$B$5</f>
        <v>150.61772727272728</v>
      </c>
      <c r="S88">
        <f>tblDailySchedule[[#This Row],[Capacity Approx]]*'[1]Load Factor Sheet June Acft  '!$D$5</f>
        <v>163.08818181818182</v>
      </c>
      <c r="T88" s="22">
        <f>tblDailySchedule[[#This Row],[STD]]</f>
        <v>0.40972222222222221</v>
      </c>
    </row>
    <row r="89" spans="1:20" hidden="1" x14ac:dyDescent="0.35">
      <c r="A89" s="2">
        <v>46113</v>
      </c>
      <c r="B89" s="3">
        <v>3</v>
      </c>
      <c r="C89" s="4" t="s">
        <v>113</v>
      </c>
      <c r="D89" s="4" t="s">
        <v>18</v>
      </c>
      <c r="E89" s="3">
        <v>5</v>
      </c>
      <c r="F89" s="4" t="s">
        <v>19</v>
      </c>
      <c r="G89" s="4" t="s">
        <v>40</v>
      </c>
      <c r="H89" s="4" t="s">
        <v>31</v>
      </c>
      <c r="I89" s="5">
        <v>0.35069444444444442</v>
      </c>
      <c r="J89" s="4" t="s">
        <v>41</v>
      </c>
      <c r="K89" s="4" t="s">
        <v>31</v>
      </c>
      <c r="L89" s="5">
        <v>0.37152777777777779</v>
      </c>
      <c r="M89" s="4" t="s">
        <v>23</v>
      </c>
      <c r="N89" s="3">
        <v>186</v>
      </c>
      <c r="O89" s="4" t="s">
        <v>24</v>
      </c>
      <c r="P89" s="4" t="s">
        <v>25</v>
      </c>
      <c r="Q89" s="4"/>
      <c r="R89">
        <f>tblDailySchedule[[#This Row],[Capacity Approx]]*'[1]Load Factor Sheet June Acft  '!$B$5</f>
        <v>150.61772727272728</v>
      </c>
      <c r="S89">
        <f>tblDailySchedule[[#This Row],[Capacity Approx]]*'[1]Load Factor Sheet June Acft  '!$D$5</f>
        <v>163.08818181818182</v>
      </c>
      <c r="T89" s="22">
        <f>tblDailySchedule[[#This Row],[STD]]</f>
        <v>0.37152777777777779</v>
      </c>
    </row>
    <row r="90" spans="1:20" hidden="1" x14ac:dyDescent="0.35">
      <c r="A90" s="2">
        <v>46113</v>
      </c>
      <c r="B90" s="3">
        <v>3</v>
      </c>
      <c r="C90" s="4" t="s">
        <v>113</v>
      </c>
      <c r="D90" s="4" t="s">
        <v>18</v>
      </c>
      <c r="E90" s="3">
        <v>7</v>
      </c>
      <c r="F90" s="4" t="s">
        <v>19</v>
      </c>
      <c r="G90" s="4" t="s">
        <v>42</v>
      </c>
      <c r="H90" s="4" t="s">
        <v>43</v>
      </c>
      <c r="I90" s="5">
        <v>0.3923611111111111</v>
      </c>
      <c r="J90" s="4" t="s">
        <v>44</v>
      </c>
      <c r="K90" s="4" t="s">
        <v>43</v>
      </c>
      <c r="L90" s="5">
        <v>0.40277777777777779</v>
      </c>
      <c r="M90" s="4" t="s">
        <v>45</v>
      </c>
      <c r="N90" s="3">
        <v>9</v>
      </c>
      <c r="O90" s="4" t="s">
        <v>24</v>
      </c>
      <c r="P90" s="4" t="s">
        <v>25</v>
      </c>
      <c r="Q90" s="4"/>
      <c r="R90">
        <f>tblDailySchedule[[#This Row],[Capacity Approx]]*'[1]Load Factor Sheet June Acft  '!$B$5</f>
        <v>7.2879545454545456</v>
      </c>
      <c r="S90">
        <f>tblDailySchedule[[#This Row],[Capacity Approx]]*'[1]Load Factor Sheet June Acft  '!$D$5</f>
        <v>7.8913636363636366</v>
      </c>
      <c r="T90" s="22">
        <f>tblDailySchedule[[#This Row],[STD]]</f>
        <v>0.40277777777777779</v>
      </c>
    </row>
    <row r="91" spans="1:20" hidden="1" x14ac:dyDescent="0.35">
      <c r="A91" s="2">
        <v>46113</v>
      </c>
      <c r="B91" s="3">
        <v>3</v>
      </c>
      <c r="C91" s="4" t="s">
        <v>113</v>
      </c>
      <c r="D91" s="4" t="s">
        <v>18</v>
      </c>
      <c r="E91" s="3">
        <v>8</v>
      </c>
      <c r="F91" s="4" t="s">
        <v>19</v>
      </c>
      <c r="G91" s="4" t="s">
        <v>46</v>
      </c>
      <c r="H91" s="4" t="s">
        <v>31</v>
      </c>
      <c r="I91" s="5">
        <v>0.4201388888888889</v>
      </c>
      <c r="J91" s="4" t="s">
        <v>47</v>
      </c>
      <c r="K91" s="4" t="s">
        <v>31</v>
      </c>
      <c r="L91" s="5">
        <v>0.44444444444444442</v>
      </c>
      <c r="M91" s="4" t="s">
        <v>29</v>
      </c>
      <c r="N91" s="3">
        <v>186</v>
      </c>
      <c r="O91" s="4" t="s">
        <v>24</v>
      </c>
      <c r="P91" s="4" t="s">
        <v>25</v>
      </c>
      <c r="Q91" s="4"/>
      <c r="R91">
        <f>tblDailySchedule[[#This Row],[Capacity Approx]]*'[1]Load Factor Sheet June Acft  '!$B$5</f>
        <v>150.61772727272728</v>
      </c>
      <c r="S91">
        <f>tblDailySchedule[[#This Row],[Capacity Approx]]*'[1]Load Factor Sheet June Acft  '!$D$5</f>
        <v>163.08818181818182</v>
      </c>
      <c r="T91" s="22">
        <f>tblDailySchedule[[#This Row],[STD]]</f>
        <v>0.44444444444444442</v>
      </c>
    </row>
    <row r="92" spans="1:20" hidden="1" x14ac:dyDescent="0.35">
      <c r="A92" s="2">
        <v>46113</v>
      </c>
      <c r="B92" s="3">
        <v>3</v>
      </c>
      <c r="C92" s="4" t="s">
        <v>113</v>
      </c>
      <c r="D92" s="4" t="s">
        <v>18</v>
      </c>
      <c r="E92" s="3">
        <v>9</v>
      </c>
      <c r="F92" s="4" t="s">
        <v>19</v>
      </c>
      <c r="G92" s="4" t="s">
        <v>48</v>
      </c>
      <c r="H92" s="4" t="s">
        <v>49</v>
      </c>
      <c r="I92" s="5">
        <v>0.4375</v>
      </c>
      <c r="J92" s="4" t="s">
        <v>50</v>
      </c>
      <c r="K92" s="4" t="s">
        <v>49</v>
      </c>
      <c r="L92" s="5">
        <v>0.45833333333333331</v>
      </c>
      <c r="M92" s="4" t="s">
        <v>51</v>
      </c>
      <c r="N92" s="3">
        <v>78</v>
      </c>
      <c r="O92" s="4" t="s">
        <v>24</v>
      </c>
      <c r="P92" s="4" t="s">
        <v>25</v>
      </c>
      <c r="Q92" s="4"/>
      <c r="R92">
        <f>tblDailySchedule[[#This Row],[Capacity Approx]]*'[1]Load Factor Sheet June Acft  '!$B$5</f>
        <v>63.162272727272729</v>
      </c>
      <c r="S92">
        <f>tblDailySchedule[[#This Row],[Capacity Approx]]*'[1]Load Factor Sheet June Acft  '!$D$5</f>
        <v>68.391818181818181</v>
      </c>
      <c r="T92" s="22">
        <f>tblDailySchedule[[#This Row],[STD]]</f>
        <v>0.45833333333333331</v>
      </c>
    </row>
    <row r="93" spans="1:20" hidden="1" x14ac:dyDescent="0.35">
      <c r="A93" s="2">
        <v>46113</v>
      </c>
      <c r="B93" s="3">
        <v>3</v>
      </c>
      <c r="C93" s="4" t="s">
        <v>113</v>
      </c>
      <c r="D93" s="4" t="s">
        <v>18</v>
      </c>
      <c r="E93" s="3">
        <v>10</v>
      </c>
      <c r="F93" s="4" t="s">
        <v>19</v>
      </c>
      <c r="G93" s="4" t="s">
        <v>52</v>
      </c>
      <c r="H93" s="4" t="s">
        <v>27</v>
      </c>
      <c r="I93" s="5">
        <v>0.4826388888888889</v>
      </c>
      <c r="J93" s="4" t="s">
        <v>53</v>
      </c>
      <c r="K93" s="4" t="s">
        <v>27</v>
      </c>
      <c r="L93" s="5">
        <v>0.51041666666666663</v>
      </c>
      <c r="M93" s="4" t="s">
        <v>23</v>
      </c>
      <c r="N93" s="3">
        <v>186</v>
      </c>
      <c r="O93" s="4" t="s">
        <v>24</v>
      </c>
      <c r="P93" s="4" t="s">
        <v>25</v>
      </c>
      <c r="Q93" s="4"/>
      <c r="R93">
        <f>tblDailySchedule[[#This Row],[Capacity Approx]]*'[1]Load Factor Sheet June Acft  '!$B$5</f>
        <v>150.61772727272728</v>
      </c>
      <c r="S93">
        <f>tblDailySchedule[[#This Row],[Capacity Approx]]*'[1]Load Factor Sheet June Acft  '!$D$5</f>
        <v>163.08818181818182</v>
      </c>
      <c r="T93" s="22">
        <f>tblDailySchedule[[#This Row],[STD]]</f>
        <v>0.51041666666666663</v>
      </c>
    </row>
    <row r="94" spans="1:20" hidden="1" x14ac:dyDescent="0.35">
      <c r="A94" s="2">
        <v>46113</v>
      </c>
      <c r="B94" s="3">
        <v>3</v>
      </c>
      <c r="C94" s="4" t="s">
        <v>113</v>
      </c>
      <c r="D94" s="4" t="s">
        <v>18</v>
      </c>
      <c r="E94" s="3">
        <v>11</v>
      </c>
      <c r="F94" s="4" t="s">
        <v>19</v>
      </c>
      <c r="G94" s="4" t="s">
        <v>54</v>
      </c>
      <c r="H94" s="4" t="s">
        <v>31</v>
      </c>
      <c r="I94" s="5">
        <v>0.51388888888888884</v>
      </c>
      <c r="J94" s="4" t="s">
        <v>55</v>
      </c>
      <c r="K94" s="4" t="s">
        <v>31</v>
      </c>
      <c r="L94" s="5">
        <v>0.54166666666666663</v>
      </c>
      <c r="M94" s="4" t="s">
        <v>23</v>
      </c>
      <c r="N94" s="3">
        <v>186</v>
      </c>
      <c r="O94" s="4" t="s">
        <v>24</v>
      </c>
      <c r="P94" s="4" t="s">
        <v>56</v>
      </c>
      <c r="Q94" s="4"/>
      <c r="R94">
        <f>tblDailySchedule[[#This Row],[Capacity Approx]]*'[1]Load Factor Sheet June Acft  '!$B$5</f>
        <v>150.61772727272728</v>
      </c>
      <c r="S94">
        <f>tblDailySchedule[[#This Row],[Capacity Approx]]*'[1]Load Factor Sheet June Acft  '!$D$5</f>
        <v>163.08818181818182</v>
      </c>
      <c r="T94" s="22">
        <f>tblDailySchedule[[#This Row],[STD]]</f>
        <v>0.54166666666666663</v>
      </c>
    </row>
    <row r="95" spans="1:20" hidden="1" x14ac:dyDescent="0.35">
      <c r="A95" s="2">
        <v>46113</v>
      </c>
      <c r="B95" s="3">
        <v>3</v>
      </c>
      <c r="C95" s="4" t="s">
        <v>113</v>
      </c>
      <c r="D95" s="4" t="s">
        <v>18</v>
      </c>
      <c r="E95" s="3">
        <v>13</v>
      </c>
      <c r="F95" s="4" t="s">
        <v>19</v>
      </c>
      <c r="G95" s="4" t="s">
        <v>57</v>
      </c>
      <c r="H95" s="4" t="s">
        <v>58</v>
      </c>
      <c r="I95" s="5">
        <v>0.55902777777777779</v>
      </c>
      <c r="J95" s="4" t="s">
        <v>59</v>
      </c>
      <c r="K95" s="4" t="s">
        <v>58</v>
      </c>
      <c r="L95" s="5">
        <v>0.57638888888888884</v>
      </c>
      <c r="M95" s="4" t="s">
        <v>51</v>
      </c>
      <c r="N95" s="3">
        <v>78</v>
      </c>
      <c r="O95" s="4" t="s">
        <v>24</v>
      </c>
      <c r="P95" s="4" t="s">
        <v>56</v>
      </c>
      <c r="Q95" s="4"/>
      <c r="R95">
        <f>tblDailySchedule[[#This Row],[Capacity Approx]]*'[1]Load Factor Sheet June Acft  '!$B$5</f>
        <v>63.162272727272729</v>
      </c>
      <c r="S95">
        <f>tblDailySchedule[[#This Row],[Capacity Approx]]*'[1]Load Factor Sheet June Acft  '!$D$5</f>
        <v>68.391818181818181</v>
      </c>
      <c r="T95" s="22">
        <f>tblDailySchedule[[#This Row],[STD]]</f>
        <v>0.57638888888888884</v>
      </c>
    </row>
    <row r="96" spans="1:20" hidden="1" x14ac:dyDescent="0.35">
      <c r="A96" s="2">
        <v>46113</v>
      </c>
      <c r="B96" s="3">
        <v>3</v>
      </c>
      <c r="C96" s="4" t="s">
        <v>113</v>
      </c>
      <c r="D96" s="4" t="s">
        <v>18</v>
      </c>
      <c r="E96" s="3">
        <v>14</v>
      </c>
      <c r="F96" s="4" t="s">
        <v>19</v>
      </c>
      <c r="G96" s="4" t="s">
        <v>60</v>
      </c>
      <c r="H96" s="4" t="s">
        <v>61</v>
      </c>
      <c r="I96" s="5">
        <v>0.59027777777777779</v>
      </c>
      <c r="J96" s="4" t="s">
        <v>62</v>
      </c>
      <c r="K96" s="4" t="s">
        <v>61</v>
      </c>
      <c r="L96" s="5">
        <v>0.62152777777777779</v>
      </c>
      <c r="M96" s="4" t="s">
        <v>63</v>
      </c>
      <c r="N96" s="3">
        <v>232</v>
      </c>
      <c r="O96" s="4" t="s">
        <v>24</v>
      </c>
      <c r="P96" s="4" t="s">
        <v>56</v>
      </c>
      <c r="Q96" s="4"/>
      <c r="R96">
        <f>tblDailySchedule[[#This Row],[Capacity Approx]]*'[1]Load Factor Sheet June Acft  '!$B$5</f>
        <v>187.86727272727273</v>
      </c>
      <c r="S96">
        <f>tblDailySchedule[[#This Row],[Capacity Approx]]*'[1]Load Factor Sheet June Acft  '!$D$5</f>
        <v>203.4218181818182</v>
      </c>
      <c r="T96" s="22">
        <f>tblDailySchedule[[#This Row],[STD]]</f>
        <v>0.62152777777777779</v>
      </c>
    </row>
    <row r="97" spans="1:20" hidden="1" x14ac:dyDescent="0.35">
      <c r="A97" s="2">
        <v>46113</v>
      </c>
      <c r="B97" s="3">
        <v>3</v>
      </c>
      <c r="C97" s="4" t="s">
        <v>113</v>
      </c>
      <c r="D97" s="4" t="s">
        <v>18</v>
      </c>
      <c r="E97" s="3">
        <v>15</v>
      </c>
      <c r="F97" s="4" t="s">
        <v>19</v>
      </c>
      <c r="G97" s="4" t="s">
        <v>64</v>
      </c>
      <c r="H97" s="4" t="s">
        <v>31</v>
      </c>
      <c r="I97" s="5">
        <v>0.60069444444444442</v>
      </c>
      <c r="J97" s="4" t="s">
        <v>65</v>
      </c>
      <c r="K97" s="4" t="s">
        <v>66</v>
      </c>
      <c r="L97" s="5">
        <v>0.62847222222222221</v>
      </c>
      <c r="M97" s="4" t="s">
        <v>63</v>
      </c>
      <c r="N97" s="3">
        <v>232</v>
      </c>
      <c r="O97" s="4" t="s">
        <v>24</v>
      </c>
      <c r="P97" s="4" t="s">
        <v>56</v>
      </c>
      <c r="Q97" s="4"/>
      <c r="R97">
        <f>tblDailySchedule[[#This Row],[Capacity Approx]]*'[1]Load Factor Sheet June Acft  '!$B$5</f>
        <v>187.86727272727273</v>
      </c>
      <c r="S97">
        <f>tblDailySchedule[[#This Row],[Capacity Approx]]*'[1]Load Factor Sheet June Acft  '!$D$5</f>
        <v>203.4218181818182</v>
      </c>
      <c r="T97" s="22">
        <f>tblDailySchedule[[#This Row],[STD]]</f>
        <v>0.62847222222222221</v>
      </c>
    </row>
    <row r="98" spans="1:20" hidden="1" x14ac:dyDescent="0.35">
      <c r="A98" s="2">
        <v>46113</v>
      </c>
      <c r="B98" s="3">
        <v>3</v>
      </c>
      <c r="C98" s="4" t="s">
        <v>113</v>
      </c>
      <c r="D98" s="4" t="s">
        <v>18</v>
      </c>
      <c r="E98" s="3">
        <v>16</v>
      </c>
      <c r="F98" s="4" t="s">
        <v>19</v>
      </c>
      <c r="G98" s="4" t="s">
        <v>67</v>
      </c>
      <c r="H98" s="4" t="s">
        <v>31</v>
      </c>
      <c r="I98" s="5">
        <v>0.65625</v>
      </c>
      <c r="J98" s="4" t="s">
        <v>68</v>
      </c>
      <c r="K98" s="4" t="s">
        <v>31</v>
      </c>
      <c r="L98" s="5">
        <v>0.68402777777777779</v>
      </c>
      <c r="M98" s="4" t="s">
        <v>63</v>
      </c>
      <c r="N98" s="3">
        <v>232</v>
      </c>
      <c r="O98" s="4" t="s">
        <v>24</v>
      </c>
      <c r="P98" s="4" t="s">
        <v>56</v>
      </c>
      <c r="Q98" s="4"/>
      <c r="R98">
        <f>tblDailySchedule[[#This Row],[Capacity Approx]]*'[1]Load Factor Sheet June Acft  '!$B$5</f>
        <v>187.86727272727273</v>
      </c>
      <c r="S98">
        <f>tblDailySchedule[[#This Row],[Capacity Approx]]*'[1]Load Factor Sheet June Acft  '!$D$5</f>
        <v>203.4218181818182</v>
      </c>
      <c r="T98" s="22">
        <f>tblDailySchedule[[#This Row],[STD]]</f>
        <v>0.68402777777777779</v>
      </c>
    </row>
    <row r="99" spans="1:20" hidden="1" x14ac:dyDescent="0.35">
      <c r="A99" s="2">
        <v>46113</v>
      </c>
      <c r="B99" s="3">
        <v>3</v>
      </c>
      <c r="C99" s="4" t="s">
        <v>113</v>
      </c>
      <c r="D99" s="4" t="s">
        <v>18</v>
      </c>
      <c r="E99" s="3">
        <v>17</v>
      </c>
      <c r="F99" s="4" t="s">
        <v>19</v>
      </c>
      <c r="G99" s="4" t="s">
        <v>69</v>
      </c>
      <c r="H99" s="4" t="s">
        <v>31</v>
      </c>
      <c r="I99" s="5">
        <v>0.66319444444444442</v>
      </c>
      <c r="J99" s="4" t="s">
        <v>70</v>
      </c>
      <c r="K99" s="4" t="s">
        <v>31</v>
      </c>
      <c r="L99" s="5">
        <v>0.69097222222222221</v>
      </c>
      <c r="M99" s="4" t="s">
        <v>33</v>
      </c>
      <c r="N99" s="3">
        <v>189</v>
      </c>
      <c r="O99" s="4" t="s">
        <v>24</v>
      </c>
      <c r="P99" s="4" t="s">
        <v>56</v>
      </c>
      <c r="Q99" s="4"/>
      <c r="R99">
        <f>tblDailySchedule[[#This Row],[Capacity Approx]]*'[1]Load Factor Sheet June Acft  '!$B$5</f>
        <v>153.04704545454547</v>
      </c>
      <c r="S99">
        <f>tblDailySchedule[[#This Row],[Capacity Approx]]*'[1]Load Factor Sheet June Acft  '!$D$5</f>
        <v>165.71863636363636</v>
      </c>
      <c r="T99" s="22">
        <f>tblDailySchedule[[#This Row],[STD]]</f>
        <v>0.69097222222222221</v>
      </c>
    </row>
    <row r="100" spans="1:20" hidden="1" x14ac:dyDescent="0.35">
      <c r="A100" s="2">
        <v>46113</v>
      </c>
      <c r="B100" s="3">
        <v>3</v>
      </c>
      <c r="C100" s="4" t="s">
        <v>113</v>
      </c>
      <c r="D100" s="4" t="s">
        <v>18</v>
      </c>
      <c r="E100" s="3">
        <v>18</v>
      </c>
      <c r="F100" s="4" t="s">
        <v>19</v>
      </c>
      <c r="G100" s="4" t="s">
        <v>71</v>
      </c>
      <c r="H100" s="4" t="s">
        <v>21</v>
      </c>
      <c r="I100" s="5">
        <v>0.67013888888888884</v>
      </c>
      <c r="J100" s="4" t="s">
        <v>72</v>
      </c>
      <c r="K100" s="4" t="s">
        <v>21</v>
      </c>
      <c r="L100" s="5">
        <v>0.69791666666666663</v>
      </c>
      <c r="M100" s="4" t="s">
        <v>63</v>
      </c>
      <c r="N100" s="3">
        <v>232</v>
      </c>
      <c r="O100" s="4" t="s">
        <v>24</v>
      </c>
      <c r="P100" s="4" t="s">
        <v>56</v>
      </c>
      <c r="Q100" s="4"/>
      <c r="R100">
        <f>tblDailySchedule[[#This Row],[Capacity Approx]]*'[1]Load Factor Sheet June Acft  '!$B$5</f>
        <v>187.86727272727273</v>
      </c>
      <c r="S100">
        <f>tblDailySchedule[[#This Row],[Capacity Approx]]*'[1]Load Factor Sheet June Acft  '!$D$5</f>
        <v>203.4218181818182</v>
      </c>
      <c r="T100" s="22">
        <f>tblDailySchedule[[#This Row],[STD]]</f>
        <v>0.69791666666666663</v>
      </c>
    </row>
    <row r="101" spans="1:20" hidden="1" x14ac:dyDescent="0.35">
      <c r="A101" s="2">
        <v>46113</v>
      </c>
      <c r="B101" s="3">
        <v>3</v>
      </c>
      <c r="C101" s="4" t="s">
        <v>113</v>
      </c>
      <c r="D101" s="4" t="s">
        <v>18</v>
      </c>
      <c r="E101" s="3">
        <v>19</v>
      </c>
      <c r="F101" s="4" t="s">
        <v>19</v>
      </c>
      <c r="G101" s="4" t="s">
        <v>73</v>
      </c>
      <c r="H101" s="4" t="s">
        <v>27</v>
      </c>
      <c r="I101" s="5">
        <v>0.74652777777777779</v>
      </c>
      <c r="J101" s="4" t="s">
        <v>74</v>
      </c>
      <c r="K101" s="4" t="s">
        <v>27</v>
      </c>
      <c r="L101" s="5">
        <v>0.77430555555555558</v>
      </c>
      <c r="M101" s="4" t="s">
        <v>63</v>
      </c>
      <c r="N101" s="3">
        <v>232</v>
      </c>
      <c r="O101" s="4" t="s">
        <v>24</v>
      </c>
      <c r="P101" s="4" t="s">
        <v>56</v>
      </c>
      <c r="Q101" s="4"/>
      <c r="R101">
        <f>tblDailySchedule[[#This Row],[Capacity Approx]]*'[1]Load Factor Sheet June Acft  '!$B$5</f>
        <v>187.86727272727273</v>
      </c>
      <c r="S101">
        <f>tblDailySchedule[[#This Row],[Capacity Approx]]*'[1]Load Factor Sheet June Acft  '!$D$5</f>
        <v>203.4218181818182</v>
      </c>
      <c r="T101" s="22">
        <f>tblDailySchedule[[#This Row],[STD]]</f>
        <v>0.77430555555555558</v>
      </c>
    </row>
    <row r="102" spans="1:20" hidden="1" x14ac:dyDescent="0.35">
      <c r="A102" s="2">
        <v>46113</v>
      </c>
      <c r="B102" s="3">
        <v>3</v>
      </c>
      <c r="C102" s="4" t="s">
        <v>113</v>
      </c>
      <c r="D102" s="4" t="s">
        <v>18</v>
      </c>
      <c r="E102" s="3">
        <v>20</v>
      </c>
      <c r="F102" s="4" t="s">
        <v>34</v>
      </c>
      <c r="G102" s="4" t="s">
        <v>75</v>
      </c>
      <c r="H102" s="4" t="s">
        <v>76</v>
      </c>
      <c r="I102" s="5">
        <v>0.76388888888888884</v>
      </c>
      <c r="J102" s="4" t="s">
        <v>77</v>
      </c>
      <c r="K102" s="4" t="s">
        <v>78</v>
      </c>
      <c r="L102" s="5">
        <v>0.78472222222222221</v>
      </c>
      <c r="M102" s="4" t="s">
        <v>51</v>
      </c>
      <c r="N102" s="3">
        <v>78</v>
      </c>
      <c r="O102" s="4" t="s">
        <v>24</v>
      </c>
      <c r="P102" s="4" t="s">
        <v>79</v>
      </c>
      <c r="Q102" s="10" t="s">
        <v>80</v>
      </c>
      <c r="R102">
        <f>tblDailySchedule[[#This Row],[Capacity Approx]]*'[1]Load Factor Sheet June Acft  '!$B$5</f>
        <v>63.162272727272729</v>
      </c>
      <c r="S102">
        <f>tblDailySchedule[[#This Row],[Capacity Approx]]*'[1]Load Factor Sheet June Acft  '!$D$5</f>
        <v>68.391818181818181</v>
      </c>
      <c r="T102" s="22">
        <f>tblDailySchedule[[#This Row],[STD]]</f>
        <v>0.78472222222222221</v>
      </c>
    </row>
    <row r="103" spans="1:20" hidden="1" x14ac:dyDescent="0.35">
      <c r="A103" s="2">
        <v>46113</v>
      </c>
      <c r="B103" s="3">
        <v>3</v>
      </c>
      <c r="C103" s="4" t="s">
        <v>113</v>
      </c>
      <c r="D103" s="4" t="s">
        <v>18</v>
      </c>
      <c r="E103" s="3">
        <v>21</v>
      </c>
      <c r="F103" s="4" t="s">
        <v>19</v>
      </c>
      <c r="G103" s="4" t="s">
        <v>81</v>
      </c>
      <c r="H103" s="4" t="s">
        <v>61</v>
      </c>
      <c r="I103" s="5">
        <v>0.77083333333333337</v>
      </c>
      <c r="J103" s="4" t="s">
        <v>82</v>
      </c>
      <c r="K103" s="4" t="s">
        <v>49</v>
      </c>
      <c r="L103" s="5">
        <v>0.79166666666666663</v>
      </c>
      <c r="M103" s="4" t="s">
        <v>33</v>
      </c>
      <c r="N103" s="3">
        <v>189</v>
      </c>
      <c r="O103" s="4" t="s">
        <v>24</v>
      </c>
      <c r="P103" s="4" t="s">
        <v>79</v>
      </c>
      <c r="Q103" s="4"/>
      <c r="R103">
        <f>tblDailySchedule[[#This Row],[Capacity Approx]]*'[1]Load Factor Sheet June Acft  '!$B$5</f>
        <v>153.04704545454547</v>
      </c>
      <c r="S103">
        <f>tblDailySchedule[[#This Row],[Capacity Approx]]*'[1]Load Factor Sheet June Acft  '!$D$5</f>
        <v>165.71863636363636</v>
      </c>
      <c r="T103" s="22">
        <f>tblDailySchedule[[#This Row],[STD]]</f>
        <v>0.79166666666666663</v>
      </c>
    </row>
    <row r="104" spans="1:20" hidden="1" x14ac:dyDescent="0.35">
      <c r="A104" s="2">
        <v>46113</v>
      </c>
      <c r="B104" s="3">
        <v>3</v>
      </c>
      <c r="C104" s="4" t="s">
        <v>113</v>
      </c>
      <c r="D104" s="4" t="s">
        <v>18</v>
      </c>
      <c r="E104" s="3">
        <v>22</v>
      </c>
      <c r="F104" s="4" t="s">
        <v>19</v>
      </c>
      <c r="G104" s="4" t="s">
        <v>83</v>
      </c>
      <c r="H104" s="4" t="s">
        <v>31</v>
      </c>
      <c r="I104" s="5">
        <v>0.77777777777777779</v>
      </c>
      <c r="J104" s="4" t="s">
        <v>84</v>
      </c>
      <c r="K104" s="4" t="s">
        <v>31</v>
      </c>
      <c r="L104" s="5">
        <v>0.80555555555555558</v>
      </c>
      <c r="M104" s="4" t="s">
        <v>63</v>
      </c>
      <c r="N104" s="3">
        <v>232</v>
      </c>
      <c r="O104" s="4" t="s">
        <v>24</v>
      </c>
      <c r="P104" s="4" t="s">
        <v>79</v>
      </c>
      <c r="Q104" s="4"/>
      <c r="R104">
        <f>tblDailySchedule[[#This Row],[Capacity Approx]]*'[1]Load Factor Sheet June Acft  '!$B$5</f>
        <v>187.86727272727273</v>
      </c>
      <c r="S104">
        <f>tblDailySchedule[[#This Row],[Capacity Approx]]*'[1]Load Factor Sheet June Acft  '!$D$5</f>
        <v>203.4218181818182</v>
      </c>
      <c r="T104" s="22">
        <f>tblDailySchedule[[#This Row],[STD]]</f>
        <v>0.80555555555555558</v>
      </c>
    </row>
    <row r="105" spans="1:20" hidden="1" x14ac:dyDescent="0.35">
      <c r="A105" s="2">
        <v>46113</v>
      </c>
      <c r="B105" s="3">
        <v>3</v>
      </c>
      <c r="C105" s="4" t="s">
        <v>113</v>
      </c>
      <c r="D105" s="4" t="s">
        <v>18</v>
      </c>
      <c r="E105" s="3">
        <v>23</v>
      </c>
      <c r="F105" s="4" t="s">
        <v>19</v>
      </c>
      <c r="G105" s="4" t="s">
        <v>85</v>
      </c>
      <c r="H105" s="4" t="s">
        <v>86</v>
      </c>
      <c r="I105" s="5">
        <v>0.79861111111111116</v>
      </c>
      <c r="J105" s="4" t="s">
        <v>87</v>
      </c>
      <c r="K105" s="4" t="s">
        <v>86</v>
      </c>
      <c r="L105" s="5">
        <v>0.82638888888888884</v>
      </c>
      <c r="M105" s="4" t="s">
        <v>63</v>
      </c>
      <c r="N105" s="3">
        <v>232</v>
      </c>
      <c r="O105" s="4" t="s">
        <v>24</v>
      </c>
      <c r="P105" s="4" t="s">
        <v>79</v>
      </c>
      <c r="Q105" s="4"/>
      <c r="R105">
        <f>tblDailySchedule[[#This Row],[Capacity Approx]]*'[1]Load Factor Sheet June Acft  '!$B$5</f>
        <v>187.86727272727273</v>
      </c>
      <c r="S105">
        <f>tblDailySchedule[[#This Row],[Capacity Approx]]*'[1]Load Factor Sheet June Acft  '!$D$5</f>
        <v>203.4218181818182</v>
      </c>
      <c r="T105" s="22">
        <f>tblDailySchedule[[#This Row],[STD]]</f>
        <v>0.82638888888888884</v>
      </c>
    </row>
    <row r="106" spans="1:20" hidden="1" x14ac:dyDescent="0.35">
      <c r="A106" s="2">
        <v>46113</v>
      </c>
      <c r="B106" s="3">
        <v>3</v>
      </c>
      <c r="C106" s="4" t="s">
        <v>113</v>
      </c>
      <c r="D106" s="4" t="s">
        <v>18</v>
      </c>
      <c r="E106" s="3">
        <v>24</v>
      </c>
      <c r="F106" s="4" t="s">
        <v>19</v>
      </c>
      <c r="G106" s="4" t="s">
        <v>88</v>
      </c>
      <c r="H106" s="4" t="s">
        <v>89</v>
      </c>
      <c r="I106" s="5">
        <v>0.83333333333333337</v>
      </c>
      <c r="J106" s="4" t="s">
        <v>90</v>
      </c>
      <c r="K106" s="4" t="s">
        <v>31</v>
      </c>
      <c r="L106" s="5">
        <v>0.86111111111111116</v>
      </c>
      <c r="M106" s="4" t="s">
        <v>63</v>
      </c>
      <c r="N106" s="3">
        <v>232</v>
      </c>
      <c r="O106" s="4" t="s">
        <v>24</v>
      </c>
      <c r="P106" s="4" t="s">
        <v>79</v>
      </c>
      <c r="Q106" s="4"/>
      <c r="R106">
        <f>tblDailySchedule[[#This Row],[Capacity Approx]]*'[1]Load Factor Sheet June Acft  '!$B$5</f>
        <v>187.86727272727273</v>
      </c>
      <c r="S106">
        <f>tblDailySchedule[[#This Row],[Capacity Approx]]*'[1]Load Factor Sheet June Acft  '!$D$5</f>
        <v>203.4218181818182</v>
      </c>
      <c r="T106" s="22">
        <f>tblDailySchedule[[#This Row],[STD]]</f>
        <v>0.86111111111111116</v>
      </c>
    </row>
    <row r="107" spans="1:20" hidden="1" x14ac:dyDescent="0.35">
      <c r="A107" s="2">
        <v>46113</v>
      </c>
      <c r="B107" s="3">
        <v>3</v>
      </c>
      <c r="C107" s="4" t="s">
        <v>113</v>
      </c>
      <c r="D107" s="4" t="s">
        <v>18</v>
      </c>
      <c r="E107" s="3">
        <v>25</v>
      </c>
      <c r="F107" s="4" t="s">
        <v>19</v>
      </c>
      <c r="G107" s="4" t="s">
        <v>91</v>
      </c>
      <c r="H107" s="4" t="s">
        <v>61</v>
      </c>
      <c r="I107" s="5">
        <v>0.85416666666666663</v>
      </c>
      <c r="J107" s="4" t="s">
        <v>92</v>
      </c>
      <c r="K107" s="4" t="s">
        <v>61</v>
      </c>
      <c r="L107" s="5">
        <v>0.88194444444444442</v>
      </c>
      <c r="M107" s="4" t="s">
        <v>63</v>
      </c>
      <c r="N107" s="3">
        <v>232</v>
      </c>
      <c r="O107" s="4" t="s">
        <v>24</v>
      </c>
      <c r="P107" s="4" t="s">
        <v>79</v>
      </c>
      <c r="Q107" s="4"/>
      <c r="R107">
        <f>tblDailySchedule[[#This Row],[Capacity Approx]]*'[1]Load Factor Sheet June Acft  '!$B$5</f>
        <v>187.86727272727273</v>
      </c>
      <c r="S107">
        <f>tblDailySchedule[[#This Row],[Capacity Approx]]*'[1]Load Factor Sheet June Acft  '!$D$5</f>
        <v>203.4218181818182</v>
      </c>
      <c r="T107" s="22">
        <f>tblDailySchedule[[#This Row],[STD]]</f>
        <v>0.88194444444444442</v>
      </c>
    </row>
    <row r="108" spans="1:20" hidden="1" x14ac:dyDescent="0.35">
      <c r="A108" s="2">
        <v>46113</v>
      </c>
      <c r="B108" s="3">
        <v>3</v>
      </c>
      <c r="C108" s="4" t="s">
        <v>113</v>
      </c>
      <c r="D108" s="4" t="s">
        <v>18</v>
      </c>
      <c r="E108" s="3">
        <v>26</v>
      </c>
      <c r="F108" s="4" t="s">
        <v>19</v>
      </c>
      <c r="G108" s="4" t="s">
        <v>93</v>
      </c>
      <c r="H108" s="4" t="s">
        <v>31</v>
      </c>
      <c r="I108" s="5">
        <v>0.86111111111111116</v>
      </c>
      <c r="J108" s="4" t="s">
        <v>94</v>
      </c>
      <c r="K108" s="4" t="s">
        <v>31</v>
      </c>
      <c r="L108" s="5">
        <v>0.88888888888888884</v>
      </c>
      <c r="M108" s="4" t="s">
        <v>23</v>
      </c>
      <c r="N108" s="3">
        <v>186</v>
      </c>
      <c r="O108" s="4" t="s">
        <v>24</v>
      </c>
      <c r="P108" s="4" t="s">
        <v>79</v>
      </c>
      <c r="Q108" s="4"/>
      <c r="R108">
        <f>tblDailySchedule[[#This Row],[Capacity Approx]]*'[1]Load Factor Sheet June Acft  '!$B$5</f>
        <v>150.61772727272728</v>
      </c>
      <c r="S108">
        <f>tblDailySchedule[[#This Row],[Capacity Approx]]*'[1]Load Factor Sheet June Acft  '!$D$5</f>
        <v>163.08818181818182</v>
      </c>
      <c r="T108" s="22">
        <f>tblDailySchedule[[#This Row],[STD]]</f>
        <v>0.88888888888888884</v>
      </c>
    </row>
    <row r="109" spans="1:20" hidden="1" x14ac:dyDescent="0.35">
      <c r="A109" s="2">
        <v>46113</v>
      </c>
      <c r="B109" s="3">
        <v>3</v>
      </c>
      <c r="C109" s="4" t="s">
        <v>113</v>
      </c>
      <c r="D109" s="4" t="s">
        <v>18</v>
      </c>
      <c r="E109" s="3">
        <v>27</v>
      </c>
      <c r="F109" s="4" t="s">
        <v>19</v>
      </c>
      <c r="G109" s="4" t="s">
        <v>95</v>
      </c>
      <c r="H109" s="4" t="s">
        <v>21</v>
      </c>
      <c r="I109" s="5">
        <v>0.86805555555555558</v>
      </c>
      <c r="J109" s="4" t="s">
        <v>96</v>
      </c>
      <c r="K109" s="4" t="s">
        <v>21</v>
      </c>
      <c r="L109" s="5">
        <v>0.89583333333333337</v>
      </c>
      <c r="M109" s="4" t="s">
        <v>29</v>
      </c>
      <c r="N109" s="3">
        <v>186</v>
      </c>
      <c r="O109" s="4" t="s">
        <v>24</v>
      </c>
      <c r="P109" s="4" t="s">
        <v>79</v>
      </c>
      <c r="Q109" s="4"/>
      <c r="R109">
        <f>tblDailySchedule[[#This Row],[Capacity Approx]]*'[1]Load Factor Sheet June Acft  '!$B$5</f>
        <v>150.61772727272728</v>
      </c>
      <c r="S109">
        <f>tblDailySchedule[[#This Row],[Capacity Approx]]*'[1]Load Factor Sheet June Acft  '!$D$5</f>
        <v>163.08818181818182</v>
      </c>
      <c r="T109" s="22">
        <f>tblDailySchedule[[#This Row],[STD]]</f>
        <v>0.89583333333333337</v>
      </c>
    </row>
    <row r="110" spans="1:20" hidden="1" x14ac:dyDescent="0.35">
      <c r="A110" s="2">
        <v>46113</v>
      </c>
      <c r="B110" s="3">
        <v>3</v>
      </c>
      <c r="C110" s="4" t="s">
        <v>113</v>
      </c>
      <c r="D110" s="4" t="s">
        <v>18</v>
      </c>
      <c r="E110" s="3">
        <v>28</v>
      </c>
      <c r="F110" s="4" t="s">
        <v>19</v>
      </c>
      <c r="G110" s="4" t="s">
        <v>97</v>
      </c>
      <c r="H110" s="4" t="s">
        <v>49</v>
      </c>
      <c r="I110" s="5">
        <v>0.90277777777777779</v>
      </c>
      <c r="J110" s="4" t="s">
        <v>97</v>
      </c>
      <c r="K110" s="4" t="s">
        <v>61</v>
      </c>
      <c r="L110" s="5">
        <v>0.92361111111111116</v>
      </c>
      <c r="M110" s="4" t="s">
        <v>33</v>
      </c>
      <c r="N110" s="3">
        <v>189</v>
      </c>
      <c r="O110" s="4" t="s">
        <v>24</v>
      </c>
      <c r="P110" s="4" t="s">
        <v>79</v>
      </c>
      <c r="Q110" s="4"/>
      <c r="R110">
        <f>tblDailySchedule[[#This Row],[Capacity Approx]]*'[1]Load Factor Sheet June Acft  '!$B$5</f>
        <v>153.04704545454547</v>
      </c>
      <c r="S110">
        <f>tblDailySchedule[[#This Row],[Capacity Approx]]*'[1]Load Factor Sheet June Acft  '!$D$5</f>
        <v>165.71863636363636</v>
      </c>
      <c r="T110" s="22">
        <f>tblDailySchedule[[#This Row],[STD]]</f>
        <v>0.92361111111111116</v>
      </c>
    </row>
    <row r="111" spans="1:20" hidden="1" x14ac:dyDescent="0.35">
      <c r="A111" s="2">
        <v>46113</v>
      </c>
      <c r="B111" s="3">
        <v>3</v>
      </c>
      <c r="C111" s="4" t="s">
        <v>113</v>
      </c>
      <c r="D111" s="4" t="s">
        <v>18</v>
      </c>
      <c r="E111" s="3">
        <v>29</v>
      </c>
      <c r="F111" s="4" t="s">
        <v>19</v>
      </c>
      <c r="G111" s="4" t="s">
        <v>98</v>
      </c>
      <c r="H111" s="4" t="s">
        <v>21</v>
      </c>
      <c r="I111" s="5">
        <v>0.92013888888888884</v>
      </c>
      <c r="J111" s="4" t="s">
        <v>99</v>
      </c>
      <c r="K111" s="4" t="s">
        <v>21</v>
      </c>
      <c r="L111" s="5">
        <v>0.94791666666666663</v>
      </c>
      <c r="M111" s="4" t="s">
        <v>63</v>
      </c>
      <c r="N111" s="3">
        <v>232</v>
      </c>
      <c r="O111" s="4" t="s">
        <v>24</v>
      </c>
      <c r="P111" s="4" t="s">
        <v>79</v>
      </c>
      <c r="Q111" s="4"/>
      <c r="R111">
        <f>tblDailySchedule[[#This Row],[Capacity Approx]]*'[1]Load Factor Sheet June Acft  '!$B$5</f>
        <v>187.86727272727273</v>
      </c>
      <c r="S111">
        <f>tblDailySchedule[[#This Row],[Capacity Approx]]*'[1]Load Factor Sheet June Acft  '!$D$5</f>
        <v>203.4218181818182</v>
      </c>
      <c r="T111" s="22">
        <f>tblDailySchedule[[#This Row],[STD]]</f>
        <v>0.94791666666666663</v>
      </c>
    </row>
    <row r="112" spans="1:20" hidden="1" x14ac:dyDescent="0.35">
      <c r="A112" s="6">
        <v>46113</v>
      </c>
      <c r="B112" s="7">
        <v>3</v>
      </c>
      <c r="C112" s="8" t="s">
        <v>113</v>
      </c>
      <c r="D112" s="8" t="s">
        <v>18</v>
      </c>
      <c r="E112" s="7">
        <v>30</v>
      </c>
      <c r="F112" s="8" t="s">
        <v>104</v>
      </c>
      <c r="G112" s="8" t="s">
        <v>105</v>
      </c>
      <c r="H112" s="8" t="s">
        <v>106</v>
      </c>
      <c r="I112" s="9">
        <v>0.92708333333333337</v>
      </c>
      <c r="J112" s="8" t="s">
        <v>107</v>
      </c>
      <c r="K112" s="8" t="s">
        <v>106</v>
      </c>
      <c r="L112" s="9">
        <v>0.95833333333333337</v>
      </c>
      <c r="M112" s="8" t="s">
        <v>38</v>
      </c>
      <c r="N112" s="7">
        <v>186</v>
      </c>
      <c r="O112" s="8" t="s">
        <v>39</v>
      </c>
      <c r="P112" s="8" t="s">
        <v>79</v>
      </c>
      <c r="Q112" s="8" t="s">
        <v>39</v>
      </c>
      <c r="R112">
        <f>tblDailySchedule[[#This Row],[Capacity Approx]]*'[1]Load Factor Sheet June Acft  '!$B$5</f>
        <v>150.61772727272728</v>
      </c>
      <c r="S112">
        <f>tblDailySchedule[[#This Row],[Capacity Approx]]*'[1]Load Factor Sheet June Acft  '!$D$5</f>
        <v>163.08818181818182</v>
      </c>
      <c r="T112" s="22">
        <f>tblDailySchedule[[#This Row],[STD]]</f>
        <v>0.95833333333333337</v>
      </c>
    </row>
    <row r="113" spans="1:20" hidden="1" x14ac:dyDescent="0.35">
      <c r="A113" s="2">
        <v>46114</v>
      </c>
      <c r="B113" s="3">
        <v>4</v>
      </c>
      <c r="C113" s="4" t="s">
        <v>114</v>
      </c>
      <c r="D113" s="4" t="s">
        <v>18</v>
      </c>
      <c r="E113" s="3">
        <v>1</v>
      </c>
      <c r="F113" s="4" t="s">
        <v>101</v>
      </c>
      <c r="G113" s="4" t="s">
        <v>102</v>
      </c>
      <c r="H113" s="4" t="s">
        <v>61</v>
      </c>
      <c r="I113" s="5">
        <v>0.3125</v>
      </c>
      <c r="J113" s="4" t="s">
        <v>103</v>
      </c>
      <c r="K113" s="4" t="s">
        <v>61</v>
      </c>
      <c r="L113" s="5">
        <v>0.33333333333333331</v>
      </c>
      <c r="M113" s="4" t="s">
        <v>33</v>
      </c>
      <c r="N113" s="3">
        <v>189</v>
      </c>
      <c r="O113" s="4" t="s">
        <v>24</v>
      </c>
      <c r="P113" s="4" t="s">
        <v>25</v>
      </c>
      <c r="Q113" s="4"/>
      <c r="R113">
        <f>tblDailySchedule[[#This Row],[Capacity Approx]]*'[1]Load Factor Sheet June Acft  '!$B$5</f>
        <v>153.04704545454547</v>
      </c>
      <c r="S113">
        <f>tblDailySchedule[[#This Row],[Capacity Approx]]*'[1]Load Factor Sheet June Acft  '!$D$5</f>
        <v>165.71863636363636</v>
      </c>
      <c r="T113" s="22">
        <f>tblDailySchedule[[#This Row],[STD]]</f>
        <v>0.33333333333333331</v>
      </c>
    </row>
    <row r="114" spans="1:20" hidden="1" x14ac:dyDescent="0.35">
      <c r="A114" s="2">
        <v>46114</v>
      </c>
      <c r="B114" s="3">
        <v>4</v>
      </c>
      <c r="C114" s="4" t="s">
        <v>114</v>
      </c>
      <c r="D114" s="4" t="s">
        <v>18</v>
      </c>
      <c r="E114" s="3">
        <v>2</v>
      </c>
      <c r="F114" s="4" t="s">
        <v>19</v>
      </c>
      <c r="G114" s="4" t="s">
        <v>20</v>
      </c>
      <c r="H114" s="4" t="s">
        <v>21</v>
      </c>
      <c r="I114" s="5">
        <v>0.31944444444444442</v>
      </c>
      <c r="J114" s="4" t="s">
        <v>22</v>
      </c>
      <c r="K114" s="4" t="s">
        <v>21</v>
      </c>
      <c r="L114" s="5">
        <v>0.34722222222222221</v>
      </c>
      <c r="M114" s="4" t="s">
        <v>23</v>
      </c>
      <c r="N114" s="3">
        <v>186</v>
      </c>
      <c r="O114" s="4" t="s">
        <v>24</v>
      </c>
      <c r="P114" s="4" t="s">
        <v>25</v>
      </c>
      <c r="Q114" s="4"/>
      <c r="R114">
        <f>tblDailySchedule[[#This Row],[Capacity Approx]]*'[1]Load Factor Sheet June Acft  '!$B$5</f>
        <v>150.61772727272728</v>
      </c>
      <c r="S114">
        <f>tblDailySchedule[[#This Row],[Capacity Approx]]*'[1]Load Factor Sheet June Acft  '!$D$5</f>
        <v>163.08818181818182</v>
      </c>
      <c r="T114" s="22">
        <f>tblDailySchedule[[#This Row],[STD]]</f>
        <v>0.34722222222222221</v>
      </c>
    </row>
    <row r="115" spans="1:20" hidden="1" x14ac:dyDescent="0.35">
      <c r="A115" s="2">
        <v>46114</v>
      </c>
      <c r="B115" s="3">
        <v>4</v>
      </c>
      <c r="C115" s="4" t="s">
        <v>114</v>
      </c>
      <c r="D115" s="4" t="s">
        <v>18</v>
      </c>
      <c r="E115" s="3">
        <v>3</v>
      </c>
      <c r="F115" s="4" t="s">
        <v>19</v>
      </c>
      <c r="G115" s="4" t="s">
        <v>26</v>
      </c>
      <c r="H115" s="4" t="s">
        <v>27</v>
      </c>
      <c r="I115" s="5">
        <v>0.3263888888888889</v>
      </c>
      <c r="J115" s="4" t="s">
        <v>28</v>
      </c>
      <c r="K115" s="4" t="s">
        <v>27</v>
      </c>
      <c r="L115" s="5">
        <v>0.35416666666666669</v>
      </c>
      <c r="M115" s="4" t="s">
        <v>29</v>
      </c>
      <c r="N115" s="3">
        <v>186</v>
      </c>
      <c r="O115" s="4" t="s">
        <v>24</v>
      </c>
      <c r="P115" s="4" t="s">
        <v>25</v>
      </c>
      <c r="Q115" s="4"/>
      <c r="R115">
        <f>tblDailySchedule[[#This Row],[Capacity Approx]]*'[1]Load Factor Sheet June Acft  '!$B$5</f>
        <v>150.61772727272728</v>
      </c>
      <c r="S115">
        <f>tblDailySchedule[[#This Row],[Capacity Approx]]*'[1]Load Factor Sheet June Acft  '!$D$5</f>
        <v>163.08818181818182</v>
      </c>
      <c r="T115" s="22">
        <f>tblDailySchedule[[#This Row],[STD]]</f>
        <v>0.35416666666666669</v>
      </c>
    </row>
    <row r="116" spans="1:20" hidden="1" x14ac:dyDescent="0.35">
      <c r="A116" s="2">
        <v>46114</v>
      </c>
      <c r="B116" s="3">
        <v>4</v>
      </c>
      <c r="C116" s="4" t="s">
        <v>114</v>
      </c>
      <c r="D116" s="4" t="s">
        <v>18</v>
      </c>
      <c r="E116" s="3">
        <v>4</v>
      </c>
      <c r="F116" s="4" t="s">
        <v>19</v>
      </c>
      <c r="G116" s="4" t="s">
        <v>30</v>
      </c>
      <c r="H116" s="4" t="s">
        <v>31</v>
      </c>
      <c r="I116" s="5">
        <v>0.34722222222222221</v>
      </c>
      <c r="J116" s="4" t="s">
        <v>32</v>
      </c>
      <c r="K116" s="4" t="s">
        <v>31</v>
      </c>
      <c r="L116" s="5">
        <v>0.36805555555555558</v>
      </c>
      <c r="M116" s="4" t="s">
        <v>33</v>
      </c>
      <c r="N116" s="3">
        <v>189</v>
      </c>
      <c r="O116" s="4" t="s">
        <v>24</v>
      </c>
      <c r="P116" s="4" t="s">
        <v>25</v>
      </c>
      <c r="Q116" s="4"/>
      <c r="R116">
        <f>tblDailySchedule[[#This Row],[Capacity Approx]]*'[1]Load Factor Sheet June Acft  '!$B$5</f>
        <v>153.04704545454547</v>
      </c>
      <c r="S116">
        <f>tblDailySchedule[[#This Row],[Capacity Approx]]*'[1]Load Factor Sheet June Acft  '!$D$5</f>
        <v>165.71863636363636</v>
      </c>
      <c r="T116" s="22">
        <f>tblDailySchedule[[#This Row],[STD]]</f>
        <v>0.36805555555555558</v>
      </c>
    </row>
    <row r="117" spans="1:20" hidden="1" x14ac:dyDescent="0.35">
      <c r="A117" s="2">
        <v>46114</v>
      </c>
      <c r="B117" s="3">
        <v>4</v>
      </c>
      <c r="C117" s="4" t="s">
        <v>114</v>
      </c>
      <c r="D117" s="4" t="s">
        <v>18</v>
      </c>
      <c r="E117" s="3">
        <v>5</v>
      </c>
      <c r="F117" s="4" t="s">
        <v>19</v>
      </c>
      <c r="G117" s="4" t="s">
        <v>40</v>
      </c>
      <c r="H117" s="4" t="s">
        <v>31</v>
      </c>
      <c r="I117" s="5">
        <v>0.35069444444444442</v>
      </c>
      <c r="J117" s="4" t="s">
        <v>41</v>
      </c>
      <c r="K117" s="4" t="s">
        <v>31</v>
      </c>
      <c r="L117" s="5">
        <v>0.37152777777777779</v>
      </c>
      <c r="M117" s="4" t="s">
        <v>23</v>
      </c>
      <c r="N117" s="3">
        <v>186</v>
      </c>
      <c r="O117" s="4" t="s">
        <v>24</v>
      </c>
      <c r="P117" s="4" t="s">
        <v>25</v>
      </c>
      <c r="Q117" s="4"/>
      <c r="R117">
        <f>tblDailySchedule[[#This Row],[Capacity Approx]]*'[1]Load Factor Sheet June Acft  '!$B$5</f>
        <v>150.61772727272728</v>
      </c>
      <c r="S117">
        <f>tblDailySchedule[[#This Row],[Capacity Approx]]*'[1]Load Factor Sheet June Acft  '!$D$5</f>
        <v>163.08818181818182</v>
      </c>
      <c r="T117" s="22">
        <f>tblDailySchedule[[#This Row],[STD]]</f>
        <v>0.37152777777777779</v>
      </c>
    </row>
    <row r="118" spans="1:20" hidden="1" x14ac:dyDescent="0.35">
      <c r="A118" s="2">
        <v>46114</v>
      </c>
      <c r="B118" s="3">
        <v>4</v>
      </c>
      <c r="C118" s="4" t="s">
        <v>114</v>
      </c>
      <c r="D118" s="4" t="s">
        <v>18</v>
      </c>
      <c r="E118" s="3">
        <v>7</v>
      </c>
      <c r="F118" s="4" t="s">
        <v>19</v>
      </c>
      <c r="G118" s="4" t="s">
        <v>42</v>
      </c>
      <c r="H118" s="4" t="s">
        <v>43</v>
      </c>
      <c r="I118" s="5">
        <v>0.3923611111111111</v>
      </c>
      <c r="J118" s="4" t="s">
        <v>44</v>
      </c>
      <c r="K118" s="4" t="s">
        <v>43</v>
      </c>
      <c r="L118" s="5">
        <v>0.40277777777777779</v>
      </c>
      <c r="M118" s="4" t="s">
        <v>45</v>
      </c>
      <c r="N118" s="3">
        <v>9</v>
      </c>
      <c r="O118" s="4" t="s">
        <v>24</v>
      </c>
      <c r="P118" s="4" t="s">
        <v>25</v>
      </c>
      <c r="Q118" s="4"/>
      <c r="R118">
        <f>tblDailySchedule[[#This Row],[Capacity Approx]]*'[1]Load Factor Sheet June Acft  '!$B$5</f>
        <v>7.2879545454545456</v>
      </c>
      <c r="S118">
        <f>tblDailySchedule[[#This Row],[Capacity Approx]]*'[1]Load Factor Sheet June Acft  '!$D$5</f>
        <v>7.8913636363636366</v>
      </c>
      <c r="T118" s="22">
        <f>tblDailySchedule[[#This Row],[STD]]</f>
        <v>0.40277777777777779</v>
      </c>
    </row>
    <row r="119" spans="1:20" hidden="1" x14ac:dyDescent="0.35">
      <c r="A119" s="2">
        <v>46114</v>
      </c>
      <c r="B119" s="3">
        <v>4</v>
      </c>
      <c r="C119" s="4" t="s">
        <v>114</v>
      </c>
      <c r="D119" s="4" t="s">
        <v>18</v>
      </c>
      <c r="E119" s="3">
        <v>8</v>
      </c>
      <c r="F119" s="4" t="s">
        <v>19</v>
      </c>
      <c r="G119" s="4" t="s">
        <v>46</v>
      </c>
      <c r="H119" s="4" t="s">
        <v>31</v>
      </c>
      <c r="I119" s="5">
        <v>0.4201388888888889</v>
      </c>
      <c r="J119" s="4" t="s">
        <v>47</v>
      </c>
      <c r="K119" s="4" t="s">
        <v>31</v>
      </c>
      <c r="L119" s="5">
        <v>0.44444444444444442</v>
      </c>
      <c r="M119" s="4" t="s">
        <v>29</v>
      </c>
      <c r="N119" s="3">
        <v>186</v>
      </c>
      <c r="O119" s="4" t="s">
        <v>24</v>
      </c>
      <c r="P119" s="4" t="s">
        <v>25</v>
      </c>
      <c r="Q119" s="4"/>
      <c r="R119">
        <f>tblDailySchedule[[#This Row],[Capacity Approx]]*'[1]Load Factor Sheet June Acft  '!$B$5</f>
        <v>150.61772727272728</v>
      </c>
      <c r="S119">
        <f>tblDailySchedule[[#This Row],[Capacity Approx]]*'[1]Load Factor Sheet June Acft  '!$D$5</f>
        <v>163.08818181818182</v>
      </c>
      <c r="T119" s="22">
        <f>tblDailySchedule[[#This Row],[STD]]</f>
        <v>0.44444444444444442</v>
      </c>
    </row>
    <row r="120" spans="1:20" hidden="1" x14ac:dyDescent="0.35">
      <c r="A120" s="2">
        <v>46114</v>
      </c>
      <c r="B120" s="3">
        <v>4</v>
      </c>
      <c r="C120" s="4" t="s">
        <v>114</v>
      </c>
      <c r="D120" s="4" t="s">
        <v>18</v>
      </c>
      <c r="E120" s="3">
        <v>9</v>
      </c>
      <c r="F120" s="4" t="s">
        <v>19</v>
      </c>
      <c r="G120" s="4" t="s">
        <v>48</v>
      </c>
      <c r="H120" s="4" t="s">
        <v>49</v>
      </c>
      <c r="I120" s="5">
        <v>0.4375</v>
      </c>
      <c r="J120" s="4" t="s">
        <v>50</v>
      </c>
      <c r="K120" s="4" t="s">
        <v>49</v>
      </c>
      <c r="L120" s="5">
        <v>0.45833333333333331</v>
      </c>
      <c r="M120" s="4" t="s">
        <v>51</v>
      </c>
      <c r="N120" s="3">
        <v>78</v>
      </c>
      <c r="O120" s="4" t="s">
        <v>24</v>
      </c>
      <c r="P120" s="4" t="s">
        <v>25</v>
      </c>
      <c r="Q120" s="4"/>
      <c r="R120">
        <f>tblDailySchedule[[#This Row],[Capacity Approx]]*'[1]Load Factor Sheet June Acft  '!$B$5</f>
        <v>63.162272727272729</v>
      </c>
      <c r="S120">
        <f>tblDailySchedule[[#This Row],[Capacity Approx]]*'[1]Load Factor Sheet June Acft  '!$D$5</f>
        <v>68.391818181818181</v>
      </c>
      <c r="T120" s="22">
        <f>tblDailySchedule[[#This Row],[STD]]</f>
        <v>0.45833333333333331</v>
      </c>
    </row>
    <row r="121" spans="1:20" hidden="1" x14ac:dyDescent="0.35">
      <c r="A121" s="2">
        <v>46114</v>
      </c>
      <c r="B121" s="3">
        <v>4</v>
      </c>
      <c r="C121" s="4" t="s">
        <v>114</v>
      </c>
      <c r="D121" s="4" t="s">
        <v>18</v>
      </c>
      <c r="E121" s="3">
        <v>10</v>
      </c>
      <c r="F121" s="4" t="s">
        <v>19</v>
      </c>
      <c r="G121" s="4" t="s">
        <v>52</v>
      </c>
      <c r="H121" s="4" t="s">
        <v>27</v>
      </c>
      <c r="I121" s="5">
        <v>0.4826388888888889</v>
      </c>
      <c r="J121" s="4" t="s">
        <v>53</v>
      </c>
      <c r="K121" s="4" t="s">
        <v>27</v>
      </c>
      <c r="L121" s="5">
        <v>0.51041666666666663</v>
      </c>
      <c r="M121" s="4" t="s">
        <v>23</v>
      </c>
      <c r="N121" s="3">
        <v>186</v>
      </c>
      <c r="O121" s="4" t="s">
        <v>24</v>
      </c>
      <c r="P121" s="4" t="s">
        <v>25</v>
      </c>
      <c r="Q121" s="4"/>
      <c r="R121">
        <f>tblDailySchedule[[#This Row],[Capacity Approx]]*'[1]Load Factor Sheet June Acft  '!$B$5</f>
        <v>150.61772727272728</v>
      </c>
      <c r="S121">
        <f>tblDailySchedule[[#This Row],[Capacity Approx]]*'[1]Load Factor Sheet June Acft  '!$D$5</f>
        <v>163.08818181818182</v>
      </c>
      <c r="T121" s="22">
        <f>tblDailySchedule[[#This Row],[STD]]</f>
        <v>0.51041666666666663</v>
      </c>
    </row>
    <row r="122" spans="1:20" hidden="1" x14ac:dyDescent="0.35">
      <c r="A122" s="2">
        <v>46114</v>
      </c>
      <c r="B122" s="3">
        <v>4</v>
      </c>
      <c r="C122" s="4" t="s">
        <v>114</v>
      </c>
      <c r="D122" s="4" t="s">
        <v>18</v>
      </c>
      <c r="E122" s="3">
        <v>11</v>
      </c>
      <c r="F122" s="4" t="s">
        <v>19</v>
      </c>
      <c r="G122" s="4" t="s">
        <v>54</v>
      </c>
      <c r="H122" s="4" t="s">
        <v>31</v>
      </c>
      <c r="I122" s="5">
        <v>0.51388888888888884</v>
      </c>
      <c r="J122" s="4" t="s">
        <v>55</v>
      </c>
      <c r="K122" s="4" t="s">
        <v>31</v>
      </c>
      <c r="L122" s="5">
        <v>0.54166666666666663</v>
      </c>
      <c r="M122" s="4" t="s">
        <v>23</v>
      </c>
      <c r="N122" s="3">
        <v>186</v>
      </c>
      <c r="O122" s="4" t="s">
        <v>24</v>
      </c>
      <c r="P122" s="4" t="s">
        <v>56</v>
      </c>
      <c r="Q122" s="4"/>
      <c r="R122">
        <f>tblDailySchedule[[#This Row],[Capacity Approx]]*'[1]Load Factor Sheet June Acft  '!$B$5</f>
        <v>150.61772727272728</v>
      </c>
      <c r="S122">
        <f>tblDailySchedule[[#This Row],[Capacity Approx]]*'[1]Load Factor Sheet June Acft  '!$D$5</f>
        <v>163.08818181818182</v>
      </c>
      <c r="T122" s="22">
        <f>tblDailySchedule[[#This Row],[STD]]</f>
        <v>0.54166666666666663</v>
      </c>
    </row>
    <row r="123" spans="1:20" hidden="1" x14ac:dyDescent="0.35">
      <c r="A123" s="2">
        <v>46114</v>
      </c>
      <c r="B123" s="3">
        <v>4</v>
      </c>
      <c r="C123" s="4" t="s">
        <v>114</v>
      </c>
      <c r="D123" s="4" t="s">
        <v>18</v>
      </c>
      <c r="E123" s="3">
        <v>12</v>
      </c>
      <c r="F123" s="4" t="s">
        <v>109</v>
      </c>
      <c r="G123" s="4" t="s">
        <v>110</v>
      </c>
      <c r="H123" s="4" t="s">
        <v>111</v>
      </c>
      <c r="I123" s="5">
        <v>0.55555555555555558</v>
      </c>
      <c r="J123" s="4" t="s">
        <v>112</v>
      </c>
      <c r="K123" s="4" t="s">
        <v>111</v>
      </c>
      <c r="L123" s="5">
        <v>0.56944444444444442</v>
      </c>
      <c r="M123" s="4" t="s">
        <v>51</v>
      </c>
      <c r="N123" s="3">
        <v>78</v>
      </c>
      <c r="O123" s="4" t="s">
        <v>24</v>
      </c>
      <c r="P123" s="4" t="s">
        <v>56</v>
      </c>
      <c r="Q123" s="4"/>
      <c r="R123">
        <f>tblDailySchedule[[#This Row],[Capacity Approx]]*'[1]Load Factor Sheet June Acft  '!$B$5</f>
        <v>63.162272727272729</v>
      </c>
      <c r="S123">
        <f>tblDailySchedule[[#This Row],[Capacity Approx]]*'[1]Load Factor Sheet June Acft  '!$D$5</f>
        <v>68.391818181818181</v>
      </c>
      <c r="T123" s="22">
        <f>tblDailySchedule[[#This Row],[STD]]</f>
        <v>0.56944444444444442</v>
      </c>
    </row>
    <row r="124" spans="1:20" hidden="1" x14ac:dyDescent="0.35">
      <c r="A124" s="2">
        <v>46114</v>
      </c>
      <c r="B124" s="3">
        <v>4</v>
      </c>
      <c r="C124" s="4" t="s">
        <v>114</v>
      </c>
      <c r="D124" s="4" t="s">
        <v>18</v>
      </c>
      <c r="E124" s="3">
        <v>13</v>
      </c>
      <c r="F124" s="4" t="s">
        <v>19</v>
      </c>
      <c r="G124" s="4" t="s">
        <v>57</v>
      </c>
      <c r="H124" s="4" t="s">
        <v>58</v>
      </c>
      <c r="I124" s="5">
        <v>0.55902777777777779</v>
      </c>
      <c r="J124" s="4" t="s">
        <v>59</v>
      </c>
      <c r="K124" s="4" t="s">
        <v>58</v>
      </c>
      <c r="L124" s="5">
        <v>0.57638888888888884</v>
      </c>
      <c r="M124" s="4" t="s">
        <v>51</v>
      </c>
      <c r="N124" s="3">
        <v>78</v>
      </c>
      <c r="O124" s="4" t="s">
        <v>24</v>
      </c>
      <c r="P124" s="4" t="s">
        <v>56</v>
      </c>
      <c r="Q124" s="4"/>
      <c r="R124">
        <f>tblDailySchedule[[#This Row],[Capacity Approx]]*'[1]Load Factor Sheet June Acft  '!$B$5</f>
        <v>63.162272727272729</v>
      </c>
      <c r="S124">
        <f>tblDailySchedule[[#This Row],[Capacity Approx]]*'[1]Load Factor Sheet June Acft  '!$D$5</f>
        <v>68.391818181818181</v>
      </c>
      <c r="T124" s="22">
        <f>tblDailySchedule[[#This Row],[STD]]</f>
        <v>0.57638888888888884</v>
      </c>
    </row>
    <row r="125" spans="1:20" hidden="1" x14ac:dyDescent="0.35">
      <c r="A125" s="2">
        <v>46114</v>
      </c>
      <c r="B125" s="3">
        <v>4</v>
      </c>
      <c r="C125" s="4" t="s">
        <v>114</v>
      </c>
      <c r="D125" s="4" t="s">
        <v>18</v>
      </c>
      <c r="E125" s="3">
        <v>14</v>
      </c>
      <c r="F125" s="4" t="s">
        <v>19</v>
      </c>
      <c r="G125" s="4" t="s">
        <v>60</v>
      </c>
      <c r="H125" s="4" t="s">
        <v>61</v>
      </c>
      <c r="I125" s="5">
        <v>0.59027777777777779</v>
      </c>
      <c r="J125" s="4" t="s">
        <v>62</v>
      </c>
      <c r="K125" s="4" t="s">
        <v>61</v>
      </c>
      <c r="L125" s="5">
        <v>0.62152777777777779</v>
      </c>
      <c r="M125" s="4" t="s">
        <v>63</v>
      </c>
      <c r="N125" s="3">
        <v>232</v>
      </c>
      <c r="O125" s="4" t="s">
        <v>24</v>
      </c>
      <c r="P125" s="4" t="s">
        <v>56</v>
      </c>
      <c r="Q125" s="4"/>
      <c r="R125">
        <f>tblDailySchedule[[#This Row],[Capacity Approx]]*'[1]Load Factor Sheet June Acft  '!$B$5</f>
        <v>187.86727272727273</v>
      </c>
      <c r="S125">
        <f>tblDailySchedule[[#This Row],[Capacity Approx]]*'[1]Load Factor Sheet June Acft  '!$D$5</f>
        <v>203.4218181818182</v>
      </c>
      <c r="T125" s="22">
        <f>tblDailySchedule[[#This Row],[STD]]</f>
        <v>0.62152777777777779</v>
      </c>
    </row>
    <row r="126" spans="1:20" hidden="1" x14ac:dyDescent="0.35">
      <c r="A126" s="2">
        <v>46114</v>
      </c>
      <c r="B126" s="3">
        <v>4</v>
      </c>
      <c r="C126" s="4" t="s">
        <v>114</v>
      </c>
      <c r="D126" s="4" t="s">
        <v>18</v>
      </c>
      <c r="E126" s="3">
        <v>15</v>
      </c>
      <c r="F126" s="4" t="s">
        <v>19</v>
      </c>
      <c r="G126" s="4" t="s">
        <v>64</v>
      </c>
      <c r="H126" s="4" t="s">
        <v>31</v>
      </c>
      <c r="I126" s="5">
        <v>0.60069444444444442</v>
      </c>
      <c r="J126" s="4" t="s">
        <v>65</v>
      </c>
      <c r="K126" s="4" t="s">
        <v>66</v>
      </c>
      <c r="L126" s="5">
        <v>0.62847222222222221</v>
      </c>
      <c r="M126" s="4" t="s">
        <v>63</v>
      </c>
      <c r="N126" s="3">
        <v>232</v>
      </c>
      <c r="O126" s="4" t="s">
        <v>24</v>
      </c>
      <c r="P126" s="4" t="s">
        <v>56</v>
      </c>
      <c r="Q126" s="4"/>
      <c r="R126">
        <f>tblDailySchedule[[#This Row],[Capacity Approx]]*'[1]Load Factor Sheet June Acft  '!$B$5</f>
        <v>187.86727272727273</v>
      </c>
      <c r="S126">
        <f>tblDailySchedule[[#This Row],[Capacity Approx]]*'[1]Load Factor Sheet June Acft  '!$D$5</f>
        <v>203.4218181818182</v>
      </c>
      <c r="T126" s="22">
        <f>tblDailySchedule[[#This Row],[STD]]</f>
        <v>0.62847222222222221</v>
      </c>
    </row>
    <row r="127" spans="1:20" hidden="1" x14ac:dyDescent="0.35">
      <c r="A127" s="2">
        <v>46114</v>
      </c>
      <c r="B127" s="3">
        <v>4</v>
      </c>
      <c r="C127" s="4" t="s">
        <v>114</v>
      </c>
      <c r="D127" s="4" t="s">
        <v>18</v>
      </c>
      <c r="E127" s="3">
        <v>16</v>
      </c>
      <c r="F127" s="4" t="s">
        <v>19</v>
      </c>
      <c r="G127" s="4" t="s">
        <v>67</v>
      </c>
      <c r="H127" s="4" t="s">
        <v>31</v>
      </c>
      <c r="I127" s="5">
        <v>0.65625</v>
      </c>
      <c r="J127" s="4" t="s">
        <v>68</v>
      </c>
      <c r="K127" s="4" t="s">
        <v>31</v>
      </c>
      <c r="L127" s="5">
        <v>0.68402777777777779</v>
      </c>
      <c r="M127" s="4" t="s">
        <v>63</v>
      </c>
      <c r="N127" s="3">
        <v>232</v>
      </c>
      <c r="O127" s="4" t="s">
        <v>24</v>
      </c>
      <c r="P127" s="4" t="s">
        <v>56</v>
      </c>
      <c r="Q127" s="4"/>
      <c r="R127">
        <f>tblDailySchedule[[#This Row],[Capacity Approx]]*'[1]Load Factor Sheet June Acft  '!$B$5</f>
        <v>187.86727272727273</v>
      </c>
      <c r="S127">
        <f>tblDailySchedule[[#This Row],[Capacity Approx]]*'[1]Load Factor Sheet June Acft  '!$D$5</f>
        <v>203.4218181818182</v>
      </c>
      <c r="T127" s="22">
        <f>tblDailySchedule[[#This Row],[STD]]</f>
        <v>0.68402777777777779</v>
      </c>
    </row>
    <row r="128" spans="1:20" hidden="1" x14ac:dyDescent="0.35">
      <c r="A128" s="2">
        <v>46114</v>
      </c>
      <c r="B128" s="3">
        <v>4</v>
      </c>
      <c r="C128" s="4" t="s">
        <v>114</v>
      </c>
      <c r="D128" s="4" t="s">
        <v>18</v>
      </c>
      <c r="E128" s="3">
        <v>17</v>
      </c>
      <c r="F128" s="4" t="s">
        <v>19</v>
      </c>
      <c r="G128" s="4" t="s">
        <v>69</v>
      </c>
      <c r="H128" s="4" t="s">
        <v>31</v>
      </c>
      <c r="I128" s="5">
        <v>0.66319444444444442</v>
      </c>
      <c r="J128" s="4" t="s">
        <v>70</v>
      </c>
      <c r="K128" s="4" t="s">
        <v>31</v>
      </c>
      <c r="L128" s="5">
        <v>0.69097222222222221</v>
      </c>
      <c r="M128" s="4" t="s">
        <v>33</v>
      </c>
      <c r="N128" s="3">
        <v>189</v>
      </c>
      <c r="O128" s="4" t="s">
        <v>24</v>
      </c>
      <c r="P128" s="4" t="s">
        <v>56</v>
      </c>
      <c r="Q128" s="4"/>
      <c r="R128">
        <f>tblDailySchedule[[#This Row],[Capacity Approx]]*'[1]Load Factor Sheet June Acft  '!$B$5</f>
        <v>153.04704545454547</v>
      </c>
      <c r="S128">
        <f>tblDailySchedule[[#This Row],[Capacity Approx]]*'[1]Load Factor Sheet June Acft  '!$D$5</f>
        <v>165.71863636363636</v>
      </c>
      <c r="T128" s="22">
        <f>tblDailySchedule[[#This Row],[STD]]</f>
        <v>0.69097222222222221</v>
      </c>
    </row>
    <row r="129" spans="1:20" hidden="1" x14ac:dyDescent="0.35">
      <c r="A129" s="2">
        <v>46114</v>
      </c>
      <c r="B129" s="3">
        <v>4</v>
      </c>
      <c r="C129" s="4" t="s">
        <v>114</v>
      </c>
      <c r="D129" s="4" t="s">
        <v>18</v>
      </c>
      <c r="E129" s="3">
        <v>18</v>
      </c>
      <c r="F129" s="4" t="s">
        <v>19</v>
      </c>
      <c r="G129" s="4" t="s">
        <v>71</v>
      </c>
      <c r="H129" s="4" t="s">
        <v>21</v>
      </c>
      <c r="I129" s="5">
        <v>0.67013888888888884</v>
      </c>
      <c r="J129" s="4" t="s">
        <v>72</v>
      </c>
      <c r="K129" s="4" t="s">
        <v>21</v>
      </c>
      <c r="L129" s="5">
        <v>0.69791666666666663</v>
      </c>
      <c r="M129" s="4" t="s">
        <v>63</v>
      </c>
      <c r="N129" s="3">
        <v>232</v>
      </c>
      <c r="O129" s="4" t="s">
        <v>24</v>
      </c>
      <c r="P129" s="4" t="s">
        <v>56</v>
      </c>
      <c r="Q129" s="4"/>
      <c r="R129">
        <f>tblDailySchedule[[#This Row],[Capacity Approx]]*'[1]Load Factor Sheet June Acft  '!$B$5</f>
        <v>187.86727272727273</v>
      </c>
      <c r="S129">
        <f>tblDailySchedule[[#This Row],[Capacity Approx]]*'[1]Load Factor Sheet June Acft  '!$D$5</f>
        <v>203.4218181818182</v>
      </c>
      <c r="T129" s="22">
        <f>tblDailySchedule[[#This Row],[STD]]</f>
        <v>0.69791666666666663</v>
      </c>
    </row>
    <row r="130" spans="1:20" hidden="1" x14ac:dyDescent="0.35">
      <c r="A130" s="2">
        <v>46114</v>
      </c>
      <c r="B130" s="3">
        <v>4</v>
      </c>
      <c r="C130" s="4" t="s">
        <v>114</v>
      </c>
      <c r="D130" s="4" t="s">
        <v>18</v>
      </c>
      <c r="E130" s="3">
        <v>19</v>
      </c>
      <c r="F130" s="4" t="s">
        <v>19</v>
      </c>
      <c r="G130" s="4" t="s">
        <v>73</v>
      </c>
      <c r="H130" s="4" t="s">
        <v>27</v>
      </c>
      <c r="I130" s="5">
        <v>0.74652777777777779</v>
      </c>
      <c r="J130" s="4" t="s">
        <v>74</v>
      </c>
      <c r="K130" s="4" t="s">
        <v>27</v>
      </c>
      <c r="L130" s="5">
        <v>0.77430555555555558</v>
      </c>
      <c r="M130" s="4" t="s">
        <v>63</v>
      </c>
      <c r="N130" s="3">
        <v>232</v>
      </c>
      <c r="O130" s="4" t="s">
        <v>24</v>
      </c>
      <c r="P130" s="4" t="s">
        <v>56</v>
      </c>
      <c r="Q130" s="4"/>
      <c r="R130">
        <f>tblDailySchedule[[#This Row],[Capacity Approx]]*'[1]Load Factor Sheet June Acft  '!$B$5</f>
        <v>187.86727272727273</v>
      </c>
      <c r="S130">
        <f>tblDailySchedule[[#This Row],[Capacity Approx]]*'[1]Load Factor Sheet June Acft  '!$D$5</f>
        <v>203.4218181818182</v>
      </c>
      <c r="T130" s="22">
        <f>tblDailySchedule[[#This Row],[STD]]</f>
        <v>0.77430555555555558</v>
      </c>
    </row>
    <row r="131" spans="1:20" hidden="1" x14ac:dyDescent="0.35">
      <c r="A131" s="2">
        <v>46114</v>
      </c>
      <c r="B131" s="3">
        <v>4</v>
      </c>
      <c r="C131" s="4" t="s">
        <v>114</v>
      </c>
      <c r="D131" s="4" t="s">
        <v>18</v>
      </c>
      <c r="E131" s="3">
        <v>21</v>
      </c>
      <c r="F131" s="4" t="s">
        <v>19</v>
      </c>
      <c r="G131" s="4" t="s">
        <v>81</v>
      </c>
      <c r="H131" s="4" t="s">
        <v>61</v>
      </c>
      <c r="I131" s="5">
        <v>0.77083333333333337</v>
      </c>
      <c r="J131" s="4" t="s">
        <v>82</v>
      </c>
      <c r="K131" s="4" t="s">
        <v>49</v>
      </c>
      <c r="L131" s="5">
        <v>0.79166666666666663</v>
      </c>
      <c r="M131" s="4" t="s">
        <v>33</v>
      </c>
      <c r="N131" s="3">
        <v>189</v>
      </c>
      <c r="O131" s="4" t="s">
        <v>24</v>
      </c>
      <c r="P131" s="4" t="s">
        <v>79</v>
      </c>
      <c r="Q131" s="4"/>
      <c r="R131">
        <f>tblDailySchedule[[#This Row],[Capacity Approx]]*'[1]Load Factor Sheet June Acft  '!$B$5</f>
        <v>153.04704545454547</v>
      </c>
      <c r="S131">
        <f>tblDailySchedule[[#This Row],[Capacity Approx]]*'[1]Load Factor Sheet June Acft  '!$D$5</f>
        <v>165.71863636363636</v>
      </c>
      <c r="T131" s="22">
        <f>tblDailySchedule[[#This Row],[STD]]</f>
        <v>0.79166666666666663</v>
      </c>
    </row>
    <row r="132" spans="1:20" hidden="1" x14ac:dyDescent="0.35">
      <c r="A132" s="2">
        <v>46114</v>
      </c>
      <c r="B132" s="3">
        <v>4</v>
      </c>
      <c r="C132" s="4" t="s">
        <v>114</v>
      </c>
      <c r="D132" s="4" t="s">
        <v>18</v>
      </c>
      <c r="E132" s="3">
        <v>22</v>
      </c>
      <c r="F132" s="4" t="s">
        <v>19</v>
      </c>
      <c r="G132" s="4" t="s">
        <v>83</v>
      </c>
      <c r="H132" s="4" t="s">
        <v>31</v>
      </c>
      <c r="I132" s="5">
        <v>0.77777777777777779</v>
      </c>
      <c r="J132" s="4" t="s">
        <v>84</v>
      </c>
      <c r="K132" s="4" t="s">
        <v>31</v>
      </c>
      <c r="L132" s="5">
        <v>0.80555555555555558</v>
      </c>
      <c r="M132" s="4" t="s">
        <v>63</v>
      </c>
      <c r="N132" s="3">
        <v>232</v>
      </c>
      <c r="O132" s="4" t="s">
        <v>24</v>
      </c>
      <c r="P132" s="4" t="s">
        <v>79</v>
      </c>
      <c r="Q132" s="4"/>
      <c r="R132">
        <f>tblDailySchedule[[#This Row],[Capacity Approx]]*'[1]Load Factor Sheet June Acft  '!$B$5</f>
        <v>187.86727272727273</v>
      </c>
      <c r="S132">
        <f>tblDailySchedule[[#This Row],[Capacity Approx]]*'[1]Load Factor Sheet June Acft  '!$D$5</f>
        <v>203.4218181818182</v>
      </c>
      <c r="T132" s="22">
        <f>tblDailySchedule[[#This Row],[STD]]</f>
        <v>0.80555555555555558</v>
      </c>
    </row>
    <row r="133" spans="1:20" hidden="1" x14ac:dyDescent="0.35">
      <c r="A133" s="2">
        <v>46114</v>
      </c>
      <c r="B133" s="3">
        <v>4</v>
      </c>
      <c r="C133" s="4" t="s">
        <v>114</v>
      </c>
      <c r="D133" s="4" t="s">
        <v>18</v>
      </c>
      <c r="E133" s="3">
        <v>23</v>
      </c>
      <c r="F133" s="4" t="s">
        <v>19</v>
      </c>
      <c r="G133" s="4" t="s">
        <v>85</v>
      </c>
      <c r="H133" s="4" t="s">
        <v>86</v>
      </c>
      <c r="I133" s="5">
        <v>0.79861111111111116</v>
      </c>
      <c r="J133" s="4" t="s">
        <v>87</v>
      </c>
      <c r="K133" s="4" t="s">
        <v>86</v>
      </c>
      <c r="L133" s="5">
        <v>0.82638888888888884</v>
      </c>
      <c r="M133" s="4" t="s">
        <v>63</v>
      </c>
      <c r="N133" s="3">
        <v>232</v>
      </c>
      <c r="O133" s="4" t="s">
        <v>24</v>
      </c>
      <c r="P133" s="4" t="s">
        <v>79</v>
      </c>
      <c r="Q133" s="4"/>
      <c r="R133">
        <f>tblDailySchedule[[#This Row],[Capacity Approx]]*'[1]Load Factor Sheet June Acft  '!$B$5</f>
        <v>187.86727272727273</v>
      </c>
      <c r="S133">
        <f>tblDailySchedule[[#This Row],[Capacity Approx]]*'[1]Load Factor Sheet June Acft  '!$D$5</f>
        <v>203.4218181818182</v>
      </c>
      <c r="T133" s="22">
        <f>tblDailySchedule[[#This Row],[STD]]</f>
        <v>0.82638888888888884</v>
      </c>
    </row>
    <row r="134" spans="1:20" hidden="1" x14ac:dyDescent="0.35">
      <c r="A134" s="2">
        <v>46114</v>
      </c>
      <c r="B134" s="3">
        <v>4</v>
      </c>
      <c r="C134" s="4" t="s">
        <v>114</v>
      </c>
      <c r="D134" s="4" t="s">
        <v>18</v>
      </c>
      <c r="E134" s="3">
        <v>24</v>
      </c>
      <c r="F134" s="4" t="s">
        <v>19</v>
      </c>
      <c r="G134" s="4" t="s">
        <v>88</v>
      </c>
      <c r="H134" s="4" t="s">
        <v>89</v>
      </c>
      <c r="I134" s="5">
        <v>0.83333333333333337</v>
      </c>
      <c r="J134" s="4" t="s">
        <v>90</v>
      </c>
      <c r="K134" s="4" t="s">
        <v>31</v>
      </c>
      <c r="L134" s="5">
        <v>0.86111111111111116</v>
      </c>
      <c r="M134" s="4" t="s">
        <v>63</v>
      </c>
      <c r="N134" s="3">
        <v>232</v>
      </c>
      <c r="O134" s="4" t="s">
        <v>24</v>
      </c>
      <c r="P134" s="4" t="s">
        <v>79</v>
      </c>
      <c r="Q134" s="4"/>
      <c r="R134">
        <f>tblDailySchedule[[#This Row],[Capacity Approx]]*'[1]Load Factor Sheet June Acft  '!$B$5</f>
        <v>187.86727272727273</v>
      </c>
      <c r="S134">
        <f>tblDailySchedule[[#This Row],[Capacity Approx]]*'[1]Load Factor Sheet June Acft  '!$D$5</f>
        <v>203.4218181818182</v>
      </c>
      <c r="T134" s="22">
        <f>tblDailySchedule[[#This Row],[STD]]</f>
        <v>0.86111111111111116</v>
      </c>
    </row>
    <row r="135" spans="1:20" hidden="1" x14ac:dyDescent="0.35">
      <c r="A135" s="2">
        <v>46114</v>
      </c>
      <c r="B135" s="3">
        <v>4</v>
      </c>
      <c r="C135" s="4" t="s">
        <v>114</v>
      </c>
      <c r="D135" s="4" t="s">
        <v>18</v>
      </c>
      <c r="E135" s="3">
        <v>25</v>
      </c>
      <c r="F135" s="4" t="s">
        <v>19</v>
      </c>
      <c r="G135" s="4" t="s">
        <v>91</v>
      </c>
      <c r="H135" s="4" t="s">
        <v>61</v>
      </c>
      <c r="I135" s="5">
        <v>0.85416666666666663</v>
      </c>
      <c r="J135" s="4" t="s">
        <v>92</v>
      </c>
      <c r="K135" s="4" t="s">
        <v>61</v>
      </c>
      <c r="L135" s="5">
        <v>0.88194444444444442</v>
      </c>
      <c r="M135" s="4" t="s">
        <v>63</v>
      </c>
      <c r="N135" s="3">
        <v>232</v>
      </c>
      <c r="O135" s="4" t="s">
        <v>24</v>
      </c>
      <c r="P135" s="4" t="s">
        <v>79</v>
      </c>
      <c r="Q135" s="4"/>
      <c r="R135">
        <f>tblDailySchedule[[#This Row],[Capacity Approx]]*'[1]Load Factor Sheet June Acft  '!$B$5</f>
        <v>187.86727272727273</v>
      </c>
      <c r="S135">
        <f>tblDailySchedule[[#This Row],[Capacity Approx]]*'[1]Load Factor Sheet June Acft  '!$D$5</f>
        <v>203.4218181818182</v>
      </c>
      <c r="T135" s="22">
        <f>tblDailySchedule[[#This Row],[STD]]</f>
        <v>0.88194444444444442</v>
      </c>
    </row>
    <row r="136" spans="1:20" hidden="1" x14ac:dyDescent="0.35">
      <c r="A136" s="2">
        <v>46114</v>
      </c>
      <c r="B136" s="3">
        <v>4</v>
      </c>
      <c r="C136" s="4" t="s">
        <v>114</v>
      </c>
      <c r="D136" s="4" t="s">
        <v>18</v>
      </c>
      <c r="E136" s="3">
        <v>26</v>
      </c>
      <c r="F136" s="4" t="s">
        <v>19</v>
      </c>
      <c r="G136" s="4" t="s">
        <v>93</v>
      </c>
      <c r="H136" s="4" t="s">
        <v>31</v>
      </c>
      <c r="I136" s="5">
        <v>0.86111111111111116</v>
      </c>
      <c r="J136" s="4" t="s">
        <v>94</v>
      </c>
      <c r="K136" s="4" t="s">
        <v>31</v>
      </c>
      <c r="L136" s="5">
        <v>0.88888888888888884</v>
      </c>
      <c r="M136" s="4" t="s">
        <v>23</v>
      </c>
      <c r="N136" s="3">
        <v>186</v>
      </c>
      <c r="O136" s="4" t="s">
        <v>24</v>
      </c>
      <c r="P136" s="4" t="s">
        <v>79</v>
      </c>
      <c r="Q136" s="4"/>
      <c r="R136">
        <f>tblDailySchedule[[#This Row],[Capacity Approx]]*'[1]Load Factor Sheet June Acft  '!$B$5</f>
        <v>150.61772727272728</v>
      </c>
      <c r="S136">
        <f>tblDailySchedule[[#This Row],[Capacity Approx]]*'[1]Load Factor Sheet June Acft  '!$D$5</f>
        <v>163.08818181818182</v>
      </c>
      <c r="T136" s="22">
        <f>tblDailySchedule[[#This Row],[STD]]</f>
        <v>0.88888888888888884</v>
      </c>
    </row>
    <row r="137" spans="1:20" hidden="1" x14ac:dyDescent="0.35">
      <c r="A137" s="2">
        <v>46114</v>
      </c>
      <c r="B137" s="3">
        <v>4</v>
      </c>
      <c r="C137" s="4" t="s">
        <v>114</v>
      </c>
      <c r="D137" s="4" t="s">
        <v>18</v>
      </c>
      <c r="E137" s="3">
        <v>27</v>
      </c>
      <c r="F137" s="4" t="s">
        <v>19</v>
      </c>
      <c r="G137" s="4" t="s">
        <v>95</v>
      </c>
      <c r="H137" s="4" t="s">
        <v>21</v>
      </c>
      <c r="I137" s="5">
        <v>0.86805555555555558</v>
      </c>
      <c r="J137" s="4" t="s">
        <v>96</v>
      </c>
      <c r="K137" s="4" t="s">
        <v>21</v>
      </c>
      <c r="L137" s="5">
        <v>0.89583333333333337</v>
      </c>
      <c r="M137" s="4" t="s">
        <v>29</v>
      </c>
      <c r="N137" s="3">
        <v>186</v>
      </c>
      <c r="O137" s="4" t="s">
        <v>24</v>
      </c>
      <c r="P137" s="4" t="s">
        <v>79</v>
      </c>
      <c r="Q137" s="4"/>
      <c r="R137">
        <f>tblDailySchedule[[#This Row],[Capacity Approx]]*'[1]Load Factor Sheet June Acft  '!$B$5</f>
        <v>150.61772727272728</v>
      </c>
      <c r="S137">
        <f>tblDailySchedule[[#This Row],[Capacity Approx]]*'[1]Load Factor Sheet June Acft  '!$D$5</f>
        <v>163.08818181818182</v>
      </c>
      <c r="T137" s="22">
        <f>tblDailySchedule[[#This Row],[STD]]</f>
        <v>0.89583333333333337</v>
      </c>
    </row>
    <row r="138" spans="1:20" hidden="1" x14ac:dyDescent="0.35">
      <c r="A138" s="2">
        <v>46114</v>
      </c>
      <c r="B138" s="3">
        <v>4</v>
      </c>
      <c r="C138" s="4" t="s">
        <v>114</v>
      </c>
      <c r="D138" s="4" t="s">
        <v>18</v>
      </c>
      <c r="E138" s="3">
        <v>28</v>
      </c>
      <c r="F138" s="4" t="s">
        <v>19</v>
      </c>
      <c r="G138" s="4" t="s">
        <v>97</v>
      </c>
      <c r="H138" s="4" t="s">
        <v>49</v>
      </c>
      <c r="I138" s="5">
        <v>0.90277777777777779</v>
      </c>
      <c r="J138" s="4" t="s">
        <v>97</v>
      </c>
      <c r="K138" s="4" t="s">
        <v>61</v>
      </c>
      <c r="L138" s="5">
        <v>0.92361111111111116</v>
      </c>
      <c r="M138" s="4" t="s">
        <v>33</v>
      </c>
      <c r="N138" s="3">
        <v>189</v>
      </c>
      <c r="O138" s="4" t="s">
        <v>24</v>
      </c>
      <c r="P138" s="4" t="s">
        <v>79</v>
      </c>
      <c r="Q138" s="4"/>
      <c r="R138">
        <f>tblDailySchedule[[#This Row],[Capacity Approx]]*'[1]Load Factor Sheet June Acft  '!$B$5</f>
        <v>153.04704545454547</v>
      </c>
      <c r="S138">
        <f>tblDailySchedule[[#This Row],[Capacity Approx]]*'[1]Load Factor Sheet June Acft  '!$D$5</f>
        <v>165.71863636363636</v>
      </c>
      <c r="T138" s="22">
        <f>tblDailySchedule[[#This Row],[STD]]</f>
        <v>0.92361111111111116</v>
      </c>
    </row>
    <row r="139" spans="1:20" hidden="1" x14ac:dyDescent="0.35">
      <c r="A139" s="2">
        <v>46114</v>
      </c>
      <c r="B139" s="3">
        <v>4</v>
      </c>
      <c r="C139" s="4" t="s">
        <v>114</v>
      </c>
      <c r="D139" s="4" t="s">
        <v>18</v>
      </c>
      <c r="E139" s="3">
        <v>29</v>
      </c>
      <c r="F139" s="4" t="s">
        <v>19</v>
      </c>
      <c r="G139" s="4" t="s">
        <v>98</v>
      </c>
      <c r="H139" s="4" t="s">
        <v>21</v>
      </c>
      <c r="I139" s="5">
        <v>0.92013888888888884</v>
      </c>
      <c r="J139" s="4" t="s">
        <v>99</v>
      </c>
      <c r="K139" s="4" t="s">
        <v>21</v>
      </c>
      <c r="L139" s="5">
        <v>0.94791666666666663</v>
      </c>
      <c r="M139" s="4" t="s">
        <v>63</v>
      </c>
      <c r="N139" s="3">
        <v>232</v>
      </c>
      <c r="O139" s="4" t="s">
        <v>24</v>
      </c>
      <c r="P139" s="4" t="s">
        <v>79</v>
      </c>
      <c r="Q139" s="4"/>
      <c r="R139">
        <f>tblDailySchedule[[#This Row],[Capacity Approx]]*'[1]Load Factor Sheet June Acft  '!$B$5</f>
        <v>187.86727272727273</v>
      </c>
      <c r="S139">
        <f>tblDailySchedule[[#This Row],[Capacity Approx]]*'[1]Load Factor Sheet June Acft  '!$D$5</f>
        <v>203.4218181818182</v>
      </c>
      <c r="T139" s="22">
        <f>tblDailySchedule[[#This Row],[STD]]</f>
        <v>0.94791666666666663</v>
      </c>
    </row>
    <row r="140" spans="1:20" hidden="1" x14ac:dyDescent="0.35">
      <c r="A140" s="2">
        <v>46115</v>
      </c>
      <c r="B140" s="3">
        <v>5</v>
      </c>
      <c r="C140" s="4" t="s">
        <v>115</v>
      </c>
      <c r="D140" s="4" t="s">
        <v>18</v>
      </c>
      <c r="E140" s="3">
        <v>2</v>
      </c>
      <c r="F140" s="4" t="s">
        <v>19</v>
      </c>
      <c r="G140" s="4" t="s">
        <v>20</v>
      </c>
      <c r="H140" s="4" t="s">
        <v>21</v>
      </c>
      <c r="I140" s="5">
        <v>0.31944444444444442</v>
      </c>
      <c r="J140" s="4" t="s">
        <v>22</v>
      </c>
      <c r="K140" s="4" t="s">
        <v>21</v>
      </c>
      <c r="L140" s="5">
        <v>0.34722222222222221</v>
      </c>
      <c r="M140" s="4" t="s">
        <v>23</v>
      </c>
      <c r="N140" s="3">
        <v>186</v>
      </c>
      <c r="O140" s="4" t="s">
        <v>24</v>
      </c>
      <c r="P140" s="4" t="s">
        <v>25</v>
      </c>
      <c r="Q140" s="4"/>
      <c r="R140">
        <f>tblDailySchedule[[#This Row],[Capacity Approx]]*'[1]Load Factor Sheet June Acft  '!$B$5</f>
        <v>150.61772727272728</v>
      </c>
      <c r="S140">
        <f>tblDailySchedule[[#This Row],[Capacity Approx]]*'[1]Load Factor Sheet June Acft  '!$D$5</f>
        <v>163.08818181818182</v>
      </c>
      <c r="T140" s="22">
        <f>tblDailySchedule[[#This Row],[STD]]</f>
        <v>0.34722222222222221</v>
      </c>
    </row>
    <row r="141" spans="1:20" hidden="1" x14ac:dyDescent="0.35">
      <c r="A141" s="2">
        <v>46115</v>
      </c>
      <c r="B141" s="3">
        <v>5</v>
      </c>
      <c r="C141" s="4" t="s">
        <v>115</v>
      </c>
      <c r="D141" s="4" t="s">
        <v>18</v>
      </c>
      <c r="E141" s="3">
        <v>3</v>
      </c>
      <c r="F141" s="4" t="s">
        <v>19</v>
      </c>
      <c r="G141" s="4" t="s">
        <v>26</v>
      </c>
      <c r="H141" s="4" t="s">
        <v>27</v>
      </c>
      <c r="I141" s="5">
        <v>0.3263888888888889</v>
      </c>
      <c r="J141" s="4" t="s">
        <v>28</v>
      </c>
      <c r="K141" s="4" t="s">
        <v>27</v>
      </c>
      <c r="L141" s="5">
        <v>0.35416666666666669</v>
      </c>
      <c r="M141" s="4" t="s">
        <v>29</v>
      </c>
      <c r="N141" s="3">
        <v>186</v>
      </c>
      <c r="O141" s="4" t="s">
        <v>24</v>
      </c>
      <c r="P141" s="4" t="s">
        <v>25</v>
      </c>
      <c r="Q141" s="4"/>
      <c r="R141">
        <f>tblDailySchedule[[#This Row],[Capacity Approx]]*'[1]Load Factor Sheet June Acft  '!$B$5</f>
        <v>150.61772727272728</v>
      </c>
      <c r="S141">
        <f>tblDailySchedule[[#This Row],[Capacity Approx]]*'[1]Load Factor Sheet June Acft  '!$D$5</f>
        <v>163.08818181818182</v>
      </c>
      <c r="T141" s="22">
        <f>tblDailySchedule[[#This Row],[STD]]</f>
        <v>0.35416666666666669</v>
      </c>
    </row>
    <row r="142" spans="1:20" hidden="1" x14ac:dyDescent="0.35">
      <c r="A142" s="2">
        <v>46115</v>
      </c>
      <c r="B142" s="3">
        <v>5</v>
      </c>
      <c r="C142" s="4" t="s">
        <v>115</v>
      </c>
      <c r="D142" s="4" t="s">
        <v>18</v>
      </c>
      <c r="E142" s="3">
        <v>4</v>
      </c>
      <c r="F142" s="4" t="s">
        <v>19</v>
      </c>
      <c r="G142" s="4" t="s">
        <v>30</v>
      </c>
      <c r="H142" s="4" t="s">
        <v>31</v>
      </c>
      <c r="I142" s="5">
        <v>0.34722222222222221</v>
      </c>
      <c r="J142" s="4" t="s">
        <v>32</v>
      </c>
      <c r="K142" s="4" t="s">
        <v>31</v>
      </c>
      <c r="L142" s="5">
        <v>0.36805555555555558</v>
      </c>
      <c r="M142" s="4" t="s">
        <v>33</v>
      </c>
      <c r="N142" s="3">
        <v>189</v>
      </c>
      <c r="O142" s="4" t="s">
        <v>24</v>
      </c>
      <c r="P142" s="4" t="s">
        <v>25</v>
      </c>
      <c r="Q142" s="4"/>
      <c r="R142">
        <f>tblDailySchedule[[#This Row],[Capacity Approx]]*'[1]Load Factor Sheet June Acft  '!$B$5</f>
        <v>153.04704545454547</v>
      </c>
      <c r="S142">
        <f>tblDailySchedule[[#This Row],[Capacity Approx]]*'[1]Load Factor Sheet June Acft  '!$D$5</f>
        <v>165.71863636363636</v>
      </c>
      <c r="T142" s="22">
        <f>tblDailySchedule[[#This Row],[STD]]</f>
        <v>0.36805555555555558</v>
      </c>
    </row>
    <row r="143" spans="1:20" hidden="1" x14ac:dyDescent="0.35">
      <c r="A143" s="6">
        <v>46115</v>
      </c>
      <c r="B143" s="7">
        <v>5</v>
      </c>
      <c r="C143" s="8" t="s">
        <v>115</v>
      </c>
      <c r="D143" s="8" t="s">
        <v>18</v>
      </c>
      <c r="E143" s="7">
        <v>6</v>
      </c>
      <c r="F143" s="8" t="s">
        <v>34</v>
      </c>
      <c r="G143" s="8" t="s">
        <v>35</v>
      </c>
      <c r="H143" s="8" t="s">
        <v>36</v>
      </c>
      <c r="I143" s="9">
        <v>0.34722222222222221</v>
      </c>
      <c r="J143" s="8" t="s">
        <v>37</v>
      </c>
      <c r="K143" s="8" t="s">
        <v>36</v>
      </c>
      <c r="L143" s="9">
        <v>0.40972222222222221</v>
      </c>
      <c r="M143" s="8" t="s">
        <v>38</v>
      </c>
      <c r="N143" s="7">
        <v>186</v>
      </c>
      <c r="O143" s="8" t="s">
        <v>39</v>
      </c>
      <c r="P143" s="8" t="s">
        <v>25</v>
      </c>
      <c r="Q143" s="8" t="s">
        <v>39</v>
      </c>
      <c r="R143">
        <f>tblDailySchedule[[#This Row],[Capacity Approx]]*'[1]Load Factor Sheet June Acft  '!$B$5</f>
        <v>150.61772727272728</v>
      </c>
      <c r="S143">
        <f>tblDailySchedule[[#This Row],[Capacity Approx]]*'[1]Load Factor Sheet June Acft  '!$D$5</f>
        <v>163.08818181818182</v>
      </c>
      <c r="T143" s="22">
        <f>tblDailySchedule[[#This Row],[STD]]</f>
        <v>0.40972222222222221</v>
      </c>
    </row>
    <row r="144" spans="1:20" hidden="1" x14ac:dyDescent="0.35">
      <c r="A144" s="2">
        <v>46115</v>
      </c>
      <c r="B144" s="3">
        <v>5</v>
      </c>
      <c r="C144" s="4" t="s">
        <v>115</v>
      </c>
      <c r="D144" s="4" t="s">
        <v>18</v>
      </c>
      <c r="E144" s="3">
        <v>5</v>
      </c>
      <c r="F144" s="4" t="s">
        <v>19</v>
      </c>
      <c r="G144" s="4" t="s">
        <v>40</v>
      </c>
      <c r="H144" s="4" t="s">
        <v>31</v>
      </c>
      <c r="I144" s="5">
        <v>0.35069444444444442</v>
      </c>
      <c r="J144" s="4" t="s">
        <v>41</v>
      </c>
      <c r="K144" s="4" t="s">
        <v>31</v>
      </c>
      <c r="L144" s="5">
        <v>0.37152777777777779</v>
      </c>
      <c r="M144" s="4" t="s">
        <v>23</v>
      </c>
      <c r="N144" s="3">
        <v>186</v>
      </c>
      <c r="O144" s="4" t="s">
        <v>24</v>
      </c>
      <c r="P144" s="4" t="s">
        <v>25</v>
      </c>
      <c r="Q144" s="4"/>
      <c r="R144">
        <f>tblDailySchedule[[#This Row],[Capacity Approx]]*'[1]Load Factor Sheet June Acft  '!$B$5</f>
        <v>150.61772727272728</v>
      </c>
      <c r="S144">
        <f>tblDailySchedule[[#This Row],[Capacity Approx]]*'[1]Load Factor Sheet June Acft  '!$D$5</f>
        <v>163.08818181818182</v>
      </c>
      <c r="T144" s="22">
        <f>tblDailySchedule[[#This Row],[STD]]</f>
        <v>0.37152777777777779</v>
      </c>
    </row>
    <row r="145" spans="1:20" hidden="1" x14ac:dyDescent="0.35">
      <c r="A145" s="2">
        <v>46115</v>
      </c>
      <c r="B145" s="3">
        <v>5</v>
      </c>
      <c r="C145" s="4" t="s">
        <v>115</v>
      </c>
      <c r="D145" s="4" t="s">
        <v>18</v>
      </c>
      <c r="E145" s="3">
        <v>7</v>
      </c>
      <c r="F145" s="4" t="s">
        <v>19</v>
      </c>
      <c r="G145" s="4" t="s">
        <v>42</v>
      </c>
      <c r="H145" s="4" t="s">
        <v>43</v>
      </c>
      <c r="I145" s="5">
        <v>0.3923611111111111</v>
      </c>
      <c r="J145" s="4" t="s">
        <v>44</v>
      </c>
      <c r="K145" s="4" t="s">
        <v>43</v>
      </c>
      <c r="L145" s="5">
        <v>0.40277777777777779</v>
      </c>
      <c r="M145" s="4" t="s">
        <v>45</v>
      </c>
      <c r="N145" s="3">
        <v>9</v>
      </c>
      <c r="O145" s="4" t="s">
        <v>24</v>
      </c>
      <c r="P145" s="4" t="s">
        <v>25</v>
      </c>
      <c r="Q145" s="4"/>
      <c r="R145">
        <f>tblDailySchedule[[#This Row],[Capacity Approx]]*'[1]Load Factor Sheet June Acft  '!$B$5</f>
        <v>7.2879545454545456</v>
      </c>
      <c r="S145">
        <f>tblDailySchedule[[#This Row],[Capacity Approx]]*'[1]Load Factor Sheet June Acft  '!$D$5</f>
        <v>7.8913636363636366</v>
      </c>
      <c r="T145" s="22">
        <f>tblDailySchedule[[#This Row],[STD]]</f>
        <v>0.40277777777777779</v>
      </c>
    </row>
    <row r="146" spans="1:20" hidden="1" x14ac:dyDescent="0.35">
      <c r="A146" s="2">
        <v>46115</v>
      </c>
      <c r="B146" s="3">
        <v>5</v>
      </c>
      <c r="C146" s="4" t="s">
        <v>115</v>
      </c>
      <c r="D146" s="4" t="s">
        <v>18</v>
      </c>
      <c r="E146" s="3">
        <v>8</v>
      </c>
      <c r="F146" s="4" t="s">
        <v>19</v>
      </c>
      <c r="G146" s="4" t="s">
        <v>46</v>
      </c>
      <c r="H146" s="4" t="s">
        <v>31</v>
      </c>
      <c r="I146" s="5">
        <v>0.4201388888888889</v>
      </c>
      <c r="J146" s="4" t="s">
        <v>47</v>
      </c>
      <c r="K146" s="4" t="s">
        <v>31</v>
      </c>
      <c r="L146" s="5">
        <v>0.44444444444444442</v>
      </c>
      <c r="M146" s="4" t="s">
        <v>29</v>
      </c>
      <c r="N146" s="3">
        <v>186</v>
      </c>
      <c r="O146" s="4" t="s">
        <v>24</v>
      </c>
      <c r="P146" s="4" t="s">
        <v>25</v>
      </c>
      <c r="Q146" s="4"/>
      <c r="R146">
        <f>tblDailySchedule[[#This Row],[Capacity Approx]]*'[1]Load Factor Sheet June Acft  '!$B$5</f>
        <v>150.61772727272728</v>
      </c>
      <c r="S146">
        <f>tblDailySchedule[[#This Row],[Capacity Approx]]*'[1]Load Factor Sheet June Acft  '!$D$5</f>
        <v>163.08818181818182</v>
      </c>
      <c r="T146" s="22">
        <f>tblDailySchedule[[#This Row],[STD]]</f>
        <v>0.44444444444444442</v>
      </c>
    </row>
    <row r="147" spans="1:20" hidden="1" x14ac:dyDescent="0.35">
      <c r="A147" s="2">
        <v>46115</v>
      </c>
      <c r="B147" s="3">
        <v>5</v>
      </c>
      <c r="C147" s="4" t="s">
        <v>115</v>
      </c>
      <c r="D147" s="4" t="s">
        <v>18</v>
      </c>
      <c r="E147" s="3">
        <v>9</v>
      </c>
      <c r="F147" s="4" t="s">
        <v>19</v>
      </c>
      <c r="G147" s="4" t="s">
        <v>48</v>
      </c>
      <c r="H147" s="4" t="s">
        <v>49</v>
      </c>
      <c r="I147" s="5">
        <v>0.4375</v>
      </c>
      <c r="J147" s="4" t="s">
        <v>50</v>
      </c>
      <c r="K147" s="4" t="s">
        <v>49</v>
      </c>
      <c r="L147" s="5">
        <v>0.45833333333333331</v>
      </c>
      <c r="M147" s="4" t="s">
        <v>51</v>
      </c>
      <c r="N147" s="3">
        <v>78</v>
      </c>
      <c r="O147" s="4" t="s">
        <v>24</v>
      </c>
      <c r="P147" s="4" t="s">
        <v>25</v>
      </c>
      <c r="Q147" s="4"/>
      <c r="R147">
        <f>tblDailySchedule[[#This Row],[Capacity Approx]]*'[1]Load Factor Sheet June Acft  '!$B$5</f>
        <v>63.162272727272729</v>
      </c>
      <c r="S147">
        <f>tblDailySchedule[[#This Row],[Capacity Approx]]*'[1]Load Factor Sheet June Acft  '!$D$5</f>
        <v>68.391818181818181</v>
      </c>
      <c r="T147" s="22">
        <f>tblDailySchedule[[#This Row],[STD]]</f>
        <v>0.45833333333333331</v>
      </c>
    </row>
    <row r="148" spans="1:20" hidden="1" x14ac:dyDescent="0.35">
      <c r="A148" s="2">
        <v>46115</v>
      </c>
      <c r="B148" s="3">
        <v>5</v>
      </c>
      <c r="C148" s="4" t="s">
        <v>115</v>
      </c>
      <c r="D148" s="4" t="s">
        <v>18</v>
      </c>
      <c r="E148" s="3">
        <v>10</v>
      </c>
      <c r="F148" s="4" t="s">
        <v>19</v>
      </c>
      <c r="G148" s="4" t="s">
        <v>52</v>
      </c>
      <c r="H148" s="4" t="s">
        <v>27</v>
      </c>
      <c r="I148" s="5">
        <v>0.4826388888888889</v>
      </c>
      <c r="J148" s="4" t="s">
        <v>53</v>
      </c>
      <c r="K148" s="4" t="s">
        <v>27</v>
      </c>
      <c r="L148" s="5">
        <v>0.51041666666666663</v>
      </c>
      <c r="M148" s="4" t="s">
        <v>23</v>
      </c>
      <c r="N148" s="3">
        <v>186</v>
      </c>
      <c r="O148" s="4" t="s">
        <v>24</v>
      </c>
      <c r="P148" s="4" t="s">
        <v>25</v>
      </c>
      <c r="Q148" s="4"/>
      <c r="R148">
        <f>tblDailySchedule[[#This Row],[Capacity Approx]]*'[1]Load Factor Sheet June Acft  '!$B$5</f>
        <v>150.61772727272728</v>
      </c>
      <c r="S148">
        <f>tblDailySchedule[[#This Row],[Capacity Approx]]*'[1]Load Factor Sheet June Acft  '!$D$5</f>
        <v>163.08818181818182</v>
      </c>
      <c r="T148" s="22">
        <f>tblDailySchedule[[#This Row],[STD]]</f>
        <v>0.51041666666666663</v>
      </c>
    </row>
    <row r="149" spans="1:20" hidden="1" x14ac:dyDescent="0.35">
      <c r="A149" s="2">
        <v>46115</v>
      </c>
      <c r="B149" s="3">
        <v>5</v>
      </c>
      <c r="C149" s="4" t="s">
        <v>115</v>
      </c>
      <c r="D149" s="4" t="s">
        <v>18</v>
      </c>
      <c r="E149" s="3">
        <v>11</v>
      </c>
      <c r="F149" s="4" t="s">
        <v>19</v>
      </c>
      <c r="G149" s="4" t="s">
        <v>54</v>
      </c>
      <c r="H149" s="4" t="s">
        <v>31</v>
      </c>
      <c r="I149" s="5">
        <v>0.51388888888888884</v>
      </c>
      <c r="J149" s="4" t="s">
        <v>55</v>
      </c>
      <c r="K149" s="4" t="s">
        <v>31</v>
      </c>
      <c r="L149" s="5">
        <v>0.54166666666666663</v>
      </c>
      <c r="M149" s="4" t="s">
        <v>23</v>
      </c>
      <c r="N149" s="3">
        <v>186</v>
      </c>
      <c r="O149" s="4" t="s">
        <v>24</v>
      </c>
      <c r="P149" s="4" t="s">
        <v>56</v>
      </c>
      <c r="Q149" s="4"/>
      <c r="R149">
        <f>tblDailySchedule[[#This Row],[Capacity Approx]]*'[1]Load Factor Sheet June Acft  '!$B$5</f>
        <v>150.61772727272728</v>
      </c>
      <c r="S149">
        <f>tblDailySchedule[[#This Row],[Capacity Approx]]*'[1]Load Factor Sheet June Acft  '!$D$5</f>
        <v>163.08818181818182</v>
      </c>
      <c r="T149" s="22">
        <f>tblDailySchedule[[#This Row],[STD]]</f>
        <v>0.54166666666666663</v>
      </c>
    </row>
    <row r="150" spans="1:20" hidden="1" x14ac:dyDescent="0.35">
      <c r="A150" s="2">
        <v>46115</v>
      </c>
      <c r="B150" s="3">
        <v>5</v>
      </c>
      <c r="C150" s="4" t="s">
        <v>115</v>
      </c>
      <c r="D150" s="4" t="s">
        <v>18</v>
      </c>
      <c r="E150" s="3">
        <v>13</v>
      </c>
      <c r="F150" s="4" t="s">
        <v>19</v>
      </c>
      <c r="G150" s="4" t="s">
        <v>57</v>
      </c>
      <c r="H150" s="4" t="s">
        <v>58</v>
      </c>
      <c r="I150" s="5">
        <v>0.55902777777777779</v>
      </c>
      <c r="J150" s="4" t="s">
        <v>59</v>
      </c>
      <c r="K150" s="4" t="s">
        <v>58</v>
      </c>
      <c r="L150" s="5">
        <v>0.57638888888888884</v>
      </c>
      <c r="M150" s="4" t="s">
        <v>51</v>
      </c>
      <c r="N150" s="3">
        <v>78</v>
      </c>
      <c r="O150" s="4" t="s">
        <v>24</v>
      </c>
      <c r="P150" s="4" t="s">
        <v>56</v>
      </c>
      <c r="Q150" s="4"/>
      <c r="R150">
        <f>tblDailySchedule[[#This Row],[Capacity Approx]]*'[1]Load Factor Sheet June Acft  '!$B$5</f>
        <v>63.162272727272729</v>
      </c>
      <c r="S150">
        <f>tblDailySchedule[[#This Row],[Capacity Approx]]*'[1]Load Factor Sheet June Acft  '!$D$5</f>
        <v>68.391818181818181</v>
      </c>
      <c r="T150" s="22">
        <f>tblDailySchedule[[#This Row],[STD]]</f>
        <v>0.57638888888888884</v>
      </c>
    </row>
    <row r="151" spans="1:20" hidden="1" x14ac:dyDescent="0.35">
      <c r="A151" s="2">
        <v>46115</v>
      </c>
      <c r="B151" s="3">
        <v>5</v>
      </c>
      <c r="C151" s="4" t="s">
        <v>115</v>
      </c>
      <c r="D151" s="4" t="s">
        <v>18</v>
      </c>
      <c r="E151" s="3">
        <v>14</v>
      </c>
      <c r="F151" s="4" t="s">
        <v>19</v>
      </c>
      <c r="G151" s="4" t="s">
        <v>60</v>
      </c>
      <c r="H151" s="4" t="s">
        <v>61</v>
      </c>
      <c r="I151" s="5">
        <v>0.59027777777777779</v>
      </c>
      <c r="J151" s="4" t="s">
        <v>62</v>
      </c>
      <c r="K151" s="4" t="s">
        <v>61</v>
      </c>
      <c r="L151" s="5">
        <v>0.62152777777777779</v>
      </c>
      <c r="M151" s="4" t="s">
        <v>63</v>
      </c>
      <c r="N151" s="3">
        <v>232</v>
      </c>
      <c r="O151" s="4" t="s">
        <v>24</v>
      </c>
      <c r="P151" s="4" t="s">
        <v>56</v>
      </c>
      <c r="Q151" s="4"/>
      <c r="R151">
        <f>tblDailySchedule[[#This Row],[Capacity Approx]]*'[1]Load Factor Sheet June Acft  '!$B$5</f>
        <v>187.86727272727273</v>
      </c>
      <c r="S151">
        <f>tblDailySchedule[[#This Row],[Capacity Approx]]*'[1]Load Factor Sheet June Acft  '!$D$5</f>
        <v>203.4218181818182</v>
      </c>
      <c r="T151" s="22">
        <f>tblDailySchedule[[#This Row],[STD]]</f>
        <v>0.62152777777777779</v>
      </c>
    </row>
    <row r="152" spans="1:20" hidden="1" x14ac:dyDescent="0.35">
      <c r="A152" s="2">
        <v>46115</v>
      </c>
      <c r="B152" s="3">
        <v>5</v>
      </c>
      <c r="C152" s="4" t="s">
        <v>115</v>
      </c>
      <c r="D152" s="4" t="s">
        <v>18</v>
      </c>
      <c r="E152" s="3">
        <v>15</v>
      </c>
      <c r="F152" s="4" t="s">
        <v>19</v>
      </c>
      <c r="G152" s="4" t="s">
        <v>64</v>
      </c>
      <c r="H152" s="4" t="s">
        <v>31</v>
      </c>
      <c r="I152" s="5">
        <v>0.60069444444444442</v>
      </c>
      <c r="J152" s="4" t="s">
        <v>65</v>
      </c>
      <c r="K152" s="4" t="s">
        <v>66</v>
      </c>
      <c r="L152" s="5">
        <v>0.62847222222222221</v>
      </c>
      <c r="M152" s="4" t="s">
        <v>63</v>
      </c>
      <c r="N152" s="3">
        <v>232</v>
      </c>
      <c r="O152" s="4" t="s">
        <v>24</v>
      </c>
      <c r="P152" s="4" t="s">
        <v>56</v>
      </c>
      <c r="Q152" s="4"/>
      <c r="R152">
        <f>tblDailySchedule[[#This Row],[Capacity Approx]]*'[1]Load Factor Sheet June Acft  '!$B$5</f>
        <v>187.86727272727273</v>
      </c>
      <c r="S152">
        <f>tblDailySchedule[[#This Row],[Capacity Approx]]*'[1]Load Factor Sheet June Acft  '!$D$5</f>
        <v>203.4218181818182</v>
      </c>
      <c r="T152" s="22">
        <f>tblDailySchedule[[#This Row],[STD]]</f>
        <v>0.62847222222222221</v>
      </c>
    </row>
    <row r="153" spans="1:20" hidden="1" x14ac:dyDescent="0.35">
      <c r="A153" s="2">
        <v>46115</v>
      </c>
      <c r="B153" s="3">
        <v>5</v>
      </c>
      <c r="C153" s="4" t="s">
        <v>115</v>
      </c>
      <c r="D153" s="4" t="s">
        <v>18</v>
      </c>
      <c r="E153" s="3">
        <v>16</v>
      </c>
      <c r="F153" s="4" t="s">
        <v>19</v>
      </c>
      <c r="G153" s="4" t="s">
        <v>67</v>
      </c>
      <c r="H153" s="4" t="s">
        <v>31</v>
      </c>
      <c r="I153" s="5">
        <v>0.65625</v>
      </c>
      <c r="J153" s="4" t="s">
        <v>68</v>
      </c>
      <c r="K153" s="4" t="s">
        <v>31</v>
      </c>
      <c r="L153" s="5">
        <v>0.68402777777777779</v>
      </c>
      <c r="M153" s="4" t="s">
        <v>63</v>
      </c>
      <c r="N153" s="3">
        <v>232</v>
      </c>
      <c r="O153" s="4" t="s">
        <v>24</v>
      </c>
      <c r="P153" s="4" t="s">
        <v>56</v>
      </c>
      <c r="Q153" s="4"/>
      <c r="R153">
        <f>tblDailySchedule[[#This Row],[Capacity Approx]]*'[1]Load Factor Sheet June Acft  '!$B$5</f>
        <v>187.86727272727273</v>
      </c>
      <c r="S153">
        <f>tblDailySchedule[[#This Row],[Capacity Approx]]*'[1]Load Factor Sheet June Acft  '!$D$5</f>
        <v>203.4218181818182</v>
      </c>
      <c r="T153" s="22">
        <f>tblDailySchedule[[#This Row],[STD]]</f>
        <v>0.68402777777777779</v>
      </c>
    </row>
    <row r="154" spans="1:20" hidden="1" x14ac:dyDescent="0.35">
      <c r="A154" s="2">
        <v>46115</v>
      </c>
      <c r="B154" s="3">
        <v>5</v>
      </c>
      <c r="C154" s="4" t="s">
        <v>115</v>
      </c>
      <c r="D154" s="4" t="s">
        <v>18</v>
      </c>
      <c r="E154" s="3">
        <v>17</v>
      </c>
      <c r="F154" s="4" t="s">
        <v>19</v>
      </c>
      <c r="G154" s="4" t="s">
        <v>69</v>
      </c>
      <c r="H154" s="4" t="s">
        <v>31</v>
      </c>
      <c r="I154" s="5">
        <v>0.66319444444444442</v>
      </c>
      <c r="J154" s="4" t="s">
        <v>70</v>
      </c>
      <c r="K154" s="4" t="s">
        <v>31</v>
      </c>
      <c r="L154" s="5">
        <v>0.69097222222222221</v>
      </c>
      <c r="M154" s="4" t="s">
        <v>33</v>
      </c>
      <c r="N154" s="3">
        <v>189</v>
      </c>
      <c r="O154" s="4" t="s">
        <v>24</v>
      </c>
      <c r="P154" s="4" t="s">
        <v>56</v>
      </c>
      <c r="Q154" s="4"/>
      <c r="R154">
        <f>tblDailySchedule[[#This Row],[Capacity Approx]]*'[1]Load Factor Sheet June Acft  '!$B$5</f>
        <v>153.04704545454547</v>
      </c>
      <c r="S154">
        <f>tblDailySchedule[[#This Row],[Capacity Approx]]*'[1]Load Factor Sheet June Acft  '!$D$5</f>
        <v>165.71863636363636</v>
      </c>
      <c r="T154" s="22">
        <f>tblDailySchedule[[#This Row],[STD]]</f>
        <v>0.69097222222222221</v>
      </c>
    </row>
    <row r="155" spans="1:20" hidden="1" x14ac:dyDescent="0.35">
      <c r="A155" s="2">
        <v>46115</v>
      </c>
      <c r="B155" s="3">
        <v>5</v>
      </c>
      <c r="C155" s="4" t="s">
        <v>115</v>
      </c>
      <c r="D155" s="4" t="s">
        <v>18</v>
      </c>
      <c r="E155" s="3">
        <v>18</v>
      </c>
      <c r="F155" s="4" t="s">
        <v>19</v>
      </c>
      <c r="G155" s="4" t="s">
        <v>71</v>
      </c>
      <c r="H155" s="4" t="s">
        <v>21</v>
      </c>
      <c r="I155" s="5">
        <v>0.67013888888888884</v>
      </c>
      <c r="J155" s="4" t="s">
        <v>72</v>
      </c>
      <c r="K155" s="4" t="s">
        <v>21</v>
      </c>
      <c r="L155" s="5">
        <v>0.69791666666666663</v>
      </c>
      <c r="M155" s="4" t="s">
        <v>63</v>
      </c>
      <c r="N155" s="3">
        <v>232</v>
      </c>
      <c r="O155" s="4" t="s">
        <v>24</v>
      </c>
      <c r="P155" s="4" t="s">
        <v>56</v>
      </c>
      <c r="Q155" s="4"/>
      <c r="R155">
        <f>tblDailySchedule[[#This Row],[Capacity Approx]]*'[1]Load Factor Sheet June Acft  '!$B$5</f>
        <v>187.86727272727273</v>
      </c>
      <c r="S155">
        <f>tblDailySchedule[[#This Row],[Capacity Approx]]*'[1]Load Factor Sheet June Acft  '!$D$5</f>
        <v>203.4218181818182</v>
      </c>
      <c r="T155" s="22">
        <f>tblDailySchedule[[#This Row],[STD]]</f>
        <v>0.69791666666666663</v>
      </c>
    </row>
    <row r="156" spans="1:20" hidden="1" x14ac:dyDescent="0.35">
      <c r="A156" s="2">
        <v>46115</v>
      </c>
      <c r="B156" s="3">
        <v>5</v>
      </c>
      <c r="C156" s="4" t="s">
        <v>115</v>
      </c>
      <c r="D156" s="4" t="s">
        <v>18</v>
      </c>
      <c r="E156" s="3">
        <v>19</v>
      </c>
      <c r="F156" s="4" t="s">
        <v>19</v>
      </c>
      <c r="G156" s="4" t="s">
        <v>73</v>
      </c>
      <c r="H156" s="4" t="s">
        <v>27</v>
      </c>
      <c r="I156" s="5">
        <v>0.74652777777777779</v>
      </c>
      <c r="J156" s="4" t="s">
        <v>74</v>
      </c>
      <c r="K156" s="4" t="s">
        <v>27</v>
      </c>
      <c r="L156" s="5">
        <v>0.77430555555555558</v>
      </c>
      <c r="M156" s="4" t="s">
        <v>63</v>
      </c>
      <c r="N156" s="3">
        <v>232</v>
      </c>
      <c r="O156" s="4" t="s">
        <v>24</v>
      </c>
      <c r="P156" s="4" t="s">
        <v>56</v>
      </c>
      <c r="Q156" s="4"/>
      <c r="R156">
        <f>tblDailySchedule[[#This Row],[Capacity Approx]]*'[1]Load Factor Sheet June Acft  '!$B$5</f>
        <v>187.86727272727273</v>
      </c>
      <c r="S156">
        <f>tblDailySchedule[[#This Row],[Capacity Approx]]*'[1]Load Factor Sheet June Acft  '!$D$5</f>
        <v>203.4218181818182</v>
      </c>
      <c r="T156" s="22">
        <f>tblDailySchedule[[#This Row],[STD]]</f>
        <v>0.77430555555555558</v>
      </c>
    </row>
    <row r="157" spans="1:20" hidden="1" x14ac:dyDescent="0.35">
      <c r="A157" s="2">
        <v>46115</v>
      </c>
      <c r="B157" s="3">
        <v>5</v>
      </c>
      <c r="C157" s="4" t="s">
        <v>115</v>
      </c>
      <c r="D157" s="4" t="s">
        <v>18</v>
      </c>
      <c r="E157" s="3">
        <v>20</v>
      </c>
      <c r="F157" s="4" t="s">
        <v>34</v>
      </c>
      <c r="G157" s="4" t="s">
        <v>75</v>
      </c>
      <c r="H157" s="4" t="s">
        <v>76</v>
      </c>
      <c r="I157" s="5">
        <v>0.76388888888888884</v>
      </c>
      <c r="J157" s="4" t="s">
        <v>77</v>
      </c>
      <c r="K157" s="4" t="s">
        <v>78</v>
      </c>
      <c r="L157" s="5">
        <v>0.78472222222222221</v>
      </c>
      <c r="M157" s="4" t="s">
        <v>51</v>
      </c>
      <c r="N157" s="3">
        <v>78</v>
      </c>
      <c r="O157" s="4" t="s">
        <v>24</v>
      </c>
      <c r="P157" s="4" t="s">
        <v>79</v>
      </c>
      <c r="Q157" s="10" t="s">
        <v>80</v>
      </c>
      <c r="R157">
        <f>tblDailySchedule[[#This Row],[Capacity Approx]]*'[1]Load Factor Sheet June Acft  '!$B$5</f>
        <v>63.162272727272729</v>
      </c>
      <c r="S157">
        <f>tblDailySchedule[[#This Row],[Capacity Approx]]*'[1]Load Factor Sheet June Acft  '!$D$5</f>
        <v>68.391818181818181</v>
      </c>
      <c r="T157" s="22">
        <f>tblDailySchedule[[#This Row],[STD]]</f>
        <v>0.78472222222222221</v>
      </c>
    </row>
    <row r="158" spans="1:20" hidden="1" x14ac:dyDescent="0.35">
      <c r="A158" s="2">
        <v>46115</v>
      </c>
      <c r="B158" s="3">
        <v>5</v>
      </c>
      <c r="C158" s="4" t="s">
        <v>115</v>
      </c>
      <c r="D158" s="4" t="s">
        <v>18</v>
      </c>
      <c r="E158" s="3">
        <v>21</v>
      </c>
      <c r="F158" s="4" t="s">
        <v>19</v>
      </c>
      <c r="G158" s="4" t="s">
        <v>81</v>
      </c>
      <c r="H158" s="4" t="s">
        <v>61</v>
      </c>
      <c r="I158" s="5">
        <v>0.77083333333333337</v>
      </c>
      <c r="J158" s="4" t="s">
        <v>82</v>
      </c>
      <c r="K158" s="4" t="s">
        <v>49</v>
      </c>
      <c r="L158" s="5">
        <v>0.79166666666666663</v>
      </c>
      <c r="M158" s="4" t="s">
        <v>33</v>
      </c>
      <c r="N158" s="3">
        <v>189</v>
      </c>
      <c r="O158" s="4" t="s">
        <v>24</v>
      </c>
      <c r="P158" s="4" t="s">
        <v>79</v>
      </c>
      <c r="Q158" s="4"/>
      <c r="R158">
        <f>tblDailySchedule[[#This Row],[Capacity Approx]]*'[1]Load Factor Sheet June Acft  '!$B$5</f>
        <v>153.04704545454547</v>
      </c>
      <c r="S158">
        <f>tblDailySchedule[[#This Row],[Capacity Approx]]*'[1]Load Factor Sheet June Acft  '!$D$5</f>
        <v>165.71863636363636</v>
      </c>
      <c r="T158" s="22">
        <f>tblDailySchedule[[#This Row],[STD]]</f>
        <v>0.79166666666666663</v>
      </c>
    </row>
    <row r="159" spans="1:20" hidden="1" x14ac:dyDescent="0.35">
      <c r="A159" s="2">
        <v>46115</v>
      </c>
      <c r="B159" s="3">
        <v>5</v>
      </c>
      <c r="C159" s="4" t="s">
        <v>115</v>
      </c>
      <c r="D159" s="4" t="s">
        <v>18</v>
      </c>
      <c r="E159" s="3">
        <v>22</v>
      </c>
      <c r="F159" s="4" t="s">
        <v>19</v>
      </c>
      <c r="G159" s="4" t="s">
        <v>83</v>
      </c>
      <c r="H159" s="4" t="s">
        <v>31</v>
      </c>
      <c r="I159" s="5">
        <v>0.77777777777777779</v>
      </c>
      <c r="J159" s="4" t="s">
        <v>84</v>
      </c>
      <c r="K159" s="4" t="s">
        <v>31</v>
      </c>
      <c r="L159" s="5">
        <v>0.80555555555555558</v>
      </c>
      <c r="M159" s="4" t="s">
        <v>63</v>
      </c>
      <c r="N159" s="3">
        <v>232</v>
      </c>
      <c r="O159" s="4" t="s">
        <v>24</v>
      </c>
      <c r="P159" s="4" t="s">
        <v>79</v>
      </c>
      <c r="Q159" s="4"/>
      <c r="R159">
        <f>tblDailySchedule[[#This Row],[Capacity Approx]]*'[1]Load Factor Sheet June Acft  '!$B$5</f>
        <v>187.86727272727273</v>
      </c>
      <c r="S159">
        <f>tblDailySchedule[[#This Row],[Capacity Approx]]*'[1]Load Factor Sheet June Acft  '!$D$5</f>
        <v>203.4218181818182</v>
      </c>
      <c r="T159" s="22">
        <f>tblDailySchedule[[#This Row],[STD]]</f>
        <v>0.80555555555555558</v>
      </c>
    </row>
    <row r="160" spans="1:20" hidden="1" x14ac:dyDescent="0.35">
      <c r="A160" s="2">
        <v>46115</v>
      </c>
      <c r="B160" s="3">
        <v>5</v>
      </c>
      <c r="C160" s="4" t="s">
        <v>115</v>
      </c>
      <c r="D160" s="4" t="s">
        <v>18</v>
      </c>
      <c r="E160" s="3">
        <v>23</v>
      </c>
      <c r="F160" s="4" t="s">
        <v>19</v>
      </c>
      <c r="G160" s="4" t="s">
        <v>85</v>
      </c>
      <c r="H160" s="4" t="s">
        <v>86</v>
      </c>
      <c r="I160" s="5">
        <v>0.79861111111111116</v>
      </c>
      <c r="J160" s="4" t="s">
        <v>87</v>
      </c>
      <c r="K160" s="4" t="s">
        <v>86</v>
      </c>
      <c r="L160" s="5">
        <v>0.82638888888888884</v>
      </c>
      <c r="M160" s="4" t="s">
        <v>63</v>
      </c>
      <c r="N160" s="3">
        <v>232</v>
      </c>
      <c r="O160" s="4" t="s">
        <v>24</v>
      </c>
      <c r="P160" s="4" t="s">
        <v>79</v>
      </c>
      <c r="Q160" s="4"/>
      <c r="R160">
        <f>tblDailySchedule[[#This Row],[Capacity Approx]]*'[1]Load Factor Sheet June Acft  '!$B$5</f>
        <v>187.86727272727273</v>
      </c>
      <c r="S160">
        <f>tblDailySchedule[[#This Row],[Capacity Approx]]*'[1]Load Factor Sheet June Acft  '!$D$5</f>
        <v>203.4218181818182</v>
      </c>
      <c r="T160" s="22">
        <f>tblDailySchedule[[#This Row],[STD]]</f>
        <v>0.82638888888888884</v>
      </c>
    </row>
    <row r="161" spans="1:20" hidden="1" x14ac:dyDescent="0.35">
      <c r="A161" s="2">
        <v>46115</v>
      </c>
      <c r="B161" s="3">
        <v>5</v>
      </c>
      <c r="C161" s="4" t="s">
        <v>115</v>
      </c>
      <c r="D161" s="4" t="s">
        <v>18</v>
      </c>
      <c r="E161" s="3">
        <v>24</v>
      </c>
      <c r="F161" s="4" t="s">
        <v>19</v>
      </c>
      <c r="G161" s="4" t="s">
        <v>88</v>
      </c>
      <c r="H161" s="4" t="s">
        <v>89</v>
      </c>
      <c r="I161" s="5">
        <v>0.83333333333333337</v>
      </c>
      <c r="J161" s="4" t="s">
        <v>90</v>
      </c>
      <c r="K161" s="4" t="s">
        <v>31</v>
      </c>
      <c r="L161" s="5">
        <v>0.86111111111111116</v>
      </c>
      <c r="M161" s="4" t="s">
        <v>63</v>
      </c>
      <c r="N161" s="3">
        <v>232</v>
      </c>
      <c r="O161" s="4" t="s">
        <v>24</v>
      </c>
      <c r="P161" s="4" t="s">
        <v>79</v>
      </c>
      <c r="Q161" s="4"/>
      <c r="R161">
        <f>tblDailySchedule[[#This Row],[Capacity Approx]]*'[1]Load Factor Sheet June Acft  '!$B$5</f>
        <v>187.86727272727273</v>
      </c>
      <c r="S161">
        <f>tblDailySchedule[[#This Row],[Capacity Approx]]*'[1]Load Factor Sheet June Acft  '!$D$5</f>
        <v>203.4218181818182</v>
      </c>
      <c r="T161" s="22">
        <f>tblDailySchedule[[#This Row],[STD]]</f>
        <v>0.86111111111111116</v>
      </c>
    </row>
    <row r="162" spans="1:20" hidden="1" x14ac:dyDescent="0.35">
      <c r="A162" s="2">
        <v>46115</v>
      </c>
      <c r="B162" s="3">
        <v>5</v>
      </c>
      <c r="C162" s="4" t="s">
        <v>115</v>
      </c>
      <c r="D162" s="4" t="s">
        <v>18</v>
      </c>
      <c r="E162" s="3">
        <v>25</v>
      </c>
      <c r="F162" s="4" t="s">
        <v>19</v>
      </c>
      <c r="G162" s="4" t="s">
        <v>91</v>
      </c>
      <c r="H162" s="4" t="s">
        <v>61</v>
      </c>
      <c r="I162" s="5">
        <v>0.85416666666666663</v>
      </c>
      <c r="J162" s="4" t="s">
        <v>92</v>
      </c>
      <c r="K162" s="4" t="s">
        <v>61</v>
      </c>
      <c r="L162" s="5">
        <v>0.88194444444444442</v>
      </c>
      <c r="M162" s="4" t="s">
        <v>63</v>
      </c>
      <c r="N162" s="3">
        <v>232</v>
      </c>
      <c r="O162" s="4" t="s">
        <v>24</v>
      </c>
      <c r="P162" s="4" t="s">
        <v>79</v>
      </c>
      <c r="Q162" s="4"/>
      <c r="R162">
        <f>tblDailySchedule[[#This Row],[Capacity Approx]]*'[1]Load Factor Sheet June Acft  '!$B$5</f>
        <v>187.86727272727273</v>
      </c>
      <c r="S162">
        <f>tblDailySchedule[[#This Row],[Capacity Approx]]*'[1]Load Factor Sheet June Acft  '!$D$5</f>
        <v>203.4218181818182</v>
      </c>
      <c r="T162" s="22">
        <f>tblDailySchedule[[#This Row],[STD]]</f>
        <v>0.88194444444444442</v>
      </c>
    </row>
    <row r="163" spans="1:20" hidden="1" x14ac:dyDescent="0.35">
      <c r="A163" s="2">
        <v>46115</v>
      </c>
      <c r="B163" s="3">
        <v>5</v>
      </c>
      <c r="C163" s="4" t="s">
        <v>115</v>
      </c>
      <c r="D163" s="4" t="s">
        <v>18</v>
      </c>
      <c r="E163" s="3">
        <v>26</v>
      </c>
      <c r="F163" s="4" t="s">
        <v>19</v>
      </c>
      <c r="G163" s="4" t="s">
        <v>93</v>
      </c>
      <c r="H163" s="4" t="s">
        <v>31</v>
      </c>
      <c r="I163" s="5">
        <v>0.86111111111111116</v>
      </c>
      <c r="J163" s="4" t="s">
        <v>94</v>
      </c>
      <c r="K163" s="4" t="s">
        <v>31</v>
      </c>
      <c r="L163" s="5">
        <v>0.88888888888888884</v>
      </c>
      <c r="M163" s="4" t="s">
        <v>23</v>
      </c>
      <c r="N163" s="3">
        <v>186</v>
      </c>
      <c r="O163" s="4" t="s">
        <v>24</v>
      </c>
      <c r="P163" s="4" t="s">
        <v>79</v>
      </c>
      <c r="Q163" s="4"/>
      <c r="R163">
        <f>tblDailySchedule[[#This Row],[Capacity Approx]]*'[1]Load Factor Sheet June Acft  '!$B$5</f>
        <v>150.61772727272728</v>
      </c>
      <c r="S163">
        <f>tblDailySchedule[[#This Row],[Capacity Approx]]*'[1]Load Factor Sheet June Acft  '!$D$5</f>
        <v>163.08818181818182</v>
      </c>
      <c r="T163" s="22">
        <f>tblDailySchedule[[#This Row],[STD]]</f>
        <v>0.88888888888888884</v>
      </c>
    </row>
    <row r="164" spans="1:20" hidden="1" x14ac:dyDescent="0.35">
      <c r="A164" s="2">
        <v>46115</v>
      </c>
      <c r="B164" s="3">
        <v>5</v>
      </c>
      <c r="C164" s="4" t="s">
        <v>115</v>
      </c>
      <c r="D164" s="4" t="s">
        <v>18</v>
      </c>
      <c r="E164" s="3">
        <v>27</v>
      </c>
      <c r="F164" s="4" t="s">
        <v>19</v>
      </c>
      <c r="G164" s="4" t="s">
        <v>95</v>
      </c>
      <c r="H164" s="4" t="s">
        <v>21</v>
      </c>
      <c r="I164" s="5">
        <v>0.86805555555555558</v>
      </c>
      <c r="J164" s="4" t="s">
        <v>96</v>
      </c>
      <c r="K164" s="4" t="s">
        <v>21</v>
      </c>
      <c r="L164" s="5">
        <v>0.89583333333333337</v>
      </c>
      <c r="M164" s="4" t="s">
        <v>29</v>
      </c>
      <c r="N164" s="3">
        <v>186</v>
      </c>
      <c r="O164" s="4" t="s">
        <v>24</v>
      </c>
      <c r="P164" s="4" t="s">
        <v>79</v>
      </c>
      <c r="Q164" s="4"/>
      <c r="R164">
        <f>tblDailySchedule[[#This Row],[Capacity Approx]]*'[1]Load Factor Sheet June Acft  '!$B$5</f>
        <v>150.61772727272728</v>
      </c>
      <c r="S164">
        <f>tblDailySchedule[[#This Row],[Capacity Approx]]*'[1]Load Factor Sheet June Acft  '!$D$5</f>
        <v>163.08818181818182</v>
      </c>
      <c r="T164" s="22">
        <f>tblDailySchedule[[#This Row],[STD]]</f>
        <v>0.89583333333333337</v>
      </c>
    </row>
    <row r="165" spans="1:20" hidden="1" x14ac:dyDescent="0.35">
      <c r="A165" s="2">
        <v>46115</v>
      </c>
      <c r="B165" s="3">
        <v>5</v>
      </c>
      <c r="C165" s="4" t="s">
        <v>115</v>
      </c>
      <c r="D165" s="4" t="s">
        <v>18</v>
      </c>
      <c r="E165" s="3">
        <v>28</v>
      </c>
      <c r="F165" s="4" t="s">
        <v>19</v>
      </c>
      <c r="G165" s="4" t="s">
        <v>97</v>
      </c>
      <c r="H165" s="4" t="s">
        <v>49</v>
      </c>
      <c r="I165" s="5">
        <v>0.90277777777777779</v>
      </c>
      <c r="J165" s="4" t="s">
        <v>97</v>
      </c>
      <c r="K165" s="4" t="s">
        <v>61</v>
      </c>
      <c r="L165" s="5">
        <v>0.92361111111111116</v>
      </c>
      <c r="M165" s="4" t="s">
        <v>33</v>
      </c>
      <c r="N165" s="3">
        <v>189</v>
      </c>
      <c r="O165" s="4" t="s">
        <v>24</v>
      </c>
      <c r="P165" s="4" t="s">
        <v>79</v>
      </c>
      <c r="Q165" s="4"/>
      <c r="R165">
        <f>tblDailySchedule[[#This Row],[Capacity Approx]]*'[1]Load Factor Sheet June Acft  '!$B$5</f>
        <v>153.04704545454547</v>
      </c>
      <c r="S165">
        <f>tblDailySchedule[[#This Row],[Capacity Approx]]*'[1]Load Factor Sheet June Acft  '!$D$5</f>
        <v>165.71863636363636</v>
      </c>
      <c r="T165" s="22">
        <f>tblDailySchedule[[#This Row],[STD]]</f>
        <v>0.92361111111111116</v>
      </c>
    </row>
    <row r="166" spans="1:20" hidden="1" x14ac:dyDescent="0.35">
      <c r="A166" s="2">
        <v>46115</v>
      </c>
      <c r="B166" s="3">
        <v>5</v>
      </c>
      <c r="C166" s="4" t="s">
        <v>115</v>
      </c>
      <c r="D166" s="4" t="s">
        <v>18</v>
      </c>
      <c r="E166" s="3">
        <v>29</v>
      </c>
      <c r="F166" s="4" t="s">
        <v>19</v>
      </c>
      <c r="G166" s="4" t="s">
        <v>98</v>
      </c>
      <c r="H166" s="4" t="s">
        <v>21</v>
      </c>
      <c r="I166" s="5">
        <v>0.92013888888888884</v>
      </c>
      <c r="J166" s="4" t="s">
        <v>99</v>
      </c>
      <c r="K166" s="4" t="s">
        <v>21</v>
      </c>
      <c r="L166" s="5">
        <v>0.94791666666666663</v>
      </c>
      <c r="M166" s="4" t="s">
        <v>63</v>
      </c>
      <c r="N166" s="3">
        <v>232</v>
      </c>
      <c r="O166" s="4" t="s">
        <v>24</v>
      </c>
      <c r="P166" s="4" t="s">
        <v>79</v>
      </c>
      <c r="Q166" s="4"/>
      <c r="R166">
        <f>tblDailySchedule[[#This Row],[Capacity Approx]]*'[1]Load Factor Sheet June Acft  '!$B$5</f>
        <v>187.86727272727273</v>
      </c>
      <c r="S166">
        <f>tblDailySchedule[[#This Row],[Capacity Approx]]*'[1]Load Factor Sheet June Acft  '!$D$5</f>
        <v>203.4218181818182</v>
      </c>
      <c r="T166" s="22">
        <f>tblDailySchedule[[#This Row],[STD]]</f>
        <v>0.94791666666666663</v>
      </c>
    </row>
    <row r="167" spans="1:20" hidden="1" x14ac:dyDescent="0.35">
      <c r="A167" s="6">
        <v>46115</v>
      </c>
      <c r="B167" s="7">
        <v>5</v>
      </c>
      <c r="C167" s="8" t="s">
        <v>115</v>
      </c>
      <c r="D167" s="8" t="s">
        <v>18</v>
      </c>
      <c r="E167" s="7">
        <v>30</v>
      </c>
      <c r="F167" s="8" t="s">
        <v>104</v>
      </c>
      <c r="G167" s="8" t="s">
        <v>105</v>
      </c>
      <c r="H167" s="8" t="s">
        <v>106</v>
      </c>
      <c r="I167" s="9">
        <v>0.92708333333333337</v>
      </c>
      <c r="J167" s="8" t="s">
        <v>107</v>
      </c>
      <c r="K167" s="8" t="s">
        <v>106</v>
      </c>
      <c r="L167" s="9">
        <v>0.95833333333333337</v>
      </c>
      <c r="M167" s="8" t="s">
        <v>38</v>
      </c>
      <c r="N167" s="7">
        <v>186</v>
      </c>
      <c r="O167" s="8" t="s">
        <v>39</v>
      </c>
      <c r="P167" s="8" t="s">
        <v>79</v>
      </c>
      <c r="Q167" s="8" t="s">
        <v>39</v>
      </c>
      <c r="R167">
        <f>tblDailySchedule[[#This Row],[Capacity Approx]]*'[1]Load Factor Sheet June Acft  '!$B$5</f>
        <v>150.61772727272728</v>
      </c>
      <c r="S167">
        <f>tblDailySchedule[[#This Row],[Capacity Approx]]*'[1]Load Factor Sheet June Acft  '!$D$5</f>
        <v>163.08818181818182</v>
      </c>
      <c r="T167" s="22">
        <f>tblDailySchedule[[#This Row],[STD]]</f>
        <v>0.95833333333333337</v>
      </c>
    </row>
    <row r="168" spans="1:20" hidden="1" x14ac:dyDescent="0.35">
      <c r="A168" s="2">
        <v>46116</v>
      </c>
      <c r="B168" s="3">
        <v>6</v>
      </c>
      <c r="C168" s="4" t="s">
        <v>116</v>
      </c>
      <c r="D168" s="4" t="s">
        <v>18</v>
      </c>
      <c r="E168" s="3">
        <v>1</v>
      </c>
      <c r="F168" s="4" t="s">
        <v>101</v>
      </c>
      <c r="G168" s="4" t="s">
        <v>102</v>
      </c>
      <c r="H168" s="4" t="s">
        <v>61</v>
      </c>
      <c r="I168" s="5">
        <v>0.3125</v>
      </c>
      <c r="J168" s="4" t="s">
        <v>103</v>
      </c>
      <c r="K168" s="4" t="s">
        <v>61</v>
      </c>
      <c r="L168" s="5">
        <v>0.33333333333333331</v>
      </c>
      <c r="M168" s="4" t="s">
        <v>33</v>
      </c>
      <c r="N168" s="3">
        <v>189</v>
      </c>
      <c r="O168" s="4" t="s">
        <v>24</v>
      </c>
      <c r="P168" s="4" t="s">
        <v>25</v>
      </c>
      <c r="Q168" s="4"/>
      <c r="R168">
        <f>tblDailySchedule[[#This Row],[Capacity Approx]]*'[1]Load Factor Sheet June Acft  '!$B$5</f>
        <v>153.04704545454547</v>
      </c>
      <c r="S168">
        <f>tblDailySchedule[[#This Row],[Capacity Approx]]*'[1]Load Factor Sheet June Acft  '!$D$5</f>
        <v>165.71863636363636</v>
      </c>
      <c r="T168" s="22">
        <f>tblDailySchedule[[#This Row],[STD]]</f>
        <v>0.33333333333333331</v>
      </c>
    </row>
    <row r="169" spans="1:20" hidden="1" x14ac:dyDescent="0.35">
      <c r="A169" s="2">
        <v>46116</v>
      </c>
      <c r="B169" s="3">
        <v>6</v>
      </c>
      <c r="C169" s="4" t="s">
        <v>116</v>
      </c>
      <c r="D169" s="4" t="s">
        <v>18</v>
      </c>
      <c r="E169" s="3">
        <v>2</v>
      </c>
      <c r="F169" s="4" t="s">
        <v>19</v>
      </c>
      <c r="G169" s="4" t="s">
        <v>20</v>
      </c>
      <c r="H169" s="4" t="s">
        <v>21</v>
      </c>
      <c r="I169" s="5">
        <v>0.31944444444444442</v>
      </c>
      <c r="J169" s="4" t="s">
        <v>22</v>
      </c>
      <c r="K169" s="4" t="s">
        <v>21</v>
      </c>
      <c r="L169" s="5">
        <v>0.34722222222222221</v>
      </c>
      <c r="M169" s="4" t="s">
        <v>23</v>
      </c>
      <c r="N169" s="3">
        <v>186</v>
      </c>
      <c r="O169" s="4" t="s">
        <v>24</v>
      </c>
      <c r="P169" s="4" t="s">
        <v>25</v>
      </c>
      <c r="Q169" s="4"/>
      <c r="R169">
        <f>tblDailySchedule[[#This Row],[Capacity Approx]]*'[1]Load Factor Sheet June Acft  '!$B$5</f>
        <v>150.61772727272728</v>
      </c>
      <c r="S169">
        <f>tblDailySchedule[[#This Row],[Capacity Approx]]*'[1]Load Factor Sheet June Acft  '!$D$5</f>
        <v>163.08818181818182</v>
      </c>
      <c r="T169" s="22">
        <f>tblDailySchedule[[#This Row],[STD]]</f>
        <v>0.34722222222222221</v>
      </c>
    </row>
    <row r="170" spans="1:20" hidden="1" x14ac:dyDescent="0.35">
      <c r="A170" s="2">
        <v>46116</v>
      </c>
      <c r="B170" s="3">
        <v>6</v>
      </c>
      <c r="C170" s="4" t="s">
        <v>116</v>
      </c>
      <c r="D170" s="4" t="s">
        <v>18</v>
      </c>
      <c r="E170" s="3">
        <v>3</v>
      </c>
      <c r="F170" s="4" t="s">
        <v>19</v>
      </c>
      <c r="G170" s="4" t="s">
        <v>26</v>
      </c>
      <c r="H170" s="4" t="s">
        <v>27</v>
      </c>
      <c r="I170" s="5">
        <v>0.3263888888888889</v>
      </c>
      <c r="J170" s="4" t="s">
        <v>28</v>
      </c>
      <c r="K170" s="4" t="s">
        <v>27</v>
      </c>
      <c r="L170" s="5">
        <v>0.35416666666666669</v>
      </c>
      <c r="M170" s="4" t="s">
        <v>29</v>
      </c>
      <c r="N170" s="3">
        <v>186</v>
      </c>
      <c r="O170" s="4" t="s">
        <v>24</v>
      </c>
      <c r="P170" s="4" t="s">
        <v>25</v>
      </c>
      <c r="Q170" s="4"/>
      <c r="R170">
        <f>tblDailySchedule[[#This Row],[Capacity Approx]]*'[1]Load Factor Sheet June Acft  '!$B$5</f>
        <v>150.61772727272728</v>
      </c>
      <c r="S170">
        <f>tblDailySchedule[[#This Row],[Capacity Approx]]*'[1]Load Factor Sheet June Acft  '!$D$5</f>
        <v>163.08818181818182</v>
      </c>
      <c r="T170" s="22">
        <f>tblDailySchedule[[#This Row],[STD]]</f>
        <v>0.35416666666666669</v>
      </c>
    </row>
    <row r="171" spans="1:20" hidden="1" x14ac:dyDescent="0.35">
      <c r="A171" s="2">
        <v>46116</v>
      </c>
      <c r="B171" s="3">
        <v>6</v>
      </c>
      <c r="C171" s="4" t="s">
        <v>116</v>
      </c>
      <c r="D171" s="4" t="s">
        <v>18</v>
      </c>
      <c r="E171" s="3">
        <v>4</v>
      </c>
      <c r="F171" s="4" t="s">
        <v>19</v>
      </c>
      <c r="G171" s="4" t="s">
        <v>30</v>
      </c>
      <c r="H171" s="4" t="s">
        <v>31</v>
      </c>
      <c r="I171" s="5">
        <v>0.34722222222222221</v>
      </c>
      <c r="J171" s="4" t="s">
        <v>32</v>
      </c>
      <c r="K171" s="4" t="s">
        <v>31</v>
      </c>
      <c r="L171" s="5">
        <v>0.36805555555555558</v>
      </c>
      <c r="M171" s="4" t="s">
        <v>33</v>
      </c>
      <c r="N171" s="3">
        <v>189</v>
      </c>
      <c r="O171" s="4" t="s">
        <v>24</v>
      </c>
      <c r="P171" s="4" t="s">
        <v>25</v>
      </c>
      <c r="Q171" s="4"/>
      <c r="R171">
        <f>tblDailySchedule[[#This Row],[Capacity Approx]]*'[1]Load Factor Sheet June Acft  '!$B$5</f>
        <v>153.04704545454547</v>
      </c>
      <c r="S171">
        <f>tblDailySchedule[[#This Row],[Capacity Approx]]*'[1]Load Factor Sheet June Acft  '!$D$5</f>
        <v>165.71863636363636</v>
      </c>
      <c r="T171" s="22">
        <f>tblDailySchedule[[#This Row],[STD]]</f>
        <v>0.36805555555555558</v>
      </c>
    </row>
    <row r="172" spans="1:20" hidden="1" x14ac:dyDescent="0.35">
      <c r="A172" s="2">
        <v>46116</v>
      </c>
      <c r="B172" s="3">
        <v>6</v>
      </c>
      <c r="C172" s="4" t="s">
        <v>116</v>
      </c>
      <c r="D172" s="4" t="s">
        <v>18</v>
      </c>
      <c r="E172" s="3">
        <v>5</v>
      </c>
      <c r="F172" s="4" t="s">
        <v>19</v>
      </c>
      <c r="G172" s="4" t="s">
        <v>40</v>
      </c>
      <c r="H172" s="4" t="s">
        <v>31</v>
      </c>
      <c r="I172" s="5">
        <v>0.35069444444444442</v>
      </c>
      <c r="J172" s="4" t="s">
        <v>41</v>
      </c>
      <c r="K172" s="4" t="s">
        <v>31</v>
      </c>
      <c r="L172" s="5">
        <v>0.37152777777777779</v>
      </c>
      <c r="M172" s="4" t="s">
        <v>23</v>
      </c>
      <c r="N172" s="3">
        <v>186</v>
      </c>
      <c r="O172" s="4" t="s">
        <v>24</v>
      </c>
      <c r="P172" s="4" t="s">
        <v>25</v>
      </c>
      <c r="Q172" s="4"/>
      <c r="R172">
        <f>tblDailySchedule[[#This Row],[Capacity Approx]]*'[1]Load Factor Sheet June Acft  '!$B$5</f>
        <v>150.61772727272728</v>
      </c>
      <c r="S172">
        <f>tblDailySchedule[[#This Row],[Capacity Approx]]*'[1]Load Factor Sheet June Acft  '!$D$5</f>
        <v>163.08818181818182</v>
      </c>
      <c r="T172" s="22">
        <f>tblDailySchedule[[#This Row],[STD]]</f>
        <v>0.37152777777777779</v>
      </c>
    </row>
    <row r="173" spans="1:20" hidden="1" x14ac:dyDescent="0.35">
      <c r="A173" s="2">
        <v>46116</v>
      </c>
      <c r="B173" s="3">
        <v>6</v>
      </c>
      <c r="C173" s="4" t="s">
        <v>116</v>
      </c>
      <c r="D173" s="4" t="s">
        <v>18</v>
      </c>
      <c r="E173" s="3">
        <v>7</v>
      </c>
      <c r="F173" s="4" t="s">
        <v>19</v>
      </c>
      <c r="G173" s="4" t="s">
        <v>42</v>
      </c>
      <c r="H173" s="4" t="s">
        <v>43</v>
      </c>
      <c r="I173" s="5">
        <v>0.3923611111111111</v>
      </c>
      <c r="J173" s="4" t="s">
        <v>44</v>
      </c>
      <c r="K173" s="4" t="s">
        <v>43</v>
      </c>
      <c r="L173" s="5">
        <v>0.40277777777777779</v>
      </c>
      <c r="M173" s="4" t="s">
        <v>45</v>
      </c>
      <c r="N173" s="3">
        <v>9</v>
      </c>
      <c r="O173" s="4" t="s">
        <v>24</v>
      </c>
      <c r="P173" s="4" t="s">
        <v>25</v>
      </c>
      <c r="Q173" s="4"/>
      <c r="R173">
        <f>tblDailySchedule[[#This Row],[Capacity Approx]]*'[1]Load Factor Sheet June Acft  '!$B$5</f>
        <v>7.2879545454545456</v>
      </c>
      <c r="S173">
        <f>tblDailySchedule[[#This Row],[Capacity Approx]]*'[1]Load Factor Sheet June Acft  '!$D$5</f>
        <v>7.8913636363636366</v>
      </c>
      <c r="T173" s="22">
        <f>tblDailySchedule[[#This Row],[STD]]</f>
        <v>0.40277777777777779</v>
      </c>
    </row>
    <row r="174" spans="1:20" hidden="1" x14ac:dyDescent="0.35">
      <c r="A174" s="2">
        <v>46116</v>
      </c>
      <c r="B174" s="3">
        <v>6</v>
      </c>
      <c r="C174" s="4" t="s">
        <v>116</v>
      </c>
      <c r="D174" s="4" t="s">
        <v>18</v>
      </c>
      <c r="E174" s="3">
        <v>8</v>
      </c>
      <c r="F174" s="4" t="s">
        <v>19</v>
      </c>
      <c r="G174" s="4" t="s">
        <v>46</v>
      </c>
      <c r="H174" s="4" t="s">
        <v>31</v>
      </c>
      <c r="I174" s="5">
        <v>0.4201388888888889</v>
      </c>
      <c r="J174" s="4" t="s">
        <v>47</v>
      </c>
      <c r="K174" s="4" t="s">
        <v>31</v>
      </c>
      <c r="L174" s="5">
        <v>0.44444444444444442</v>
      </c>
      <c r="M174" s="4" t="s">
        <v>29</v>
      </c>
      <c r="N174" s="3">
        <v>186</v>
      </c>
      <c r="O174" s="4" t="s">
        <v>24</v>
      </c>
      <c r="P174" s="4" t="s">
        <v>25</v>
      </c>
      <c r="Q174" s="4"/>
      <c r="R174">
        <f>tblDailySchedule[[#This Row],[Capacity Approx]]*'[1]Load Factor Sheet June Acft  '!$B$5</f>
        <v>150.61772727272728</v>
      </c>
      <c r="S174">
        <f>tblDailySchedule[[#This Row],[Capacity Approx]]*'[1]Load Factor Sheet June Acft  '!$D$5</f>
        <v>163.08818181818182</v>
      </c>
      <c r="T174" s="22">
        <f>tblDailySchedule[[#This Row],[STD]]</f>
        <v>0.44444444444444442</v>
      </c>
    </row>
    <row r="175" spans="1:20" hidden="1" x14ac:dyDescent="0.35">
      <c r="A175" s="2">
        <v>46116</v>
      </c>
      <c r="B175" s="3">
        <v>6</v>
      </c>
      <c r="C175" s="4" t="s">
        <v>116</v>
      </c>
      <c r="D175" s="4" t="s">
        <v>18</v>
      </c>
      <c r="E175" s="3">
        <v>9</v>
      </c>
      <c r="F175" s="4" t="s">
        <v>19</v>
      </c>
      <c r="G175" s="4" t="s">
        <v>48</v>
      </c>
      <c r="H175" s="4" t="s">
        <v>49</v>
      </c>
      <c r="I175" s="5">
        <v>0.4375</v>
      </c>
      <c r="J175" s="4" t="s">
        <v>50</v>
      </c>
      <c r="K175" s="4" t="s">
        <v>49</v>
      </c>
      <c r="L175" s="5">
        <v>0.45833333333333331</v>
      </c>
      <c r="M175" s="4" t="s">
        <v>51</v>
      </c>
      <c r="N175" s="3">
        <v>78</v>
      </c>
      <c r="O175" s="4" t="s">
        <v>24</v>
      </c>
      <c r="P175" s="4" t="s">
        <v>25</v>
      </c>
      <c r="Q175" s="4"/>
      <c r="R175">
        <f>tblDailySchedule[[#This Row],[Capacity Approx]]*'[1]Load Factor Sheet June Acft  '!$B$5</f>
        <v>63.162272727272729</v>
      </c>
      <c r="S175">
        <f>tblDailySchedule[[#This Row],[Capacity Approx]]*'[1]Load Factor Sheet June Acft  '!$D$5</f>
        <v>68.391818181818181</v>
      </c>
      <c r="T175" s="22">
        <f>tblDailySchedule[[#This Row],[STD]]</f>
        <v>0.45833333333333331</v>
      </c>
    </row>
    <row r="176" spans="1:20" hidden="1" x14ac:dyDescent="0.35">
      <c r="A176" s="2">
        <v>46116</v>
      </c>
      <c r="B176" s="3">
        <v>6</v>
      </c>
      <c r="C176" s="4" t="s">
        <v>116</v>
      </c>
      <c r="D176" s="4" t="s">
        <v>18</v>
      </c>
      <c r="E176" s="3">
        <v>10</v>
      </c>
      <c r="F176" s="4" t="s">
        <v>19</v>
      </c>
      <c r="G176" s="4" t="s">
        <v>52</v>
      </c>
      <c r="H176" s="4" t="s">
        <v>27</v>
      </c>
      <c r="I176" s="5">
        <v>0.4826388888888889</v>
      </c>
      <c r="J176" s="4" t="s">
        <v>53</v>
      </c>
      <c r="K176" s="4" t="s">
        <v>27</v>
      </c>
      <c r="L176" s="5">
        <v>0.51041666666666663</v>
      </c>
      <c r="M176" s="4" t="s">
        <v>23</v>
      </c>
      <c r="N176" s="3">
        <v>186</v>
      </c>
      <c r="O176" s="4" t="s">
        <v>24</v>
      </c>
      <c r="P176" s="4" t="s">
        <v>25</v>
      </c>
      <c r="Q176" s="4"/>
      <c r="R176">
        <f>tblDailySchedule[[#This Row],[Capacity Approx]]*'[1]Load Factor Sheet June Acft  '!$B$5</f>
        <v>150.61772727272728</v>
      </c>
      <c r="S176">
        <f>tblDailySchedule[[#This Row],[Capacity Approx]]*'[1]Load Factor Sheet June Acft  '!$D$5</f>
        <v>163.08818181818182</v>
      </c>
      <c r="T176" s="22">
        <f>tblDailySchedule[[#This Row],[STD]]</f>
        <v>0.51041666666666663</v>
      </c>
    </row>
    <row r="177" spans="1:20" hidden="1" x14ac:dyDescent="0.35">
      <c r="A177" s="2">
        <v>46116</v>
      </c>
      <c r="B177" s="3">
        <v>6</v>
      </c>
      <c r="C177" s="4" t="s">
        <v>116</v>
      </c>
      <c r="D177" s="4" t="s">
        <v>18</v>
      </c>
      <c r="E177" s="3">
        <v>11</v>
      </c>
      <c r="F177" s="4" t="s">
        <v>19</v>
      </c>
      <c r="G177" s="4" t="s">
        <v>54</v>
      </c>
      <c r="H177" s="4" t="s">
        <v>31</v>
      </c>
      <c r="I177" s="5">
        <v>0.51388888888888884</v>
      </c>
      <c r="J177" s="4" t="s">
        <v>55</v>
      </c>
      <c r="K177" s="4" t="s">
        <v>31</v>
      </c>
      <c r="L177" s="5">
        <v>0.54166666666666663</v>
      </c>
      <c r="M177" s="4" t="s">
        <v>23</v>
      </c>
      <c r="N177" s="3">
        <v>186</v>
      </c>
      <c r="O177" s="4" t="s">
        <v>24</v>
      </c>
      <c r="P177" s="4" t="s">
        <v>56</v>
      </c>
      <c r="Q177" s="4"/>
      <c r="R177">
        <f>tblDailySchedule[[#This Row],[Capacity Approx]]*'[1]Load Factor Sheet June Acft  '!$B$5</f>
        <v>150.61772727272728</v>
      </c>
      <c r="S177">
        <f>tblDailySchedule[[#This Row],[Capacity Approx]]*'[1]Load Factor Sheet June Acft  '!$D$5</f>
        <v>163.08818181818182</v>
      </c>
      <c r="T177" s="22">
        <f>tblDailySchedule[[#This Row],[STD]]</f>
        <v>0.54166666666666663</v>
      </c>
    </row>
    <row r="178" spans="1:20" hidden="1" x14ac:dyDescent="0.35">
      <c r="A178" s="2">
        <v>46116</v>
      </c>
      <c r="B178" s="3">
        <v>6</v>
      </c>
      <c r="C178" s="4" t="s">
        <v>116</v>
      </c>
      <c r="D178" s="4" t="s">
        <v>18</v>
      </c>
      <c r="E178" s="3">
        <v>12</v>
      </c>
      <c r="F178" s="4" t="s">
        <v>109</v>
      </c>
      <c r="G178" s="4" t="s">
        <v>110</v>
      </c>
      <c r="H178" s="4" t="s">
        <v>111</v>
      </c>
      <c r="I178" s="5">
        <v>0.55555555555555558</v>
      </c>
      <c r="J178" s="4" t="s">
        <v>112</v>
      </c>
      <c r="K178" s="4" t="s">
        <v>111</v>
      </c>
      <c r="L178" s="5">
        <v>0.56944444444444442</v>
      </c>
      <c r="M178" s="4" t="s">
        <v>51</v>
      </c>
      <c r="N178" s="3">
        <v>78</v>
      </c>
      <c r="O178" s="4" t="s">
        <v>24</v>
      </c>
      <c r="P178" s="4" t="s">
        <v>56</v>
      </c>
      <c r="Q178" s="4"/>
      <c r="R178">
        <f>tblDailySchedule[[#This Row],[Capacity Approx]]*'[1]Load Factor Sheet June Acft  '!$B$5</f>
        <v>63.162272727272729</v>
      </c>
      <c r="S178">
        <f>tblDailySchedule[[#This Row],[Capacity Approx]]*'[1]Load Factor Sheet June Acft  '!$D$5</f>
        <v>68.391818181818181</v>
      </c>
      <c r="T178" s="22">
        <f>tblDailySchedule[[#This Row],[STD]]</f>
        <v>0.56944444444444442</v>
      </c>
    </row>
    <row r="179" spans="1:20" hidden="1" x14ac:dyDescent="0.35">
      <c r="A179" s="2">
        <v>46116</v>
      </c>
      <c r="B179" s="3">
        <v>6</v>
      </c>
      <c r="C179" s="4" t="s">
        <v>116</v>
      </c>
      <c r="D179" s="4" t="s">
        <v>18</v>
      </c>
      <c r="E179" s="3">
        <v>13</v>
      </c>
      <c r="F179" s="4" t="s">
        <v>19</v>
      </c>
      <c r="G179" s="4" t="s">
        <v>57</v>
      </c>
      <c r="H179" s="4" t="s">
        <v>58</v>
      </c>
      <c r="I179" s="5">
        <v>0.55902777777777779</v>
      </c>
      <c r="J179" s="4" t="s">
        <v>59</v>
      </c>
      <c r="K179" s="4" t="s">
        <v>58</v>
      </c>
      <c r="L179" s="5">
        <v>0.57638888888888884</v>
      </c>
      <c r="M179" s="4" t="s">
        <v>51</v>
      </c>
      <c r="N179" s="3">
        <v>78</v>
      </c>
      <c r="O179" s="4" t="s">
        <v>24</v>
      </c>
      <c r="P179" s="4" t="s">
        <v>56</v>
      </c>
      <c r="Q179" s="4"/>
      <c r="R179">
        <f>tblDailySchedule[[#This Row],[Capacity Approx]]*'[1]Load Factor Sheet June Acft  '!$B$5</f>
        <v>63.162272727272729</v>
      </c>
      <c r="S179">
        <f>tblDailySchedule[[#This Row],[Capacity Approx]]*'[1]Load Factor Sheet June Acft  '!$D$5</f>
        <v>68.391818181818181</v>
      </c>
      <c r="T179" s="22">
        <f>tblDailySchedule[[#This Row],[STD]]</f>
        <v>0.57638888888888884</v>
      </c>
    </row>
    <row r="180" spans="1:20" hidden="1" x14ac:dyDescent="0.35">
      <c r="A180" s="2">
        <v>46116</v>
      </c>
      <c r="B180" s="3">
        <v>6</v>
      </c>
      <c r="C180" s="4" t="s">
        <v>116</v>
      </c>
      <c r="D180" s="4" t="s">
        <v>18</v>
      </c>
      <c r="E180" s="3">
        <v>14</v>
      </c>
      <c r="F180" s="4" t="s">
        <v>19</v>
      </c>
      <c r="G180" s="4" t="s">
        <v>60</v>
      </c>
      <c r="H180" s="4" t="s">
        <v>61</v>
      </c>
      <c r="I180" s="5">
        <v>0.59027777777777779</v>
      </c>
      <c r="J180" s="4" t="s">
        <v>62</v>
      </c>
      <c r="K180" s="4" t="s">
        <v>61</v>
      </c>
      <c r="L180" s="5">
        <v>0.62152777777777779</v>
      </c>
      <c r="M180" s="4" t="s">
        <v>63</v>
      </c>
      <c r="N180" s="3">
        <v>232</v>
      </c>
      <c r="O180" s="4" t="s">
        <v>24</v>
      </c>
      <c r="P180" s="4" t="s">
        <v>56</v>
      </c>
      <c r="Q180" s="4"/>
      <c r="R180">
        <f>tblDailySchedule[[#This Row],[Capacity Approx]]*'[1]Load Factor Sheet June Acft  '!$B$5</f>
        <v>187.86727272727273</v>
      </c>
      <c r="S180">
        <f>tblDailySchedule[[#This Row],[Capacity Approx]]*'[1]Load Factor Sheet June Acft  '!$D$5</f>
        <v>203.4218181818182</v>
      </c>
      <c r="T180" s="22">
        <f>tblDailySchedule[[#This Row],[STD]]</f>
        <v>0.62152777777777779</v>
      </c>
    </row>
    <row r="181" spans="1:20" hidden="1" x14ac:dyDescent="0.35">
      <c r="A181" s="2">
        <v>46116</v>
      </c>
      <c r="B181" s="3">
        <v>6</v>
      </c>
      <c r="C181" s="4" t="s">
        <v>116</v>
      </c>
      <c r="D181" s="4" t="s">
        <v>18</v>
      </c>
      <c r="E181" s="3">
        <v>15</v>
      </c>
      <c r="F181" s="4" t="s">
        <v>19</v>
      </c>
      <c r="G181" s="4" t="s">
        <v>64</v>
      </c>
      <c r="H181" s="4" t="s">
        <v>31</v>
      </c>
      <c r="I181" s="5">
        <v>0.60069444444444442</v>
      </c>
      <c r="J181" s="4" t="s">
        <v>65</v>
      </c>
      <c r="K181" s="4" t="s">
        <v>66</v>
      </c>
      <c r="L181" s="5">
        <v>0.62847222222222221</v>
      </c>
      <c r="M181" s="4" t="s">
        <v>63</v>
      </c>
      <c r="N181" s="3">
        <v>232</v>
      </c>
      <c r="O181" s="4" t="s">
        <v>24</v>
      </c>
      <c r="P181" s="4" t="s">
        <v>56</v>
      </c>
      <c r="Q181" s="4"/>
      <c r="R181">
        <f>tblDailySchedule[[#This Row],[Capacity Approx]]*'[1]Load Factor Sheet June Acft  '!$B$5</f>
        <v>187.86727272727273</v>
      </c>
      <c r="S181">
        <f>tblDailySchedule[[#This Row],[Capacity Approx]]*'[1]Load Factor Sheet June Acft  '!$D$5</f>
        <v>203.4218181818182</v>
      </c>
      <c r="T181" s="22">
        <f>tblDailySchedule[[#This Row],[STD]]</f>
        <v>0.62847222222222221</v>
      </c>
    </row>
    <row r="182" spans="1:20" hidden="1" x14ac:dyDescent="0.35">
      <c r="A182" s="2">
        <v>46116</v>
      </c>
      <c r="B182" s="3">
        <v>6</v>
      </c>
      <c r="C182" s="4" t="s">
        <v>116</v>
      </c>
      <c r="D182" s="4" t="s">
        <v>18</v>
      </c>
      <c r="E182" s="3">
        <v>16</v>
      </c>
      <c r="F182" s="4" t="s">
        <v>19</v>
      </c>
      <c r="G182" s="4" t="s">
        <v>67</v>
      </c>
      <c r="H182" s="4" t="s">
        <v>31</v>
      </c>
      <c r="I182" s="5">
        <v>0.65625</v>
      </c>
      <c r="J182" s="4" t="s">
        <v>68</v>
      </c>
      <c r="K182" s="4" t="s">
        <v>31</v>
      </c>
      <c r="L182" s="5">
        <v>0.68402777777777779</v>
      </c>
      <c r="M182" s="4" t="s">
        <v>63</v>
      </c>
      <c r="N182" s="3">
        <v>232</v>
      </c>
      <c r="O182" s="4" t="s">
        <v>24</v>
      </c>
      <c r="P182" s="4" t="s">
        <v>56</v>
      </c>
      <c r="Q182" s="4"/>
      <c r="R182">
        <f>tblDailySchedule[[#This Row],[Capacity Approx]]*'[1]Load Factor Sheet June Acft  '!$B$5</f>
        <v>187.86727272727273</v>
      </c>
      <c r="S182">
        <f>tblDailySchedule[[#This Row],[Capacity Approx]]*'[1]Load Factor Sheet June Acft  '!$D$5</f>
        <v>203.4218181818182</v>
      </c>
      <c r="T182" s="22">
        <f>tblDailySchedule[[#This Row],[STD]]</f>
        <v>0.68402777777777779</v>
      </c>
    </row>
    <row r="183" spans="1:20" hidden="1" x14ac:dyDescent="0.35">
      <c r="A183" s="2">
        <v>46116</v>
      </c>
      <c r="B183" s="3">
        <v>6</v>
      </c>
      <c r="C183" s="4" t="s">
        <v>116</v>
      </c>
      <c r="D183" s="4" t="s">
        <v>18</v>
      </c>
      <c r="E183" s="3">
        <v>17</v>
      </c>
      <c r="F183" s="4" t="s">
        <v>19</v>
      </c>
      <c r="G183" s="4" t="s">
        <v>69</v>
      </c>
      <c r="H183" s="4" t="s">
        <v>31</v>
      </c>
      <c r="I183" s="5">
        <v>0.66319444444444442</v>
      </c>
      <c r="J183" s="4" t="s">
        <v>70</v>
      </c>
      <c r="K183" s="4" t="s">
        <v>31</v>
      </c>
      <c r="L183" s="5">
        <v>0.69097222222222221</v>
      </c>
      <c r="M183" s="4" t="s">
        <v>33</v>
      </c>
      <c r="N183" s="3">
        <v>189</v>
      </c>
      <c r="O183" s="4" t="s">
        <v>24</v>
      </c>
      <c r="P183" s="4" t="s">
        <v>56</v>
      </c>
      <c r="Q183" s="4"/>
      <c r="R183">
        <f>tblDailySchedule[[#This Row],[Capacity Approx]]*'[1]Load Factor Sheet June Acft  '!$B$5</f>
        <v>153.04704545454547</v>
      </c>
      <c r="S183">
        <f>tblDailySchedule[[#This Row],[Capacity Approx]]*'[1]Load Factor Sheet June Acft  '!$D$5</f>
        <v>165.71863636363636</v>
      </c>
      <c r="T183" s="22">
        <f>tblDailySchedule[[#This Row],[STD]]</f>
        <v>0.69097222222222221</v>
      </c>
    </row>
    <row r="184" spans="1:20" hidden="1" x14ac:dyDescent="0.35">
      <c r="A184" s="2">
        <v>46116</v>
      </c>
      <c r="B184" s="3">
        <v>6</v>
      </c>
      <c r="C184" s="4" t="s">
        <v>116</v>
      </c>
      <c r="D184" s="4" t="s">
        <v>18</v>
      </c>
      <c r="E184" s="3">
        <v>18</v>
      </c>
      <c r="F184" s="4" t="s">
        <v>19</v>
      </c>
      <c r="G184" s="4" t="s">
        <v>71</v>
      </c>
      <c r="H184" s="4" t="s">
        <v>21</v>
      </c>
      <c r="I184" s="5">
        <v>0.67013888888888884</v>
      </c>
      <c r="J184" s="4" t="s">
        <v>72</v>
      </c>
      <c r="K184" s="4" t="s">
        <v>21</v>
      </c>
      <c r="L184" s="5">
        <v>0.69791666666666663</v>
      </c>
      <c r="M184" s="4" t="s">
        <v>63</v>
      </c>
      <c r="N184" s="3">
        <v>232</v>
      </c>
      <c r="O184" s="4" t="s">
        <v>24</v>
      </c>
      <c r="P184" s="4" t="s">
        <v>56</v>
      </c>
      <c r="Q184" s="4"/>
      <c r="R184">
        <f>tblDailySchedule[[#This Row],[Capacity Approx]]*'[1]Load Factor Sheet June Acft  '!$B$5</f>
        <v>187.86727272727273</v>
      </c>
      <c r="S184">
        <f>tblDailySchedule[[#This Row],[Capacity Approx]]*'[1]Load Factor Sheet June Acft  '!$D$5</f>
        <v>203.4218181818182</v>
      </c>
      <c r="T184" s="22">
        <f>tblDailySchedule[[#This Row],[STD]]</f>
        <v>0.69791666666666663</v>
      </c>
    </row>
    <row r="185" spans="1:20" hidden="1" x14ac:dyDescent="0.35">
      <c r="A185" s="2">
        <v>46116</v>
      </c>
      <c r="B185" s="3">
        <v>6</v>
      </c>
      <c r="C185" s="4" t="s">
        <v>116</v>
      </c>
      <c r="D185" s="4" t="s">
        <v>18</v>
      </c>
      <c r="E185" s="3">
        <v>19</v>
      </c>
      <c r="F185" s="4" t="s">
        <v>19</v>
      </c>
      <c r="G185" s="4" t="s">
        <v>73</v>
      </c>
      <c r="H185" s="4" t="s">
        <v>27</v>
      </c>
      <c r="I185" s="5">
        <v>0.74652777777777779</v>
      </c>
      <c r="J185" s="4" t="s">
        <v>74</v>
      </c>
      <c r="K185" s="4" t="s">
        <v>27</v>
      </c>
      <c r="L185" s="5">
        <v>0.77430555555555558</v>
      </c>
      <c r="M185" s="4" t="s">
        <v>63</v>
      </c>
      <c r="N185" s="3">
        <v>232</v>
      </c>
      <c r="O185" s="4" t="s">
        <v>24</v>
      </c>
      <c r="P185" s="4" t="s">
        <v>56</v>
      </c>
      <c r="Q185" s="4"/>
      <c r="R185">
        <f>tblDailySchedule[[#This Row],[Capacity Approx]]*'[1]Load Factor Sheet June Acft  '!$B$5</f>
        <v>187.86727272727273</v>
      </c>
      <c r="S185">
        <f>tblDailySchedule[[#This Row],[Capacity Approx]]*'[1]Load Factor Sheet June Acft  '!$D$5</f>
        <v>203.4218181818182</v>
      </c>
      <c r="T185" s="22">
        <f>tblDailySchedule[[#This Row],[STD]]</f>
        <v>0.77430555555555558</v>
      </c>
    </row>
    <row r="186" spans="1:20" hidden="1" x14ac:dyDescent="0.35">
      <c r="A186" s="2">
        <v>46116</v>
      </c>
      <c r="B186" s="3">
        <v>6</v>
      </c>
      <c r="C186" s="4" t="s">
        <v>116</v>
      </c>
      <c r="D186" s="4" t="s">
        <v>18</v>
      </c>
      <c r="E186" s="3">
        <v>21</v>
      </c>
      <c r="F186" s="4" t="s">
        <v>19</v>
      </c>
      <c r="G186" s="4" t="s">
        <v>81</v>
      </c>
      <c r="H186" s="4" t="s">
        <v>61</v>
      </c>
      <c r="I186" s="5">
        <v>0.77083333333333337</v>
      </c>
      <c r="J186" s="4" t="s">
        <v>82</v>
      </c>
      <c r="K186" s="4" t="s">
        <v>49</v>
      </c>
      <c r="L186" s="5">
        <v>0.79166666666666663</v>
      </c>
      <c r="M186" s="4" t="s">
        <v>33</v>
      </c>
      <c r="N186" s="3">
        <v>189</v>
      </c>
      <c r="O186" s="4" t="s">
        <v>24</v>
      </c>
      <c r="P186" s="4" t="s">
        <v>79</v>
      </c>
      <c r="Q186" s="4"/>
      <c r="R186">
        <f>tblDailySchedule[[#This Row],[Capacity Approx]]*'[1]Load Factor Sheet June Acft  '!$B$5</f>
        <v>153.04704545454547</v>
      </c>
      <c r="S186">
        <f>tblDailySchedule[[#This Row],[Capacity Approx]]*'[1]Load Factor Sheet June Acft  '!$D$5</f>
        <v>165.71863636363636</v>
      </c>
      <c r="T186" s="22">
        <f>tblDailySchedule[[#This Row],[STD]]</f>
        <v>0.79166666666666663</v>
      </c>
    </row>
    <row r="187" spans="1:20" hidden="1" x14ac:dyDescent="0.35">
      <c r="A187" s="2">
        <v>46116</v>
      </c>
      <c r="B187" s="3">
        <v>6</v>
      </c>
      <c r="C187" s="4" t="s">
        <v>116</v>
      </c>
      <c r="D187" s="4" t="s">
        <v>18</v>
      </c>
      <c r="E187" s="3">
        <v>22</v>
      </c>
      <c r="F187" s="4" t="s">
        <v>19</v>
      </c>
      <c r="G187" s="4" t="s">
        <v>83</v>
      </c>
      <c r="H187" s="4" t="s">
        <v>31</v>
      </c>
      <c r="I187" s="5">
        <v>0.77777777777777779</v>
      </c>
      <c r="J187" s="4" t="s">
        <v>84</v>
      </c>
      <c r="K187" s="4" t="s">
        <v>31</v>
      </c>
      <c r="L187" s="5">
        <v>0.80555555555555558</v>
      </c>
      <c r="M187" s="4" t="s">
        <v>63</v>
      </c>
      <c r="N187" s="3">
        <v>232</v>
      </c>
      <c r="O187" s="4" t="s">
        <v>24</v>
      </c>
      <c r="P187" s="4" t="s">
        <v>79</v>
      </c>
      <c r="Q187" s="4"/>
      <c r="R187">
        <f>tblDailySchedule[[#This Row],[Capacity Approx]]*'[1]Load Factor Sheet June Acft  '!$B$5</f>
        <v>187.86727272727273</v>
      </c>
      <c r="S187">
        <f>tblDailySchedule[[#This Row],[Capacity Approx]]*'[1]Load Factor Sheet June Acft  '!$D$5</f>
        <v>203.4218181818182</v>
      </c>
      <c r="T187" s="22">
        <f>tblDailySchedule[[#This Row],[STD]]</f>
        <v>0.80555555555555558</v>
      </c>
    </row>
    <row r="188" spans="1:20" hidden="1" x14ac:dyDescent="0.35">
      <c r="A188" s="2">
        <v>46116</v>
      </c>
      <c r="B188" s="3">
        <v>6</v>
      </c>
      <c r="C188" s="4" t="s">
        <v>116</v>
      </c>
      <c r="D188" s="4" t="s">
        <v>18</v>
      </c>
      <c r="E188" s="3">
        <v>23</v>
      </c>
      <c r="F188" s="4" t="s">
        <v>19</v>
      </c>
      <c r="G188" s="4" t="s">
        <v>85</v>
      </c>
      <c r="H188" s="4" t="s">
        <v>86</v>
      </c>
      <c r="I188" s="5">
        <v>0.79861111111111116</v>
      </c>
      <c r="J188" s="4" t="s">
        <v>87</v>
      </c>
      <c r="K188" s="4" t="s">
        <v>86</v>
      </c>
      <c r="L188" s="5">
        <v>0.82638888888888884</v>
      </c>
      <c r="M188" s="4" t="s">
        <v>63</v>
      </c>
      <c r="N188" s="3">
        <v>232</v>
      </c>
      <c r="O188" s="4" t="s">
        <v>24</v>
      </c>
      <c r="P188" s="4" t="s">
        <v>79</v>
      </c>
      <c r="Q188" s="4"/>
      <c r="R188">
        <f>tblDailySchedule[[#This Row],[Capacity Approx]]*'[1]Load Factor Sheet June Acft  '!$B$5</f>
        <v>187.86727272727273</v>
      </c>
      <c r="S188">
        <f>tblDailySchedule[[#This Row],[Capacity Approx]]*'[1]Load Factor Sheet June Acft  '!$D$5</f>
        <v>203.4218181818182</v>
      </c>
      <c r="T188" s="22">
        <f>tblDailySchedule[[#This Row],[STD]]</f>
        <v>0.82638888888888884</v>
      </c>
    </row>
    <row r="189" spans="1:20" hidden="1" x14ac:dyDescent="0.35">
      <c r="A189" s="2">
        <v>46116</v>
      </c>
      <c r="B189" s="3">
        <v>6</v>
      </c>
      <c r="C189" s="4" t="s">
        <v>116</v>
      </c>
      <c r="D189" s="4" t="s">
        <v>18</v>
      </c>
      <c r="E189" s="3">
        <v>24</v>
      </c>
      <c r="F189" s="4" t="s">
        <v>19</v>
      </c>
      <c r="G189" s="4" t="s">
        <v>88</v>
      </c>
      <c r="H189" s="4" t="s">
        <v>89</v>
      </c>
      <c r="I189" s="5">
        <v>0.83333333333333337</v>
      </c>
      <c r="J189" s="4" t="s">
        <v>90</v>
      </c>
      <c r="K189" s="4" t="s">
        <v>31</v>
      </c>
      <c r="L189" s="5">
        <v>0.86111111111111116</v>
      </c>
      <c r="M189" s="4" t="s">
        <v>63</v>
      </c>
      <c r="N189" s="3">
        <v>232</v>
      </c>
      <c r="O189" s="4" t="s">
        <v>24</v>
      </c>
      <c r="P189" s="4" t="s">
        <v>79</v>
      </c>
      <c r="Q189" s="4"/>
      <c r="R189">
        <f>tblDailySchedule[[#This Row],[Capacity Approx]]*'[1]Load Factor Sheet June Acft  '!$B$5</f>
        <v>187.86727272727273</v>
      </c>
      <c r="S189">
        <f>tblDailySchedule[[#This Row],[Capacity Approx]]*'[1]Load Factor Sheet June Acft  '!$D$5</f>
        <v>203.4218181818182</v>
      </c>
      <c r="T189" s="22">
        <f>tblDailySchedule[[#This Row],[STD]]</f>
        <v>0.86111111111111116</v>
      </c>
    </row>
    <row r="190" spans="1:20" hidden="1" x14ac:dyDescent="0.35">
      <c r="A190" s="2">
        <v>46116</v>
      </c>
      <c r="B190" s="3">
        <v>6</v>
      </c>
      <c r="C190" s="4" t="s">
        <v>116</v>
      </c>
      <c r="D190" s="4" t="s">
        <v>18</v>
      </c>
      <c r="E190" s="3">
        <v>25</v>
      </c>
      <c r="F190" s="4" t="s">
        <v>19</v>
      </c>
      <c r="G190" s="4" t="s">
        <v>91</v>
      </c>
      <c r="H190" s="4" t="s">
        <v>61</v>
      </c>
      <c r="I190" s="5">
        <v>0.85416666666666663</v>
      </c>
      <c r="J190" s="4" t="s">
        <v>92</v>
      </c>
      <c r="K190" s="4" t="s">
        <v>61</v>
      </c>
      <c r="L190" s="5">
        <v>0.88194444444444442</v>
      </c>
      <c r="M190" s="4" t="s">
        <v>63</v>
      </c>
      <c r="N190" s="3">
        <v>232</v>
      </c>
      <c r="O190" s="4" t="s">
        <v>24</v>
      </c>
      <c r="P190" s="4" t="s">
        <v>79</v>
      </c>
      <c r="Q190" s="4"/>
      <c r="R190">
        <f>tblDailySchedule[[#This Row],[Capacity Approx]]*'[1]Load Factor Sheet June Acft  '!$B$5</f>
        <v>187.86727272727273</v>
      </c>
      <c r="S190">
        <f>tblDailySchedule[[#This Row],[Capacity Approx]]*'[1]Load Factor Sheet June Acft  '!$D$5</f>
        <v>203.4218181818182</v>
      </c>
      <c r="T190" s="22">
        <f>tblDailySchedule[[#This Row],[STD]]</f>
        <v>0.88194444444444442</v>
      </c>
    </row>
    <row r="191" spans="1:20" hidden="1" x14ac:dyDescent="0.35">
      <c r="A191" s="2">
        <v>46116</v>
      </c>
      <c r="B191" s="3">
        <v>6</v>
      </c>
      <c r="C191" s="4" t="s">
        <v>116</v>
      </c>
      <c r="D191" s="4" t="s">
        <v>18</v>
      </c>
      <c r="E191" s="3">
        <v>26</v>
      </c>
      <c r="F191" s="4" t="s">
        <v>19</v>
      </c>
      <c r="G191" s="4" t="s">
        <v>93</v>
      </c>
      <c r="H191" s="4" t="s">
        <v>31</v>
      </c>
      <c r="I191" s="5">
        <v>0.86111111111111116</v>
      </c>
      <c r="J191" s="4" t="s">
        <v>94</v>
      </c>
      <c r="K191" s="4" t="s">
        <v>31</v>
      </c>
      <c r="L191" s="5">
        <v>0.88888888888888884</v>
      </c>
      <c r="M191" s="4" t="s">
        <v>23</v>
      </c>
      <c r="N191" s="3">
        <v>186</v>
      </c>
      <c r="O191" s="4" t="s">
        <v>24</v>
      </c>
      <c r="P191" s="4" t="s">
        <v>79</v>
      </c>
      <c r="Q191" s="4"/>
      <c r="R191">
        <f>tblDailySchedule[[#This Row],[Capacity Approx]]*'[1]Load Factor Sheet June Acft  '!$B$5</f>
        <v>150.61772727272728</v>
      </c>
      <c r="S191">
        <f>tblDailySchedule[[#This Row],[Capacity Approx]]*'[1]Load Factor Sheet June Acft  '!$D$5</f>
        <v>163.08818181818182</v>
      </c>
      <c r="T191" s="22">
        <f>tblDailySchedule[[#This Row],[STD]]</f>
        <v>0.88888888888888884</v>
      </c>
    </row>
    <row r="192" spans="1:20" hidden="1" x14ac:dyDescent="0.35">
      <c r="A192" s="2">
        <v>46116</v>
      </c>
      <c r="B192" s="3">
        <v>6</v>
      </c>
      <c r="C192" s="4" t="s">
        <v>116</v>
      </c>
      <c r="D192" s="4" t="s">
        <v>18</v>
      </c>
      <c r="E192" s="3">
        <v>27</v>
      </c>
      <c r="F192" s="4" t="s">
        <v>19</v>
      </c>
      <c r="G192" s="4" t="s">
        <v>95</v>
      </c>
      <c r="H192" s="4" t="s">
        <v>21</v>
      </c>
      <c r="I192" s="5">
        <v>0.86805555555555558</v>
      </c>
      <c r="J192" s="4" t="s">
        <v>96</v>
      </c>
      <c r="K192" s="4" t="s">
        <v>21</v>
      </c>
      <c r="L192" s="5">
        <v>0.89583333333333337</v>
      </c>
      <c r="M192" s="4" t="s">
        <v>29</v>
      </c>
      <c r="N192" s="3">
        <v>186</v>
      </c>
      <c r="O192" s="4" t="s">
        <v>24</v>
      </c>
      <c r="P192" s="4" t="s">
        <v>79</v>
      </c>
      <c r="Q192" s="4"/>
      <c r="R192">
        <f>tblDailySchedule[[#This Row],[Capacity Approx]]*'[1]Load Factor Sheet June Acft  '!$B$5</f>
        <v>150.61772727272728</v>
      </c>
      <c r="S192">
        <f>tblDailySchedule[[#This Row],[Capacity Approx]]*'[1]Load Factor Sheet June Acft  '!$D$5</f>
        <v>163.08818181818182</v>
      </c>
      <c r="T192" s="22">
        <f>tblDailySchedule[[#This Row],[STD]]</f>
        <v>0.89583333333333337</v>
      </c>
    </row>
    <row r="193" spans="1:20" hidden="1" x14ac:dyDescent="0.35">
      <c r="A193" s="2">
        <v>46116</v>
      </c>
      <c r="B193" s="3">
        <v>6</v>
      </c>
      <c r="C193" s="4" t="s">
        <v>116</v>
      </c>
      <c r="D193" s="4" t="s">
        <v>18</v>
      </c>
      <c r="E193" s="3">
        <v>28</v>
      </c>
      <c r="F193" s="4" t="s">
        <v>19</v>
      </c>
      <c r="G193" s="4" t="s">
        <v>97</v>
      </c>
      <c r="H193" s="4" t="s">
        <v>49</v>
      </c>
      <c r="I193" s="5">
        <v>0.90277777777777779</v>
      </c>
      <c r="J193" s="4" t="s">
        <v>97</v>
      </c>
      <c r="K193" s="4" t="s">
        <v>61</v>
      </c>
      <c r="L193" s="5">
        <v>0.92361111111111116</v>
      </c>
      <c r="M193" s="4" t="s">
        <v>33</v>
      </c>
      <c r="N193" s="3">
        <v>189</v>
      </c>
      <c r="O193" s="4" t="s">
        <v>24</v>
      </c>
      <c r="P193" s="4" t="s">
        <v>79</v>
      </c>
      <c r="Q193" s="4"/>
      <c r="R193">
        <f>tblDailySchedule[[#This Row],[Capacity Approx]]*'[1]Load Factor Sheet June Acft  '!$B$5</f>
        <v>153.04704545454547</v>
      </c>
      <c r="S193">
        <f>tblDailySchedule[[#This Row],[Capacity Approx]]*'[1]Load Factor Sheet June Acft  '!$D$5</f>
        <v>165.71863636363636</v>
      </c>
      <c r="T193" s="22">
        <f>tblDailySchedule[[#This Row],[STD]]</f>
        <v>0.92361111111111116</v>
      </c>
    </row>
    <row r="194" spans="1:20" hidden="1" x14ac:dyDescent="0.35">
      <c r="A194" s="2">
        <v>46116</v>
      </c>
      <c r="B194" s="3">
        <v>6</v>
      </c>
      <c r="C194" s="4" t="s">
        <v>116</v>
      </c>
      <c r="D194" s="4" t="s">
        <v>18</v>
      </c>
      <c r="E194" s="3">
        <v>29</v>
      </c>
      <c r="F194" s="4" t="s">
        <v>19</v>
      </c>
      <c r="G194" s="4" t="s">
        <v>98</v>
      </c>
      <c r="H194" s="4" t="s">
        <v>21</v>
      </c>
      <c r="I194" s="5">
        <v>0.92013888888888884</v>
      </c>
      <c r="J194" s="4" t="s">
        <v>99</v>
      </c>
      <c r="K194" s="4" t="s">
        <v>21</v>
      </c>
      <c r="L194" s="5">
        <v>0.94791666666666663</v>
      </c>
      <c r="M194" s="4" t="s">
        <v>63</v>
      </c>
      <c r="N194" s="3">
        <v>232</v>
      </c>
      <c r="O194" s="4" t="s">
        <v>24</v>
      </c>
      <c r="P194" s="4" t="s">
        <v>79</v>
      </c>
      <c r="Q194" s="4"/>
      <c r="R194">
        <f>tblDailySchedule[[#This Row],[Capacity Approx]]*'[1]Load Factor Sheet June Acft  '!$B$5</f>
        <v>187.86727272727273</v>
      </c>
      <c r="S194">
        <f>tblDailySchedule[[#This Row],[Capacity Approx]]*'[1]Load Factor Sheet June Acft  '!$D$5</f>
        <v>203.4218181818182</v>
      </c>
      <c r="T194" s="22">
        <f>tblDailySchedule[[#This Row],[STD]]</f>
        <v>0.94791666666666663</v>
      </c>
    </row>
    <row r="195" spans="1:20" hidden="1" x14ac:dyDescent="0.35">
      <c r="A195" s="6">
        <v>46116</v>
      </c>
      <c r="B195" s="7">
        <v>6</v>
      </c>
      <c r="C195" s="8" t="s">
        <v>116</v>
      </c>
      <c r="D195" s="8" t="s">
        <v>18</v>
      </c>
      <c r="E195" s="7">
        <v>30</v>
      </c>
      <c r="F195" s="8" t="s">
        <v>104</v>
      </c>
      <c r="G195" s="8" t="s">
        <v>105</v>
      </c>
      <c r="H195" s="8" t="s">
        <v>106</v>
      </c>
      <c r="I195" s="9">
        <v>0.92708333333333337</v>
      </c>
      <c r="J195" s="8" t="s">
        <v>107</v>
      </c>
      <c r="K195" s="8" t="s">
        <v>106</v>
      </c>
      <c r="L195" s="9">
        <v>0.95833333333333337</v>
      </c>
      <c r="M195" s="8" t="s">
        <v>38</v>
      </c>
      <c r="N195" s="7">
        <v>186</v>
      </c>
      <c r="O195" s="8" t="s">
        <v>39</v>
      </c>
      <c r="P195" s="8" t="s">
        <v>79</v>
      </c>
      <c r="Q195" s="8" t="s">
        <v>39</v>
      </c>
      <c r="R195">
        <f>tblDailySchedule[[#This Row],[Capacity Approx]]*'[1]Load Factor Sheet June Acft  '!$B$5</f>
        <v>150.61772727272728</v>
      </c>
      <c r="S195">
        <f>tblDailySchedule[[#This Row],[Capacity Approx]]*'[1]Load Factor Sheet June Acft  '!$D$5</f>
        <v>163.08818181818182</v>
      </c>
      <c r="T195" s="22">
        <f>tblDailySchedule[[#This Row],[STD]]</f>
        <v>0.95833333333333337</v>
      </c>
    </row>
    <row r="196" spans="1:20" hidden="1" x14ac:dyDescent="0.35">
      <c r="A196" s="2">
        <v>46117</v>
      </c>
      <c r="B196" s="3">
        <v>7</v>
      </c>
      <c r="C196" s="4" t="s">
        <v>17</v>
      </c>
      <c r="D196" s="4" t="s">
        <v>18</v>
      </c>
      <c r="E196" s="3">
        <v>2</v>
      </c>
      <c r="F196" s="4" t="s">
        <v>19</v>
      </c>
      <c r="G196" s="4" t="s">
        <v>20</v>
      </c>
      <c r="H196" s="4" t="s">
        <v>21</v>
      </c>
      <c r="I196" s="5">
        <v>0.31944444444444442</v>
      </c>
      <c r="J196" s="4" t="s">
        <v>22</v>
      </c>
      <c r="K196" s="4" t="s">
        <v>21</v>
      </c>
      <c r="L196" s="5">
        <v>0.34722222222222221</v>
      </c>
      <c r="M196" s="4" t="s">
        <v>23</v>
      </c>
      <c r="N196" s="3">
        <v>186</v>
      </c>
      <c r="O196" s="4" t="s">
        <v>24</v>
      </c>
      <c r="P196" s="4" t="s">
        <v>25</v>
      </c>
      <c r="Q196" s="4"/>
      <c r="R196">
        <f>tblDailySchedule[[#This Row],[Capacity Approx]]*'[1]Load Factor Sheet June Acft  '!$B$5</f>
        <v>150.61772727272728</v>
      </c>
      <c r="S196">
        <f>tblDailySchedule[[#This Row],[Capacity Approx]]*'[1]Load Factor Sheet June Acft  '!$D$5</f>
        <v>163.08818181818182</v>
      </c>
      <c r="T196" s="22">
        <f>tblDailySchedule[[#This Row],[STD]]</f>
        <v>0.34722222222222221</v>
      </c>
    </row>
    <row r="197" spans="1:20" hidden="1" x14ac:dyDescent="0.35">
      <c r="A197" s="2">
        <v>46117</v>
      </c>
      <c r="B197" s="3">
        <v>7</v>
      </c>
      <c r="C197" s="4" t="s">
        <v>17</v>
      </c>
      <c r="D197" s="4" t="s">
        <v>18</v>
      </c>
      <c r="E197" s="3">
        <v>3</v>
      </c>
      <c r="F197" s="4" t="s">
        <v>19</v>
      </c>
      <c r="G197" s="4" t="s">
        <v>26</v>
      </c>
      <c r="H197" s="4" t="s">
        <v>27</v>
      </c>
      <c r="I197" s="5">
        <v>0.3263888888888889</v>
      </c>
      <c r="J197" s="4" t="s">
        <v>28</v>
      </c>
      <c r="K197" s="4" t="s">
        <v>27</v>
      </c>
      <c r="L197" s="5">
        <v>0.35416666666666669</v>
      </c>
      <c r="M197" s="4" t="s">
        <v>29</v>
      </c>
      <c r="N197" s="3">
        <v>186</v>
      </c>
      <c r="O197" s="4" t="s">
        <v>24</v>
      </c>
      <c r="P197" s="4" t="s">
        <v>25</v>
      </c>
      <c r="Q197" s="4"/>
      <c r="R197">
        <f>tblDailySchedule[[#This Row],[Capacity Approx]]*'[1]Load Factor Sheet June Acft  '!$B$5</f>
        <v>150.61772727272728</v>
      </c>
      <c r="S197">
        <f>tblDailySchedule[[#This Row],[Capacity Approx]]*'[1]Load Factor Sheet June Acft  '!$D$5</f>
        <v>163.08818181818182</v>
      </c>
      <c r="T197" s="22">
        <f>tblDailySchedule[[#This Row],[STD]]</f>
        <v>0.35416666666666669</v>
      </c>
    </row>
    <row r="198" spans="1:20" hidden="1" x14ac:dyDescent="0.35">
      <c r="A198" s="2">
        <v>46117</v>
      </c>
      <c r="B198" s="3">
        <v>7</v>
      </c>
      <c r="C198" s="4" t="s">
        <v>17</v>
      </c>
      <c r="D198" s="4" t="s">
        <v>18</v>
      </c>
      <c r="E198" s="3">
        <v>4</v>
      </c>
      <c r="F198" s="4" t="s">
        <v>19</v>
      </c>
      <c r="G198" s="4" t="s">
        <v>30</v>
      </c>
      <c r="H198" s="4" t="s">
        <v>31</v>
      </c>
      <c r="I198" s="5">
        <v>0.34722222222222221</v>
      </c>
      <c r="J198" s="4" t="s">
        <v>32</v>
      </c>
      <c r="K198" s="4" t="s">
        <v>31</v>
      </c>
      <c r="L198" s="5">
        <v>0.36805555555555558</v>
      </c>
      <c r="M198" s="4" t="s">
        <v>33</v>
      </c>
      <c r="N198" s="3">
        <v>189</v>
      </c>
      <c r="O198" s="4" t="s">
        <v>24</v>
      </c>
      <c r="P198" s="4" t="s">
        <v>25</v>
      </c>
      <c r="Q198" s="4"/>
      <c r="R198">
        <f>tblDailySchedule[[#This Row],[Capacity Approx]]*'[1]Load Factor Sheet June Acft  '!$B$5</f>
        <v>153.04704545454547</v>
      </c>
      <c r="S198">
        <f>tblDailySchedule[[#This Row],[Capacity Approx]]*'[1]Load Factor Sheet June Acft  '!$D$5</f>
        <v>165.71863636363636</v>
      </c>
      <c r="T198" s="22">
        <f>tblDailySchedule[[#This Row],[STD]]</f>
        <v>0.36805555555555558</v>
      </c>
    </row>
    <row r="199" spans="1:20" hidden="1" x14ac:dyDescent="0.35">
      <c r="A199" s="6">
        <v>46117</v>
      </c>
      <c r="B199" s="7">
        <v>7</v>
      </c>
      <c r="C199" s="8" t="s">
        <v>17</v>
      </c>
      <c r="D199" s="8" t="s">
        <v>18</v>
      </c>
      <c r="E199" s="7">
        <v>6</v>
      </c>
      <c r="F199" s="8" t="s">
        <v>34</v>
      </c>
      <c r="G199" s="8" t="s">
        <v>35</v>
      </c>
      <c r="H199" s="8" t="s">
        <v>36</v>
      </c>
      <c r="I199" s="9">
        <v>0.34722222222222221</v>
      </c>
      <c r="J199" s="8" t="s">
        <v>37</v>
      </c>
      <c r="K199" s="8" t="s">
        <v>36</v>
      </c>
      <c r="L199" s="9">
        <v>0.40972222222222221</v>
      </c>
      <c r="M199" s="8" t="s">
        <v>38</v>
      </c>
      <c r="N199" s="7">
        <v>186</v>
      </c>
      <c r="O199" s="8" t="s">
        <v>39</v>
      </c>
      <c r="P199" s="8" t="s">
        <v>25</v>
      </c>
      <c r="Q199" s="8" t="s">
        <v>39</v>
      </c>
      <c r="R199">
        <f>tblDailySchedule[[#This Row],[Capacity Approx]]*'[1]Load Factor Sheet June Acft  '!$B$5</f>
        <v>150.61772727272728</v>
      </c>
      <c r="S199">
        <f>tblDailySchedule[[#This Row],[Capacity Approx]]*'[1]Load Factor Sheet June Acft  '!$D$5</f>
        <v>163.08818181818182</v>
      </c>
      <c r="T199" s="22">
        <f>tblDailySchedule[[#This Row],[STD]]</f>
        <v>0.40972222222222221</v>
      </c>
    </row>
    <row r="200" spans="1:20" hidden="1" x14ac:dyDescent="0.35">
      <c r="A200" s="2">
        <v>46117</v>
      </c>
      <c r="B200" s="3">
        <v>7</v>
      </c>
      <c r="C200" s="4" t="s">
        <v>17</v>
      </c>
      <c r="D200" s="4" t="s">
        <v>18</v>
      </c>
      <c r="E200" s="3">
        <v>5</v>
      </c>
      <c r="F200" s="4" t="s">
        <v>19</v>
      </c>
      <c r="G200" s="4" t="s">
        <v>40</v>
      </c>
      <c r="H200" s="4" t="s">
        <v>31</v>
      </c>
      <c r="I200" s="5">
        <v>0.35069444444444442</v>
      </c>
      <c r="J200" s="4" t="s">
        <v>41</v>
      </c>
      <c r="K200" s="4" t="s">
        <v>31</v>
      </c>
      <c r="L200" s="5">
        <v>0.37152777777777779</v>
      </c>
      <c r="M200" s="4" t="s">
        <v>23</v>
      </c>
      <c r="N200" s="3">
        <v>186</v>
      </c>
      <c r="O200" s="4" t="s">
        <v>24</v>
      </c>
      <c r="P200" s="4" t="s">
        <v>25</v>
      </c>
      <c r="Q200" s="4"/>
      <c r="R200">
        <f>tblDailySchedule[[#This Row],[Capacity Approx]]*'[1]Load Factor Sheet June Acft  '!$B$5</f>
        <v>150.61772727272728</v>
      </c>
      <c r="S200">
        <f>tblDailySchedule[[#This Row],[Capacity Approx]]*'[1]Load Factor Sheet June Acft  '!$D$5</f>
        <v>163.08818181818182</v>
      </c>
      <c r="T200" s="22">
        <f>tblDailySchedule[[#This Row],[STD]]</f>
        <v>0.37152777777777779</v>
      </c>
    </row>
    <row r="201" spans="1:20" hidden="1" x14ac:dyDescent="0.35">
      <c r="A201" s="2">
        <v>46117</v>
      </c>
      <c r="B201" s="3">
        <v>7</v>
      </c>
      <c r="C201" s="4" t="s">
        <v>17</v>
      </c>
      <c r="D201" s="4" t="s">
        <v>18</v>
      </c>
      <c r="E201" s="3">
        <v>7</v>
      </c>
      <c r="F201" s="4" t="s">
        <v>19</v>
      </c>
      <c r="G201" s="4" t="s">
        <v>42</v>
      </c>
      <c r="H201" s="4" t="s">
        <v>43</v>
      </c>
      <c r="I201" s="5">
        <v>0.3923611111111111</v>
      </c>
      <c r="J201" s="4" t="s">
        <v>44</v>
      </c>
      <c r="K201" s="4" t="s">
        <v>43</v>
      </c>
      <c r="L201" s="5">
        <v>0.40277777777777779</v>
      </c>
      <c r="M201" s="4" t="s">
        <v>45</v>
      </c>
      <c r="N201" s="3">
        <v>9</v>
      </c>
      <c r="O201" s="4" t="s">
        <v>24</v>
      </c>
      <c r="P201" s="4" t="s">
        <v>25</v>
      </c>
      <c r="Q201" s="4"/>
      <c r="R201">
        <f>tblDailySchedule[[#This Row],[Capacity Approx]]*'[1]Load Factor Sheet June Acft  '!$B$5</f>
        <v>7.2879545454545456</v>
      </c>
      <c r="S201">
        <f>tblDailySchedule[[#This Row],[Capacity Approx]]*'[1]Load Factor Sheet June Acft  '!$D$5</f>
        <v>7.8913636363636366</v>
      </c>
      <c r="T201" s="22">
        <f>tblDailySchedule[[#This Row],[STD]]</f>
        <v>0.40277777777777779</v>
      </c>
    </row>
    <row r="202" spans="1:20" hidden="1" x14ac:dyDescent="0.35">
      <c r="A202" s="2">
        <v>46117</v>
      </c>
      <c r="B202" s="3">
        <v>7</v>
      </c>
      <c r="C202" s="4" t="s">
        <v>17</v>
      </c>
      <c r="D202" s="4" t="s">
        <v>18</v>
      </c>
      <c r="E202" s="3">
        <v>8</v>
      </c>
      <c r="F202" s="4" t="s">
        <v>19</v>
      </c>
      <c r="G202" s="4" t="s">
        <v>46</v>
      </c>
      <c r="H202" s="4" t="s">
        <v>31</v>
      </c>
      <c r="I202" s="5">
        <v>0.4201388888888889</v>
      </c>
      <c r="J202" s="4" t="s">
        <v>47</v>
      </c>
      <c r="K202" s="4" t="s">
        <v>31</v>
      </c>
      <c r="L202" s="5">
        <v>0.44444444444444442</v>
      </c>
      <c r="M202" s="4" t="s">
        <v>29</v>
      </c>
      <c r="N202" s="3">
        <v>186</v>
      </c>
      <c r="O202" s="4" t="s">
        <v>24</v>
      </c>
      <c r="P202" s="4" t="s">
        <v>25</v>
      </c>
      <c r="Q202" s="4"/>
      <c r="R202">
        <f>tblDailySchedule[[#This Row],[Capacity Approx]]*'[1]Load Factor Sheet June Acft  '!$B$5</f>
        <v>150.61772727272728</v>
      </c>
      <c r="S202">
        <f>tblDailySchedule[[#This Row],[Capacity Approx]]*'[1]Load Factor Sheet June Acft  '!$D$5</f>
        <v>163.08818181818182</v>
      </c>
      <c r="T202" s="22">
        <f>tblDailySchedule[[#This Row],[STD]]</f>
        <v>0.44444444444444442</v>
      </c>
    </row>
    <row r="203" spans="1:20" hidden="1" x14ac:dyDescent="0.35">
      <c r="A203" s="2">
        <v>46117</v>
      </c>
      <c r="B203" s="3">
        <v>7</v>
      </c>
      <c r="C203" s="4" t="s">
        <v>17</v>
      </c>
      <c r="D203" s="4" t="s">
        <v>18</v>
      </c>
      <c r="E203" s="3">
        <v>9</v>
      </c>
      <c r="F203" s="4" t="s">
        <v>19</v>
      </c>
      <c r="G203" s="4" t="s">
        <v>48</v>
      </c>
      <c r="H203" s="4" t="s">
        <v>49</v>
      </c>
      <c r="I203" s="5">
        <v>0.4375</v>
      </c>
      <c r="J203" s="4" t="s">
        <v>50</v>
      </c>
      <c r="K203" s="4" t="s">
        <v>49</v>
      </c>
      <c r="L203" s="5">
        <v>0.45833333333333331</v>
      </c>
      <c r="M203" s="4" t="s">
        <v>51</v>
      </c>
      <c r="N203" s="3">
        <v>78</v>
      </c>
      <c r="O203" s="4" t="s">
        <v>24</v>
      </c>
      <c r="P203" s="4" t="s">
        <v>25</v>
      </c>
      <c r="Q203" s="4"/>
      <c r="R203">
        <f>tblDailySchedule[[#This Row],[Capacity Approx]]*'[1]Load Factor Sheet June Acft  '!$B$5</f>
        <v>63.162272727272729</v>
      </c>
      <c r="S203">
        <f>tblDailySchedule[[#This Row],[Capacity Approx]]*'[1]Load Factor Sheet June Acft  '!$D$5</f>
        <v>68.391818181818181</v>
      </c>
      <c r="T203" s="22">
        <f>tblDailySchedule[[#This Row],[STD]]</f>
        <v>0.45833333333333331</v>
      </c>
    </row>
    <row r="204" spans="1:20" hidden="1" x14ac:dyDescent="0.35">
      <c r="A204" s="2">
        <v>46117</v>
      </c>
      <c r="B204" s="3">
        <v>7</v>
      </c>
      <c r="C204" s="4" t="s">
        <v>17</v>
      </c>
      <c r="D204" s="4" t="s">
        <v>18</v>
      </c>
      <c r="E204" s="3">
        <v>10</v>
      </c>
      <c r="F204" s="4" t="s">
        <v>19</v>
      </c>
      <c r="G204" s="4" t="s">
        <v>52</v>
      </c>
      <c r="H204" s="4" t="s">
        <v>27</v>
      </c>
      <c r="I204" s="5">
        <v>0.4826388888888889</v>
      </c>
      <c r="J204" s="4" t="s">
        <v>53</v>
      </c>
      <c r="K204" s="4" t="s">
        <v>27</v>
      </c>
      <c r="L204" s="5">
        <v>0.51041666666666663</v>
      </c>
      <c r="M204" s="4" t="s">
        <v>23</v>
      </c>
      <c r="N204" s="3">
        <v>186</v>
      </c>
      <c r="O204" s="4" t="s">
        <v>24</v>
      </c>
      <c r="P204" s="4" t="s">
        <v>25</v>
      </c>
      <c r="Q204" s="4"/>
      <c r="R204">
        <f>tblDailySchedule[[#This Row],[Capacity Approx]]*'[1]Load Factor Sheet June Acft  '!$B$5</f>
        <v>150.61772727272728</v>
      </c>
      <c r="S204">
        <f>tblDailySchedule[[#This Row],[Capacity Approx]]*'[1]Load Factor Sheet June Acft  '!$D$5</f>
        <v>163.08818181818182</v>
      </c>
      <c r="T204" s="22">
        <f>tblDailySchedule[[#This Row],[STD]]</f>
        <v>0.51041666666666663</v>
      </c>
    </row>
    <row r="205" spans="1:20" hidden="1" x14ac:dyDescent="0.35">
      <c r="A205" s="2">
        <v>46117</v>
      </c>
      <c r="B205" s="3">
        <v>7</v>
      </c>
      <c r="C205" s="4" t="s">
        <v>17</v>
      </c>
      <c r="D205" s="4" t="s">
        <v>18</v>
      </c>
      <c r="E205" s="3">
        <v>11</v>
      </c>
      <c r="F205" s="4" t="s">
        <v>19</v>
      </c>
      <c r="G205" s="4" t="s">
        <v>54</v>
      </c>
      <c r="H205" s="4" t="s">
        <v>31</v>
      </c>
      <c r="I205" s="5">
        <v>0.51388888888888884</v>
      </c>
      <c r="J205" s="4" t="s">
        <v>55</v>
      </c>
      <c r="K205" s="4" t="s">
        <v>31</v>
      </c>
      <c r="L205" s="5">
        <v>0.54166666666666663</v>
      </c>
      <c r="M205" s="4" t="s">
        <v>23</v>
      </c>
      <c r="N205" s="3">
        <v>186</v>
      </c>
      <c r="O205" s="4" t="s">
        <v>24</v>
      </c>
      <c r="P205" s="4" t="s">
        <v>56</v>
      </c>
      <c r="Q205" s="4"/>
      <c r="R205">
        <f>tblDailySchedule[[#This Row],[Capacity Approx]]*'[1]Load Factor Sheet June Acft  '!$B$5</f>
        <v>150.61772727272728</v>
      </c>
      <c r="S205">
        <f>tblDailySchedule[[#This Row],[Capacity Approx]]*'[1]Load Factor Sheet June Acft  '!$D$5</f>
        <v>163.08818181818182</v>
      </c>
      <c r="T205" s="22">
        <f>tblDailySchedule[[#This Row],[STD]]</f>
        <v>0.54166666666666663</v>
      </c>
    </row>
    <row r="206" spans="1:20" hidden="1" x14ac:dyDescent="0.35">
      <c r="A206" s="2">
        <v>46117</v>
      </c>
      <c r="B206" s="3">
        <v>7</v>
      </c>
      <c r="C206" s="4" t="s">
        <v>17</v>
      </c>
      <c r="D206" s="4" t="s">
        <v>18</v>
      </c>
      <c r="E206" s="3">
        <v>13</v>
      </c>
      <c r="F206" s="4" t="s">
        <v>19</v>
      </c>
      <c r="G206" s="4" t="s">
        <v>57</v>
      </c>
      <c r="H206" s="4" t="s">
        <v>58</v>
      </c>
      <c r="I206" s="5">
        <v>0.55902777777777779</v>
      </c>
      <c r="J206" s="4" t="s">
        <v>59</v>
      </c>
      <c r="K206" s="4" t="s">
        <v>58</v>
      </c>
      <c r="L206" s="5">
        <v>0.57638888888888884</v>
      </c>
      <c r="M206" s="4" t="s">
        <v>51</v>
      </c>
      <c r="N206" s="3">
        <v>78</v>
      </c>
      <c r="O206" s="4" t="s">
        <v>24</v>
      </c>
      <c r="P206" s="4" t="s">
        <v>56</v>
      </c>
      <c r="Q206" s="4"/>
      <c r="R206">
        <f>tblDailySchedule[[#This Row],[Capacity Approx]]*'[1]Load Factor Sheet June Acft  '!$B$5</f>
        <v>63.162272727272729</v>
      </c>
      <c r="S206">
        <f>tblDailySchedule[[#This Row],[Capacity Approx]]*'[1]Load Factor Sheet June Acft  '!$D$5</f>
        <v>68.391818181818181</v>
      </c>
      <c r="T206" s="22">
        <f>tblDailySchedule[[#This Row],[STD]]</f>
        <v>0.57638888888888884</v>
      </c>
    </row>
    <row r="207" spans="1:20" hidden="1" x14ac:dyDescent="0.35">
      <c r="A207" s="2">
        <v>46117</v>
      </c>
      <c r="B207" s="3">
        <v>7</v>
      </c>
      <c r="C207" s="4" t="s">
        <v>17</v>
      </c>
      <c r="D207" s="4" t="s">
        <v>18</v>
      </c>
      <c r="E207" s="3">
        <v>14</v>
      </c>
      <c r="F207" s="4" t="s">
        <v>19</v>
      </c>
      <c r="G207" s="4" t="s">
        <v>60</v>
      </c>
      <c r="H207" s="4" t="s">
        <v>61</v>
      </c>
      <c r="I207" s="5">
        <v>0.59027777777777779</v>
      </c>
      <c r="J207" s="4" t="s">
        <v>62</v>
      </c>
      <c r="K207" s="4" t="s">
        <v>61</v>
      </c>
      <c r="L207" s="5">
        <v>0.62152777777777779</v>
      </c>
      <c r="M207" s="4" t="s">
        <v>63</v>
      </c>
      <c r="N207" s="3">
        <v>232</v>
      </c>
      <c r="O207" s="4" t="s">
        <v>24</v>
      </c>
      <c r="P207" s="4" t="s">
        <v>56</v>
      </c>
      <c r="Q207" s="4"/>
      <c r="R207">
        <f>tblDailySchedule[[#This Row],[Capacity Approx]]*'[1]Load Factor Sheet June Acft  '!$B$5</f>
        <v>187.86727272727273</v>
      </c>
      <c r="S207">
        <f>tblDailySchedule[[#This Row],[Capacity Approx]]*'[1]Load Factor Sheet June Acft  '!$D$5</f>
        <v>203.4218181818182</v>
      </c>
      <c r="T207" s="22">
        <f>tblDailySchedule[[#This Row],[STD]]</f>
        <v>0.62152777777777779</v>
      </c>
    </row>
    <row r="208" spans="1:20" hidden="1" x14ac:dyDescent="0.35">
      <c r="A208" s="2">
        <v>46117</v>
      </c>
      <c r="B208" s="3">
        <v>7</v>
      </c>
      <c r="C208" s="4" t="s">
        <v>17</v>
      </c>
      <c r="D208" s="4" t="s">
        <v>18</v>
      </c>
      <c r="E208" s="3">
        <v>15</v>
      </c>
      <c r="F208" s="4" t="s">
        <v>19</v>
      </c>
      <c r="G208" s="4" t="s">
        <v>64</v>
      </c>
      <c r="H208" s="4" t="s">
        <v>31</v>
      </c>
      <c r="I208" s="5">
        <v>0.60069444444444442</v>
      </c>
      <c r="J208" s="4" t="s">
        <v>65</v>
      </c>
      <c r="K208" s="4" t="s">
        <v>66</v>
      </c>
      <c r="L208" s="5">
        <v>0.62847222222222221</v>
      </c>
      <c r="M208" s="4" t="s">
        <v>63</v>
      </c>
      <c r="N208" s="3">
        <v>232</v>
      </c>
      <c r="O208" s="4" t="s">
        <v>24</v>
      </c>
      <c r="P208" s="4" t="s">
        <v>56</v>
      </c>
      <c r="Q208" s="4"/>
      <c r="R208">
        <f>tblDailySchedule[[#This Row],[Capacity Approx]]*'[1]Load Factor Sheet June Acft  '!$B$5</f>
        <v>187.86727272727273</v>
      </c>
      <c r="S208">
        <f>tblDailySchedule[[#This Row],[Capacity Approx]]*'[1]Load Factor Sheet June Acft  '!$D$5</f>
        <v>203.4218181818182</v>
      </c>
      <c r="T208" s="22">
        <f>tblDailySchedule[[#This Row],[STD]]</f>
        <v>0.62847222222222221</v>
      </c>
    </row>
    <row r="209" spans="1:20" hidden="1" x14ac:dyDescent="0.35">
      <c r="A209" s="2">
        <v>46117</v>
      </c>
      <c r="B209" s="3">
        <v>7</v>
      </c>
      <c r="C209" s="4" t="s">
        <v>17</v>
      </c>
      <c r="D209" s="4" t="s">
        <v>18</v>
      </c>
      <c r="E209" s="3">
        <v>16</v>
      </c>
      <c r="F209" s="4" t="s">
        <v>19</v>
      </c>
      <c r="G209" s="4" t="s">
        <v>67</v>
      </c>
      <c r="H209" s="4" t="s">
        <v>31</v>
      </c>
      <c r="I209" s="5">
        <v>0.65625</v>
      </c>
      <c r="J209" s="4" t="s">
        <v>68</v>
      </c>
      <c r="K209" s="4" t="s">
        <v>31</v>
      </c>
      <c r="L209" s="5">
        <v>0.68402777777777779</v>
      </c>
      <c r="M209" s="4" t="s">
        <v>63</v>
      </c>
      <c r="N209" s="3">
        <v>232</v>
      </c>
      <c r="O209" s="4" t="s">
        <v>24</v>
      </c>
      <c r="P209" s="4" t="s">
        <v>56</v>
      </c>
      <c r="Q209" s="4"/>
      <c r="R209">
        <f>tblDailySchedule[[#This Row],[Capacity Approx]]*'[1]Load Factor Sheet June Acft  '!$B$5</f>
        <v>187.86727272727273</v>
      </c>
      <c r="S209">
        <f>tblDailySchedule[[#This Row],[Capacity Approx]]*'[1]Load Factor Sheet June Acft  '!$D$5</f>
        <v>203.4218181818182</v>
      </c>
      <c r="T209" s="22">
        <f>tblDailySchedule[[#This Row],[STD]]</f>
        <v>0.68402777777777779</v>
      </c>
    </row>
    <row r="210" spans="1:20" hidden="1" x14ac:dyDescent="0.35">
      <c r="A210" s="2">
        <v>46117</v>
      </c>
      <c r="B210" s="3">
        <v>7</v>
      </c>
      <c r="C210" s="4" t="s">
        <v>17</v>
      </c>
      <c r="D210" s="4" t="s">
        <v>18</v>
      </c>
      <c r="E210" s="3">
        <v>17</v>
      </c>
      <c r="F210" s="4" t="s">
        <v>19</v>
      </c>
      <c r="G210" s="4" t="s">
        <v>69</v>
      </c>
      <c r="H210" s="4" t="s">
        <v>31</v>
      </c>
      <c r="I210" s="5">
        <v>0.66319444444444442</v>
      </c>
      <c r="J210" s="4" t="s">
        <v>70</v>
      </c>
      <c r="K210" s="4" t="s">
        <v>31</v>
      </c>
      <c r="L210" s="5">
        <v>0.69097222222222221</v>
      </c>
      <c r="M210" s="4" t="s">
        <v>33</v>
      </c>
      <c r="N210" s="3">
        <v>189</v>
      </c>
      <c r="O210" s="4" t="s">
        <v>24</v>
      </c>
      <c r="P210" s="4" t="s">
        <v>56</v>
      </c>
      <c r="Q210" s="4"/>
      <c r="R210">
        <f>tblDailySchedule[[#This Row],[Capacity Approx]]*'[1]Load Factor Sheet June Acft  '!$B$5</f>
        <v>153.04704545454547</v>
      </c>
      <c r="S210">
        <f>tblDailySchedule[[#This Row],[Capacity Approx]]*'[1]Load Factor Sheet June Acft  '!$D$5</f>
        <v>165.71863636363636</v>
      </c>
      <c r="T210" s="22">
        <f>tblDailySchedule[[#This Row],[STD]]</f>
        <v>0.69097222222222221</v>
      </c>
    </row>
    <row r="211" spans="1:20" hidden="1" x14ac:dyDescent="0.35">
      <c r="A211" s="2">
        <v>46117</v>
      </c>
      <c r="B211" s="3">
        <v>7</v>
      </c>
      <c r="C211" s="4" t="s">
        <v>17</v>
      </c>
      <c r="D211" s="4" t="s">
        <v>18</v>
      </c>
      <c r="E211" s="3">
        <v>18</v>
      </c>
      <c r="F211" s="4" t="s">
        <v>19</v>
      </c>
      <c r="G211" s="4" t="s">
        <v>71</v>
      </c>
      <c r="H211" s="4" t="s">
        <v>21</v>
      </c>
      <c r="I211" s="5">
        <v>0.67013888888888884</v>
      </c>
      <c r="J211" s="4" t="s">
        <v>72</v>
      </c>
      <c r="K211" s="4" t="s">
        <v>21</v>
      </c>
      <c r="L211" s="5">
        <v>0.69791666666666663</v>
      </c>
      <c r="M211" s="4" t="s">
        <v>63</v>
      </c>
      <c r="N211" s="3">
        <v>232</v>
      </c>
      <c r="O211" s="4" t="s">
        <v>24</v>
      </c>
      <c r="P211" s="4" t="s">
        <v>56</v>
      </c>
      <c r="Q211" s="4"/>
      <c r="R211">
        <f>tblDailySchedule[[#This Row],[Capacity Approx]]*'[1]Load Factor Sheet June Acft  '!$B$5</f>
        <v>187.86727272727273</v>
      </c>
      <c r="S211">
        <f>tblDailySchedule[[#This Row],[Capacity Approx]]*'[1]Load Factor Sheet June Acft  '!$D$5</f>
        <v>203.4218181818182</v>
      </c>
      <c r="T211" s="22">
        <f>tblDailySchedule[[#This Row],[STD]]</f>
        <v>0.69791666666666663</v>
      </c>
    </row>
    <row r="212" spans="1:20" hidden="1" x14ac:dyDescent="0.35">
      <c r="A212" s="2">
        <v>46117</v>
      </c>
      <c r="B212" s="3">
        <v>7</v>
      </c>
      <c r="C212" s="4" t="s">
        <v>17</v>
      </c>
      <c r="D212" s="4" t="s">
        <v>18</v>
      </c>
      <c r="E212" s="3">
        <v>19</v>
      </c>
      <c r="F212" s="4" t="s">
        <v>19</v>
      </c>
      <c r="G212" s="4" t="s">
        <v>73</v>
      </c>
      <c r="H212" s="4" t="s">
        <v>27</v>
      </c>
      <c r="I212" s="5">
        <v>0.74652777777777779</v>
      </c>
      <c r="J212" s="4" t="s">
        <v>74</v>
      </c>
      <c r="K212" s="4" t="s">
        <v>27</v>
      </c>
      <c r="L212" s="5">
        <v>0.77430555555555558</v>
      </c>
      <c r="M212" s="4" t="s">
        <v>63</v>
      </c>
      <c r="N212" s="3">
        <v>232</v>
      </c>
      <c r="O212" s="4" t="s">
        <v>24</v>
      </c>
      <c r="P212" s="4" t="s">
        <v>56</v>
      </c>
      <c r="Q212" s="4"/>
      <c r="R212">
        <f>tblDailySchedule[[#This Row],[Capacity Approx]]*'[1]Load Factor Sheet June Acft  '!$B$5</f>
        <v>187.86727272727273</v>
      </c>
      <c r="S212">
        <f>tblDailySchedule[[#This Row],[Capacity Approx]]*'[1]Load Factor Sheet June Acft  '!$D$5</f>
        <v>203.4218181818182</v>
      </c>
      <c r="T212" s="22">
        <f>tblDailySchedule[[#This Row],[STD]]</f>
        <v>0.77430555555555558</v>
      </c>
    </row>
    <row r="213" spans="1:20" hidden="1" x14ac:dyDescent="0.35">
      <c r="A213" s="2">
        <v>46117</v>
      </c>
      <c r="B213" s="3">
        <v>7</v>
      </c>
      <c r="C213" s="4" t="s">
        <v>17</v>
      </c>
      <c r="D213" s="4" t="s">
        <v>18</v>
      </c>
      <c r="E213" s="3">
        <v>20</v>
      </c>
      <c r="F213" s="4" t="s">
        <v>34</v>
      </c>
      <c r="G213" s="4" t="s">
        <v>75</v>
      </c>
      <c r="H213" s="4" t="s">
        <v>76</v>
      </c>
      <c r="I213" s="5">
        <v>0.76388888888888884</v>
      </c>
      <c r="J213" s="4" t="s">
        <v>77</v>
      </c>
      <c r="K213" s="4" t="s">
        <v>78</v>
      </c>
      <c r="L213" s="5">
        <v>0.78472222222222221</v>
      </c>
      <c r="M213" s="4" t="s">
        <v>51</v>
      </c>
      <c r="N213" s="3">
        <v>78</v>
      </c>
      <c r="O213" s="4" t="s">
        <v>24</v>
      </c>
      <c r="P213" s="4" t="s">
        <v>79</v>
      </c>
      <c r="Q213" s="10" t="s">
        <v>80</v>
      </c>
      <c r="R213">
        <f>tblDailySchedule[[#This Row],[Capacity Approx]]*'[1]Load Factor Sheet June Acft  '!$B$5</f>
        <v>63.162272727272729</v>
      </c>
      <c r="S213">
        <f>tblDailySchedule[[#This Row],[Capacity Approx]]*'[1]Load Factor Sheet June Acft  '!$D$5</f>
        <v>68.391818181818181</v>
      </c>
      <c r="T213" s="22">
        <f>tblDailySchedule[[#This Row],[STD]]</f>
        <v>0.78472222222222221</v>
      </c>
    </row>
    <row r="214" spans="1:20" hidden="1" x14ac:dyDescent="0.35">
      <c r="A214" s="2">
        <v>46117</v>
      </c>
      <c r="B214" s="3">
        <v>7</v>
      </c>
      <c r="C214" s="4" t="s">
        <v>17</v>
      </c>
      <c r="D214" s="4" t="s">
        <v>18</v>
      </c>
      <c r="E214" s="3">
        <v>21</v>
      </c>
      <c r="F214" s="4" t="s">
        <v>19</v>
      </c>
      <c r="G214" s="4" t="s">
        <v>81</v>
      </c>
      <c r="H214" s="4" t="s">
        <v>61</v>
      </c>
      <c r="I214" s="5">
        <v>0.77083333333333337</v>
      </c>
      <c r="J214" s="4" t="s">
        <v>82</v>
      </c>
      <c r="K214" s="4" t="s">
        <v>49</v>
      </c>
      <c r="L214" s="5">
        <v>0.79166666666666663</v>
      </c>
      <c r="M214" s="4" t="s">
        <v>33</v>
      </c>
      <c r="N214" s="3">
        <v>189</v>
      </c>
      <c r="O214" s="4" t="s">
        <v>24</v>
      </c>
      <c r="P214" s="4" t="s">
        <v>79</v>
      </c>
      <c r="Q214" s="4"/>
      <c r="R214">
        <f>tblDailySchedule[[#This Row],[Capacity Approx]]*'[1]Load Factor Sheet June Acft  '!$B$5</f>
        <v>153.04704545454547</v>
      </c>
      <c r="S214">
        <f>tblDailySchedule[[#This Row],[Capacity Approx]]*'[1]Load Factor Sheet June Acft  '!$D$5</f>
        <v>165.71863636363636</v>
      </c>
      <c r="T214" s="22">
        <f>tblDailySchedule[[#This Row],[STD]]</f>
        <v>0.79166666666666663</v>
      </c>
    </row>
    <row r="215" spans="1:20" hidden="1" x14ac:dyDescent="0.35">
      <c r="A215" s="2">
        <v>46117</v>
      </c>
      <c r="B215" s="3">
        <v>7</v>
      </c>
      <c r="C215" s="4" t="s">
        <v>17</v>
      </c>
      <c r="D215" s="4" t="s">
        <v>18</v>
      </c>
      <c r="E215" s="3">
        <v>22</v>
      </c>
      <c r="F215" s="4" t="s">
        <v>19</v>
      </c>
      <c r="G215" s="4" t="s">
        <v>83</v>
      </c>
      <c r="H215" s="4" t="s">
        <v>31</v>
      </c>
      <c r="I215" s="5">
        <v>0.77777777777777779</v>
      </c>
      <c r="J215" s="4" t="s">
        <v>84</v>
      </c>
      <c r="K215" s="4" t="s">
        <v>31</v>
      </c>
      <c r="L215" s="5">
        <v>0.80555555555555558</v>
      </c>
      <c r="M215" s="4" t="s">
        <v>63</v>
      </c>
      <c r="N215" s="3">
        <v>232</v>
      </c>
      <c r="O215" s="4" t="s">
        <v>24</v>
      </c>
      <c r="P215" s="4" t="s">
        <v>79</v>
      </c>
      <c r="Q215" s="4"/>
      <c r="R215">
        <f>tblDailySchedule[[#This Row],[Capacity Approx]]*'[1]Load Factor Sheet June Acft  '!$B$5</f>
        <v>187.86727272727273</v>
      </c>
      <c r="S215">
        <f>tblDailySchedule[[#This Row],[Capacity Approx]]*'[1]Load Factor Sheet June Acft  '!$D$5</f>
        <v>203.4218181818182</v>
      </c>
      <c r="T215" s="22">
        <f>tblDailySchedule[[#This Row],[STD]]</f>
        <v>0.80555555555555558</v>
      </c>
    </row>
    <row r="216" spans="1:20" hidden="1" x14ac:dyDescent="0.35">
      <c r="A216" s="2">
        <v>46117</v>
      </c>
      <c r="B216" s="3">
        <v>7</v>
      </c>
      <c r="C216" s="4" t="s">
        <v>17</v>
      </c>
      <c r="D216" s="4" t="s">
        <v>18</v>
      </c>
      <c r="E216" s="3">
        <v>23</v>
      </c>
      <c r="F216" s="4" t="s">
        <v>19</v>
      </c>
      <c r="G216" s="4" t="s">
        <v>85</v>
      </c>
      <c r="H216" s="4" t="s">
        <v>86</v>
      </c>
      <c r="I216" s="5">
        <v>0.79861111111111116</v>
      </c>
      <c r="J216" s="4" t="s">
        <v>87</v>
      </c>
      <c r="K216" s="4" t="s">
        <v>86</v>
      </c>
      <c r="L216" s="5">
        <v>0.82638888888888884</v>
      </c>
      <c r="M216" s="4" t="s">
        <v>63</v>
      </c>
      <c r="N216" s="3">
        <v>232</v>
      </c>
      <c r="O216" s="4" t="s">
        <v>24</v>
      </c>
      <c r="P216" s="4" t="s">
        <v>79</v>
      </c>
      <c r="Q216" s="4"/>
      <c r="R216">
        <f>tblDailySchedule[[#This Row],[Capacity Approx]]*'[1]Load Factor Sheet June Acft  '!$B$5</f>
        <v>187.86727272727273</v>
      </c>
      <c r="S216">
        <f>tblDailySchedule[[#This Row],[Capacity Approx]]*'[1]Load Factor Sheet June Acft  '!$D$5</f>
        <v>203.4218181818182</v>
      </c>
      <c r="T216" s="22">
        <f>tblDailySchedule[[#This Row],[STD]]</f>
        <v>0.82638888888888884</v>
      </c>
    </row>
    <row r="217" spans="1:20" hidden="1" x14ac:dyDescent="0.35">
      <c r="A217" s="2">
        <v>46117</v>
      </c>
      <c r="B217" s="3">
        <v>7</v>
      </c>
      <c r="C217" s="4" t="s">
        <v>17</v>
      </c>
      <c r="D217" s="4" t="s">
        <v>18</v>
      </c>
      <c r="E217" s="3">
        <v>24</v>
      </c>
      <c r="F217" s="4" t="s">
        <v>19</v>
      </c>
      <c r="G217" s="4" t="s">
        <v>88</v>
      </c>
      <c r="H217" s="4" t="s">
        <v>89</v>
      </c>
      <c r="I217" s="5">
        <v>0.83333333333333337</v>
      </c>
      <c r="J217" s="4" t="s">
        <v>90</v>
      </c>
      <c r="K217" s="4" t="s">
        <v>31</v>
      </c>
      <c r="L217" s="5">
        <v>0.86111111111111116</v>
      </c>
      <c r="M217" s="4" t="s">
        <v>63</v>
      </c>
      <c r="N217" s="3">
        <v>232</v>
      </c>
      <c r="O217" s="4" t="s">
        <v>24</v>
      </c>
      <c r="P217" s="4" t="s">
        <v>79</v>
      </c>
      <c r="Q217" s="4"/>
      <c r="R217">
        <f>tblDailySchedule[[#This Row],[Capacity Approx]]*'[1]Load Factor Sheet June Acft  '!$B$5</f>
        <v>187.86727272727273</v>
      </c>
      <c r="S217">
        <f>tblDailySchedule[[#This Row],[Capacity Approx]]*'[1]Load Factor Sheet June Acft  '!$D$5</f>
        <v>203.4218181818182</v>
      </c>
      <c r="T217" s="22">
        <f>tblDailySchedule[[#This Row],[STD]]</f>
        <v>0.86111111111111116</v>
      </c>
    </row>
    <row r="218" spans="1:20" hidden="1" x14ac:dyDescent="0.35">
      <c r="A218" s="2">
        <v>46117</v>
      </c>
      <c r="B218" s="3">
        <v>7</v>
      </c>
      <c r="C218" s="4" t="s">
        <v>17</v>
      </c>
      <c r="D218" s="4" t="s">
        <v>18</v>
      </c>
      <c r="E218" s="3">
        <v>25</v>
      </c>
      <c r="F218" s="4" t="s">
        <v>19</v>
      </c>
      <c r="G218" s="4" t="s">
        <v>91</v>
      </c>
      <c r="H218" s="4" t="s">
        <v>61</v>
      </c>
      <c r="I218" s="5">
        <v>0.85416666666666663</v>
      </c>
      <c r="J218" s="4" t="s">
        <v>92</v>
      </c>
      <c r="K218" s="4" t="s">
        <v>61</v>
      </c>
      <c r="L218" s="5">
        <v>0.88194444444444442</v>
      </c>
      <c r="M218" s="4" t="s">
        <v>63</v>
      </c>
      <c r="N218" s="3">
        <v>232</v>
      </c>
      <c r="O218" s="4" t="s">
        <v>24</v>
      </c>
      <c r="P218" s="4" t="s">
        <v>79</v>
      </c>
      <c r="Q218" s="4"/>
      <c r="R218">
        <f>tblDailySchedule[[#This Row],[Capacity Approx]]*'[1]Load Factor Sheet June Acft  '!$B$5</f>
        <v>187.86727272727273</v>
      </c>
      <c r="S218">
        <f>tblDailySchedule[[#This Row],[Capacity Approx]]*'[1]Load Factor Sheet June Acft  '!$D$5</f>
        <v>203.4218181818182</v>
      </c>
      <c r="T218" s="22">
        <f>tblDailySchedule[[#This Row],[STD]]</f>
        <v>0.88194444444444442</v>
      </c>
    </row>
    <row r="219" spans="1:20" hidden="1" x14ac:dyDescent="0.35">
      <c r="A219" s="2">
        <v>46117</v>
      </c>
      <c r="B219" s="3">
        <v>7</v>
      </c>
      <c r="C219" s="4" t="s">
        <v>17</v>
      </c>
      <c r="D219" s="4" t="s">
        <v>18</v>
      </c>
      <c r="E219" s="3">
        <v>26</v>
      </c>
      <c r="F219" s="4" t="s">
        <v>19</v>
      </c>
      <c r="G219" s="4" t="s">
        <v>93</v>
      </c>
      <c r="H219" s="4" t="s">
        <v>31</v>
      </c>
      <c r="I219" s="5">
        <v>0.86111111111111116</v>
      </c>
      <c r="J219" s="4" t="s">
        <v>94</v>
      </c>
      <c r="K219" s="4" t="s">
        <v>31</v>
      </c>
      <c r="L219" s="5">
        <v>0.88888888888888884</v>
      </c>
      <c r="M219" s="4" t="s">
        <v>23</v>
      </c>
      <c r="N219" s="3">
        <v>186</v>
      </c>
      <c r="O219" s="4" t="s">
        <v>24</v>
      </c>
      <c r="P219" s="4" t="s">
        <v>79</v>
      </c>
      <c r="Q219" s="4"/>
      <c r="R219">
        <f>tblDailySchedule[[#This Row],[Capacity Approx]]*'[1]Load Factor Sheet June Acft  '!$B$5</f>
        <v>150.61772727272728</v>
      </c>
      <c r="S219">
        <f>tblDailySchedule[[#This Row],[Capacity Approx]]*'[1]Load Factor Sheet June Acft  '!$D$5</f>
        <v>163.08818181818182</v>
      </c>
      <c r="T219" s="22">
        <f>tblDailySchedule[[#This Row],[STD]]</f>
        <v>0.88888888888888884</v>
      </c>
    </row>
    <row r="220" spans="1:20" hidden="1" x14ac:dyDescent="0.35">
      <c r="A220" s="2">
        <v>46117</v>
      </c>
      <c r="B220" s="3">
        <v>7</v>
      </c>
      <c r="C220" s="4" t="s">
        <v>17</v>
      </c>
      <c r="D220" s="4" t="s">
        <v>18</v>
      </c>
      <c r="E220" s="3">
        <v>27</v>
      </c>
      <c r="F220" s="4" t="s">
        <v>19</v>
      </c>
      <c r="G220" s="4" t="s">
        <v>95</v>
      </c>
      <c r="H220" s="4" t="s">
        <v>21</v>
      </c>
      <c r="I220" s="5">
        <v>0.86805555555555558</v>
      </c>
      <c r="J220" s="4" t="s">
        <v>96</v>
      </c>
      <c r="K220" s="4" t="s">
        <v>21</v>
      </c>
      <c r="L220" s="5">
        <v>0.89583333333333337</v>
      </c>
      <c r="M220" s="4" t="s">
        <v>29</v>
      </c>
      <c r="N220" s="3">
        <v>186</v>
      </c>
      <c r="O220" s="4" t="s">
        <v>24</v>
      </c>
      <c r="P220" s="4" t="s">
        <v>79</v>
      </c>
      <c r="Q220" s="4"/>
      <c r="R220">
        <f>tblDailySchedule[[#This Row],[Capacity Approx]]*'[1]Load Factor Sheet June Acft  '!$B$5</f>
        <v>150.61772727272728</v>
      </c>
      <c r="S220">
        <f>tblDailySchedule[[#This Row],[Capacity Approx]]*'[1]Load Factor Sheet June Acft  '!$D$5</f>
        <v>163.08818181818182</v>
      </c>
      <c r="T220" s="22">
        <f>tblDailySchedule[[#This Row],[STD]]</f>
        <v>0.89583333333333337</v>
      </c>
    </row>
    <row r="221" spans="1:20" hidden="1" x14ac:dyDescent="0.35">
      <c r="A221" s="2">
        <v>46117</v>
      </c>
      <c r="B221" s="3">
        <v>7</v>
      </c>
      <c r="C221" s="4" t="s">
        <v>17</v>
      </c>
      <c r="D221" s="4" t="s">
        <v>18</v>
      </c>
      <c r="E221" s="3">
        <v>28</v>
      </c>
      <c r="F221" s="4" t="s">
        <v>19</v>
      </c>
      <c r="G221" s="4" t="s">
        <v>97</v>
      </c>
      <c r="H221" s="4" t="s">
        <v>49</v>
      </c>
      <c r="I221" s="5">
        <v>0.90277777777777779</v>
      </c>
      <c r="J221" s="4" t="s">
        <v>97</v>
      </c>
      <c r="K221" s="4" t="s">
        <v>61</v>
      </c>
      <c r="L221" s="5">
        <v>0.92361111111111116</v>
      </c>
      <c r="M221" s="4" t="s">
        <v>33</v>
      </c>
      <c r="N221" s="3">
        <v>189</v>
      </c>
      <c r="O221" s="4" t="s">
        <v>24</v>
      </c>
      <c r="P221" s="4" t="s">
        <v>79</v>
      </c>
      <c r="Q221" s="4"/>
      <c r="R221">
        <f>tblDailySchedule[[#This Row],[Capacity Approx]]*'[1]Load Factor Sheet June Acft  '!$B$5</f>
        <v>153.04704545454547</v>
      </c>
      <c r="S221">
        <f>tblDailySchedule[[#This Row],[Capacity Approx]]*'[1]Load Factor Sheet June Acft  '!$D$5</f>
        <v>165.71863636363636</v>
      </c>
      <c r="T221" s="22">
        <f>tblDailySchedule[[#This Row],[STD]]</f>
        <v>0.92361111111111116</v>
      </c>
    </row>
    <row r="222" spans="1:20" hidden="1" x14ac:dyDescent="0.35">
      <c r="A222" s="2">
        <v>46117</v>
      </c>
      <c r="B222" s="3">
        <v>7</v>
      </c>
      <c r="C222" s="4" t="s">
        <v>17</v>
      </c>
      <c r="D222" s="4" t="s">
        <v>18</v>
      </c>
      <c r="E222" s="3">
        <v>29</v>
      </c>
      <c r="F222" s="4" t="s">
        <v>19</v>
      </c>
      <c r="G222" s="4" t="s">
        <v>98</v>
      </c>
      <c r="H222" s="4" t="s">
        <v>21</v>
      </c>
      <c r="I222" s="5">
        <v>0.92013888888888884</v>
      </c>
      <c r="J222" s="4" t="s">
        <v>99</v>
      </c>
      <c r="K222" s="4" t="s">
        <v>21</v>
      </c>
      <c r="L222" s="5">
        <v>0.94791666666666663</v>
      </c>
      <c r="M222" s="4" t="s">
        <v>63</v>
      </c>
      <c r="N222" s="3">
        <v>232</v>
      </c>
      <c r="O222" s="4" t="s">
        <v>24</v>
      </c>
      <c r="P222" s="4" t="s">
        <v>79</v>
      </c>
      <c r="Q222" s="4"/>
      <c r="R222">
        <f>tblDailySchedule[[#This Row],[Capacity Approx]]*'[1]Load Factor Sheet June Acft  '!$B$5</f>
        <v>187.86727272727273</v>
      </c>
      <c r="S222">
        <f>tblDailySchedule[[#This Row],[Capacity Approx]]*'[1]Load Factor Sheet June Acft  '!$D$5</f>
        <v>203.4218181818182</v>
      </c>
      <c r="T222" s="22">
        <f>tblDailySchedule[[#This Row],[STD]]</f>
        <v>0.94791666666666663</v>
      </c>
    </row>
    <row r="223" spans="1:20" hidden="1" x14ac:dyDescent="0.35">
      <c r="A223" s="2">
        <v>46118</v>
      </c>
      <c r="B223" s="3">
        <v>1</v>
      </c>
      <c r="C223" s="4" t="s">
        <v>100</v>
      </c>
      <c r="D223" s="4" t="s">
        <v>18</v>
      </c>
      <c r="E223" s="3">
        <v>1</v>
      </c>
      <c r="F223" s="4" t="s">
        <v>101</v>
      </c>
      <c r="G223" s="4" t="s">
        <v>102</v>
      </c>
      <c r="H223" s="4" t="s">
        <v>61</v>
      </c>
      <c r="I223" s="5">
        <v>0.3125</v>
      </c>
      <c r="J223" s="4" t="s">
        <v>103</v>
      </c>
      <c r="K223" s="4" t="s">
        <v>61</v>
      </c>
      <c r="L223" s="5">
        <v>0.33333333333333331</v>
      </c>
      <c r="M223" s="4" t="s">
        <v>33</v>
      </c>
      <c r="N223" s="3">
        <v>189</v>
      </c>
      <c r="O223" s="4" t="s">
        <v>24</v>
      </c>
      <c r="P223" s="4" t="s">
        <v>25</v>
      </c>
      <c r="Q223" s="4"/>
      <c r="R223">
        <f>tblDailySchedule[[#This Row],[Capacity Approx]]*'[1]Load Factor Sheet June Acft  '!$B$5</f>
        <v>153.04704545454547</v>
      </c>
      <c r="S223">
        <f>tblDailySchedule[[#This Row],[Capacity Approx]]*'[1]Load Factor Sheet June Acft  '!$D$5</f>
        <v>165.71863636363636</v>
      </c>
      <c r="T223" s="22">
        <f>tblDailySchedule[[#This Row],[STD]]</f>
        <v>0.33333333333333331</v>
      </c>
    </row>
    <row r="224" spans="1:20" hidden="1" x14ac:dyDescent="0.35">
      <c r="A224" s="2">
        <v>46118</v>
      </c>
      <c r="B224" s="3">
        <v>1</v>
      </c>
      <c r="C224" s="4" t="s">
        <v>100</v>
      </c>
      <c r="D224" s="4" t="s">
        <v>18</v>
      </c>
      <c r="E224" s="3">
        <v>2</v>
      </c>
      <c r="F224" s="4" t="s">
        <v>19</v>
      </c>
      <c r="G224" s="4" t="s">
        <v>20</v>
      </c>
      <c r="H224" s="4" t="s">
        <v>21</v>
      </c>
      <c r="I224" s="5">
        <v>0.31944444444444442</v>
      </c>
      <c r="J224" s="4" t="s">
        <v>22</v>
      </c>
      <c r="K224" s="4" t="s">
        <v>21</v>
      </c>
      <c r="L224" s="5">
        <v>0.34722222222222221</v>
      </c>
      <c r="M224" s="4" t="s">
        <v>23</v>
      </c>
      <c r="N224" s="3">
        <v>186</v>
      </c>
      <c r="O224" s="4" t="s">
        <v>24</v>
      </c>
      <c r="P224" s="4" t="s">
        <v>25</v>
      </c>
      <c r="Q224" s="4"/>
      <c r="R224">
        <f>tblDailySchedule[[#This Row],[Capacity Approx]]*'[1]Load Factor Sheet June Acft  '!$B$5</f>
        <v>150.61772727272728</v>
      </c>
      <c r="S224">
        <f>tblDailySchedule[[#This Row],[Capacity Approx]]*'[1]Load Factor Sheet June Acft  '!$D$5</f>
        <v>163.08818181818182</v>
      </c>
      <c r="T224" s="22">
        <f>tblDailySchedule[[#This Row],[STD]]</f>
        <v>0.34722222222222221</v>
      </c>
    </row>
    <row r="225" spans="1:20" hidden="1" x14ac:dyDescent="0.35">
      <c r="A225" s="2">
        <v>46118</v>
      </c>
      <c r="B225" s="3">
        <v>1</v>
      </c>
      <c r="C225" s="4" t="s">
        <v>100</v>
      </c>
      <c r="D225" s="4" t="s">
        <v>18</v>
      </c>
      <c r="E225" s="3">
        <v>3</v>
      </c>
      <c r="F225" s="4" t="s">
        <v>19</v>
      </c>
      <c r="G225" s="4" t="s">
        <v>26</v>
      </c>
      <c r="H225" s="4" t="s">
        <v>27</v>
      </c>
      <c r="I225" s="5">
        <v>0.3263888888888889</v>
      </c>
      <c r="J225" s="4" t="s">
        <v>28</v>
      </c>
      <c r="K225" s="4" t="s">
        <v>27</v>
      </c>
      <c r="L225" s="5">
        <v>0.35416666666666669</v>
      </c>
      <c r="M225" s="4" t="s">
        <v>29</v>
      </c>
      <c r="N225" s="3">
        <v>186</v>
      </c>
      <c r="O225" s="4" t="s">
        <v>24</v>
      </c>
      <c r="P225" s="4" t="s">
        <v>25</v>
      </c>
      <c r="Q225" s="4"/>
      <c r="R225">
        <f>tblDailySchedule[[#This Row],[Capacity Approx]]*'[1]Load Factor Sheet June Acft  '!$B$5</f>
        <v>150.61772727272728</v>
      </c>
      <c r="S225">
        <f>tblDailySchedule[[#This Row],[Capacity Approx]]*'[1]Load Factor Sheet June Acft  '!$D$5</f>
        <v>163.08818181818182</v>
      </c>
      <c r="T225" s="22">
        <f>tblDailySchedule[[#This Row],[STD]]</f>
        <v>0.35416666666666669</v>
      </c>
    </row>
    <row r="226" spans="1:20" hidden="1" x14ac:dyDescent="0.35">
      <c r="A226" s="2">
        <v>46118</v>
      </c>
      <c r="B226" s="3">
        <v>1</v>
      </c>
      <c r="C226" s="4" t="s">
        <v>100</v>
      </c>
      <c r="D226" s="4" t="s">
        <v>18</v>
      </c>
      <c r="E226" s="3">
        <v>4</v>
      </c>
      <c r="F226" s="4" t="s">
        <v>19</v>
      </c>
      <c r="G226" s="4" t="s">
        <v>30</v>
      </c>
      <c r="H226" s="4" t="s">
        <v>31</v>
      </c>
      <c r="I226" s="5">
        <v>0.34722222222222221</v>
      </c>
      <c r="J226" s="4" t="s">
        <v>32</v>
      </c>
      <c r="K226" s="4" t="s">
        <v>31</v>
      </c>
      <c r="L226" s="5">
        <v>0.36805555555555558</v>
      </c>
      <c r="M226" s="4" t="s">
        <v>33</v>
      </c>
      <c r="N226" s="3">
        <v>189</v>
      </c>
      <c r="O226" s="4" t="s">
        <v>24</v>
      </c>
      <c r="P226" s="4" t="s">
        <v>25</v>
      </c>
      <c r="Q226" s="4"/>
      <c r="R226">
        <f>tblDailySchedule[[#This Row],[Capacity Approx]]*'[1]Load Factor Sheet June Acft  '!$B$5</f>
        <v>153.04704545454547</v>
      </c>
      <c r="S226">
        <f>tblDailySchedule[[#This Row],[Capacity Approx]]*'[1]Load Factor Sheet June Acft  '!$D$5</f>
        <v>165.71863636363636</v>
      </c>
      <c r="T226" s="22">
        <f>tblDailySchedule[[#This Row],[STD]]</f>
        <v>0.36805555555555558</v>
      </c>
    </row>
    <row r="227" spans="1:20" hidden="1" x14ac:dyDescent="0.35">
      <c r="A227" s="6">
        <v>46118</v>
      </c>
      <c r="B227" s="7">
        <v>1</v>
      </c>
      <c r="C227" s="8" t="s">
        <v>100</v>
      </c>
      <c r="D227" s="8" t="s">
        <v>18</v>
      </c>
      <c r="E227" s="7">
        <v>6</v>
      </c>
      <c r="F227" s="8" t="s">
        <v>34</v>
      </c>
      <c r="G227" s="8" t="s">
        <v>35</v>
      </c>
      <c r="H227" s="8" t="s">
        <v>36</v>
      </c>
      <c r="I227" s="9">
        <v>0.34722222222222221</v>
      </c>
      <c r="J227" s="8" t="s">
        <v>37</v>
      </c>
      <c r="K227" s="8" t="s">
        <v>36</v>
      </c>
      <c r="L227" s="9">
        <v>0.40972222222222221</v>
      </c>
      <c r="M227" s="8" t="s">
        <v>38</v>
      </c>
      <c r="N227" s="7">
        <v>186</v>
      </c>
      <c r="O227" s="8" t="s">
        <v>39</v>
      </c>
      <c r="P227" s="8" t="s">
        <v>25</v>
      </c>
      <c r="Q227" s="8" t="s">
        <v>39</v>
      </c>
      <c r="R227">
        <f>tblDailySchedule[[#This Row],[Capacity Approx]]*'[1]Load Factor Sheet June Acft  '!$B$5</f>
        <v>150.61772727272728</v>
      </c>
      <c r="S227">
        <f>tblDailySchedule[[#This Row],[Capacity Approx]]*'[1]Load Factor Sheet June Acft  '!$D$5</f>
        <v>163.08818181818182</v>
      </c>
      <c r="T227" s="22">
        <f>tblDailySchedule[[#This Row],[STD]]</f>
        <v>0.40972222222222221</v>
      </c>
    </row>
    <row r="228" spans="1:20" hidden="1" x14ac:dyDescent="0.35">
      <c r="A228" s="2">
        <v>46118</v>
      </c>
      <c r="B228" s="3">
        <v>1</v>
      </c>
      <c r="C228" s="4" t="s">
        <v>100</v>
      </c>
      <c r="D228" s="4" t="s">
        <v>18</v>
      </c>
      <c r="E228" s="3">
        <v>5</v>
      </c>
      <c r="F228" s="4" t="s">
        <v>19</v>
      </c>
      <c r="G228" s="4" t="s">
        <v>40</v>
      </c>
      <c r="H228" s="4" t="s">
        <v>31</v>
      </c>
      <c r="I228" s="5">
        <v>0.35069444444444442</v>
      </c>
      <c r="J228" s="4" t="s">
        <v>41</v>
      </c>
      <c r="K228" s="4" t="s">
        <v>31</v>
      </c>
      <c r="L228" s="5">
        <v>0.37152777777777779</v>
      </c>
      <c r="M228" s="4" t="s">
        <v>23</v>
      </c>
      <c r="N228" s="3">
        <v>186</v>
      </c>
      <c r="O228" s="4" t="s">
        <v>24</v>
      </c>
      <c r="P228" s="4" t="s">
        <v>25</v>
      </c>
      <c r="Q228" s="4"/>
      <c r="R228">
        <f>tblDailySchedule[[#This Row],[Capacity Approx]]*'[1]Load Factor Sheet June Acft  '!$B$5</f>
        <v>150.61772727272728</v>
      </c>
      <c r="S228">
        <f>tblDailySchedule[[#This Row],[Capacity Approx]]*'[1]Load Factor Sheet June Acft  '!$D$5</f>
        <v>163.08818181818182</v>
      </c>
      <c r="T228" s="22">
        <f>tblDailySchedule[[#This Row],[STD]]</f>
        <v>0.37152777777777779</v>
      </c>
    </row>
    <row r="229" spans="1:20" hidden="1" x14ac:dyDescent="0.35">
      <c r="A229" s="2">
        <v>46118</v>
      </c>
      <c r="B229" s="3">
        <v>1</v>
      </c>
      <c r="C229" s="4" t="s">
        <v>100</v>
      </c>
      <c r="D229" s="4" t="s">
        <v>18</v>
      </c>
      <c r="E229" s="3">
        <v>7</v>
      </c>
      <c r="F229" s="4" t="s">
        <v>19</v>
      </c>
      <c r="G229" s="4" t="s">
        <v>42</v>
      </c>
      <c r="H229" s="4" t="s">
        <v>43</v>
      </c>
      <c r="I229" s="5">
        <v>0.3923611111111111</v>
      </c>
      <c r="J229" s="4" t="s">
        <v>44</v>
      </c>
      <c r="K229" s="4" t="s">
        <v>43</v>
      </c>
      <c r="L229" s="5">
        <v>0.40277777777777779</v>
      </c>
      <c r="M229" s="4" t="s">
        <v>45</v>
      </c>
      <c r="N229" s="3">
        <v>9</v>
      </c>
      <c r="O229" s="4" t="s">
        <v>24</v>
      </c>
      <c r="P229" s="4" t="s">
        <v>25</v>
      </c>
      <c r="Q229" s="4"/>
      <c r="R229">
        <f>tblDailySchedule[[#This Row],[Capacity Approx]]*'[1]Load Factor Sheet June Acft  '!$B$5</f>
        <v>7.2879545454545456</v>
      </c>
      <c r="S229">
        <f>tblDailySchedule[[#This Row],[Capacity Approx]]*'[1]Load Factor Sheet June Acft  '!$D$5</f>
        <v>7.8913636363636366</v>
      </c>
      <c r="T229" s="22">
        <f>tblDailySchedule[[#This Row],[STD]]</f>
        <v>0.40277777777777779</v>
      </c>
    </row>
    <row r="230" spans="1:20" hidden="1" x14ac:dyDescent="0.35">
      <c r="A230" s="2">
        <v>46118</v>
      </c>
      <c r="B230" s="3">
        <v>1</v>
      </c>
      <c r="C230" s="4" t="s">
        <v>100</v>
      </c>
      <c r="D230" s="4" t="s">
        <v>18</v>
      </c>
      <c r="E230" s="3">
        <v>8</v>
      </c>
      <c r="F230" s="4" t="s">
        <v>19</v>
      </c>
      <c r="G230" s="4" t="s">
        <v>46</v>
      </c>
      <c r="H230" s="4" t="s">
        <v>31</v>
      </c>
      <c r="I230" s="5">
        <v>0.4201388888888889</v>
      </c>
      <c r="J230" s="4" t="s">
        <v>47</v>
      </c>
      <c r="K230" s="4" t="s">
        <v>31</v>
      </c>
      <c r="L230" s="5">
        <v>0.44444444444444442</v>
      </c>
      <c r="M230" s="4" t="s">
        <v>29</v>
      </c>
      <c r="N230" s="3">
        <v>186</v>
      </c>
      <c r="O230" s="4" t="s">
        <v>24</v>
      </c>
      <c r="P230" s="4" t="s">
        <v>25</v>
      </c>
      <c r="Q230" s="4"/>
      <c r="R230">
        <f>tblDailySchedule[[#This Row],[Capacity Approx]]*'[1]Load Factor Sheet June Acft  '!$B$5</f>
        <v>150.61772727272728</v>
      </c>
      <c r="S230">
        <f>tblDailySchedule[[#This Row],[Capacity Approx]]*'[1]Load Factor Sheet June Acft  '!$D$5</f>
        <v>163.08818181818182</v>
      </c>
      <c r="T230" s="22">
        <f>tblDailySchedule[[#This Row],[STD]]</f>
        <v>0.44444444444444442</v>
      </c>
    </row>
    <row r="231" spans="1:20" hidden="1" x14ac:dyDescent="0.35">
      <c r="A231" s="2">
        <v>46118</v>
      </c>
      <c r="B231" s="3">
        <v>1</v>
      </c>
      <c r="C231" s="4" t="s">
        <v>100</v>
      </c>
      <c r="D231" s="4" t="s">
        <v>18</v>
      </c>
      <c r="E231" s="3">
        <v>9</v>
      </c>
      <c r="F231" s="4" t="s">
        <v>19</v>
      </c>
      <c r="G231" s="4" t="s">
        <v>48</v>
      </c>
      <c r="H231" s="4" t="s">
        <v>49</v>
      </c>
      <c r="I231" s="5">
        <v>0.4375</v>
      </c>
      <c r="J231" s="4" t="s">
        <v>50</v>
      </c>
      <c r="K231" s="4" t="s">
        <v>49</v>
      </c>
      <c r="L231" s="5">
        <v>0.45833333333333331</v>
      </c>
      <c r="M231" s="4" t="s">
        <v>51</v>
      </c>
      <c r="N231" s="3">
        <v>78</v>
      </c>
      <c r="O231" s="4" t="s">
        <v>24</v>
      </c>
      <c r="P231" s="4" t="s">
        <v>25</v>
      </c>
      <c r="Q231" s="4"/>
      <c r="R231">
        <f>tblDailySchedule[[#This Row],[Capacity Approx]]*'[1]Load Factor Sheet June Acft  '!$B$5</f>
        <v>63.162272727272729</v>
      </c>
      <c r="S231">
        <f>tblDailySchedule[[#This Row],[Capacity Approx]]*'[1]Load Factor Sheet June Acft  '!$D$5</f>
        <v>68.391818181818181</v>
      </c>
      <c r="T231" s="22">
        <f>tblDailySchedule[[#This Row],[STD]]</f>
        <v>0.45833333333333331</v>
      </c>
    </row>
    <row r="232" spans="1:20" hidden="1" x14ac:dyDescent="0.35">
      <c r="A232" s="2">
        <v>46118</v>
      </c>
      <c r="B232" s="3">
        <v>1</v>
      </c>
      <c r="C232" s="4" t="s">
        <v>100</v>
      </c>
      <c r="D232" s="4" t="s">
        <v>18</v>
      </c>
      <c r="E232" s="3">
        <v>10</v>
      </c>
      <c r="F232" s="4" t="s">
        <v>19</v>
      </c>
      <c r="G232" s="4" t="s">
        <v>52</v>
      </c>
      <c r="H232" s="4" t="s">
        <v>27</v>
      </c>
      <c r="I232" s="5">
        <v>0.4826388888888889</v>
      </c>
      <c r="J232" s="4" t="s">
        <v>53</v>
      </c>
      <c r="K232" s="4" t="s">
        <v>27</v>
      </c>
      <c r="L232" s="5">
        <v>0.51041666666666663</v>
      </c>
      <c r="M232" s="4" t="s">
        <v>23</v>
      </c>
      <c r="N232" s="3">
        <v>186</v>
      </c>
      <c r="O232" s="4" t="s">
        <v>24</v>
      </c>
      <c r="P232" s="4" t="s">
        <v>25</v>
      </c>
      <c r="Q232" s="4"/>
      <c r="R232">
        <f>tblDailySchedule[[#This Row],[Capacity Approx]]*'[1]Load Factor Sheet June Acft  '!$B$5</f>
        <v>150.61772727272728</v>
      </c>
      <c r="S232">
        <f>tblDailySchedule[[#This Row],[Capacity Approx]]*'[1]Load Factor Sheet June Acft  '!$D$5</f>
        <v>163.08818181818182</v>
      </c>
      <c r="T232" s="22">
        <f>tblDailySchedule[[#This Row],[STD]]</f>
        <v>0.51041666666666663</v>
      </c>
    </row>
    <row r="233" spans="1:20" hidden="1" x14ac:dyDescent="0.35">
      <c r="A233" s="2">
        <v>46118</v>
      </c>
      <c r="B233" s="3">
        <v>1</v>
      </c>
      <c r="C233" s="4" t="s">
        <v>100</v>
      </c>
      <c r="D233" s="4" t="s">
        <v>18</v>
      </c>
      <c r="E233" s="3">
        <v>11</v>
      </c>
      <c r="F233" s="4" t="s">
        <v>19</v>
      </c>
      <c r="G233" s="4" t="s">
        <v>54</v>
      </c>
      <c r="H233" s="4" t="s">
        <v>31</v>
      </c>
      <c r="I233" s="5">
        <v>0.51388888888888884</v>
      </c>
      <c r="J233" s="4" t="s">
        <v>55</v>
      </c>
      <c r="K233" s="4" t="s">
        <v>31</v>
      </c>
      <c r="L233" s="5">
        <v>0.54166666666666663</v>
      </c>
      <c r="M233" s="4" t="s">
        <v>23</v>
      </c>
      <c r="N233" s="3">
        <v>186</v>
      </c>
      <c r="O233" s="4" t="s">
        <v>24</v>
      </c>
      <c r="P233" s="4" t="s">
        <v>56</v>
      </c>
      <c r="Q233" s="4"/>
      <c r="R233">
        <f>tblDailySchedule[[#This Row],[Capacity Approx]]*'[1]Load Factor Sheet June Acft  '!$B$5</f>
        <v>150.61772727272728</v>
      </c>
      <c r="S233">
        <f>tblDailySchedule[[#This Row],[Capacity Approx]]*'[1]Load Factor Sheet June Acft  '!$D$5</f>
        <v>163.08818181818182</v>
      </c>
      <c r="T233" s="22">
        <f>tblDailySchedule[[#This Row],[STD]]</f>
        <v>0.54166666666666663</v>
      </c>
    </row>
    <row r="234" spans="1:20" hidden="1" x14ac:dyDescent="0.35">
      <c r="A234" s="2">
        <v>46118</v>
      </c>
      <c r="B234" s="3">
        <v>1</v>
      </c>
      <c r="C234" s="4" t="s">
        <v>100</v>
      </c>
      <c r="D234" s="4" t="s">
        <v>18</v>
      </c>
      <c r="E234" s="3">
        <v>13</v>
      </c>
      <c r="F234" s="4" t="s">
        <v>19</v>
      </c>
      <c r="G234" s="4" t="s">
        <v>57</v>
      </c>
      <c r="H234" s="4" t="s">
        <v>58</v>
      </c>
      <c r="I234" s="5">
        <v>0.55902777777777779</v>
      </c>
      <c r="J234" s="4" t="s">
        <v>59</v>
      </c>
      <c r="K234" s="4" t="s">
        <v>58</v>
      </c>
      <c r="L234" s="5">
        <v>0.57638888888888884</v>
      </c>
      <c r="M234" s="4" t="s">
        <v>51</v>
      </c>
      <c r="N234" s="3">
        <v>78</v>
      </c>
      <c r="O234" s="4" t="s">
        <v>24</v>
      </c>
      <c r="P234" s="4" t="s">
        <v>56</v>
      </c>
      <c r="Q234" s="4"/>
      <c r="R234">
        <f>tblDailySchedule[[#This Row],[Capacity Approx]]*'[1]Load Factor Sheet June Acft  '!$B$5</f>
        <v>63.162272727272729</v>
      </c>
      <c r="S234">
        <f>tblDailySchedule[[#This Row],[Capacity Approx]]*'[1]Load Factor Sheet June Acft  '!$D$5</f>
        <v>68.391818181818181</v>
      </c>
      <c r="T234" s="22">
        <f>tblDailySchedule[[#This Row],[STD]]</f>
        <v>0.57638888888888884</v>
      </c>
    </row>
    <row r="235" spans="1:20" hidden="1" x14ac:dyDescent="0.35">
      <c r="A235" s="2">
        <v>46118</v>
      </c>
      <c r="B235" s="3">
        <v>1</v>
      </c>
      <c r="C235" s="4" t="s">
        <v>100</v>
      </c>
      <c r="D235" s="4" t="s">
        <v>18</v>
      </c>
      <c r="E235" s="3">
        <v>14</v>
      </c>
      <c r="F235" s="4" t="s">
        <v>19</v>
      </c>
      <c r="G235" s="4" t="s">
        <v>60</v>
      </c>
      <c r="H235" s="4" t="s">
        <v>61</v>
      </c>
      <c r="I235" s="5">
        <v>0.59027777777777779</v>
      </c>
      <c r="J235" s="4" t="s">
        <v>62</v>
      </c>
      <c r="K235" s="4" t="s">
        <v>61</v>
      </c>
      <c r="L235" s="5">
        <v>0.62152777777777779</v>
      </c>
      <c r="M235" s="4" t="s">
        <v>63</v>
      </c>
      <c r="N235" s="3">
        <v>232</v>
      </c>
      <c r="O235" s="4" t="s">
        <v>24</v>
      </c>
      <c r="P235" s="4" t="s">
        <v>56</v>
      </c>
      <c r="Q235" s="4"/>
      <c r="R235">
        <f>tblDailySchedule[[#This Row],[Capacity Approx]]*'[1]Load Factor Sheet June Acft  '!$B$5</f>
        <v>187.86727272727273</v>
      </c>
      <c r="S235">
        <f>tblDailySchedule[[#This Row],[Capacity Approx]]*'[1]Load Factor Sheet June Acft  '!$D$5</f>
        <v>203.4218181818182</v>
      </c>
      <c r="T235" s="22">
        <f>tblDailySchedule[[#This Row],[STD]]</f>
        <v>0.62152777777777779</v>
      </c>
    </row>
    <row r="236" spans="1:20" hidden="1" x14ac:dyDescent="0.35">
      <c r="A236" s="2">
        <v>46118</v>
      </c>
      <c r="B236" s="3">
        <v>1</v>
      </c>
      <c r="C236" s="4" t="s">
        <v>100</v>
      </c>
      <c r="D236" s="4" t="s">
        <v>18</v>
      </c>
      <c r="E236" s="3">
        <v>15</v>
      </c>
      <c r="F236" s="4" t="s">
        <v>19</v>
      </c>
      <c r="G236" s="4" t="s">
        <v>64</v>
      </c>
      <c r="H236" s="4" t="s">
        <v>31</v>
      </c>
      <c r="I236" s="5">
        <v>0.60069444444444442</v>
      </c>
      <c r="J236" s="4" t="s">
        <v>65</v>
      </c>
      <c r="K236" s="4" t="s">
        <v>66</v>
      </c>
      <c r="L236" s="5">
        <v>0.62847222222222221</v>
      </c>
      <c r="M236" s="4" t="s">
        <v>63</v>
      </c>
      <c r="N236" s="3">
        <v>232</v>
      </c>
      <c r="O236" s="4" t="s">
        <v>24</v>
      </c>
      <c r="P236" s="4" t="s">
        <v>56</v>
      </c>
      <c r="Q236" s="4"/>
      <c r="R236">
        <f>tblDailySchedule[[#This Row],[Capacity Approx]]*'[1]Load Factor Sheet June Acft  '!$B$5</f>
        <v>187.86727272727273</v>
      </c>
      <c r="S236">
        <f>tblDailySchedule[[#This Row],[Capacity Approx]]*'[1]Load Factor Sheet June Acft  '!$D$5</f>
        <v>203.4218181818182</v>
      </c>
      <c r="T236" s="22">
        <f>tblDailySchedule[[#This Row],[STD]]</f>
        <v>0.62847222222222221</v>
      </c>
    </row>
    <row r="237" spans="1:20" hidden="1" x14ac:dyDescent="0.35">
      <c r="A237" s="2">
        <v>46118</v>
      </c>
      <c r="B237" s="3">
        <v>1</v>
      </c>
      <c r="C237" s="4" t="s">
        <v>100</v>
      </c>
      <c r="D237" s="4" t="s">
        <v>18</v>
      </c>
      <c r="E237" s="3">
        <v>16</v>
      </c>
      <c r="F237" s="4" t="s">
        <v>19</v>
      </c>
      <c r="G237" s="4" t="s">
        <v>67</v>
      </c>
      <c r="H237" s="4" t="s">
        <v>31</v>
      </c>
      <c r="I237" s="5">
        <v>0.65625</v>
      </c>
      <c r="J237" s="4" t="s">
        <v>68</v>
      </c>
      <c r="K237" s="4" t="s">
        <v>31</v>
      </c>
      <c r="L237" s="5">
        <v>0.68402777777777779</v>
      </c>
      <c r="M237" s="4" t="s">
        <v>63</v>
      </c>
      <c r="N237" s="3">
        <v>232</v>
      </c>
      <c r="O237" s="4" t="s">
        <v>24</v>
      </c>
      <c r="P237" s="4" t="s">
        <v>56</v>
      </c>
      <c r="Q237" s="4"/>
      <c r="R237">
        <f>tblDailySchedule[[#This Row],[Capacity Approx]]*'[1]Load Factor Sheet June Acft  '!$B$5</f>
        <v>187.86727272727273</v>
      </c>
      <c r="S237">
        <f>tblDailySchedule[[#This Row],[Capacity Approx]]*'[1]Load Factor Sheet June Acft  '!$D$5</f>
        <v>203.4218181818182</v>
      </c>
      <c r="T237" s="22">
        <f>tblDailySchedule[[#This Row],[STD]]</f>
        <v>0.68402777777777779</v>
      </c>
    </row>
    <row r="238" spans="1:20" hidden="1" x14ac:dyDescent="0.35">
      <c r="A238" s="2">
        <v>46118</v>
      </c>
      <c r="B238" s="3">
        <v>1</v>
      </c>
      <c r="C238" s="4" t="s">
        <v>100</v>
      </c>
      <c r="D238" s="4" t="s">
        <v>18</v>
      </c>
      <c r="E238" s="3">
        <v>17</v>
      </c>
      <c r="F238" s="4" t="s">
        <v>19</v>
      </c>
      <c r="G238" s="4" t="s">
        <v>69</v>
      </c>
      <c r="H238" s="4" t="s">
        <v>31</v>
      </c>
      <c r="I238" s="5">
        <v>0.66319444444444442</v>
      </c>
      <c r="J238" s="4" t="s">
        <v>70</v>
      </c>
      <c r="K238" s="4" t="s">
        <v>31</v>
      </c>
      <c r="L238" s="5">
        <v>0.69097222222222221</v>
      </c>
      <c r="M238" s="4" t="s">
        <v>33</v>
      </c>
      <c r="N238" s="3">
        <v>189</v>
      </c>
      <c r="O238" s="4" t="s">
        <v>24</v>
      </c>
      <c r="P238" s="4" t="s">
        <v>56</v>
      </c>
      <c r="Q238" s="4"/>
      <c r="R238">
        <f>tblDailySchedule[[#This Row],[Capacity Approx]]*'[1]Load Factor Sheet June Acft  '!$B$5</f>
        <v>153.04704545454547</v>
      </c>
      <c r="S238">
        <f>tblDailySchedule[[#This Row],[Capacity Approx]]*'[1]Load Factor Sheet June Acft  '!$D$5</f>
        <v>165.71863636363636</v>
      </c>
      <c r="T238" s="22">
        <f>tblDailySchedule[[#This Row],[STD]]</f>
        <v>0.69097222222222221</v>
      </c>
    </row>
    <row r="239" spans="1:20" hidden="1" x14ac:dyDescent="0.35">
      <c r="A239" s="2">
        <v>46118</v>
      </c>
      <c r="B239" s="3">
        <v>1</v>
      </c>
      <c r="C239" s="4" t="s">
        <v>100</v>
      </c>
      <c r="D239" s="4" t="s">
        <v>18</v>
      </c>
      <c r="E239" s="3">
        <v>18</v>
      </c>
      <c r="F239" s="4" t="s">
        <v>19</v>
      </c>
      <c r="G239" s="4" t="s">
        <v>71</v>
      </c>
      <c r="H239" s="4" t="s">
        <v>21</v>
      </c>
      <c r="I239" s="5">
        <v>0.67013888888888884</v>
      </c>
      <c r="J239" s="4" t="s">
        <v>72</v>
      </c>
      <c r="K239" s="4" t="s">
        <v>21</v>
      </c>
      <c r="L239" s="5">
        <v>0.69791666666666663</v>
      </c>
      <c r="M239" s="4" t="s">
        <v>63</v>
      </c>
      <c r="N239" s="3">
        <v>232</v>
      </c>
      <c r="O239" s="4" t="s">
        <v>24</v>
      </c>
      <c r="P239" s="4" t="s">
        <v>56</v>
      </c>
      <c r="Q239" s="4"/>
      <c r="R239">
        <f>tblDailySchedule[[#This Row],[Capacity Approx]]*'[1]Load Factor Sheet June Acft  '!$B$5</f>
        <v>187.86727272727273</v>
      </c>
      <c r="S239">
        <f>tblDailySchedule[[#This Row],[Capacity Approx]]*'[1]Load Factor Sheet June Acft  '!$D$5</f>
        <v>203.4218181818182</v>
      </c>
      <c r="T239" s="22">
        <f>tblDailySchedule[[#This Row],[STD]]</f>
        <v>0.69791666666666663</v>
      </c>
    </row>
    <row r="240" spans="1:20" hidden="1" x14ac:dyDescent="0.35">
      <c r="A240" s="2">
        <v>46118</v>
      </c>
      <c r="B240" s="3">
        <v>1</v>
      </c>
      <c r="C240" s="4" t="s">
        <v>100</v>
      </c>
      <c r="D240" s="4" t="s">
        <v>18</v>
      </c>
      <c r="E240" s="3">
        <v>19</v>
      </c>
      <c r="F240" s="4" t="s">
        <v>19</v>
      </c>
      <c r="G240" s="4" t="s">
        <v>73</v>
      </c>
      <c r="H240" s="4" t="s">
        <v>27</v>
      </c>
      <c r="I240" s="5">
        <v>0.74652777777777779</v>
      </c>
      <c r="J240" s="4" t="s">
        <v>74</v>
      </c>
      <c r="K240" s="4" t="s">
        <v>27</v>
      </c>
      <c r="L240" s="5">
        <v>0.77430555555555558</v>
      </c>
      <c r="M240" s="4" t="s">
        <v>63</v>
      </c>
      <c r="N240" s="3">
        <v>232</v>
      </c>
      <c r="O240" s="4" t="s">
        <v>24</v>
      </c>
      <c r="P240" s="4" t="s">
        <v>56</v>
      </c>
      <c r="Q240" s="4"/>
      <c r="R240">
        <f>tblDailySchedule[[#This Row],[Capacity Approx]]*'[1]Load Factor Sheet June Acft  '!$B$5</f>
        <v>187.86727272727273</v>
      </c>
      <c r="S240">
        <f>tblDailySchedule[[#This Row],[Capacity Approx]]*'[1]Load Factor Sheet June Acft  '!$D$5</f>
        <v>203.4218181818182</v>
      </c>
      <c r="T240" s="22">
        <f>tblDailySchedule[[#This Row],[STD]]</f>
        <v>0.77430555555555558</v>
      </c>
    </row>
    <row r="241" spans="1:20" hidden="1" x14ac:dyDescent="0.35">
      <c r="A241" s="2">
        <v>46118</v>
      </c>
      <c r="B241" s="3">
        <v>1</v>
      </c>
      <c r="C241" s="4" t="s">
        <v>100</v>
      </c>
      <c r="D241" s="4" t="s">
        <v>18</v>
      </c>
      <c r="E241" s="3">
        <v>20</v>
      </c>
      <c r="F241" s="4" t="s">
        <v>34</v>
      </c>
      <c r="G241" s="4" t="s">
        <v>75</v>
      </c>
      <c r="H241" s="4" t="s">
        <v>76</v>
      </c>
      <c r="I241" s="5">
        <v>0.76388888888888884</v>
      </c>
      <c r="J241" s="4" t="s">
        <v>77</v>
      </c>
      <c r="K241" s="4" t="s">
        <v>78</v>
      </c>
      <c r="L241" s="5">
        <v>0.78472222222222221</v>
      </c>
      <c r="M241" s="4" t="s">
        <v>51</v>
      </c>
      <c r="N241" s="3">
        <v>78</v>
      </c>
      <c r="O241" s="4" t="s">
        <v>24</v>
      </c>
      <c r="P241" s="4" t="s">
        <v>79</v>
      </c>
      <c r="Q241" s="10" t="s">
        <v>80</v>
      </c>
      <c r="R241">
        <f>tblDailySchedule[[#This Row],[Capacity Approx]]*'[1]Load Factor Sheet June Acft  '!$B$5</f>
        <v>63.162272727272729</v>
      </c>
      <c r="S241">
        <f>tblDailySchedule[[#This Row],[Capacity Approx]]*'[1]Load Factor Sheet June Acft  '!$D$5</f>
        <v>68.391818181818181</v>
      </c>
      <c r="T241" s="22">
        <f>tblDailySchedule[[#This Row],[STD]]</f>
        <v>0.78472222222222221</v>
      </c>
    </row>
    <row r="242" spans="1:20" hidden="1" x14ac:dyDescent="0.35">
      <c r="A242" s="2">
        <v>46118</v>
      </c>
      <c r="B242" s="3">
        <v>1</v>
      </c>
      <c r="C242" s="4" t="s">
        <v>100</v>
      </c>
      <c r="D242" s="4" t="s">
        <v>18</v>
      </c>
      <c r="E242" s="3">
        <v>21</v>
      </c>
      <c r="F242" s="4" t="s">
        <v>19</v>
      </c>
      <c r="G242" s="4" t="s">
        <v>81</v>
      </c>
      <c r="H242" s="4" t="s">
        <v>61</v>
      </c>
      <c r="I242" s="5">
        <v>0.77083333333333337</v>
      </c>
      <c r="J242" s="4" t="s">
        <v>82</v>
      </c>
      <c r="K242" s="4" t="s">
        <v>49</v>
      </c>
      <c r="L242" s="5">
        <v>0.79166666666666663</v>
      </c>
      <c r="M242" s="4" t="s">
        <v>33</v>
      </c>
      <c r="N242" s="3">
        <v>189</v>
      </c>
      <c r="O242" s="4" t="s">
        <v>24</v>
      </c>
      <c r="P242" s="4" t="s">
        <v>79</v>
      </c>
      <c r="Q242" s="4"/>
      <c r="R242">
        <f>tblDailySchedule[[#This Row],[Capacity Approx]]*'[1]Load Factor Sheet June Acft  '!$B$5</f>
        <v>153.04704545454547</v>
      </c>
      <c r="S242">
        <f>tblDailySchedule[[#This Row],[Capacity Approx]]*'[1]Load Factor Sheet June Acft  '!$D$5</f>
        <v>165.71863636363636</v>
      </c>
      <c r="T242" s="22">
        <f>tblDailySchedule[[#This Row],[STD]]</f>
        <v>0.79166666666666663</v>
      </c>
    </row>
    <row r="243" spans="1:20" hidden="1" x14ac:dyDescent="0.35">
      <c r="A243" s="2">
        <v>46118</v>
      </c>
      <c r="B243" s="3">
        <v>1</v>
      </c>
      <c r="C243" s="4" t="s">
        <v>100</v>
      </c>
      <c r="D243" s="4" t="s">
        <v>18</v>
      </c>
      <c r="E243" s="3">
        <v>22</v>
      </c>
      <c r="F243" s="4" t="s">
        <v>19</v>
      </c>
      <c r="G243" s="4" t="s">
        <v>83</v>
      </c>
      <c r="H243" s="4" t="s">
        <v>31</v>
      </c>
      <c r="I243" s="5">
        <v>0.77777777777777779</v>
      </c>
      <c r="J243" s="4" t="s">
        <v>84</v>
      </c>
      <c r="K243" s="4" t="s">
        <v>31</v>
      </c>
      <c r="L243" s="5">
        <v>0.80555555555555558</v>
      </c>
      <c r="M243" s="4" t="s">
        <v>63</v>
      </c>
      <c r="N243" s="3">
        <v>232</v>
      </c>
      <c r="O243" s="4" t="s">
        <v>24</v>
      </c>
      <c r="P243" s="4" t="s">
        <v>79</v>
      </c>
      <c r="Q243" s="4"/>
      <c r="R243">
        <f>tblDailySchedule[[#This Row],[Capacity Approx]]*'[1]Load Factor Sheet June Acft  '!$B$5</f>
        <v>187.86727272727273</v>
      </c>
      <c r="S243">
        <f>tblDailySchedule[[#This Row],[Capacity Approx]]*'[1]Load Factor Sheet June Acft  '!$D$5</f>
        <v>203.4218181818182</v>
      </c>
      <c r="T243" s="22">
        <f>tblDailySchedule[[#This Row],[STD]]</f>
        <v>0.80555555555555558</v>
      </c>
    </row>
    <row r="244" spans="1:20" hidden="1" x14ac:dyDescent="0.35">
      <c r="A244" s="2">
        <v>46118</v>
      </c>
      <c r="B244" s="3">
        <v>1</v>
      </c>
      <c r="C244" s="4" t="s">
        <v>100</v>
      </c>
      <c r="D244" s="4" t="s">
        <v>18</v>
      </c>
      <c r="E244" s="3">
        <v>23</v>
      </c>
      <c r="F244" s="4" t="s">
        <v>19</v>
      </c>
      <c r="G244" s="4" t="s">
        <v>85</v>
      </c>
      <c r="H244" s="4" t="s">
        <v>86</v>
      </c>
      <c r="I244" s="5">
        <v>0.79861111111111116</v>
      </c>
      <c r="J244" s="4" t="s">
        <v>87</v>
      </c>
      <c r="K244" s="4" t="s">
        <v>86</v>
      </c>
      <c r="L244" s="5">
        <v>0.82638888888888884</v>
      </c>
      <c r="M244" s="4" t="s">
        <v>63</v>
      </c>
      <c r="N244" s="3">
        <v>232</v>
      </c>
      <c r="O244" s="4" t="s">
        <v>24</v>
      </c>
      <c r="P244" s="4" t="s">
        <v>79</v>
      </c>
      <c r="Q244" s="4"/>
      <c r="R244">
        <f>tblDailySchedule[[#This Row],[Capacity Approx]]*'[1]Load Factor Sheet June Acft  '!$B$5</f>
        <v>187.86727272727273</v>
      </c>
      <c r="S244">
        <f>tblDailySchedule[[#This Row],[Capacity Approx]]*'[1]Load Factor Sheet June Acft  '!$D$5</f>
        <v>203.4218181818182</v>
      </c>
      <c r="T244" s="22">
        <f>tblDailySchedule[[#This Row],[STD]]</f>
        <v>0.82638888888888884</v>
      </c>
    </row>
    <row r="245" spans="1:20" hidden="1" x14ac:dyDescent="0.35">
      <c r="A245" s="2">
        <v>46118</v>
      </c>
      <c r="B245" s="3">
        <v>1</v>
      </c>
      <c r="C245" s="4" t="s">
        <v>100</v>
      </c>
      <c r="D245" s="4" t="s">
        <v>18</v>
      </c>
      <c r="E245" s="3">
        <v>24</v>
      </c>
      <c r="F245" s="4" t="s">
        <v>19</v>
      </c>
      <c r="G245" s="4" t="s">
        <v>88</v>
      </c>
      <c r="H245" s="4" t="s">
        <v>89</v>
      </c>
      <c r="I245" s="5">
        <v>0.83333333333333337</v>
      </c>
      <c r="J245" s="4" t="s">
        <v>90</v>
      </c>
      <c r="K245" s="4" t="s">
        <v>31</v>
      </c>
      <c r="L245" s="5">
        <v>0.86111111111111116</v>
      </c>
      <c r="M245" s="4" t="s">
        <v>63</v>
      </c>
      <c r="N245" s="3">
        <v>232</v>
      </c>
      <c r="O245" s="4" t="s">
        <v>24</v>
      </c>
      <c r="P245" s="4" t="s">
        <v>79</v>
      </c>
      <c r="Q245" s="4"/>
      <c r="R245">
        <f>tblDailySchedule[[#This Row],[Capacity Approx]]*'[1]Load Factor Sheet June Acft  '!$B$5</f>
        <v>187.86727272727273</v>
      </c>
      <c r="S245">
        <f>tblDailySchedule[[#This Row],[Capacity Approx]]*'[1]Load Factor Sheet June Acft  '!$D$5</f>
        <v>203.4218181818182</v>
      </c>
      <c r="T245" s="22">
        <f>tblDailySchedule[[#This Row],[STD]]</f>
        <v>0.86111111111111116</v>
      </c>
    </row>
    <row r="246" spans="1:20" hidden="1" x14ac:dyDescent="0.35">
      <c r="A246" s="2">
        <v>46118</v>
      </c>
      <c r="B246" s="3">
        <v>1</v>
      </c>
      <c r="C246" s="4" t="s">
        <v>100</v>
      </c>
      <c r="D246" s="4" t="s">
        <v>18</v>
      </c>
      <c r="E246" s="3">
        <v>25</v>
      </c>
      <c r="F246" s="4" t="s">
        <v>19</v>
      </c>
      <c r="G246" s="4" t="s">
        <v>91</v>
      </c>
      <c r="H246" s="4" t="s">
        <v>61</v>
      </c>
      <c r="I246" s="5">
        <v>0.85416666666666663</v>
      </c>
      <c r="J246" s="4" t="s">
        <v>92</v>
      </c>
      <c r="K246" s="4" t="s">
        <v>61</v>
      </c>
      <c r="L246" s="5">
        <v>0.88194444444444442</v>
      </c>
      <c r="M246" s="4" t="s">
        <v>63</v>
      </c>
      <c r="N246" s="3">
        <v>232</v>
      </c>
      <c r="O246" s="4" t="s">
        <v>24</v>
      </c>
      <c r="P246" s="4" t="s">
        <v>79</v>
      </c>
      <c r="Q246" s="4"/>
      <c r="R246">
        <f>tblDailySchedule[[#This Row],[Capacity Approx]]*'[1]Load Factor Sheet June Acft  '!$B$5</f>
        <v>187.86727272727273</v>
      </c>
      <c r="S246">
        <f>tblDailySchedule[[#This Row],[Capacity Approx]]*'[1]Load Factor Sheet June Acft  '!$D$5</f>
        <v>203.4218181818182</v>
      </c>
      <c r="T246" s="22">
        <f>tblDailySchedule[[#This Row],[STD]]</f>
        <v>0.88194444444444442</v>
      </c>
    </row>
    <row r="247" spans="1:20" hidden="1" x14ac:dyDescent="0.35">
      <c r="A247" s="2">
        <v>46118</v>
      </c>
      <c r="B247" s="3">
        <v>1</v>
      </c>
      <c r="C247" s="4" t="s">
        <v>100</v>
      </c>
      <c r="D247" s="4" t="s">
        <v>18</v>
      </c>
      <c r="E247" s="3">
        <v>26</v>
      </c>
      <c r="F247" s="4" t="s">
        <v>19</v>
      </c>
      <c r="G247" s="4" t="s">
        <v>93</v>
      </c>
      <c r="H247" s="4" t="s">
        <v>31</v>
      </c>
      <c r="I247" s="5">
        <v>0.86111111111111116</v>
      </c>
      <c r="J247" s="4" t="s">
        <v>94</v>
      </c>
      <c r="K247" s="4" t="s">
        <v>31</v>
      </c>
      <c r="L247" s="5">
        <v>0.88888888888888884</v>
      </c>
      <c r="M247" s="4" t="s">
        <v>23</v>
      </c>
      <c r="N247" s="3">
        <v>186</v>
      </c>
      <c r="O247" s="4" t="s">
        <v>24</v>
      </c>
      <c r="P247" s="4" t="s">
        <v>79</v>
      </c>
      <c r="Q247" s="4"/>
      <c r="R247">
        <f>tblDailySchedule[[#This Row],[Capacity Approx]]*'[1]Load Factor Sheet June Acft  '!$B$5</f>
        <v>150.61772727272728</v>
      </c>
      <c r="S247">
        <f>tblDailySchedule[[#This Row],[Capacity Approx]]*'[1]Load Factor Sheet June Acft  '!$D$5</f>
        <v>163.08818181818182</v>
      </c>
      <c r="T247" s="22">
        <f>tblDailySchedule[[#This Row],[STD]]</f>
        <v>0.88888888888888884</v>
      </c>
    </row>
    <row r="248" spans="1:20" hidden="1" x14ac:dyDescent="0.35">
      <c r="A248" s="2">
        <v>46118</v>
      </c>
      <c r="B248" s="3">
        <v>1</v>
      </c>
      <c r="C248" s="4" t="s">
        <v>100</v>
      </c>
      <c r="D248" s="4" t="s">
        <v>18</v>
      </c>
      <c r="E248" s="3">
        <v>27</v>
      </c>
      <c r="F248" s="4" t="s">
        <v>19</v>
      </c>
      <c r="G248" s="4" t="s">
        <v>95</v>
      </c>
      <c r="H248" s="4" t="s">
        <v>21</v>
      </c>
      <c r="I248" s="5">
        <v>0.86805555555555558</v>
      </c>
      <c r="J248" s="4" t="s">
        <v>96</v>
      </c>
      <c r="K248" s="4" t="s">
        <v>21</v>
      </c>
      <c r="L248" s="5">
        <v>0.89583333333333337</v>
      </c>
      <c r="M248" s="4" t="s">
        <v>29</v>
      </c>
      <c r="N248" s="3">
        <v>186</v>
      </c>
      <c r="O248" s="4" t="s">
        <v>24</v>
      </c>
      <c r="P248" s="4" t="s">
        <v>79</v>
      </c>
      <c r="Q248" s="4"/>
      <c r="R248">
        <f>tblDailySchedule[[#This Row],[Capacity Approx]]*'[1]Load Factor Sheet June Acft  '!$B$5</f>
        <v>150.61772727272728</v>
      </c>
      <c r="S248">
        <f>tblDailySchedule[[#This Row],[Capacity Approx]]*'[1]Load Factor Sheet June Acft  '!$D$5</f>
        <v>163.08818181818182</v>
      </c>
      <c r="T248" s="22">
        <f>tblDailySchedule[[#This Row],[STD]]</f>
        <v>0.89583333333333337</v>
      </c>
    </row>
    <row r="249" spans="1:20" hidden="1" x14ac:dyDescent="0.35">
      <c r="A249" s="2">
        <v>46118</v>
      </c>
      <c r="B249" s="3">
        <v>1</v>
      </c>
      <c r="C249" s="4" t="s">
        <v>100</v>
      </c>
      <c r="D249" s="4" t="s">
        <v>18</v>
      </c>
      <c r="E249" s="3">
        <v>28</v>
      </c>
      <c r="F249" s="4" t="s">
        <v>19</v>
      </c>
      <c r="G249" s="4" t="s">
        <v>97</v>
      </c>
      <c r="H249" s="4" t="s">
        <v>49</v>
      </c>
      <c r="I249" s="5">
        <v>0.90277777777777779</v>
      </c>
      <c r="J249" s="4" t="s">
        <v>97</v>
      </c>
      <c r="K249" s="4" t="s">
        <v>61</v>
      </c>
      <c r="L249" s="5">
        <v>0.92361111111111116</v>
      </c>
      <c r="M249" s="4" t="s">
        <v>33</v>
      </c>
      <c r="N249" s="3">
        <v>189</v>
      </c>
      <c r="O249" s="4" t="s">
        <v>24</v>
      </c>
      <c r="P249" s="4" t="s">
        <v>79</v>
      </c>
      <c r="Q249" s="4"/>
      <c r="R249">
        <f>tblDailySchedule[[#This Row],[Capacity Approx]]*'[1]Load Factor Sheet June Acft  '!$B$5</f>
        <v>153.04704545454547</v>
      </c>
      <c r="S249">
        <f>tblDailySchedule[[#This Row],[Capacity Approx]]*'[1]Load Factor Sheet June Acft  '!$D$5</f>
        <v>165.71863636363636</v>
      </c>
      <c r="T249" s="22">
        <f>tblDailySchedule[[#This Row],[STD]]</f>
        <v>0.92361111111111116</v>
      </c>
    </row>
    <row r="250" spans="1:20" hidden="1" x14ac:dyDescent="0.35">
      <c r="A250" s="2">
        <v>46118</v>
      </c>
      <c r="B250" s="3">
        <v>1</v>
      </c>
      <c r="C250" s="4" t="s">
        <v>100</v>
      </c>
      <c r="D250" s="4" t="s">
        <v>18</v>
      </c>
      <c r="E250" s="3">
        <v>29</v>
      </c>
      <c r="F250" s="4" t="s">
        <v>19</v>
      </c>
      <c r="G250" s="4" t="s">
        <v>98</v>
      </c>
      <c r="H250" s="4" t="s">
        <v>21</v>
      </c>
      <c r="I250" s="5">
        <v>0.92013888888888884</v>
      </c>
      <c r="J250" s="4" t="s">
        <v>99</v>
      </c>
      <c r="K250" s="4" t="s">
        <v>21</v>
      </c>
      <c r="L250" s="5">
        <v>0.94791666666666663</v>
      </c>
      <c r="M250" s="4" t="s">
        <v>63</v>
      </c>
      <c r="N250" s="3">
        <v>232</v>
      </c>
      <c r="O250" s="4" t="s">
        <v>24</v>
      </c>
      <c r="P250" s="4" t="s">
        <v>79</v>
      </c>
      <c r="Q250" s="4"/>
      <c r="R250">
        <f>tblDailySchedule[[#This Row],[Capacity Approx]]*'[1]Load Factor Sheet June Acft  '!$B$5</f>
        <v>187.86727272727273</v>
      </c>
      <c r="S250">
        <f>tblDailySchedule[[#This Row],[Capacity Approx]]*'[1]Load Factor Sheet June Acft  '!$D$5</f>
        <v>203.4218181818182</v>
      </c>
      <c r="T250" s="22">
        <f>tblDailySchedule[[#This Row],[STD]]</f>
        <v>0.94791666666666663</v>
      </c>
    </row>
    <row r="251" spans="1:20" hidden="1" x14ac:dyDescent="0.35">
      <c r="A251" s="6">
        <v>46118</v>
      </c>
      <c r="B251" s="7">
        <v>1</v>
      </c>
      <c r="C251" s="8" t="s">
        <v>100</v>
      </c>
      <c r="D251" s="8" t="s">
        <v>18</v>
      </c>
      <c r="E251" s="7">
        <v>30</v>
      </c>
      <c r="F251" s="8" t="s">
        <v>104</v>
      </c>
      <c r="G251" s="8" t="s">
        <v>105</v>
      </c>
      <c r="H251" s="8" t="s">
        <v>106</v>
      </c>
      <c r="I251" s="9">
        <v>0.92708333333333337</v>
      </c>
      <c r="J251" s="8" t="s">
        <v>107</v>
      </c>
      <c r="K251" s="8" t="s">
        <v>106</v>
      </c>
      <c r="L251" s="9">
        <v>0.95833333333333337</v>
      </c>
      <c r="M251" s="8" t="s">
        <v>38</v>
      </c>
      <c r="N251" s="7">
        <v>186</v>
      </c>
      <c r="O251" s="8" t="s">
        <v>39</v>
      </c>
      <c r="P251" s="8" t="s">
        <v>79</v>
      </c>
      <c r="Q251" s="8" t="s">
        <v>39</v>
      </c>
      <c r="R251">
        <f>tblDailySchedule[[#This Row],[Capacity Approx]]*'[1]Load Factor Sheet June Acft  '!$B$5</f>
        <v>150.61772727272728</v>
      </c>
      <c r="S251">
        <f>tblDailySchedule[[#This Row],[Capacity Approx]]*'[1]Load Factor Sheet June Acft  '!$D$5</f>
        <v>163.08818181818182</v>
      </c>
      <c r="T251" s="22">
        <f>tblDailySchedule[[#This Row],[STD]]</f>
        <v>0.95833333333333337</v>
      </c>
    </row>
    <row r="252" spans="1:20" hidden="1" x14ac:dyDescent="0.35">
      <c r="A252" s="2">
        <v>46119</v>
      </c>
      <c r="B252" s="3">
        <v>2</v>
      </c>
      <c r="C252" s="4" t="s">
        <v>108</v>
      </c>
      <c r="D252" s="4" t="s">
        <v>18</v>
      </c>
      <c r="E252" s="3">
        <v>1</v>
      </c>
      <c r="F252" s="4" t="s">
        <v>101</v>
      </c>
      <c r="G252" s="4" t="s">
        <v>102</v>
      </c>
      <c r="H252" s="4" t="s">
        <v>61</v>
      </c>
      <c r="I252" s="5">
        <v>0.3125</v>
      </c>
      <c r="J252" s="4" t="s">
        <v>103</v>
      </c>
      <c r="K252" s="4" t="s">
        <v>61</v>
      </c>
      <c r="L252" s="5">
        <v>0.33333333333333331</v>
      </c>
      <c r="M252" s="4" t="s">
        <v>33</v>
      </c>
      <c r="N252" s="3">
        <v>189</v>
      </c>
      <c r="O252" s="4" t="s">
        <v>24</v>
      </c>
      <c r="P252" s="4" t="s">
        <v>25</v>
      </c>
      <c r="Q252" s="4"/>
      <c r="R252">
        <f>tblDailySchedule[[#This Row],[Capacity Approx]]*'[1]Load Factor Sheet June Acft  '!$B$5</f>
        <v>153.04704545454547</v>
      </c>
      <c r="S252">
        <f>tblDailySchedule[[#This Row],[Capacity Approx]]*'[1]Load Factor Sheet June Acft  '!$D$5</f>
        <v>165.71863636363636</v>
      </c>
      <c r="T252" s="22">
        <f>tblDailySchedule[[#This Row],[STD]]</f>
        <v>0.33333333333333331</v>
      </c>
    </row>
    <row r="253" spans="1:20" hidden="1" x14ac:dyDescent="0.35">
      <c r="A253" s="2">
        <v>46119</v>
      </c>
      <c r="B253" s="3">
        <v>2</v>
      </c>
      <c r="C253" s="4" t="s">
        <v>108</v>
      </c>
      <c r="D253" s="4" t="s">
        <v>18</v>
      </c>
      <c r="E253" s="3">
        <v>2</v>
      </c>
      <c r="F253" s="4" t="s">
        <v>19</v>
      </c>
      <c r="G253" s="4" t="s">
        <v>20</v>
      </c>
      <c r="H253" s="4" t="s">
        <v>21</v>
      </c>
      <c r="I253" s="5">
        <v>0.31944444444444442</v>
      </c>
      <c r="J253" s="4" t="s">
        <v>22</v>
      </c>
      <c r="K253" s="4" t="s">
        <v>21</v>
      </c>
      <c r="L253" s="5">
        <v>0.34722222222222221</v>
      </c>
      <c r="M253" s="4" t="s">
        <v>23</v>
      </c>
      <c r="N253" s="3">
        <v>186</v>
      </c>
      <c r="O253" s="4" t="s">
        <v>24</v>
      </c>
      <c r="P253" s="4" t="s">
        <v>25</v>
      </c>
      <c r="Q253" s="4"/>
      <c r="R253">
        <f>tblDailySchedule[[#This Row],[Capacity Approx]]*'[1]Load Factor Sheet June Acft  '!$B$5</f>
        <v>150.61772727272728</v>
      </c>
      <c r="S253">
        <f>tblDailySchedule[[#This Row],[Capacity Approx]]*'[1]Load Factor Sheet June Acft  '!$D$5</f>
        <v>163.08818181818182</v>
      </c>
      <c r="T253" s="22">
        <f>tblDailySchedule[[#This Row],[STD]]</f>
        <v>0.34722222222222221</v>
      </c>
    </row>
    <row r="254" spans="1:20" hidden="1" x14ac:dyDescent="0.35">
      <c r="A254" s="2">
        <v>46119</v>
      </c>
      <c r="B254" s="3">
        <v>2</v>
      </c>
      <c r="C254" s="4" t="s">
        <v>108</v>
      </c>
      <c r="D254" s="4" t="s">
        <v>18</v>
      </c>
      <c r="E254" s="3">
        <v>3</v>
      </c>
      <c r="F254" s="4" t="s">
        <v>19</v>
      </c>
      <c r="G254" s="4" t="s">
        <v>26</v>
      </c>
      <c r="H254" s="4" t="s">
        <v>27</v>
      </c>
      <c r="I254" s="5">
        <v>0.3263888888888889</v>
      </c>
      <c r="J254" s="4" t="s">
        <v>28</v>
      </c>
      <c r="K254" s="4" t="s">
        <v>27</v>
      </c>
      <c r="L254" s="5">
        <v>0.35416666666666669</v>
      </c>
      <c r="M254" s="4" t="s">
        <v>29</v>
      </c>
      <c r="N254" s="3">
        <v>186</v>
      </c>
      <c r="O254" s="4" t="s">
        <v>24</v>
      </c>
      <c r="P254" s="4" t="s">
        <v>25</v>
      </c>
      <c r="Q254" s="4"/>
      <c r="R254">
        <f>tblDailySchedule[[#This Row],[Capacity Approx]]*'[1]Load Factor Sheet June Acft  '!$B$5</f>
        <v>150.61772727272728</v>
      </c>
      <c r="S254">
        <f>tblDailySchedule[[#This Row],[Capacity Approx]]*'[1]Load Factor Sheet June Acft  '!$D$5</f>
        <v>163.08818181818182</v>
      </c>
      <c r="T254" s="22">
        <f>tblDailySchedule[[#This Row],[STD]]</f>
        <v>0.35416666666666669</v>
      </c>
    </row>
    <row r="255" spans="1:20" hidden="1" x14ac:dyDescent="0.35">
      <c r="A255" s="2">
        <v>46119</v>
      </c>
      <c r="B255" s="3">
        <v>2</v>
      </c>
      <c r="C255" s="4" t="s">
        <v>108</v>
      </c>
      <c r="D255" s="4" t="s">
        <v>18</v>
      </c>
      <c r="E255" s="3">
        <v>4</v>
      </c>
      <c r="F255" s="4" t="s">
        <v>19</v>
      </c>
      <c r="G255" s="4" t="s">
        <v>30</v>
      </c>
      <c r="H255" s="4" t="s">
        <v>31</v>
      </c>
      <c r="I255" s="5">
        <v>0.34722222222222221</v>
      </c>
      <c r="J255" s="4" t="s">
        <v>32</v>
      </c>
      <c r="K255" s="4" t="s">
        <v>31</v>
      </c>
      <c r="L255" s="5">
        <v>0.36805555555555558</v>
      </c>
      <c r="M255" s="4" t="s">
        <v>33</v>
      </c>
      <c r="N255" s="3">
        <v>189</v>
      </c>
      <c r="O255" s="4" t="s">
        <v>24</v>
      </c>
      <c r="P255" s="4" t="s">
        <v>25</v>
      </c>
      <c r="Q255" s="4"/>
      <c r="R255">
        <f>tblDailySchedule[[#This Row],[Capacity Approx]]*'[1]Load Factor Sheet June Acft  '!$B$5</f>
        <v>153.04704545454547</v>
      </c>
      <c r="S255">
        <f>tblDailySchedule[[#This Row],[Capacity Approx]]*'[1]Load Factor Sheet June Acft  '!$D$5</f>
        <v>165.71863636363636</v>
      </c>
      <c r="T255" s="22">
        <f>tblDailySchedule[[#This Row],[STD]]</f>
        <v>0.36805555555555558</v>
      </c>
    </row>
    <row r="256" spans="1:20" hidden="1" x14ac:dyDescent="0.35">
      <c r="A256" s="2">
        <v>46119</v>
      </c>
      <c r="B256" s="3">
        <v>2</v>
      </c>
      <c r="C256" s="4" t="s">
        <v>108</v>
      </c>
      <c r="D256" s="4" t="s">
        <v>18</v>
      </c>
      <c r="E256" s="3">
        <v>5</v>
      </c>
      <c r="F256" s="4" t="s">
        <v>19</v>
      </c>
      <c r="G256" s="4" t="s">
        <v>40</v>
      </c>
      <c r="H256" s="4" t="s">
        <v>31</v>
      </c>
      <c r="I256" s="5">
        <v>0.35069444444444442</v>
      </c>
      <c r="J256" s="4" t="s">
        <v>41</v>
      </c>
      <c r="K256" s="4" t="s">
        <v>31</v>
      </c>
      <c r="L256" s="5">
        <v>0.37152777777777779</v>
      </c>
      <c r="M256" s="4" t="s">
        <v>23</v>
      </c>
      <c r="N256" s="3">
        <v>186</v>
      </c>
      <c r="O256" s="4" t="s">
        <v>24</v>
      </c>
      <c r="P256" s="4" t="s">
        <v>25</v>
      </c>
      <c r="Q256" s="4"/>
      <c r="R256">
        <f>tblDailySchedule[[#This Row],[Capacity Approx]]*'[1]Load Factor Sheet June Acft  '!$B$5</f>
        <v>150.61772727272728</v>
      </c>
      <c r="S256">
        <f>tblDailySchedule[[#This Row],[Capacity Approx]]*'[1]Load Factor Sheet June Acft  '!$D$5</f>
        <v>163.08818181818182</v>
      </c>
      <c r="T256" s="22">
        <f>tblDailySchedule[[#This Row],[STD]]</f>
        <v>0.37152777777777779</v>
      </c>
    </row>
    <row r="257" spans="1:20" hidden="1" x14ac:dyDescent="0.35">
      <c r="A257" s="2">
        <v>46119</v>
      </c>
      <c r="B257" s="3">
        <v>2</v>
      </c>
      <c r="C257" s="4" t="s">
        <v>108</v>
      </c>
      <c r="D257" s="4" t="s">
        <v>18</v>
      </c>
      <c r="E257" s="3">
        <v>7</v>
      </c>
      <c r="F257" s="4" t="s">
        <v>19</v>
      </c>
      <c r="G257" s="4" t="s">
        <v>42</v>
      </c>
      <c r="H257" s="4" t="s">
        <v>43</v>
      </c>
      <c r="I257" s="5">
        <v>0.3923611111111111</v>
      </c>
      <c r="J257" s="4" t="s">
        <v>44</v>
      </c>
      <c r="K257" s="4" t="s">
        <v>43</v>
      </c>
      <c r="L257" s="5">
        <v>0.40277777777777779</v>
      </c>
      <c r="M257" s="4" t="s">
        <v>45</v>
      </c>
      <c r="N257" s="3">
        <v>9</v>
      </c>
      <c r="O257" s="4" t="s">
        <v>24</v>
      </c>
      <c r="P257" s="4" t="s">
        <v>25</v>
      </c>
      <c r="Q257" s="4"/>
      <c r="R257">
        <f>tblDailySchedule[[#This Row],[Capacity Approx]]*'[1]Load Factor Sheet June Acft  '!$B$5</f>
        <v>7.2879545454545456</v>
      </c>
      <c r="S257">
        <f>tblDailySchedule[[#This Row],[Capacity Approx]]*'[1]Load Factor Sheet June Acft  '!$D$5</f>
        <v>7.8913636363636366</v>
      </c>
      <c r="T257" s="22">
        <f>tblDailySchedule[[#This Row],[STD]]</f>
        <v>0.40277777777777779</v>
      </c>
    </row>
    <row r="258" spans="1:20" hidden="1" x14ac:dyDescent="0.35">
      <c r="A258" s="2">
        <v>46119</v>
      </c>
      <c r="B258" s="3">
        <v>2</v>
      </c>
      <c r="C258" s="4" t="s">
        <v>108</v>
      </c>
      <c r="D258" s="4" t="s">
        <v>18</v>
      </c>
      <c r="E258" s="3">
        <v>8</v>
      </c>
      <c r="F258" s="4" t="s">
        <v>19</v>
      </c>
      <c r="G258" s="4" t="s">
        <v>46</v>
      </c>
      <c r="H258" s="4" t="s">
        <v>31</v>
      </c>
      <c r="I258" s="5">
        <v>0.4201388888888889</v>
      </c>
      <c r="J258" s="4" t="s">
        <v>47</v>
      </c>
      <c r="K258" s="4" t="s">
        <v>31</v>
      </c>
      <c r="L258" s="5">
        <v>0.44444444444444442</v>
      </c>
      <c r="M258" s="4" t="s">
        <v>29</v>
      </c>
      <c r="N258" s="3">
        <v>186</v>
      </c>
      <c r="O258" s="4" t="s">
        <v>24</v>
      </c>
      <c r="P258" s="4" t="s">
        <v>25</v>
      </c>
      <c r="Q258" s="4"/>
      <c r="R258">
        <f>tblDailySchedule[[#This Row],[Capacity Approx]]*'[1]Load Factor Sheet June Acft  '!$B$5</f>
        <v>150.61772727272728</v>
      </c>
      <c r="S258">
        <f>tblDailySchedule[[#This Row],[Capacity Approx]]*'[1]Load Factor Sheet June Acft  '!$D$5</f>
        <v>163.08818181818182</v>
      </c>
      <c r="T258" s="22">
        <f>tblDailySchedule[[#This Row],[STD]]</f>
        <v>0.44444444444444442</v>
      </c>
    </row>
    <row r="259" spans="1:20" hidden="1" x14ac:dyDescent="0.35">
      <c r="A259" s="2">
        <v>46119</v>
      </c>
      <c r="B259" s="3">
        <v>2</v>
      </c>
      <c r="C259" s="4" t="s">
        <v>108</v>
      </c>
      <c r="D259" s="4" t="s">
        <v>18</v>
      </c>
      <c r="E259" s="3">
        <v>9</v>
      </c>
      <c r="F259" s="4" t="s">
        <v>19</v>
      </c>
      <c r="G259" s="4" t="s">
        <v>48</v>
      </c>
      <c r="H259" s="4" t="s">
        <v>49</v>
      </c>
      <c r="I259" s="5">
        <v>0.4375</v>
      </c>
      <c r="J259" s="4" t="s">
        <v>50</v>
      </c>
      <c r="K259" s="4" t="s">
        <v>49</v>
      </c>
      <c r="L259" s="5">
        <v>0.45833333333333331</v>
      </c>
      <c r="M259" s="4" t="s">
        <v>51</v>
      </c>
      <c r="N259" s="3">
        <v>78</v>
      </c>
      <c r="O259" s="4" t="s">
        <v>24</v>
      </c>
      <c r="P259" s="4" t="s">
        <v>25</v>
      </c>
      <c r="Q259" s="4"/>
      <c r="R259">
        <f>tblDailySchedule[[#This Row],[Capacity Approx]]*'[1]Load Factor Sheet June Acft  '!$B$5</f>
        <v>63.162272727272729</v>
      </c>
      <c r="S259">
        <f>tblDailySchedule[[#This Row],[Capacity Approx]]*'[1]Load Factor Sheet June Acft  '!$D$5</f>
        <v>68.391818181818181</v>
      </c>
      <c r="T259" s="22">
        <f>tblDailySchedule[[#This Row],[STD]]</f>
        <v>0.45833333333333331</v>
      </c>
    </row>
    <row r="260" spans="1:20" hidden="1" x14ac:dyDescent="0.35">
      <c r="A260" s="2">
        <v>46119</v>
      </c>
      <c r="B260" s="3">
        <v>2</v>
      </c>
      <c r="C260" s="4" t="s">
        <v>108</v>
      </c>
      <c r="D260" s="4" t="s">
        <v>18</v>
      </c>
      <c r="E260" s="3">
        <v>10</v>
      </c>
      <c r="F260" s="4" t="s">
        <v>19</v>
      </c>
      <c r="G260" s="4" t="s">
        <v>52</v>
      </c>
      <c r="H260" s="4" t="s">
        <v>27</v>
      </c>
      <c r="I260" s="5">
        <v>0.4826388888888889</v>
      </c>
      <c r="J260" s="4" t="s">
        <v>53</v>
      </c>
      <c r="K260" s="4" t="s">
        <v>27</v>
      </c>
      <c r="L260" s="5">
        <v>0.51041666666666663</v>
      </c>
      <c r="M260" s="4" t="s">
        <v>23</v>
      </c>
      <c r="N260" s="3">
        <v>186</v>
      </c>
      <c r="O260" s="4" t="s">
        <v>24</v>
      </c>
      <c r="P260" s="4" t="s">
        <v>25</v>
      </c>
      <c r="Q260" s="4"/>
      <c r="R260">
        <f>tblDailySchedule[[#This Row],[Capacity Approx]]*'[1]Load Factor Sheet June Acft  '!$B$5</f>
        <v>150.61772727272728</v>
      </c>
      <c r="S260">
        <f>tblDailySchedule[[#This Row],[Capacity Approx]]*'[1]Load Factor Sheet June Acft  '!$D$5</f>
        <v>163.08818181818182</v>
      </c>
      <c r="T260" s="22">
        <f>tblDailySchedule[[#This Row],[STD]]</f>
        <v>0.51041666666666663</v>
      </c>
    </row>
    <row r="261" spans="1:20" hidden="1" x14ac:dyDescent="0.35">
      <c r="A261" s="2">
        <v>46119</v>
      </c>
      <c r="B261" s="3">
        <v>2</v>
      </c>
      <c r="C261" s="4" t="s">
        <v>108</v>
      </c>
      <c r="D261" s="4" t="s">
        <v>18</v>
      </c>
      <c r="E261" s="3">
        <v>11</v>
      </c>
      <c r="F261" s="4" t="s">
        <v>19</v>
      </c>
      <c r="G261" s="4" t="s">
        <v>54</v>
      </c>
      <c r="H261" s="4" t="s">
        <v>31</v>
      </c>
      <c r="I261" s="5">
        <v>0.51388888888888884</v>
      </c>
      <c r="J261" s="4" t="s">
        <v>55</v>
      </c>
      <c r="K261" s="4" t="s">
        <v>31</v>
      </c>
      <c r="L261" s="5">
        <v>0.54166666666666663</v>
      </c>
      <c r="M261" s="4" t="s">
        <v>23</v>
      </c>
      <c r="N261" s="3">
        <v>186</v>
      </c>
      <c r="O261" s="4" t="s">
        <v>24</v>
      </c>
      <c r="P261" s="4" t="s">
        <v>56</v>
      </c>
      <c r="Q261" s="4"/>
      <c r="R261">
        <f>tblDailySchedule[[#This Row],[Capacity Approx]]*'[1]Load Factor Sheet June Acft  '!$B$5</f>
        <v>150.61772727272728</v>
      </c>
      <c r="S261">
        <f>tblDailySchedule[[#This Row],[Capacity Approx]]*'[1]Load Factor Sheet June Acft  '!$D$5</f>
        <v>163.08818181818182</v>
      </c>
      <c r="T261" s="22">
        <f>tblDailySchedule[[#This Row],[STD]]</f>
        <v>0.54166666666666663</v>
      </c>
    </row>
    <row r="262" spans="1:20" hidden="1" x14ac:dyDescent="0.35">
      <c r="A262" s="2">
        <v>46119</v>
      </c>
      <c r="B262" s="3">
        <v>2</v>
      </c>
      <c r="C262" s="4" t="s">
        <v>108</v>
      </c>
      <c r="D262" s="4" t="s">
        <v>18</v>
      </c>
      <c r="E262" s="3">
        <v>12</v>
      </c>
      <c r="F262" s="4" t="s">
        <v>109</v>
      </c>
      <c r="G262" s="4" t="s">
        <v>110</v>
      </c>
      <c r="H262" s="4" t="s">
        <v>111</v>
      </c>
      <c r="I262" s="5">
        <v>0.55555555555555558</v>
      </c>
      <c r="J262" s="4" t="s">
        <v>112</v>
      </c>
      <c r="K262" s="4" t="s">
        <v>111</v>
      </c>
      <c r="L262" s="5">
        <v>0.56944444444444442</v>
      </c>
      <c r="M262" s="4" t="s">
        <v>51</v>
      </c>
      <c r="N262" s="3">
        <v>78</v>
      </c>
      <c r="O262" s="4" t="s">
        <v>24</v>
      </c>
      <c r="P262" s="4" t="s">
        <v>56</v>
      </c>
      <c r="Q262" s="4"/>
      <c r="R262">
        <f>tblDailySchedule[[#This Row],[Capacity Approx]]*'[1]Load Factor Sheet June Acft  '!$B$5</f>
        <v>63.162272727272729</v>
      </c>
      <c r="S262">
        <f>tblDailySchedule[[#This Row],[Capacity Approx]]*'[1]Load Factor Sheet June Acft  '!$D$5</f>
        <v>68.391818181818181</v>
      </c>
      <c r="T262" s="22">
        <f>tblDailySchedule[[#This Row],[STD]]</f>
        <v>0.56944444444444442</v>
      </c>
    </row>
    <row r="263" spans="1:20" hidden="1" x14ac:dyDescent="0.35">
      <c r="A263" s="2">
        <v>46119</v>
      </c>
      <c r="B263" s="3">
        <v>2</v>
      </c>
      <c r="C263" s="4" t="s">
        <v>108</v>
      </c>
      <c r="D263" s="4" t="s">
        <v>18</v>
      </c>
      <c r="E263" s="3">
        <v>13</v>
      </c>
      <c r="F263" s="4" t="s">
        <v>19</v>
      </c>
      <c r="G263" s="4" t="s">
        <v>57</v>
      </c>
      <c r="H263" s="4" t="s">
        <v>58</v>
      </c>
      <c r="I263" s="5">
        <v>0.55902777777777779</v>
      </c>
      <c r="J263" s="4" t="s">
        <v>59</v>
      </c>
      <c r="K263" s="4" t="s">
        <v>58</v>
      </c>
      <c r="L263" s="5">
        <v>0.57638888888888884</v>
      </c>
      <c r="M263" s="4" t="s">
        <v>51</v>
      </c>
      <c r="N263" s="3">
        <v>78</v>
      </c>
      <c r="O263" s="4" t="s">
        <v>24</v>
      </c>
      <c r="P263" s="4" t="s">
        <v>56</v>
      </c>
      <c r="Q263" s="4"/>
      <c r="R263">
        <f>tblDailySchedule[[#This Row],[Capacity Approx]]*'[1]Load Factor Sheet June Acft  '!$B$5</f>
        <v>63.162272727272729</v>
      </c>
      <c r="S263">
        <f>tblDailySchedule[[#This Row],[Capacity Approx]]*'[1]Load Factor Sheet June Acft  '!$D$5</f>
        <v>68.391818181818181</v>
      </c>
      <c r="T263" s="22">
        <f>tblDailySchedule[[#This Row],[STD]]</f>
        <v>0.57638888888888884</v>
      </c>
    </row>
    <row r="264" spans="1:20" hidden="1" x14ac:dyDescent="0.35">
      <c r="A264" s="2">
        <v>46119</v>
      </c>
      <c r="B264" s="3">
        <v>2</v>
      </c>
      <c r="C264" s="4" t="s">
        <v>108</v>
      </c>
      <c r="D264" s="4" t="s">
        <v>18</v>
      </c>
      <c r="E264" s="3">
        <v>14</v>
      </c>
      <c r="F264" s="4" t="s">
        <v>19</v>
      </c>
      <c r="G264" s="4" t="s">
        <v>60</v>
      </c>
      <c r="H264" s="4" t="s">
        <v>61</v>
      </c>
      <c r="I264" s="5">
        <v>0.59027777777777779</v>
      </c>
      <c r="J264" s="4" t="s">
        <v>62</v>
      </c>
      <c r="K264" s="4" t="s">
        <v>61</v>
      </c>
      <c r="L264" s="5">
        <v>0.62152777777777779</v>
      </c>
      <c r="M264" s="4" t="s">
        <v>63</v>
      </c>
      <c r="N264" s="3">
        <v>232</v>
      </c>
      <c r="O264" s="4" t="s">
        <v>24</v>
      </c>
      <c r="P264" s="4" t="s">
        <v>56</v>
      </c>
      <c r="Q264" s="4"/>
      <c r="R264">
        <f>tblDailySchedule[[#This Row],[Capacity Approx]]*'[1]Load Factor Sheet June Acft  '!$B$5</f>
        <v>187.86727272727273</v>
      </c>
      <c r="S264">
        <f>tblDailySchedule[[#This Row],[Capacity Approx]]*'[1]Load Factor Sheet June Acft  '!$D$5</f>
        <v>203.4218181818182</v>
      </c>
      <c r="T264" s="22">
        <f>tblDailySchedule[[#This Row],[STD]]</f>
        <v>0.62152777777777779</v>
      </c>
    </row>
    <row r="265" spans="1:20" hidden="1" x14ac:dyDescent="0.35">
      <c r="A265" s="2">
        <v>46119</v>
      </c>
      <c r="B265" s="3">
        <v>2</v>
      </c>
      <c r="C265" s="4" t="s">
        <v>108</v>
      </c>
      <c r="D265" s="4" t="s">
        <v>18</v>
      </c>
      <c r="E265" s="3">
        <v>15</v>
      </c>
      <c r="F265" s="4" t="s">
        <v>19</v>
      </c>
      <c r="G265" s="4" t="s">
        <v>64</v>
      </c>
      <c r="H265" s="4" t="s">
        <v>31</v>
      </c>
      <c r="I265" s="5">
        <v>0.60069444444444442</v>
      </c>
      <c r="J265" s="4" t="s">
        <v>65</v>
      </c>
      <c r="K265" s="4" t="s">
        <v>66</v>
      </c>
      <c r="L265" s="5">
        <v>0.62847222222222221</v>
      </c>
      <c r="M265" s="4" t="s">
        <v>63</v>
      </c>
      <c r="N265" s="3">
        <v>232</v>
      </c>
      <c r="O265" s="4" t="s">
        <v>24</v>
      </c>
      <c r="P265" s="4" t="s">
        <v>56</v>
      </c>
      <c r="Q265" s="4"/>
      <c r="R265">
        <f>tblDailySchedule[[#This Row],[Capacity Approx]]*'[1]Load Factor Sheet June Acft  '!$B$5</f>
        <v>187.86727272727273</v>
      </c>
      <c r="S265">
        <f>tblDailySchedule[[#This Row],[Capacity Approx]]*'[1]Load Factor Sheet June Acft  '!$D$5</f>
        <v>203.4218181818182</v>
      </c>
      <c r="T265" s="22">
        <f>tblDailySchedule[[#This Row],[STD]]</f>
        <v>0.62847222222222221</v>
      </c>
    </row>
    <row r="266" spans="1:20" hidden="1" x14ac:dyDescent="0.35">
      <c r="A266" s="2">
        <v>46119</v>
      </c>
      <c r="B266" s="3">
        <v>2</v>
      </c>
      <c r="C266" s="4" t="s">
        <v>108</v>
      </c>
      <c r="D266" s="4" t="s">
        <v>18</v>
      </c>
      <c r="E266" s="3">
        <v>16</v>
      </c>
      <c r="F266" s="4" t="s">
        <v>19</v>
      </c>
      <c r="G266" s="4" t="s">
        <v>67</v>
      </c>
      <c r="H266" s="4" t="s">
        <v>31</v>
      </c>
      <c r="I266" s="5">
        <v>0.65625</v>
      </c>
      <c r="J266" s="4" t="s">
        <v>68</v>
      </c>
      <c r="K266" s="4" t="s">
        <v>31</v>
      </c>
      <c r="L266" s="5">
        <v>0.68402777777777779</v>
      </c>
      <c r="M266" s="4" t="s">
        <v>63</v>
      </c>
      <c r="N266" s="3">
        <v>232</v>
      </c>
      <c r="O266" s="4" t="s">
        <v>24</v>
      </c>
      <c r="P266" s="4" t="s">
        <v>56</v>
      </c>
      <c r="Q266" s="4"/>
      <c r="R266">
        <f>tblDailySchedule[[#This Row],[Capacity Approx]]*'[1]Load Factor Sheet June Acft  '!$B$5</f>
        <v>187.86727272727273</v>
      </c>
      <c r="S266">
        <f>tblDailySchedule[[#This Row],[Capacity Approx]]*'[1]Load Factor Sheet June Acft  '!$D$5</f>
        <v>203.4218181818182</v>
      </c>
      <c r="T266" s="22">
        <f>tblDailySchedule[[#This Row],[STD]]</f>
        <v>0.68402777777777779</v>
      </c>
    </row>
    <row r="267" spans="1:20" hidden="1" x14ac:dyDescent="0.35">
      <c r="A267" s="2">
        <v>46119</v>
      </c>
      <c r="B267" s="3">
        <v>2</v>
      </c>
      <c r="C267" s="4" t="s">
        <v>108</v>
      </c>
      <c r="D267" s="4" t="s">
        <v>18</v>
      </c>
      <c r="E267" s="3">
        <v>17</v>
      </c>
      <c r="F267" s="4" t="s">
        <v>19</v>
      </c>
      <c r="G267" s="4" t="s">
        <v>69</v>
      </c>
      <c r="H267" s="4" t="s">
        <v>31</v>
      </c>
      <c r="I267" s="5">
        <v>0.66319444444444442</v>
      </c>
      <c r="J267" s="4" t="s">
        <v>70</v>
      </c>
      <c r="K267" s="4" t="s">
        <v>31</v>
      </c>
      <c r="L267" s="5">
        <v>0.69097222222222221</v>
      </c>
      <c r="M267" s="4" t="s">
        <v>33</v>
      </c>
      <c r="N267" s="3">
        <v>189</v>
      </c>
      <c r="O267" s="4" t="s">
        <v>24</v>
      </c>
      <c r="P267" s="4" t="s">
        <v>56</v>
      </c>
      <c r="Q267" s="4"/>
      <c r="R267">
        <f>tblDailySchedule[[#This Row],[Capacity Approx]]*'[1]Load Factor Sheet June Acft  '!$B$5</f>
        <v>153.04704545454547</v>
      </c>
      <c r="S267">
        <f>tblDailySchedule[[#This Row],[Capacity Approx]]*'[1]Load Factor Sheet June Acft  '!$D$5</f>
        <v>165.71863636363636</v>
      </c>
      <c r="T267" s="22">
        <f>tblDailySchedule[[#This Row],[STD]]</f>
        <v>0.69097222222222221</v>
      </c>
    </row>
    <row r="268" spans="1:20" hidden="1" x14ac:dyDescent="0.35">
      <c r="A268" s="2">
        <v>46119</v>
      </c>
      <c r="B268" s="3">
        <v>2</v>
      </c>
      <c r="C268" s="4" t="s">
        <v>108</v>
      </c>
      <c r="D268" s="4" t="s">
        <v>18</v>
      </c>
      <c r="E268" s="3">
        <v>18</v>
      </c>
      <c r="F268" s="4" t="s">
        <v>19</v>
      </c>
      <c r="G268" s="4" t="s">
        <v>71</v>
      </c>
      <c r="H268" s="4" t="s">
        <v>21</v>
      </c>
      <c r="I268" s="5">
        <v>0.67013888888888884</v>
      </c>
      <c r="J268" s="4" t="s">
        <v>72</v>
      </c>
      <c r="K268" s="4" t="s">
        <v>21</v>
      </c>
      <c r="L268" s="5">
        <v>0.69791666666666663</v>
      </c>
      <c r="M268" s="4" t="s">
        <v>63</v>
      </c>
      <c r="N268" s="3">
        <v>232</v>
      </c>
      <c r="O268" s="4" t="s">
        <v>24</v>
      </c>
      <c r="P268" s="4" t="s">
        <v>56</v>
      </c>
      <c r="Q268" s="4"/>
      <c r="R268">
        <f>tblDailySchedule[[#This Row],[Capacity Approx]]*'[1]Load Factor Sheet June Acft  '!$B$5</f>
        <v>187.86727272727273</v>
      </c>
      <c r="S268">
        <f>tblDailySchedule[[#This Row],[Capacity Approx]]*'[1]Load Factor Sheet June Acft  '!$D$5</f>
        <v>203.4218181818182</v>
      </c>
      <c r="T268" s="22">
        <f>tblDailySchedule[[#This Row],[STD]]</f>
        <v>0.69791666666666663</v>
      </c>
    </row>
    <row r="269" spans="1:20" hidden="1" x14ac:dyDescent="0.35">
      <c r="A269" s="2">
        <v>46119</v>
      </c>
      <c r="B269" s="3">
        <v>2</v>
      </c>
      <c r="C269" s="4" t="s">
        <v>108</v>
      </c>
      <c r="D269" s="4" t="s">
        <v>18</v>
      </c>
      <c r="E269" s="3">
        <v>19</v>
      </c>
      <c r="F269" s="4" t="s">
        <v>19</v>
      </c>
      <c r="G269" s="4" t="s">
        <v>73</v>
      </c>
      <c r="H269" s="4" t="s">
        <v>27</v>
      </c>
      <c r="I269" s="5">
        <v>0.74652777777777779</v>
      </c>
      <c r="J269" s="4" t="s">
        <v>74</v>
      </c>
      <c r="K269" s="4" t="s">
        <v>27</v>
      </c>
      <c r="L269" s="5">
        <v>0.77430555555555558</v>
      </c>
      <c r="M269" s="4" t="s">
        <v>63</v>
      </c>
      <c r="N269" s="3">
        <v>232</v>
      </c>
      <c r="O269" s="4" t="s">
        <v>24</v>
      </c>
      <c r="P269" s="4" t="s">
        <v>56</v>
      </c>
      <c r="Q269" s="4"/>
      <c r="R269">
        <f>tblDailySchedule[[#This Row],[Capacity Approx]]*'[1]Load Factor Sheet June Acft  '!$B$5</f>
        <v>187.86727272727273</v>
      </c>
      <c r="S269">
        <f>tblDailySchedule[[#This Row],[Capacity Approx]]*'[1]Load Factor Sheet June Acft  '!$D$5</f>
        <v>203.4218181818182</v>
      </c>
      <c r="T269" s="22">
        <f>tblDailySchedule[[#This Row],[STD]]</f>
        <v>0.77430555555555558</v>
      </c>
    </row>
    <row r="270" spans="1:20" hidden="1" x14ac:dyDescent="0.35">
      <c r="A270" s="2">
        <v>46119</v>
      </c>
      <c r="B270" s="3">
        <v>2</v>
      </c>
      <c r="C270" s="4" t="s">
        <v>108</v>
      </c>
      <c r="D270" s="4" t="s">
        <v>18</v>
      </c>
      <c r="E270" s="3">
        <v>21</v>
      </c>
      <c r="F270" s="4" t="s">
        <v>19</v>
      </c>
      <c r="G270" s="4" t="s">
        <v>81</v>
      </c>
      <c r="H270" s="4" t="s">
        <v>61</v>
      </c>
      <c r="I270" s="5">
        <v>0.77083333333333337</v>
      </c>
      <c r="J270" s="4" t="s">
        <v>82</v>
      </c>
      <c r="K270" s="4" t="s">
        <v>49</v>
      </c>
      <c r="L270" s="5">
        <v>0.79166666666666663</v>
      </c>
      <c r="M270" s="4" t="s">
        <v>33</v>
      </c>
      <c r="N270" s="3">
        <v>189</v>
      </c>
      <c r="O270" s="4" t="s">
        <v>24</v>
      </c>
      <c r="P270" s="4" t="s">
        <v>79</v>
      </c>
      <c r="Q270" s="4"/>
      <c r="R270">
        <f>tblDailySchedule[[#This Row],[Capacity Approx]]*'[1]Load Factor Sheet June Acft  '!$B$5</f>
        <v>153.04704545454547</v>
      </c>
      <c r="S270">
        <f>tblDailySchedule[[#This Row],[Capacity Approx]]*'[1]Load Factor Sheet June Acft  '!$D$5</f>
        <v>165.71863636363636</v>
      </c>
      <c r="T270" s="22">
        <f>tblDailySchedule[[#This Row],[STD]]</f>
        <v>0.79166666666666663</v>
      </c>
    </row>
    <row r="271" spans="1:20" hidden="1" x14ac:dyDescent="0.35">
      <c r="A271" s="2">
        <v>46119</v>
      </c>
      <c r="B271" s="3">
        <v>2</v>
      </c>
      <c r="C271" s="4" t="s">
        <v>108</v>
      </c>
      <c r="D271" s="4" t="s">
        <v>18</v>
      </c>
      <c r="E271" s="3">
        <v>22</v>
      </c>
      <c r="F271" s="4" t="s">
        <v>19</v>
      </c>
      <c r="G271" s="4" t="s">
        <v>83</v>
      </c>
      <c r="H271" s="4" t="s">
        <v>31</v>
      </c>
      <c r="I271" s="5">
        <v>0.77777777777777779</v>
      </c>
      <c r="J271" s="4" t="s">
        <v>84</v>
      </c>
      <c r="K271" s="4" t="s">
        <v>31</v>
      </c>
      <c r="L271" s="5">
        <v>0.80555555555555558</v>
      </c>
      <c r="M271" s="4" t="s">
        <v>63</v>
      </c>
      <c r="N271" s="3">
        <v>232</v>
      </c>
      <c r="O271" s="4" t="s">
        <v>24</v>
      </c>
      <c r="P271" s="4" t="s">
        <v>79</v>
      </c>
      <c r="Q271" s="4"/>
      <c r="R271">
        <f>tblDailySchedule[[#This Row],[Capacity Approx]]*'[1]Load Factor Sheet June Acft  '!$B$5</f>
        <v>187.86727272727273</v>
      </c>
      <c r="S271">
        <f>tblDailySchedule[[#This Row],[Capacity Approx]]*'[1]Load Factor Sheet June Acft  '!$D$5</f>
        <v>203.4218181818182</v>
      </c>
      <c r="T271" s="22">
        <f>tblDailySchedule[[#This Row],[STD]]</f>
        <v>0.80555555555555558</v>
      </c>
    </row>
    <row r="272" spans="1:20" hidden="1" x14ac:dyDescent="0.35">
      <c r="A272" s="2">
        <v>46119</v>
      </c>
      <c r="B272" s="3">
        <v>2</v>
      </c>
      <c r="C272" s="4" t="s">
        <v>108</v>
      </c>
      <c r="D272" s="4" t="s">
        <v>18</v>
      </c>
      <c r="E272" s="3">
        <v>23</v>
      </c>
      <c r="F272" s="4" t="s">
        <v>19</v>
      </c>
      <c r="G272" s="4" t="s">
        <v>85</v>
      </c>
      <c r="H272" s="4" t="s">
        <v>86</v>
      </c>
      <c r="I272" s="5">
        <v>0.79861111111111116</v>
      </c>
      <c r="J272" s="4" t="s">
        <v>87</v>
      </c>
      <c r="K272" s="4" t="s">
        <v>86</v>
      </c>
      <c r="L272" s="5">
        <v>0.82638888888888884</v>
      </c>
      <c r="M272" s="4" t="s">
        <v>63</v>
      </c>
      <c r="N272" s="3">
        <v>232</v>
      </c>
      <c r="O272" s="4" t="s">
        <v>24</v>
      </c>
      <c r="P272" s="4" t="s">
        <v>79</v>
      </c>
      <c r="Q272" s="4"/>
      <c r="R272">
        <f>tblDailySchedule[[#This Row],[Capacity Approx]]*'[1]Load Factor Sheet June Acft  '!$B$5</f>
        <v>187.86727272727273</v>
      </c>
      <c r="S272">
        <f>tblDailySchedule[[#This Row],[Capacity Approx]]*'[1]Load Factor Sheet June Acft  '!$D$5</f>
        <v>203.4218181818182</v>
      </c>
      <c r="T272" s="22">
        <f>tblDailySchedule[[#This Row],[STD]]</f>
        <v>0.82638888888888884</v>
      </c>
    </row>
    <row r="273" spans="1:20" hidden="1" x14ac:dyDescent="0.35">
      <c r="A273" s="2">
        <v>46119</v>
      </c>
      <c r="B273" s="3">
        <v>2</v>
      </c>
      <c r="C273" s="4" t="s">
        <v>108</v>
      </c>
      <c r="D273" s="4" t="s">
        <v>18</v>
      </c>
      <c r="E273" s="3">
        <v>24</v>
      </c>
      <c r="F273" s="4" t="s">
        <v>19</v>
      </c>
      <c r="G273" s="4" t="s">
        <v>88</v>
      </c>
      <c r="H273" s="4" t="s">
        <v>89</v>
      </c>
      <c r="I273" s="5">
        <v>0.83333333333333337</v>
      </c>
      <c r="J273" s="4" t="s">
        <v>90</v>
      </c>
      <c r="K273" s="4" t="s">
        <v>31</v>
      </c>
      <c r="L273" s="5">
        <v>0.86111111111111116</v>
      </c>
      <c r="M273" s="4" t="s">
        <v>63</v>
      </c>
      <c r="N273" s="3">
        <v>232</v>
      </c>
      <c r="O273" s="4" t="s">
        <v>24</v>
      </c>
      <c r="P273" s="4" t="s">
        <v>79</v>
      </c>
      <c r="Q273" s="4"/>
      <c r="R273">
        <f>tblDailySchedule[[#This Row],[Capacity Approx]]*'[1]Load Factor Sheet June Acft  '!$B$5</f>
        <v>187.86727272727273</v>
      </c>
      <c r="S273">
        <f>tblDailySchedule[[#This Row],[Capacity Approx]]*'[1]Load Factor Sheet June Acft  '!$D$5</f>
        <v>203.4218181818182</v>
      </c>
      <c r="T273" s="22">
        <f>tblDailySchedule[[#This Row],[STD]]</f>
        <v>0.86111111111111116</v>
      </c>
    </row>
    <row r="274" spans="1:20" hidden="1" x14ac:dyDescent="0.35">
      <c r="A274" s="2">
        <v>46119</v>
      </c>
      <c r="B274" s="3">
        <v>2</v>
      </c>
      <c r="C274" s="4" t="s">
        <v>108</v>
      </c>
      <c r="D274" s="4" t="s">
        <v>18</v>
      </c>
      <c r="E274" s="3">
        <v>25</v>
      </c>
      <c r="F274" s="4" t="s">
        <v>19</v>
      </c>
      <c r="G274" s="4" t="s">
        <v>91</v>
      </c>
      <c r="H274" s="4" t="s">
        <v>61</v>
      </c>
      <c r="I274" s="5">
        <v>0.85416666666666663</v>
      </c>
      <c r="J274" s="4" t="s">
        <v>92</v>
      </c>
      <c r="K274" s="4" t="s">
        <v>61</v>
      </c>
      <c r="L274" s="5">
        <v>0.88194444444444442</v>
      </c>
      <c r="M274" s="4" t="s">
        <v>63</v>
      </c>
      <c r="N274" s="3">
        <v>232</v>
      </c>
      <c r="O274" s="4" t="s">
        <v>24</v>
      </c>
      <c r="P274" s="4" t="s">
        <v>79</v>
      </c>
      <c r="Q274" s="4"/>
      <c r="R274">
        <f>tblDailySchedule[[#This Row],[Capacity Approx]]*'[1]Load Factor Sheet June Acft  '!$B$5</f>
        <v>187.86727272727273</v>
      </c>
      <c r="S274">
        <f>tblDailySchedule[[#This Row],[Capacity Approx]]*'[1]Load Factor Sheet June Acft  '!$D$5</f>
        <v>203.4218181818182</v>
      </c>
      <c r="T274" s="22">
        <f>tblDailySchedule[[#This Row],[STD]]</f>
        <v>0.88194444444444442</v>
      </c>
    </row>
    <row r="275" spans="1:20" hidden="1" x14ac:dyDescent="0.35">
      <c r="A275" s="2">
        <v>46119</v>
      </c>
      <c r="B275" s="3">
        <v>2</v>
      </c>
      <c r="C275" s="4" t="s">
        <v>108</v>
      </c>
      <c r="D275" s="4" t="s">
        <v>18</v>
      </c>
      <c r="E275" s="3">
        <v>26</v>
      </c>
      <c r="F275" s="4" t="s">
        <v>19</v>
      </c>
      <c r="G275" s="4" t="s">
        <v>93</v>
      </c>
      <c r="H275" s="4" t="s">
        <v>31</v>
      </c>
      <c r="I275" s="5">
        <v>0.86111111111111116</v>
      </c>
      <c r="J275" s="4" t="s">
        <v>94</v>
      </c>
      <c r="K275" s="4" t="s">
        <v>31</v>
      </c>
      <c r="L275" s="5">
        <v>0.88888888888888884</v>
      </c>
      <c r="M275" s="4" t="s">
        <v>23</v>
      </c>
      <c r="N275" s="3">
        <v>186</v>
      </c>
      <c r="O275" s="4" t="s">
        <v>24</v>
      </c>
      <c r="P275" s="4" t="s">
        <v>79</v>
      </c>
      <c r="Q275" s="4"/>
      <c r="R275">
        <f>tblDailySchedule[[#This Row],[Capacity Approx]]*'[1]Load Factor Sheet June Acft  '!$B$5</f>
        <v>150.61772727272728</v>
      </c>
      <c r="S275">
        <f>tblDailySchedule[[#This Row],[Capacity Approx]]*'[1]Load Factor Sheet June Acft  '!$D$5</f>
        <v>163.08818181818182</v>
      </c>
      <c r="T275" s="22">
        <f>tblDailySchedule[[#This Row],[STD]]</f>
        <v>0.88888888888888884</v>
      </c>
    </row>
    <row r="276" spans="1:20" hidden="1" x14ac:dyDescent="0.35">
      <c r="A276" s="2">
        <v>46119</v>
      </c>
      <c r="B276" s="3">
        <v>2</v>
      </c>
      <c r="C276" s="4" t="s">
        <v>108</v>
      </c>
      <c r="D276" s="4" t="s">
        <v>18</v>
      </c>
      <c r="E276" s="3">
        <v>27</v>
      </c>
      <c r="F276" s="4" t="s">
        <v>19</v>
      </c>
      <c r="G276" s="4" t="s">
        <v>95</v>
      </c>
      <c r="H276" s="4" t="s">
        <v>21</v>
      </c>
      <c r="I276" s="5">
        <v>0.86805555555555558</v>
      </c>
      <c r="J276" s="4" t="s">
        <v>96</v>
      </c>
      <c r="K276" s="4" t="s">
        <v>21</v>
      </c>
      <c r="L276" s="5">
        <v>0.89583333333333337</v>
      </c>
      <c r="M276" s="4" t="s">
        <v>29</v>
      </c>
      <c r="N276" s="3">
        <v>186</v>
      </c>
      <c r="O276" s="4" t="s">
        <v>24</v>
      </c>
      <c r="P276" s="4" t="s">
        <v>79</v>
      </c>
      <c r="Q276" s="4"/>
      <c r="R276">
        <f>tblDailySchedule[[#This Row],[Capacity Approx]]*'[1]Load Factor Sheet June Acft  '!$B$5</f>
        <v>150.61772727272728</v>
      </c>
      <c r="S276">
        <f>tblDailySchedule[[#This Row],[Capacity Approx]]*'[1]Load Factor Sheet June Acft  '!$D$5</f>
        <v>163.08818181818182</v>
      </c>
      <c r="T276" s="22">
        <f>tblDailySchedule[[#This Row],[STD]]</f>
        <v>0.89583333333333337</v>
      </c>
    </row>
    <row r="277" spans="1:20" hidden="1" x14ac:dyDescent="0.35">
      <c r="A277" s="2">
        <v>46119</v>
      </c>
      <c r="B277" s="3">
        <v>2</v>
      </c>
      <c r="C277" s="4" t="s">
        <v>108</v>
      </c>
      <c r="D277" s="4" t="s">
        <v>18</v>
      </c>
      <c r="E277" s="3">
        <v>28</v>
      </c>
      <c r="F277" s="4" t="s">
        <v>19</v>
      </c>
      <c r="G277" s="4" t="s">
        <v>97</v>
      </c>
      <c r="H277" s="4" t="s">
        <v>49</v>
      </c>
      <c r="I277" s="5">
        <v>0.90277777777777779</v>
      </c>
      <c r="J277" s="4" t="s">
        <v>97</v>
      </c>
      <c r="K277" s="4" t="s">
        <v>61</v>
      </c>
      <c r="L277" s="5">
        <v>0.92361111111111116</v>
      </c>
      <c r="M277" s="4" t="s">
        <v>33</v>
      </c>
      <c r="N277" s="3">
        <v>189</v>
      </c>
      <c r="O277" s="4" t="s">
        <v>24</v>
      </c>
      <c r="P277" s="4" t="s">
        <v>79</v>
      </c>
      <c r="Q277" s="4"/>
      <c r="R277">
        <f>tblDailySchedule[[#This Row],[Capacity Approx]]*'[1]Load Factor Sheet June Acft  '!$B$5</f>
        <v>153.04704545454547</v>
      </c>
      <c r="S277">
        <f>tblDailySchedule[[#This Row],[Capacity Approx]]*'[1]Load Factor Sheet June Acft  '!$D$5</f>
        <v>165.71863636363636</v>
      </c>
      <c r="T277" s="22">
        <f>tblDailySchedule[[#This Row],[STD]]</f>
        <v>0.92361111111111116</v>
      </c>
    </row>
    <row r="278" spans="1:20" hidden="1" x14ac:dyDescent="0.35">
      <c r="A278" s="2">
        <v>46119</v>
      </c>
      <c r="B278" s="3">
        <v>2</v>
      </c>
      <c r="C278" s="4" t="s">
        <v>108</v>
      </c>
      <c r="D278" s="4" t="s">
        <v>18</v>
      </c>
      <c r="E278" s="3">
        <v>29</v>
      </c>
      <c r="F278" s="4" t="s">
        <v>19</v>
      </c>
      <c r="G278" s="4" t="s">
        <v>98</v>
      </c>
      <c r="H278" s="4" t="s">
        <v>21</v>
      </c>
      <c r="I278" s="5">
        <v>0.92013888888888884</v>
      </c>
      <c r="J278" s="4" t="s">
        <v>99</v>
      </c>
      <c r="K278" s="4" t="s">
        <v>21</v>
      </c>
      <c r="L278" s="5">
        <v>0.94791666666666663</v>
      </c>
      <c r="M278" s="4" t="s">
        <v>63</v>
      </c>
      <c r="N278" s="3">
        <v>232</v>
      </c>
      <c r="O278" s="4" t="s">
        <v>24</v>
      </c>
      <c r="P278" s="4" t="s">
        <v>79</v>
      </c>
      <c r="Q278" s="4"/>
      <c r="R278">
        <f>tblDailySchedule[[#This Row],[Capacity Approx]]*'[1]Load Factor Sheet June Acft  '!$B$5</f>
        <v>187.86727272727273</v>
      </c>
      <c r="S278">
        <f>tblDailySchedule[[#This Row],[Capacity Approx]]*'[1]Load Factor Sheet June Acft  '!$D$5</f>
        <v>203.4218181818182</v>
      </c>
      <c r="T278" s="22">
        <f>tblDailySchedule[[#This Row],[STD]]</f>
        <v>0.94791666666666663</v>
      </c>
    </row>
    <row r="279" spans="1:20" hidden="1" x14ac:dyDescent="0.35">
      <c r="A279" s="2">
        <v>46120</v>
      </c>
      <c r="B279" s="3">
        <v>3</v>
      </c>
      <c r="C279" s="4" t="s">
        <v>113</v>
      </c>
      <c r="D279" s="4" t="s">
        <v>18</v>
      </c>
      <c r="E279" s="3">
        <v>2</v>
      </c>
      <c r="F279" s="4" t="s">
        <v>19</v>
      </c>
      <c r="G279" s="4" t="s">
        <v>20</v>
      </c>
      <c r="H279" s="4" t="s">
        <v>21</v>
      </c>
      <c r="I279" s="5">
        <v>0.31944444444444442</v>
      </c>
      <c r="J279" s="4" t="s">
        <v>22</v>
      </c>
      <c r="K279" s="4" t="s">
        <v>21</v>
      </c>
      <c r="L279" s="5">
        <v>0.34722222222222221</v>
      </c>
      <c r="M279" s="4" t="s">
        <v>23</v>
      </c>
      <c r="N279" s="3">
        <v>186</v>
      </c>
      <c r="O279" s="4" t="s">
        <v>24</v>
      </c>
      <c r="P279" s="4" t="s">
        <v>25</v>
      </c>
      <c r="Q279" s="4"/>
      <c r="R279">
        <f>tblDailySchedule[[#This Row],[Capacity Approx]]*'[1]Load Factor Sheet June Acft  '!$B$5</f>
        <v>150.61772727272728</v>
      </c>
      <c r="S279">
        <f>tblDailySchedule[[#This Row],[Capacity Approx]]*'[1]Load Factor Sheet June Acft  '!$D$5</f>
        <v>163.08818181818182</v>
      </c>
      <c r="T279" s="22">
        <f>tblDailySchedule[[#This Row],[STD]]</f>
        <v>0.34722222222222221</v>
      </c>
    </row>
    <row r="280" spans="1:20" hidden="1" x14ac:dyDescent="0.35">
      <c r="A280" s="2">
        <v>46120</v>
      </c>
      <c r="B280" s="3">
        <v>3</v>
      </c>
      <c r="C280" s="4" t="s">
        <v>113</v>
      </c>
      <c r="D280" s="4" t="s">
        <v>18</v>
      </c>
      <c r="E280" s="3">
        <v>3</v>
      </c>
      <c r="F280" s="4" t="s">
        <v>19</v>
      </c>
      <c r="G280" s="4" t="s">
        <v>26</v>
      </c>
      <c r="H280" s="4" t="s">
        <v>27</v>
      </c>
      <c r="I280" s="5">
        <v>0.3263888888888889</v>
      </c>
      <c r="J280" s="4" t="s">
        <v>28</v>
      </c>
      <c r="K280" s="4" t="s">
        <v>27</v>
      </c>
      <c r="L280" s="5">
        <v>0.35416666666666669</v>
      </c>
      <c r="M280" s="4" t="s">
        <v>29</v>
      </c>
      <c r="N280" s="3">
        <v>186</v>
      </c>
      <c r="O280" s="4" t="s">
        <v>24</v>
      </c>
      <c r="P280" s="4" t="s">
        <v>25</v>
      </c>
      <c r="Q280" s="4"/>
      <c r="R280">
        <f>tblDailySchedule[[#This Row],[Capacity Approx]]*'[1]Load Factor Sheet June Acft  '!$B$5</f>
        <v>150.61772727272728</v>
      </c>
      <c r="S280">
        <f>tblDailySchedule[[#This Row],[Capacity Approx]]*'[1]Load Factor Sheet June Acft  '!$D$5</f>
        <v>163.08818181818182</v>
      </c>
      <c r="T280" s="22">
        <f>tblDailySchedule[[#This Row],[STD]]</f>
        <v>0.35416666666666669</v>
      </c>
    </row>
    <row r="281" spans="1:20" hidden="1" x14ac:dyDescent="0.35">
      <c r="A281" s="2">
        <v>46120</v>
      </c>
      <c r="B281" s="3">
        <v>3</v>
      </c>
      <c r="C281" s="4" t="s">
        <v>113</v>
      </c>
      <c r="D281" s="4" t="s">
        <v>18</v>
      </c>
      <c r="E281" s="3">
        <v>4</v>
      </c>
      <c r="F281" s="4" t="s">
        <v>19</v>
      </c>
      <c r="G281" s="4" t="s">
        <v>30</v>
      </c>
      <c r="H281" s="4" t="s">
        <v>31</v>
      </c>
      <c r="I281" s="5">
        <v>0.34722222222222221</v>
      </c>
      <c r="J281" s="4" t="s">
        <v>32</v>
      </c>
      <c r="K281" s="4" t="s">
        <v>31</v>
      </c>
      <c r="L281" s="5">
        <v>0.36805555555555558</v>
      </c>
      <c r="M281" s="4" t="s">
        <v>33</v>
      </c>
      <c r="N281" s="3">
        <v>189</v>
      </c>
      <c r="O281" s="4" t="s">
        <v>24</v>
      </c>
      <c r="P281" s="4" t="s">
        <v>25</v>
      </c>
      <c r="Q281" s="4"/>
      <c r="R281">
        <f>tblDailySchedule[[#This Row],[Capacity Approx]]*'[1]Load Factor Sheet June Acft  '!$B$5</f>
        <v>153.04704545454547</v>
      </c>
      <c r="S281">
        <f>tblDailySchedule[[#This Row],[Capacity Approx]]*'[1]Load Factor Sheet June Acft  '!$D$5</f>
        <v>165.71863636363636</v>
      </c>
      <c r="T281" s="22">
        <f>tblDailySchedule[[#This Row],[STD]]</f>
        <v>0.36805555555555558</v>
      </c>
    </row>
    <row r="282" spans="1:20" hidden="1" x14ac:dyDescent="0.35">
      <c r="A282" s="6">
        <v>46120</v>
      </c>
      <c r="B282" s="7">
        <v>3</v>
      </c>
      <c r="C282" s="8" t="s">
        <v>113</v>
      </c>
      <c r="D282" s="8" t="s">
        <v>18</v>
      </c>
      <c r="E282" s="7">
        <v>6</v>
      </c>
      <c r="F282" s="8" t="s">
        <v>34</v>
      </c>
      <c r="G282" s="8" t="s">
        <v>35</v>
      </c>
      <c r="H282" s="8" t="s">
        <v>36</v>
      </c>
      <c r="I282" s="9">
        <v>0.34722222222222221</v>
      </c>
      <c r="J282" s="8" t="s">
        <v>37</v>
      </c>
      <c r="K282" s="8" t="s">
        <v>36</v>
      </c>
      <c r="L282" s="9">
        <v>0.40972222222222221</v>
      </c>
      <c r="M282" s="8" t="s">
        <v>38</v>
      </c>
      <c r="N282" s="7">
        <v>186</v>
      </c>
      <c r="O282" s="8" t="s">
        <v>39</v>
      </c>
      <c r="P282" s="8" t="s">
        <v>25</v>
      </c>
      <c r="Q282" s="8" t="s">
        <v>39</v>
      </c>
      <c r="R282">
        <f>tblDailySchedule[[#This Row],[Capacity Approx]]*'[1]Load Factor Sheet June Acft  '!$B$5</f>
        <v>150.61772727272728</v>
      </c>
      <c r="S282">
        <f>tblDailySchedule[[#This Row],[Capacity Approx]]*'[1]Load Factor Sheet June Acft  '!$D$5</f>
        <v>163.08818181818182</v>
      </c>
      <c r="T282" s="22">
        <f>tblDailySchedule[[#This Row],[STD]]</f>
        <v>0.40972222222222221</v>
      </c>
    </row>
    <row r="283" spans="1:20" hidden="1" x14ac:dyDescent="0.35">
      <c r="A283" s="2">
        <v>46120</v>
      </c>
      <c r="B283" s="3">
        <v>3</v>
      </c>
      <c r="C283" s="4" t="s">
        <v>113</v>
      </c>
      <c r="D283" s="4" t="s">
        <v>18</v>
      </c>
      <c r="E283" s="3">
        <v>5</v>
      </c>
      <c r="F283" s="4" t="s">
        <v>19</v>
      </c>
      <c r="G283" s="4" t="s">
        <v>40</v>
      </c>
      <c r="H283" s="4" t="s">
        <v>31</v>
      </c>
      <c r="I283" s="5">
        <v>0.35069444444444442</v>
      </c>
      <c r="J283" s="4" t="s">
        <v>41</v>
      </c>
      <c r="K283" s="4" t="s">
        <v>31</v>
      </c>
      <c r="L283" s="5">
        <v>0.37152777777777779</v>
      </c>
      <c r="M283" s="4" t="s">
        <v>23</v>
      </c>
      <c r="N283" s="3">
        <v>186</v>
      </c>
      <c r="O283" s="4" t="s">
        <v>24</v>
      </c>
      <c r="P283" s="4" t="s">
        <v>25</v>
      </c>
      <c r="Q283" s="4"/>
      <c r="R283">
        <f>tblDailySchedule[[#This Row],[Capacity Approx]]*'[1]Load Factor Sheet June Acft  '!$B$5</f>
        <v>150.61772727272728</v>
      </c>
      <c r="S283">
        <f>tblDailySchedule[[#This Row],[Capacity Approx]]*'[1]Load Factor Sheet June Acft  '!$D$5</f>
        <v>163.08818181818182</v>
      </c>
      <c r="T283" s="22">
        <f>tblDailySchedule[[#This Row],[STD]]</f>
        <v>0.37152777777777779</v>
      </c>
    </row>
    <row r="284" spans="1:20" hidden="1" x14ac:dyDescent="0.35">
      <c r="A284" s="2">
        <v>46120</v>
      </c>
      <c r="B284" s="3">
        <v>3</v>
      </c>
      <c r="C284" s="4" t="s">
        <v>113</v>
      </c>
      <c r="D284" s="4" t="s">
        <v>18</v>
      </c>
      <c r="E284" s="3">
        <v>7</v>
      </c>
      <c r="F284" s="4" t="s">
        <v>19</v>
      </c>
      <c r="G284" s="4" t="s">
        <v>42</v>
      </c>
      <c r="H284" s="4" t="s">
        <v>43</v>
      </c>
      <c r="I284" s="5">
        <v>0.3923611111111111</v>
      </c>
      <c r="J284" s="4" t="s">
        <v>44</v>
      </c>
      <c r="K284" s="4" t="s">
        <v>43</v>
      </c>
      <c r="L284" s="5">
        <v>0.40277777777777779</v>
      </c>
      <c r="M284" s="4" t="s">
        <v>45</v>
      </c>
      <c r="N284" s="3">
        <v>9</v>
      </c>
      <c r="O284" s="4" t="s">
        <v>24</v>
      </c>
      <c r="P284" s="4" t="s">
        <v>25</v>
      </c>
      <c r="Q284" s="4"/>
      <c r="R284">
        <f>tblDailySchedule[[#This Row],[Capacity Approx]]*'[1]Load Factor Sheet June Acft  '!$B$5</f>
        <v>7.2879545454545456</v>
      </c>
      <c r="S284">
        <f>tblDailySchedule[[#This Row],[Capacity Approx]]*'[1]Load Factor Sheet June Acft  '!$D$5</f>
        <v>7.8913636363636366</v>
      </c>
      <c r="T284" s="22">
        <f>tblDailySchedule[[#This Row],[STD]]</f>
        <v>0.40277777777777779</v>
      </c>
    </row>
    <row r="285" spans="1:20" hidden="1" x14ac:dyDescent="0.35">
      <c r="A285" s="2">
        <v>46120</v>
      </c>
      <c r="B285" s="3">
        <v>3</v>
      </c>
      <c r="C285" s="4" t="s">
        <v>113</v>
      </c>
      <c r="D285" s="4" t="s">
        <v>18</v>
      </c>
      <c r="E285" s="3">
        <v>8</v>
      </c>
      <c r="F285" s="4" t="s">
        <v>19</v>
      </c>
      <c r="G285" s="4" t="s">
        <v>46</v>
      </c>
      <c r="H285" s="4" t="s">
        <v>31</v>
      </c>
      <c r="I285" s="5">
        <v>0.4201388888888889</v>
      </c>
      <c r="J285" s="4" t="s">
        <v>47</v>
      </c>
      <c r="K285" s="4" t="s">
        <v>31</v>
      </c>
      <c r="L285" s="5">
        <v>0.44444444444444442</v>
      </c>
      <c r="M285" s="4" t="s">
        <v>29</v>
      </c>
      <c r="N285" s="3">
        <v>186</v>
      </c>
      <c r="O285" s="4" t="s">
        <v>24</v>
      </c>
      <c r="P285" s="4" t="s">
        <v>25</v>
      </c>
      <c r="Q285" s="4"/>
      <c r="R285">
        <f>tblDailySchedule[[#This Row],[Capacity Approx]]*'[1]Load Factor Sheet June Acft  '!$B$5</f>
        <v>150.61772727272728</v>
      </c>
      <c r="S285">
        <f>tblDailySchedule[[#This Row],[Capacity Approx]]*'[1]Load Factor Sheet June Acft  '!$D$5</f>
        <v>163.08818181818182</v>
      </c>
      <c r="T285" s="22">
        <f>tblDailySchedule[[#This Row],[STD]]</f>
        <v>0.44444444444444442</v>
      </c>
    </row>
    <row r="286" spans="1:20" hidden="1" x14ac:dyDescent="0.35">
      <c r="A286" s="2">
        <v>46120</v>
      </c>
      <c r="B286" s="3">
        <v>3</v>
      </c>
      <c r="C286" s="4" t="s">
        <v>113</v>
      </c>
      <c r="D286" s="4" t="s">
        <v>18</v>
      </c>
      <c r="E286" s="3">
        <v>9</v>
      </c>
      <c r="F286" s="4" t="s">
        <v>19</v>
      </c>
      <c r="G286" s="4" t="s">
        <v>48</v>
      </c>
      <c r="H286" s="4" t="s">
        <v>49</v>
      </c>
      <c r="I286" s="5">
        <v>0.4375</v>
      </c>
      <c r="J286" s="4" t="s">
        <v>50</v>
      </c>
      <c r="K286" s="4" t="s">
        <v>49</v>
      </c>
      <c r="L286" s="5">
        <v>0.45833333333333331</v>
      </c>
      <c r="M286" s="4" t="s">
        <v>51</v>
      </c>
      <c r="N286" s="3">
        <v>78</v>
      </c>
      <c r="O286" s="4" t="s">
        <v>24</v>
      </c>
      <c r="P286" s="4" t="s">
        <v>25</v>
      </c>
      <c r="Q286" s="4"/>
      <c r="R286">
        <f>tblDailySchedule[[#This Row],[Capacity Approx]]*'[1]Load Factor Sheet June Acft  '!$B$5</f>
        <v>63.162272727272729</v>
      </c>
      <c r="S286">
        <f>tblDailySchedule[[#This Row],[Capacity Approx]]*'[1]Load Factor Sheet June Acft  '!$D$5</f>
        <v>68.391818181818181</v>
      </c>
      <c r="T286" s="22">
        <f>tblDailySchedule[[#This Row],[STD]]</f>
        <v>0.45833333333333331</v>
      </c>
    </row>
    <row r="287" spans="1:20" hidden="1" x14ac:dyDescent="0.35">
      <c r="A287" s="2">
        <v>46120</v>
      </c>
      <c r="B287" s="3">
        <v>3</v>
      </c>
      <c r="C287" s="4" t="s">
        <v>113</v>
      </c>
      <c r="D287" s="4" t="s">
        <v>18</v>
      </c>
      <c r="E287" s="3">
        <v>10</v>
      </c>
      <c r="F287" s="4" t="s">
        <v>19</v>
      </c>
      <c r="G287" s="4" t="s">
        <v>52</v>
      </c>
      <c r="H287" s="4" t="s">
        <v>27</v>
      </c>
      <c r="I287" s="5">
        <v>0.4826388888888889</v>
      </c>
      <c r="J287" s="4" t="s">
        <v>53</v>
      </c>
      <c r="K287" s="4" t="s">
        <v>27</v>
      </c>
      <c r="L287" s="5">
        <v>0.51041666666666663</v>
      </c>
      <c r="M287" s="4" t="s">
        <v>23</v>
      </c>
      <c r="N287" s="3">
        <v>186</v>
      </c>
      <c r="O287" s="4" t="s">
        <v>24</v>
      </c>
      <c r="P287" s="4" t="s">
        <v>25</v>
      </c>
      <c r="Q287" s="4"/>
      <c r="R287">
        <f>tblDailySchedule[[#This Row],[Capacity Approx]]*'[1]Load Factor Sheet June Acft  '!$B$5</f>
        <v>150.61772727272728</v>
      </c>
      <c r="S287">
        <f>tblDailySchedule[[#This Row],[Capacity Approx]]*'[1]Load Factor Sheet June Acft  '!$D$5</f>
        <v>163.08818181818182</v>
      </c>
      <c r="T287" s="22">
        <f>tblDailySchedule[[#This Row],[STD]]</f>
        <v>0.51041666666666663</v>
      </c>
    </row>
    <row r="288" spans="1:20" hidden="1" x14ac:dyDescent="0.35">
      <c r="A288" s="2">
        <v>46120</v>
      </c>
      <c r="B288" s="3">
        <v>3</v>
      </c>
      <c r="C288" s="4" t="s">
        <v>113</v>
      </c>
      <c r="D288" s="4" t="s">
        <v>18</v>
      </c>
      <c r="E288" s="3">
        <v>11</v>
      </c>
      <c r="F288" s="4" t="s">
        <v>19</v>
      </c>
      <c r="G288" s="4" t="s">
        <v>54</v>
      </c>
      <c r="H288" s="4" t="s">
        <v>31</v>
      </c>
      <c r="I288" s="5">
        <v>0.51388888888888884</v>
      </c>
      <c r="J288" s="4" t="s">
        <v>55</v>
      </c>
      <c r="K288" s="4" t="s">
        <v>31</v>
      </c>
      <c r="L288" s="5">
        <v>0.54166666666666663</v>
      </c>
      <c r="M288" s="4" t="s">
        <v>23</v>
      </c>
      <c r="N288" s="3">
        <v>186</v>
      </c>
      <c r="O288" s="4" t="s">
        <v>24</v>
      </c>
      <c r="P288" s="4" t="s">
        <v>56</v>
      </c>
      <c r="Q288" s="4"/>
      <c r="R288">
        <f>tblDailySchedule[[#This Row],[Capacity Approx]]*'[1]Load Factor Sheet June Acft  '!$B$5</f>
        <v>150.61772727272728</v>
      </c>
      <c r="S288">
        <f>tblDailySchedule[[#This Row],[Capacity Approx]]*'[1]Load Factor Sheet June Acft  '!$D$5</f>
        <v>163.08818181818182</v>
      </c>
      <c r="T288" s="22">
        <f>tblDailySchedule[[#This Row],[STD]]</f>
        <v>0.54166666666666663</v>
      </c>
    </row>
    <row r="289" spans="1:20" hidden="1" x14ac:dyDescent="0.35">
      <c r="A289" s="2">
        <v>46120</v>
      </c>
      <c r="B289" s="3">
        <v>3</v>
      </c>
      <c r="C289" s="4" t="s">
        <v>113</v>
      </c>
      <c r="D289" s="4" t="s">
        <v>18</v>
      </c>
      <c r="E289" s="3">
        <v>13</v>
      </c>
      <c r="F289" s="4" t="s">
        <v>19</v>
      </c>
      <c r="G289" s="4" t="s">
        <v>57</v>
      </c>
      <c r="H289" s="4" t="s">
        <v>58</v>
      </c>
      <c r="I289" s="5">
        <v>0.55902777777777779</v>
      </c>
      <c r="J289" s="4" t="s">
        <v>59</v>
      </c>
      <c r="K289" s="4" t="s">
        <v>58</v>
      </c>
      <c r="L289" s="5">
        <v>0.57638888888888884</v>
      </c>
      <c r="M289" s="4" t="s">
        <v>51</v>
      </c>
      <c r="N289" s="3">
        <v>78</v>
      </c>
      <c r="O289" s="4" t="s">
        <v>24</v>
      </c>
      <c r="P289" s="4" t="s">
        <v>56</v>
      </c>
      <c r="Q289" s="4"/>
      <c r="R289">
        <f>tblDailySchedule[[#This Row],[Capacity Approx]]*'[1]Load Factor Sheet June Acft  '!$B$5</f>
        <v>63.162272727272729</v>
      </c>
      <c r="S289">
        <f>tblDailySchedule[[#This Row],[Capacity Approx]]*'[1]Load Factor Sheet June Acft  '!$D$5</f>
        <v>68.391818181818181</v>
      </c>
      <c r="T289" s="22">
        <f>tblDailySchedule[[#This Row],[STD]]</f>
        <v>0.57638888888888884</v>
      </c>
    </row>
    <row r="290" spans="1:20" hidden="1" x14ac:dyDescent="0.35">
      <c r="A290" s="2">
        <v>46120</v>
      </c>
      <c r="B290" s="3">
        <v>3</v>
      </c>
      <c r="C290" s="4" t="s">
        <v>113</v>
      </c>
      <c r="D290" s="4" t="s">
        <v>18</v>
      </c>
      <c r="E290" s="3">
        <v>14</v>
      </c>
      <c r="F290" s="4" t="s">
        <v>19</v>
      </c>
      <c r="G290" s="4" t="s">
        <v>60</v>
      </c>
      <c r="H290" s="4" t="s">
        <v>61</v>
      </c>
      <c r="I290" s="5">
        <v>0.59027777777777779</v>
      </c>
      <c r="J290" s="4" t="s">
        <v>62</v>
      </c>
      <c r="K290" s="4" t="s">
        <v>61</v>
      </c>
      <c r="L290" s="5">
        <v>0.62152777777777779</v>
      </c>
      <c r="M290" s="4" t="s">
        <v>63</v>
      </c>
      <c r="N290" s="3">
        <v>232</v>
      </c>
      <c r="O290" s="4" t="s">
        <v>24</v>
      </c>
      <c r="P290" s="4" t="s">
        <v>56</v>
      </c>
      <c r="Q290" s="4"/>
      <c r="R290">
        <f>tblDailySchedule[[#This Row],[Capacity Approx]]*'[1]Load Factor Sheet June Acft  '!$B$5</f>
        <v>187.86727272727273</v>
      </c>
      <c r="S290">
        <f>tblDailySchedule[[#This Row],[Capacity Approx]]*'[1]Load Factor Sheet June Acft  '!$D$5</f>
        <v>203.4218181818182</v>
      </c>
      <c r="T290" s="22">
        <f>tblDailySchedule[[#This Row],[STD]]</f>
        <v>0.62152777777777779</v>
      </c>
    </row>
    <row r="291" spans="1:20" hidden="1" x14ac:dyDescent="0.35">
      <c r="A291" s="2">
        <v>46120</v>
      </c>
      <c r="B291" s="3">
        <v>3</v>
      </c>
      <c r="C291" s="4" t="s">
        <v>113</v>
      </c>
      <c r="D291" s="4" t="s">
        <v>18</v>
      </c>
      <c r="E291" s="3">
        <v>15</v>
      </c>
      <c r="F291" s="4" t="s">
        <v>19</v>
      </c>
      <c r="G291" s="4" t="s">
        <v>64</v>
      </c>
      <c r="H291" s="4" t="s">
        <v>31</v>
      </c>
      <c r="I291" s="5">
        <v>0.60069444444444442</v>
      </c>
      <c r="J291" s="4" t="s">
        <v>65</v>
      </c>
      <c r="K291" s="4" t="s">
        <v>66</v>
      </c>
      <c r="L291" s="5">
        <v>0.62847222222222221</v>
      </c>
      <c r="M291" s="4" t="s">
        <v>63</v>
      </c>
      <c r="N291" s="3">
        <v>232</v>
      </c>
      <c r="O291" s="4" t="s">
        <v>24</v>
      </c>
      <c r="P291" s="4" t="s">
        <v>56</v>
      </c>
      <c r="Q291" s="4"/>
      <c r="R291">
        <f>tblDailySchedule[[#This Row],[Capacity Approx]]*'[1]Load Factor Sheet June Acft  '!$B$5</f>
        <v>187.86727272727273</v>
      </c>
      <c r="S291">
        <f>tblDailySchedule[[#This Row],[Capacity Approx]]*'[1]Load Factor Sheet June Acft  '!$D$5</f>
        <v>203.4218181818182</v>
      </c>
      <c r="T291" s="22">
        <f>tblDailySchedule[[#This Row],[STD]]</f>
        <v>0.62847222222222221</v>
      </c>
    </row>
    <row r="292" spans="1:20" hidden="1" x14ac:dyDescent="0.35">
      <c r="A292" s="2">
        <v>46120</v>
      </c>
      <c r="B292" s="3">
        <v>3</v>
      </c>
      <c r="C292" s="4" t="s">
        <v>113</v>
      </c>
      <c r="D292" s="4" t="s">
        <v>18</v>
      </c>
      <c r="E292" s="3">
        <v>16</v>
      </c>
      <c r="F292" s="4" t="s">
        <v>19</v>
      </c>
      <c r="G292" s="4" t="s">
        <v>67</v>
      </c>
      <c r="H292" s="4" t="s">
        <v>31</v>
      </c>
      <c r="I292" s="5">
        <v>0.65625</v>
      </c>
      <c r="J292" s="4" t="s">
        <v>68</v>
      </c>
      <c r="K292" s="4" t="s">
        <v>31</v>
      </c>
      <c r="L292" s="5">
        <v>0.68402777777777779</v>
      </c>
      <c r="M292" s="4" t="s">
        <v>63</v>
      </c>
      <c r="N292" s="3">
        <v>232</v>
      </c>
      <c r="O292" s="4" t="s">
        <v>24</v>
      </c>
      <c r="P292" s="4" t="s">
        <v>56</v>
      </c>
      <c r="Q292" s="4"/>
      <c r="R292">
        <f>tblDailySchedule[[#This Row],[Capacity Approx]]*'[1]Load Factor Sheet June Acft  '!$B$5</f>
        <v>187.86727272727273</v>
      </c>
      <c r="S292">
        <f>tblDailySchedule[[#This Row],[Capacity Approx]]*'[1]Load Factor Sheet June Acft  '!$D$5</f>
        <v>203.4218181818182</v>
      </c>
      <c r="T292" s="22">
        <f>tblDailySchedule[[#This Row],[STD]]</f>
        <v>0.68402777777777779</v>
      </c>
    </row>
    <row r="293" spans="1:20" hidden="1" x14ac:dyDescent="0.35">
      <c r="A293" s="2">
        <v>46120</v>
      </c>
      <c r="B293" s="3">
        <v>3</v>
      </c>
      <c r="C293" s="4" t="s">
        <v>113</v>
      </c>
      <c r="D293" s="4" t="s">
        <v>18</v>
      </c>
      <c r="E293" s="3">
        <v>17</v>
      </c>
      <c r="F293" s="4" t="s">
        <v>19</v>
      </c>
      <c r="G293" s="4" t="s">
        <v>69</v>
      </c>
      <c r="H293" s="4" t="s">
        <v>31</v>
      </c>
      <c r="I293" s="5">
        <v>0.66319444444444442</v>
      </c>
      <c r="J293" s="4" t="s">
        <v>70</v>
      </c>
      <c r="K293" s="4" t="s">
        <v>31</v>
      </c>
      <c r="L293" s="5">
        <v>0.69097222222222221</v>
      </c>
      <c r="M293" s="4" t="s">
        <v>33</v>
      </c>
      <c r="N293" s="3">
        <v>189</v>
      </c>
      <c r="O293" s="4" t="s">
        <v>24</v>
      </c>
      <c r="P293" s="4" t="s">
        <v>56</v>
      </c>
      <c r="Q293" s="4"/>
      <c r="R293">
        <f>tblDailySchedule[[#This Row],[Capacity Approx]]*'[1]Load Factor Sheet June Acft  '!$B$5</f>
        <v>153.04704545454547</v>
      </c>
      <c r="S293">
        <f>tblDailySchedule[[#This Row],[Capacity Approx]]*'[1]Load Factor Sheet June Acft  '!$D$5</f>
        <v>165.71863636363636</v>
      </c>
      <c r="T293" s="22">
        <f>tblDailySchedule[[#This Row],[STD]]</f>
        <v>0.69097222222222221</v>
      </c>
    </row>
    <row r="294" spans="1:20" hidden="1" x14ac:dyDescent="0.35">
      <c r="A294" s="2">
        <v>46120</v>
      </c>
      <c r="B294" s="3">
        <v>3</v>
      </c>
      <c r="C294" s="4" t="s">
        <v>113</v>
      </c>
      <c r="D294" s="4" t="s">
        <v>18</v>
      </c>
      <c r="E294" s="3">
        <v>18</v>
      </c>
      <c r="F294" s="4" t="s">
        <v>19</v>
      </c>
      <c r="G294" s="4" t="s">
        <v>71</v>
      </c>
      <c r="H294" s="4" t="s">
        <v>21</v>
      </c>
      <c r="I294" s="5">
        <v>0.67013888888888884</v>
      </c>
      <c r="J294" s="4" t="s">
        <v>72</v>
      </c>
      <c r="K294" s="4" t="s">
        <v>21</v>
      </c>
      <c r="L294" s="5">
        <v>0.69791666666666663</v>
      </c>
      <c r="M294" s="4" t="s">
        <v>63</v>
      </c>
      <c r="N294" s="3">
        <v>232</v>
      </c>
      <c r="O294" s="4" t="s">
        <v>24</v>
      </c>
      <c r="P294" s="4" t="s">
        <v>56</v>
      </c>
      <c r="Q294" s="4"/>
      <c r="R294">
        <f>tblDailySchedule[[#This Row],[Capacity Approx]]*'[1]Load Factor Sheet June Acft  '!$B$5</f>
        <v>187.86727272727273</v>
      </c>
      <c r="S294">
        <f>tblDailySchedule[[#This Row],[Capacity Approx]]*'[1]Load Factor Sheet June Acft  '!$D$5</f>
        <v>203.4218181818182</v>
      </c>
      <c r="T294" s="22">
        <f>tblDailySchedule[[#This Row],[STD]]</f>
        <v>0.69791666666666663</v>
      </c>
    </row>
    <row r="295" spans="1:20" hidden="1" x14ac:dyDescent="0.35">
      <c r="A295" s="2">
        <v>46120</v>
      </c>
      <c r="B295" s="3">
        <v>3</v>
      </c>
      <c r="C295" s="4" t="s">
        <v>113</v>
      </c>
      <c r="D295" s="4" t="s">
        <v>18</v>
      </c>
      <c r="E295" s="3">
        <v>19</v>
      </c>
      <c r="F295" s="4" t="s">
        <v>19</v>
      </c>
      <c r="G295" s="4" t="s">
        <v>73</v>
      </c>
      <c r="H295" s="4" t="s">
        <v>27</v>
      </c>
      <c r="I295" s="5">
        <v>0.74652777777777779</v>
      </c>
      <c r="J295" s="4" t="s">
        <v>74</v>
      </c>
      <c r="K295" s="4" t="s">
        <v>27</v>
      </c>
      <c r="L295" s="5">
        <v>0.77430555555555558</v>
      </c>
      <c r="M295" s="4" t="s">
        <v>63</v>
      </c>
      <c r="N295" s="3">
        <v>232</v>
      </c>
      <c r="O295" s="4" t="s">
        <v>24</v>
      </c>
      <c r="P295" s="4" t="s">
        <v>56</v>
      </c>
      <c r="Q295" s="4"/>
      <c r="R295">
        <f>tblDailySchedule[[#This Row],[Capacity Approx]]*'[1]Load Factor Sheet June Acft  '!$B$5</f>
        <v>187.86727272727273</v>
      </c>
      <c r="S295">
        <f>tblDailySchedule[[#This Row],[Capacity Approx]]*'[1]Load Factor Sheet June Acft  '!$D$5</f>
        <v>203.4218181818182</v>
      </c>
      <c r="T295" s="22">
        <f>tblDailySchedule[[#This Row],[STD]]</f>
        <v>0.77430555555555558</v>
      </c>
    </row>
    <row r="296" spans="1:20" hidden="1" x14ac:dyDescent="0.35">
      <c r="A296" s="2">
        <v>46120</v>
      </c>
      <c r="B296" s="3">
        <v>3</v>
      </c>
      <c r="C296" s="4" t="s">
        <v>113</v>
      </c>
      <c r="D296" s="4" t="s">
        <v>18</v>
      </c>
      <c r="E296" s="3">
        <v>20</v>
      </c>
      <c r="F296" s="4" t="s">
        <v>34</v>
      </c>
      <c r="G296" s="4" t="s">
        <v>75</v>
      </c>
      <c r="H296" s="4" t="s">
        <v>76</v>
      </c>
      <c r="I296" s="5">
        <v>0.76388888888888884</v>
      </c>
      <c r="J296" s="4" t="s">
        <v>77</v>
      </c>
      <c r="K296" s="4" t="s">
        <v>78</v>
      </c>
      <c r="L296" s="5">
        <v>0.78472222222222221</v>
      </c>
      <c r="M296" s="4" t="s">
        <v>51</v>
      </c>
      <c r="N296" s="3">
        <v>78</v>
      </c>
      <c r="O296" s="4" t="s">
        <v>24</v>
      </c>
      <c r="P296" s="4" t="s">
        <v>79</v>
      </c>
      <c r="Q296" s="10" t="s">
        <v>80</v>
      </c>
      <c r="R296">
        <f>tblDailySchedule[[#This Row],[Capacity Approx]]*'[1]Load Factor Sheet June Acft  '!$B$5</f>
        <v>63.162272727272729</v>
      </c>
      <c r="S296">
        <f>tblDailySchedule[[#This Row],[Capacity Approx]]*'[1]Load Factor Sheet June Acft  '!$D$5</f>
        <v>68.391818181818181</v>
      </c>
      <c r="T296" s="22">
        <f>tblDailySchedule[[#This Row],[STD]]</f>
        <v>0.78472222222222221</v>
      </c>
    </row>
    <row r="297" spans="1:20" hidden="1" x14ac:dyDescent="0.35">
      <c r="A297" s="2">
        <v>46120</v>
      </c>
      <c r="B297" s="3">
        <v>3</v>
      </c>
      <c r="C297" s="4" t="s">
        <v>113</v>
      </c>
      <c r="D297" s="4" t="s">
        <v>18</v>
      </c>
      <c r="E297" s="3">
        <v>21</v>
      </c>
      <c r="F297" s="4" t="s">
        <v>19</v>
      </c>
      <c r="G297" s="4" t="s">
        <v>81</v>
      </c>
      <c r="H297" s="4" t="s">
        <v>61</v>
      </c>
      <c r="I297" s="5">
        <v>0.77083333333333337</v>
      </c>
      <c r="J297" s="4" t="s">
        <v>82</v>
      </c>
      <c r="K297" s="4" t="s">
        <v>49</v>
      </c>
      <c r="L297" s="5">
        <v>0.79166666666666663</v>
      </c>
      <c r="M297" s="4" t="s">
        <v>33</v>
      </c>
      <c r="N297" s="3">
        <v>189</v>
      </c>
      <c r="O297" s="4" t="s">
        <v>24</v>
      </c>
      <c r="P297" s="4" t="s">
        <v>79</v>
      </c>
      <c r="Q297" s="4"/>
      <c r="R297">
        <f>tblDailySchedule[[#This Row],[Capacity Approx]]*'[1]Load Factor Sheet June Acft  '!$B$5</f>
        <v>153.04704545454547</v>
      </c>
      <c r="S297">
        <f>tblDailySchedule[[#This Row],[Capacity Approx]]*'[1]Load Factor Sheet June Acft  '!$D$5</f>
        <v>165.71863636363636</v>
      </c>
      <c r="T297" s="22">
        <f>tblDailySchedule[[#This Row],[STD]]</f>
        <v>0.79166666666666663</v>
      </c>
    </row>
    <row r="298" spans="1:20" hidden="1" x14ac:dyDescent="0.35">
      <c r="A298" s="2">
        <v>46120</v>
      </c>
      <c r="B298" s="3">
        <v>3</v>
      </c>
      <c r="C298" s="4" t="s">
        <v>113</v>
      </c>
      <c r="D298" s="4" t="s">
        <v>18</v>
      </c>
      <c r="E298" s="3">
        <v>22</v>
      </c>
      <c r="F298" s="4" t="s">
        <v>19</v>
      </c>
      <c r="G298" s="4" t="s">
        <v>83</v>
      </c>
      <c r="H298" s="4" t="s">
        <v>31</v>
      </c>
      <c r="I298" s="5">
        <v>0.77777777777777779</v>
      </c>
      <c r="J298" s="4" t="s">
        <v>84</v>
      </c>
      <c r="K298" s="4" t="s">
        <v>31</v>
      </c>
      <c r="L298" s="5">
        <v>0.80555555555555558</v>
      </c>
      <c r="M298" s="4" t="s">
        <v>63</v>
      </c>
      <c r="N298" s="3">
        <v>232</v>
      </c>
      <c r="O298" s="4" t="s">
        <v>24</v>
      </c>
      <c r="P298" s="4" t="s">
        <v>79</v>
      </c>
      <c r="Q298" s="4"/>
      <c r="R298">
        <f>tblDailySchedule[[#This Row],[Capacity Approx]]*'[1]Load Factor Sheet June Acft  '!$B$5</f>
        <v>187.86727272727273</v>
      </c>
      <c r="S298">
        <f>tblDailySchedule[[#This Row],[Capacity Approx]]*'[1]Load Factor Sheet June Acft  '!$D$5</f>
        <v>203.4218181818182</v>
      </c>
      <c r="T298" s="22">
        <f>tblDailySchedule[[#This Row],[STD]]</f>
        <v>0.80555555555555558</v>
      </c>
    </row>
    <row r="299" spans="1:20" hidden="1" x14ac:dyDescent="0.35">
      <c r="A299" s="2">
        <v>46120</v>
      </c>
      <c r="B299" s="3">
        <v>3</v>
      </c>
      <c r="C299" s="4" t="s">
        <v>113</v>
      </c>
      <c r="D299" s="4" t="s">
        <v>18</v>
      </c>
      <c r="E299" s="3">
        <v>23</v>
      </c>
      <c r="F299" s="4" t="s">
        <v>19</v>
      </c>
      <c r="G299" s="4" t="s">
        <v>85</v>
      </c>
      <c r="H299" s="4" t="s">
        <v>86</v>
      </c>
      <c r="I299" s="5">
        <v>0.79861111111111116</v>
      </c>
      <c r="J299" s="4" t="s">
        <v>87</v>
      </c>
      <c r="K299" s="4" t="s">
        <v>86</v>
      </c>
      <c r="L299" s="5">
        <v>0.82638888888888884</v>
      </c>
      <c r="M299" s="4" t="s">
        <v>63</v>
      </c>
      <c r="N299" s="3">
        <v>232</v>
      </c>
      <c r="O299" s="4" t="s">
        <v>24</v>
      </c>
      <c r="P299" s="4" t="s">
        <v>79</v>
      </c>
      <c r="Q299" s="4"/>
      <c r="R299">
        <f>tblDailySchedule[[#This Row],[Capacity Approx]]*'[1]Load Factor Sheet June Acft  '!$B$5</f>
        <v>187.86727272727273</v>
      </c>
      <c r="S299">
        <f>tblDailySchedule[[#This Row],[Capacity Approx]]*'[1]Load Factor Sheet June Acft  '!$D$5</f>
        <v>203.4218181818182</v>
      </c>
      <c r="T299" s="22">
        <f>tblDailySchedule[[#This Row],[STD]]</f>
        <v>0.82638888888888884</v>
      </c>
    </row>
    <row r="300" spans="1:20" hidden="1" x14ac:dyDescent="0.35">
      <c r="A300" s="2">
        <v>46120</v>
      </c>
      <c r="B300" s="3">
        <v>3</v>
      </c>
      <c r="C300" s="4" t="s">
        <v>113</v>
      </c>
      <c r="D300" s="4" t="s">
        <v>18</v>
      </c>
      <c r="E300" s="3">
        <v>24</v>
      </c>
      <c r="F300" s="4" t="s">
        <v>19</v>
      </c>
      <c r="G300" s="4" t="s">
        <v>88</v>
      </c>
      <c r="H300" s="4" t="s">
        <v>89</v>
      </c>
      <c r="I300" s="5">
        <v>0.83333333333333337</v>
      </c>
      <c r="J300" s="4" t="s">
        <v>90</v>
      </c>
      <c r="K300" s="4" t="s">
        <v>31</v>
      </c>
      <c r="L300" s="5">
        <v>0.86111111111111116</v>
      </c>
      <c r="M300" s="4" t="s">
        <v>63</v>
      </c>
      <c r="N300" s="3">
        <v>232</v>
      </c>
      <c r="O300" s="4" t="s">
        <v>24</v>
      </c>
      <c r="P300" s="4" t="s">
        <v>79</v>
      </c>
      <c r="Q300" s="4"/>
      <c r="R300">
        <f>tblDailySchedule[[#This Row],[Capacity Approx]]*'[1]Load Factor Sheet June Acft  '!$B$5</f>
        <v>187.86727272727273</v>
      </c>
      <c r="S300">
        <f>tblDailySchedule[[#This Row],[Capacity Approx]]*'[1]Load Factor Sheet June Acft  '!$D$5</f>
        <v>203.4218181818182</v>
      </c>
      <c r="T300" s="22">
        <f>tblDailySchedule[[#This Row],[STD]]</f>
        <v>0.86111111111111116</v>
      </c>
    </row>
    <row r="301" spans="1:20" hidden="1" x14ac:dyDescent="0.35">
      <c r="A301" s="11">
        <v>46120</v>
      </c>
      <c r="B301" s="3">
        <v>3</v>
      </c>
      <c r="C301" t="s">
        <v>113</v>
      </c>
      <c r="D301" t="s">
        <v>18</v>
      </c>
      <c r="E301" s="3">
        <v>25</v>
      </c>
      <c r="F301" t="s">
        <v>19</v>
      </c>
      <c r="G301" t="s">
        <v>91</v>
      </c>
      <c r="H301" t="s">
        <v>61</v>
      </c>
      <c r="I301" s="12">
        <v>0.85416666666666663</v>
      </c>
      <c r="J301" t="s">
        <v>92</v>
      </c>
      <c r="K301" t="s">
        <v>61</v>
      </c>
      <c r="L301" s="12">
        <v>0.88194444444444442</v>
      </c>
      <c r="M301" t="s">
        <v>63</v>
      </c>
      <c r="N301" s="3">
        <v>232</v>
      </c>
      <c r="O301" t="s">
        <v>24</v>
      </c>
      <c r="P301" t="s">
        <v>79</v>
      </c>
      <c r="R301">
        <f>tblDailySchedule[[#This Row],[Capacity Approx]]*'[1]Load Factor Sheet June Acft  '!$B$5</f>
        <v>187.86727272727273</v>
      </c>
      <c r="S301">
        <f>tblDailySchedule[[#This Row],[Capacity Approx]]*'[1]Load Factor Sheet June Acft  '!$D$5</f>
        <v>203.4218181818182</v>
      </c>
      <c r="T301" s="22">
        <f>tblDailySchedule[[#This Row],[STD]]</f>
        <v>0.88194444444444442</v>
      </c>
    </row>
    <row r="302" spans="1:20" hidden="1" x14ac:dyDescent="0.35">
      <c r="A302" s="11">
        <v>46120</v>
      </c>
      <c r="B302" s="3">
        <v>3</v>
      </c>
      <c r="C302" t="s">
        <v>113</v>
      </c>
      <c r="D302" t="s">
        <v>18</v>
      </c>
      <c r="E302" s="3">
        <v>26</v>
      </c>
      <c r="F302" t="s">
        <v>19</v>
      </c>
      <c r="G302" t="s">
        <v>93</v>
      </c>
      <c r="H302" t="s">
        <v>31</v>
      </c>
      <c r="I302" s="12">
        <v>0.86111111111111116</v>
      </c>
      <c r="J302" t="s">
        <v>94</v>
      </c>
      <c r="K302" t="s">
        <v>31</v>
      </c>
      <c r="L302" s="12">
        <v>0.88888888888888884</v>
      </c>
      <c r="M302" t="s">
        <v>23</v>
      </c>
      <c r="N302" s="3">
        <v>186</v>
      </c>
      <c r="O302" t="s">
        <v>24</v>
      </c>
      <c r="P302" t="s">
        <v>79</v>
      </c>
      <c r="R302">
        <f>tblDailySchedule[[#This Row],[Capacity Approx]]*'[1]Load Factor Sheet June Acft  '!$B$5</f>
        <v>150.61772727272728</v>
      </c>
      <c r="S302">
        <f>tblDailySchedule[[#This Row],[Capacity Approx]]*'[1]Load Factor Sheet June Acft  '!$D$5</f>
        <v>163.08818181818182</v>
      </c>
      <c r="T302" s="22">
        <f>tblDailySchedule[[#This Row],[STD]]</f>
        <v>0.88888888888888884</v>
      </c>
    </row>
    <row r="303" spans="1:20" hidden="1" x14ac:dyDescent="0.35">
      <c r="A303" s="11">
        <v>46120</v>
      </c>
      <c r="B303" s="3">
        <v>3</v>
      </c>
      <c r="C303" t="s">
        <v>113</v>
      </c>
      <c r="D303" t="s">
        <v>18</v>
      </c>
      <c r="E303" s="3">
        <v>27</v>
      </c>
      <c r="F303" t="s">
        <v>19</v>
      </c>
      <c r="G303" t="s">
        <v>95</v>
      </c>
      <c r="H303" t="s">
        <v>21</v>
      </c>
      <c r="I303" s="12">
        <v>0.86805555555555558</v>
      </c>
      <c r="J303" t="s">
        <v>96</v>
      </c>
      <c r="K303" t="s">
        <v>21</v>
      </c>
      <c r="L303" s="12">
        <v>0.89583333333333337</v>
      </c>
      <c r="M303" t="s">
        <v>29</v>
      </c>
      <c r="N303" s="3">
        <v>186</v>
      </c>
      <c r="O303" t="s">
        <v>24</v>
      </c>
      <c r="P303" t="s">
        <v>79</v>
      </c>
      <c r="R303">
        <f>tblDailySchedule[[#This Row],[Capacity Approx]]*'[1]Load Factor Sheet June Acft  '!$B$5</f>
        <v>150.61772727272728</v>
      </c>
      <c r="S303">
        <f>tblDailySchedule[[#This Row],[Capacity Approx]]*'[1]Load Factor Sheet June Acft  '!$D$5</f>
        <v>163.08818181818182</v>
      </c>
      <c r="T303" s="22">
        <f>tblDailySchedule[[#This Row],[STD]]</f>
        <v>0.89583333333333337</v>
      </c>
    </row>
    <row r="304" spans="1:20" hidden="1" x14ac:dyDescent="0.35">
      <c r="A304" s="11">
        <v>46120</v>
      </c>
      <c r="B304" s="3">
        <v>3</v>
      </c>
      <c r="C304" t="s">
        <v>113</v>
      </c>
      <c r="D304" t="s">
        <v>18</v>
      </c>
      <c r="E304" s="3">
        <v>28</v>
      </c>
      <c r="F304" t="s">
        <v>19</v>
      </c>
      <c r="G304" t="s">
        <v>97</v>
      </c>
      <c r="H304" t="s">
        <v>49</v>
      </c>
      <c r="I304" s="12">
        <v>0.90277777777777779</v>
      </c>
      <c r="J304" t="s">
        <v>97</v>
      </c>
      <c r="K304" t="s">
        <v>61</v>
      </c>
      <c r="L304" s="12">
        <v>0.92361111111111116</v>
      </c>
      <c r="M304" t="s">
        <v>33</v>
      </c>
      <c r="N304" s="3">
        <v>189</v>
      </c>
      <c r="O304" t="s">
        <v>24</v>
      </c>
      <c r="P304" t="s">
        <v>79</v>
      </c>
      <c r="R304">
        <f>tblDailySchedule[[#This Row],[Capacity Approx]]*'[1]Load Factor Sheet June Acft  '!$B$5</f>
        <v>153.04704545454547</v>
      </c>
      <c r="S304">
        <f>tblDailySchedule[[#This Row],[Capacity Approx]]*'[1]Load Factor Sheet June Acft  '!$D$5</f>
        <v>165.71863636363636</v>
      </c>
      <c r="T304" s="22">
        <f>tblDailySchedule[[#This Row],[STD]]</f>
        <v>0.92361111111111116</v>
      </c>
    </row>
    <row r="305" spans="1:20" hidden="1" x14ac:dyDescent="0.35">
      <c r="A305" s="11">
        <v>46120</v>
      </c>
      <c r="B305" s="3">
        <v>3</v>
      </c>
      <c r="C305" t="s">
        <v>113</v>
      </c>
      <c r="D305" t="s">
        <v>18</v>
      </c>
      <c r="E305" s="3">
        <v>29</v>
      </c>
      <c r="F305" t="s">
        <v>19</v>
      </c>
      <c r="G305" t="s">
        <v>98</v>
      </c>
      <c r="H305" t="s">
        <v>21</v>
      </c>
      <c r="I305" s="12">
        <v>0.92013888888888884</v>
      </c>
      <c r="J305" t="s">
        <v>99</v>
      </c>
      <c r="K305" t="s">
        <v>21</v>
      </c>
      <c r="L305" s="12">
        <v>0.94791666666666663</v>
      </c>
      <c r="M305" t="s">
        <v>63</v>
      </c>
      <c r="N305" s="3">
        <v>232</v>
      </c>
      <c r="O305" t="s">
        <v>24</v>
      </c>
      <c r="P305" t="s">
        <v>79</v>
      </c>
      <c r="R305">
        <f>tblDailySchedule[[#This Row],[Capacity Approx]]*'[1]Load Factor Sheet June Acft  '!$B$5</f>
        <v>187.86727272727273</v>
      </c>
      <c r="S305">
        <f>tblDailySchedule[[#This Row],[Capacity Approx]]*'[1]Load Factor Sheet June Acft  '!$D$5</f>
        <v>203.4218181818182</v>
      </c>
      <c r="T305" s="22">
        <f>tblDailySchedule[[#This Row],[STD]]</f>
        <v>0.94791666666666663</v>
      </c>
    </row>
    <row r="306" spans="1:20" hidden="1" x14ac:dyDescent="0.35">
      <c r="A306" s="13">
        <v>46120</v>
      </c>
      <c r="B306" s="7">
        <v>3</v>
      </c>
      <c r="C306" s="14" t="s">
        <v>113</v>
      </c>
      <c r="D306" s="14" t="s">
        <v>18</v>
      </c>
      <c r="E306" s="7">
        <v>30</v>
      </c>
      <c r="F306" s="14" t="s">
        <v>104</v>
      </c>
      <c r="G306" s="14" t="s">
        <v>105</v>
      </c>
      <c r="H306" s="14" t="s">
        <v>106</v>
      </c>
      <c r="I306" s="15">
        <v>0.92708333333333337</v>
      </c>
      <c r="J306" s="14" t="s">
        <v>107</v>
      </c>
      <c r="K306" s="14" t="s">
        <v>106</v>
      </c>
      <c r="L306" s="15">
        <v>0.95833333333333337</v>
      </c>
      <c r="M306" s="14" t="s">
        <v>38</v>
      </c>
      <c r="N306" s="7">
        <v>186</v>
      </c>
      <c r="O306" s="14" t="s">
        <v>39</v>
      </c>
      <c r="P306" s="14" t="s">
        <v>79</v>
      </c>
      <c r="Q306" s="14" t="s">
        <v>39</v>
      </c>
      <c r="R306">
        <f>tblDailySchedule[[#This Row],[Capacity Approx]]*'[1]Load Factor Sheet June Acft  '!$B$5</f>
        <v>150.61772727272728</v>
      </c>
      <c r="S306">
        <f>tblDailySchedule[[#This Row],[Capacity Approx]]*'[1]Load Factor Sheet June Acft  '!$D$5</f>
        <v>163.08818181818182</v>
      </c>
      <c r="T306" s="22">
        <f>tblDailySchedule[[#This Row],[STD]]</f>
        <v>0.95833333333333337</v>
      </c>
    </row>
    <row r="307" spans="1:20" hidden="1" x14ac:dyDescent="0.35">
      <c r="A307" s="11">
        <v>46121</v>
      </c>
      <c r="B307" s="3">
        <v>4</v>
      </c>
      <c r="C307" t="s">
        <v>114</v>
      </c>
      <c r="D307" t="s">
        <v>18</v>
      </c>
      <c r="E307" s="3">
        <v>1</v>
      </c>
      <c r="F307" t="s">
        <v>101</v>
      </c>
      <c r="G307" t="s">
        <v>102</v>
      </c>
      <c r="H307" t="s">
        <v>61</v>
      </c>
      <c r="I307" s="12">
        <v>0.3125</v>
      </c>
      <c r="J307" t="s">
        <v>103</v>
      </c>
      <c r="K307" t="s">
        <v>61</v>
      </c>
      <c r="L307" s="12">
        <v>0.33333333333333331</v>
      </c>
      <c r="M307" t="s">
        <v>33</v>
      </c>
      <c r="N307" s="3">
        <v>189</v>
      </c>
      <c r="O307" t="s">
        <v>24</v>
      </c>
      <c r="P307" t="s">
        <v>25</v>
      </c>
      <c r="R307">
        <f>tblDailySchedule[[#This Row],[Capacity Approx]]*'[1]Load Factor Sheet June Acft  '!$B$5</f>
        <v>153.04704545454547</v>
      </c>
      <c r="S307">
        <f>tblDailySchedule[[#This Row],[Capacity Approx]]*'[1]Load Factor Sheet June Acft  '!$D$5</f>
        <v>165.71863636363636</v>
      </c>
      <c r="T307" s="22">
        <f>tblDailySchedule[[#This Row],[STD]]</f>
        <v>0.33333333333333331</v>
      </c>
    </row>
    <row r="308" spans="1:20" hidden="1" x14ac:dyDescent="0.35">
      <c r="A308" s="11">
        <v>46121</v>
      </c>
      <c r="B308" s="3">
        <v>4</v>
      </c>
      <c r="C308" t="s">
        <v>114</v>
      </c>
      <c r="D308" t="s">
        <v>18</v>
      </c>
      <c r="E308" s="3">
        <v>2</v>
      </c>
      <c r="F308" t="s">
        <v>19</v>
      </c>
      <c r="G308" t="s">
        <v>20</v>
      </c>
      <c r="H308" t="s">
        <v>21</v>
      </c>
      <c r="I308" s="12">
        <v>0.31944444444444442</v>
      </c>
      <c r="J308" t="s">
        <v>22</v>
      </c>
      <c r="K308" t="s">
        <v>21</v>
      </c>
      <c r="L308" s="12">
        <v>0.34722222222222221</v>
      </c>
      <c r="M308" t="s">
        <v>23</v>
      </c>
      <c r="N308" s="3">
        <v>186</v>
      </c>
      <c r="O308" t="s">
        <v>24</v>
      </c>
      <c r="P308" t="s">
        <v>25</v>
      </c>
      <c r="R308">
        <f>tblDailySchedule[[#This Row],[Capacity Approx]]*'[1]Load Factor Sheet June Acft  '!$B$5</f>
        <v>150.61772727272728</v>
      </c>
      <c r="S308">
        <f>tblDailySchedule[[#This Row],[Capacity Approx]]*'[1]Load Factor Sheet June Acft  '!$D$5</f>
        <v>163.08818181818182</v>
      </c>
      <c r="T308" s="22">
        <f>tblDailySchedule[[#This Row],[STD]]</f>
        <v>0.34722222222222221</v>
      </c>
    </row>
    <row r="309" spans="1:20" hidden="1" x14ac:dyDescent="0.35">
      <c r="A309" s="11">
        <v>46121</v>
      </c>
      <c r="B309" s="3">
        <v>4</v>
      </c>
      <c r="C309" t="s">
        <v>114</v>
      </c>
      <c r="D309" t="s">
        <v>18</v>
      </c>
      <c r="E309" s="3">
        <v>3</v>
      </c>
      <c r="F309" t="s">
        <v>19</v>
      </c>
      <c r="G309" t="s">
        <v>26</v>
      </c>
      <c r="H309" t="s">
        <v>27</v>
      </c>
      <c r="I309" s="12">
        <v>0.3263888888888889</v>
      </c>
      <c r="J309" t="s">
        <v>28</v>
      </c>
      <c r="K309" t="s">
        <v>27</v>
      </c>
      <c r="L309" s="12">
        <v>0.35416666666666669</v>
      </c>
      <c r="M309" t="s">
        <v>29</v>
      </c>
      <c r="N309" s="3">
        <v>186</v>
      </c>
      <c r="O309" t="s">
        <v>24</v>
      </c>
      <c r="P309" t="s">
        <v>25</v>
      </c>
      <c r="R309">
        <f>tblDailySchedule[[#This Row],[Capacity Approx]]*'[1]Load Factor Sheet June Acft  '!$B$5</f>
        <v>150.61772727272728</v>
      </c>
      <c r="S309">
        <f>tblDailySchedule[[#This Row],[Capacity Approx]]*'[1]Load Factor Sheet June Acft  '!$D$5</f>
        <v>163.08818181818182</v>
      </c>
      <c r="T309" s="22">
        <f>tblDailySchedule[[#This Row],[STD]]</f>
        <v>0.35416666666666669</v>
      </c>
    </row>
    <row r="310" spans="1:20" hidden="1" x14ac:dyDescent="0.35">
      <c r="A310" s="11">
        <v>46121</v>
      </c>
      <c r="B310" s="3">
        <v>4</v>
      </c>
      <c r="C310" t="s">
        <v>114</v>
      </c>
      <c r="D310" t="s">
        <v>18</v>
      </c>
      <c r="E310" s="3">
        <v>4</v>
      </c>
      <c r="F310" t="s">
        <v>19</v>
      </c>
      <c r="G310" t="s">
        <v>30</v>
      </c>
      <c r="H310" t="s">
        <v>31</v>
      </c>
      <c r="I310" s="12">
        <v>0.34722222222222221</v>
      </c>
      <c r="J310" t="s">
        <v>32</v>
      </c>
      <c r="K310" t="s">
        <v>31</v>
      </c>
      <c r="L310" s="12">
        <v>0.36805555555555558</v>
      </c>
      <c r="M310" t="s">
        <v>33</v>
      </c>
      <c r="N310" s="3">
        <v>189</v>
      </c>
      <c r="O310" t="s">
        <v>24</v>
      </c>
      <c r="P310" t="s">
        <v>25</v>
      </c>
      <c r="R310">
        <f>tblDailySchedule[[#This Row],[Capacity Approx]]*'[1]Load Factor Sheet June Acft  '!$B$5</f>
        <v>153.04704545454547</v>
      </c>
      <c r="S310">
        <f>tblDailySchedule[[#This Row],[Capacity Approx]]*'[1]Load Factor Sheet June Acft  '!$D$5</f>
        <v>165.71863636363636</v>
      </c>
      <c r="T310" s="22">
        <f>tblDailySchedule[[#This Row],[STD]]</f>
        <v>0.36805555555555558</v>
      </c>
    </row>
    <row r="311" spans="1:20" hidden="1" x14ac:dyDescent="0.35">
      <c r="A311" s="11">
        <v>46121</v>
      </c>
      <c r="B311" s="3">
        <v>4</v>
      </c>
      <c r="C311" t="s">
        <v>114</v>
      </c>
      <c r="D311" t="s">
        <v>18</v>
      </c>
      <c r="E311" s="3">
        <v>5</v>
      </c>
      <c r="F311" t="s">
        <v>19</v>
      </c>
      <c r="G311" t="s">
        <v>40</v>
      </c>
      <c r="H311" t="s">
        <v>31</v>
      </c>
      <c r="I311" s="12">
        <v>0.35069444444444442</v>
      </c>
      <c r="J311" t="s">
        <v>41</v>
      </c>
      <c r="K311" t="s">
        <v>31</v>
      </c>
      <c r="L311" s="12">
        <v>0.37152777777777779</v>
      </c>
      <c r="M311" t="s">
        <v>23</v>
      </c>
      <c r="N311" s="3">
        <v>186</v>
      </c>
      <c r="O311" t="s">
        <v>24</v>
      </c>
      <c r="P311" t="s">
        <v>25</v>
      </c>
      <c r="R311">
        <f>tblDailySchedule[[#This Row],[Capacity Approx]]*'[1]Load Factor Sheet June Acft  '!$B$5</f>
        <v>150.61772727272728</v>
      </c>
      <c r="S311">
        <f>tblDailySchedule[[#This Row],[Capacity Approx]]*'[1]Load Factor Sheet June Acft  '!$D$5</f>
        <v>163.08818181818182</v>
      </c>
      <c r="T311" s="22">
        <f>tblDailySchedule[[#This Row],[STD]]</f>
        <v>0.37152777777777779</v>
      </c>
    </row>
    <row r="312" spans="1:20" hidden="1" x14ac:dyDescent="0.35">
      <c r="A312" s="11">
        <v>46121</v>
      </c>
      <c r="B312" s="3">
        <v>4</v>
      </c>
      <c r="C312" t="s">
        <v>114</v>
      </c>
      <c r="D312" t="s">
        <v>18</v>
      </c>
      <c r="E312" s="3">
        <v>7</v>
      </c>
      <c r="F312" t="s">
        <v>19</v>
      </c>
      <c r="G312" t="s">
        <v>42</v>
      </c>
      <c r="H312" t="s">
        <v>43</v>
      </c>
      <c r="I312" s="12">
        <v>0.3923611111111111</v>
      </c>
      <c r="J312" t="s">
        <v>44</v>
      </c>
      <c r="K312" t="s">
        <v>43</v>
      </c>
      <c r="L312" s="12">
        <v>0.40277777777777779</v>
      </c>
      <c r="M312" t="s">
        <v>45</v>
      </c>
      <c r="N312" s="3">
        <v>9</v>
      </c>
      <c r="O312" t="s">
        <v>24</v>
      </c>
      <c r="P312" t="s">
        <v>25</v>
      </c>
      <c r="R312">
        <f>tblDailySchedule[[#This Row],[Capacity Approx]]*'[1]Load Factor Sheet June Acft  '!$B$5</f>
        <v>7.2879545454545456</v>
      </c>
      <c r="S312">
        <f>tblDailySchedule[[#This Row],[Capacity Approx]]*'[1]Load Factor Sheet June Acft  '!$D$5</f>
        <v>7.8913636363636366</v>
      </c>
      <c r="T312" s="22">
        <f>tblDailySchedule[[#This Row],[STD]]</f>
        <v>0.40277777777777779</v>
      </c>
    </row>
    <row r="313" spans="1:20" hidden="1" x14ac:dyDescent="0.35">
      <c r="A313" s="11">
        <v>46121</v>
      </c>
      <c r="B313" s="3">
        <v>4</v>
      </c>
      <c r="C313" t="s">
        <v>114</v>
      </c>
      <c r="D313" t="s">
        <v>18</v>
      </c>
      <c r="E313" s="3">
        <v>8</v>
      </c>
      <c r="F313" t="s">
        <v>19</v>
      </c>
      <c r="G313" t="s">
        <v>46</v>
      </c>
      <c r="H313" t="s">
        <v>31</v>
      </c>
      <c r="I313" s="12">
        <v>0.4201388888888889</v>
      </c>
      <c r="J313" t="s">
        <v>47</v>
      </c>
      <c r="K313" t="s">
        <v>31</v>
      </c>
      <c r="L313" s="12">
        <v>0.44444444444444442</v>
      </c>
      <c r="M313" t="s">
        <v>29</v>
      </c>
      <c r="N313" s="3">
        <v>186</v>
      </c>
      <c r="O313" t="s">
        <v>24</v>
      </c>
      <c r="P313" t="s">
        <v>25</v>
      </c>
      <c r="R313">
        <f>tblDailySchedule[[#This Row],[Capacity Approx]]*'[1]Load Factor Sheet June Acft  '!$B$5</f>
        <v>150.61772727272728</v>
      </c>
      <c r="S313">
        <f>tblDailySchedule[[#This Row],[Capacity Approx]]*'[1]Load Factor Sheet June Acft  '!$D$5</f>
        <v>163.08818181818182</v>
      </c>
      <c r="T313" s="22">
        <f>tblDailySchedule[[#This Row],[STD]]</f>
        <v>0.44444444444444442</v>
      </c>
    </row>
    <row r="314" spans="1:20" hidden="1" x14ac:dyDescent="0.35">
      <c r="A314" s="11">
        <v>46121</v>
      </c>
      <c r="B314" s="3">
        <v>4</v>
      </c>
      <c r="C314" t="s">
        <v>114</v>
      </c>
      <c r="D314" t="s">
        <v>18</v>
      </c>
      <c r="E314" s="3">
        <v>9</v>
      </c>
      <c r="F314" t="s">
        <v>19</v>
      </c>
      <c r="G314" t="s">
        <v>48</v>
      </c>
      <c r="H314" t="s">
        <v>49</v>
      </c>
      <c r="I314" s="12">
        <v>0.4375</v>
      </c>
      <c r="J314" t="s">
        <v>50</v>
      </c>
      <c r="K314" t="s">
        <v>49</v>
      </c>
      <c r="L314" s="12">
        <v>0.45833333333333331</v>
      </c>
      <c r="M314" t="s">
        <v>51</v>
      </c>
      <c r="N314" s="3">
        <v>78</v>
      </c>
      <c r="O314" t="s">
        <v>24</v>
      </c>
      <c r="P314" t="s">
        <v>25</v>
      </c>
      <c r="R314">
        <f>tblDailySchedule[[#This Row],[Capacity Approx]]*'[1]Load Factor Sheet June Acft  '!$B$5</f>
        <v>63.162272727272729</v>
      </c>
      <c r="S314">
        <f>tblDailySchedule[[#This Row],[Capacity Approx]]*'[1]Load Factor Sheet June Acft  '!$D$5</f>
        <v>68.391818181818181</v>
      </c>
      <c r="T314" s="22">
        <f>tblDailySchedule[[#This Row],[STD]]</f>
        <v>0.45833333333333331</v>
      </c>
    </row>
    <row r="315" spans="1:20" hidden="1" x14ac:dyDescent="0.35">
      <c r="A315" s="11">
        <v>46121</v>
      </c>
      <c r="B315" s="3">
        <v>4</v>
      </c>
      <c r="C315" t="s">
        <v>114</v>
      </c>
      <c r="D315" t="s">
        <v>18</v>
      </c>
      <c r="E315" s="3">
        <v>10</v>
      </c>
      <c r="F315" t="s">
        <v>19</v>
      </c>
      <c r="G315" t="s">
        <v>52</v>
      </c>
      <c r="H315" t="s">
        <v>27</v>
      </c>
      <c r="I315" s="12">
        <v>0.4826388888888889</v>
      </c>
      <c r="J315" t="s">
        <v>53</v>
      </c>
      <c r="K315" t="s">
        <v>27</v>
      </c>
      <c r="L315" s="12">
        <v>0.51041666666666663</v>
      </c>
      <c r="M315" t="s">
        <v>23</v>
      </c>
      <c r="N315" s="3">
        <v>186</v>
      </c>
      <c r="O315" t="s">
        <v>24</v>
      </c>
      <c r="P315" t="s">
        <v>25</v>
      </c>
      <c r="R315">
        <f>tblDailySchedule[[#This Row],[Capacity Approx]]*'[1]Load Factor Sheet June Acft  '!$B$5</f>
        <v>150.61772727272728</v>
      </c>
      <c r="S315">
        <f>tblDailySchedule[[#This Row],[Capacity Approx]]*'[1]Load Factor Sheet June Acft  '!$D$5</f>
        <v>163.08818181818182</v>
      </c>
      <c r="T315" s="22">
        <f>tblDailySchedule[[#This Row],[STD]]</f>
        <v>0.51041666666666663</v>
      </c>
    </row>
    <row r="316" spans="1:20" hidden="1" x14ac:dyDescent="0.35">
      <c r="A316" s="11">
        <v>46121</v>
      </c>
      <c r="B316" s="3">
        <v>4</v>
      </c>
      <c r="C316" t="s">
        <v>114</v>
      </c>
      <c r="D316" t="s">
        <v>18</v>
      </c>
      <c r="E316" s="3">
        <v>11</v>
      </c>
      <c r="F316" t="s">
        <v>19</v>
      </c>
      <c r="G316" t="s">
        <v>54</v>
      </c>
      <c r="H316" t="s">
        <v>31</v>
      </c>
      <c r="I316" s="12">
        <v>0.51388888888888884</v>
      </c>
      <c r="J316" t="s">
        <v>55</v>
      </c>
      <c r="K316" t="s">
        <v>31</v>
      </c>
      <c r="L316" s="12">
        <v>0.54166666666666663</v>
      </c>
      <c r="M316" t="s">
        <v>23</v>
      </c>
      <c r="N316" s="3">
        <v>186</v>
      </c>
      <c r="O316" t="s">
        <v>24</v>
      </c>
      <c r="P316" t="s">
        <v>56</v>
      </c>
      <c r="R316">
        <f>tblDailySchedule[[#This Row],[Capacity Approx]]*'[1]Load Factor Sheet June Acft  '!$B$5</f>
        <v>150.61772727272728</v>
      </c>
      <c r="S316">
        <f>tblDailySchedule[[#This Row],[Capacity Approx]]*'[1]Load Factor Sheet June Acft  '!$D$5</f>
        <v>163.08818181818182</v>
      </c>
      <c r="T316" s="22">
        <f>tblDailySchedule[[#This Row],[STD]]</f>
        <v>0.54166666666666663</v>
      </c>
    </row>
    <row r="317" spans="1:20" hidden="1" x14ac:dyDescent="0.35">
      <c r="A317" s="11">
        <v>46121</v>
      </c>
      <c r="B317" s="3">
        <v>4</v>
      </c>
      <c r="C317" t="s">
        <v>114</v>
      </c>
      <c r="D317" t="s">
        <v>18</v>
      </c>
      <c r="E317" s="3">
        <v>12</v>
      </c>
      <c r="F317" t="s">
        <v>109</v>
      </c>
      <c r="G317" t="s">
        <v>110</v>
      </c>
      <c r="H317" t="s">
        <v>111</v>
      </c>
      <c r="I317" s="12">
        <v>0.55555555555555558</v>
      </c>
      <c r="J317" t="s">
        <v>112</v>
      </c>
      <c r="K317" t="s">
        <v>111</v>
      </c>
      <c r="L317" s="12">
        <v>0.56944444444444442</v>
      </c>
      <c r="M317" t="s">
        <v>51</v>
      </c>
      <c r="N317" s="3">
        <v>78</v>
      </c>
      <c r="O317" t="s">
        <v>24</v>
      </c>
      <c r="P317" t="s">
        <v>56</v>
      </c>
      <c r="R317">
        <f>tblDailySchedule[[#This Row],[Capacity Approx]]*'[1]Load Factor Sheet June Acft  '!$B$5</f>
        <v>63.162272727272729</v>
      </c>
      <c r="S317">
        <f>tblDailySchedule[[#This Row],[Capacity Approx]]*'[1]Load Factor Sheet June Acft  '!$D$5</f>
        <v>68.391818181818181</v>
      </c>
      <c r="T317" s="22">
        <f>tblDailySchedule[[#This Row],[STD]]</f>
        <v>0.56944444444444442</v>
      </c>
    </row>
    <row r="318" spans="1:20" hidden="1" x14ac:dyDescent="0.35">
      <c r="A318" s="11">
        <v>46121</v>
      </c>
      <c r="B318" s="3">
        <v>4</v>
      </c>
      <c r="C318" t="s">
        <v>114</v>
      </c>
      <c r="D318" t="s">
        <v>18</v>
      </c>
      <c r="E318" s="3">
        <v>13</v>
      </c>
      <c r="F318" t="s">
        <v>19</v>
      </c>
      <c r="G318" t="s">
        <v>57</v>
      </c>
      <c r="H318" t="s">
        <v>58</v>
      </c>
      <c r="I318" s="12">
        <v>0.55902777777777779</v>
      </c>
      <c r="J318" t="s">
        <v>59</v>
      </c>
      <c r="K318" t="s">
        <v>58</v>
      </c>
      <c r="L318" s="12">
        <v>0.57638888888888884</v>
      </c>
      <c r="M318" t="s">
        <v>51</v>
      </c>
      <c r="N318" s="3">
        <v>78</v>
      </c>
      <c r="O318" t="s">
        <v>24</v>
      </c>
      <c r="P318" t="s">
        <v>56</v>
      </c>
      <c r="R318">
        <f>tblDailySchedule[[#This Row],[Capacity Approx]]*'[1]Load Factor Sheet June Acft  '!$B$5</f>
        <v>63.162272727272729</v>
      </c>
      <c r="S318">
        <f>tblDailySchedule[[#This Row],[Capacity Approx]]*'[1]Load Factor Sheet June Acft  '!$D$5</f>
        <v>68.391818181818181</v>
      </c>
      <c r="T318" s="22">
        <f>tblDailySchedule[[#This Row],[STD]]</f>
        <v>0.57638888888888884</v>
      </c>
    </row>
    <row r="319" spans="1:20" hidden="1" x14ac:dyDescent="0.35">
      <c r="A319" s="11">
        <v>46121</v>
      </c>
      <c r="B319" s="3">
        <v>4</v>
      </c>
      <c r="C319" t="s">
        <v>114</v>
      </c>
      <c r="D319" t="s">
        <v>18</v>
      </c>
      <c r="E319" s="3">
        <v>14</v>
      </c>
      <c r="F319" t="s">
        <v>19</v>
      </c>
      <c r="G319" t="s">
        <v>60</v>
      </c>
      <c r="H319" t="s">
        <v>61</v>
      </c>
      <c r="I319" s="12">
        <v>0.59027777777777779</v>
      </c>
      <c r="J319" t="s">
        <v>62</v>
      </c>
      <c r="K319" t="s">
        <v>61</v>
      </c>
      <c r="L319" s="12">
        <v>0.62152777777777779</v>
      </c>
      <c r="M319" t="s">
        <v>63</v>
      </c>
      <c r="N319" s="3">
        <v>232</v>
      </c>
      <c r="O319" t="s">
        <v>24</v>
      </c>
      <c r="P319" t="s">
        <v>56</v>
      </c>
      <c r="R319">
        <f>tblDailySchedule[[#This Row],[Capacity Approx]]*'[1]Load Factor Sheet June Acft  '!$B$5</f>
        <v>187.86727272727273</v>
      </c>
      <c r="S319">
        <f>tblDailySchedule[[#This Row],[Capacity Approx]]*'[1]Load Factor Sheet June Acft  '!$D$5</f>
        <v>203.4218181818182</v>
      </c>
      <c r="T319" s="22">
        <f>tblDailySchedule[[#This Row],[STD]]</f>
        <v>0.62152777777777779</v>
      </c>
    </row>
    <row r="320" spans="1:20" hidden="1" x14ac:dyDescent="0.35">
      <c r="A320" s="11">
        <v>46121</v>
      </c>
      <c r="B320" s="3">
        <v>4</v>
      </c>
      <c r="C320" t="s">
        <v>114</v>
      </c>
      <c r="D320" t="s">
        <v>18</v>
      </c>
      <c r="E320" s="3">
        <v>15</v>
      </c>
      <c r="F320" t="s">
        <v>19</v>
      </c>
      <c r="G320" t="s">
        <v>64</v>
      </c>
      <c r="H320" t="s">
        <v>31</v>
      </c>
      <c r="I320" s="12">
        <v>0.60069444444444442</v>
      </c>
      <c r="J320" t="s">
        <v>65</v>
      </c>
      <c r="K320" t="s">
        <v>66</v>
      </c>
      <c r="L320" s="12">
        <v>0.62847222222222221</v>
      </c>
      <c r="M320" t="s">
        <v>63</v>
      </c>
      <c r="N320" s="3">
        <v>232</v>
      </c>
      <c r="O320" t="s">
        <v>24</v>
      </c>
      <c r="P320" t="s">
        <v>56</v>
      </c>
      <c r="R320">
        <f>tblDailySchedule[[#This Row],[Capacity Approx]]*'[1]Load Factor Sheet June Acft  '!$B$5</f>
        <v>187.86727272727273</v>
      </c>
      <c r="S320">
        <f>tblDailySchedule[[#This Row],[Capacity Approx]]*'[1]Load Factor Sheet June Acft  '!$D$5</f>
        <v>203.4218181818182</v>
      </c>
      <c r="T320" s="22">
        <f>tblDailySchedule[[#This Row],[STD]]</f>
        <v>0.62847222222222221</v>
      </c>
    </row>
    <row r="321" spans="1:20" hidden="1" x14ac:dyDescent="0.35">
      <c r="A321" s="11">
        <v>46121</v>
      </c>
      <c r="B321" s="3">
        <v>4</v>
      </c>
      <c r="C321" t="s">
        <v>114</v>
      </c>
      <c r="D321" t="s">
        <v>18</v>
      </c>
      <c r="E321" s="3">
        <v>16</v>
      </c>
      <c r="F321" t="s">
        <v>19</v>
      </c>
      <c r="G321" t="s">
        <v>67</v>
      </c>
      <c r="H321" t="s">
        <v>31</v>
      </c>
      <c r="I321" s="12">
        <v>0.65625</v>
      </c>
      <c r="J321" t="s">
        <v>68</v>
      </c>
      <c r="K321" t="s">
        <v>31</v>
      </c>
      <c r="L321" s="12">
        <v>0.68402777777777779</v>
      </c>
      <c r="M321" t="s">
        <v>63</v>
      </c>
      <c r="N321" s="3">
        <v>232</v>
      </c>
      <c r="O321" t="s">
        <v>24</v>
      </c>
      <c r="P321" t="s">
        <v>56</v>
      </c>
      <c r="R321">
        <f>tblDailySchedule[[#This Row],[Capacity Approx]]*'[1]Load Factor Sheet June Acft  '!$B$5</f>
        <v>187.86727272727273</v>
      </c>
      <c r="S321">
        <f>tblDailySchedule[[#This Row],[Capacity Approx]]*'[1]Load Factor Sheet June Acft  '!$D$5</f>
        <v>203.4218181818182</v>
      </c>
      <c r="T321" s="22">
        <f>tblDailySchedule[[#This Row],[STD]]</f>
        <v>0.68402777777777779</v>
      </c>
    </row>
    <row r="322" spans="1:20" hidden="1" x14ac:dyDescent="0.35">
      <c r="A322" s="11">
        <v>46121</v>
      </c>
      <c r="B322" s="3">
        <v>4</v>
      </c>
      <c r="C322" t="s">
        <v>114</v>
      </c>
      <c r="D322" t="s">
        <v>18</v>
      </c>
      <c r="E322" s="3">
        <v>17</v>
      </c>
      <c r="F322" t="s">
        <v>19</v>
      </c>
      <c r="G322" t="s">
        <v>69</v>
      </c>
      <c r="H322" t="s">
        <v>31</v>
      </c>
      <c r="I322" s="12">
        <v>0.66319444444444442</v>
      </c>
      <c r="J322" t="s">
        <v>70</v>
      </c>
      <c r="K322" t="s">
        <v>31</v>
      </c>
      <c r="L322" s="12">
        <v>0.69097222222222221</v>
      </c>
      <c r="M322" t="s">
        <v>33</v>
      </c>
      <c r="N322" s="3">
        <v>189</v>
      </c>
      <c r="O322" t="s">
        <v>24</v>
      </c>
      <c r="P322" t="s">
        <v>56</v>
      </c>
      <c r="R322">
        <f>tblDailySchedule[[#This Row],[Capacity Approx]]*'[1]Load Factor Sheet June Acft  '!$B$5</f>
        <v>153.04704545454547</v>
      </c>
      <c r="S322">
        <f>tblDailySchedule[[#This Row],[Capacity Approx]]*'[1]Load Factor Sheet June Acft  '!$D$5</f>
        <v>165.71863636363636</v>
      </c>
      <c r="T322" s="22">
        <f>tblDailySchedule[[#This Row],[STD]]</f>
        <v>0.69097222222222221</v>
      </c>
    </row>
    <row r="323" spans="1:20" hidden="1" x14ac:dyDescent="0.35">
      <c r="A323" s="11">
        <v>46121</v>
      </c>
      <c r="B323" s="3">
        <v>4</v>
      </c>
      <c r="C323" t="s">
        <v>114</v>
      </c>
      <c r="D323" t="s">
        <v>18</v>
      </c>
      <c r="E323" s="3">
        <v>18</v>
      </c>
      <c r="F323" t="s">
        <v>19</v>
      </c>
      <c r="G323" t="s">
        <v>71</v>
      </c>
      <c r="H323" t="s">
        <v>21</v>
      </c>
      <c r="I323" s="12">
        <v>0.67013888888888884</v>
      </c>
      <c r="J323" t="s">
        <v>72</v>
      </c>
      <c r="K323" t="s">
        <v>21</v>
      </c>
      <c r="L323" s="12">
        <v>0.69791666666666663</v>
      </c>
      <c r="M323" t="s">
        <v>63</v>
      </c>
      <c r="N323" s="3">
        <v>232</v>
      </c>
      <c r="O323" t="s">
        <v>24</v>
      </c>
      <c r="P323" t="s">
        <v>56</v>
      </c>
      <c r="R323">
        <f>tblDailySchedule[[#This Row],[Capacity Approx]]*'[1]Load Factor Sheet June Acft  '!$B$5</f>
        <v>187.86727272727273</v>
      </c>
      <c r="S323">
        <f>tblDailySchedule[[#This Row],[Capacity Approx]]*'[1]Load Factor Sheet June Acft  '!$D$5</f>
        <v>203.4218181818182</v>
      </c>
      <c r="T323" s="22">
        <f>tblDailySchedule[[#This Row],[STD]]</f>
        <v>0.69791666666666663</v>
      </c>
    </row>
    <row r="324" spans="1:20" hidden="1" x14ac:dyDescent="0.35">
      <c r="A324" s="11">
        <v>46121</v>
      </c>
      <c r="B324" s="3">
        <v>4</v>
      </c>
      <c r="C324" t="s">
        <v>114</v>
      </c>
      <c r="D324" t="s">
        <v>18</v>
      </c>
      <c r="E324" s="3">
        <v>19</v>
      </c>
      <c r="F324" t="s">
        <v>19</v>
      </c>
      <c r="G324" t="s">
        <v>73</v>
      </c>
      <c r="H324" t="s">
        <v>27</v>
      </c>
      <c r="I324" s="12">
        <v>0.74652777777777779</v>
      </c>
      <c r="J324" t="s">
        <v>74</v>
      </c>
      <c r="K324" t="s">
        <v>27</v>
      </c>
      <c r="L324" s="12">
        <v>0.77430555555555558</v>
      </c>
      <c r="M324" t="s">
        <v>63</v>
      </c>
      <c r="N324" s="3">
        <v>232</v>
      </c>
      <c r="O324" t="s">
        <v>24</v>
      </c>
      <c r="P324" t="s">
        <v>56</v>
      </c>
      <c r="R324">
        <f>tblDailySchedule[[#This Row],[Capacity Approx]]*'[1]Load Factor Sheet June Acft  '!$B$5</f>
        <v>187.86727272727273</v>
      </c>
      <c r="S324">
        <f>tblDailySchedule[[#This Row],[Capacity Approx]]*'[1]Load Factor Sheet June Acft  '!$D$5</f>
        <v>203.4218181818182</v>
      </c>
      <c r="T324" s="22">
        <f>tblDailySchedule[[#This Row],[STD]]</f>
        <v>0.77430555555555558</v>
      </c>
    </row>
    <row r="325" spans="1:20" hidden="1" x14ac:dyDescent="0.35">
      <c r="A325" s="11">
        <v>46121</v>
      </c>
      <c r="B325" s="3">
        <v>4</v>
      </c>
      <c r="C325" t="s">
        <v>114</v>
      </c>
      <c r="D325" t="s">
        <v>18</v>
      </c>
      <c r="E325" s="3">
        <v>21</v>
      </c>
      <c r="F325" t="s">
        <v>19</v>
      </c>
      <c r="G325" t="s">
        <v>81</v>
      </c>
      <c r="H325" t="s">
        <v>61</v>
      </c>
      <c r="I325" s="12">
        <v>0.77083333333333337</v>
      </c>
      <c r="J325" t="s">
        <v>82</v>
      </c>
      <c r="K325" t="s">
        <v>49</v>
      </c>
      <c r="L325" s="12">
        <v>0.79166666666666663</v>
      </c>
      <c r="M325" t="s">
        <v>33</v>
      </c>
      <c r="N325" s="3">
        <v>189</v>
      </c>
      <c r="O325" t="s">
        <v>24</v>
      </c>
      <c r="P325" t="s">
        <v>79</v>
      </c>
      <c r="R325">
        <f>tblDailySchedule[[#This Row],[Capacity Approx]]*'[1]Load Factor Sheet June Acft  '!$B$5</f>
        <v>153.04704545454547</v>
      </c>
      <c r="S325">
        <f>tblDailySchedule[[#This Row],[Capacity Approx]]*'[1]Load Factor Sheet June Acft  '!$D$5</f>
        <v>165.71863636363636</v>
      </c>
      <c r="T325" s="22">
        <f>tblDailySchedule[[#This Row],[STD]]</f>
        <v>0.79166666666666663</v>
      </c>
    </row>
    <row r="326" spans="1:20" hidden="1" x14ac:dyDescent="0.35">
      <c r="A326" s="11">
        <v>46121</v>
      </c>
      <c r="B326" s="3">
        <v>4</v>
      </c>
      <c r="C326" t="s">
        <v>114</v>
      </c>
      <c r="D326" t="s">
        <v>18</v>
      </c>
      <c r="E326" s="3">
        <v>22</v>
      </c>
      <c r="F326" t="s">
        <v>19</v>
      </c>
      <c r="G326" t="s">
        <v>83</v>
      </c>
      <c r="H326" t="s">
        <v>31</v>
      </c>
      <c r="I326" s="12">
        <v>0.77777777777777779</v>
      </c>
      <c r="J326" t="s">
        <v>84</v>
      </c>
      <c r="K326" t="s">
        <v>31</v>
      </c>
      <c r="L326" s="12">
        <v>0.80555555555555558</v>
      </c>
      <c r="M326" t="s">
        <v>63</v>
      </c>
      <c r="N326" s="3">
        <v>232</v>
      </c>
      <c r="O326" t="s">
        <v>24</v>
      </c>
      <c r="P326" t="s">
        <v>79</v>
      </c>
      <c r="R326">
        <f>tblDailySchedule[[#This Row],[Capacity Approx]]*'[1]Load Factor Sheet June Acft  '!$B$5</f>
        <v>187.86727272727273</v>
      </c>
      <c r="S326">
        <f>tblDailySchedule[[#This Row],[Capacity Approx]]*'[1]Load Factor Sheet June Acft  '!$D$5</f>
        <v>203.4218181818182</v>
      </c>
      <c r="T326" s="22">
        <f>tblDailySchedule[[#This Row],[STD]]</f>
        <v>0.80555555555555558</v>
      </c>
    </row>
    <row r="327" spans="1:20" hidden="1" x14ac:dyDescent="0.35">
      <c r="A327" s="11">
        <v>46121</v>
      </c>
      <c r="B327" s="3">
        <v>4</v>
      </c>
      <c r="C327" t="s">
        <v>114</v>
      </c>
      <c r="D327" t="s">
        <v>18</v>
      </c>
      <c r="E327" s="3">
        <v>23</v>
      </c>
      <c r="F327" t="s">
        <v>19</v>
      </c>
      <c r="G327" t="s">
        <v>85</v>
      </c>
      <c r="H327" t="s">
        <v>86</v>
      </c>
      <c r="I327" s="12">
        <v>0.79861111111111116</v>
      </c>
      <c r="J327" t="s">
        <v>87</v>
      </c>
      <c r="K327" t="s">
        <v>86</v>
      </c>
      <c r="L327" s="12">
        <v>0.82638888888888884</v>
      </c>
      <c r="M327" t="s">
        <v>63</v>
      </c>
      <c r="N327" s="3">
        <v>232</v>
      </c>
      <c r="O327" t="s">
        <v>24</v>
      </c>
      <c r="P327" t="s">
        <v>79</v>
      </c>
      <c r="R327">
        <f>tblDailySchedule[[#This Row],[Capacity Approx]]*'[1]Load Factor Sheet June Acft  '!$B$5</f>
        <v>187.86727272727273</v>
      </c>
      <c r="S327">
        <f>tblDailySchedule[[#This Row],[Capacity Approx]]*'[1]Load Factor Sheet June Acft  '!$D$5</f>
        <v>203.4218181818182</v>
      </c>
      <c r="T327" s="22">
        <f>tblDailySchedule[[#This Row],[STD]]</f>
        <v>0.82638888888888884</v>
      </c>
    </row>
    <row r="328" spans="1:20" hidden="1" x14ac:dyDescent="0.35">
      <c r="A328" s="11">
        <v>46121</v>
      </c>
      <c r="B328" s="3">
        <v>4</v>
      </c>
      <c r="C328" t="s">
        <v>114</v>
      </c>
      <c r="D328" t="s">
        <v>18</v>
      </c>
      <c r="E328" s="3">
        <v>24</v>
      </c>
      <c r="F328" t="s">
        <v>19</v>
      </c>
      <c r="G328" t="s">
        <v>88</v>
      </c>
      <c r="H328" t="s">
        <v>89</v>
      </c>
      <c r="I328" s="12">
        <v>0.83333333333333337</v>
      </c>
      <c r="J328" t="s">
        <v>90</v>
      </c>
      <c r="K328" t="s">
        <v>31</v>
      </c>
      <c r="L328" s="12">
        <v>0.86111111111111116</v>
      </c>
      <c r="M328" t="s">
        <v>63</v>
      </c>
      <c r="N328" s="3">
        <v>232</v>
      </c>
      <c r="O328" t="s">
        <v>24</v>
      </c>
      <c r="P328" t="s">
        <v>79</v>
      </c>
      <c r="R328">
        <f>tblDailySchedule[[#This Row],[Capacity Approx]]*'[1]Load Factor Sheet June Acft  '!$B$5</f>
        <v>187.86727272727273</v>
      </c>
      <c r="S328">
        <f>tblDailySchedule[[#This Row],[Capacity Approx]]*'[1]Load Factor Sheet June Acft  '!$D$5</f>
        <v>203.4218181818182</v>
      </c>
      <c r="T328" s="22">
        <f>tblDailySchedule[[#This Row],[STD]]</f>
        <v>0.86111111111111116</v>
      </c>
    </row>
    <row r="329" spans="1:20" hidden="1" x14ac:dyDescent="0.35">
      <c r="A329" s="11">
        <v>46121</v>
      </c>
      <c r="B329" s="3">
        <v>4</v>
      </c>
      <c r="C329" t="s">
        <v>114</v>
      </c>
      <c r="D329" t="s">
        <v>18</v>
      </c>
      <c r="E329" s="3">
        <v>25</v>
      </c>
      <c r="F329" t="s">
        <v>19</v>
      </c>
      <c r="G329" t="s">
        <v>91</v>
      </c>
      <c r="H329" t="s">
        <v>61</v>
      </c>
      <c r="I329" s="12">
        <v>0.85416666666666663</v>
      </c>
      <c r="J329" t="s">
        <v>92</v>
      </c>
      <c r="K329" t="s">
        <v>61</v>
      </c>
      <c r="L329" s="12">
        <v>0.88194444444444442</v>
      </c>
      <c r="M329" t="s">
        <v>63</v>
      </c>
      <c r="N329" s="3">
        <v>232</v>
      </c>
      <c r="O329" t="s">
        <v>24</v>
      </c>
      <c r="P329" t="s">
        <v>79</v>
      </c>
      <c r="R329">
        <f>tblDailySchedule[[#This Row],[Capacity Approx]]*'[1]Load Factor Sheet June Acft  '!$B$5</f>
        <v>187.86727272727273</v>
      </c>
      <c r="S329">
        <f>tblDailySchedule[[#This Row],[Capacity Approx]]*'[1]Load Factor Sheet June Acft  '!$D$5</f>
        <v>203.4218181818182</v>
      </c>
      <c r="T329" s="22">
        <f>tblDailySchedule[[#This Row],[STD]]</f>
        <v>0.88194444444444442</v>
      </c>
    </row>
    <row r="330" spans="1:20" hidden="1" x14ac:dyDescent="0.35">
      <c r="A330" s="11">
        <v>46121</v>
      </c>
      <c r="B330" s="3">
        <v>4</v>
      </c>
      <c r="C330" t="s">
        <v>114</v>
      </c>
      <c r="D330" t="s">
        <v>18</v>
      </c>
      <c r="E330" s="3">
        <v>26</v>
      </c>
      <c r="F330" t="s">
        <v>19</v>
      </c>
      <c r="G330" t="s">
        <v>93</v>
      </c>
      <c r="H330" t="s">
        <v>31</v>
      </c>
      <c r="I330" s="12">
        <v>0.86111111111111116</v>
      </c>
      <c r="J330" t="s">
        <v>94</v>
      </c>
      <c r="K330" t="s">
        <v>31</v>
      </c>
      <c r="L330" s="12">
        <v>0.88888888888888884</v>
      </c>
      <c r="M330" t="s">
        <v>23</v>
      </c>
      <c r="N330" s="3">
        <v>186</v>
      </c>
      <c r="O330" t="s">
        <v>24</v>
      </c>
      <c r="P330" t="s">
        <v>79</v>
      </c>
      <c r="R330">
        <f>tblDailySchedule[[#This Row],[Capacity Approx]]*'[1]Load Factor Sheet June Acft  '!$B$5</f>
        <v>150.61772727272728</v>
      </c>
      <c r="S330">
        <f>tblDailySchedule[[#This Row],[Capacity Approx]]*'[1]Load Factor Sheet June Acft  '!$D$5</f>
        <v>163.08818181818182</v>
      </c>
      <c r="T330" s="22">
        <f>tblDailySchedule[[#This Row],[STD]]</f>
        <v>0.88888888888888884</v>
      </c>
    </row>
    <row r="331" spans="1:20" hidden="1" x14ac:dyDescent="0.35">
      <c r="A331" s="11">
        <v>46121</v>
      </c>
      <c r="B331" s="3">
        <v>4</v>
      </c>
      <c r="C331" t="s">
        <v>114</v>
      </c>
      <c r="D331" t="s">
        <v>18</v>
      </c>
      <c r="E331" s="3">
        <v>27</v>
      </c>
      <c r="F331" t="s">
        <v>19</v>
      </c>
      <c r="G331" t="s">
        <v>95</v>
      </c>
      <c r="H331" t="s">
        <v>21</v>
      </c>
      <c r="I331" s="12">
        <v>0.86805555555555558</v>
      </c>
      <c r="J331" t="s">
        <v>96</v>
      </c>
      <c r="K331" t="s">
        <v>21</v>
      </c>
      <c r="L331" s="12">
        <v>0.89583333333333337</v>
      </c>
      <c r="M331" t="s">
        <v>29</v>
      </c>
      <c r="N331" s="3">
        <v>186</v>
      </c>
      <c r="O331" t="s">
        <v>24</v>
      </c>
      <c r="P331" t="s">
        <v>79</v>
      </c>
      <c r="R331">
        <f>tblDailySchedule[[#This Row],[Capacity Approx]]*'[1]Load Factor Sheet June Acft  '!$B$5</f>
        <v>150.61772727272728</v>
      </c>
      <c r="S331">
        <f>tblDailySchedule[[#This Row],[Capacity Approx]]*'[1]Load Factor Sheet June Acft  '!$D$5</f>
        <v>163.08818181818182</v>
      </c>
      <c r="T331" s="22">
        <f>tblDailySchedule[[#This Row],[STD]]</f>
        <v>0.89583333333333337</v>
      </c>
    </row>
    <row r="332" spans="1:20" hidden="1" x14ac:dyDescent="0.35">
      <c r="A332" s="11">
        <v>46121</v>
      </c>
      <c r="B332" s="3">
        <v>4</v>
      </c>
      <c r="C332" t="s">
        <v>114</v>
      </c>
      <c r="D332" t="s">
        <v>18</v>
      </c>
      <c r="E332" s="3">
        <v>28</v>
      </c>
      <c r="F332" t="s">
        <v>19</v>
      </c>
      <c r="G332" t="s">
        <v>97</v>
      </c>
      <c r="H332" t="s">
        <v>49</v>
      </c>
      <c r="I332" s="12">
        <v>0.90277777777777779</v>
      </c>
      <c r="J332" t="s">
        <v>97</v>
      </c>
      <c r="K332" t="s">
        <v>61</v>
      </c>
      <c r="L332" s="12">
        <v>0.92361111111111116</v>
      </c>
      <c r="M332" t="s">
        <v>33</v>
      </c>
      <c r="N332" s="3">
        <v>189</v>
      </c>
      <c r="O332" t="s">
        <v>24</v>
      </c>
      <c r="P332" t="s">
        <v>79</v>
      </c>
      <c r="R332">
        <f>tblDailySchedule[[#This Row],[Capacity Approx]]*'[1]Load Factor Sheet June Acft  '!$B$5</f>
        <v>153.04704545454547</v>
      </c>
      <c r="S332">
        <f>tblDailySchedule[[#This Row],[Capacity Approx]]*'[1]Load Factor Sheet June Acft  '!$D$5</f>
        <v>165.71863636363636</v>
      </c>
      <c r="T332" s="22">
        <f>tblDailySchedule[[#This Row],[STD]]</f>
        <v>0.92361111111111116</v>
      </c>
    </row>
    <row r="333" spans="1:20" hidden="1" x14ac:dyDescent="0.35">
      <c r="A333" s="11">
        <v>46121</v>
      </c>
      <c r="B333" s="3">
        <v>4</v>
      </c>
      <c r="C333" t="s">
        <v>114</v>
      </c>
      <c r="D333" t="s">
        <v>18</v>
      </c>
      <c r="E333" s="3">
        <v>29</v>
      </c>
      <c r="F333" t="s">
        <v>19</v>
      </c>
      <c r="G333" t="s">
        <v>98</v>
      </c>
      <c r="H333" t="s">
        <v>21</v>
      </c>
      <c r="I333" s="12">
        <v>0.92013888888888884</v>
      </c>
      <c r="J333" t="s">
        <v>99</v>
      </c>
      <c r="K333" t="s">
        <v>21</v>
      </c>
      <c r="L333" s="12">
        <v>0.94791666666666663</v>
      </c>
      <c r="M333" t="s">
        <v>63</v>
      </c>
      <c r="N333" s="3">
        <v>232</v>
      </c>
      <c r="O333" t="s">
        <v>24</v>
      </c>
      <c r="P333" t="s">
        <v>79</v>
      </c>
      <c r="R333">
        <f>tblDailySchedule[[#This Row],[Capacity Approx]]*'[1]Load Factor Sheet June Acft  '!$B$5</f>
        <v>187.86727272727273</v>
      </c>
      <c r="S333">
        <f>tblDailySchedule[[#This Row],[Capacity Approx]]*'[1]Load Factor Sheet June Acft  '!$D$5</f>
        <v>203.4218181818182</v>
      </c>
      <c r="T333" s="22">
        <f>tblDailySchedule[[#This Row],[STD]]</f>
        <v>0.94791666666666663</v>
      </c>
    </row>
    <row r="334" spans="1:20" hidden="1" x14ac:dyDescent="0.35">
      <c r="A334" s="11">
        <v>46122</v>
      </c>
      <c r="B334" s="3">
        <v>5</v>
      </c>
      <c r="C334" t="s">
        <v>115</v>
      </c>
      <c r="D334" t="s">
        <v>18</v>
      </c>
      <c r="E334" s="3">
        <v>2</v>
      </c>
      <c r="F334" t="s">
        <v>19</v>
      </c>
      <c r="G334" t="s">
        <v>20</v>
      </c>
      <c r="H334" t="s">
        <v>21</v>
      </c>
      <c r="I334" s="12">
        <v>0.31944444444444442</v>
      </c>
      <c r="J334" t="s">
        <v>22</v>
      </c>
      <c r="K334" t="s">
        <v>21</v>
      </c>
      <c r="L334" s="12">
        <v>0.34722222222222221</v>
      </c>
      <c r="M334" t="s">
        <v>23</v>
      </c>
      <c r="N334" s="3">
        <v>186</v>
      </c>
      <c r="O334" t="s">
        <v>24</v>
      </c>
      <c r="P334" t="s">
        <v>25</v>
      </c>
      <c r="R334">
        <f>tblDailySchedule[[#This Row],[Capacity Approx]]*'[1]Load Factor Sheet June Acft  '!$B$5</f>
        <v>150.61772727272728</v>
      </c>
      <c r="S334">
        <f>tblDailySchedule[[#This Row],[Capacity Approx]]*'[1]Load Factor Sheet June Acft  '!$D$5</f>
        <v>163.08818181818182</v>
      </c>
      <c r="T334" s="22">
        <f>tblDailySchedule[[#This Row],[STD]]</f>
        <v>0.34722222222222221</v>
      </c>
    </row>
    <row r="335" spans="1:20" hidden="1" x14ac:dyDescent="0.35">
      <c r="A335" s="11">
        <v>46122</v>
      </c>
      <c r="B335" s="3">
        <v>5</v>
      </c>
      <c r="C335" t="s">
        <v>115</v>
      </c>
      <c r="D335" t="s">
        <v>18</v>
      </c>
      <c r="E335" s="3">
        <v>3</v>
      </c>
      <c r="F335" t="s">
        <v>19</v>
      </c>
      <c r="G335" t="s">
        <v>26</v>
      </c>
      <c r="H335" t="s">
        <v>27</v>
      </c>
      <c r="I335" s="12">
        <v>0.3263888888888889</v>
      </c>
      <c r="J335" t="s">
        <v>28</v>
      </c>
      <c r="K335" t="s">
        <v>27</v>
      </c>
      <c r="L335" s="12">
        <v>0.35416666666666669</v>
      </c>
      <c r="M335" t="s">
        <v>29</v>
      </c>
      <c r="N335" s="3">
        <v>186</v>
      </c>
      <c r="O335" t="s">
        <v>24</v>
      </c>
      <c r="P335" t="s">
        <v>25</v>
      </c>
      <c r="R335">
        <f>tblDailySchedule[[#This Row],[Capacity Approx]]*'[1]Load Factor Sheet June Acft  '!$B$5</f>
        <v>150.61772727272728</v>
      </c>
      <c r="S335">
        <f>tblDailySchedule[[#This Row],[Capacity Approx]]*'[1]Load Factor Sheet June Acft  '!$D$5</f>
        <v>163.08818181818182</v>
      </c>
      <c r="T335" s="22">
        <f>tblDailySchedule[[#This Row],[STD]]</f>
        <v>0.35416666666666669</v>
      </c>
    </row>
    <row r="336" spans="1:20" hidden="1" x14ac:dyDescent="0.35">
      <c r="A336" s="11">
        <v>46122</v>
      </c>
      <c r="B336" s="3">
        <v>5</v>
      </c>
      <c r="C336" t="s">
        <v>115</v>
      </c>
      <c r="D336" t="s">
        <v>18</v>
      </c>
      <c r="E336" s="3">
        <v>4</v>
      </c>
      <c r="F336" t="s">
        <v>19</v>
      </c>
      <c r="G336" t="s">
        <v>30</v>
      </c>
      <c r="H336" t="s">
        <v>31</v>
      </c>
      <c r="I336" s="12">
        <v>0.34722222222222221</v>
      </c>
      <c r="J336" t="s">
        <v>32</v>
      </c>
      <c r="K336" t="s">
        <v>31</v>
      </c>
      <c r="L336" s="12">
        <v>0.36805555555555558</v>
      </c>
      <c r="M336" t="s">
        <v>33</v>
      </c>
      <c r="N336" s="3">
        <v>189</v>
      </c>
      <c r="O336" t="s">
        <v>24</v>
      </c>
      <c r="P336" t="s">
        <v>25</v>
      </c>
      <c r="R336">
        <f>tblDailySchedule[[#This Row],[Capacity Approx]]*'[1]Load Factor Sheet June Acft  '!$B$5</f>
        <v>153.04704545454547</v>
      </c>
      <c r="S336">
        <f>tblDailySchedule[[#This Row],[Capacity Approx]]*'[1]Load Factor Sheet June Acft  '!$D$5</f>
        <v>165.71863636363636</v>
      </c>
      <c r="T336" s="22">
        <f>tblDailySchedule[[#This Row],[STD]]</f>
        <v>0.36805555555555558</v>
      </c>
    </row>
    <row r="337" spans="1:20" hidden="1" x14ac:dyDescent="0.35">
      <c r="A337" s="13">
        <v>46122</v>
      </c>
      <c r="B337" s="7">
        <v>5</v>
      </c>
      <c r="C337" s="14" t="s">
        <v>115</v>
      </c>
      <c r="D337" s="14" t="s">
        <v>18</v>
      </c>
      <c r="E337" s="7">
        <v>6</v>
      </c>
      <c r="F337" s="14" t="s">
        <v>34</v>
      </c>
      <c r="G337" s="14" t="s">
        <v>35</v>
      </c>
      <c r="H337" s="14" t="s">
        <v>36</v>
      </c>
      <c r="I337" s="15">
        <v>0.34722222222222221</v>
      </c>
      <c r="J337" s="14" t="s">
        <v>37</v>
      </c>
      <c r="K337" s="14" t="s">
        <v>36</v>
      </c>
      <c r="L337" s="15">
        <v>0.40972222222222221</v>
      </c>
      <c r="M337" s="14" t="s">
        <v>38</v>
      </c>
      <c r="N337" s="7">
        <v>186</v>
      </c>
      <c r="O337" s="14" t="s">
        <v>39</v>
      </c>
      <c r="P337" s="14" t="s">
        <v>25</v>
      </c>
      <c r="Q337" s="14" t="s">
        <v>39</v>
      </c>
      <c r="R337">
        <f>tblDailySchedule[[#This Row],[Capacity Approx]]*'[1]Load Factor Sheet June Acft  '!$B$5</f>
        <v>150.61772727272728</v>
      </c>
      <c r="S337">
        <f>tblDailySchedule[[#This Row],[Capacity Approx]]*'[1]Load Factor Sheet June Acft  '!$D$5</f>
        <v>163.08818181818182</v>
      </c>
      <c r="T337" s="22">
        <f>tblDailySchedule[[#This Row],[STD]]</f>
        <v>0.40972222222222221</v>
      </c>
    </row>
    <row r="338" spans="1:20" hidden="1" x14ac:dyDescent="0.35">
      <c r="A338" s="11">
        <v>46122</v>
      </c>
      <c r="B338" s="3">
        <v>5</v>
      </c>
      <c r="C338" t="s">
        <v>115</v>
      </c>
      <c r="D338" t="s">
        <v>18</v>
      </c>
      <c r="E338" s="3">
        <v>5</v>
      </c>
      <c r="F338" t="s">
        <v>19</v>
      </c>
      <c r="G338" t="s">
        <v>40</v>
      </c>
      <c r="H338" t="s">
        <v>31</v>
      </c>
      <c r="I338" s="12">
        <v>0.35069444444444442</v>
      </c>
      <c r="J338" t="s">
        <v>41</v>
      </c>
      <c r="K338" t="s">
        <v>31</v>
      </c>
      <c r="L338" s="12">
        <v>0.37152777777777779</v>
      </c>
      <c r="M338" t="s">
        <v>23</v>
      </c>
      <c r="N338" s="3">
        <v>186</v>
      </c>
      <c r="O338" t="s">
        <v>24</v>
      </c>
      <c r="P338" t="s">
        <v>25</v>
      </c>
      <c r="R338">
        <f>tblDailySchedule[[#This Row],[Capacity Approx]]*'[1]Load Factor Sheet June Acft  '!$B$5</f>
        <v>150.61772727272728</v>
      </c>
      <c r="S338">
        <f>tblDailySchedule[[#This Row],[Capacity Approx]]*'[1]Load Factor Sheet June Acft  '!$D$5</f>
        <v>163.08818181818182</v>
      </c>
      <c r="T338" s="22">
        <f>tblDailySchedule[[#This Row],[STD]]</f>
        <v>0.37152777777777779</v>
      </c>
    </row>
    <row r="339" spans="1:20" hidden="1" x14ac:dyDescent="0.35">
      <c r="A339" s="11">
        <v>46122</v>
      </c>
      <c r="B339" s="3">
        <v>5</v>
      </c>
      <c r="C339" t="s">
        <v>115</v>
      </c>
      <c r="D339" t="s">
        <v>18</v>
      </c>
      <c r="E339" s="3">
        <v>7</v>
      </c>
      <c r="F339" t="s">
        <v>19</v>
      </c>
      <c r="G339" t="s">
        <v>42</v>
      </c>
      <c r="H339" t="s">
        <v>43</v>
      </c>
      <c r="I339" s="12">
        <v>0.3923611111111111</v>
      </c>
      <c r="J339" t="s">
        <v>44</v>
      </c>
      <c r="K339" t="s">
        <v>43</v>
      </c>
      <c r="L339" s="12">
        <v>0.40277777777777779</v>
      </c>
      <c r="M339" t="s">
        <v>45</v>
      </c>
      <c r="N339" s="3">
        <v>9</v>
      </c>
      <c r="O339" t="s">
        <v>24</v>
      </c>
      <c r="P339" t="s">
        <v>25</v>
      </c>
      <c r="R339">
        <f>tblDailySchedule[[#This Row],[Capacity Approx]]*'[1]Load Factor Sheet June Acft  '!$B$5</f>
        <v>7.2879545454545456</v>
      </c>
      <c r="S339">
        <f>tblDailySchedule[[#This Row],[Capacity Approx]]*'[1]Load Factor Sheet June Acft  '!$D$5</f>
        <v>7.8913636363636366</v>
      </c>
      <c r="T339" s="22">
        <f>tblDailySchedule[[#This Row],[STD]]</f>
        <v>0.40277777777777779</v>
      </c>
    </row>
    <row r="340" spans="1:20" hidden="1" x14ac:dyDescent="0.35">
      <c r="A340" s="11">
        <v>46122</v>
      </c>
      <c r="B340" s="3">
        <v>5</v>
      </c>
      <c r="C340" t="s">
        <v>115</v>
      </c>
      <c r="D340" t="s">
        <v>18</v>
      </c>
      <c r="E340" s="3">
        <v>8</v>
      </c>
      <c r="F340" t="s">
        <v>19</v>
      </c>
      <c r="G340" t="s">
        <v>46</v>
      </c>
      <c r="H340" t="s">
        <v>31</v>
      </c>
      <c r="I340" s="12">
        <v>0.4201388888888889</v>
      </c>
      <c r="J340" t="s">
        <v>47</v>
      </c>
      <c r="K340" t="s">
        <v>31</v>
      </c>
      <c r="L340" s="12">
        <v>0.44444444444444442</v>
      </c>
      <c r="M340" t="s">
        <v>29</v>
      </c>
      <c r="N340" s="3">
        <v>186</v>
      </c>
      <c r="O340" t="s">
        <v>24</v>
      </c>
      <c r="P340" t="s">
        <v>25</v>
      </c>
      <c r="R340">
        <f>tblDailySchedule[[#This Row],[Capacity Approx]]*'[1]Load Factor Sheet June Acft  '!$B$5</f>
        <v>150.61772727272728</v>
      </c>
      <c r="S340">
        <f>tblDailySchedule[[#This Row],[Capacity Approx]]*'[1]Load Factor Sheet June Acft  '!$D$5</f>
        <v>163.08818181818182</v>
      </c>
      <c r="T340" s="22">
        <f>tblDailySchedule[[#This Row],[STD]]</f>
        <v>0.44444444444444442</v>
      </c>
    </row>
    <row r="341" spans="1:20" hidden="1" x14ac:dyDescent="0.35">
      <c r="A341" s="11">
        <v>46122</v>
      </c>
      <c r="B341" s="3">
        <v>5</v>
      </c>
      <c r="C341" t="s">
        <v>115</v>
      </c>
      <c r="D341" t="s">
        <v>18</v>
      </c>
      <c r="E341" s="3">
        <v>9</v>
      </c>
      <c r="F341" t="s">
        <v>19</v>
      </c>
      <c r="G341" t="s">
        <v>48</v>
      </c>
      <c r="H341" t="s">
        <v>49</v>
      </c>
      <c r="I341" s="12">
        <v>0.4375</v>
      </c>
      <c r="J341" t="s">
        <v>50</v>
      </c>
      <c r="K341" t="s">
        <v>49</v>
      </c>
      <c r="L341" s="12">
        <v>0.45833333333333331</v>
      </c>
      <c r="M341" t="s">
        <v>51</v>
      </c>
      <c r="N341" s="3">
        <v>78</v>
      </c>
      <c r="O341" t="s">
        <v>24</v>
      </c>
      <c r="P341" t="s">
        <v>25</v>
      </c>
      <c r="R341">
        <f>tblDailySchedule[[#This Row],[Capacity Approx]]*'[1]Load Factor Sheet June Acft  '!$B$5</f>
        <v>63.162272727272729</v>
      </c>
      <c r="S341">
        <f>tblDailySchedule[[#This Row],[Capacity Approx]]*'[1]Load Factor Sheet June Acft  '!$D$5</f>
        <v>68.391818181818181</v>
      </c>
      <c r="T341" s="22">
        <f>tblDailySchedule[[#This Row],[STD]]</f>
        <v>0.45833333333333331</v>
      </c>
    </row>
    <row r="342" spans="1:20" hidden="1" x14ac:dyDescent="0.35">
      <c r="A342" s="11">
        <v>46122</v>
      </c>
      <c r="B342" s="3">
        <v>5</v>
      </c>
      <c r="C342" t="s">
        <v>115</v>
      </c>
      <c r="D342" t="s">
        <v>18</v>
      </c>
      <c r="E342" s="3">
        <v>10</v>
      </c>
      <c r="F342" t="s">
        <v>19</v>
      </c>
      <c r="G342" t="s">
        <v>52</v>
      </c>
      <c r="H342" t="s">
        <v>27</v>
      </c>
      <c r="I342" s="12">
        <v>0.4826388888888889</v>
      </c>
      <c r="J342" t="s">
        <v>53</v>
      </c>
      <c r="K342" t="s">
        <v>27</v>
      </c>
      <c r="L342" s="12">
        <v>0.51041666666666663</v>
      </c>
      <c r="M342" t="s">
        <v>23</v>
      </c>
      <c r="N342" s="3">
        <v>186</v>
      </c>
      <c r="O342" t="s">
        <v>24</v>
      </c>
      <c r="P342" t="s">
        <v>25</v>
      </c>
      <c r="R342">
        <f>tblDailySchedule[[#This Row],[Capacity Approx]]*'[1]Load Factor Sheet June Acft  '!$B$5</f>
        <v>150.61772727272728</v>
      </c>
      <c r="S342">
        <f>tblDailySchedule[[#This Row],[Capacity Approx]]*'[1]Load Factor Sheet June Acft  '!$D$5</f>
        <v>163.08818181818182</v>
      </c>
      <c r="T342" s="22">
        <f>tblDailySchedule[[#This Row],[STD]]</f>
        <v>0.51041666666666663</v>
      </c>
    </row>
    <row r="343" spans="1:20" hidden="1" x14ac:dyDescent="0.35">
      <c r="A343" s="11">
        <v>46122</v>
      </c>
      <c r="B343" s="3">
        <v>5</v>
      </c>
      <c r="C343" t="s">
        <v>115</v>
      </c>
      <c r="D343" t="s">
        <v>18</v>
      </c>
      <c r="E343" s="3">
        <v>11</v>
      </c>
      <c r="F343" t="s">
        <v>19</v>
      </c>
      <c r="G343" t="s">
        <v>54</v>
      </c>
      <c r="H343" t="s">
        <v>31</v>
      </c>
      <c r="I343" s="12">
        <v>0.51388888888888884</v>
      </c>
      <c r="J343" t="s">
        <v>55</v>
      </c>
      <c r="K343" t="s">
        <v>31</v>
      </c>
      <c r="L343" s="12">
        <v>0.54166666666666663</v>
      </c>
      <c r="M343" t="s">
        <v>23</v>
      </c>
      <c r="N343" s="3">
        <v>186</v>
      </c>
      <c r="O343" t="s">
        <v>24</v>
      </c>
      <c r="P343" t="s">
        <v>56</v>
      </c>
      <c r="R343">
        <f>tblDailySchedule[[#This Row],[Capacity Approx]]*'[1]Load Factor Sheet June Acft  '!$B$5</f>
        <v>150.61772727272728</v>
      </c>
      <c r="S343">
        <f>tblDailySchedule[[#This Row],[Capacity Approx]]*'[1]Load Factor Sheet June Acft  '!$D$5</f>
        <v>163.08818181818182</v>
      </c>
      <c r="T343" s="22">
        <f>tblDailySchedule[[#This Row],[STD]]</f>
        <v>0.54166666666666663</v>
      </c>
    </row>
    <row r="344" spans="1:20" hidden="1" x14ac:dyDescent="0.35">
      <c r="A344" s="11">
        <v>46122</v>
      </c>
      <c r="B344" s="3">
        <v>5</v>
      </c>
      <c r="C344" t="s">
        <v>115</v>
      </c>
      <c r="D344" t="s">
        <v>18</v>
      </c>
      <c r="E344" s="3">
        <v>13</v>
      </c>
      <c r="F344" t="s">
        <v>19</v>
      </c>
      <c r="G344" t="s">
        <v>57</v>
      </c>
      <c r="H344" t="s">
        <v>58</v>
      </c>
      <c r="I344" s="12">
        <v>0.55902777777777779</v>
      </c>
      <c r="J344" t="s">
        <v>59</v>
      </c>
      <c r="K344" t="s">
        <v>58</v>
      </c>
      <c r="L344" s="12">
        <v>0.57638888888888884</v>
      </c>
      <c r="M344" t="s">
        <v>51</v>
      </c>
      <c r="N344" s="3">
        <v>78</v>
      </c>
      <c r="O344" t="s">
        <v>24</v>
      </c>
      <c r="P344" t="s">
        <v>56</v>
      </c>
      <c r="R344">
        <f>tblDailySchedule[[#This Row],[Capacity Approx]]*'[1]Load Factor Sheet June Acft  '!$B$5</f>
        <v>63.162272727272729</v>
      </c>
      <c r="S344">
        <f>tblDailySchedule[[#This Row],[Capacity Approx]]*'[1]Load Factor Sheet June Acft  '!$D$5</f>
        <v>68.391818181818181</v>
      </c>
      <c r="T344" s="22">
        <f>tblDailySchedule[[#This Row],[STD]]</f>
        <v>0.57638888888888884</v>
      </c>
    </row>
    <row r="345" spans="1:20" hidden="1" x14ac:dyDescent="0.35">
      <c r="A345" s="11">
        <v>46122</v>
      </c>
      <c r="B345" s="3">
        <v>5</v>
      </c>
      <c r="C345" t="s">
        <v>115</v>
      </c>
      <c r="D345" t="s">
        <v>18</v>
      </c>
      <c r="E345" s="3">
        <v>14</v>
      </c>
      <c r="F345" t="s">
        <v>19</v>
      </c>
      <c r="G345" t="s">
        <v>60</v>
      </c>
      <c r="H345" t="s">
        <v>61</v>
      </c>
      <c r="I345" s="12">
        <v>0.59027777777777779</v>
      </c>
      <c r="J345" t="s">
        <v>62</v>
      </c>
      <c r="K345" t="s">
        <v>61</v>
      </c>
      <c r="L345" s="12">
        <v>0.62152777777777779</v>
      </c>
      <c r="M345" t="s">
        <v>63</v>
      </c>
      <c r="N345" s="3">
        <v>232</v>
      </c>
      <c r="O345" t="s">
        <v>24</v>
      </c>
      <c r="P345" t="s">
        <v>56</v>
      </c>
      <c r="R345">
        <f>tblDailySchedule[[#This Row],[Capacity Approx]]*'[1]Load Factor Sheet June Acft  '!$B$5</f>
        <v>187.86727272727273</v>
      </c>
      <c r="S345">
        <f>tblDailySchedule[[#This Row],[Capacity Approx]]*'[1]Load Factor Sheet June Acft  '!$D$5</f>
        <v>203.4218181818182</v>
      </c>
      <c r="T345" s="22">
        <f>tblDailySchedule[[#This Row],[STD]]</f>
        <v>0.62152777777777779</v>
      </c>
    </row>
    <row r="346" spans="1:20" hidden="1" x14ac:dyDescent="0.35">
      <c r="A346" s="11">
        <v>46122</v>
      </c>
      <c r="B346" s="3">
        <v>5</v>
      </c>
      <c r="C346" t="s">
        <v>115</v>
      </c>
      <c r="D346" t="s">
        <v>18</v>
      </c>
      <c r="E346" s="3">
        <v>15</v>
      </c>
      <c r="F346" t="s">
        <v>19</v>
      </c>
      <c r="G346" t="s">
        <v>64</v>
      </c>
      <c r="H346" t="s">
        <v>31</v>
      </c>
      <c r="I346" s="12">
        <v>0.60069444444444442</v>
      </c>
      <c r="J346" t="s">
        <v>65</v>
      </c>
      <c r="K346" t="s">
        <v>66</v>
      </c>
      <c r="L346" s="12">
        <v>0.62847222222222221</v>
      </c>
      <c r="M346" t="s">
        <v>63</v>
      </c>
      <c r="N346" s="3">
        <v>232</v>
      </c>
      <c r="O346" t="s">
        <v>24</v>
      </c>
      <c r="P346" t="s">
        <v>56</v>
      </c>
      <c r="R346">
        <f>tblDailySchedule[[#This Row],[Capacity Approx]]*'[1]Load Factor Sheet June Acft  '!$B$5</f>
        <v>187.86727272727273</v>
      </c>
      <c r="S346">
        <f>tblDailySchedule[[#This Row],[Capacity Approx]]*'[1]Load Factor Sheet June Acft  '!$D$5</f>
        <v>203.4218181818182</v>
      </c>
      <c r="T346" s="22">
        <f>tblDailySchedule[[#This Row],[STD]]</f>
        <v>0.62847222222222221</v>
      </c>
    </row>
    <row r="347" spans="1:20" hidden="1" x14ac:dyDescent="0.35">
      <c r="A347" s="11">
        <v>46122</v>
      </c>
      <c r="B347" s="3">
        <v>5</v>
      </c>
      <c r="C347" t="s">
        <v>115</v>
      </c>
      <c r="D347" t="s">
        <v>18</v>
      </c>
      <c r="E347" s="3">
        <v>16</v>
      </c>
      <c r="F347" t="s">
        <v>19</v>
      </c>
      <c r="G347" t="s">
        <v>67</v>
      </c>
      <c r="H347" t="s">
        <v>31</v>
      </c>
      <c r="I347" s="12">
        <v>0.65625</v>
      </c>
      <c r="J347" t="s">
        <v>68</v>
      </c>
      <c r="K347" t="s">
        <v>31</v>
      </c>
      <c r="L347" s="12">
        <v>0.68402777777777779</v>
      </c>
      <c r="M347" t="s">
        <v>63</v>
      </c>
      <c r="N347" s="3">
        <v>232</v>
      </c>
      <c r="O347" t="s">
        <v>24</v>
      </c>
      <c r="P347" t="s">
        <v>56</v>
      </c>
      <c r="R347">
        <f>tblDailySchedule[[#This Row],[Capacity Approx]]*'[1]Load Factor Sheet June Acft  '!$B$5</f>
        <v>187.86727272727273</v>
      </c>
      <c r="S347">
        <f>tblDailySchedule[[#This Row],[Capacity Approx]]*'[1]Load Factor Sheet June Acft  '!$D$5</f>
        <v>203.4218181818182</v>
      </c>
      <c r="T347" s="22">
        <f>tblDailySchedule[[#This Row],[STD]]</f>
        <v>0.68402777777777779</v>
      </c>
    </row>
    <row r="348" spans="1:20" hidden="1" x14ac:dyDescent="0.35">
      <c r="A348" s="11">
        <v>46122</v>
      </c>
      <c r="B348" s="3">
        <v>5</v>
      </c>
      <c r="C348" t="s">
        <v>115</v>
      </c>
      <c r="D348" t="s">
        <v>18</v>
      </c>
      <c r="E348" s="3">
        <v>17</v>
      </c>
      <c r="F348" t="s">
        <v>19</v>
      </c>
      <c r="G348" t="s">
        <v>69</v>
      </c>
      <c r="H348" t="s">
        <v>31</v>
      </c>
      <c r="I348" s="12">
        <v>0.66319444444444442</v>
      </c>
      <c r="J348" t="s">
        <v>70</v>
      </c>
      <c r="K348" t="s">
        <v>31</v>
      </c>
      <c r="L348" s="12">
        <v>0.69097222222222221</v>
      </c>
      <c r="M348" t="s">
        <v>33</v>
      </c>
      <c r="N348" s="3">
        <v>189</v>
      </c>
      <c r="O348" t="s">
        <v>24</v>
      </c>
      <c r="P348" t="s">
        <v>56</v>
      </c>
      <c r="R348">
        <f>tblDailySchedule[[#This Row],[Capacity Approx]]*'[1]Load Factor Sheet June Acft  '!$B$5</f>
        <v>153.04704545454547</v>
      </c>
      <c r="S348">
        <f>tblDailySchedule[[#This Row],[Capacity Approx]]*'[1]Load Factor Sheet June Acft  '!$D$5</f>
        <v>165.71863636363636</v>
      </c>
      <c r="T348" s="22">
        <f>tblDailySchedule[[#This Row],[STD]]</f>
        <v>0.69097222222222221</v>
      </c>
    </row>
    <row r="349" spans="1:20" hidden="1" x14ac:dyDescent="0.35">
      <c r="A349" s="11">
        <v>46122</v>
      </c>
      <c r="B349" s="3">
        <v>5</v>
      </c>
      <c r="C349" t="s">
        <v>115</v>
      </c>
      <c r="D349" t="s">
        <v>18</v>
      </c>
      <c r="E349" s="3">
        <v>18</v>
      </c>
      <c r="F349" t="s">
        <v>19</v>
      </c>
      <c r="G349" t="s">
        <v>71</v>
      </c>
      <c r="H349" t="s">
        <v>21</v>
      </c>
      <c r="I349" s="12">
        <v>0.67013888888888884</v>
      </c>
      <c r="J349" t="s">
        <v>72</v>
      </c>
      <c r="K349" t="s">
        <v>21</v>
      </c>
      <c r="L349" s="12">
        <v>0.69791666666666663</v>
      </c>
      <c r="M349" t="s">
        <v>63</v>
      </c>
      <c r="N349" s="3">
        <v>232</v>
      </c>
      <c r="O349" t="s">
        <v>24</v>
      </c>
      <c r="P349" t="s">
        <v>56</v>
      </c>
      <c r="R349">
        <f>tblDailySchedule[[#This Row],[Capacity Approx]]*'[1]Load Factor Sheet June Acft  '!$B$5</f>
        <v>187.86727272727273</v>
      </c>
      <c r="S349">
        <f>tblDailySchedule[[#This Row],[Capacity Approx]]*'[1]Load Factor Sheet June Acft  '!$D$5</f>
        <v>203.4218181818182</v>
      </c>
      <c r="T349" s="22">
        <f>tblDailySchedule[[#This Row],[STD]]</f>
        <v>0.69791666666666663</v>
      </c>
    </row>
    <row r="350" spans="1:20" hidden="1" x14ac:dyDescent="0.35">
      <c r="A350" s="11">
        <v>46122</v>
      </c>
      <c r="B350" s="3">
        <v>5</v>
      </c>
      <c r="C350" t="s">
        <v>115</v>
      </c>
      <c r="D350" t="s">
        <v>18</v>
      </c>
      <c r="E350" s="3">
        <v>19</v>
      </c>
      <c r="F350" t="s">
        <v>19</v>
      </c>
      <c r="G350" t="s">
        <v>73</v>
      </c>
      <c r="H350" t="s">
        <v>27</v>
      </c>
      <c r="I350" s="12">
        <v>0.74652777777777779</v>
      </c>
      <c r="J350" t="s">
        <v>74</v>
      </c>
      <c r="K350" t="s">
        <v>27</v>
      </c>
      <c r="L350" s="12">
        <v>0.77430555555555558</v>
      </c>
      <c r="M350" t="s">
        <v>63</v>
      </c>
      <c r="N350" s="3">
        <v>232</v>
      </c>
      <c r="O350" t="s">
        <v>24</v>
      </c>
      <c r="P350" t="s">
        <v>56</v>
      </c>
      <c r="R350">
        <f>tblDailySchedule[[#This Row],[Capacity Approx]]*'[1]Load Factor Sheet June Acft  '!$B$5</f>
        <v>187.86727272727273</v>
      </c>
      <c r="S350">
        <f>tblDailySchedule[[#This Row],[Capacity Approx]]*'[1]Load Factor Sheet June Acft  '!$D$5</f>
        <v>203.4218181818182</v>
      </c>
      <c r="T350" s="22">
        <f>tblDailySchedule[[#This Row],[STD]]</f>
        <v>0.77430555555555558</v>
      </c>
    </row>
    <row r="351" spans="1:20" hidden="1" x14ac:dyDescent="0.35">
      <c r="A351" s="11">
        <v>46122</v>
      </c>
      <c r="B351" s="3">
        <v>5</v>
      </c>
      <c r="C351" t="s">
        <v>115</v>
      </c>
      <c r="D351" t="s">
        <v>18</v>
      </c>
      <c r="E351" s="3">
        <v>20</v>
      </c>
      <c r="F351" t="s">
        <v>34</v>
      </c>
      <c r="G351" t="s">
        <v>75</v>
      </c>
      <c r="H351" t="s">
        <v>76</v>
      </c>
      <c r="I351" s="12">
        <v>0.76388888888888884</v>
      </c>
      <c r="J351" t="s">
        <v>77</v>
      </c>
      <c r="K351" t="s">
        <v>78</v>
      </c>
      <c r="L351" s="12">
        <v>0.78472222222222221</v>
      </c>
      <c r="M351" t="s">
        <v>51</v>
      </c>
      <c r="N351" s="3">
        <v>78</v>
      </c>
      <c r="O351" t="s">
        <v>24</v>
      </c>
      <c r="P351" t="s">
        <v>79</v>
      </c>
      <c r="Q351" s="16" t="s">
        <v>80</v>
      </c>
      <c r="R351">
        <f>tblDailySchedule[[#This Row],[Capacity Approx]]*'[1]Load Factor Sheet June Acft  '!$B$5</f>
        <v>63.162272727272729</v>
      </c>
      <c r="S351">
        <f>tblDailySchedule[[#This Row],[Capacity Approx]]*'[1]Load Factor Sheet June Acft  '!$D$5</f>
        <v>68.391818181818181</v>
      </c>
      <c r="T351" s="22">
        <f>tblDailySchedule[[#This Row],[STD]]</f>
        <v>0.78472222222222221</v>
      </c>
    </row>
    <row r="352" spans="1:20" hidden="1" x14ac:dyDescent="0.35">
      <c r="A352" s="11">
        <v>46122</v>
      </c>
      <c r="B352" s="3">
        <v>5</v>
      </c>
      <c r="C352" t="s">
        <v>115</v>
      </c>
      <c r="D352" t="s">
        <v>18</v>
      </c>
      <c r="E352" s="3">
        <v>21</v>
      </c>
      <c r="F352" t="s">
        <v>19</v>
      </c>
      <c r="G352" t="s">
        <v>81</v>
      </c>
      <c r="H352" t="s">
        <v>61</v>
      </c>
      <c r="I352" s="12">
        <v>0.77083333333333337</v>
      </c>
      <c r="J352" t="s">
        <v>82</v>
      </c>
      <c r="K352" t="s">
        <v>49</v>
      </c>
      <c r="L352" s="12">
        <v>0.79166666666666663</v>
      </c>
      <c r="M352" t="s">
        <v>33</v>
      </c>
      <c r="N352" s="3">
        <v>189</v>
      </c>
      <c r="O352" t="s">
        <v>24</v>
      </c>
      <c r="P352" t="s">
        <v>79</v>
      </c>
      <c r="R352">
        <f>tblDailySchedule[[#This Row],[Capacity Approx]]*'[1]Load Factor Sheet June Acft  '!$B$5</f>
        <v>153.04704545454547</v>
      </c>
      <c r="S352">
        <f>tblDailySchedule[[#This Row],[Capacity Approx]]*'[1]Load Factor Sheet June Acft  '!$D$5</f>
        <v>165.71863636363636</v>
      </c>
      <c r="T352" s="22">
        <f>tblDailySchedule[[#This Row],[STD]]</f>
        <v>0.79166666666666663</v>
      </c>
    </row>
    <row r="353" spans="1:20" hidden="1" x14ac:dyDescent="0.35">
      <c r="A353" s="11">
        <v>46122</v>
      </c>
      <c r="B353" s="3">
        <v>5</v>
      </c>
      <c r="C353" t="s">
        <v>115</v>
      </c>
      <c r="D353" t="s">
        <v>18</v>
      </c>
      <c r="E353" s="3">
        <v>22</v>
      </c>
      <c r="F353" t="s">
        <v>19</v>
      </c>
      <c r="G353" t="s">
        <v>83</v>
      </c>
      <c r="H353" t="s">
        <v>31</v>
      </c>
      <c r="I353" s="12">
        <v>0.77777777777777779</v>
      </c>
      <c r="J353" t="s">
        <v>84</v>
      </c>
      <c r="K353" t="s">
        <v>31</v>
      </c>
      <c r="L353" s="12">
        <v>0.80555555555555558</v>
      </c>
      <c r="M353" t="s">
        <v>63</v>
      </c>
      <c r="N353" s="3">
        <v>232</v>
      </c>
      <c r="O353" t="s">
        <v>24</v>
      </c>
      <c r="P353" t="s">
        <v>79</v>
      </c>
      <c r="R353">
        <f>tblDailySchedule[[#This Row],[Capacity Approx]]*'[1]Load Factor Sheet June Acft  '!$B$5</f>
        <v>187.86727272727273</v>
      </c>
      <c r="S353">
        <f>tblDailySchedule[[#This Row],[Capacity Approx]]*'[1]Load Factor Sheet June Acft  '!$D$5</f>
        <v>203.4218181818182</v>
      </c>
      <c r="T353" s="22">
        <f>tblDailySchedule[[#This Row],[STD]]</f>
        <v>0.80555555555555558</v>
      </c>
    </row>
    <row r="354" spans="1:20" hidden="1" x14ac:dyDescent="0.35">
      <c r="A354" s="11">
        <v>46122</v>
      </c>
      <c r="B354" s="3">
        <v>5</v>
      </c>
      <c r="C354" t="s">
        <v>115</v>
      </c>
      <c r="D354" t="s">
        <v>18</v>
      </c>
      <c r="E354" s="3">
        <v>23</v>
      </c>
      <c r="F354" t="s">
        <v>19</v>
      </c>
      <c r="G354" t="s">
        <v>85</v>
      </c>
      <c r="H354" t="s">
        <v>86</v>
      </c>
      <c r="I354" s="12">
        <v>0.79861111111111116</v>
      </c>
      <c r="J354" t="s">
        <v>87</v>
      </c>
      <c r="K354" t="s">
        <v>86</v>
      </c>
      <c r="L354" s="12">
        <v>0.82638888888888884</v>
      </c>
      <c r="M354" t="s">
        <v>63</v>
      </c>
      <c r="N354" s="3">
        <v>232</v>
      </c>
      <c r="O354" t="s">
        <v>24</v>
      </c>
      <c r="P354" t="s">
        <v>79</v>
      </c>
      <c r="R354">
        <f>tblDailySchedule[[#This Row],[Capacity Approx]]*'[1]Load Factor Sheet June Acft  '!$B$5</f>
        <v>187.86727272727273</v>
      </c>
      <c r="S354">
        <f>tblDailySchedule[[#This Row],[Capacity Approx]]*'[1]Load Factor Sheet June Acft  '!$D$5</f>
        <v>203.4218181818182</v>
      </c>
      <c r="T354" s="22">
        <f>tblDailySchedule[[#This Row],[STD]]</f>
        <v>0.82638888888888884</v>
      </c>
    </row>
    <row r="355" spans="1:20" hidden="1" x14ac:dyDescent="0.35">
      <c r="A355" s="11">
        <v>46122</v>
      </c>
      <c r="B355" s="3">
        <v>5</v>
      </c>
      <c r="C355" t="s">
        <v>115</v>
      </c>
      <c r="D355" t="s">
        <v>18</v>
      </c>
      <c r="E355" s="3">
        <v>24</v>
      </c>
      <c r="F355" t="s">
        <v>19</v>
      </c>
      <c r="G355" t="s">
        <v>88</v>
      </c>
      <c r="H355" t="s">
        <v>89</v>
      </c>
      <c r="I355" s="12">
        <v>0.83333333333333337</v>
      </c>
      <c r="J355" t="s">
        <v>90</v>
      </c>
      <c r="K355" t="s">
        <v>31</v>
      </c>
      <c r="L355" s="12">
        <v>0.86111111111111116</v>
      </c>
      <c r="M355" t="s">
        <v>63</v>
      </c>
      <c r="N355" s="3">
        <v>232</v>
      </c>
      <c r="O355" t="s">
        <v>24</v>
      </c>
      <c r="P355" t="s">
        <v>79</v>
      </c>
      <c r="R355">
        <f>tblDailySchedule[[#This Row],[Capacity Approx]]*'[1]Load Factor Sheet June Acft  '!$B$5</f>
        <v>187.86727272727273</v>
      </c>
      <c r="S355">
        <f>tblDailySchedule[[#This Row],[Capacity Approx]]*'[1]Load Factor Sheet June Acft  '!$D$5</f>
        <v>203.4218181818182</v>
      </c>
      <c r="T355" s="22">
        <f>tblDailySchedule[[#This Row],[STD]]</f>
        <v>0.86111111111111116</v>
      </c>
    </row>
    <row r="356" spans="1:20" hidden="1" x14ac:dyDescent="0.35">
      <c r="A356" s="11">
        <v>46122</v>
      </c>
      <c r="B356" s="3">
        <v>5</v>
      </c>
      <c r="C356" t="s">
        <v>115</v>
      </c>
      <c r="D356" t="s">
        <v>18</v>
      </c>
      <c r="E356" s="3">
        <v>25</v>
      </c>
      <c r="F356" t="s">
        <v>19</v>
      </c>
      <c r="G356" t="s">
        <v>91</v>
      </c>
      <c r="H356" t="s">
        <v>61</v>
      </c>
      <c r="I356" s="12">
        <v>0.85416666666666663</v>
      </c>
      <c r="J356" t="s">
        <v>92</v>
      </c>
      <c r="K356" t="s">
        <v>61</v>
      </c>
      <c r="L356" s="12">
        <v>0.88194444444444442</v>
      </c>
      <c r="M356" t="s">
        <v>63</v>
      </c>
      <c r="N356" s="3">
        <v>232</v>
      </c>
      <c r="O356" t="s">
        <v>24</v>
      </c>
      <c r="P356" t="s">
        <v>79</v>
      </c>
      <c r="R356">
        <f>tblDailySchedule[[#This Row],[Capacity Approx]]*'[1]Load Factor Sheet June Acft  '!$B$5</f>
        <v>187.86727272727273</v>
      </c>
      <c r="S356">
        <f>tblDailySchedule[[#This Row],[Capacity Approx]]*'[1]Load Factor Sheet June Acft  '!$D$5</f>
        <v>203.4218181818182</v>
      </c>
      <c r="T356" s="22">
        <f>tblDailySchedule[[#This Row],[STD]]</f>
        <v>0.88194444444444442</v>
      </c>
    </row>
    <row r="357" spans="1:20" hidden="1" x14ac:dyDescent="0.35">
      <c r="A357" s="11">
        <v>46122</v>
      </c>
      <c r="B357" s="3">
        <v>5</v>
      </c>
      <c r="C357" t="s">
        <v>115</v>
      </c>
      <c r="D357" t="s">
        <v>18</v>
      </c>
      <c r="E357" s="3">
        <v>26</v>
      </c>
      <c r="F357" t="s">
        <v>19</v>
      </c>
      <c r="G357" t="s">
        <v>93</v>
      </c>
      <c r="H357" t="s">
        <v>31</v>
      </c>
      <c r="I357" s="12">
        <v>0.86111111111111116</v>
      </c>
      <c r="J357" t="s">
        <v>94</v>
      </c>
      <c r="K357" t="s">
        <v>31</v>
      </c>
      <c r="L357" s="12">
        <v>0.88888888888888884</v>
      </c>
      <c r="M357" t="s">
        <v>23</v>
      </c>
      <c r="N357" s="3">
        <v>186</v>
      </c>
      <c r="O357" t="s">
        <v>24</v>
      </c>
      <c r="P357" t="s">
        <v>79</v>
      </c>
      <c r="R357">
        <f>tblDailySchedule[[#This Row],[Capacity Approx]]*'[1]Load Factor Sheet June Acft  '!$B$5</f>
        <v>150.61772727272728</v>
      </c>
      <c r="S357">
        <f>tblDailySchedule[[#This Row],[Capacity Approx]]*'[1]Load Factor Sheet June Acft  '!$D$5</f>
        <v>163.08818181818182</v>
      </c>
      <c r="T357" s="22">
        <f>tblDailySchedule[[#This Row],[STD]]</f>
        <v>0.88888888888888884</v>
      </c>
    </row>
    <row r="358" spans="1:20" hidden="1" x14ac:dyDescent="0.35">
      <c r="A358" s="11">
        <v>46122</v>
      </c>
      <c r="B358" s="3">
        <v>5</v>
      </c>
      <c r="C358" t="s">
        <v>115</v>
      </c>
      <c r="D358" t="s">
        <v>18</v>
      </c>
      <c r="E358" s="3">
        <v>27</v>
      </c>
      <c r="F358" t="s">
        <v>19</v>
      </c>
      <c r="G358" t="s">
        <v>95</v>
      </c>
      <c r="H358" t="s">
        <v>21</v>
      </c>
      <c r="I358" s="12">
        <v>0.86805555555555558</v>
      </c>
      <c r="J358" t="s">
        <v>96</v>
      </c>
      <c r="K358" t="s">
        <v>21</v>
      </c>
      <c r="L358" s="12">
        <v>0.89583333333333337</v>
      </c>
      <c r="M358" t="s">
        <v>29</v>
      </c>
      <c r="N358" s="3">
        <v>186</v>
      </c>
      <c r="O358" t="s">
        <v>24</v>
      </c>
      <c r="P358" t="s">
        <v>79</v>
      </c>
      <c r="R358">
        <f>tblDailySchedule[[#This Row],[Capacity Approx]]*'[1]Load Factor Sheet June Acft  '!$B$5</f>
        <v>150.61772727272728</v>
      </c>
      <c r="S358">
        <f>tblDailySchedule[[#This Row],[Capacity Approx]]*'[1]Load Factor Sheet June Acft  '!$D$5</f>
        <v>163.08818181818182</v>
      </c>
      <c r="T358" s="22">
        <f>tblDailySchedule[[#This Row],[STD]]</f>
        <v>0.89583333333333337</v>
      </c>
    </row>
    <row r="359" spans="1:20" hidden="1" x14ac:dyDescent="0.35">
      <c r="A359" s="11">
        <v>46122</v>
      </c>
      <c r="B359" s="3">
        <v>5</v>
      </c>
      <c r="C359" t="s">
        <v>115</v>
      </c>
      <c r="D359" t="s">
        <v>18</v>
      </c>
      <c r="E359" s="3">
        <v>28</v>
      </c>
      <c r="F359" t="s">
        <v>19</v>
      </c>
      <c r="G359" t="s">
        <v>97</v>
      </c>
      <c r="H359" t="s">
        <v>49</v>
      </c>
      <c r="I359" s="12">
        <v>0.90277777777777779</v>
      </c>
      <c r="J359" t="s">
        <v>97</v>
      </c>
      <c r="K359" t="s">
        <v>61</v>
      </c>
      <c r="L359" s="12">
        <v>0.92361111111111116</v>
      </c>
      <c r="M359" t="s">
        <v>33</v>
      </c>
      <c r="N359" s="3">
        <v>189</v>
      </c>
      <c r="O359" t="s">
        <v>24</v>
      </c>
      <c r="P359" t="s">
        <v>79</v>
      </c>
      <c r="R359">
        <f>tblDailySchedule[[#This Row],[Capacity Approx]]*'[1]Load Factor Sheet June Acft  '!$B$5</f>
        <v>153.04704545454547</v>
      </c>
      <c r="S359">
        <f>tblDailySchedule[[#This Row],[Capacity Approx]]*'[1]Load Factor Sheet June Acft  '!$D$5</f>
        <v>165.71863636363636</v>
      </c>
      <c r="T359" s="22">
        <f>tblDailySchedule[[#This Row],[STD]]</f>
        <v>0.92361111111111116</v>
      </c>
    </row>
    <row r="360" spans="1:20" hidden="1" x14ac:dyDescent="0.35">
      <c r="A360" s="11">
        <v>46122</v>
      </c>
      <c r="B360" s="3">
        <v>5</v>
      </c>
      <c r="C360" t="s">
        <v>115</v>
      </c>
      <c r="D360" t="s">
        <v>18</v>
      </c>
      <c r="E360" s="3">
        <v>29</v>
      </c>
      <c r="F360" t="s">
        <v>19</v>
      </c>
      <c r="G360" t="s">
        <v>98</v>
      </c>
      <c r="H360" t="s">
        <v>21</v>
      </c>
      <c r="I360" s="12">
        <v>0.92013888888888884</v>
      </c>
      <c r="J360" t="s">
        <v>99</v>
      </c>
      <c r="K360" t="s">
        <v>21</v>
      </c>
      <c r="L360" s="12">
        <v>0.94791666666666663</v>
      </c>
      <c r="M360" t="s">
        <v>63</v>
      </c>
      <c r="N360" s="3">
        <v>232</v>
      </c>
      <c r="O360" t="s">
        <v>24</v>
      </c>
      <c r="P360" t="s">
        <v>79</v>
      </c>
      <c r="R360">
        <f>tblDailySchedule[[#This Row],[Capacity Approx]]*'[1]Load Factor Sheet June Acft  '!$B$5</f>
        <v>187.86727272727273</v>
      </c>
      <c r="S360">
        <f>tblDailySchedule[[#This Row],[Capacity Approx]]*'[1]Load Factor Sheet June Acft  '!$D$5</f>
        <v>203.4218181818182</v>
      </c>
      <c r="T360" s="22">
        <f>tblDailySchedule[[#This Row],[STD]]</f>
        <v>0.94791666666666663</v>
      </c>
    </row>
    <row r="361" spans="1:20" hidden="1" x14ac:dyDescent="0.35">
      <c r="A361" s="13">
        <v>46122</v>
      </c>
      <c r="B361" s="7">
        <v>5</v>
      </c>
      <c r="C361" s="14" t="s">
        <v>115</v>
      </c>
      <c r="D361" s="14" t="s">
        <v>18</v>
      </c>
      <c r="E361" s="7">
        <v>30</v>
      </c>
      <c r="F361" s="14" t="s">
        <v>104</v>
      </c>
      <c r="G361" s="14" t="s">
        <v>105</v>
      </c>
      <c r="H361" s="14" t="s">
        <v>106</v>
      </c>
      <c r="I361" s="15">
        <v>0.92708333333333337</v>
      </c>
      <c r="J361" s="14" t="s">
        <v>107</v>
      </c>
      <c r="K361" s="14" t="s">
        <v>106</v>
      </c>
      <c r="L361" s="15">
        <v>0.95833333333333337</v>
      </c>
      <c r="M361" s="14" t="s">
        <v>38</v>
      </c>
      <c r="N361" s="7">
        <v>186</v>
      </c>
      <c r="O361" s="14" t="s">
        <v>39</v>
      </c>
      <c r="P361" s="14" t="s">
        <v>79</v>
      </c>
      <c r="Q361" s="14" t="s">
        <v>39</v>
      </c>
      <c r="R361">
        <f>tblDailySchedule[[#This Row],[Capacity Approx]]*'[1]Load Factor Sheet June Acft  '!$B$5</f>
        <v>150.61772727272728</v>
      </c>
      <c r="S361">
        <f>tblDailySchedule[[#This Row],[Capacity Approx]]*'[1]Load Factor Sheet June Acft  '!$D$5</f>
        <v>163.08818181818182</v>
      </c>
      <c r="T361" s="22">
        <f>tblDailySchedule[[#This Row],[STD]]</f>
        <v>0.95833333333333337</v>
      </c>
    </row>
    <row r="362" spans="1:20" hidden="1" x14ac:dyDescent="0.35">
      <c r="A362" s="11">
        <v>46123</v>
      </c>
      <c r="B362" s="3">
        <v>6</v>
      </c>
      <c r="C362" t="s">
        <v>116</v>
      </c>
      <c r="D362" t="s">
        <v>18</v>
      </c>
      <c r="E362" s="3">
        <v>1</v>
      </c>
      <c r="F362" t="s">
        <v>101</v>
      </c>
      <c r="G362" t="s">
        <v>102</v>
      </c>
      <c r="H362" t="s">
        <v>61</v>
      </c>
      <c r="I362" s="12">
        <v>0.3125</v>
      </c>
      <c r="J362" t="s">
        <v>103</v>
      </c>
      <c r="K362" t="s">
        <v>61</v>
      </c>
      <c r="L362" s="12">
        <v>0.33333333333333331</v>
      </c>
      <c r="M362" t="s">
        <v>33</v>
      </c>
      <c r="N362" s="3">
        <v>189</v>
      </c>
      <c r="O362" t="s">
        <v>24</v>
      </c>
      <c r="P362" t="s">
        <v>25</v>
      </c>
      <c r="R362">
        <f>tblDailySchedule[[#This Row],[Capacity Approx]]*'[1]Load Factor Sheet June Acft  '!$B$5</f>
        <v>153.04704545454547</v>
      </c>
      <c r="S362">
        <f>tblDailySchedule[[#This Row],[Capacity Approx]]*'[1]Load Factor Sheet June Acft  '!$D$5</f>
        <v>165.71863636363636</v>
      </c>
      <c r="T362" s="22">
        <f>tblDailySchedule[[#This Row],[STD]]</f>
        <v>0.33333333333333331</v>
      </c>
    </row>
    <row r="363" spans="1:20" hidden="1" x14ac:dyDescent="0.35">
      <c r="A363" s="11">
        <v>46123</v>
      </c>
      <c r="B363" s="3">
        <v>6</v>
      </c>
      <c r="C363" t="s">
        <v>116</v>
      </c>
      <c r="D363" t="s">
        <v>18</v>
      </c>
      <c r="E363" s="3">
        <v>2</v>
      </c>
      <c r="F363" t="s">
        <v>19</v>
      </c>
      <c r="G363" t="s">
        <v>20</v>
      </c>
      <c r="H363" t="s">
        <v>21</v>
      </c>
      <c r="I363" s="12">
        <v>0.31944444444444442</v>
      </c>
      <c r="J363" t="s">
        <v>22</v>
      </c>
      <c r="K363" t="s">
        <v>21</v>
      </c>
      <c r="L363" s="12">
        <v>0.34722222222222221</v>
      </c>
      <c r="M363" t="s">
        <v>23</v>
      </c>
      <c r="N363" s="3">
        <v>186</v>
      </c>
      <c r="O363" t="s">
        <v>24</v>
      </c>
      <c r="P363" t="s">
        <v>25</v>
      </c>
      <c r="R363">
        <f>tblDailySchedule[[#This Row],[Capacity Approx]]*'[1]Load Factor Sheet June Acft  '!$B$5</f>
        <v>150.61772727272728</v>
      </c>
      <c r="S363">
        <f>tblDailySchedule[[#This Row],[Capacity Approx]]*'[1]Load Factor Sheet June Acft  '!$D$5</f>
        <v>163.08818181818182</v>
      </c>
      <c r="T363" s="22">
        <f>tblDailySchedule[[#This Row],[STD]]</f>
        <v>0.34722222222222221</v>
      </c>
    </row>
    <row r="364" spans="1:20" hidden="1" x14ac:dyDescent="0.35">
      <c r="A364" s="11">
        <v>46123</v>
      </c>
      <c r="B364" s="3">
        <v>6</v>
      </c>
      <c r="C364" t="s">
        <v>116</v>
      </c>
      <c r="D364" t="s">
        <v>18</v>
      </c>
      <c r="E364" s="3">
        <v>3</v>
      </c>
      <c r="F364" t="s">
        <v>19</v>
      </c>
      <c r="G364" t="s">
        <v>26</v>
      </c>
      <c r="H364" t="s">
        <v>27</v>
      </c>
      <c r="I364" s="12">
        <v>0.3263888888888889</v>
      </c>
      <c r="J364" t="s">
        <v>28</v>
      </c>
      <c r="K364" t="s">
        <v>27</v>
      </c>
      <c r="L364" s="12">
        <v>0.35416666666666669</v>
      </c>
      <c r="M364" t="s">
        <v>29</v>
      </c>
      <c r="N364" s="3">
        <v>186</v>
      </c>
      <c r="O364" t="s">
        <v>24</v>
      </c>
      <c r="P364" t="s">
        <v>25</v>
      </c>
      <c r="R364">
        <f>tblDailySchedule[[#This Row],[Capacity Approx]]*'[1]Load Factor Sheet June Acft  '!$B$5</f>
        <v>150.61772727272728</v>
      </c>
      <c r="S364">
        <f>tblDailySchedule[[#This Row],[Capacity Approx]]*'[1]Load Factor Sheet June Acft  '!$D$5</f>
        <v>163.08818181818182</v>
      </c>
      <c r="T364" s="22">
        <f>tblDailySchedule[[#This Row],[STD]]</f>
        <v>0.35416666666666669</v>
      </c>
    </row>
    <row r="365" spans="1:20" hidden="1" x14ac:dyDescent="0.35">
      <c r="A365" s="11">
        <v>46123</v>
      </c>
      <c r="B365" s="3">
        <v>6</v>
      </c>
      <c r="C365" t="s">
        <v>116</v>
      </c>
      <c r="D365" t="s">
        <v>18</v>
      </c>
      <c r="E365" s="3">
        <v>4</v>
      </c>
      <c r="F365" t="s">
        <v>19</v>
      </c>
      <c r="G365" t="s">
        <v>30</v>
      </c>
      <c r="H365" t="s">
        <v>31</v>
      </c>
      <c r="I365" s="12">
        <v>0.34722222222222221</v>
      </c>
      <c r="J365" t="s">
        <v>32</v>
      </c>
      <c r="K365" t="s">
        <v>31</v>
      </c>
      <c r="L365" s="12">
        <v>0.36805555555555558</v>
      </c>
      <c r="M365" t="s">
        <v>33</v>
      </c>
      <c r="N365" s="3">
        <v>189</v>
      </c>
      <c r="O365" t="s">
        <v>24</v>
      </c>
      <c r="P365" t="s">
        <v>25</v>
      </c>
      <c r="R365">
        <f>tblDailySchedule[[#This Row],[Capacity Approx]]*'[1]Load Factor Sheet June Acft  '!$B$5</f>
        <v>153.04704545454547</v>
      </c>
      <c r="S365">
        <f>tblDailySchedule[[#This Row],[Capacity Approx]]*'[1]Load Factor Sheet June Acft  '!$D$5</f>
        <v>165.71863636363636</v>
      </c>
      <c r="T365" s="22">
        <f>tblDailySchedule[[#This Row],[STD]]</f>
        <v>0.36805555555555558</v>
      </c>
    </row>
    <row r="366" spans="1:20" hidden="1" x14ac:dyDescent="0.35">
      <c r="A366" s="11">
        <v>46123</v>
      </c>
      <c r="B366" s="3">
        <v>6</v>
      </c>
      <c r="C366" t="s">
        <v>116</v>
      </c>
      <c r="D366" t="s">
        <v>18</v>
      </c>
      <c r="E366" s="3">
        <v>5</v>
      </c>
      <c r="F366" t="s">
        <v>19</v>
      </c>
      <c r="G366" t="s">
        <v>40</v>
      </c>
      <c r="H366" t="s">
        <v>31</v>
      </c>
      <c r="I366" s="12">
        <v>0.35069444444444442</v>
      </c>
      <c r="J366" t="s">
        <v>41</v>
      </c>
      <c r="K366" t="s">
        <v>31</v>
      </c>
      <c r="L366" s="12">
        <v>0.37152777777777779</v>
      </c>
      <c r="M366" t="s">
        <v>23</v>
      </c>
      <c r="N366" s="3">
        <v>186</v>
      </c>
      <c r="O366" t="s">
        <v>24</v>
      </c>
      <c r="P366" t="s">
        <v>25</v>
      </c>
      <c r="R366">
        <f>tblDailySchedule[[#This Row],[Capacity Approx]]*'[1]Load Factor Sheet June Acft  '!$B$5</f>
        <v>150.61772727272728</v>
      </c>
      <c r="S366">
        <f>tblDailySchedule[[#This Row],[Capacity Approx]]*'[1]Load Factor Sheet June Acft  '!$D$5</f>
        <v>163.08818181818182</v>
      </c>
      <c r="T366" s="22">
        <f>tblDailySchedule[[#This Row],[STD]]</f>
        <v>0.37152777777777779</v>
      </c>
    </row>
    <row r="367" spans="1:20" hidden="1" x14ac:dyDescent="0.35">
      <c r="A367" s="11">
        <v>46123</v>
      </c>
      <c r="B367" s="3">
        <v>6</v>
      </c>
      <c r="C367" t="s">
        <v>116</v>
      </c>
      <c r="D367" t="s">
        <v>18</v>
      </c>
      <c r="E367" s="3">
        <v>7</v>
      </c>
      <c r="F367" t="s">
        <v>19</v>
      </c>
      <c r="G367" t="s">
        <v>42</v>
      </c>
      <c r="H367" t="s">
        <v>43</v>
      </c>
      <c r="I367" s="12">
        <v>0.3923611111111111</v>
      </c>
      <c r="J367" t="s">
        <v>44</v>
      </c>
      <c r="K367" t="s">
        <v>43</v>
      </c>
      <c r="L367" s="12">
        <v>0.40277777777777779</v>
      </c>
      <c r="M367" t="s">
        <v>45</v>
      </c>
      <c r="N367" s="3">
        <v>9</v>
      </c>
      <c r="O367" t="s">
        <v>24</v>
      </c>
      <c r="P367" t="s">
        <v>25</v>
      </c>
      <c r="R367">
        <f>tblDailySchedule[[#This Row],[Capacity Approx]]*'[1]Load Factor Sheet June Acft  '!$B$5</f>
        <v>7.2879545454545456</v>
      </c>
      <c r="S367">
        <f>tblDailySchedule[[#This Row],[Capacity Approx]]*'[1]Load Factor Sheet June Acft  '!$D$5</f>
        <v>7.8913636363636366</v>
      </c>
      <c r="T367" s="22">
        <f>tblDailySchedule[[#This Row],[STD]]</f>
        <v>0.40277777777777779</v>
      </c>
    </row>
    <row r="368" spans="1:20" hidden="1" x14ac:dyDescent="0.35">
      <c r="A368" s="11">
        <v>46123</v>
      </c>
      <c r="B368" s="3">
        <v>6</v>
      </c>
      <c r="C368" t="s">
        <v>116</v>
      </c>
      <c r="D368" t="s">
        <v>18</v>
      </c>
      <c r="E368" s="3">
        <v>8</v>
      </c>
      <c r="F368" t="s">
        <v>19</v>
      </c>
      <c r="G368" t="s">
        <v>46</v>
      </c>
      <c r="H368" t="s">
        <v>31</v>
      </c>
      <c r="I368" s="12">
        <v>0.4201388888888889</v>
      </c>
      <c r="J368" t="s">
        <v>47</v>
      </c>
      <c r="K368" t="s">
        <v>31</v>
      </c>
      <c r="L368" s="12">
        <v>0.44444444444444442</v>
      </c>
      <c r="M368" t="s">
        <v>29</v>
      </c>
      <c r="N368" s="3">
        <v>186</v>
      </c>
      <c r="O368" t="s">
        <v>24</v>
      </c>
      <c r="P368" t="s">
        <v>25</v>
      </c>
      <c r="R368">
        <f>tblDailySchedule[[#This Row],[Capacity Approx]]*'[1]Load Factor Sheet June Acft  '!$B$5</f>
        <v>150.61772727272728</v>
      </c>
      <c r="S368">
        <f>tblDailySchedule[[#This Row],[Capacity Approx]]*'[1]Load Factor Sheet June Acft  '!$D$5</f>
        <v>163.08818181818182</v>
      </c>
      <c r="T368" s="22">
        <f>tblDailySchedule[[#This Row],[STD]]</f>
        <v>0.44444444444444442</v>
      </c>
    </row>
    <row r="369" spans="1:20" hidden="1" x14ac:dyDescent="0.35">
      <c r="A369" s="11">
        <v>46123</v>
      </c>
      <c r="B369" s="3">
        <v>6</v>
      </c>
      <c r="C369" t="s">
        <v>116</v>
      </c>
      <c r="D369" t="s">
        <v>18</v>
      </c>
      <c r="E369" s="3">
        <v>9</v>
      </c>
      <c r="F369" t="s">
        <v>19</v>
      </c>
      <c r="G369" t="s">
        <v>48</v>
      </c>
      <c r="H369" t="s">
        <v>49</v>
      </c>
      <c r="I369" s="12">
        <v>0.4375</v>
      </c>
      <c r="J369" t="s">
        <v>50</v>
      </c>
      <c r="K369" t="s">
        <v>49</v>
      </c>
      <c r="L369" s="12">
        <v>0.45833333333333331</v>
      </c>
      <c r="M369" t="s">
        <v>51</v>
      </c>
      <c r="N369" s="3">
        <v>78</v>
      </c>
      <c r="O369" t="s">
        <v>24</v>
      </c>
      <c r="P369" t="s">
        <v>25</v>
      </c>
      <c r="R369">
        <f>tblDailySchedule[[#This Row],[Capacity Approx]]*'[1]Load Factor Sheet June Acft  '!$B$5</f>
        <v>63.162272727272729</v>
      </c>
      <c r="S369">
        <f>tblDailySchedule[[#This Row],[Capacity Approx]]*'[1]Load Factor Sheet June Acft  '!$D$5</f>
        <v>68.391818181818181</v>
      </c>
      <c r="T369" s="22">
        <f>tblDailySchedule[[#This Row],[STD]]</f>
        <v>0.45833333333333331</v>
      </c>
    </row>
    <row r="370" spans="1:20" hidden="1" x14ac:dyDescent="0.35">
      <c r="A370" s="11">
        <v>46123</v>
      </c>
      <c r="B370" s="3">
        <v>6</v>
      </c>
      <c r="C370" t="s">
        <v>116</v>
      </c>
      <c r="D370" t="s">
        <v>18</v>
      </c>
      <c r="E370" s="3">
        <v>10</v>
      </c>
      <c r="F370" t="s">
        <v>19</v>
      </c>
      <c r="G370" t="s">
        <v>52</v>
      </c>
      <c r="H370" t="s">
        <v>27</v>
      </c>
      <c r="I370" s="12">
        <v>0.4826388888888889</v>
      </c>
      <c r="J370" t="s">
        <v>53</v>
      </c>
      <c r="K370" t="s">
        <v>27</v>
      </c>
      <c r="L370" s="12">
        <v>0.51041666666666663</v>
      </c>
      <c r="M370" t="s">
        <v>23</v>
      </c>
      <c r="N370" s="3">
        <v>186</v>
      </c>
      <c r="O370" t="s">
        <v>24</v>
      </c>
      <c r="P370" t="s">
        <v>25</v>
      </c>
      <c r="R370">
        <f>tblDailySchedule[[#This Row],[Capacity Approx]]*'[1]Load Factor Sheet June Acft  '!$B$5</f>
        <v>150.61772727272728</v>
      </c>
      <c r="S370">
        <f>tblDailySchedule[[#This Row],[Capacity Approx]]*'[1]Load Factor Sheet June Acft  '!$D$5</f>
        <v>163.08818181818182</v>
      </c>
      <c r="T370" s="22">
        <f>tblDailySchedule[[#This Row],[STD]]</f>
        <v>0.51041666666666663</v>
      </c>
    </row>
    <row r="371" spans="1:20" hidden="1" x14ac:dyDescent="0.35">
      <c r="A371" s="11">
        <v>46123</v>
      </c>
      <c r="B371" s="3">
        <v>6</v>
      </c>
      <c r="C371" t="s">
        <v>116</v>
      </c>
      <c r="D371" t="s">
        <v>18</v>
      </c>
      <c r="E371" s="3">
        <v>11</v>
      </c>
      <c r="F371" t="s">
        <v>19</v>
      </c>
      <c r="G371" t="s">
        <v>54</v>
      </c>
      <c r="H371" t="s">
        <v>31</v>
      </c>
      <c r="I371" s="12">
        <v>0.51388888888888884</v>
      </c>
      <c r="J371" t="s">
        <v>55</v>
      </c>
      <c r="K371" t="s">
        <v>31</v>
      </c>
      <c r="L371" s="12">
        <v>0.54166666666666663</v>
      </c>
      <c r="M371" t="s">
        <v>23</v>
      </c>
      <c r="N371" s="3">
        <v>186</v>
      </c>
      <c r="O371" t="s">
        <v>24</v>
      </c>
      <c r="P371" t="s">
        <v>56</v>
      </c>
      <c r="R371">
        <f>tblDailySchedule[[#This Row],[Capacity Approx]]*'[1]Load Factor Sheet June Acft  '!$B$5</f>
        <v>150.61772727272728</v>
      </c>
      <c r="S371">
        <f>tblDailySchedule[[#This Row],[Capacity Approx]]*'[1]Load Factor Sheet June Acft  '!$D$5</f>
        <v>163.08818181818182</v>
      </c>
      <c r="T371" s="22">
        <f>tblDailySchedule[[#This Row],[STD]]</f>
        <v>0.54166666666666663</v>
      </c>
    </row>
    <row r="372" spans="1:20" hidden="1" x14ac:dyDescent="0.35">
      <c r="A372" s="11">
        <v>46123</v>
      </c>
      <c r="B372" s="3">
        <v>6</v>
      </c>
      <c r="C372" t="s">
        <v>116</v>
      </c>
      <c r="D372" t="s">
        <v>18</v>
      </c>
      <c r="E372" s="3">
        <v>12</v>
      </c>
      <c r="F372" t="s">
        <v>109</v>
      </c>
      <c r="G372" t="s">
        <v>110</v>
      </c>
      <c r="H372" t="s">
        <v>111</v>
      </c>
      <c r="I372" s="12">
        <v>0.55555555555555558</v>
      </c>
      <c r="J372" t="s">
        <v>112</v>
      </c>
      <c r="K372" t="s">
        <v>111</v>
      </c>
      <c r="L372" s="12">
        <v>0.56944444444444442</v>
      </c>
      <c r="M372" t="s">
        <v>51</v>
      </c>
      <c r="N372" s="3">
        <v>78</v>
      </c>
      <c r="O372" t="s">
        <v>24</v>
      </c>
      <c r="P372" t="s">
        <v>56</v>
      </c>
      <c r="R372">
        <f>tblDailySchedule[[#This Row],[Capacity Approx]]*'[1]Load Factor Sheet June Acft  '!$B$5</f>
        <v>63.162272727272729</v>
      </c>
      <c r="S372">
        <f>tblDailySchedule[[#This Row],[Capacity Approx]]*'[1]Load Factor Sheet June Acft  '!$D$5</f>
        <v>68.391818181818181</v>
      </c>
      <c r="T372" s="22">
        <f>tblDailySchedule[[#This Row],[STD]]</f>
        <v>0.56944444444444442</v>
      </c>
    </row>
    <row r="373" spans="1:20" hidden="1" x14ac:dyDescent="0.35">
      <c r="A373" s="11">
        <v>46123</v>
      </c>
      <c r="B373" s="3">
        <v>6</v>
      </c>
      <c r="C373" t="s">
        <v>116</v>
      </c>
      <c r="D373" t="s">
        <v>18</v>
      </c>
      <c r="E373" s="3">
        <v>13</v>
      </c>
      <c r="F373" t="s">
        <v>19</v>
      </c>
      <c r="G373" t="s">
        <v>57</v>
      </c>
      <c r="H373" t="s">
        <v>58</v>
      </c>
      <c r="I373" s="12">
        <v>0.55902777777777779</v>
      </c>
      <c r="J373" t="s">
        <v>59</v>
      </c>
      <c r="K373" t="s">
        <v>58</v>
      </c>
      <c r="L373" s="12">
        <v>0.57638888888888884</v>
      </c>
      <c r="M373" t="s">
        <v>51</v>
      </c>
      <c r="N373" s="3">
        <v>78</v>
      </c>
      <c r="O373" t="s">
        <v>24</v>
      </c>
      <c r="P373" t="s">
        <v>56</v>
      </c>
      <c r="R373">
        <f>tblDailySchedule[[#This Row],[Capacity Approx]]*'[1]Load Factor Sheet June Acft  '!$B$5</f>
        <v>63.162272727272729</v>
      </c>
      <c r="S373">
        <f>tblDailySchedule[[#This Row],[Capacity Approx]]*'[1]Load Factor Sheet June Acft  '!$D$5</f>
        <v>68.391818181818181</v>
      </c>
      <c r="T373" s="22">
        <f>tblDailySchedule[[#This Row],[STD]]</f>
        <v>0.57638888888888884</v>
      </c>
    </row>
    <row r="374" spans="1:20" hidden="1" x14ac:dyDescent="0.35">
      <c r="A374" s="11">
        <v>46123</v>
      </c>
      <c r="B374" s="3">
        <v>6</v>
      </c>
      <c r="C374" t="s">
        <v>116</v>
      </c>
      <c r="D374" t="s">
        <v>18</v>
      </c>
      <c r="E374" s="3">
        <v>14</v>
      </c>
      <c r="F374" t="s">
        <v>19</v>
      </c>
      <c r="G374" t="s">
        <v>60</v>
      </c>
      <c r="H374" t="s">
        <v>61</v>
      </c>
      <c r="I374" s="12">
        <v>0.59027777777777779</v>
      </c>
      <c r="J374" t="s">
        <v>62</v>
      </c>
      <c r="K374" t="s">
        <v>61</v>
      </c>
      <c r="L374" s="12">
        <v>0.62152777777777779</v>
      </c>
      <c r="M374" t="s">
        <v>63</v>
      </c>
      <c r="N374" s="3">
        <v>232</v>
      </c>
      <c r="O374" t="s">
        <v>24</v>
      </c>
      <c r="P374" t="s">
        <v>56</v>
      </c>
      <c r="R374">
        <f>tblDailySchedule[[#This Row],[Capacity Approx]]*'[1]Load Factor Sheet June Acft  '!$B$5</f>
        <v>187.86727272727273</v>
      </c>
      <c r="S374">
        <f>tblDailySchedule[[#This Row],[Capacity Approx]]*'[1]Load Factor Sheet June Acft  '!$D$5</f>
        <v>203.4218181818182</v>
      </c>
      <c r="T374" s="22">
        <f>tblDailySchedule[[#This Row],[STD]]</f>
        <v>0.62152777777777779</v>
      </c>
    </row>
    <row r="375" spans="1:20" hidden="1" x14ac:dyDescent="0.35">
      <c r="A375" s="11">
        <v>46123</v>
      </c>
      <c r="B375" s="3">
        <v>6</v>
      </c>
      <c r="C375" t="s">
        <v>116</v>
      </c>
      <c r="D375" t="s">
        <v>18</v>
      </c>
      <c r="E375" s="3">
        <v>15</v>
      </c>
      <c r="F375" t="s">
        <v>19</v>
      </c>
      <c r="G375" t="s">
        <v>64</v>
      </c>
      <c r="H375" t="s">
        <v>31</v>
      </c>
      <c r="I375" s="12">
        <v>0.60069444444444442</v>
      </c>
      <c r="J375" t="s">
        <v>65</v>
      </c>
      <c r="K375" t="s">
        <v>66</v>
      </c>
      <c r="L375" s="12">
        <v>0.62847222222222221</v>
      </c>
      <c r="M375" t="s">
        <v>63</v>
      </c>
      <c r="N375" s="3">
        <v>232</v>
      </c>
      <c r="O375" t="s">
        <v>24</v>
      </c>
      <c r="P375" t="s">
        <v>56</v>
      </c>
      <c r="R375">
        <f>tblDailySchedule[[#This Row],[Capacity Approx]]*'[1]Load Factor Sheet June Acft  '!$B$5</f>
        <v>187.86727272727273</v>
      </c>
      <c r="S375">
        <f>tblDailySchedule[[#This Row],[Capacity Approx]]*'[1]Load Factor Sheet June Acft  '!$D$5</f>
        <v>203.4218181818182</v>
      </c>
      <c r="T375" s="22">
        <f>tblDailySchedule[[#This Row],[STD]]</f>
        <v>0.62847222222222221</v>
      </c>
    </row>
    <row r="376" spans="1:20" hidden="1" x14ac:dyDescent="0.35">
      <c r="A376" s="11">
        <v>46123</v>
      </c>
      <c r="B376" s="3">
        <v>6</v>
      </c>
      <c r="C376" t="s">
        <v>116</v>
      </c>
      <c r="D376" t="s">
        <v>18</v>
      </c>
      <c r="E376" s="3">
        <v>16</v>
      </c>
      <c r="F376" t="s">
        <v>19</v>
      </c>
      <c r="G376" t="s">
        <v>67</v>
      </c>
      <c r="H376" t="s">
        <v>31</v>
      </c>
      <c r="I376" s="12">
        <v>0.65625</v>
      </c>
      <c r="J376" t="s">
        <v>68</v>
      </c>
      <c r="K376" t="s">
        <v>31</v>
      </c>
      <c r="L376" s="12">
        <v>0.68402777777777779</v>
      </c>
      <c r="M376" t="s">
        <v>63</v>
      </c>
      <c r="N376" s="3">
        <v>232</v>
      </c>
      <c r="O376" t="s">
        <v>24</v>
      </c>
      <c r="P376" t="s">
        <v>56</v>
      </c>
      <c r="R376">
        <f>tblDailySchedule[[#This Row],[Capacity Approx]]*'[1]Load Factor Sheet June Acft  '!$B$5</f>
        <v>187.86727272727273</v>
      </c>
      <c r="S376">
        <f>tblDailySchedule[[#This Row],[Capacity Approx]]*'[1]Load Factor Sheet June Acft  '!$D$5</f>
        <v>203.4218181818182</v>
      </c>
      <c r="T376" s="22">
        <f>tblDailySchedule[[#This Row],[STD]]</f>
        <v>0.68402777777777779</v>
      </c>
    </row>
    <row r="377" spans="1:20" hidden="1" x14ac:dyDescent="0.35">
      <c r="A377" s="11">
        <v>46123</v>
      </c>
      <c r="B377" s="3">
        <v>6</v>
      </c>
      <c r="C377" t="s">
        <v>116</v>
      </c>
      <c r="D377" t="s">
        <v>18</v>
      </c>
      <c r="E377" s="3">
        <v>17</v>
      </c>
      <c r="F377" t="s">
        <v>19</v>
      </c>
      <c r="G377" t="s">
        <v>69</v>
      </c>
      <c r="H377" t="s">
        <v>31</v>
      </c>
      <c r="I377" s="12">
        <v>0.66319444444444442</v>
      </c>
      <c r="J377" t="s">
        <v>70</v>
      </c>
      <c r="K377" t="s">
        <v>31</v>
      </c>
      <c r="L377" s="12">
        <v>0.69097222222222221</v>
      </c>
      <c r="M377" t="s">
        <v>33</v>
      </c>
      <c r="N377" s="3">
        <v>189</v>
      </c>
      <c r="O377" t="s">
        <v>24</v>
      </c>
      <c r="P377" t="s">
        <v>56</v>
      </c>
      <c r="R377">
        <f>tblDailySchedule[[#This Row],[Capacity Approx]]*'[1]Load Factor Sheet June Acft  '!$B$5</f>
        <v>153.04704545454547</v>
      </c>
      <c r="S377">
        <f>tblDailySchedule[[#This Row],[Capacity Approx]]*'[1]Load Factor Sheet June Acft  '!$D$5</f>
        <v>165.71863636363636</v>
      </c>
      <c r="T377" s="22">
        <f>tblDailySchedule[[#This Row],[STD]]</f>
        <v>0.69097222222222221</v>
      </c>
    </row>
    <row r="378" spans="1:20" hidden="1" x14ac:dyDescent="0.35">
      <c r="A378" s="11">
        <v>46123</v>
      </c>
      <c r="B378" s="3">
        <v>6</v>
      </c>
      <c r="C378" t="s">
        <v>116</v>
      </c>
      <c r="D378" t="s">
        <v>18</v>
      </c>
      <c r="E378" s="3">
        <v>18</v>
      </c>
      <c r="F378" t="s">
        <v>19</v>
      </c>
      <c r="G378" t="s">
        <v>71</v>
      </c>
      <c r="H378" t="s">
        <v>21</v>
      </c>
      <c r="I378" s="12">
        <v>0.67013888888888884</v>
      </c>
      <c r="J378" t="s">
        <v>72</v>
      </c>
      <c r="K378" t="s">
        <v>21</v>
      </c>
      <c r="L378" s="12">
        <v>0.69791666666666663</v>
      </c>
      <c r="M378" t="s">
        <v>63</v>
      </c>
      <c r="N378" s="3">
        <v>232</v>
      </c>
      <c r="O378" t="s">
        <v>24</v>
      </c>
      <c r="P378" t="s">
        <v>56</v>
      </c>
      <c r="R378">
        <f>tblDailySchedule[[#This Row],[Capacity Approx]]*'[1]Load Factor Sheet June Acft  '!$B$5</f>
        <v>187.86727272727273</v>
      </c>
      <c r="S378">
        <f>tblDailySchedule[[#This Row],[Capacity Approx]]*'[1]Load Factor Sheet June Acft  '!$D$5</f>
        <v>203.4218181818182</v>
      </c>
      <c r="T378" s="22">
        <f>tblDailySchedule[[#This Row],[STD]]</f>
        <v>0.69791666666666663</v>
      </c>
    </row>
    <row r="379" spans="1:20" hidden="1" x14ac:dyDescent="0.35">
      <c r="A379" s="11">
        <v>46123</v>
      </c>
      <c r="B379" s="3">
        <v>6</v>
      </c>
      <c r="C379" t="s">
        <v>116</v>
      </c>
      <c r="D379" t="s">
        <v>18</v>
      </c>
      <c r="E379" s="3">
        <v>19</v>
      </c>
      <c r="F379" t="s">
        <v>19</v>
      </c>
      <c r="G379" t="s">
        <v>73</v>
      </c>
      <c r="H379" t="s">
        <v>27</v>
      </c>
      <c r="I379" s="12">
        <v>0.74652777777777779</v>
      </c>
      <c r="J379" t="s">
        <v>74</v>
      </c>
      <c r="K379" t="s">
        <v>27</v>
      </c>
      <c r="L379" s="12">
        <v>0.77430555555555558</v>
      </c>
      <c r="M379" t="s">
        <v>63</v>
      </c>
      <c r="N379" s="3">
        <v>232</v>
      </c>
      <c r="O379" t="s">
        <v>24</v>
      </c>
      <c r="P379" t="s">
        <v>56</v>
      </c>
      <c r="R379">
        <f>tblDailySchedule[[#This Row],[Capacity Approx]]*'[1]Load Factor Sheet June Acft  '!$B$5</f>
        <v>187.86727272727273</v>
      </c>
      <c r="S379">
        <f>tblDailySchedule[[#This Row],[Capacity Approx]]*'[1]Load Factor Sheet June Acft  '!$D$5</f>
        <v>203.4218181818182</v>
      </c>
      <c r="T379" s="22">
        <f>tblDailySchedule[[#This Row],[STD]]</f>
        <v>0.77430555555555558</v>
      </c>
    </row>
    <row r="380" spans="1:20" hidden="1" x14ac:dyDescent="0.35">
      <c r="A380" s="11">
        <v>46123</v>
      </c>
      <c r="B380" s="3">
        <v>6</v>
      </c>
      <c r="C380" t="s">
        <v>116</v>
      </c>
      <c r="D380" t="s">
        <v>18</v>
      </c>
      <c r="E380" s="3">
        <v>21</v>
      </c>
      <c r="F380" t="s">
        <v>19</v>
      </c>
      <c r="G380" t="s">
        <v>81</v>
      </c>
      <c r="H380" t="s">
        <v>61</v>
      </c>
      <c r="I380" s="12">
        <v>0.77083333333333337</v>
      </c>
      <c r="J380" t="s">
        <v>82</v>
      </c>
      <c r="K380" t="s">
        <v>49</v>
      </c>
      <c r="L380" s="12">
        <v>0.79166666666666663</v>
      </c>
      <c r="M380" t="s">
        <v>33</v>
      </c>
      <c r="N380" s="3">
        <v>189</v>
      </c>
      <c r="O380" t="s">
        <v>24</v>
      </c>
      <c r="P380" t="s">
        <v>79</v>
      </c>
      <c r="R380">
        <f>tblDailySchedule[[#This Row],[Capacity Approx]]*'[1]Load Factor Sheet June Acft  '!$B$5</f>
        <v>153.04704545454547</v>
      </c>
      <c r="S380">
        <f>tblDailySchedule[[#This Row],[Capacity Approx]]*'[1]Load Factor Sheet June Acft  '!$D$5</f>
        <v>165.71863636363636</v>
      </c>
      <c r="T380" s="22">
        <f>tblDailySchedule[[#This Row],[STD]]</f>
        <v>0.79166666666666663</v>
      </c>
    </row>
    <row r="381" spans="1:20" hidden="1" x14ac:dyDescent="0.35">
      <c r="A381" s="11">
        <v>46123</v>
      </c>
      <c r="B381" s="3">
        <v>6</v>
      </c>
      <c r="C381" t="s">
        <v>116</v>
      </c>
      <c r="D381" t="s">
        <v>18</v>
      </c>
      <c r="E381" s="3">
        <v>22</v>
      </c>
      <c r="F381" t="s">
        <v>19</v>
      </c>
      <c r="G381" t="s">
        <v>83</v>
      </c>
      <c r="H381" t="s">
        <v>31</v>
      </c>
      <c r="I381" s="12">
        <v>0.77777777777777779</v>
      </c>
      <c r="J381" t="s">
        <v>84</v>
      </c>
      <c r="K381" t="s">
        <v>31</v>
      </c>
      <c r="L381" s="12">
        <v>0.80555555555555558</v>
      </c>
      <c r="M381" t="s">
        <v>63</v>
      </c>
      <c r="N381" s="3">
        <v>232</v>
      </c>
      <c r="O381" t="s">
        <v>24</v>
      </c>
      <c r="P381" t="s">
        <v>79</v>
      </c>
      <c r="R381">
        <f>tblDailySchedule[[#This Row],[Capacity Approx]]*'[1]Load Factor Sheet June Acft  '!$B$5</f>
        <v>187.86727272727273</v>
      </c>
      <c r="S381">
        <f>tblDailySchedule[[#This Row],[Capacity Approx]]*'[1]Load Factor Sheet June Acft  '!$D$5</f>
        <v>203.4218181818182</v>
      </c>
      <c r="T381" s="22">
        <f>tblDailySchedule[[#This Row],[STD]]</f>
        <v>0.80555555555555558</v>
      </c>
    </row>
    <row r="382" spans="1:20" hidden="1" x14ac:dyDescent="0.35">
      <c r="A382" s="11">
        <v>46123</v>
      </c>
      <c r="B382" s="3">
        <v>6</v>
      </c>
      <c r="C382" t="s">
        <v>116</v>
      </c>
      <c r="D382" t="s">
        <v>18</v>
      </c>
      <c r="E382" s="3">
        <v>23</v>
      </c>
      <c r="F382" t="s">
        <v>19</v>
      </c>
      <c r="G382" t="s">
        <v>85</v>
      </c>
      <c r="H382" t="s">
        <v>86</v>
      </c>
      <c r="I382" s="12">
        <v>0.79861111111111116</v>
      </c>
      <c r="J382" t="s">
        <v>87</v>
      </c>
      <c r="K382" t="s">
        <v>86</v>
      </c>
      <c r="L382" s="12">
        <v>0.82638888888888884</v>
      </c>
      <c r="M382" t="s">
        <v>63</v>
      </c>
      <c r="N382" s="3">
        <v>232</v>
      </c>
      <c r="O382" t="s">
        <v>24</v>
      </c>
      <c r="P382" t="s">
        <v>79</v>
      </c>
      <c r="R382">
        <f>tblDailySchedule[[#This Row],[Capacity Approx]]*'[1]Load Factor Sheet June Acft  '!$B$5</f>
        <v>187.86727272727273</v>
      </c>
      <c r="S382">
        <f>tblDailySchedule[[#This Row],[Capacity Approx]]*'[1]Load Factor Sheet June Acft  '!$D$5</f>
        <v>203.4218181818182</v>
      </c>
      <c r="T382" s="22">
        <f>tblDailySchedule[[#This Row],[STD]]</f>
        <v>0.82638888888888884</v>
      </c>
    </row>
    <row r="383" spans="1:20" hidden="1" x14ac:dyDescent="0.35">
      <c r="A383" s="11">
        <v>46123</v>
      </c>
      <c r="B383" s="3">
        <v>6</v>
      </c>
      <c r="C383" t="s">
        <v>116</v>
      </c>
      <c r="D383" t="s">
        <v>18</v>
      </c>
      <c r="E383" s="3">
        <v>24</v>
      </c>
      <c r="F383" t="s">
        <v>19</v>
      </c>
      <c r="G383" t="s">
        <v>88</v>
      </c>
      <c r="H383" t="s">
        <v>89</v>
      </c>
      <c r="I383" s="12">
        <v>0.83333333333333337</v>
      </c>
      <c r="J383" t="s">
        <v>90</v>
      </c>
      <c r="K383" t="s">
        <v>31</v>
      </c>
      <c r="L383" s="12">
        <v>0.86111111111111116</v>
      </c>
      <c r="M383" t="s">
        <v>63</v>
      </c>
      <c r="N383" s="3">
        <v>232</v>
      </c>
      <c r="O383" t="s">
        <v>24</v>
      </c>
      <c r="P383" t="s">
        <v>79</v>
      </c>
      <c r="R383">
        <f>tblDailySchedule[[#This Row],[Capacity Approx]]*'[1]Load Factor Sheet June Acft  '!$B$5</f>
        <v>187.86727272727273</v>
      </c>
      <c r="S383">
        <f>tblDailySchedule[[#This Row],[Capacity Approx]]*'[1]Load Factor Sheet June Acft  '!$D$5</f>
        <v>203.4218181818182</v>
      </c>
      <c r="T383" s="22">
        <f>tblDailySchedule[[#This Row],[STD]]</f>
        <v>0.86111111111111116</v>
      </c>
    </row>
    <row r="384" spans="1:20" hidden="1" x14ac:dyDescent="0.35">
      <c r="A384" s="11">
        <v>46123</v>
      </c>
      <c r="B384" s="3">
        <v>6</v>
      </c>
      <c r="C384" t="s">
        <v>116</v>
      </c>
      <c r="D384" t="s">
        <v>18</v>
      </c>
      <c r="E384" s="3">
        <v>25</v>
      </c>
      <c r="F384" t="s">
        <v>19</v>
      </c>
      <c r="G384" t="s">
        <v>91</v>
      </c>
      <c r="H384" t="s">
        <v>61</v>
      </c>
      <c r="I384" s="12">
        <v>0.85416666666666663</v>
      </c>
      <c r="J384" t="s">
        <v>92</v>
      </c>
      <c r="K384" t="s">
        <v>61</v>
      </c>
      <c r="L384" s="12">
        <v>0.88194444444444442</v>
      </c>
      <c r="M384" t="s">
        <v>63</v>
      </c>
      <c r="N384" s="3">
        <v>232</v>
      </c>
      <c r="O384" t="s">
        <v>24</v>
      </c>
      <c r="P384" t="s">
        <v>79</v>
      </c>
      <c r="R384">
        <f>tblDailySchedule[[#This Row],[Capacity Approx]]*'[1]Load Factor Sheet June Acft  '!$B$5</f>
        <v>187.86727272727273</v>
      </c>
      <c r="S384">
        <f>tblDailySchedule[[#This Row],[Capacity Approx]]*'[1]Load Factor Sheet June Acft  '!$D$5</f>
        <v>203.4218181818182</v>
      </c>
      <c r="T384" s="22">
        <f>tblDailySchedule[[#This Row],[STD]]</f>
        <v>0.88194444444444442</v>
      </c>
    </row>
    <row r="385" spans="1:20" hidden="1" x14ac:dyDescent="0.35">
      <c r="A385" s="11">
        <v>46123</v>
      </c>
      <c r="B385" s="3">
        <v>6</v>
      </c>
      <c r="C385" t="s">
        <v>116</v>
      </c>
      <c r="D385" t="s">
        <v>18</v>
      </c>
      <c r="E385" s="3">
        <v>26</v>
      </c>
      <c r="F385" t="s">
        <v>19</v>
      </c>
      <c r="G385" t="s">
        <v>93</v>
      </c>
      <c r="H385" t="s">
        <v>31</v>
      </c>
      <c r="I385" s="12">
        <v>0.86111111111111116</v>
      </c>
      <c r="J385" t="s">
        <v>94</v>
      </c>
      <c r="K385" t="s">
        <v>31</v>
      </c>
      <c r="L385" s="12">
        <v>0.88888888888888884</v>
      </c>
      <c r="M385" t="s">
        <v>23</v>
      </c>
      <c r="N385" s="3">
        <v>186</v>
      </c>
      <c r="O385" t="s">
        <v>24</v>
      </c>
      <c r="P385" t="s">
        <v>79</v>
      </c>
      <c r="R385">
        <f>tblDailySchedule[[#This Row],[Capacity Approx]]*'[1]Load Factor Sheet June Acft  '!$B$5</f>
        <v>150.61772727272728</v>
      </c>
      <c r="S385">
        <f>tblDailySchedule[[#This Row],[Capacity Approx]]*'[1]Load Factor Sheet June Acft  '!$D$5</f>
        <v>163.08818181818182</v>
      </c>
      <c r="T385" s="22">
        <f>tblDailySchedule[[#This Row],[STD]]</f>
        <v>0.88888888888888884</v>
      </c>
    </row>
    <row r="386" spans="1:20" hidden="1" x14ac:dyDescent="0.35">
      <c r="A386" s="11">
        <v>46123</v>
      </c>
      <c r="B386" s="3">
        <v>6</v>
      </c>
      <c r="C386" t="s">
        <v>116</v>
      </c>
      <c r="D386" t="s">
        <v>18</v>
      </c>
      <c r="E386" s="3">
        <v>27</v>
      </c>
      <c r="F386" t="s">
        <v>19</v>
      </c>
      <c r="G386" t="s">
        <v>95</v>
      </c>
      <c r="H386" t="s">
        <v>21</v>
      </c>
      <c r="I386" s="12">
        <v>0.86805555555555558</v>
      </c>
      <c r="J386" t="s">
        <v>96</v>
      </c>
      <c r="K386" t="s">
        <v>21</v>
      </c>
      <c r="L386" s="12">
        <v>0.89583333333333337</v>
      </c>
      <c r="M386" t="s">
        <v>29</v>
      </c>
      <c r="N386" s="3">
        <v>186</v>
      </c>
      <c r="O386" t="s">
        <v>24</v>
      </c>
      <c r="P386" t="s">
        <v>79</v>
      </c>
      <c r="R386">
        <f>tblDailySchedule[[#This Row],[Capacity Approx]]*'[1]Load Factor Sheet June Acft  '!$B$5</f>
        <v>150.61772727272728</v>
      </c>
      <c r="S386">
        <f>tblDailySchedule[[#This Row],[Capacity Approx]]*'[1]Load Factor Sheet June Acft  '!$D$5</f>
        <v>163.08818181818182</v>
      </c>
      <c r="T386" s="22">
        <f>tblDailySchedule[[#This Row],[STD]]</f>
        <v>0.89583333333333337</v>
      </c>
    </row>
    <row r="387" spans="1:20" hidden="1" x14ac:dyDescent="0.35">
      <c r="A387" s="11">
        <v>46123</v>
      </c>
      <c r="B387" s="3">
        <v>6</v>
      </c>
      <c r="C387" t="s">
        <v>116</v>
      </c>
      <c r="D387" t="s">
        <v>18</v>
      </c>
      <c r="E387" s="3">
        <v>28</v>
      </c>
      <c r="F387" t="s">
        <v>19</v>
      </c>
      <c r="G387" t="s">
        <v>97</v>
      </c>
      <c r="H387" t="s">
        <v>49</v>
      </c>
      <c r="I387" s="12">
        <v>0.90277777777777779</v>
      </c>
      <c r="J387" t="s">
        <v>97</v>
      </c>
      <c r="K387" t="s">
        <v>61</v>
      </c>
      <c r="L387" s="12">
        <v>0.92361111111111116</v>
      </c>
      <c r="M387" t="s">
        <v>33</v>
      </c>
      <c r="N387" s="3">
        <v>189</v>
      </c>
      <c r="O387" t="s">
        <v>24</v>
      </c>
      <c r="P387" t="s">
        <v>79</v>
      </c>
      <c r="R387">
        <f>tblDailySchedule[[#This Row],[Capacity Approx]]*'[1]Load Factor Sheet June Acft  '!$B$5</f>
        <v>153.04704545454547</v>
      </c>
      <c r="S387">
        <f>tblDailySchedule[[#This Row],[Capacity Approx]]*'[1]Load Factor Sheet June Acft  '!$D$5</f>
        <v>165.71863636363636</v>
      </c>
      <c r="T387" s="22">
        <f>tblDailySchedule[[#This Row],[STD]]</f>
        <v>0.92361111111111116</v>
      </c>
    </row>
    <row r="388" spans="1:20" hidden="1" x14ac:dyDescent="0.35">
      <c r="A388" s="11">
        <v>46123</v>
      </c>
      <c r="B388" s="3">
        <v>6</v>
      </c>
      <c r="C388" t="s">
        <v>116</v>
      </c>
      <c r="D388" t="s">
        <v>18</v>
      </c>
      <c r="E388" s="3">
        <v>29</v>
      </c>
      <c r="F388" t="s">
        <v>19</v>
      </c>
      <c r="G388" t="s">
        <v>98</v>
      </c>
      <c r="H388" t="s">
        <v>21</v>
      </c>
      <c r="I388" s="12">
        <v>0.92013888888888884</v>
      </c>
      <c r="J388" t="s">
        <v>99</v>
      </c>
      <c r="K388" t="s">
        <v>21</v>
      </c>
      <c r="L388" s="12">
        <v>0.94791666666666663</v>
      </c>
      <c r="M388" t="s">
        <v>63</v>
      </c>
      <c r="N388" s="3">
        <v>232</v>
      </c>
      <c r="O388" t="s">
        <v>24</v>
      </c>
      <c r="P388" t="s">
        <v>79</v>
      </c>
      <c r="R388">
        <f>tblDailySchedule[[#This Row],[Capacity Approx]]*'[1]Load Factor Sheet June Acft  '!$B$5</f>
        <v>187.86727272727273</v>
      </c>
      <c r="S388">
        <f>tblDailySchedule[[#This Row],[Capacity Approx]]*'[1]Load Factor Sheet June Acft  '!$D$5</f>
        <v>203.4218181818182</v>
      </c>
      <c r="T388" s="22">
        <f>tblDailySchedule[[#This Row],[STD]]</f>
        <v>0.94791666666666663</v>
      </c>
    </row>
    <row r="389" spans="1:20" hidden="1" x14ac:dyDescent="0.35">
      <c r="A389" s="13">
        <v>46123</v>
      </c>
      <c r="B389" s="7">
        <v>6</v>
      </c>
      <c r="C389" s="14" t="s">
        <v>116</v>
      </c>
      <c r="D389" s="14" t="s">
        <v>18</v>
      </c>
      <c r="E389" s="7">
        <v>30</v>
      </c>
      <c r="F389" s="14" t="s">
        <v>104</v>
      </c>
      <c r="G389" s="14" t="s">
        <v>105</v>
      </c>
      <c r="H389" s="14" t="s">
        <v>106</v>
      </c>
      <c r="I389" s="15">
        <v>0.92708333333333337</v>
      </c>
      <c r="J389" s="14" t="s">
        <v>107</v>
      </c>
      <c r="K389" s="14" t="s">
        <v>106</v>
      </c>
      <c r="L389" s="15">
        <v>0.95833333333333337</v>
      </c>
      <c r="M389" s="14" t="s">
        <v>38</v>
      </c>
      <c r="N389" s="7">
        <v>186</v>
      </c>
      <c r="O389" s="14" t="s">
        <v>39</v>
      </c>
      <c r="P389" s="14" t="s">
        <v>79</v>
      </c>
      <c r="Q389" s="14" t="s">
        <v>39</v>
      </c>
      <c r="R389">
        <f>tblDailySchedule[[#This Row],[Capacity Approx]]*'[1]Load Factor Sheet June Acft  '!$B$5</f>
        <v>150.61772727272728</v>
      </c>
      <c r="S389">
        <f>tblDailySchedule[[#This Row],[Capacity Approx]]*'[1]Load Factor Sheet June Acft  '!$D$5</f>
        <v>163.08818181818182</v>
      </c>
      <c r="T389" s="22">
        <f>tblDailySchedule[[#This Row],[STD]]</f>
        <v>0.95833333333333337</v>
      </c>
    </row>
    <row r="390" spans="1:20" hidden="1" x14ac:dyDescent="0.35">
      <c r="A390" s="11">
        <v>46124</v>
      </c>
      <c r="B390" s="3">
        <v>7</v>
      </c>
      <c r="C390" t="s">
        <v>17</v>
      </c>
      <c r="D390" t="s">
        <v>18</v>
      </c>
      <c r="E390" s="3">
        <v>2</v>
      </c>
      <c r="F390" t="s">
        <v>19</v>
      </c>
      <c r="G390" t="s">
        <v>20</v>
      </c>
      <c r="H390" t="s">
        <v>21</v>
      </c>
      <c r="I390" s="12">
        <v>0.31944444444444442</v>
      </c>
      <c r="J390" t="s">
        <v>22</v>
      </c>
      <c r="K390" t="s">
        <v>21</v>
      </c>
      <c r="L390" s="12">
        <v>0.34722222222222221</v>
      </c>
      <c r="M390" t="s">
        <v>23</v>
      </c>
      <c r="N390" s="3">
        <v>186</v>
      </c>
      <c r="O390" t="s">
        <v>24</v>
      </c>
      <c r="P390" t="s">
        <v>25</v>
      </c>
      <c r="R390">
        <f>tblDailySchedule[[#This Row],[Capacity Approx]]*'[1]Load Factor Sheet June Acft  '!$B$5</f>
        <v>150.61772727272728</v>
      </c>
      <c r="S390">
        <f>tblDailySchedule[[#This Row],[Capacity Approx]]*'[1]Load Factor Sheet June Acft  '!$D$5</f>
        <v>163.08818181818182</v>
      </c>
      <c r="T390" s="22">
        <f>tblDailySchedule[[#This Row],[STD]]</f>
        <v>0.34722222222222221</v>
      </c>
    </row>
    <row r="391" spans="1:20" hidden="1" x14ac:dyDescent="0.35">
      <c r="A391" s="11">
        <v>46124</v>
      </c>
      <c r="B391" s="3">
        <v>7</v>
      </c>
      <c r="C391" t="s">
        <v>17</v>
      </c>
      <c r="D391" t="s">
        <v>18</v>
      </c>
      <c r="E391" s="3">
        <v>3</v>
      </c>
      <c r="F391" t="s">
        <v>19</v>
      </c>
      <c r="G391" t="s">
        <v>26</v>
      </c>
      <c r="H391" t="s">
        <v>27</v>
      </c>
      <c r="I391" s="12">
        <v>0.3263888888888889</v>
      </c>
      <c r="J391" t="s">
        <v>28</v>
      </c>
      <c r="K391" t="s">
        <v>27</v>
      </c>
      <c r="L391" s="12">
        <v>0.35416666666666669</v>
      </c>
      <c r="M391" t="s">
        <v>29</v>
      </c>
      <c r="N391" s="3">
        <v>186</v>
      </c>
      <c r="O391" t="s">
        <v>24</v>
      </c>
      <c r="P391" t="s">
        <v>25</v>
      </c>
      <c r="R391">
        <f>tblDailySchedule[[#This Row],[Capacity Approx]]*'[1]Load Factor Sheet June Acft  '!$B$5</f>
        <v>150.61772727272728</v>
      </c>
      <c r="S391">
        <f>tblDailySchedule[[#This Row],[Capacity Approx]]*'[1]Load Factor Sheet June Acft  '!$D$5</f>
        <v>163.08818181818182</v>
      </c>
      <c r="T391" s="22">
        <f>tblDailySchedule[[#This Row],[STD]]</f>
        <v>0.35416666666666669</v>
      </c>
    </row>
    <row r="392" spans="1:20" hidden="1" x14ac:dyDescent="0.35">
      <c r="A392" s="11">
        <v>46124</v>
      </c>
      <c r="B392" s="3">
        <v>7</v>
      </c>
      <c r="C392" t="s">
        <v>17</v>
      </c>
      <c r="D392" t="s">
        <v>18</v>
      </c>
      <c r="E392" s="3">
        <v>4</v>
      </c>
      <c r="F392" t="s">
        <v>19</v>
      </c>
      <c r="G392" t="s">
        <v>30</v>
      </c>
      <c r="H392" t="s">
        <v>31</v>
      </c>
      <c r="I392" s="12">
        <v>0.34722222222222221</v>
      </c>
      <c r="J392" t="s">
        <v>32</v>
      </c>
      <c r="K392" t="s">
        <v>31</v>
      </c>
      <c r="L392" s="12">
        <v>0.36805555555555558</v>
      </c>
      <c r="M392" t="s">
        <v>33</v>
      </c>
      <c r="N392" s="3">
        <v>189</v>
      </c>
      <c r="O392" t="s">
        <v>24</v>
      </c>
      <c r="P392" t="s">
        <v>25</v>
      </c>
      <c r="R392">
        <f>tblDailySchedule[[#This Row],[Capacity Approx]]*'[1]Load Factor Sheet June Acft  '!$B$5</f>
        <v>153.04704545454547</v>
      </c>
      <c r="S392">
        <f>tblDailySchedule[[#This Row],[Capacity Approx]]*'[1]Load Factor Sheet June Acft  '!$D$5</f>
        <v>165.71863636363636</v>
      </c>
      <c r="T392" s="22">
        <f>tblDailySchedule[[#This Row],[STD]]</f>
        <v>0.36805555555555558</v>
      </c>
    </row>
    <row r="393" spans="1:20" hidden="1" x14ac:dyDescent="0.35">
      <c r="A393" s="13">
        <v>46124</v>
      </c>
      <c r="B393" s="7">
        <v>7</v>
      </c>
      <c r="C393" s="14" t="s">
        <v>17</v>
      </c>
      <c r="D393" s="14" t="s">
        <v>18</v>
      </c>
      <c r="E393" s="7">
        <v>6</v>
      </c>
      <c r="F393" s="14" t="s">
        <v>34</v>
      </c>
      <c r="G393" s="14" t="s">
        <v>35</v>
      </c>
      <c r="H393" s="14" t="s">
        <v>36</v>
      </c>
      <c r="I393" s="15">
        <v>0.34722222222222221</v>
      </c>
      <c r="J393" s="14" t="s">
        <v>37</v>
      </c>
      <c r="K393" s="14" t="s">
        <v>36</v>
      </c>
      <c r="L393" s="15">
        <v>0.40972222222222221</v>
      </c>
      <c r="M393" s="14" t="s">
        <v>38</v>
      </c>
      <c r="N393" s="7">
        <v>186</v>
      </c>
      <c r="O393" s="14" t="s">
        <v>39</v>
      </c>
      <c r="P393" s="14" t="s">
        <v>25</v>
      </c>
      <c r="Q393" s="14" t="s">
        <v>39</v>
      </c>
      <c r="R393">
        <f>tblDailySchedule[[#This Row],[Capacity Approx]]*'[1]Load Factor Sheet June Acft  '!$B$5</f>
        <v>150.61772727272728</v>
      </c>
      <c r="S393">
        <f>tblDailySchedule[[#This Row],[Capacity Approx]]*'[1]Load Factor Sheet June Acft  '!$D$5</f>
        <v>163.08818181818182</v>
      </c>
      <c r="T393" s="22">
        <f>tblDailySchedule[[#This Row],[STD]]</f>
        <v>0.40972222222222221</v>
      </c>
    </row>
    <row r="394" spans="1:20" hidden="1" x14ac:dyDescent="0.35">
      <c r="A394" s="11">
        <v>46124</v>
      </c>
      <c r="B394" s="3">
        <v>7</v>
      </c>
      <c r="C394" t="s">
        <v>17</v>
      </c>
      <c r="D394" t="s">
        <v>18</v>
      </c>
      <c r="E394" s="3">
        <v>5</v>
      </c>
      <c r="F394" t="s">
        <v>19</v>
      </c>
      <c r="G394" t="s">
        <v>40</v>
      </c>
      <c r="H394" t="s">
        <v>31</v>
      </c>
      <c r="I394" s="12">
        <v>0.35069444444444442</v>
      </c>
      <c r="J394" t="s">
        <v>41</v>
      </c>
      <c r="K394" t="s">
        <v>31</v>
      </c>
      <c r="L394" s="12">
        <v>0.37152777777777779</v>
      </c>
      <c r="M394" t="s">
        <v>23</v>
      </c>
      <c r="N394" s="3">
        <v>186</v>
      </c>
      <c r="O394" t="s">
        <v>24</v>
      </c>
      <c r="P394" t="s">
        <v>25</v>
      </c>
      <c r="R394">
        <f>tblDailySchedule[[#This Row],[Capacity Approx]]*'[1]Load Factor Sheet June Acft  '!$B$5</f>
        <v>150.61772727272728</v>
      </c>
      <c r="S394">
        <f>tblDailySchedule[[#This Row],[Capacity Approx]]*'[1]Load Factor Sheet June Acft  '!$D$5</f>
        <v>163.08818181818182</v>
      </c>
      <c r="T394" s="22">
        <f>tblDailySchedule[[#This Row],[STD]]</f>
        <v>0.37152777777777779</v>
      </c>
    </row>
    <row r="395" spans="1:20" hidden="1" x14ac:dyDescent="0.35">
      <c r="A395" s="11">
        <v>46124</v>
      </c>
      <c r="B395" s="3">
        <v>7</v>
      </c>
      <c r="C395" t="s">
        <v>17</v>
      </c>
      <c r="D395" t="s">
        <v>18</v>
      </c>
      <c r="E395" s="3">
        <v>7</v>
      </c>
      <c r="F395" t="s">
        <v>19</v>
      </c>
      <c r="G395" t="s">
        <v>42</v>
      </c>
      <c r="H395" t="s">
        <v>43</v>
      </c>
      <c r="I395" s="12">
        <v>0.3923611111111111</v>
      </c>
      <c r="J395" t="s">
        <v>44</v>
      </c>
      <c r="K395" t="s">
        <v>43</v>
      </c>
      <c r="L395" s="12">
        <v>0.40277777777777779</v>
      </c>
      <c r="M395" t="s">
        <v>45</v>
      </c>
      <c r="N395" s="3">
        <v>9</v>
      </c>
      <c r="O395" t="s">
        <v>24</v>
      </c>
      <c r="P395" t="s">
        <v>25</v>
      </c>
      <c r="R395">
        <f>tblDailySchedule[[#This Row],[Capacity Approx]]*'[1]Load Factor Sheet June Acft  '!$B$5</f>
        <v>7.2879545454545456</v>
      </c>
      <c r="S395">
        <f>tblDailySchedule[[#This Row],[Capacity Approx]]*'[1]Load Factor Sheet June Acft  '!$D$5</f>
        <v>7.8913636363636366</v>
      </c>
      <c r="T395" s="22">
        <f>tblDailySchedule[[#This Row],[STD]]</f>
        <v>0.40277777777777779</v>
      </c>
    </row>
    <row r="396" spans="1:20" hidden="1" x14ac:dyDescent="0.35">
      <c r="A396" s="11">
        <v>46124</v>
      </c>
      <c r="B396" s="3">
        <v>7</v>
      </c>
      <c r="C396" t="s">
        <v>17</v>
      </c>
      <c r="D396" t="s">
        <v>18</v>
      </c>
      <c r="E396" s="3">
        <v>8</v>
      </c>
      <c r="F396" t="s">
        <v>19</v>
      </c>
      <c r="G396" t="s">
        <v>46</v>
      </c>
      <c r="H396" t="s">
        <v>31</v>
      </c>
      <c r="I396" s="12">
        <v>0.4201388888888889</v>
      </c>
      <c r="J396" t="s">
        <v>47</v>
      </c>
      <c r="K396" t="s">
        <v>31</v>
      </c>
      <c r="L396" s="12">
        <v>0.44444444444444442</v>
      </c>
      <c r="M396" t="s">
        <v>29</v>
      </c>
      <c r="N396" s="3">
        <v>186</v>
      </c>
      <c r="O396" t="s">
        <v>24</v>
      </c>
      <c r="P396" t="s">
        <v>25</v>
      </c>
      <c r="R396">
        <f>tblDailySchedule[[#This Row],[Capacity Approx]]*'[1]Load Factor Sheet June Acft  '!$B$5</f>
        <v>150.61772727272728</v>
      </c>
      <c r="S396">
        <f>tblDailySchedule[[#This Row],[Capacity Approx]]*'[1]Load Factor Sheet June Acft  '!$D$5</f>
        <v>163.08818181818182</v>
      </c>
      <c r="T396" s="22">
        <f>tblDailySchedule[[#This Row],[STD]]</f>
        <v>0.44444444444444442</v>
      </c>
    </row>
    <row r="397" spans="1:20" hidden="1" x14ac:dyDescent="0.35">
      <c r="A397" s="11">
        <v>46124</v>
      </c>
      <c r="B397" s="3">
        <v>7</v>
      </c>
      <c r="C397" t="s">
        <v>17</v>
      </c>
      <c r="D397" t="s">
        <v>18</v>
      </c>
      <c r="E397" s="3">
        <v>9</v>
      </c>
      <c r="F397" t="s">
        <v>19</v>
      </c>
      <c r="G397" t="s">
        <v>48</v>
      </c>
      <c r="H397" t="s">
        <v>49</v>
      </c>
      <c r="I397" s="12">
        <v>0.4375</v>
      </c>
      <c r="J397" t="s">
        <v>50</v>
      </c>
      <c r="K397" t="s">
        <v>49</v>
      </c>
      <c r="L397" s="12">
        <v>0.45833333333333331</v>
      </c>
      <c r="M397" t="s">
        <v>51</v>
      </c>
      <c r="N397" s="3">
        <v>78</v>
      </c>
      <c r="O397" t="s">
        <v>24</v>
      </c>
      <c r="P397" t="s">
        <v>25</v>
      </c>
      <c r="R397">
        <f>tblDailySchedule[[#This Row],[Capacity Approx]]*'[1]Load Factor Sheet June Acft  '!$B$5</f>
        <v>63.162272727272729</v>
      </c>
      <c r="S397">
        <f>tblDailySchedule[[#This Row],[Capacity Approx]]*'[1]Load Factor Sheet June Acft  '!$D$5</f>
        <v>68.391818181818181</v>
      </c>
      <c r="T397" s="22">
        <f>tblDailySchedule[[#This Row],[STD]]</f>
        <v>0.45833333333333331</v>
      </c>
    </row>
    <row r="398" spans="1:20" hidden="1" x14ac:dyDescent="0.35">
      <c r="A398" s="11">
        <v>46124</v>
      </c>
      <c r="B398" s="3">
        <v>7</v>
      </c>
      <c r="C398" t="s">
        <v>17</v>
      </c>
      <c r="D398" t="s">
        <v>18</v>
      </c>
      <c r="E398" s="3">
        <v>10</v>
      </c>
      <c r="F398" t="s">
        <v>19</v>
      </c>
      <c r="G398" t="s">
        <v>52</v>
      </c>
      <c r="H398" t="s">
        <v>27</v>
      </c>
      <c r="I398" s="12">
        <v>0.4826388888888889</v>
      </c>
      <c r="J398" t="s">
        <v>53</v>
      </c>
      <c r="K398" t="s">
        <v>27</v>
      </c>
      <c r="L398" s="12">
        <v>0.51041666666666663</v>
      </c>
      <c r="M398" t="s">
        <v>23</v>
      </c>
      <c r="N398" s="3">
        <v>186</v>
      </c>
      <c r="O398" t="s">
        <v>24</v>
      </c>
      <c r="P398" t="s">
        <v>25</v>
      </c>
      <c r="R398">
        <f>tblDailySchedule[[#This Row],[Capacity Approx]]*'[1]Load Factor Sheet June Acft  '!$B$5</f>
        <v>150.61772727272728</v>
      </c>
      <c r="S398">
        <f>tblDailySchedule[[#This Row],[Capacity Approx]]*'[1]Load Factor Sheet June Acft  '!$D$5</f>
        <v>163.08818181818182</v>
      </c>
      <c r="T398" s="22">
        <f>tblDailySchedule[[#This Row],[STD]]</f>
        <v>0.51041666666666663</v>
      </c>
    </row>
    <row r="399" spans="1:20" hidden="1" x14ac:dyDescent="0.35">
      <c r="A399" s="11">
        <v>46124</v>
      </c>
      <c r="B399" s="3">
        <v>7</v>
      </c>
      <c r="C399" t="s">
        <v>17</v>
      </c>
      <c r="D399" t="s">
        <v>18</v>
      </c>
      <c r="E399" s="3">
        <v>11</v>
      </c>
      <c r="F399" t="s">
        <v>19</v>
      </c>
      <c r="G399" t="s">
        <v>54</v>
      </c>
      <c r="H399" t="s">
        <v>31</v>
      </c>
      <c r="I399" s="12">
        <v>0.51388888888888884</v>
      </c>
      <c r="J399" t="s">
        <v>55</v>
      </c>
      <c r="K399" t="s">
        <v>31</v>
      </c>
      <c r="L399" s="12">
        <v>0.54166666666666663</v>
      </c>
      <c r="M399" t="s">
        <v>23</v>
      </c>
      <c r="N399" s="3">
        <v>186</v>
      </c>
      <c r="O399" t="s">
        <v>24</v>
      </c>
      <c r="P399" t="s">
        <v>56</v>
      </c>
      <c r="R399">
        <f>tblDailySchedule[[#This Row],[Capacity Approx]]*'[1]Load Factor Sheet June Acft  '!$B$5</f>
        <v>150.61772727272728</v>
      </c>
      <c r="S399">
        <f>tblDailySchedule[[#This Row],[Capacity Approx]]*'[1]Load Factor Sheet June Acft  '!$D$5</f>
        <v>163.08818181818182</v>
      </c>
      <c r="T399" s="22">
        <f>tblDailySchedule[[#This Row],[STD]]</f>
        <v>0.54166666666666663</v>
      </c>
    </row>
    <row r="400" spans="1:20" hidden="1" x14ac:dyDescent="0.35">
      <c r="A400" s="11">
        <v>46124</v>
      </c>
      <c r="B400" s="3">
        <v>7</v>
      </c>
      <c r="C400" t="s">
        <v>17</v>
      </c>
      <c r="D400" t="s">
        <v>18</v>
      </c>
      <c r="E400" s="3">
        <v>13</v>
      </c>
      <c r="F400" t="s">
        <v>19</v>
      </c>
      <c r="G400" t="s">
        <v>57</v>
      </c>
      <c r="H400" t="s">
        <v>58</v>
      </c>
      <c r="I400" s="12">
        <v>0.55902777777777779</v>
      </c>
      <c r="J400" t="s">
        <v>59</v>
      </c>
      <c r="K400" t="s">
        <v>58</v>
      </c>
      <c r="L400" s="12">
        <v>0.57638888888888884</v>
      </c>
      <c r="M400" t="s">
        <v>51</v>
      </c>
      <c r="N400" s="3">
        <v>78</v>
      </c>
      <c r="O400" t="s">
        <v>24</v>
      </c>
      <c r="P400" t="s">
        <v>56</v>
      </c>
      <c r="R400">
        <f>tblDailySchedule[[#This Row],[Capacity Approx]]*'[1]Load Factor Sheet June Acft  '!$B$5</f>
        <v>63.162272727272729</v>
      </c>
      <c r="S400">
        <f>tblDailySchedule[[#This Row],[Capacity Approx]]*'[1]Load Factor Sheet June Acft  '!$D$5</f>
        <v>68.391818181818181</v>
      </c>
      <c r="T400" s="22">
        <f>tblDailySchedule[[#This Row],[STD]]</f>
        <v>0.57638888888888884</v>
      </c>
    </row>
    <row r="401" spans="1:20" hidden="1" x14ac:dyDescent="0.35">
      <c r="A401" s="11">
        <v>46124</v>
      </c>
      <c r="B401" s="3">
        <v>7</v>
      </c>
      <c r="C401" t="s">
        <v>17</v>
      </c>
      <c r="D401" t="s">
        <v>18</v>
      </c>
      <c r="E401" s="3">
        <v>14</v>
      </c>
      <c r="F401" t="s">
        <v>19</v>
      </c>
      <c r="G401" t="s">
        <v>60</v>
      </c>
      <c r="H401" t="s">
        <v>61</v>
      </c>
      <c r="I401" s="12">
        <v>0.59027777777777779</v>
      </c>
      <c r="J401" t="s">
        <v>62</v>
      </c>
      <c r="K401" t="s">
        <v>61</v>
      </c>
      <c r="L401" s="12">
        <v>0.62152777777777779</v>
      </c>
      <c r="M401" t="s">
        <v>63</v>
      </c>
      <c r="N401" s="3">
        <v>232</v>
      </c>
      <c r="O401" t="s">
        <v>24</v>
      </c>
      <c r="P401" t="s">
        <v>56</v>
      </c>
      <c r="R401">
        <f>tblDailySchedule[[#This Row],[Capacity Approx]]*'[1]Load Factor Sheet June Acft  '!$B$5</f>
        <v>187.86727272727273</v>
      </c>
      <c r="S401">
        <f>tblDailySchedule[[#This Row],[Capacity Approx]]*'[1]Load Factor Sheet June Acft  '!$D$5</f>
        <v>203.4218181818182</v>
      </c>
      <c r="T401" s="22">
        <f>tblDailySchedule[[#This Row],[STD]]</f>
        <v>0.62152777777777779</v>
      </c>
    </row>
    <row r="402" spans="1:20" hidden="1" x14ac:dyDescent="0.35">
      <c r="A402" s="11">
        <v>46124</v>
      </c>
      <c r="B402" s="3">
        <v>7</v>
      </c>
      <c r="C402" t="s">
        <v>17</v>
      </c>
      <c r="D402" t="s">
        <v>18</v>
      </c>
      <c r="E402" s="3">
        <v>15</v>
      </c>
      <c r="F402" t="s">
        <v>19</v>
      </c>
      <c r="G402" t="s">
        <v>64</v>
      </c>
      <c r="H402" t="s">
        <v>31</v>
      </c>
      <c r="I402" s="12">
        <v>0.60069444444444442</v>
      </c>
      <c r="J402" t="s">
        <v>65</v>
      </c>
      <c r="K402" t="s">
        <v>66</v>
      </c>
      <c r="L402" s="12">
        <v>0.62847222222222221</v>
      </c>
      <c r="M402" t="s">
        <v>63</v>
      </c>
      <c r="N402" s="3">
        <v>232</v>
      </c>
      <c r="O402" t="s">
        <v>24</v>
      </c>
      <c r="P402" t="s">
        <v>56</v>
      </c>
      <c r="R402">
        <f>tblDailySchedule[[#This Row],[Capacity Approx]]*'[1]Load Factor Sheet June Acft  '!$B$5</f>
        <v>187.86727272727273</v>
      </c>
      <c r="S402">
        <f>tblDailySchedule[[#This Row],[Capacity Approx]]*'[1]Load Factor Sheet June Acft  '!$D$5</f>
        <v>203.4218181818182</v>
      </c>
      <c r="T402" s="22">
        <f>tblDailySchedule[[#This Row],[STD]]</f>
        <v>0.62847222222222221</v>
      </c>
    </row>
    <row r="403" spans="1:20" hidden="1" x14ac:dyDescent="0.35">
      <c r="A403" s="11">
        <v>46124</v>
      </c>
      <c r="B403" s="3">
        <v>7</v>
      </c>
      <c r="C403" t="s">
        <v>17</v>
      </c>
      <c r="D403" t="s">
        <v>18</v>
      </c>
      <c r="E403" s="3">
        <v>16</v>
      </c>
      <c r="F403" t="s">
        <v>19</v>
      </c>
      <c r="G403" t="s">
        <v>67</v>
      </c>
      <c r="H403" t="s">
        <v>31</v>
      </c>
      <c r="I403" s="12">
        <v>0.65625</v>
      </c>
      <c r="J403" t="s">
        <v>68</v>
      </c>
      <c r="K403" t="s">
        <v>31</v>
      </c>
      <c r="L403" s="12">
        <v>0.68402777777777779</v>
      </c>
      <c r="M403" t="s">
        <v>63</v>
      </c>
      <c r="N403" s="3">
        <v>232</v>
      </c>
      <c r="O403" t="s">
        <v>24</v>
      </c>
      <c r="P403" t="s">
        <v>56</v>
      </c>
      <c r="R403">
        <f>tblDailySchedule[[#This Row],[Capacity Approx]]*'[1]Load Factor Sheet June Acft  '!$B$5</f>
        <v>187.86727272727273</v>
      </c>
      <c r="S403">
        <f>tblDailySchedule[[#This Row],[Capacity Approx]]*'[1]Load Factor Sheet June Acft  '!$D$5</f>
        <v>203.4218181818182</v>
      </c>
      <c r="T403" s="22">
        <f>tblDailySchedule[[#This Row],[STD]]</f>
        <v>0.68402777777777779</v>
      </c>
    </row>
    <row r="404" spans="1:20" hidden="1" x14ac:dyDescent="0.35">
      <c r="A404" s="11">
        <v>46124</v>
      </c>
      <c r="B404" s="3">
        <v>7</v>
      </c>
      <c r="C404" t="s">
        <v>17</v>
      </c>
      <c r="D404" t="s">
        <v>18</v>
      </c>
      <c r="E404" s="3">
        <v>17</v>
      </c>
      <c r="F404" t="s">
        <v>19</v>
      </c>
      <c r="G404" t="s">
        <v>69</v>
      </c>
      <c r="H404" t="s">
        <v>31</v>
      </c>
      <c r="I404" s="12">
        <v>0.66319444444444442</v>
      </c>
      <c r="J404" t="s">
        <v>70</v>
      </c>
      <c r="K404" t="s">
        <v>31</v>
      </c>
      <c r="L404" s="12">
        <v>0.69097222222222221</v>
      </c>
      <c r="M404" t="s">
        <v>33</v>
      </c>
      <c r="N404" s="3">
        <v>189</v>
      </c>
      <c r="O404" t="s">
        <v>24</v>
      </c>
      <c r="P404" t="s">
        <v>56</v>
      </c>
      <c r="R404">
        <f>tblDailySchedule[[#This Row],[Capacity Approx]]*'[1]Load Factor Sheet June Acft  '!$B$5</f>
        <v>153.04704545454547</v>
      </c>
      <c r="S404">
        <f>tblDailySchedule[[#This Row],[Capacity Approx]]*'[1]Load Factor Sheet June Acft  '!$D$5</f>
        <v>165.71863636363636</v>
      </c>
      <c r="T404" s="22">
        <f>tblDailySchedule[[#This Row],[STD]]</f>
        <v>0.69097222222222221</v>
      </c>
    </row>
    <row r="405" spans="1:20" hidden="1" x14ac:dyDescent="0.35">
      <c r="A405" s="11">
        <v>46124</v>
      </c>
      <c r="B405" s="3">
        <v>7</v>
      </c>
      <c r="C405" t="s">
        <v>17</v>
      </c>
      <c r="D405" t="s">
        <v>18</v>
      </c>
      <c r="E405" s="3">
        <v>18</v>
      </c>
      <c r="F405" t="s">
        <v>19</v>
      </c>
      <c r="G405" t="s">
        <v>71</v>
      </c>
      <c r="H405" t="s">
        <v>21</v>
      </c>
      <c r="I405" s="12">
        <v>0.67013888888888884</v>
      </c>
      <c r="J405" t="s">
        <v>72</v>
      </c>
      <c r="K405" t="s">
        <v>21</v>
      </c>
      <c r="L405" s="12">
        <v>0.69791666666666663</v>
      </c>
      <c r="M405" t="s">
        <v>63</v>
      </c>
      <c r="N405" s="3">
        <v>232</v>
      </c>
      <c r="O405" t="s">
        <v>24</v>
      </c>
      <c r="P405" t="s">
        <v>56</v>
      </c>
      <c r="R405">
        <f>tblDailySchedule[[#This Row],[Capacity Approx]]*'[1]Load Factor Sheet June Acft  '!$B$5</f>
        <v>187.86727272727273</v>
      </c>
      <c r="S405">
        <f>tblDailySchedule[[#This Row],[Capacity Approx]]*'[1]Load Factor Sheet June Acft  '!$D$5</f>
        <v>203.4218181818182</v>
      </c>
      <c r="T405" s="22">
        <f>tblDailySchedule[[#This Row],[STD]]</f>
        <v>0.69791666666666663</v>
      </c>
    </row>
    <row r="406" spans="1:20" hidden="1" x14ac:dyDescent="0.35">
      <c r="A406" s="11">
        <v>46124</v>
      </c>
      <c r="B406" s="3">
        <v>7</v>
      </c>
      <c r="C406" t="s">
        <v>17</v>
      </c>
      <c r="D406" t="s">
        <v>18</v>
      </c>
      <c r="E406" s="3">
        <v>19</v>
      </c>
      <c r="F406" t="s">
        <v>19</v>
      </c>
      <c r="G406" t="s">
        <v>73</v>
      </c>
      <c r="H406" t="s">
        <v>27</v>
      </c>
      <c r="I406" s="12">
        <v>0.74652777777777779</v>
      </c>
      <c r="J406" t="s">
        <v>74</v>
      </c>
      <c r="K406" t="s">
        <v>27</v>
      </c>
      <c r="L406" s="12">
        <v>0.77430555555555558</v>
      </c>
      <c r="M406" t="s">
        <v>63</v>
      </c>
      <c r="N406" s="3">
        <v>232</v>
      </c>
      <c r="O406" t="s">
        <v>24</v>
      </c>
      <c r="P406" t="s">
        <v>56</v>
      </c>
      <c r="R406">
        <f>tblDailySchedule[[#This Row],[Capacity Approx]]*'[1]Load Factor Sheet June Acft  '!$B$5</f>
        <v>187.86727272727273</v>
      </c>
      <c r="S406">
        <f>tblDailySchedule[[#This Row],[Capacity Approx]]*'[1]Load Factor Sheet June Acft  '!$D$5</f>
        <v>203.4218181818182</v>
      </c>
      <c r="T406" s="22">
        <f>tblDailySchedule[[#This Row],[STD]]</f>
        <v>0.77430555555555558</v>
      </c>
    </row>
    <row r="407" spans="1:20" hidden="1" x14ac:dyDescent="0.35">
      <c r="A407" s="11">
        <v>46124</v>
      </c>
      <c r="B407" s="3">
        <v>7</v>
      </c>
      <c r="C407" t="s">
        <v>17</v>
      </c>
      <c r="D407" t="s">
        <v>18</v>
      </c>
      <c r="E407" s="3">
        <v>20</v>
      </c>
      <c r="F407" t="s">
        <v>34</v>
      </c>
      <c r="G407" t="s">
        <v>75</v>
      </c>
      <c r="H407" t="s">
        <v>76</v>
      </c>
      <c r="I407" s="12">
        <v>0.76388888888888884</v>
      </c>
      <c r="J407" t="s">
        <v>77</v>
      </c>
      <c r="K407" t="s">
        <v>78</v>
      </c>
      <c r="L407" s="12">
        <v>0.78472222222222221</v>
      </c>
      <c r="M407" t="s">
        <v>51</v>
      </c>
      <c r="N407" s="3">
        <v>78</v>
      </c>
      <c r="O407" t="s">
        <v>24</v>
      </c>
      <c r="P407" t="s">
        <v>79</v>
      </c>
      <c r="Q407" s="16" t="s">
        <v>80</v>
      </c>
      <c r="R407">
        <f>tblDailySchedule[[#This Row],[Capacity Approx]]*'[1]Load Factor Sheet June Acft  '!$B$5</f>
        <v>63.162272727272729</v>
      </c>
      <c r="S407">
        <f>tblDailySchedule[[#This Row],[Capacity Approx]]*'[1]Load Factor Sheet June Acft  '!$D$5</f>
        <v>68.391818181818181</v>
      </c>
      <c r="T407" s="22">
        <f>tblDailySchedule[[#This Row],[STD]]</f>
        <v>0.78472222222222221</v>
      </c>
    </row>
    <row r="408" spans="1:20" hidden="1" x14ac:dyDescent="0.35">
      <c r="A408" s="11">
        <v>46124</v>
      </c>
      <c r="B408" s="3">
        <v>7</v>
      </c>
      <c r="C408" t="s">
        <v>17</v>
      </c>
      <c r="D408" t="s">
        <v>18</v>
      </c>
      <c r="E408" s="3">
        <v>21</v>
      </c>
      <c r="F408" t="s">
        <v>19</v>
      </c>
      <c r="G408" t="s">
        <v>81</v>
      </c>
      <c r="H408" t="s">
        <v>61</v>
      </c>
      <c r="I408" s="12">
        <v>0.77083333333333337</v>
      </c>
      <c r="J408" t="s">
        <v>82</v>
      </c>
      <c r="K408" t="s">
        <v>49</v>
      </c>
      <c r="L408" s="12">
        <v>0.79166666666666663</v>
      </c>
      <c r="M408" t="s">
        <v>33</v>
      </c>
      <c r="N408" s="3">
        <v>189</v>
      </c>
      <c r="O408" t="s">
        <v>24</v>
      </c>
      <c r="P408" t="s">
        <v>79</v>
      </c>
      <c r="R408">
        <f>tblDailySchedule[[#This Row],[Capacity Approx]]*'[1]Load Factor Sheet June Acft  '!$B$5</f>
        <v>153.04704545454547</v>
      </c>
      <c r="S408">
        <f>tblDailySchedule[[#This Row],[Capacity Approx]]*'[1]Load Factor Sheet June Acft  '!$D$5</f>
        <v>165.71863636363636</v>
      </c>
      <c r="T408" s="22">
        <f>tblDailySchedule[[#This Row],[STD]]</f>
        <v>0.79166666666666663</v>
      </c>
    </row>
    <row r="409" spans="1:20" hidden="1" x14ac:dyDescent="0.35">
      <c r="A409" s="11">
        <v>46124</v>
      </c>
      <c r="B409" s="3">
        <v>7</v>
      </c>
      <c r="C409" t="s">
        <v>17</v>
      </c>
      <c r="D409" t="s">
        <v>18</v>
      </c>
      <c r="E409" s="3">
        <v>22</v>
      </c>
      <c r="F409" t="s">
        <v>19</v>
      </c>
      <c r="G409" t="s">
        <v>83</v>
      </c>
      <c r="H409" t="s">
        <v>31</v>
      </c>
      <c r="I409" s="12">
        <v>0.77777777777777779</v>
      </c>
      <c r="J409" t="s">
        <v>84</v>
      </c>
      <c r="K409" t="s">
        <v>31</v>
      </c>
      <c r="L409" s="12">
        <v>0.80555555555555558</v>
      </c>
      <c r="M409" t="s">
        <v>63</v>
      </c>
      <c r="N409" s="3">
        <v>232</v>
      </c>
      <c r="O409" t="s">
        <v>24</v>
      </c>
      <c r="P409" t="s">
        <v>79</v>
      </c>
      <c r="R409">
        <f>tblDailySchedule[[#This Row],[Capacity Approx]]*'[1]Load Factor Sheet June Acft  '!$B$5</f>
        <v>187.86727272727273</v>
      </c>
      <c r="S409">
        <f>tblDailySchedule[[#This Row],[Capacity Approx]]*'[1]Load Factor Sheet June Acft  '!$D$5</f>
        <v>203.4218181818182</v>
      </c>
      <c r="T409" s="22">
        <f>tblDailySchedule[[#This Row],[STD]]</f>
        <v>0.80555555555555558</v>
      </c>
    </row>
    <row r="410" spans="1:20" hidden="1" x14ac:dyDescent="0.35">
      <c r="A410" s="11">
        <v>46124</v>
      </c>
      <c r="B410" s="3">
        <v>7</v>
      </c>
      <c r="C410" t="s">
        <v>17</v>
      </c>
      <c r="D410" t="s">
        <v>18</v>
      </c>
      <c r="E410" s="3">
        <v>23</v>
      </c>
      <c r="F410" t="s">
        <v>19</v>
      </c>
      <c r="G410" t="s">
        <v>85</v>
      </c>
      <c r="H410" t="s">
        <v>86</v>
      </c>
      <c r="I410" s="12">
        <v>0.79861111111111116</v>
      </c>
      <c r="J410" t="s">
        <v>87</v>
      </c>
      <c r="K410" t="s">
        <v>86</v>
      </c>
      <c r="L410" s="12">
        <v>0.82638888888888884</v>
      </c>
      <c r="M410" t="s">
        <v>63</v>
      </c>
      <c r="N410" s="3">
        <v>232</v>
      </c>
      <c r="O410" t="s">
        <v>24</v>
      </c>
      <c r="P410" t="s">
        <v>79</v>
      </c>
      <c r="R410">
        <f>tblDailySchedule[[#This Row],[Capacity Approx]]*'[1]Load Factor Sheet June Acft  '!$B$5</f>
        <v>187.86727272727273</v>
      </c>
      <c r="S410">
        <f>tblDailySchedule[[#This Row],[Capacity Approx]]*'[1]Load Factor Sheet June Acft  '!$D$5</f>
        <v>203.4218181818182</v>
      </c>
      <c r="T410" s="22">
        <f>tblDailySchedule[[#This Row],[STD]]</f>
        <v>0.82638888888888884</v>
      </c>
    </row>
    <row r="411" spans="1:20" hidden="1" x14ac:dyDescent="0.35">
      <c r="A411" s="11">
        <v>46124</v>
      </c>
      <c r="B411" s="3">
        <v>7</v>
      </c>
      <c r="C411" t="s">
        <v>17</v>
      </c>
      <c r="D411" t="s">
        <v>18</v>
      </c>
      <c r="E411" s="3">
        <v>24</v>
      </c>
      <c r="F411" t="s">
        <v>19</v>
      </c>
      <c r="G411" t="s">
        <v>88</v>
      </c>
      <c r="H411" t="s">
        <v>89</v>
      </c>
      <c r="I411" s="12">
        <v>0.83333333333333337</v>
      </c>
      <c r="J411" t="s">
        <v>90</v>
      </c>
      <c r="K411" t="s">
        <v>31</v>
      </c>
      <c r="L411" s="12">
        <v>0.86111111111111116</v>
      </c>
      <c r="M411" t="s">
        <v>63</v>
      </c>
      <c r="N411" s="3">
        <v>232</v>
      </c>
      <c r="O411" t="s">
        <v>24</v>
      </c>
      <c r="P411" t="s">
        <v>79</v>
      </c>
      <c r="R411">
        <f>tblDailySchedule[[#This Row],[Capacity Approx]]*'[1]Load Factor Sheet June Acft  '!$B$5</f>
        <v>187.86727272727273</v>
      </c>
      <c r="S411">
        <f>tblDailySchedule[[#This Row],[Capacity Approx]]*'[1]Load Factor Sheet June Acft  '!$D$5</f>
        <v>203.4218181818182</v>
      </c>
      <c r="T411" s="22">
        <f>tblDailySchedule[[#This Row],[STD]]</f>
        <v>0.86111111111111116</v>
      </c>
    </row>
    <row r="412" spans="1:20" hidden="1" x14ac:dyDescent="0.35">
      <c r="A412" s="11">
        <v>46124</v>
      </c>
      <c r="B412" s="3">
        <v>7</v>
      </c>
      <c r="C412" t="s">
        <v>17</v>
      </c>
      <c r="D412" t="s">
        <v>18</v>
      </c>
      <c r="E412" s="3">
        <v>25</v>
      </c>
      <c r="F412" t="s">
        <v>19</v>
      </c>
      <c r="G412" t="s">
        <v>91</v>
      </c>
      <c r="H412" t="s">
        <v>61</v>
      </c>
      <c r="I412" s="12">
        <v>0.85416666666666663</v>
      </c>
      <c r="J412" t="s">
        <v>92</v>
      </c>
      <c r="K412" t="s">
        <v>61</v>
      </c>
      <c r="L412" s="12">
        <v>0.88194444444444442</v>
      </c>
      <c r="M412" t="s">
        <v>63</v>
      </c>
      <c r="N412" s="3">
        <v>232</v>
      </c>
      <c r="O412" t="s">
        <v>24</v>
      </c>
      <c r="P412" t="s">
        <v>79</v>
      </c>
      <c r="R412">
        <f>tblDailySchedule[[#This Row],[Capacity Approx]]*'[1]Load Factor Sheet June Acft  '!$B$5</f>
        <v>187.86727272727273</v>
      </c>
      <c r="S412">
        <f>tblDailySchedule[[#This Row],[Capacity Approx]]*'[1]Load Factor Sheet June Acft  '!$D$5</f>
        <v>203.4218181818182</v>
      </c>
      <c r="T412" s="22">
        <f>tblDailySchedule[[#This Row],[STD]]</f>
        <v>0.88194444444444442</v>
      </c>
    </row>
    <row r="413" spans="1:20" hidden="1" x14ac:dyDescent="0.35">
      <c r="A413" s="11">
        <v>46124</v>
      </c>
      <c r="B413" s="3">
        <v>7</v>
      </c>
      <c r="C413" t="s">
        <v>17</v>
      </c>
      <c r="D413" t="s">
        <v>18</v>
      </c>
      <c r="E413" s="3">
        <v>26</v>
      </c>
      <c r="F413" t="s">
        <v>19</v>
      </c>
      <c r="G413" t="s">
        <v>93</v>
      </c>
      <c r="H413" t="s">
        <v>31</v>
      </c>
      <c r="I413" s="12">
        <v>0.86111111111111116</v>
      </c>
      <c r="J413" t="s">
        <v>94</v>
      </c>
      <c r="K413" t="s">
        <v>31</v>
      </c>
      <c r="L413" s="12">
        <v>0.88888888888888884</v>
      </c>
      <c r="M413" t="s">
        <v>23</v>
      </c>
      <c r="N413" s="3">
        <v>186</v>
      </c>
      <c r="O413" t="s">
        <v>24</v>
      </c>
      <c r="P413" t="s">
        <v>79</v>
      </c>
      <c r="R413">
        <f>tblDailySchedule[[#This Row],[Capacity Approx]]*'[1]Load Factor Sheet June Acft  '!$B$5</f>
        <v>150.61772727272728</v>
      </c>
      <c r="S413">
        <f>tblDailySchedule[[#This Row],[Capacity Approx]]*'[1]Load Factor Sheet June Acft  '!$D$5</f>
        <v>163.08818181818182</v>
      </c>
      <c r="T413" s="22">
        <f>tblDailySchedule[[#This Row],[STD]]</f>
        <v>0.88888888888888884</v>
      </c>
    </row>
    <row r="414" spans="1:20" hidden="1" x14ac:dyDescent="0.35">
      <c r="A414" s="11">
        <v>46124</v>
      </c>
      <c r="B414" s="3">
        <v>7</v>
      </c>
      <c r="C414" t="s">
        <v>17</v>
      </c>
      <c r="D414" t="s">
        <v>18</v>
      </c>
      <c r="E414" s="3">
        <v>27</v>
      </c>
      <c r="F414" t="s">
        <v>19</v>
      </c>
      <c r="G414" t="s">
        <v>95</v>
      </c>
      <c r="H414" t="s">
        <v>21</v>
      </c>
      <c r="I414" s="12">
        <v>0.86805555555555558</v>
      </c>
      <c r="J414" t="s">
        <v>96</v>
      </c>
      <c r="K414" t="s">
        <v>21</v>
      </c>
      <c r="L414" s="12">
        <v>0.89583333333333337</v>
      </c>
      <c r="M414" t="s">
        <v>29</v>
      </c>
      <c r="N414" s="3">
        <v>186</v>
      </c>
      <c r="O414" t="s">
        <v>24</v>
      </c>
      <c r="P414" t="s">
        <v>79</v>
      </c>
      <c r="R414">
        <f>tblDailySchedule[[#This Row],[Capacity Approx]]*'[1]Load Factor Sheet June Acft  '!$B$5</f>
        <v>150.61772727272728</v>
      </c>
      <c r="S414">
        <f>tblDailySchedule[[#This Row],[Capacity Approx]]*'[1]Load Factor Sheet June Acft  '!$D$5</f>
        <v>163.08818181818182</v>
      </c>
      <c r="T414" s="22">
        <f>tblDailySchedule[[#This Row],[STD]]</f>
        <v>0.89583333333333337</v>
      </c>
    </row>
    <row r="415" spans="1:20" hidden="1" x14ac:dyDescent="0.35">
      <c r="A415" s="11">
        <v>46124</v>
      </c>
      <c r="B415" s="3">
        <v>7</v>
      </c>
      <c r="C415" t="s">
        <v>17</v>
      </c>
      <c r="D415" t="s">
        <v>18</v>
      </c>
      <c r="E415" s="3">
        <v>28</v>
      </c>
      <c r="F415" t="s">
        <v>19</v>
      </c>
      <c r="G415" t="s">
        <v>97</v>
      </c>
      <c r="H415" t="s">
        <v>49</v>
      </c>
      <c r="I415" s="12">
        <v>0.90277777777777779</v>
      </c>
      <c r="J415" t="s">
        <v>97</v>
      </c>
      <c r="K415" t="s">
        <v>61</v>
      </c>
      <c r="L415" s="12">
        <v>0.92361111111111116</v>
      </c>
      <c r="M415" t="s">
        <v>33</v>
      </c>
      <c r="N415" s="3">
        <v>189</v>
      </c>
      <c r="O415" t="s">
        <v>24</v>
      </c>
      <c r="P415" t="s">
        <v>79</v>
      </c>
      <c r="R415">
        <f>tblDailySchedule[[#This Row],[Capacity Approx]]*'[1]Load Factor Sheet June Acft  '!$B$5</f>
        <v>153.04704545454547</v>
      </c>
      <c r="S415">
        <f>tblDailySchedule[[#This Row],[Capacity Approx]]*'[1]Load Factor Sheet June Acft  '!$D$5</f>
        <v>165.71863636363636</v>
      </c>
      <c r="T415" s="22">
        <f>tblDailySchedule[[#This Row],[STD]]</f>
        <v>0.92361111111111116</v>
      </c>
    </row>
    <row r="416" spans="1:20" hidden="1" x14ac:dyDescent="0.35">
      <c r="A416" s="11">
        <v>46124</v>
      </c>
      <c r="B416" s="3">
        <v>7</v>
      </c>
      <c r="C416" t="s">
        <v>17</v>
      </c>
      <c r="D416" t="s">
        <v>18</v>
      </c>
      <c r="E416" s="3">
        <v>29</v>
      </c>
      <c r="F416" t="s">
        <v>19</v>
      </c>
      <c r="G416" t="s">
        <v>98</v>
      </c>
      <c r="H416" t="s">
        <v>21</v>
      </c>
      <c r="I416" s="12">
        <v>0.92013888888888884</v>
      </c>
      <c r="J416" t="s">
        <v>99</v>
      </c>
      <c r="K416" t="s">
        <v>21</v>
      </c>
      <c r="L416" s="12">
        <v>0.94791666666666663</v>
      </c>
      <c r="M416" t="s">
        <v>63</v>
      </c>
      <c r="N416" s="3">
        <v>232</v>
      </c>
      <c r="O416" t="s">
        <v>24</v>
      </c>
      <c r="P416" t="s">
        <v>79</v>
      </c>
      <c r="R416">
        <f>tblDailySchedule[[#This Row],[Capacity Approx]]*'[1]Load Factor Sheet June Acft  '!$B$5</f>
        <v>187.86727272727273</v>
      </c>
      <c r="S416">
        <f>tblDailySchedule[[#This Row],[Capacity Approx]]*'[1]Load Factor Sheet June Acft  '!$D$5</f>
        <v>203.4218181818182</v>
      </c>
      <c r="T416" s="22">
        <f>tblDailySchedule[[#This Row],[STD]]</f>
        <v>0.94791666666666663</v>
      </c>
    </row>
    <row r="417" spans="1:20" hidden="1" x14ac:dyDescent="0.35">
      <c r="A417" s="11">
        <v>46125</v>
      </c>
      <c r="B417" s="3">
        <v>1</v>
      </c>
      <c r="C417" t="s">
        <v>100</v>
      </c>
      <c r="D417" t="s">
        <v>18</v>
      </c>
      <c r="E417" s="3">
        <v>1</v>
      </c>
      <c r="F417" t="s">
        <v>101</v>
      </c>
      <c r="G417" t="s">
        <v>102</v>
      </c>
      <c r="H417" t="s">
        <v>61</v>
      </c>
      <c r="I417" s="12">
        <v>0.3125</v>
      </c>
      <c r="J417" t="s">
        <v>103</v>
      </c>
      <c r="K417" t="s">
        <v>61</v>
      </c>
      <c r="L417" s="12">
        <v>0.33333333333333331</v>
      </c>
      <c r="M417" t="s">
        <v>33</v>
      </c>
      <c r="N417" s="3">
        <v>189</v>
      </c>
      <c r="O417" t="s">
        <v>24</v>
      </c>
      <c r="P417" t="s">
        <v>25</v>
      </c>
      <c r="R417">
        <f>tblDailySchedule[[#This Row],[Capacity Approx]]*'[1]Load Factor Sheet June Acft  '!$B$5</f>
        <v>153.04704545454547</v>
      </c>
      <c r="S417">
        <f>tblDailySchedule[[#This Row],[Capacity Approx]]*'[1]Load Factor Sheet June Acft  '!$D$5</f>
        <v>165.71863636363636</v>
      </c>
      <c r="T417" s="22">
        <f>tblDailySchedule[[#This Row],[STD]]</f>
        <v>0.33333333333333331</v>
      </c>
    </row>
    <row r="418" spans="1:20" hidden="1" x14ac:dyDescent="0.35">
      <c r="A418" s="11">
        <v>46125</v>
      </c>
      <c r="B418" s="3">
        <v>1</v>
      </c>
      <c r="C418" t="s">
        <v>100</v>
      </c>
      <c r="D418" t="s">
        <v>18</v>
      </c>
      <c r="E418" s="3">
        <v>2</v>
      </c>
      <c r="F418" t="s">
        <v>19</v>
      </c>
      <c r="G418" t="s">
        <v>20</v>
      </c>
      <c r="H418" t="s">
        <v>21</v>
      </c>
      <c r="I418" s="12">
        <v>0.31944444444444442</v>
      </c>
      <c r="J418" t="s">
        <v>22</v>
      </c>
      <c r="K418" t="s">
        <v>21</v>
      </c>
      <c r="L418" s="12">
        <v>0.34722222222222221</v>
      </c>
      <c r="M418" t="s">
        <v>23</v>
      </c>
      <c r="N418" s="3">
        <v>186</v>
      </c>
      <c r="O418" t="s">
        <v>24</v>
      </c>
      <c r="P418" t="s">
        <v>25</v>
      </c>
      <c r="R418">
        <f>tblDailySchedule[[#This Row],[Capacity Approx]]*'[1]Load Factor Sheet June Acft  '!$B$5</f>
        <v>150.61772727272728</v>
      </c>
      <c r="S418">
        <f>tblDailySchedule[[#This Row],[Capacity Approx]]*'[1]Load Factor Sheet June Acft  '!$D$5</f>
        <v>163.08818181818182</v>
      </c>
      <c r="T418" s="22">
        <f>tblDailySchedule[[#This Row],[STD]]</f>
        <v>0.34722222222222221</v>
      </c>
    </row>
    <row r="419" spans="1:20" hidden="1" x14ac:dyDescent="0.35">
      <c r="A419" s="11">
        <v>46125</v>
      </c>
      <c r="B419" s="3">
        <v>1</v>
      </c>
      <c r="C419" t="s">
        <v>100</v>
      </c>
      <c r="D419" t="s">
        <v>18</v>
      </c>
      <c r="E419" s="3">
        <v>3</v>
      </c>
      <c r="F419" t="s">
        <v>19</v>
      </c>
      <c r="G419" t="s">
        <v>26</v>
      </c>
      <c r="H419" t="s">
        <v>27</v>
      </c>
      <c r="I419" s="12">
        <v>0.3263888888888889</v>
      </c>
      <c r="J419" t="s">
        <v>28</v>
      </c>
      <c r="K419" t="s">
        <v>27</v>
      </c>
      <c r="L419" s="12">
        <v>0.35416666666666669</v>
      </c>
      <c r="M419" t="s">
        <v>29</v>
      </c>
      <c r="N419" s="3">
        <v>186</v>
      </c>
      <c r="O419" t="s">
        <v>24</v>
      </c>
      <c r="P419" t="s">
        <v>25</v>
      </c>
      <c r="R419">
        <f>tblDailySchedule[[#This Row],[Capacity Approx]]*'[1]Load Factor Sheet June Acft  '!$B$5</f>
        <v>150.61772727272728</v>
      </c>
      <c r="S419">
        <f>tblDailySchedule[[#This Row],[Capacity Approx]]*'[1]Load Factor Sheet June Acft  '!$D$5</f>
        <v>163.08818181818182</v>
      </c>
      <c r="T419" s="22">
        <f>tblDailySchedule[[#This Row],[STD]]</f>
        <v>0.35416666666666669</v>
      </c>
    </row>
    <row r="420" spans="1:20" hidden="1" x14ac:dyDescent="0.35">
      <c r="A420" s="11">
        <v>46125</v>
      </c>
      <c r="B420" s="3">
        <v>1</v>
      </c>
      <c r="C420" t="s">
        <v>100</v>
      </c>
      <c r="D420" t="s">
        <v>18</v>
      </c>
      <c r="E420" s="3">
        <v>4</v>
      </c>
      <c r="F420" t="s">
        <v>19</v>
      </c>
      <c r="G420" t="s">
        <v>30</v>
      </c>
      <c r="H420" t="s">
        <v>31</v>
      </c>
      <c r="I420" s="12">
        <v>0.34722222222222221</v>
      </c>
      <c r="J420" t="s">
        <v>32</v>
      </c>
      <c r="K420" t="s">
        <v>31</v>
      </c>
      <c r="L420" s="12">
        <v>0.36805555555555558</v>
      </c>
      <c r="M420" t="s">
        <v>33</v>
      </c>
      <c r="N420" s="3">
        <v>189</v>
      </c>
      <c r="O420" t="s">
        <v>24</v>
      </c>
      <c r="P420" t="s">
        <v>25</v>
      </c>
      <c r="R420">
        <f>tblDailySchedule[[#This Row],[Capacity Approx]]*'[1]Load Factor Sheet June Acft  '!$B$5</f>
        <v>153.04704545454547</v>
      </c>
      <c r="S420">
        <f>tblDailySchedule[[#This Row],[Capacity Approx]]*'[1]Load Factor Sheet June Acft  '!$D$5</f>
        <v>165.71863636363636</v>
      </c>
      <c r="T420" s="22">
        <f>tblDailySchedule[[#This Row],[STD]]</f>
        <v>0.36805555555555558</v>
      </c>
    </row>
    <row r="421" spans="1:20" hidden="1" x14ac:dyDescent="0.35">
      <c r="A421" s="13">
        <v>46125</v>
      </c>
      <c r="B421" s="7">
        <v>1</v>
      </c>
      <c r="C421" s="14" t="s">
        <v>100</v>
      </c>
      <c r="D421" s="14" t="s">
        <v>18</v>
      </c>
      <c r="E421" s="7">
        <v>6</v>
      </c>
      <c r="F421" s="14" t="s">
        <v>34</v>
      </c>
      <c r="G421" s="14" t="s">
        <v>35</v>
      </c>
      <c r="H421" s="14" t="s">
        <v>36</v>
      </c>
      <c r="I421" s="15">
        <v>0.34722222222222221</v>
      </c>
      <c r="J421" s="14" t="s">
        <v>37</v>
      </c>
      <c r="K421" s="14" t="s">
        <v>36</v>
      </c>
      <c r="L421" s="15">
        <v>0.40972222222222221</v>
      </c>
      <c r="M421" s="14" t="s">
        <v>38</v>
      </c>
      <c r="N421" s="7">
        <v>186</v>
      </c>
      <c r="O421" s="14" t="s">
        <v>39</v>
      </c>
      <c r="P421" s="14" t="s">
        <v>25</v>
      </c>
      <c r="Q421" s="14" t="s">
        <v>39</v>
      </c>
      <c r="R421">
        <f>tblDailySchedule[[#This Row],[Capacity Approx]]*'[1]Load Factor Sheet June Acft  '!$B$5</f>
        <v>150.61772727272728</v>
      </c>
      <c r="S421">
        <f>tblDailySchedule[[#This Row],[Capacity Approx]]*'[1]Load Factor Sheet June Acft  '!$D$5</f>
        <v>163.08818181818182</v>
      </c>
      <c r="T421" s="22">
        <f>tblDailySchedule[[#This Row],[STD]]</f>
        <v>0.40972222222222221</v>
      </c>
    </row>
    <row r="422" spans="1:20" hidden="1" x14ac:dyDescent="0.35">
      <c r="A422" s="11">
        <v>46125</v>
      </c>
      <c r="B422" s="3">
        <v>1</v>
      </c>
      <c r="C422" t="s">
        <v>100</v>
      </c>
      <c r="D422" t="s">
        <v>18</v>
      </c>
      <c r="E422" s="3">
        <v>5</v>
      </c>
      <c r="F422" t="s">
        <v>19</v>
      </c>
      <c r="G422" t="s">
        <v>40</v>
      </c>
      <c r="H422" t="s">
        <v>31</v>
      </c>
      <c r="I422" s="12">
        <v>0.35069444444444442</v>
      </c>
      <c r="J422" t="s">
        <v>41</v>
      </c>
      <c r="K422" t="s">
        <v>31</v>
      </c>
      <c r="L422" s="12">
        <v>0.37152777777777779</v>
      </c>
      <c r="M422" t="s">
        <v>23</v>
      </c>
      <c r="N422" s="3">
        <v>186</v>
      </c>
      <c r="O422" t="s">
        <v>24</v>
      </c>
      <c r="P422" t="s">
        <v>25</v>
      </c>
      <c r="R422">
        <f>tblDailySchedule[[#This Row],[Capacity Approx]]*'[1]Load Factor Sheet June Acft  '!$B$5</f>
        <v>150.61772727272728</v>
      </c>
      <c r="S422">
        <f>tblDailySchedule[[#This Row],[Capacity Approx]]*'[1]Load Factor Sheet June Acft  '!$D$5</f>
        <v>163.08818181818182</v>
      </c>
      <c r="T422" s="22">
        <f>tblDailySchedule[[#This Row],[STD]]</f>
        <v>0.37152777777777779</v>
      </c>
    </row>
    <row r="423" spans="1:20" hidden="1" x14ac:dyDescent="0.35">
      <c r="A423" s="11">
        <v>46125</v>
      </c>
      <c r="B423" s="3">
        <v>1</v>
      </c>
      <c r="C423" t="s">
        <v>100</v>
      </c>
      <c r="D423" t="s">
        <v>18</v>
      </c>
      <c r="E423" s="3">
        <v>7</v>
      </c>
      <c r="F423" t="s">
        <v>19</v>
      </c>
      <c r="G423" t="s">
        <v>42</v>
      </c>
      <c r="H423" t="s">
        <v>43</v>
      </c>
      <c r="I423" s="12">
        <v>0.3923611111111111</v>
      </c>
      <c r="J423" t="s">
        <v>44</v>
      </c>
      <c r="K423" t="s">
        <v>43</v>
      </c>
      <c r="L423" s="12">
        <v>0.40277777777777779</v>
      </c>
      <c r="M423" t="s">
        <v>45</v>
      </c>
      <c r="N423" s="3">
        <v>9</v>
      </c>
      <c r="O423" t="s">
        <v>24</v>
      </c>
      <c r="P423" t="s">
        <v>25</v>
      </c>
      <c r="R423">
        <f>tblDailySchedule[[#This Row],[Capacity Approx]]*'[1]Load Factor Sheet June Acft  '!$B$5</f>
        <v>7.2879545454545456</v>
      </c>
      <c r="S423">
        <f>tblDailySchedule[[#This Row],[Capacity Approx]]*'[1]Load Factor Sheet June Acft  '!$D$5</f>
        <v>7.8913636363636366</v>
      </c>
      <c r="T423" s="22">
        <f>tblDailySchedule[[#This Row],[STD]]</f>
        <v>0.40277777777777779</v>
      </c>
    </row>
    <row r="424" spans="1:20" hidden="1" x14ac:dyDescent="0.35">
      <c r="A424" s="11">
        <v>46125</v>
      </c>
      <c r="B424" s="3">
        <v>1</v>
      </c>
      <c r="C424" t="s">
        <v>100</v>
      </c>
      <c r="D424" t="s">
        <v>18</v>
      </c>
      <c r="E424" s="3">
        <v>8</v>
      </c>
      <c r="F424" t="s">
        <v>19</v>
      </c>
      <c r="G424" t="s">
        <v>46</v>
      </c>
      <c r="H424" t="s">
        <v>31</v>
      </c>
      <c r="I424" s="12">
        <v>0.4201388888888889</v>
      </c>
      <c r="J424" t="s">
        <v>47</v>
      </c>
      <c r="K424" t="s">
        <v>31</v>
      </c>
      <c r="L424" s="12">
        <v>0.44444444444444442</v>
      </c>
      <c r="M424" t="s">
        <v>29</v>
      </c>
      <c r="N424" s="3">
        <v>186</v>
      </c>
      <c r="O424" t="s">
        <v>24</v>
      </c>
      <c r="P424" t="s">
        <v>25</v>
      </c>
      <c r="R424">
        <f>tblDailySchedule[[#This Row],[Capacity Approx]]*'[1]Load Factor Sheet June Acft  '!$B$5</f>
        <v>150.61772727272728</v>
      </c>
      <c r="S424">
        <f>tblDailySchedule[[#This Row],[Capacity Approx]]*'[1]Load Factor Sheet June Acft  '!$D$5</f>
        <v>163.08818181818182</v>
      </c>
      <c r="T424" s="22">
        <f>tblDailySchedule[[#This Row],[STD]]</f>
        <v>0.44444444444444442</v>
      </c>
    </row>
    <row r="425" spans="1:20" hidden="1" x14ac:dyDescent="0.35">
      <c r="A425" s="11">
        <v>46125</v>
      </c>
      <c r="B425" s="3">
        <v>1</v>
      </c>
      <c r="C425" t="s">
        <v>100</v>
      </c>
      <c r="D425" t="s">
        <v>18</v>
      </c>
      <c r="E425" s="3">
        <v>9</v>
      </c>
      <c r="F425" t="s">
        <v>19</v>
      </c>
      <c r="G425" t="s">
        <v>48</v>
      </c>
      <c r="H425" t="s">
        <v>49</v>
      </c>
      <c r="I425" s="12">
        <v>0.4375</v>
      </c>
      <c r="J425" t="s">
        <v>50</v>
      </c>
      <c r="K425" t="s">
        <v>49</v>
      </c>
      <c r="L425" s="12">
        <v>0.45833333333333331</v>
      </c>
      <c r="M425" t="s">
        <v>51</v>
      </c>
      <c r="N425" s="3">
        <v>78</v>
      </c>
      <c r="O425" t="s">
        <v>24</v>
      </c>
      <c r="P425" t="s">
        <v>25</v>
      </c>
      <c r="R425">
        <f>tblDailySchedule[[#This Row],[Capacity Approx]]*'[1]Load Factor Sheet June Acft  '!$B$5</f>
        <v>63.162272727272729</v>
      </c>
      <c r="S425">
        <f>tblDailySchedule[[#This Row],[Capacity Approx]]*'[1]Load Factor Sheet June Acft  '!$D$5</f>
        <v>68.391818181818181</v>
      </c>
      <c r="T425" s="22">
        <f>tblDailySchedule[[#This Row],[STD]]</f>
        <v>0.45833333333333331</v>
      </c>
    </row>
    <row r="426" spans="1:20" hidden="1" x14ac:dyDescent="0.35">
      <c r="A426" s="11">
        <v>46125</v>
      </c>
      <c r="B426" s="3">
        <v>1</v>
      </c>
      <c r="C426" t="s">
        <v>100</v>
      </c>
      <c r="D426" t="s">
        <v>18</v>
      </c>
      <c r="E426" s="3">
        <v>10</v>
      </c>
      <c r="F426" t="s">
        <v>19</v>
      </c>
      <c r="G426" t="s">
        <v>52</v>
      </c>
      <c r="H426" t="s">
        <v>27</v>
      </c>
      <c r="I426" s="12">
        <v>0.4826388888888889</v>
      </c>
      <c r="J426" t="s">
        <v>53</v>
      </c>
      <c r="K426" t="s">
        <v>27</v>
      </c>
      <c r="L426" s="12">
        <v>0.51041666666666663</v>
      </c>
      <c r="M426" t="s">
        <v>23</v>
      </c>
      <c r="N426" s="3">
        <v>186</v>
      </c>
      <c r="O426" t="s">
        <v>24</v>
      </c>
      <c r="P426" t="s">
        <v>25</v>
      </c>
      <c r="R426">
        <f>tblDailySchedule[[#This Row],[Capacity Approx]]*'[1]Load Factor Sheet June Acft  '!$B$5</f>
        <v>150.61772727272728</v>
      </c>
      <c r="S426">
        <f>tblDailySchedule[[#This Row],[Capacity Approx]]*'[1]Load Factor Sheet June Acft  '!$D$5</f>
        <v>163.08818181818182</v>
      </c>
      <c r="T426" s="22">
        <f>tblDailySchedule[[#This Row],[STD]]</f>
        <v>0.51041666666666663</v>
      </c>
    </row>
    <row r="427" spans="1:20" hidden="1" x14ac:dyDescent="0.35">
      <c r="A427" s="11">
        <v>46125</v>
      </c>
      <c r="B427" s="3">
        <v>1</v>
      </c>
      <c r="C427" t="s">
        <v>100</v>
      </c>
      <c r="D427" t="s">
        <v>18</v>
      </c>
      <c r="E427" s="3">
        <v>11</v>
      </c>
      <c r="F427" t="s">
        <v>19</v>
      </c>
      <c r="G427" t="s">
        <v>54</v>
      </c>
      <c r="H427" t="s">
        <v>31</v>
      </c>
      <c r="I427" s="12">
        <v>0.51388888888888884</v>
      </c>
      <c r="J427" t="s">
        <v>55</v>
      </c>
      <c r="K427" t="s">
        <v>31</v>
      </c>
      <c r="L427" s="12">
        <v>0.54166666666666663</v>
      </c>
      <c r="M427" t="s">
        <v>23</v>
      </c>
      <c r="N427" s="3">
        <v>186</v>
      </c>
      <c r="O427" t="s">
        <v>24</v>
      </c>
      <c r="P427" t="s">
        <v>56</v>
      </c>
      <c r="R427">
        <f>tblDailySchedule[[#This Row],[Capacity Approx]]*'[1]Load Factor Sheet June Acft  '!$B$5</f>
        <v>150.61772727272728</v>
      </c>
      <c r="S427">
        <f>tblDailySchedule[[#This Row],[Capacity Approx]]*'[1]Load Factor Sheet June Acft  '!$D$5</f>
        <v>163.08818181818182</v>
      </c>
      <c r="T427" s="22">
        <f>tblDailySchedule[[#This Row],[STD]]</f>
        <v>0.54166666666666663</v>
      </c>
    </row>
    <row r="428" spans="1:20" hidden="1" x14ac:dyDescent="0.35">
      <c r="A428" s="11">
        <v>46125</v>
      </c>
      <c r="B428" s="3">
        <v>1</v>
      </c>
      <c r="C428" t="s">
        <v>100</v>
      </c>
      <c r="D428" t="s">
        <v>18</v>
      </c>
      <c r="E428" s="3">
        <v>13</v>
      </c>
      <c r="F428" t="s">
        <v>19</v>
      </c>
      <c r="G428" t="s">
        <v>57</v>
      </c>
      <c r="H428" t="s">
        <v>58</v>
      </c>
      <c r="I428" s="12">
        <v>0.55902777777777779</v>
      </c>
      <c r="J428" t="s">
        <v>59</v>
      </c>
      <c r="K428" t="s">
        <v>58</v>
      </c>
      <c r="L428" s="12">
        <v>0.57638888888888884</v>
      </c>
      <c r="M428" t="s">
        <v>51</v>
      </c>
      <c r="N428" s="3">
        <v>78</v>
      </c>
      <c r="O428" t="s">
        <v>24</v>
      </c>
      <c r="P428" t="s">
        <v>56</v>
      </c>
      <c r="R428">
        <f>tblDailySchedule[[#This Row],[Capacity Approx]]*'[1]Load Factor Sheet June Acft  '!$B$5</f>
        <v>63.162272727272729</v>
      </c>
      <c r="S428">
        <f>tblDailySchedule[[#This Row],[Capacity Approx]]*'[1]Load Factor Sheet June Acft  '!$D$5</f>
        <v>68.391818181818181</v>
      </c>
      <c r="T428" s="22">
        <f>tblDailySchedule[[#This Row],[STD]]</f>
        <v>0.57638888888888884</v>
      </c>
    </row>
    <row r="429" spans="1:20" hidden="1" x14ac:dyDescent="0.35">
      <c r="A429" s="11">
        <v>46125</v>
      </c>
      <c r="B429" s="3">
        <v>1</v>
      </c>
      <c r="C429" t="s">
        <v>100</v>
      </c>
      <c r="D429" t="s">
        <v>18</v>
      </c>
      <c r="E429" s="3">
        <v>14</v>
      </c>
      <c r="F429" t="s">
        <v>19</v>
      </c>
      <c r="G429" t="s">
        <v>60</v>
      </c>
      <c r="H429" t="s">
        <v>61</v>
      </c>
      <c r="I429" s="12">
        <v>0.59027777777777779</v>
      </c>
      <c r="J429" t="s">
        <v>62</v>
      </c>
      <c r="K429" t="s">
        <v>61</v>
      </c>
      <c r="L429" s="12">
        <v>0.62152777777777779</v>
      </c>
      <c r="M429" t="s">
        <v>63</v>
      </c>
      <c r="N429" s="3">
        <v>232</v>
      </c>
      <c r="O429" t="s">
        <v>24</v>
      </c>
      <c r="P429" t="s">
        <v>56</v>
      </c>
      <c r="R429">
        <f>tblDailySchedule[[#This Row],[Capacity Approx]]*'[1]Load Factor Sheet June Acft  '!$B$5</f>
        <v>187.86727272727273</v>
      </c>
      <c r="S429">
        <f>tblDailySchedule[[#This Row],[Capacity Approx]]*'[1]Load Factor Sheet June Acft  '!$D$5</f>
        <v>203.4218181818182</v>
      </c>
      <c r="T429" s="22">
        <f>tblDailySchedule[[#This Row],[STD]]</f>
        <v>0.62152777777777779</v>
      </c>
    </row>
    <row r="430" spans="1:20" hidden="1" x14ac:dyDescent="0.35">
      <c r="A430" s="11">
        <v>46125</v>
      </c>
      <c r="B430" s="3">
        <v>1</v>
      </c>
      <c r="C430" t="s">
        <v>100</v>
      </c>
      <c r="D430" t="s">
        <v>18</v>
      </c>
      <c r="E430" s="3">
        <v>15</v>
      </c>
      <c r="F430" t="s">
        <v>19</v>
      </c>
      <c r="G430" t="s">
        <v>64</v>
      </c>
      <c r="H430" t="s">
        <v>31</v>
      </c>
      <c r="I430" s="12">
        <v>0.60069444444444442</v>
      </c>
      <c r="J430" t="s">
        <v>65</v>
      </c>
      <c r="K430" t="s">
        <v>66</v>
      </c>
      <c r="L430" s="12">
        <v>0.62847222222222221</v>
      </c>
      <c r="M430" t="s">
        <v>63</v>
      </c>
      <c r="N430" s="3">
        <v>232</v>
      </c>
      <c r="O430" t="s">
        <v>24</v>
      </c>
      <c r="P430" t="s">
        <v>56</v>
      </c>
      <c r="R430">
        <f>tblDailySchedule[[#This Row],[Capacity Approx]]*'[1]Load Factor Sheet June Acft  '!$B$5</f>
        <v>187.86727272727273</v>
      </c>
      <c r="S430">
        <f>tblDailySchedule[[#This Row],[Capacity Approx]]*'[1]Load Factor Sheet June Acft  '!$D$5</f>
        <v>203.4218181818182</v>
      </c>
      <c r="T430" s="22">
        <f>tblDailySchedule[[#This Row],[STD]]</f>
        <v>0.62847222222222221</v>
      </c>
    </row>
    <row r="431" spans="1:20" hidden="1" x14ac:dyDescent="0.35">
      <c r="A431" s="11">
        <v>46125</v>
      </c>
      <c r="B431" s="3">
        <v>1</v>
      </c>
      <c r="C431" t="s">
        <v>100</v>
      </c>
      <c r="D431" t="s">
        <v>18</v>
      </c>
      <c r="E431" s="3">
        <v>16</v>
      </c>
      <c r="F431" t="s">
        <v>19</v>
      </c>
      <c r="G431" t="s">
        <v>67</v>
      </c>
      <c r="H431" t="s">
        <v>31</v>
      </c>
      <c r="I431" s="12">
        <v>0.65625</v>
      </c>
      <c r="J431" t="s">
        <v>68</v>
      </c>
      <c r="K431" t="s">
        <v>31</v>
      </c>
      <c r="L431" s="12">
        <v>0.68402777777777779</v>
      </c>
      <c r="M431" t="s">
        <v>63</v>
      </c>
      <c r="N431" s="3">
        <v>232</v>
      </c>
      <c r="O431" t="s">
        <v>24</v>
      </c>
      <c r="P431" t="s">
        <v>56</v>
      </c>
      <c r="R431">
        <f>tblDailySchedule[[#This Row],[Capacity Approx]]*'[1]Load Factor Sheet June Acft  '!$B$5</f>
        <v>187.86727272727273</v>
      </c>
      <c r="S431">
        <f>tblDailySchedule[[#This Row],[Capacity Approx]]*'[1]Load Factor Sheet June Acft  '!$D$5</f>
        <v>203.4218181818182</v>
      </c>
      <c r="T431" s="22">
        <f>tblDailySchedule[[#This Row],[STD]]</f>
        <v>0.68402777777777779</v>
      </c>
    </row>
    <row r="432" spans="1:20" hidden="1" x14ac:dyDescent="0.35">
      <c r="A432" s="11">
        <v>46125</v>
      </c>
      <c r="B432" s="3">
        <v>1</v>
      </c>
      <c r="C432" t="s">
        <v>100</v>
      </c>
      <c r="D432" t="s">
        <v>18</v>
      </c>
      <c r="E432" s="3">
        <v>17</v>
      </c>
      <c r="F432" t="s">
        <v>19</v>
      </c>
      <c r="G432" t="s">
        <v>69</v>
      </c>
      <c r="H432" t="s">
        <v>31</v>
      </c>
      <c r="I432" s="12">
        <v>0.66319444444444442</v>
      </c>
      <c r="J432" t="s">
        <v>70</v>
      </c>
      <c r="K432" t="s">
        <v>31</v>
      </c>
      <c r="L432" s="12">
        <v>0.69097222222222221</v>
      </c>
      <c r="M432" t="s">
        <v>33</v>
      </c>
      <c r="N432" s="3">
        <v>189</v>
      </c>
      <c r="O432" t="s">
        <v>24</v>
      </c>
      <c r="P432" t="s">
        <v>56</v>
      </c>
      <c r="R432">
        <f>tblDailySchedule[[#This Row],[Capacity Approx]]*'[1]Load Factor Sheet June Acft  '!$B$5</f>
        <v>153.04704545454547</v>
      </c>
      <c r="S432">
        <f>tblDailySchedule[[#This Row],[Capacity Approx]]*'[1]Load Factor Sheet June Acft  '!$D$5</f>
        <v>165.71863636363636</v>
      </c>
      <c r="T432" s="22">
        <f>tblDailySchedule[[#This Row],[STD]]</f>
        <v>0.69097222222222221</v>
      </c>
    </row>
    <row r="433" spans="1:20" hidden="1" x14ac:dyDescent="0.35">
      <c r="A433" s="11">
        <v>46125</v>
      </c>
      <c r="B433" s="3">
        <v>1</v>
      </c>
      <c r="C433" t="s">
        <v>100</v>
      </c>
      <c r="D433" t="s">
        <v>18</v>
      </c>
      <c r="E433" s="3">
        <v>18</v>
      </c>
      <c r="F433" t="s">
        <v>19</v>
      </c>
      <c r="G433" t="s">
        <v>71</v>
      </c>
      <c r="H433" t="s">
        <v>21</v>
      </c>
      <c r="I433" s="12">
        <v>0.67013888888888884</v>
      </c>
      <c r="J433" t="s">
        <v>72</v>
      </c>
      <c r="K433" t="s">
        <v>21</v>
      </c>
      <c r="L433" s="12">
        <v>0.69791666666666663</v>
      </c>
      <c r="M433" t="s">
        <v>63</v>
      </c>
      <c r="N433" s="3">
        <v>232</v>
      </c>
      <c r="O433" t="s">
        <v>24</v>
      </c>
      <c r="P433" t="s">
        <v>56</v>
      </c>
      <c r="R433">
        <f>tblDailySchedule[[#This Row],[Capacity Approx]]*'[1]Load Factor Sheet June Acft  '!$B$5</f>
        <v>187.86727272727273</v>
      </c>
      <c r="S433">
        <f>tblDailySchedule[[#This Row],[Capacity Approx]]*'[1]Load Factor Sheet June Acft  '!$D$5</f>
        <v>203.4218181818182</v>
      </c>
      <c r="T433" s="22">
        <f>tblDailySchedule[[#This Row],[STD]]</f>
        <v>0.69791666666666663</v>
      </c>
    </row>
    <row r="434" spans="1:20" hidden="1" x14ac:dyDescent="0.35">
      <c r="A434" s="11">
        <v>46125</v>
      </c>
      <c r="B434" s="3">
        <v>1</v>
      </c>
      <c r="C434" t="s">
        <v>100</v>
      </c>
      <c r="D434" t="s">
        <v>18</v>
      </c>
      <c r="E434" s="3">
        <v>19</v>
      </c>
      <c r="F434" t="s">
        <v>19</v>
      </c>
      <c r="G434" t="s">
        <v>73</v>
      </c>
      <c r="H434" t="s">
        <v>27</v>
      </c>
      <c r="I434" s="12">
        <v>0.74652777777777779</v>
      </c>
      <c r="J434" t="s">
        <v>74</v>
      </c>
      <c r="K434" t="s">
        <v>27</v>
      </c>
      <c r="L434" s="12">
        <v>0.77430555555555558</v>
      </c>
      <c r="M434" t="s">
        <v>63</v>
      </c>
      <c r="N434" s="3">
        <v>232</v>
      </c>
      <c r="O434" t="s">
        <v>24</v>
      </c>
      <c r="P434" t="s">
        <v>56</v>
      </c>
      <c r="R434">
        <f>tblDailySchedule[[#This Row],[Capacity Approx]]*'[1]Load Factor Sheet June Acft  '!$B$5</f>
        <v>187.86727272727273</v>
      </c>
      <c r="S434">
        <f>tblDailySchedule[[#This Row],[Capacity Approx]]*'[1]Load Factor Sheet June Acft  '!$D$5</f>
        <v>203.4218181818182</v>
      </c>
      <c r="T434" s="22">
        <f>tblDailySchedule[[#This Row],[STD]]</f>
        <v>0.77430555555555558</v>
      </c>
    </row>
    <row r="435" spans="1:20" hidden="1" x14ac:dyDescent="0.35">
      <c r="A435" s="11">
        <v>46125</v>
      </c>
      <c r="B435" s="3">
        <v>1</v>
      </c>
      <c r="C435" t="s">
        <v>100</v>
      </c>
      <c r="D435" t="s">
        <v>18</v>
      </c>
      <c r="E435" s="3">
        <v>20</v>
      </c>
      <c r="F435" t="s">
        <v>34</v>
      </c>
      <c r="G435" t="s">
        <v>75</v>
      </c>
      <c r="H435" t="s">
        <v>76</v>
      </c>
      <c r="I435" s="12">
        <v>0.76388888888888884</v>
      </c>
      <c r="J435" t="s">
        <v>77</v>
      </c>
      <c r="K435" t="s">
        <v>78</v>
      </c>
      <c r="L435" s="12">
        <v>0.78472222222222221</v>
      </c>
      <c r="M435" t="s">
        <v>51</v>
      </c>
      <c r="N435" s="3">
        <v>78</v>
      </c>
      <c r="O435" t="s">
        <v>24</v>
      </c>
      <c r="P435" t="s">
        <v>79</v>
      </c>
      <c r="Q435" s="16" t="s">
        <v>80</v>
      </c>
      <c r="R435">
        <f>tblDailySchedule[[#This Row],[Capacity Approx]]*'[1]Load Factor Sheet June Acft  '!$B$5</f>
        <v>63.162272727272729</v>
      </c>
      <c r="S435">
        <f>tblDailySchedule[[#This Row],[Capacity Approx]]*'[1]Load Factor Sheet June Acft  '!$D$5</f>
        <v>68.391818181818181</v>
      </c>
      <c r="T435" s="22">
        <f>tblDailySchedule[[#This Row],[STD]]</f>
        <v>0.78472222222222221</v>
      </c>
    </row>
    <row r="436" spans="1:20" hidden="1" x14ac:dyDescent="0.35">
      <c r="A436" s="11">
        <v>46125</v>
      </c>
      <c r="B436" s="3">
        <v>1</v>
      </c>
      <c r="C436" t="s">
        <v>100</v>
      </c>
      <c r="D436" t="s">
        <v>18</v>
      </c>
      <c r="E436" s="3">
        <v>21</v>
      </c>
      <c r="F436" t="s">
        <v>19</v>
      </c>
      <c r="G436" t="s">
        <v>81</v>
      </c>
      <c r="H436" t="s">
        <v>61</v>
      </c>
      <c r="I436" s="12">
        <v>0.77083333333333337</v>
      </c>
      <c r="J436" t="s">
        <v>82</v>
      </c>
      <c r="K436" t="s">
        <v>49</v>
      </c>
      <c r="L436" s="12">
        <v>0.79166666666666663</v>
      </c>
      <c r="M436" t="s">
        <v>33</v>
      </c>
      <c r="N436" s="3">
        <v>189</v>
      </c>
      <c r="O436" t="s">
        <v>24</v>
      </c>
      <c r="P436" t="s">
        <v>79</v>
      </c>
      <c r="R436">
        <f>tblDailySchedule[[#This Row],[Capacity Approx]]*'[1]Load Factor Sheet June Acft  '!$B$5</f>
        <v>153.04704545454547</v>
      </c>
      <c r="S436">
        <f>tblDailySchedule[[#This Row],[Capacity Approx]]*'[1]Load Factor Sheet June Acft  '!$D$5</f>
        <v>165.71863636363636</v>
      </c>
      <c r="T436" s="22">
        <f>tblDailySchedule[[#This Row],[STD]]</f>
        <v>0.79166666666666663</v>
      </c>
    </row>
    <row r="437" spans="1:20" hidden="1" x14ac:dyDescent="0.35">
      <c r="A437" s="11">
        <v>46125</v>
      </c>
      <c r="B437" s="3">
        <v>1</v>
      </c>
      <c r="C437" t="s">
        <v>100</v>
      </c>
      <c r="D437" t="s">
        <v>18</v>
      </c>
      <c r="E437" s="3">
        <v>22</v>
      </c>
      <c r="F437" t="s">
        <v>19</v>
      </c>
      <c r="G437" t="s">
        <v>83</v>
      </c>
      <c r="H437" t="s">
        <v>31</v>
      </c>
      <c r="I437" s="12">
        <v>0.77777777777777779</v>
      </c>
      <c r="J437" t="s">
        <v>84</v>
      </c>
      <c r="K437" t="s">
        <v>31</v>
      </c>
      <c r="L437" s="12">
        <v>0.80555555555555558</v>
      </c>
      <c r="M437" t="s">
        <v>63</v>
      </c>
      <c r="N437" s="3">
        <v>232</v>
      </c>
      <c r="O437" t="s">
        <v>24</v>
      </c>
      <c r="P437" t="s">
        <v>79</v>
      </c>
      <c r="R437">
        <f>tblDailySchedule[[#This Row],[Capacity Approx]]*'[1]Load Factor Sheet June Acft  '!$B$5</f>
        <v>187.86727272727273</v>
      </c>
      <c r="S437">
        <f>tblDailySchedule[[#This Row],[Capacity Approx]]*'[1]Load Factor Sheet June Acft  '!$D$5</f>
        <v>203.4218181818182</v>
      </c>
      <c r="T437" s="22">
        <f>tblDailySchedule[[#This Row],[STD]]</f>
        <v>0.80555555555555558</v>
      </c>
    </row>
    <row r="438" spans="1:20" hidden="1" x14ac:dyDescent="0.35">
      <c r="A438" s="11">
        <v>46125</v>
      </c>
      <c r="B438" s="3">
        <v>1</v>
      </c>
      <c r="C438" t="s">
        <v>100</v>
      </c>
      <c r="D438" t="s">
        <v>18</v>
      </c>
      <c r="E438" s="3">
        <v>23</v>
      </c>
      <c r="F438" t="s">
        <v>19</v>
      </c>
      <c r="G438" t="s">
        <v>85</v>
      </c>
      <c r="H438" t="s">
        <v>86</v>
      </c>
      <c r="I438" s="12">
        <v>0.79861111111111116</v>
      </c>
      <c r="J438" t="s">
        <v>87</v>
      </c>
      <c r="K438" t="s">
        <v>86</v>
      </c>
      <c r="L438" s="12">
        <v>0.82638888888888884</v>
      </c>
      <c r="M438" t="s">
        <v>63</v>
      </c>
      <c r="N438" s="3">
        <v>232</v>
      </c>
      <c r="O438" t="s">
        <v>24</v>
      </c>
      <c r="P438" t="s">
        <v>79</v>
      </c>
      <c r="R438">
        <f>tblDailySchedule[[#This Row],[Capacity Approx]]*'[1]Load Factor Sheet June Acft  '!$B$5</f>
        <v>187.86727272727273</v>
      </c>
      <c r="S438">
        <f>tblDailySchedule[[#This Row],[Capacity Approx]]*'[1]Load Factor Sheet June Acft  '!$D$5</f>
        <v>203.4218181818182</v>
      </c>
      <c r="T438" s="22">
        <f>tblDailySchedule[[#This Row],[STD]]</f>
        <v>0.82638888888888884</v>
      </c>
    </row>
    <row r="439" spans="1:20" hidden="1" x14ac:dyDescent="0.35">
      <c r="A439" s="11">
        <v>46125</v>
      </c>
      <c r="B439" s="3">
        <v>1</v>
      </c>
      <c r="C439" t="s">
        <v>100</v>
      </c>
      <c r="D439" t="s">
        <v>18</v>
      </c>
      <c r="E439" s="3">
        <v>24</v>
      </c>
      <c r="F439" t="s">
        <v>19</v>
      </c>
      <c r="G439" t="s">
        <v>88</v>
      </c>
      <c r="H439" t="s">
        <v>89</v>
      </c>
      <c r="I439" s="12">
        <v>0.83333333333333337</v>
      </c>
      <c r="J439" t="s">
        <v>90</v>
      </c>
      <c r="K439" t="s">
        <v>31</v>
      </c>
      <c r="L439" s="12">
        <v>0.86111111111111116</v>
      </c>
      <c r="M439" t="s">
        <v>63</v>
      </c>
      <c r="N439" s="3">
        <v>232</v>
      </c>
      <c r="O439" t="s">
        <v>24</v>
      </c>
      <c r="P439" t="s">
        <v>79</v>
      </c>
      <c r="R439">
        <f>tblDailySchedule[[#This Row],[Capacity Approx]]*'[1]Load Factor Sheet June Acft  '!$B$5</f>
        <v>187.86727272727273</v>
      </c>
      <c r="S439">
        <f>tblDailySchedule[[#This Row],[Capacity Approx]]*'[1]Load Factor Sheet June Acft  '!$D$5</f>
        <v>203.4218181818182</v>
      </c>
      <c r="T439" s="22">
        <f>tblDailySchedule[[#This Row],[STD]]</f>
        <v>0.86111111111111116</v>
      </c>
    </row>
    <row r="440" spans="1:20" hidden="1" x14ac:dyDescent="0.35">
      <c r="A440" s="11">
        <v>46125</v>
      </c>
      <c r="B440" s="3">
        <v>1</v>
      </c>
      <c r="C440" t="s">
        <v>100</v>
      </c>
      <c r="D440" t="s">
        <v>18</v>
      </c>
      <c r="E440" s="3">
        <v>25</v>
      </c>
      <c r="F440" t="s">
        <v>19</v>
      </c>
      <c r="G440" t="s">
        <v>91</v>
      </c>
      <c r="H440" t="s">
        <v>61</v>
      </c>
      <c r="I440" s="12">
        <v>0.85416666666666663</v>
      </c>
      <c r="J440" t="s">
        <v>92</v>
      </c>
      <c r="K440" t="s">
        <v>61</v>
      </c>
      <c r="L440" s="12">
        <v>0.88194444444444442</v>
      </c>
      <c r="M440" t="s">
        <v>63</v>
      </c>
      <c r="N440" s="3">
        <v>232</v>
      </c>
      <c r="O440" t="s">
        <v>24</v>
      </c>
      <c r="P440" t="s">
        <v>79</v>
      </c>
      <c r="R440">
        <f>tblDailySchedule[[#This Row],[Capacity Approx]]*'[1]Load Factor Sheet June Acft  '!$B$5</f>
        <v>187.86727272727273</v>
      </c>
      <c r="S440">
        <f>tblDailySchedule[[#This Row],[Capacity Approx]]*'[1]Load Factor Sheet June Acft  '!$D$5</f>
        <v>203.4218181818182</v>
      </c>
      <c r="T440" s="22">
        <f>tblDailySchedule[[#This Row],[STD]]</f>
        <v>0.88194444444444442</v>
      </c>
    </row>
    <row r="441" spans="1:20" hidden="1" x14ac:dyDescent="0.35">
      <c r="A441" s="11">
        <v>46125</v>
      </c>
      <c r="B441" s="3">
        <v>1</v>
      </c>
      <c r="C441" t="s">
        <v>100</v>
      </c>
      <c r="D441" t="s">
        <v>18</v>
      </c>
      <c r="E441" s="3">
        <v>26</v>
      </c>
      <c r="F441" t="s">
        <v>19</v>
      </c>
      <c r="G441" t="s">
        <v>93</v>
      </c>
      <c r="H441" t="s">
        <v>31</v>
      </c>
      <c r="I441" s="12">
        <v>0.86111111111111116</v>
      </c>
      <c r="J441" t="s">
        <v>94</v>
      </c>
      <c r="K441" t="s">
        <v>31</v>
      </c>
      <c r="L441" s="12">
        <v>0.88888888888888884</v>
      </c>
      <c r="M441" t="s">
        <v>23</v>
      </c>
      <c r="N441" s="3">
        <v>186</v>
      </c>
      <c r="O441" t="s">
        <v>24</v>
      </c>
      <c r="P441" t="s">
        <v>79</v>
      </c>
      <c r="R441">
        <f>tblDailySchedule[[#This Row],[Capacity Approx]]*'[1]Load Factor Sheet June Acft  '!$B$5</f>
        <v>150.61772727272728</v>
      </c>
      <c r="S441">
        <f>tblDailySchedule[[#This Row],[Capacity Approx]]*'[1]Load Factor Sheet June Acft  '!$D$5</f>
        <v>163.08818181818182</v>
      </c>
      <c r="T441" s="22">
        <f>tblDailySchedule[[#This Row],[STD]]</f>
        <v>0.88888888888888884</v>
      </c>
    </row>
    <row r="442" spans="1:20" hidden="1" x14ac:dyDescent="0.35">
      <c r="A442" s="11">
        <v>46125</v>
      </c>
      <c r="B442" s="3">
        <v>1</v>
      </c>
      <c r="C442" t="s">
        <v>100</v>
      </c>
      <c r="D442" t="s">
        <v>18</v>
      </c>
      <c r="E442" s="3">
        <v>27</v>
      </c>
      <c r="F442" t="s">
        <v>19</v>
      </c>
      <c r="G442" t="s">
        <v>95</v>
      </c>
      <c r="H442" t="s">
        <v>21</v>
      </c>
      <c r="I442" s="12">
        <v>0.86805555555555558</v>
      </c>
      <c r="J442" t="s">
        <v>96</v>
      </c>
      <c r="K442" t="s">
        <v>21</v>
      </c>
      <c r="L442" s="12">
        <v>0.89583333333333337</v>
      </c>
      <c r="M442" t="s">
        <v>29</v>
      </c>
      <c r="N442" s="3">
        <v>186</v>
      </c>
      <c r="O442" t="s">
        <v>24</v>
      </c>
      <c r="P442" t="s">
        <v>79</v>
      </c>
      <c r="R442">
        <f>tblDailySchedule[[#This Row],[Capacity Approx]]*'[1]Load Factor Sheet June Acft  '!$B$5</f>
        <v>150.61772727272728</v>
      </c>
      <c r="S442">
        <f>tblDailySchedule[[#This Row],[Capacity Approx]]*'[1]Load Factor Sheet June Acft  '!$D$5</f>
        <v>163.08818181818182</v>
      </c>
      <c r="T442" s="22">
        <f>tblDailySchedule[[#This Row],[STD]]</f>
        <v>0.89583333333333337</v>
      </c>
    </row>
    <row r="443" spans="1:20" hidden="1" x14ac:dyDescent="0.35">
      <c r="A443" s="11">
        <v>46125</v>
      </c>
      <c r="B443" s="3">
        <v>1</v>
      </c>
      <c r="C443" t="s">
        <v>100</v>
      </c>
      <c r="D443" t="s">
        <v>18</v>
      </c>
      <c r="E443" s="3">
        <v>28</v>
      </c>
      <c r="F443" t="s">
        <v>19</v>
      </c>
      <c r="G443" t="s">
        <v>97</v>
      </c>
      <c r="H443" t="s">
        <v>49</v>
      </c>
      <c r="I443" s="12">
        <v>0.90277777777777779</v>
      </c>
      <c r="J443" t="s">
        <v>97</v>
      </c>
      <c r="K443" t="s">
        <v>61</v>
      </c>
      <c r="L443" s="12">
        <v>0.92361111111111116</v>
      </c>
      <c r="M443" t="s">
        <v>33</v>
      </c>
      <c r="N443" s="3">
        <v>189</v>
      </c>
      <c r="O443" t="s">
        <v>24</v>
      </c>
      <c r="P443" t="s">
        <v>79</v>
      </c>
      <c r="R443">
        <f>tblDailySchedule[[#This Row],[Capacity Approx]]*'[1]Load Factor Sheet June Acft  '!$B$5</f>
        <v>153.04704545454547</v>
      </c>
      <c r="S443">
        <f>tblDailySchedule[[#This Row],[Capacity Approx]]*'[1]Load Factor Sheet June Acft  '!$D$5</f>
        <v>165.71863636363636</v>
      </c>
      <c r="T443" s="22">
        <f>tblDailySchedule[[#This Row],[STD]]</f>
        <v>0.92361111111111116</v>
      </c>
    </row>
    <row r="444" spans="1:20" hidden="1" x14ac:dyDescent="0.35">
      <c r="A444" s="11">
        <v>46125</v>
      </c>
      <c r="B444" s="3">
        <v>1</v>
      </c>
      <c r="C444" t="s">
        <v>100</v>
      </c>
      <c r="D444" t="s">
        <v>18</v>
      </c>
      <c r="E444" s="3">
        <v>29</v>
      </c>
      <c r="F444" t="s">
        <v>19</v>
      </c>
      <c r="G444" t="s">
        <v>98</v>
      </c>
      <c r="H444" t="s">
        <v>21</v>
      </c>
      <c r="I444" s="12">
        <v>0.92013888888888884</v>
      </c>
      <c r="J444" t="s">
        <v>99</v>
      </c>
      <c r="K444" t="s">
        <v>21</v>
      </c>
      <c r="L444" s="12">
        <v>0.94791666666666663</v>
      </c>
      <c r="M444" t="s">
        <v>63</v>
      </c>
      <c r="N444" s="3">
        <v>232</v>
      </c>
      <c r="O444" t="s">
        <v>24</v>
      </c>
      <c r="P444" t="s">
        <v>79</v>
      </c>
      <c r="R444">
        <f>tblDailySchedule[[#This Row],[Capacity Approx]]*'[1]Load Factor Sheet June Acft  '!$B$5</f>
        <v>187.86727272727273</v>
      </c>
      <c r="S444">
        <f>tblDailySchedule[[#This Row],[Capacity Approx]]*'[1]Load Factor Sheet June Acft  '!$D$5</f>
        <v>203.4218181818182</v>
      </c>
      <c r="T444" s="22">
        <f>tblDailySchedule[[#This Row],[STD]]</f>
        <v>0.94791666666666663</v>
      </c>
    </row>
    <row r="445" spans="1:20" hidden="1" x14ac:dyDescent="0.35">
      <c r="A445" s="13">
        <v>46125</v>
      </c>
      <c r="B445" s="7">
        <v>1</v>
      </c>
      <c r="C445" s="14" t="s">
        <v>100</v>
      </c>
      <c r="D445" s="14" t="s">
        <v>18</v>
      </c>
      <c r="E445" s="7">
        <v>30</v>
      </c>
      <c r="F445" s="14" t="s">
        <v>104</v>
      </c>
      <c r="G445" s="14" t="s">
        <v>105</v>
      </c>
      <c r="H445" s="14" t="s">
        <v>106</v>
      </c>
      <c r="I445" s="15">
        <v>0.92708333333333337</v>
      </c>
      <c r="J445" s="14" t="s">
        <v>107</v>
      </c>
      <c r="K445" s="14" t="s">
        <v>106</v>
      </c>
      <c r="L445" s="15">
        <v>0.95833333333333337</v>
      </c>
      <c r="M445" s="14" t="s">
        <v>38</v>
      </c>
      <c r="N445" s="7">
        <v>186</v>
      </c>
      <c r="O445" s="14" t="s">
        <v>39</v>
      </c>
      <c r="P445" s="14" t="s">
        <v>79</v>
      </c>
      <c r="Q445" s="14" t="s">
        <v>39</v>
      </c>
      <c r="R445">
        <f>tblDailySchedule[[#This Row],[Capacity Approx]]*'[1]Load Factor Sheet June Acft  '!$B$5</f>
        <v>150.61772727272728</v>
      </c>
      <c r="S445">
        <f>tblDailySchedule[[#This Row],[Capacity Approx]]*'[1]Load Factor Sheet June Acft  '!$D$5</f>
        <v>163.08818181818182</v>
      </c>
      <c r="T445" s="22">
        <f>tblDailySchedule[[#This Row],[STD]]</f>
        <v>0.95833333333333337</v>
      </c>
    </row>
    <row r="446" spans="1:20" hidden="1" x14ac:dyDescent="0.35">
      <c r="A446" s="11">
        <v>46126</v>
      </c>
      <c r="B446" s="3">
        <v>2</v>
      </c>
      <c r="C446" t="s">
        <v>108</v>
      </c>
      <c r="D446" t="s">
        <v>18</v>
      </c>
      <c r="E446" s="3">
        <v>1</v>
      </c>
      <c r="F446" t="s">
        <v>101</v>
      </c>
      <c r="G446" t="s">
        <v>102</v>
      </c>
      <c r="H446" t="s">
        <v>61</v>
      </c>
      <c r="I446" s="12">
        <v>0.3125</v>
      </c>
      <c r="J446" t="s">
        <v>103</v>
      </c>
      <c r="K446" t="s">
        <v>61</v>
      </c>
      <c r="L446" s="12">
        <v>0.33333333333333331</v>
      </c>
      <c r="M446" t="s">
        <v>33</v>
      </c>
      <c r="N446" s="3">
        <v>189</v>
      </c>
      <c r="O446" t="s">
        <v>24</v>
      </c>
      <c r="P446" t="s">
        <v>25</v>
      </c>
      <c r="R446">
        <f>tblDailySchedule[[#This Row],[Capacity Approx]]*'[1]Load Factor Sheet June Acft  '!$B$5</f>
        <v>153.04704545454547</v>
      </c>
      <c r="S446">
        <f>tblDailySchedule[[#This Row],[Capacity Approx]]*'[1]Load Factor Sheet June Acft  '!$D$5</f>
        <v>165.71863636363636</v>
      </c>
      <c r="T446" s="22">
        <f>tblDailySchedule[[#This Row],[STD]]</f>
        <v>0.33333333333333331</v>
      </c>
    </row>
    <row r="447" spans="1:20" hidden="1" x14ac:dyDescent="0.35">
      <c r="A447" s="11">
        <v>46126</v>
      </c>
      <c r="B447" s="3">
        <v>2</v>
      </c>
      <c r="C447" t="s">
        <v>108</v>
      </c>
      <c r="D447" t="s">
        <v>18</v>
      </c>
      <c r="E447" s="3">
        <v>2</v>
      </c>
      <c r="F447" t="s">
        <v>19</v>
      </c>
      <c r="G447" t="s">
        <v>20</v>
      </c>
      <c r="H447" t="s">
        <v>21</v>
      </c>
      <c r="I447" s="12">
        <v>0.31944444444444442</v>
      </c>
      <c r="J447" t="s">
        <v>22</v>
      </c>
      <c r="K447" t="s">
        <v>21</v>
      </c>
      <c r="L447" s="12">
        <v>0.34722222222222221</v>
      </c>
      <c r="M447" t="s">
        <v>23</v>
      </c>
      <c r="N447" s="3">
        <v>186</v>
      </c>
      <c r="O447" t="s">
        <v>24</v>
      </c>
      <c r="P447" t="s">
        <v>25</v>
      </c>
      <c r="R447">
        <f>tblDailySchedule[[#This Row],[Capacity Approx]]*'[1]Load Factor Sheet June Acft  '!$B$5</f>
        <v>150.61772727272728</v>
      </c>
      <c r="S447">
        <f>tblDailySchedule[[#This Row],[Capacity Approx]]*'[1]Load Factor Sheet June Acft  '!$D$5</f>
        <v>163.08818181818182</v>
      </c>
      <c r="T447" s="22">
        <f>tblDailySchedule[[#This Row],[STD]]</f>
        <v>0.34722222222222221</v>
      </c>
    </row>
    <row r="448" spans="1:20" hidden="1" x14ac:dyDescent="0.35">
      <c r="A448" s="11">
        <v>46126</v>
      </c>
      <c r="B448" s="3">
        <v>2</v>
      </c>
      <c r="C448" t="s">
        <v>108</v>
      </c>
      <c r="D448" t="s">
        <v>18</v>
      </c>
      <c r="E448" s="3">
        <v>3</v>
      </c>
      <c r="F448" t="s">
        <v>19</v>
      </c>
      <c r="G448" t="s">
        <v>26</v>
      </c>
      <c r="H448" t="s">
        <v>27</v>
      </c>
      <c r="I448" s="12">
        <v>0.3263888888888889</v>
      </c>
      <c r="J448" t="s">
        <v>28</v>
      </c>
      <c r="K448" t="s">
        <v>27</v>
      </c>
      <c r="L448" s="12">
        <v>0.35416666666666669</v>
      </c>
      <c r="M448" t="s">
        <v>29</v>
      </c>
      <c r="N448" s="3">
        <v>186</v>
      </c>
      <c r="O448" t="s">
        <v>24</v>
      </c>
      <c r="P448" t="s">
        <v>25</v>
      </c>
      <c r="R448">
        <f>tblDailySchedule[[#This Row],[Capacity Approx]]*'[1]Load Factor Sheet June Acft  '!$B$5</f>
        <v>150.61772727272728</v>
      </c>
      <c r="S448">
        <f>tblDailySchedule[[#This Row],[Capacity Approx]]*'[1]Load Factor Sheet June Acft  '!$D$5</f>
        <v>163.08818181818182</v>
      </c>
      <c r="T448" s="22">
        <f>tblDailySchedule[[#This Row],[STD]]</f>
        <v>0.35416666666666669</v>
      </c>
    </row>
    <row r="449" spans="1:20" hidden="1" x14ac:dyDescent="0.35">
      <c r="A449" s="11">
        <v>46126</v>
      </c>
      <c r="B449" s="3">
        <v>2</v>
      </c>
      <c r="C449" t="s">
        <v>108</v>
      </c>
      <c r="D449" t="s">
        <v>18</v>
      </c>
      <c r="E449" s="3">
        <v>4</v>
      </c>
      <c r="F449" t="s">
        <v>19</v>
      </c>
      <c r="G449" t="s">
        <v>30</v>
      </c>
      <c r="H449" t="s">
        <v>31</v>
      </c>
      <c r="I449" s="12">
        <v>0.34722222222222221</v>
      </c>
      <c r="J449" t="s">
        <v>32</v>
      </c>
      <c r="K449" t="s">
        <v>31</v>
      </c>
      <c r="L449" s="12">
        <v>0.36805555555555558</v>
      </c>
      <c r="M449" t="s">
        <v>33</v>
      </c>
      <c r="N449" s="3">
        <v>189</v>
      </c>
      <c r="O449" t="s">
        <v>24</v>
      </c>
      <c r="P449" t="s">
        <v>25</v>
      </c>
      <c r="R449">
        <f>tblDailySchedule[[#This Row],[Capacity Approx]]*'[1]Load Factor Sheet June Acft  '!$B$5</f>
        <v>153.04704545454547</v>
      </c>
      <c r="S449">
        <f>tblDailySchedule[[#This Row],[Capacity Approx]]*'[1]Load Factor Sheet June Acft  '!$D$5</f>
        <v>165.71863636363636</v>
      </c>
      <c r="T449" s="22">
        <f>tblDailySchedule[[#This Row],[STD]]</f>
        <v>0.36805555555555558</v>
      </c>
    </row>
    <row r="450" spans="1:20" hidden="1" x14ac:dyDescent="0.35">
      <c r="A450" s="11">
        <v>46126</v>
      </c>
      <c r="B450" s="3">
        <v>2</v>
      </c>
      <c r="C450" t="s">
        <v>108</v>
      </c>
      <c r="D450" t="s">
        <v>18</v>
      </c>
      <c r="E450" s="3">
        <v>5</v>
      </c>
      <c r="F450" t="s">
        <v>19</v>
      </c>
      <c r="G450" t="s">
        <v>40</v>
      </c>
      <c r="H450" t="s">
        <v>31</v>
      </c>
      <c r="I450" s="12">
        <v>0.35069444444444442</v>
      </c>
      <c r="J450" t="s">
        <v>41</v>
      </c>
      <c r="K450" t="s">
        <v>31</v>
      </c>
      <c r="L450" s="12">
        <v>0.37152777777777779</v>
      </c>
      <c r="M450" t="s">
        <v>23</v>
      </c>
      <c r="N450" s="3">
        <v>186</v>
      </c>
      <c r="O450" t="s">
        <v>24</v>
      </c>
      <c r="P450" t="s">
        <v>25</v>
      </c>
      <c r="R450">
        <f>tblDailySchedule[[#This Row],[Capacity Approx]]*'[1]Load Factor Sheet June Acft  '!$B$5</f>
        <v>150.61772727272728</v>
      </c>
      <c r="S450">
        <f>tblDailySchedule[[#This Row],[Capacity Approx]]*'[1]Load Factor Sheet June Acft  '!$D$5</f>
        <v>163.08818181818182</v>
      </c>
      <c r="T450" s="22">
        <f>tblDailySchedule[[#This Row],[STD]]</f>
        <v>0.37152777777777779</v>
      </c>
    </row>
    <row r="451" spans="1:20" hidden="1" x14ac:dyDescent="0.35">
      <c r="A451" s="11">
        <v>46126</v>
      </c>
      <c r="B451" s="3">
        <v>2</v>
      </c>
      <c r="C451" t="s">
        <v>108</v>
      </c>
      <c r="D451" t="s">
        <v>18</v>
      </c>
      <c r="E451" s="3">
        <v>7</v>
      </c>
      <c r="F451" t="s">
        <v>19</v>
      </c>
      <c r="G451" t="s">
        <v>42</v>
      </c>
      <c r="H451" t="s">
        <v>43</v>
      </c>
      <c r="I451" s="12">
        <v>0.3923611111111111</v>
      </c>
      <c r="J451" t="s">
        <v>44</v>
      </c>
      <c r="K451" t="s">
        <v>43</v>
      </c>
      <c r="L451" s="12">
        <v>0.40277777777777779</v>
      </c>
      <c r="M451" t="s">
        <v>45</v>
      </c>
      <c r="N451" s="3">
        <v>9</v>
      </c>
      <c r="O451" t="s">
        <v>24</v>
      </c>
      <c r="P451" t="s">
        <v>25</v>
      </c>
      <c r="R451">
        <f>tblDailySchedule[[#This Row],[Capacity Approx]]*'[1]Load Factor Sheet June Acft  '!$B$5</f>
        <v>7.2879545454545456</v>
      </c>
      <c r="S451">
        <f>tblDailySchedule[[#This Row],[Capacity Approx]]*'[1]Load Factor Sheet June Acft  '!$D$5</f>
        <v>7.8913636363636366</v>
      </c>
      <c r="T451" s="22">
        <f>tblDailySchedule[[#This Row],[STD]]</f>
        <v>0.40277777777777779</v>
      </c>
    </row>
    <row r="452" spans="1:20" hidden="1" x14ac:dyDescent="0.35">
      <c r="A452" s="11">
        <v>46126</v>
      </c>
      <c r="B452" s="3">
        <v>2</v>
      </c>
      <c r="C452" t="s">
        <v>108</v>
      </c>
      <c r="D452" t="s">
        <v>18</v>
      </c>
      <c r="E452" s="3">
        <v>8</v>
      </c>
      <c r="F452" t="s">
        <v>19</v>
      </c>
      <c r="G452" t="s">
        <v>46</v>
      </c>
      <c r="H452" t="s">
        <v>31</v>
      </c>
      <c r="I452" s="12">
        <v>0.4201388888888889</v>
      </c>
      <c r="J452" t="s">
        <v>47</v>
      </c>
      <c r="K452" t="s">
        <v>31</v>
      </c>
      <c r="L452" s="12">
        <v>0.44444444444444442</v>
      </c>
      <c r="M452" t="s">
        <v>29</v>
      </c>
      <c r="N452" s="3">
        <v>186</v>
      </c>
      <c r="O452" t="s">
        <v>24</v>
      </c>
      <c r="P452" t="s">
        <v>25</v>
      </c>
      <c r="R452">
        <f>tblDailySchedule[[#This Row],[Capacity Approx]]*'[1]Load Factor Sheet June Acft  '!$B$5</f>
        <v>150.61772727272728</v>
      </c>
      <c r="S452">
        <f>tblDailySchedule[[#This Row],[Capacity Approx]]*'[1]Load Factor Sheet June Acft  '!$D$5</f>
        <v>163.08818181818182</v>
      </c>
      <c r="T452" s="22">
        <f>tblDailySchedule[[#This Row],[STD]]</f>
        <v>0.44444444444444442</v>
      </c>
    </row>
    <row r="453" spans="1:20" hidden="1" x14ac:dyDescent="0.35">
      <c r="A453" s="11">
        <v>46126</v>
      </c>
      <c r="B453" s="3">
        <v>2</v>
      </c>
      <c r="C453" t="s">
        <v>108</v>
      </c>
      <c r="D453" t="s">
        <v>18</v>
      </c>
      <c r="E453" s="3">
        <v>9</v>
      </c>
      <c r="F453" t="s">
        <v>19</v>
      </c>
      <c r="G453" t="s">
        <v>48</v>
      </c>
      <c r="H453" t="s">
        <v>49</v>
      </c>
      <c r="I453" s="12">
        <v>0.4375</v>
      </c>
      <c r="J453" t="s">
        <v>50</v>
      </c>
      <c r="K453" t="s">
        <v>49</v>
      </c>
      <c r="L453" s="12">
        <v>0.45833333333333331</v>
      </c>
      <c r="M453" t="s">
        <v>51</v>
      </c>
      <c r="N453" s="3">
        <v>78</v>
      </c>
      <c r="O453" t="s">
        <v>24</v>
      </c>
      <c r="P453" t="s">
        <v>25</v>
      </c>
      <c r="R453">
        <f>tblDailySchedule[[#This Row],[Capacity Approx]]*'[1]Load Factor Sheet June Acft  '!$B$5</f>
        <v>63.162272727272729</v>
      </c>
      <c r="S453">
        <f>tblDailySchedule[[#This Row],[Capacity Approx]]*'[1]Load Factor Sheet June Acft  '!$D$5</f>
        <v>68.391818181818181</v>
      </c>
      <c r="T453" s="22">
        <f>tblDailySchedule[[#This Row],[STD]]</f>
        <v>0.45833333333333331</v>
      </c>
    </row>
    <row r="454" spans="1:20" hidden="1" x14ac:dyDescent="0.35">
      <c r="A454" s="11">
        <v>46126</v>
      </c>
      <c r="B454" s="3">
        <v>2</v>
      </c>
      <c r="C454" t="s">
        <v>108</v>
      </c>
      <c r="D454" t="s">
        <v>18</v>
      </c>
      <c r="E454" s="3">
        <v>10</v>
      </c>
      <c r="F454" t="s">
        <v>19</v>
      </c>
      <c r="G454" t="s">
        <v>52</v>
      </c>
      <c r="H454" t="s">
        <v>27</v>
      </c>
      <c r="I454" s="12">
        <v>0.4826388888888889</v>
      </c>
      <c r="J454" t="s">
        <v>53</v>
      </c>
      <c r="K454" t="s">
        <v>27</v>
      </c>
      <c r="L454" s="12">
        <v>0.51041666666666663</v>
      </c>
      <c r="M454" t="s">
        <v>23</v>
      </c>
      <c r="N454" s="3">
        <v>186</v>
      </c>
      <c r="O454" t="s">
        <v>24</v>
      </c>
      <c r="P454" t="s">
        <v>25</v>
      </c>
      <c r="R454">
        <f>tblDailySchedule[[#This Row],[Capacity Approx]]*'[1]Load Factor Sheet June Acft  '!$B$5</f>
        <v>150.61772727272728</v>
      </c>
      <c r="S454">
        <f>tblDailySchedule[[#This Row],[Capacity Approx]]*'[1]Load Factor Sheet June Acft  '!$D$5</f>
        <v>163.08818181818182</v>
      </c>
      <c r="T454" s="22">
        <f>tblDailySchedule[[#This Row],[STD]]</f>
        <v>0.51041666666666663</v>
      </c>
    </row>
    <row r="455" spans="1:20" hidden="1" x14ac:dyDescent="0.35">
      <c r="A455" s="11">
        <v>46126</v>
      </c>
      <c r="B455" s="3">
        <v>2</v>
      </c>
      <c r="C455" t="s">
        <v>108</v>
      </c>
      <c r="D455" t="s">
        <v>18</v>
      </c>
      <c r="E455" s="3">
        <v>11</v>
      </c>
      <c r="F455" t="s">
        <v>19</v>
      </c>
      <c r="G455" t="s">
        <v>54</v>
      </c>
      <c r="H455" t="s">
        <v>31</v>
      </c>
      <c r="I455" s="12">
        <v>0.51388888888888884</v>
      </c>
      <c r="J455" t="s">
        <v>55</v>
      </c>
      <c r="K455" t="s">
        <v>31</v>
      </c>
      <c r="L455" s="12">
        <v>0.54166666666666663</v>
      </c>
      <c r="M455" t="s">
        <v>23</v>
      </c>
      <c r="N455" s="3">
        <v>186</v>
      </c>
      <c r="O455" t="s">
        <v>24</v>
      </c>
      <c r="P455" t="s">
        <v>56</v>
      </c>
      <c r="R455">
        <f>tblDailySchedule[[#This Row],[Capacity Approx]]*'[1]Load Factor Sheet June Acft  '!$B$5</f>
        <v>150.61772727272728</v>
      </c>
      <c r="S455">
        <f>tblDailySchedule[[#This Row],[Capacity Approx]]*'[1]Load Factor Sheet June Acft  '!$D$5</f>
        <v>163.08818181818182</v>
      </c>
      <c r="T455" s="22">
        <f>tblDailySchedule[[#This Row],[STD]]</f>
        <v>0.54166666666666663</v>
      </c>
    </row>
    <row r="456" spans="1:20" hidden="1" x14ac:dyDescent="0.35">
      <c r="A456" s="11">
        <v>46126</v>
      </c>
      <c r="B456" s="3">
        <v>2</v>
      </c>
      <c r="C456" t="s">
        <v>108</v>
      </c>
      <c r="D456" t="s">
        <v>18</v>
      </c>
      <c r="E456" s="3">
        <v>12</v>
      </c>
      <c r="F456" t="s">
        <v>109</v>
      </c>
      <c r="G456" t="s">
        <v>110</v>
      </c>
      <c r="H456" t="s">
        <v>111</v>
      </c>
      <c r="I456" s="12">
        <v>0.55555555555555558</v>
      </c>
      <c r="J456" t="s">
        <v>112</v>
      </c>
      <c r="K456" t="s">
        <v>111</v>
      </c>
      <c r="L456" s="12">
        <v>0.56944444444444442</v>
      </c>
      <c r="M456" t="s">
        <v>51</v>
      </c>
      <c r="N456" s="3">
        <v>78</v>
      </c>
      <c r="O456" t="s">
        <v>24</v>
      </c>
      <c r="P456" t="s">
        <v>56</v>
      </c>
      <c r="R456">
        <f>tblDailySchedule[[#This Row],[Capacity Approx]]*'[1]Load Factor Sheet June Acft  '!$B$5</f>
        <v>63.162272727272729</v>
      </c>
      <c r="S456">
        <f>tblDailySchedule[[#This Row],[Capacity Approx]]*'[1]Load Factor Sheet June Acft  '!$D$5</f>
        <v>68.391818181818181</v>
      </c>
      <c r="T456" s="22">
        <f>tblDailySchedule[[#This Row],[STD]]</f>
        <v>0.56944444444444442</v>
      </c>
    </row>
    <row r="457" spans="1:20" hidden="1" x14ac:dyDescent="0.35">
      <c r="A457" s="11">
        <v>46126</v>
      </c>
      <c r="B457" s="3">
        <v>2</v>
      </c>
      <c r="C457" t="s">
        <v>108</v>
      </c>
      <c r="D457" t="s">
        <v>18</v>
      </c>
      <c r="E457" s="3">
        <v>13</v>
      </c>
      <c r="F457" t="s">
        <v>19</v>
      </c>
      <c r="G457" t="s">
        <v>57</v>
      </c>
      <c r="H457" t="s">
        <v>58</v>
      </c>
      <c r="I457" s="12">
        <v>0.55902777777777779</v>
      </c>
      <c r="J457" t="s">
        <v>59</v>
      </c>
      <c r="K457" t="s">
        <v>58</v>
      </c>
      <c r="L457" s="12">
        <v>0.57638888888888884</v>
      </c>
      <c r="M457" t="s">
        <v>51</v>
      </c>
      <c r="N457" s="3">
        <v>78</v>
      </c>
      <c r="O457" t="s">
        <v>24</v>
      </c>
      <c r="P457" t="s">
        <v>56</v>
      </c>
      <c r="R457">
        <f>tblDailySchedule[[#This Row],[Capacity Approx]]*'[1]Load Factor Sheet June Acft  '!$B$5</f>
        <v>63.162272727272729</v>
      </c>
      <c r="S457">
        <f>tblDailySchedule[[#This Row],[Capacity Approx]]*'[1]Load Factor Sheet June Acft  '!$D$5</f>
        <v>68.391818181818181</v>
      </c>
      <c r="T457" s="22">
        <f>tblDailySchedule[[#This Row],[STD]]</f>
        <v>0.57638888888888884</v>
      </c>
    </row>
    <row r="458" spans="1:20" hidden="1" x14ac:dyDescent="0.35">
      <c r="A458" s="11">
        <v>46126</v>
      </c>
      <c r="B458" s="3">
        <v>2</v>
      </c>
      <c r="C458" t="s">
        <v>108</v>
      </c>
      <c r="D458" t="s">
        <v>18</v>
      </c>
      <c r="E458" s="3">
        <v>14</v>
      </c>
      <c r="F458" t="s">
        <v>19</v>
      </c>
      <c r="G458" t="s">
        <v>60</v>
      </c>
      <c r="H458" t="s">
        <v>61</v>
      </c>
      <c r="I458" s="12">
        <v>0.59027777777777779</v>
      </c>
      <c r="J458" t="s">
        <v>62</v>
      </c>
      <c r="K458" t="s">
        <v>61</v>
      </c>
      <c r="L458" s="12">
        <v>0.62152777777777779</v>
      </c>
      <c r="M458" t="s">
        <v>63</v>
      </c>
      <c r="N458" s="3">
        <v>232</v>
      </c>
      <c r="O458" t="s">
        <v>24</v>
      </c>
      <c r="P458" t="s">
        <v>56</v>
      </c>
      <c r="R458">
        <f>tblDailySchedule[[#This Row],[Capacity Approx]]*'[1]Load Factor Sheet June Acft  '!$B$5</f>
        <v>187.86727272727273</v>
      </c>
      <c r="S458">
        <f>tblDailySchedule[[#This Row],[Capacity Approx]]*'[1]Load Factor Sheet June Acft  '!$D$5</f>
        <v>203.4218181818182</v>
      </c>
      <c r="T458" s="22">
        <f>tblDailySchedule[[#This Row],[STD]]</f>
        <v>0.62152777777777779</v>
      </c>
    </row>
    <row r="459" spans="1:20" hidden="1" x14ac:dyDescent="0.35">
      <c r="A459" s="11">
        <v>46126</v>
      </c>
      <c r="B459" s="3">
        <v>2</v>
      </c>
      <c r="C459" t="s">
        <v>108</v>
      </c>
      <c r="D459" t="s">
        <v>18</v>
      </c>
      <c r="E459" s="3">
        <v>15</v>
      </c>
      <c r="F459" t="s">
        <v>19</v>
      </c>
      <c r="G459" t="s">
        <v>64</v>
      </c>
      <c r="H459" t="s">
        <v>31</v>
      </c>
      <c r="I459" s="12">
        <v>0.60069444444444442</v>
      </c>
      <c r="J459" t="s">
        <v>65</v>
      </c>
      <c r="K459" t="s">
        <v>66</v>
      </c>
      <c r="L459" s="12">
        <v>0.62847222222222221</v>
      </c>
      <c r="M459" t="s">
        <v>63</v>
      </c>
      <c r="N459" s="3">
        <v>232</v>
      </c>
      <c r="O459" t="s">
        <v>24</v>
      </c>
      <c r="P459" t="s">
        <v>56</v>
      </c>
      <c r="R459">
        <f>tblDailySchedule[[#This Row],[Capacity Approx]]*'[1]Load Factor Sheet June Acft  '!$B$5</f>
        <v>187.86727272727273</v>
      </c>
      <c r="S459">
        <f>tblDailySchedule[[#This Row],[Capacity Approx]]*'[1]Load Factor Sheet June Acft  '!$D$5</f>
        <v>203.4218181818182</v>
      </c>
      <c r="T459" s="22">
        <f>tblDailySchedule[[#This Row],[STD]]</f>
        <v>0.62847222222222221</v>
      </c>
    </row>
    <row r="460" spans="1:20" hidden="1" x14ac:dyDescent="0.35">
      <c r="A460" s="11">
        <v>46126</v>
      </c>
      <c r="B460" s="3">
        <v>2</v>
      </c>
      <c r="C460" t="s">
        <v>108</v>
      </c>
      <c r="D460" t="s">
        <v>18</v>
      </c>
      <c r="E460" s="3">
        <v>16</v>
      </c>
      <c r="F460" t="s">
        <v>19</v>
      </c>
      <c r="G460" t="s">
        <v>67</v>
      </c>
      <c r="H460" t="s">
        <v>31</v>
      </c>
      <c r="I460" s="12">
        <v>0.65625</v>
      </c>
      <c r="J460" t="s">
        <v>68</v>
      </c>
      <c r="K460" t="s">
        <v>31</v>
      </c>
      <c r="L460" s="12">
        <v>0.68402777777777779</v>
      </c>
      <c r="M460" t="s">
        <v>63</v>
      </c>
      <c r="N460" s="3">
        <v>232</v>
      </c>
      <c r="O460" t="s">
        <v>24</v>
      </c>
      <c r="P460" t="s">
        <v>56</v>
      </c>
      <c r="R460">
        <f>tblDailySchedule[[#This Row],[Capacity Approx]]*'[1]Load Factor Sheet June Acft  '!$B$5</f>
        <v>187.86727272727273</v>
      </c>
      <c r="S460">
        <f>tblDailySchedule[[#This Row],[Capacity Approx]]*'[1]Load Factor Sheet June Acft  '!$D$5</f>
        <v>203.4218181818182</v>
      </c>
      <c r="T460" s="22">
        <f>tblDailySchedule[[#This Row],[STD]]</f>
        <v>0.68402777777777779</v>
      </c>
    </row>
    <row r="461" spans="1:20" hidden="1" x14ac:dyDescent="0.35">
      <c r="A461" s="11">
        <v>46126</v>
      </c>
      <c r="B461" s="3">
        <v>2</v>
      </c>
      <c r="C461" t="s">
        <v>108</v>
      </c>
      <c r="D461" t="s">
        <v>18</v>
      </c>
      <c r="E461" s="3">
        <v>17</v>
      </c>
      <c r="F461" t="s">
        <v>19</v>
      </c>
      <c r="G461" t="s">
        <v>69</v>
      </c>
      <c r="H461" t="s">
        <v>31</v>
      </c>
      <c r="I461" s="12">
        <v>0.66319444444444442</v>
      </c>
      <c r="J461" t="s">
        <v>70</v>
      </c>
      <c r="K461" t="s">
        <v>31</v>
      </c>
      <c r="L461" s="12">
        <v>0.69097222222222221</v>
      </c>
      <c r="M461" t="s">
        <v>33</v>
      </c>
      <c r="N461" s="3">
        <v>189</v>
      </c>
      <c r="O461" t="s">
        <v>24</v>
      </c>
      <c r="P461" t="s">
        <v>56</v>
      </c>
      <c r="R461">
        <f>tblDailySchedule[[#This Row],[Capacity Approx]]*'[1]Load Factor Sheet June Acft  '!$B$5</f>
        <v>153.04704545454547</v>
      </c>
      <c r="S461">
        <f>tblDailySchedule[[#This Row],[Capacity Approx]]*'[1]Load Factor Sheet June Acft  '!$D$5</f>
        <v>165.71863636363636</v>
      </c>
      <c r="T461" s="22">
        <f>tblDailySchedule[[#This Row],[STD]]</f>
        <v>0.69097222222222221</v>
      </c>
    </row>
    <row r="462" spans="1:20" hidden="1" x14ac:dyDescent="0.35">
      <c r="A462" s="11">
        <v>46126</v>
      </c>
      <c r="B462" s="3">
        <v>2</v>
      </c>
      <c r="C462" t="s">
        <v>108</v>
      </c>
      <c r="D462" t="s">
        <v>18</v>
      </c>
      <c r="E462" s="3">
        <v>18</v>
      </c>
      <c r="F462" t="s">
        <v>19</v>
      </c>
      <c r="G462" t="s">
        <v>71</v>
      </c>
      <c r="H462" t="s">
        <v>21</v>
      </c>
      <c r="I462" s="12">
        <v>0.67013888888888884</v>
      </c>
      <c r="J462" t="s">
        <v>72</v>
      </c>
      <c r="K462" t="s">
        <v>21</v>
      </c>
      <c r="L462" s="12">
        <v>0.69791666666666663</v>
      </c>
      <c r="M462" t="s">
        <v>63</v>
      </c>
      <c r="N462" s="3">
        <v>232</v>
      </c>
      <c r="O462" t="s">
        <v>24</v>
      </c>
      <c r="P462" t="s">
        <v>56</v>
      </c>
      <c r="R462">
        <f>tblDailySchedule[[#This Row],[Capacity Approx]]*'[1]Load Factor Sheet June Acft  '!$B$5</f>
        <v>187.86727272727273</v>
      </c>
      <c r="S462">
        <f>tblDailySchedule[[#This Row],[Capacity Approx]]*'[1]Load Factor Sheet June Acft  '!$D$5</f>
        <v>203.4218181818182</v>
      </c>
      <c r="T462" s="22">
        <f>tblDailySchedule[[#This Row],[STD]]</f>
        <v>0.69791666666666663</v>
      </c>
    </row>
    <row r="463" spans="1:20" hidden="1" x14ac:dyDescent="0.35">
      <c r="A463" s="11">
        <v>46126</v>
      </c>
      <c r="B463" s="3">
        <v>2</v>
      </c>
      <c r="C463" t="s">
        <v>108</v>
      </c>
      <c r="D463" t="s">
        <v>18</v>
      </c>
      <c r="E463" s="3">
        <v>19</v>
      </c>
      <c r="F463" t="s">
        <v>19</v>
      </c>
      <c r="G463" t="s">
        <v>73</v>
      </c>
      <c r="H463" t="s">
        <v>27</v>
      </c>
      <c r="I463" s="12">
        <v>0.74652777777777779</v>
      </c>
      <c r="J463" t="s">
        <v>74</v>
      </c>
      <c r="K463" t="s">
        <v>27</v>
      </c>
      <c r="L463" s="12">
        <v>0.77430555555555558</v>
      </c>
      <c r="M463" t="s">
        <v>63</v>
      </c>
      <c r="N463" s="3">
        <v>232</v>
      </c>
      <c r="O463" t="s">
        <v>24</v>
      </c>
      <c r="P463" t="s">
        <v>56</v>
      </c>
      <c r="R463">
        <f>tblDailySchedule[[#This Row],[Capacity Approx]]*'[1]Load Factor Sheet June Acft  '!$B$5</f>
        <v>187.86727272727273</v>
      </c>
      <c r="S463">
        <f>tblDailySchedule[[#This Row],[Capacity Approx]]*'[1]Load Factor Sheet June Acft  '!$D$5</f>
        <v>203.4218181818182</v>
      </c>
      <c r="T463" s="22">
        <f>tblDailySchedule[[#This Row],[STD]]</f>
        <v>0.77430555555555558</v>
      </c>
    </row>
    <row r="464" spans="1:20" hidden="1" x14ac:dyDescent="0.35">
      <c r="A464" s="11">
        <v>46126</v>
      </c>
      <c r="B464" s="3">
        <v>2</v>
      </c>
      <c r="C464" t="s">
        <v>108</v>
      </c>
      <c r="D464" t="s">
        <v>18</v>
      </c>
      <c r="E464" s="3">
        <v>21</v>
      </c>
      <c r="F464" t="s">
        <v>19</v>
      </c>
      <c r="G464" t="s">
        <v>81</v>
      </c>
      <c r="H464" t="s">
        <v>61</v>
      </c>
      <c r="I464" s="12">
        <v>0.77083333333333337</v>
      </c>
      <c r="J464" t="s">
        <v>82</v>
      </c>
      <c r="K464" t="s">
        <v>49</v>
      </c>
      <c r="L464" s="12">
        <v>0.79166666666666663</v>
      </c>
      <c r="M464" t="s">
        <v>33</v>
      </c>
      <c r="N464" s="3">
        <v>189</v>
      </c>
      <c r="O464" t="s">
        <v>24</v>
      </c>
      <c r="P464" t="s">
        <v>79</v>
      </c>
      <c r="R464">
        <f>tblDailySchedule[[#This Row],[Capacity Approx]]*'[1]Load Factor Sheet June Acft  '!$B$5</f>
        <v>153.04704545454547</v>
      </c>
      <c r="S464">
        <f>tblDailySchedule[[#This Row],[Capacity Approx]]*'[1]Load Factor Sheet June Acft  '!$D$5</f>
        <v>165.71863636363636</v>
      </c>
      <c r="T464" s="22">
        <f>tblDailySchedule[[#This Row],[STD]]</f>
        <v>0.79166666666666663</v>
      </c>
    </row>
    <row r="465" spans="1:20" hidden="1" x14ac:dyDescent="0.35">
      <c r="A465" s="11">
        <v>46126</v>
      </c>
      <c r="B465" s="3">
        <v>2</v>
      </c>
      <c r="C465" t="s">
        <v>108</v>
      </c>
      <c r="D465" t="s">
        <v>18</v>
      </c>
      <c r="E465" s="3">
        <v>22</v>
      </c>
      <c r="F465" t="s">
        <v>19</v>
      </c>
      <c r="G465" t="s">
        <v>83</v>
      </c>
      <c r="H465" t="s">
        <v>31</v>
      </c>
      <c r="I465" s="12">
        <v>0.77777777777777779</v>
      </c>
      <c r="J465" t="s">
        <v>84</v>
      </c>
      <c r="K465" t="s">
        <v>31</v>
      </c>
      <c r="L465" s="12">
        <v>0.80555555555555558</v>
      </c>
      <c r="M465" t="s">
        <v>63</v>
      </c>
      <c r="N465" s="3">
        <v>232</v>
      </c>
      <c r="O465" t="s">
        <v>24</v>
      </c>
      <c r="P465" t="s">
        <v>79</v>
      </c>
      <c r="R465">
        <f>tblDailySchedule[[#This Row],[Capacity Approx]]*'[1]Load Factor Sheet June Acft  '!$B$5</f>
        <v>187.86727272727273</v>
      </c>
      <c r="S465">
        <f>tblDailySchedule[[#This Row],[Capacity Approx]]*'[1]Load Factor Sheet June Acft  '!$D$5</f>
        <v>203.4218181818182</v>
      </c>
      <c r="T465" s="22">
        <f>tblDailySchedule[[#This Row],[STD]]</f>
        <v>0.80555555555555558</v>
      </c>
    </row>
    <row r="466" spans="1:20" hidden="1" x14ac:dyDescent="0.35">
      <c r="A466" s="11">
        <v>46126</v>
      </c>
      <c r="B466" s="3">
        <v>2</v>
      </c>
      <c r="C466" t="s">
        <v>108</v>
      </c>
      <c r="D466" t="s">
        <v>18</v>
      </c>
      <c r="E466" s="3">
        <v>23</v>
      </c>
      <c r="F466" t="s">
        <v>19</v>
      </c>
      <c r="G466" t="s">
        <v>85</v>
      </c>
      <c r="H466" t="s">
        <v>86</v>
      </c>
      <c r="I466" s="12">
        <v>0.79861111111111116</v>
      </c>
      <c r="J466" t="s">
        <v>87</v>
      </c>
      <c r="K466" t="s">
        <v>86</v>
      </c>
      <c r="L466" s="12">
        <v>0.82638888888888884</v>
      </c>
      <c r="M466" t="s">
        <v>63</v>
      </c>
      <c r="N466" s="3">
        <v>232</v>
      </c>
      <c r="O466" t="s">
        <v>24</v>
      </c>
      <c r="P466" t="s">
        <v>79</v>
      </c>
      <c r="R466">
        <f>tblDailySchedule[[#This Row],[Capacity Approx]]*'[1]Load Factor Sheet June Acft  '!$B$5</f>
        <v>187.86727272727273</v>
      </c>
      <c r="S466">
        <f>tblDailySchedule[[#This Row],[Capacity Approx]]*'[1]Load Factor Sheet June Acft  '!$D$5</f>
        <v>203.4218181818182</v>
      </c>
      <c r="T466" s="22">
        <f>tblDailySchedule[[#This Row],[STD]]</f>
        <v>0.82638888888888884</v>
      </c>
    </row>
    <row r="467" spans="1:20" hidden="1" x14ac:dyDescent="0.35">
      <c r="A467" s="11">
        <v>46126</v>
      </c>
      <c r="B467" s="3">
        <v>2</v>
      </c>
      <c r="C467" t="s">
        <v>108</v>
      </c>
      <c r="D467" t="s">
        <v>18</v>
      </c>
      <c r="E467" s="3">
        <v>24</v>
      </c>
      <c r="F467" t="s">
        <v>19</v>
      </c>
      <c r="G467" t="s">
        <v>88</v>
      </c>
      <c r="H467" t="s">
        <v>89</v>
      </c>
      <c r="I467" s="12">
        <v>0.83333333333333337</v>
      </c>
      <c r="J467" t="s">
        <v>90</v>
      </c>
      <c r="K467" t="s">
        <v>31</v>
      </c>
      <c r="L467" s="12">
        <v>0.86111111111111116</v>
      </c>
      <c r="M467" t="s">
        <v>63</v>
      </c>
      <c r="N467" s="3">
        <v>232</v>
      </c>
      <c r="O467" t="s">
        <v>24</v>
      </c>
      <c r="P467" t="s">
        <v>79</v>
      </c>
      <c r="R467">
        <f>tblDailySchedule[[#This Row],[Capacity Approx]]*'[1]Load Factor Sheet June Acft  '!$B$5</f>
        <v>187.86727272727273</v>
      </c>
      <c r="S467">
        <f>tblDailySchedule[[#This Row],[Capacity Approx]]*'[1]Load Factor Sheet June Acft  '!$D$5</f>
        <v>203.4218181818182</v>
      </c>
      <c r="T467" s="22">
        <f>tblDailySchedule[[#This Row],[STD]]</f>
        <v>0.86111111111111116</v>
      </c>
    </row>
    <row r="468" spans="1:20" hidden="1" x14ac:dyDescent="0.35">
      <c r="A468" s="11">
        <v>46126</v>
      </c>
      <c r="B468" s="3">
        <v>2</v>
      </c>
      <c r="C468" t="s">
        <v>108</v>
      </c>
      <c r="D468" t="s">
        <v>18</v>
      </c>
      <c r="E468" s="3">
        <v>25</v>
      </c>
      <c r="F468" t="s">
        <v>19</v>
      </c>
      <c r="G468" t="s">
        <v>91</v>
      </c>
      <c r="H468" t="s">
        <v>61</v>
      </c>
      <c r="I468" s="12">
        <v>0.85416666666666663</v>
      </c>
      <c r="J468" t="s">
        <v>92</v>
      </c>
      <c r="K468" t="s">
        <v>61</v>
      </c>
      <c r="L468" s="12">
        <v>0.88194444444444442</v>
      </c>
      <c r="M468" t="s">
        <v>63</v>
      </c>
      <c r="N468" s="3">
        <v>232</v>
      </c>
      <c r="O468" t="s">
        <v>24</v>
      </c>
      <c r="P468" t="s">
        <v>79</v>
      </c>
      <c r="R468">
        <f>tblDailySchedule[[#This Row],[Capacity Approx]]*'[1]Load Factor Sheet June Acft  '!$B$5</f>
        <v>187.86727272727273</v>
      </c>
      <c r="S468">
        <f>tblDailySchedule[[#This Row],[Capacity Approx]]*'[1]Load Factor Sheet June Acft  '!$D$5</f>
        <v>203.4218181818182</v>
      </c>
      <c r="T468" s="22">
        <f>tblDailySchedule[[#This Row],[STD]]</f>
        <v>0.88194444444444442</v>
      </c>
    </row>
    <row r="469" spans="1:20" hidden="1" x14ac:dyDescent="0.35">
      <c r="A469" s="11">
        <v>46126</v>
      </c>
      <c r="B469" s="3">
        <v>2</v>
      </c>
      <c r="C469" t="s">
        <v>108</v>
      </c>
      <c r="D469" t="s">
        <v>18</v>
      </c>
      <c r="E469" s="3">
        <v>26</v>
      </c>
      <c r="F469" t="s">
        <v>19</v>
      </c>
      <c r="G469" t="s">
        <v>93</v>
      </c>
      <c r="H469" t="s">
        <v>31</v>
      </c>
      <c r="I469" s="12">
        <v>0.86111111111111116</v>
      </c>
      <c r="J469" t="s">
        <v>94</v>
      </c>
      <c r="K469" t="s">
        <v>31</v>
      </c>
      <c r="L469" s="12">
        <v>0.88888888888888884</v>
      </c>
      <c r="M469" t="s">
        <v>23</v>
      </c>
      <c r="N469" s="3">
        <v>186</v>
      </c>
      <c r="O469" t="s">
        <v>24</v>
      </c>
      <c r="P469" t="s">
        <v>79</v>
      </c>
      <c r="R469">
        <f>tblDailySchedule[[#This Row],[Capacity Approx]]*'[1]Load Factor Sheet June Acft  '!$B$5</f>
        <v>150.61772727272728</v>
      </c>
      <c r="S469">
        <f>tblDailySchedule[[#This Row],[Capacity Approx]]*'[1]Load Factor Sheet June Acft  '!$D$5</f>
        <v>163.08818181818182</v>
      </c>
      <c r="T469" s="22">
        <f>tblDailySchedule[[#This Row],[STD]]</f>
        <v>0.88888888888888884</v>
      </c>
    </row>
    <row r="470" spans="1:20" hidden="1" x14ac:dyDescent="0.35">
      <c r="A470" s="11">
        <v>46126</v>
      </c>
      <c r="B470" s="3">
        <v>2</v>
      </c>
      <c r="C470" t="s">
        <v>108</v>
      </c>
      <c r="D470" t="s">
        <v>18</v>
      </c>
      <c r="E470" s="3">
        <v>27</v>
      </c>
      <c r="F470" t="s">
        <v>19</v>
      </c>
      <c r="G470" t="s">
        <v>95</v>
      </c>
      <c r="H470" t="s">
        <v>21</v>
      </c>
      <c r="I470" s="12">
        <v>0.86805555555555558</v>
      </c>
      <c r="J470" t="s">
        <v>96</v>
      </c>
      <c r="K470" t="s">
        <v>21</v>
      </c>
      <c r="L470" s="12">
        <v>0.89583333333333337</v>
      </c>
      <c r="M470" t="s">
        <v>29</v>
      </c>
      <c r="N470" s="3">
        <v>186</v>
      </c>
      <c r="O470" t="s">
        <v>24</v>
      </c>
      <c r="P470" t="s">
        <v>79</v>
      </c>
      <c r="R470">
        <f>tblDailySchedule[[#This Row],[Capacity Approx]]*'[1]Load Factor Sheet June Acft  '!$B$5</f>
        <v>150.61772727272728</v>
      </c>
      <c r="S470">
        <f>tblDailySchedule[[#This Row],[Capacity Approx]]*'[1]Load Factor Sheet June Acft  '!$D$5</f>
        <v>163.08818181818182</v>
      </c>
      <c r="T470" s="22">
        <f>tblDailySchedule[[#This Row],[STD]]</f>
        <v>0.89583333333333337</v>
      </c>
    </row>
    <row r="471" spans="1:20" hidden="1" x14ac:dyDescent="0.35">
      <c r="A471" s="11">
        <v>46126</v>
      </c>
      <c r="B471" s="3">
        <v>2</v>
      </c>
      <c r="C471" t="s">
        <v>108</v>
      </c>
      <c r="D471" t="s">
        <v>18</v>
      </c>
      <c r="E471" s="3">
        <v>28</v>
      </c>
      <c r="F471" t="s">
        <v>19</v>
      </c>
      <c r="G471" t="s">
        <v>97</v>
      </c>
      <c r="H471" t="s">
        <v>49</v>
      </c>
      <c r="I471" s="12">
        <v>0.90277777777777779</v>
      </c>
      <c r="J471" t="s">
        <v>97</v>
      </c>
      <c r="K471" t="s">
        <v>61</v>
      </c>
      <c r="L471" s="12">
        <v>0.92361111111111116</v>
      </c>
      <c r="M471" t="s">
        <v>33</v>
      </c>
      <c r="N471" s="3">
        <v>189</v>
      </c>
      <c r="O471" t="s">
        <v>24</v>
      </c>
      <c r="P471" t="s">
        <v>79</v>
      </c>
      <c r="R471">
        <f>tblDailySchedule[[#This Row],[Capacity Approx]]*'[1]Load Factor Sheet June Acft  '!$B$5</f>
        <v>153.04704545454547</v>
      </c>
      <c r="S471">
        <f>tblDailySchedule[[#This Row],[Capacity Approx]]*'[1]Load Factor Sheet June Acft  '!$D$5</f>
        <v>165.71863636363636</v>
      </c>
      <c r="T471" s="22">
        <f>tblDailySchedule[[#This Row],[STD]]</f>
        <v>0.92361111111111116</v>
      </c>
    </row>
    <row r="472" spans="1:20" hidden="1" x14ac:dyDescent="0.35">
      <c r="A472" s="11">
        <v>46126</v>
      </c>
      <c r="B472" s="3">
        <v>2</v>
      </c>
      <c r="C472" t="s">
        <v>108</v>
      </c>
      <c r="D472" t="s">
        <v>18</v>
      </c>
      <c r="E472" s="3">
        <v>29</v>
      </c>
      <c r="F472" t="s">
        <v>19</v>
      </c>
      <c r="G472" t="s">
        <v>98</v>
      </c>
      <c r="H472" t="s">
        <v>21</v>
      </c>
      <c r="I472" s="12">
        <v>0.92013888888888884</v>
      </c>
      <c r="J472" t="s">
        <v>99</v>
      </c>
      <c r="K472" t="s">
        <v>21</v>
      </c>
      <c r="L472" s="12">
        <v>0.94791666666666663</v>
      </c>
      <c r="M472" t="s">
        <v>63</v>
      </c>
      <c r="N472" s="3">
        <v>232</v>
      </c>
      <c r="O472" t="s">
        <v>24</v>
      </c>
      <c r="P472" t="s">
        <v>79</v>
      </c>
      <c r="R472">
        <f>tblDailySchedule[[#This Row],[Capacity Approx]]*'[1]Load Factor Sheet June Acft  '!$B$5</f>
        <v>187.86727272727273</v>
      </c>
      <c r="S472">
        <f>tblDailySchedule[[#This Row],[Capacity Approx]]*'[1]Load Factor Sheet June Acft  '!$D$5</f>
        <v>203.4218181818182</v>
      </c>
      <c r="T472" s="22">
        <f>tblDailySchedule[[#This Row],[STD]]</f>
        <v>0.94791666666666663</v>
      </c>
    </row>
    <row r="473" spans="1:20" hidden="1" x14ac:dyDescent="0.35">
      <c r="A473" s="11">
        <v>46127</v>
      </c>
      <c r="B473" s="3">
        <v>3</v>
      </c>
      <c r="C473" t="s">
        <v>113</v>
      </c>
      <c r="D473" t="s">
        <v>18</v>
      </c>
      <c r="E473" s="3">
        <v>2</v>
      </c>
      <c r="F473" t="s">
        <v>19</v>
      </c>
      <c r="G473" t="s">
        <v>20</v>
      </c>
      <c r="H473" t="s">
        <v>21</v>
      </c>
      <c r="I473" s="12">
        <v>0.31944444444444442</v>
      </c>
      <c r="J473" t="s">
        <v>22</v>
      </c>
      <c r="K473" t="s">
        <v>21</v>
      </c>
      <c r="L473" s="12">
        <v>0.34722222222222221</v>
      </c>
      <c r="M473" t="s">
        <v>23</v>
      </c>
      <c r="N473" s="3">
        <v>186</v>
      </c>
      <c r="O473" t="s">
        <v>24</v>
      </c>
      <c r="P473" t="s">
        <v>25</v>
      </c>
      <c r="R473">
        <f>tblDailySchedule[[#This Row],[Capacity Approx]]*'[1]Load Factor Sheet June Acft  '!$B$5</f>
        <v>150.61772727272728</v>
      </c>
      <c r="S473">
        <f>tblDailySchedule[[#This Row],[Capacity Approx]]*'[1]Load Factor Sheet June Acft  '!$D$5</f>
        <v>163.08818181818182</v>
      </c>
      <c r="T473" s="22">
        <f>tblDailySchedule[[#This Row],[STD]]</f>
        <v>0.34722222222222221</v>
      </c>
    </row>
    <row r="474" spans="1:20" hidden="1" x14ac:dyDescent="0.35">
      <c r="A474" s="11">
        <v>46127</v>
      </c>
      <c r="B474" s="3">
        <v>3</v>
      </c>
      <c r="C474" t="s">
        <v>113</v>
      </c>
      <c r="D474" t="s">
        <v>18</v>
      </c>
      <c r="E474" s="3">
        <v>3</v>
      </c>
      <c r="F474" t="s">
        <v>19</v>
      </c>
      <c r="G474" t="s">
        <v>26</v>
      </c>
      <c r="H474" t="s">
        <v>27</v>
      </c>
      <c r="I474" s="12">
        <v>0.3263888888888889</v>
      </c>
      <c r="J474" t="s">
        <v>28</v>
      </c>
      <c r="K474" t="s">
        <v>27</v>
      </c>
      <c r="L474" s="12">
        <v>0.35416666666666669</v>
      </c>
      <c r="M474" t="s">
        <v>29</v>
      </c>
      <c r="N474" s="3">
        <v>186</v>
      </c>
      <c r="O474" t="s">
        <v>24</v>
      </c>
      <c r="P474" t="s">
        <v>25</v>
      </c>
      <c r="R474">
        <f>tblDailySchedule[[#This Row],[Capacity Approx]]*'[1]Load Factor Sheet June Acft  '!$B$5</f>
        <v>150.61772727272728</v>
      </c>
      <c r="S474">
        <f>tblDailySchedule[[#This Row],[Capacity Approx]]*'[1]Load Factor Sheet June Acft  '!$D$5</f>
        <v>163.08818181818182</v>
      </c>
      <c r="T474" s="22">
        <f>tblDailySchedule[[#This Row],[STD]]</f>
        <v>0.35416666666666669</v>
      </c>
    </row>
    <row r="475" spans="1:20" hidden="1" x14ac:dyDescent="0.35">
      <c r="A475" s="11">
        <v>46127</v>
      </c>
      <c r="B475" s="3">
        <v>3</v>
      </c>
      <c r="C475" t="s">
        <v>113</v>
      </c>
      <c r="D475" t="s">
        <v>18</v>
      </c>
      <c r="E475" s="3">
        <v>4</v>
      </c>
      <c r="F475" t="s">
        <v>19</v>
      </c>
      <c r="G475" t="s">
        <v>30</v>
      </c>
      <c r="H475" t="s">
        <v>31</v>
      </c>
      <c r="I475" s="12">
        <v>0.34722222222222221</v>
      </c>
      <c r="J475" t="s">
        <v>32</v>
      </c>
      <c r="K475" t="s">
        <v>31</v>
      </c>
      <c r="L475" s="12">
        <v>0.36805555555555558</v>
      </c>
      <c r="M475" t="s">
        <v>33</v>
      </c>
      <c r="N475" s="3">
        <v>189</v>
      </c>
      <c r="O475" t="s">
        <v>24</v>
      </c>
      <c r="P475" t="s">
        <v>25</v>
      </c>
      <c r="R475">
        <f>tblDailySchedule[[#This Row],[Capacity Approx]]*'[1]Load Factor Sheet June Acft  '!$B$5</f>
        <v>153.04704545454547</v>
      </c>
      <c r="S475">
        <f>tblDailySchedule[[#This Row],[Capacity Approx]]*'[1]Load Factor Sheet June Acft  '!$D$5</f>
        <v>165.71863636363636</v>
      </c>
      <c r="T475" s="22">
        <f>tblDailySchedule[[#This Row],[STD]]</f>
        <v>0.36805555555555558</v>
      </c>
    </row>
    <row r="476" spans="1:20" hidden="1" x14ac:dyDescent="0.35">
      <c r="A476" s="13">
        <v>46127</v>
      </c>
      <c r="B476" s="7">
        <v>3</v>
      </c>
      <c r="C476" s="14" t="s">
        <v>113</v>
      </c>
      <c r="D476" s="14" t="s">
        <v>18</v>
      </c>
      <c r="E476" s="7">
        <v>6</v>
      </c>
      <c r="F476" s="14" t="s">
        <v>34</v>
      </c>
      <c r="G476" s="14" t="s">
        <v>35</v>
      </c>
      <c r="H476" s="14" t="s">
        <v>36</v>
      </c>
      <c r="I476" s="15">
        <v>0.34722222222222221</v>
      </c>
      <c r="J476" s="14" t="s">
        <v>37</v>
      </c>
      <c r="K476" s="14" t="s">
        <v>36</v>
      </c>
      <c r="L476" s="15">
        <v>0.40972222222222221</v>
      </c>
      <c r="M476" s="14" t="s">
        <v>38</v>
      </c>
      <c r="N476" s="7">
        <v>186</v>
      </c>
      <c r="O476" s="14" t="s">
        <v>39</v>
      </c>
      <c r="P476" s="14" t="s">
        <v>25</v>
      </c>
      <c r="Q476" s="14" t="s">
        <v>39</v>
      </c>
      <c r="R476">
        <f>tblDailySchedule[[#This Row],[Capacity Approx]]*'[1]Load Factor Sheet June Acft  '!$B$5</f>
        <v>150.61772727272728</v>
      </c>
      <c r="S476">
        <f>tblDailySchedule[[#This Row],[Capacity Approx]]*'[1]Load Factor Sheet June Acft  '!$D$5</f>
        <v>163.08818181818182</v>
      </c>
      <c r="T476" s="22">
        <f>tblDailySchedule[[#This Row],[STD]]</f>
        <v>0.40972222222222221</v>
      </c>
    </row>
    <row r="477" spans="1:20" hidden="1" x14ac:dyDescent="0.35">
      <c r="A477" s="11">
        <v>46127</v>
      </c>
      <c r="B477" s="3">
        <v>3</v>
      </c>
      <c r="C477" t="s">
        <v>113</v>
      </c>
      <c r="D477" t="s">
        <v>18</v>
      </c>
      <c r="E477" s="3">
        <v>5</v>
      </c>
      <c r="F477" t="s">
        <v>19</v>
      </c>
      <c r="G477" t="s">
        <v>40</v>
      </c>
      <c r="H477" t="s">
        <v>31</v>
      </c>
      <c r="I477" s="12">
        <v>0.35069444444444442</v>
      </c>
      <c r="J477" t="s">
        <v>41</v>
      </c>
      <c r="K477" t="s">
        <v>31</v>
      </c>
      <c r="L477" s="12">
        <v>0.37152777777777779</v>
      </c>
      <c r="M477" t="s">
        <v>23</v>
      </c>
      <c r="N477" s="3">
        <v>186</v>
      </c>
      <c r="O477" t="s">
        <v>24</v>
      </c>
      <c r="P477" t="s">
        <v>25</v>
      </c>
      <c r="R477">
        <f>tblDailySchedule[[#This Row],[Capacity Approx]]*'[1]Load Factor Sheet June Acft  '!$B$5</f>
        <v>150.61772727272728</v>
      </c>
      <c r="S477">
        <f>tblDailySchedule[[#This Row],[Capacity Approx]]*'[1]Load Factor Sheet June Acft  '!$D$5</f>
        <v>163.08818181818182</v>
      </c>
      <c r="T477" s="22">
        <f>tblDailySchedule[[#This Row],[STD]]</f>
        <v>0.37152777777777779</v>
      </c>
    </row>
    <row r="478" spans="1:20" hidden="1" x14ac:dyDescent="0.35">
      <c r="A478" s="11">
        <v>46127</v>
      </c>
      <c r="B478" s="3">
        <v>3</v>
      </c>
      <c r="C478" t="s">
        <v>113</v>
      </c>
      <c r="D478" t="s">
        <v>18</v>
      </c>
      <c r="E478" s="3">
        <v>7</v>
      </c>
      <c r="F478" t="s">
        <v>19</v>
      </c>
      <c r="G478" t="s">
        <v>42</v>
      </c>
      <c r="H478" t="s">
        <v>43</v>
      </c>
      <c r="I478" s="12">
        <v>0.3923611111111111</v>
      </c>
      <c r="J478" t="s">
        <v>44</v>
      </c>
      <c r="K478" t="s">
        <v>43</v>
      </c>
      <c r="L478" s="12">
        <v>0.40277777777777779</v>
      </c>
      <c r="M478" t="s">
        <v>45</v>
      </c>
      <c r="N478" s="3">
        <v>9</v>
      </c>
      <c r="O478" t="s">
        <v>24</v>
      </c>
      <c r="P478" t="s">
        <v>25</v>
      </c>
      <c r="R478">
        <f>tblDailySchedule[[#This Row],[Capacity Approx]]*'[1]Load Factor Sheet June Acft  '!$B$5</f>
        <v>7.2879545454545456</v>
      </c>
      <c r="S478">
        <f>tblDailySchedule[[#This Row],[Capacity Approx]]*'[1]Load Factor Sheet June Acft  '!$D$5</f>
        <v>7.8913636363636366</v>
      </c>
      <c r="T478" s="22">
        <f>tblDailySchedule[[#This Row],[STD]]</f>
        <v>0.40277777777777779</v>
      </c>
    </row>
    <row r="479" spans="1:20" hidden="1" x14ac:dyDescent="0.35">
      <c r="A479" s="11">
        <v>46127</v>
      </c>
      <c r="B479" s="3">
        <v>3</v>
      </c>
      <c r="C479" t="s">
        <v>113</v>
      </c>
      <c r="D479" t="s">
        <v>18</v>
      </c>
      <c r="E479" s="3">
        <v>8</v>
      </c>
      <c r="F479" t="s">
        <v>19</v>
      </c>
      <c r="G479" t="s">
        <v>46</v>
      </c>
      <c r="H479" t="s">
        <v>31</v>
      </c>
      <c r="I479" s="12">
        <v>0.4201388888888889</v>
      </c>
      <c r="J479" t="s">
        <v>47</v>
      </c>
      <c r="K479" t="s">
        <v>31</v>
      </c>
      <c r="L479" s="12">
        <v>0.44444444444444442</v>
      </c>
      <c r="M479" t="s">
        <v>29</v>
      </c>
      <c r="N479" s="3">
        <v>186</v>
      </c>
      <c r="O479" t="s">
        <v>24</v>
      </c>
      <c r="P479" t="s">
        <v>25</v>
      </c>
      <c r="R479">
        <f>tblDailySchedule[[#This Row],[Capacity Approx]]*'[1]Load Factor Sheet June Acft  '!$B$5</f>
        <v>150.61772727272728</v>
      </c>
      <c r="S479">
        <f>tblDailySchedule[[#This Row],[Capacity Approx]]*'[1]Load Factor Sheet June Acft  '!$D$5</f>
        <v>163.08818181818182</v>
      </c>
      <c r="T479" s="22">
        <f>tblDailySchedule[[#This Row],[STD]]</f>
        <v>0.44444444444444442</v>
      </c>
    </row>
    <row r="480" spans="1:20" hidden="1" x14ac:dyDescent="0.35">
      <c r="A480" s="11">
        <v>46127</v>
      </c>
      <c r="B480" s="3">
        <v>3</v>
      </c>
      <c r="C480" t="s">
        <v>113</v>
      </c>
      <c r="D480" t="s">
        <v>18</v>
      </c>
      <c r="E480" s="3">
        <v>9</v>
      </c>
      <c r="F480" t="s">
        <v>19</v>
      </c>
      <c r="G480" t="s">
        <v>48</v>
      </c>
      <c r="H480" t="s">
        <v>49</v>
      </c>
      <c r="I480" s="12">
        <v>0.4375</v>
      </c>
      <c r="J480" t="s">
        <v>50</v>
      </c>
      <c r="K480" t="s">
        <v>49</v>
      </c>
      <c r="L480" s="12">
        <v>0.45833333333333331</v>
      </c>
      <c r="M480" t="s">
        <v>51</v>
      </c>
      <c r="N480" s="3">
        <v>78</v>
      </c>
      <c r="O480" t="s">
        <v>24</v>
      </c>
      <c r="P480" t="s">
        <v>25</v>
      </c>
      <c r="R480">
        <f>tblDailySchedule[[#This Row],[Capacity Approx]]*'[1]Load Factor Sheet June Acft  '!$B$5</f>
        <v>63.162272727272729</v>
      </c>
      <c r="S480">
        <f>tblDailySchedule[[#This Row],[Capacity Approx]]*'[1]Load Factor Sheet June Acft  '!$D$5</f>
        <v>68.391818181818181</v>
      </c>
      <c r="T480" s="22">
        <f>tblDailySchedule[[#This Row],[STD]]</f>
        <v>0.45833333333333331</v>
      </c>
    </row>
    <row r="481" spans="1:20" hidden="1" x14ac:dyDescent="0.35">
      <c r="A481" s="11">
        <v>46127</v>
      </c>
      <c r="B481" s="3">
        <v>3</v>
      </c>
      <c r="C481" t="s">
        <v>113</v>
      </c>
      <c r="D481" t="s">
        <v>18</v>
      </c>
      <c r="E481" s="3">
        <v>10</v>
      </c>
      <c r="F481" t="s">
        <v>19</v>
      </c>
      <c r="G481" t="s">
        <v>52</v>
      </c>
      <c r="H481" t="s">
        <v>27</v>
      </c>
      <c r="I481" s="12">
        <v>0.4826388888888889</v>
      </c>
      <c r="J481" t="s">
        <v>53</v>
      </c>
      <c r="K481" t="s">
        <v>27</v>
      </c>
      <c r="L481" s="12">
        <v>0.51041666666666663</v>
      </c>
      <c r="M481" t="s">
        <v>23</v>
      </c>
      <c r="N481" s="3">
        <v>186</v>
      </c>
      <c r="O481" t="s">
        <v>24</v>
      </c>
      <c r="P481" t="s">
        <v>25</v>
      </c>
      <c r="R481">
        <f>tblDailySchedule[[#This Row],[Capacity Approx]]*'[1]Load Factor Sheet June Acft  '!$B$5</f>
        <v>150.61772727272728</v>
      </c>
      <c r="S481">
        <f>tblDailySchedule[[#This Row],[Capacity Approx]]*'[1]Load Factor Sheet June Acft  '!$D$5</f>
        <v>163.08818181818182</v>
      </c>
      <c r="T481" s="22">
        <f>tblDailySchedule[[#This Row],[STD]]</f>
        <v>0.51041666666666663</v>
      </c>
    </row>
    <row r="482" spans="1:20" hidden="1" x14ac:dyDescent="0.35">
      <c r="A482" s="11">
        <v>46127</v>
      </c>
      <c r="B482" s="3">
        <v>3</v>
      </c>
      <c r="C482" t="s">
        <v>113</v>
      </c>
      <c r="D482" t="s">
        <v>18</v>
      </c>
      <c r="E482" s="3">
        <v>11</v>
      </c>
      <c r="F482" t="s">
        <v>19</v>
      </c>
      <c r="G482" t="s">
        <v>54</v>
      </c>
      <c r="H482" t="s">
        <v>31</v>
      </c>
      <c r="I482" s="12">
        <v>0.51388888888888884</v>
      </c>
      <c r="J482" t="s">
        <v>55</v>
      </c>
      <c r="K482" t="s">
        <v>31</v>
      </c>
      <c r="L482" s="12">
        <v>0.54166666666666663</v>
      </c>
      <c r="M482" t="s">
        <v>23</v>
      </c>
      <c r="N482" s="3">
        <v>186</v>
      </c>
      <c r="O482" t="s">
        <v>24</v>
      </c>
      <c r="P482" t="s">
        <v>56</v>
      </c>
      <c r="R482">
        <f>tblDailySchedule[[#This Row],[Capacity Approx]]*'[1]Load Factor Sheet June Acft  '!$B$5</f>
        <v>150.61772727272728</v>
      </c>
      <c r="S482">
        <f>tblDailySchedule[[#This Row],[Capacity Approx]]*'[1]Load Factor Sheet June Acft  '!$D$5</f>
        <v>163.08818181818182</v>
      </c>
      <c r="T482" s="22">
        <f>tblDailySchedule[[#This Row],[STD]]</f>
        <v>0.54166666666666663</v>
      </c>
    </row>
    <row r="483" spans="1:20" hidden="1" x14ac:dyDescent="0.35">
      <c r="A483" s="11">
        <v>46127</v>
      </c>
      <c r="B483" s="3">
        <v>3</v>
      </c>
      <c r="C483" t="s">
        <v>113</v>
      </c>
      <c r="D483" t="s">
        <v>18</v>
      </c>
      <c r="E483" s="3">
        <v>13</v>
      </c>
      <c r="F483" t="s">
        <v>19</v>
      </c>
      <c r="G483" t="s">
        <v>57</v>
      </c>
      <c r="H483" t="s">
        <v>58</v>
      </c>
      <c r="I483" s="12">
        <v>0.55902777777777779</v>
      </c>
      <c r="J483" t="s">
        <v>59</v>
      </c>
      <c r="K483" t="s">
        <v>58</v>
      </c>
      <c r="L483" s="12">
        <v>0.57638888888888884</v>
      </c>
      <c r="M483" t="s">
        <v>51</v>
      </c>
      <c r="N483" s="3">
        <v>78</v>
      </c>
      <c r="O483" t="s">
        <v>24</v>
      </c>
      <c r="P483" t="s">
        <v>56</v>
      </c>
      <c r="R483">
        <f>tblDailySchedule[[#This Row],[Capacity Approx]]*'[1]Load Factor Sheet June Acft  '!$B$5</f>
        <v>63.162272727272729</v>
      </c>
      <c r="S483">
        <f>tblDailySchedule[[#This Row],[Capacity Approx]]*'[1]Load Factor Sheet June Acft  '!$D$5</f>
        <v>68.391818181818181</v>
      </c>
      <c r="T483" s="22">
        <f>tblDailySchedule[[#This Row],[STD]]</f>
        <v>0.57638888888888884</v>
      </c>
    </row>
    <row r="484" spans="1:20" hidden="1" x14ac:dyDescent="0.35">
      <c r="A484" s="11">
        <v>46127</v>
      </c>
      <c r="B484" s="3">
        <v>3</v>
      </c>
      <c r="C484" t="s">
        <v>113</v>
      </c>
      <c r="D484" t="s">
        <v>18</v>
      </c>
      <c r="E484" s="3">
        <v>14</v>
      </c>
      <c r="F484" t="s">
        <v>19</v>
      </c>
      <c r="G484" t="s">
        <v>60</v>
      </c>
      <c r="H484" t="s">
        <v>61</v>
      </c>
      <c r="I484" s="12">
        <v>0.59027777777777779</v>
      </c>
      <c r="J484" t="s">
        <v>62</v>
      </c>
      <c r="K484" t="s">
        <v>61</v>
      </c>
      <c r="L484" s="12">
        <v>0.62152777777777779</v>
      </c>
      <c r="M484" t="s">
        <v>63</v>
      </c>
      <c r="N484" s="3">
        <v>232</v>
      </c>
      <c r="O484" t="s">
        <v>24</v>
      </c>
      <c r="P484" t="s">
        <v>56</v>
      </c>
      <c r="R484">
        <f>tblDailySchedule[[#This Row],[Capacity Approx]]*'[1]Load Factor Sheet June Acft  '!$B$5</f>
        <v>187.86727272727273</v>
      </c>
      <c r="S484">
        <f>tblDailySchedule[[#This Row],[Capacity Approx]]*'[1]Load Factor Sheet June Acft  '!$D$5</f>
        <v>203.4218181818182</v>
      </c>
      <c r="T484" s="22">
        <f>tblDailySchedule[[#This Row],[STD]]</f>
        <v>0.62152777777777779</v>
      </c>
    </row>
    <row r="485" spans="1:20" hidden="1" x14ac:dyDescent="0.35">
      <c r="A485" s="11">
        <v>46127</v>
      </c>
      <c r="B485" s="3">
        <v>3</v>
      </c>
      <c r="C485" t="s">
        <v>113</v>
      </c>
      <c r="D485" t="s">
        <v>18</v>
      </c>
      <c r="E485" s="3">
        <v>15</v>
      </c>
      <c r="F485" t="s">
        <v>19</v>
      </c>
      <c r="G485" t="s">
        <v>64</v>
      </c>
      <c r="H485" t="s">
        <v>31</v>
      </c>
      <c r="I485" s="12">
        <v>0.60069444444444442</v>
      </c>
      <c r="J485" t="s">
        <v>65</v>
      </c>
      <c r="K485" t="s">
        <v>66</v>
      </c>
      <c r="L485" s="12">
        <v>0.62847222222222221</v>
      </c>
      <c r="M485" t="s">
        <v>63</v>
      </c>
      <c r="N485" s="3">
        <v>232</v>
      </c>
      <c r="O485" t="s">
        <v>24</v>
      </c>
      <c r="P485" t="s">
        <v>56</v>
      </c>
      <c r="R485">
        <f>tblDailySchedule[[#This Row],[Capacity Approx]]*'[1]Load Factor Sheet June Acft  '!$B$5</f>
        <v>187.86727272727273</v>
      </c>
      <c r="S485">
        <f>tblDailySchedule[[#This Row],[Capacity Approx]]*'[1]Load Factor Sheet June Acft  '!$D$5</f>
        <v>203.4218181818182</v>
      </c>
      <c r="T485" s="22">
        <f>tblDailySchedule[[#This Row],[STD]]</f>
        <v>0.62847222222222221</v>
      </c>
    </row>
    <row r="486" spans="1:20" hidden="1" x14ac:dyDescent="0.35">
      <c r="A486" s="11">
        <v>46127</v>
      </c>
      <c r="B486" s="3">
        <v>3</v>
      </c>
      <c r="C486" t="s">
        <v>113</v>
      </c>
      <c r="D486" t="s">
        <v>18</v>
      </c>
      <c r="E486" s="3">
        <v>16</v>
      </c>
      <c r="F486" t="s">
        <v>19</v>
      </c>
      <c r="G486" t="s">
        <v>67</v>
      </c>
      <c r="H486" t="s">
        <v>31</v>
      </c>
      <c r="I486" s="12">
        <v>0.65625</v>
      </c>
      <c r="J486" t="s">
        <v>68</v>
      </c>
      <c r="K486" t="s">
        <v>31</v>
      </c>
      <c r="L486" s="12">
        <v>0.68402777777777779</v>
      </c>
      <c r="M486" t="s">
        <v>63</v>
      </c>
      <c r="N486" s="3">
        <v>232</v>
      </c>
      <c r="O486" t="s">
        <v>24</v>
      </c>
      <c r="P486" t="s">
        <v>56</v>
      </c>
      <c r="R486">
        <f>tblDailySchedule[[#This Row],[Capacity Approx]]*'[1]Load Factor Sheet June Acft  '!$B$5</f>
        <v>187.86727272727273</v>
      </c>
      <c r="S486">
        <f>tblDailySchedule[[#This Row],[Capacity Approx]]*'[1]Load Factor Sheet June Acft  '!$D$5</f>
        <v>203.4218181818182</v>
      </c>
      <c r="T486" s="22">
        <f>tblDailySchedule[[#This Row],[STD]]</f>
        <v>0.68402777777777779</v>
      </c>
    </row>
    <row r="487" spans="1:20" hidden="1" x14ac:dyDescent="0.35">
      <c r="A487" s="11">
        <v>46127</v>
      </c>
      <c r="B487" s="3">
        <v>3</v>
      </c>
      <c r="C487" t="s">
        <v>113</v>
      </c>
      <c r="D487" t="s">
        <v>18</v>
      </c>
      <c r="E487" s="3">
        <v>17</v>
      </c>
      <c r="F487" t="s">
        <v>19</v>
      </c>
      <c r="G487" t="s">
        <v>69</v>
      </c>
      <c r="H487" t="s">
        <v>31</v>
      </c>
      <c r="I487" s="12">
        <v>0.66319444444444442</v>
      </c>
      <c r="J487" t="s">
        <v>70</v>
      </c>
      <c r="K487" t="s">
        <v>31</v>
      </c>
      <c r="L487" s="12">
        <v>0.69097222222222221</v>
      </c>
      <c r="M487" t="s">
        <v>33</v>
      </c>
      <c r="N487" s="3">
        <v>189</v>
      </c>
      <c r="O487" t="s">
        <v>24</v>
      </c>
      <c r="P487" t="s">
        <v>56</v>
      </c>
      <c r="R487">
        <f>tblDailySchedule[[#This Row],[Capacity Approx]]*'[1]Load Factor Sheet June Acft  '!$B$5</f>
        <v>153.04704545454547</v>
      </c>
      <c r="S487">
        <f>tblDailySchedule[[#This Row],[Capacity Approx]]*'[1]Load Factor Sheet June Acft  '!$D$5</f>
        <v>165.71863636363636</v>
      </c>
      <c r="T487" s="22">
        <f>tblDailySchedule[[#This Row],[STD]]</f>
        <v>0.69097222222222221</v>
      </c>
    </row>
    <row r="488" spans="1:20" hidden="1" x14ac:dyDescent="0.35">
      <c r="A488" s="11">
        <v>46127</v>
      </c>
      <c r="B488" s="3">
        <v>3</v>
      </c>
      <c r="C488" t="s">
        <v>113</v>
      </c>
      <c r="D488" t="s">
        <v>18</v>
      </c>
      <c r="E488" s="3">
        <v>18</v>
      </c>
      <c r="F488" t="s">
        <v>19</v>
      </c>
      <c r="G488" t="s">
        <v>71</v>
      </c>
      <c r="H488" t="s">
        <v>21</v>
      </c>
      <c r="I488" s="12">
        <v>0.67013888888888884</v>
      </c>
      <c r="J488" t="s">
        <v>72</v>
      </c>
      <c r="K488" t="s">
        <v>21</v>
      </c>
      <c r="L488" s="12">
        <v>0.69791666666666663</v>
      </c>
      <c r="M488" t="s">
        <v>63</v>
      </c>
      <c r="N488" s="3">
        <v>232</v>
      </c>
      <c r="O488" t="s">
        <v>24</v>
      </c>
      <c r="P488" t="s">
        <v>56</v>
      </c>
      <c r="R488">
        <f>tblDailySchedule[[#This Row],[Capacity Approx]]*'[1]Load Factor Sheet June Acft  '!$B$5</f>
        <v>187.86727272727273</v>
      </c>
      <c r="S488">
        <f>tblDailySchedule[[#This Row],[Capacity Approx]]*'[1]Load Factor Sheet June Acft  '!$D$5</f>
        <v>203.4218181818182</v>
      </c>
      <c r="T488" s="22">
        <f>tblDailySchedule[[#This Row],[STD]]</f>
        <v>0.69791666666666663</v>
      </c>
    </row>
    <row r="489" spans="1:20" hidden="1" x14ac:dyDescent="0.35">
      <c r="A489" s="11">
        <v>46127</v>
      </c>
      <c r="B489" s="3">
        <v>3</v>
      </c>
      <c r="C489" t="s">
        <v>113</v>
      </c>
      <c r="D489" t="s">
        <v>18</v>
      </c>
      <c r="E489" s="3">
        <v>19</v>
      </c>
      <c r="F489" t="s">
        <v>19</v>
      </c>
      <c r="G489" t="s">
        <v>73</v>
      </c>
      <c r="H489" t="s">
        <v>27</v>
      </c>
      <c r="I489" s="12">
        <v>0.74652777777777779</v>
      </c>
      <c r="J489" t="s">
        <v>74</v>
      </c>
      <c r="K489" t="s">
        <v>27</v>
      </c>
      <c r="L489" s="12">
        <v>0.77430555555555558</v>
      </c>
      <c r="M489" t="s">
        <v>63</v>
      </c>
      <c r="N489" s="3">
        <v>232</v>
      </c>
      <c r="O489" t="s">
        <v>24</v>
      </c>
      <c r="P489" t="s">
        <v>56</v>
      </c>
      <c r="R489">
        <f>tblDailySchedule[[#This Row],[Capacity Approx]]*'[1]Load Factor Sheet June Acft  '!$B$5</f>
        <v>187.86727272727273</v>
      </c>
      <c r="S489">
        <f>tblDailySchedule[[#This Row],[Capacity Approx]]*'[1]Load Factor Sheet June Acft  '!$D$5</f>
        <v>203.4218181818182</v>
      </c>
      <c r="T489" s="22">
        <f>tblDailySchedule[[#This Row],[STD]]</f>
        <v>0.77430555555555558</v>
      </c>
    </row>
    <row r="490" spans="1:20" hidden="1" x14ac:dyDescent="0.35">
      <c r="A490" s="11">
        <v>46127</v>
      </c>
      <c r="B490" s="3">
        <v>3</v>
      </c>
      <c r="C490" t="s">
        <v>113</v>
      </c>
      <c r="D490" t="s">
        <v>18</v>
      </c>
      <c r="E490" s="3">
        <v>20</v>
      </c>
      <c r="F490" t="s">
        <v>34</v>
      </c>
      <c r="G490" t="s">
        <v>75</v>
      </c>
      <c r="H490" t="s">
        <v>76</v>
      </c>
      <c r="I490" s="12">
        <v>0.76388888888888884</v>
      </c>
      <c r="J490" t="s">
        <v>77</v>
      </c>
      <c r="K490" t="s">
        <v>78</v>
      </c>
      <c r="L490" s="12">
        <v>0.78472222222222221</v>
      </c>
      <c r="M490" t="s">
        <v>51</v>
      </c>
      <c r="N490" s="3">
        <v>78</v>
      </c>
      <c r="O490" t="s">
        <v>24</v>
      </c>
      <c r="P490" t="s">
        <v>79</v>
      </c>
      <c r="Q490" s="16" t="s">
        <v>80</v>
      </c>
      <c r="R490">
        <f>tblDailySchedule[[#This Row],[Capacity Approx]]*'[1]Load Factor Sheet June Acft  '!$B$5</f>
        <v>63.162272727272729</v>
      </c>
      <c r="S490">
        <f>tblDailySchedule[[#This Row],[Capacity Approx]]*'[1]Load Factor Sheet June Acft  '!$D$5</f>
        <v>68.391818181818181</v>
      </c>
      <c r="T490" s="22">
        <f>tblDailySchedule[[#This Row],[STD]]</f>
        <v>0.78472222222222221</v>
      </c>
    </row>
    <row r="491" spans="1:20" hidden="1" x14ac:dyDescent="0.35">
      <c r="A491" s="11">
        <v>46127</v>
      </c>
      <c r="B491" s="3">
        <v>3</v>
      </c>
      <c r="C491" t="s">
        <v>113</v>
      </c>
      <c r="D491" t="s">
        <v>18</v>
      </c>
      <c r="E491" s="3">
        <v>21</v>
      </c>
      <c r="F491" t="s">
        <v>19</v>
      </c>
      <c r="G491" t="s">
        <v>81</v>
      </c>
      <c r="H491" t="s">
        <v>61</v>
      </c>
      <c r="I491" s="12">
        <v>0.77083333333333337</v>
      </c>
      <c r="J491" t="s">
        <v>82</v>
      </c>
      <c r="K491" t="s">
        <v>49</v>
      </c>
      <c r="L491" s="12">
        <v>0.79166666666666663</v>
      </c>
      <c r="M491" t="s">
        <v>33</v>
      </c>
      <c r="N491" s="3">
        <v>189</v>
      </c>
      <c r="O491" t="s">
        <v>24</v>
      </c>
      <c r="P491" t="s">
        <v>79</v>
      </c>
      <c r="R491">
        <f>tblDailySchedule[[#This Row],[Capacity Approx]]*'[1]Load Factor Sheet June Acft  '!$B$5</f>
        <v>153.04704545454547</v>
      </c>
      <c r="S491">
        <f>tblDailySchedule[[#This Row],[Capacity Approx]]*'[1]Load Factor Sheet June Acft  '!$D$5</f>
        <v>165.71863636363636</v>
      </c>
      <c r="T491" s="22">
        <f>tblDailySchedule[[#This Row],[STD]]</f>
        <v>0.79166666666666663</v>
      </c>
    </row>
    <row r="492" spans="1:20" hidden="1" x14ac:dyDescent="0.35">
      <c r="A492" s="11">
        <v>46127</v>
      </c>
      <c r="B492" s="3">
        <v>3</v>
      </c>
      <c r="C492" t="s">
        <v>113</v>
      </c>
      <c r="D492" t="s">
        <v>18</v>
      </c>
      <c r="E492" s="3">
        <v>22</v>
      </c>
      <c r="F492" t="s">
        <v>19</v>
      </c>
      <c r="G492" t="s">
        <v>83</v>
      </c>
      <c r="H492" t="s">
        <v>31</v>
      </c>
      <c r="I492" s="12">
        <v>0.77777777777777779</v>
      </c>
      <c r="J492" t="s">
        <v>84</v>
      </c>
      <c r="K492" t="s">
        <v>31</v>
      </c>
      <c r="L492" s="12">
        <v>0.80555555555555558</v>
      </c>
      <c r="M492" t="s">
        <v>63</v>
      </c>
      <c r="N492" s="3">
        <v>232</v>
      </c>
      <c r="O492" t="s">
        <v>24</v>
      </c>
      <c r="P492" t="s">
        <v>79</v>
      </c>
      <c r="R492">
        <f>tblDailySchedule[[#This Row],[Capacity Approx]]*'[1]Load Factor Sheet June Acft  '!$B$5</f>
        <v>187.86727272727273</v>
      </c>
      <c r="S492">
        <f>tblDailySchedule[[#This Row],[Capacity Approx]]*'[1]Load Factor Sheet June Acft  '!$D$5</f>
        <v>203.4218181818182</v>
      </c>
      <c r="T492" s="22">
        <f>tblDailySchedule[[#This Row],[STD]]</f>
        <v>0.80555555555555558</v>
      </c>
    </row>
    <row r="493" spans="1:20" hidden="1" x14ac:dyDescent="0.35">
      <c r="A493" s="11">
        <v>46127</v>
      </c>
      <c r="B493" s="3">
        <v>3</v>
      </c>
      <c r="C493" t="s">
        <v>113</v>
      </c>
      <c r="D493" t="s">
        <v>18</v>
      </c>
      <c r="E493" s="3">
        <v>23</v>
      </c>
      <c r="F493" t="s">
        <v>19</v>
      </c>
      <c r="G493" t="s">
        <v>85</v>
      </c>
      <c r="H493" t="s">
        <v>86</v>
      </c>
      <c r="I493" s="12">
        <v>0.79861111111111116</v>
      </c>
      <c r="J493" t="s">
        <v>87</v>
      </c>
      <c r="K493" t="s">
        <v>86</v>
      </c>
      <c r="L493" s="12">
        <v>0.82638888888888884</v>
      </c>
      <c r="M493" t="s">
        <v>63</v>
      </c>
      <c r="N493" s="3">
        <v>232</v>
      </c>
      <c r="O493" t="s">
        <v>24</v>
      </c>
      <c r="P493" t="s">
        <v>79</v>
      </c>
      <c r="R493">
        <f>tblDailySchedule[[#This Row],[Capacity Approx]]*'[1]Load Factor Sheet June Acft  '!$B$5</f>
        <v>187.86727272727273</v>
      </c>
      <c r="S493">
        <f>tblDailySchedule[[#This Row],[Capacity Approx]]*'[1]Load Factor Sheet June Acft  '!$D$5</f>
        <v>203.4218181818182</v>
      </c>
      <c r="T493" s="22">
        <f>tblDailySchedule[[#This Row],[STD]]</f>
        <v>0.82638888888888884</v>
      </c>
    </row>
    <row r="494" spans="1:20" hidden="1" x14ac:dyDescent="0.35">
      <c r="A494" s="11">
        <v>46127</v>
      </c>
      <c r="B494" s="3">
        <v>3</v>
      </c>
      <c r="C494" t="s">
        <v>113</v>
      </c>
      <c r="D494" t="s">
        <v>18</v>
      </c>
      <c r="E494" s="3">
        <v>24</v>
      </c>
      <c r="F494" t="s">
        <v>19</v>
      </c>
      <c r="G494" t="s">
        <v>88</v>
      </c>
      <c r="H494" t="s">
        <v>89</v>
      </c>
      <c r="I494" s="12">
        <v>0.83333333333333337</v>
      </c>
      <c r="J494" t="s">
        <v>90</v>
      </c>
      <c r="K494" t="s">
        <v>31</v>
      </c>
      <c r="L494" s="12">
        <v>0.86111111111111116</v>
      </c>
      <c r="M494" t="s">
        <v>63</v>
      </c>
      <c r="N494" s="3">
        <v>232</v>
      </c>
      <c r="O494" t="s">
        <v>24</v>
      </c>
      <c r="P494" t="s">
        <v>79</v>
      </c>
      <c r="R494">
        <f>tblDailySchedule[[#This Row],[Capacity Approx]]*'[1]Load Factor Sheet June Acft  '!$B$5</f>
        <v>187.86727272727273</v>
      </c>
      <c r="S494">
        <f>tblDailySchedule[[#This Row],[Capacity Approx]]*'[1]Load Factor Sheet June Acft  '!$D$5</f>
        <v>203.4218181818182</v>
      </c>
      <c r="T494" s="22">
        <f>tblDailySchedule[[#This Row],[STD]]</f>
        <v>0.86111111111111116</v>
      </c>
    </row>
    <row r="495" spans="1:20" hidden="1" x14ac:dyDescent="0.35">
      <c r="A495" s="11">
        <v>46127</v>
      </c>
      <c r="B495" s="3">
        <v>3</v>
      </c>
      <c r="C495" t="s">
        <v>113</v>
      </c>
      <c r="D495" t="s">
        <v>18</v>
      </c>
      <c r="E495" s="3">
        <v>25</v>
      </c>
      <c r="F495" t="s">
        <v>19</v>
      </c>
      <c r="G495" t="s">
        <v>91</v>
      </c>
      <c r="H495" t="s">
        <v>61</v>
      </c>
      <c r="I495" s="12">
        <v>0.85416666666666663</v>
      </c>
      <c r="J495" t="s">
        <v>92</v>
      </c>
      <c r="K495" t="s">
        <v>61</v>
      </c>
      <c r="L495" s="12">
        <v>0.88194444444444442</v>
      </c>
      <c r="M495" t="s">
        <v>63</v>
      </c>
      <c r="N495" s="3">
        <v>232</v>
      </c>
      <c r="O495" t="s">
        <v>24</v>
      </c>
      <c r="P495" t="s">
        <v>79</v>
      </c>
      <c r="R495">
        <f>tblDailySchedule[[#This Row],[Capacity Approx]]*'[1]Load Factor Sheet June Acft  '!$B$5</f>
        <v>187.86727272727273</v>
      </c>
      <c r="S495">
        <f>tblDailySchedule[[#This Row],[Capacity Approx]]*'[1]Load Factor Sheet June Acft  '!$D$5</f>
        <v>203.4218181818182</v>
      </c>
      <c r="T495" s="22">
        <f>tblDailySchedule[[#This Row],[STD]]</f>
        <v>0.88194444444444442</v>
      </c>
    </row>
    <row r="496" spans="1:20" hidden="1" x14ac:dyDescent="0.35">
      <c r="A496" s="11">
        <v>46127</v>
      </c>
      <c r="B496" s="3">
        <v>3</v>
      </c>
      <c r="C496" t="s">
        <v>113</v>
      </c>
      <c r="D496" t="s">
        <v>18</v>
      </c>
      <c r="E496" s="3">
        <v>26</v>
      </c>
      <c r="F496" t="s">
        <v>19</v>
      </c>
      <c r="G496" t="s">
        <v>93</v>
      </c>
      <c r="H496" t="s">
        <v>31</v>
      </c>
      <c r="I496" s="12">
        <v>0.86111111111111116</v>
      </c>
      <c r="J496" t="s">
        <v>94</v>
      </c>
      <c r="K496" t="s">
        <v>31</v>
      </c>
      <c r="L496" s="12">
        <v>0.88888888888888884</v>
      </c>
      <c r="M496" t="s">
        <v>23</v>
      </c>
      <c r="N496" s="3">
        <v>186</v>
      </c>
      <c r="O496" t="s">
        <v>24</v>
      </c>
      <c r="P496" t="s">
        <v>79</v>
      </c>
      <c r="R496">
        <f>tblDailySchedule[[#This Row],[Capacity Approx]]*'[1]Load Factor Sheet June Acft  '!$B$5</f>
        <v>150.61772727272728</v>
      </c>
      <c r="S496">
        <f>tblDailySchedule[[#This Row],[Capacity Approx]]*'[1]Load Factor Sheet June Acft  '!$D$5</f>
        <v>163.08818181818182</v>
      </c>
      <c r="T496" s="22">
        <f>tblDailySchedule[[#This Row],[STD]]</f>
        <v>0.88888888888888884</v>
      </c>
    </row>
    <row r="497" spans="1:20" hidden="1" x14ac:dyDescent="0.35">
      <c r="A497" s="11">
        <v>46127</v>
      </c>
      <c r="B497" s="3">
        <v>3</v>
      </c>
      <c r="C497" t="s">
        <v>113</v>
      </c>
      <c r="D497" t="s">
        <v>18</v>
      </c>
      <c r="E497" s="3">
        <v>27</v>
      </c>
      <c r="F497" t="s">
        <v>19</v>
      </c>
      <c r="G497" t="s">
        <v>95</v>
      </c>
      <c r="H497" t="s">
        <v>21</v>
      </c>
      <c r="I497" s="12">
        <v>0.86805555555555558</v>
      </c>
      <c r="J497" t="s">
        <v>96</v>
      </c>
      <c r="K497" t="s">
        <v>21</v>
      </c>
      <c r="L497" s="12">
        <v>0.89583333333333337</v>
      </c>
      <c r="M497" t="s">
        <v>29</v>
      </c>
      <c r="N497" s="3">
        <v>186</v>
      </c>
      <c r="O497" t="s">
        <v>24</v>
      </c>
      <c r="P497" t="s">
        <v>79</v>
      </c>
      <c r="R497">
        <f>tblDailySchedule[[#This Row],[Capacity Approx]]*'[1]Load Factor Sheet June Acft  '!$B$5</f>
        <v>150.61772727272728</v>
      </c>
      <c r="S497">
        <f>tblDailySchedule[[#This Row],[Capacity Approx]]*'[1]Load Factor Sheet June Acft  '!$D$5</f>
        <v>163.08818181818182</v>
      </c>
      <c r="T497" s="22">
        <f>tblDailySchedule[[#This Row],[STD]]</f>
        <v>0.89583333333333337</v>
      </c>
    </row>
    <row r="498" spans="1:20" hidden="1" x14ac:dyDescent="0.35">
      <c r="A498" s="11">
        <v>46127</v>
      </c>
      <c r="B498" s="3">
        <v>3</v>
      </c>
      <c r="C498" t="s">
        <v>113</v>
      </c>
      <c r="D498" t="s">
        <v>18</v>
      </c>
      <c r="E498" s="3">
        <v>28</v>
      </c>
      <c r="F498" t="s">
        <v>19</v>
      </c>
      <c r="G498" t="s">
        <v>97</v>
      </c>
      <c r="H498" t="s">
        <v>49</v>
      </c>
      <c r="I498" s="12">
        <v>0.90277777777777779</v>
      </c>
      <c r="J498" t="s">
        <v>97</v>
      </c>
      <c r="K498" t="s">
        <v>61</v>
      </c>
      <c r="L498" s="12">
        <v>0.92361111111111116</v>
      </c>
      <c r="M498" t="s">
        <v>33</v>
      </c>
      <c r="N498" s="3">
        <v>189</v>
      </c>
      <c r="O498" t="s">
        <v>24</v>
      </c>
      <c r="P498" t="s">
        <v>79</v>
      </c>
      <c r="R498">
        <f>tblDailySchedule[[#This Row],[Capacity Approx]]*'[1]Load Factor Sheet June Acft  '!$B$5</f>
        <v>153.04704545454547</v>
      </c>
      <c r="S498">
        <f>tblDailySchedule[[#This Row],[Capacity Approx]]*'[1]Load Factor Sheet June Acft  '!$D$5</f>
        <v>165.71863636363636</v>
      </c>
      <c r="T498" s="22">
        <f>tblDailySchedule[[#This Row],[STD]]</f>
        <v>0.92361111111111116</v>
      </c>
    </row>
    <row r="499" spans="1:20" hidden="1" x14ac:dyDescent="0.35">
      <c r="A499" s="11">
        <v>46127</v>
      </c>
      <c r="B499" s="3">
        <v>3</v>
      </c>
      <c r="C499" t="s">
        <v>113</v>
      </c>
      <c r="D499" t="s">
        <v>18</v>
      </c>
      <c r="E499" s="3">
        <v>29</v>
      </c>
      <c r="F499" t="s">
        <v>19</v>
      </c>
      <c r="G499" t="s">
        <v>98</v>
      </c>
      <c r="H499" t="s">
        <v>21</v>
      </c>
      <c r="I499" s="12">
        <v>0.92013888888888884</v>
      </c>
      <c r="J499" t="s">
        <v>99</v>
      </c>
      <c r="K499" t="s">
        <v>21</v>
      </c>
      <c r="L499" s="12">
        <v>0.94791666666666663</v>
      </c>
      <c r="M499" t="s">
        <v>63</v>
      </c>
      <c r="N499" s="3">
        <v>232</v>
      </c>
      <c r="O499" t="s">
        <v>24</v>
      </c>
      <c r="P499" t="s">
        <v>79</v>
      </c>
      <c r="R499">
        <f>tblDailySchedule[[#This Row],[Capacity Approx]]*'[1]Load Factor Sheet June Acft  '!$B$5</f>
        <v>187.86727272727273</v>
      </c>
      <c r="S499">
        <f>tblDailySchedule[[#This Row],[Capacity Approx]]*'[1]Load Factor Sheet June Acft  '!$D$5</f>
        <v>203.4218181818182</v>
      </c>
      <c r="T499" s="22">
        <f>tblDailySchedule[[#This Row],[STD]]</f>
        <v>0.94791666666666663</v>
      </c>
    </row>
    <row r="500" spans="1:20" hidden="1" x14ac:dyDescent="0.35">
      <c r="A500" s="13">
        <v>46127</v>
      </c>
      <c r="B500" s="7">
        <v>3</v>
      </c>
      <c r="C500" s="14" t="s">
        <v>113</v>
      </c>
      <c r="D500" s="14" t="s">
        <v>18</v>
      </c>
      <c r="E500" s="7">
        <v>30</v>
      </c>
      <c r="F500" s="14" t="s">
        <v>104</v>
      </c>
      <c r="G500" s="14" t="s">
        <v>105</v>
      </c>
      <c r="H500" s="14" t="s">
        <v>106</v>
      </c>
      <c r="I500" s="15">
        <v>0.92708333333333337</v>
      </c>
      <c r="J500" s="14" t="s">
        <v>107</v>
      </c>
      <c r="K500" s="14" t="s">
        <v>106</v>
      </c>
      <c r="L500" s="15">
        <v>0.95833333333333337</v>
      </c>
      <c r="M500" s="14" t="s">
        <v>38</v>
      </c>
      <c r="N500" s="7">
        <v>186</v>
      </c>
      <c r="O500" s="14" t="s">
        <v>39</v>
      </c>
      <c r="P500" s="14" t="s">
        <v>79</v>
      </c>
      <c r="Q500" s="14" t="s">
        <v>39</v>
      </c>
      <c r="R500">
        <f>tblDailySchedule[[#This Row],[Capacity Approx]]*'[1]Load Factor Sheet June Acft  '!$B$5</f>
        <v>150.61772727272728</v>
      </c>
      <c r="S500">
        <f>tblDailySchedule[[#This Row],[Capacity Approx]]*'[1]Load Factor Sheet June Acft  '!$D$5</f>
        <v>163.08818181818182</v>
      </c>
      <c r="T500" s="22">
        <f>tblDailySchedule[[#This Row],[STD]]</f>
        <v>0.95833333333333337</v>
      </c>
    </row>
    <row r="501" spans="1:20" hidden="1" x14ac:dyDescent="0.35">
      <c r="A501" s="11">
        <v>46128</v>
      </c>
      <c r="B501" s="3">
        <v>4</v>
      </c>
      <c r="C501" t="s">
        <v>114</v>
      </c>
      <c r="D501" t="s">
        <v>18</v>
      </c>
      <c r="E501" s="3">
        <v>1</v>
      </c>
      <c r="F501" t="s">
        <v>101</v>
      </c>
      <c r="G501" t="s">
        <v>102</v>
      </c>
      <c r="H501" t="s">
        <v>61</v>
      </c>
      <c r="I501" s="12">
        <v>0.3125</v>
      </c>
      <c r="J501" t="s">
        <v>103</v>
      </c>
      <c r="K501" t="s">
        <v>61</v>
      </c>
      <c r="L501" s="12">
        <v>0.33333333333333331</v>
      </c>
      <c r="M501" t="s">
        <v>33</v>
      </c>
      <c r="N501" s="3">
        <v>189</v>
      </c>
      <c r="O501" t="s">
        <v>24</v>
      </c>
      <c r="P501" t="s">
        <v>25</v>
      </c>
      <c r="R501">
        <f>tblDailySchedule[[#This Row],[Capacity Approx]]*'[1]Load Factor Sheet June Acft  '!$B$5</f>
        <v>153.04704545454547</v>
      </c>
      <c r="S501">
        <f>tblDailySchedule[[#This Row],[Capacity Approx]]*'[1]Load Factor Sheet June Acft  '!$D$5</f>
        <v>165.71863636363636</v>
      </c>
      <c r="T501" s="22">
        <f>tblDailySchedule[[#This Row],[STD]]</f>
        <v>0.33333333333333331</v>
      </c>
    </row>
    <row r="502" spans="1:20" hidden="1" x14ac:dyDescent="0.35">
      <c r="A502" s="11">
        <v>46128</v>
      </c>
      <c r="B502" s="3">
        <v>4</v>
      </c>
      <c r="C502" t="s">
        <v>114</v>
      </c>
      <c r="D502" t="s">
        <v>18</v>
      </c>
      <c r="E502" s="3">
        <v>2</v>
      </c>
      <c r="F502" t="s">
        <v>19</v>
      </c>
      <c r="G502" t="s">
        <v>20</v>
      </c>
      <c r="H502" t="s">
        <v>21</v>
      </c>
      <c r="I502" s="12">
        <v>0.31944444444444442</v>
      </c>
      <c r="J502" t="s">
        <v>22</v>
      </c>
      <c r="K502" t="s">
        <v>21</v>
      </c>
      <c r="L502" s="12">
        <v>0.34722222222222221</v>
      </c>
      <c r="M502" t="s">
        <v>23</v>
      </c>
      <c r="N502" s="3">
        <v>186</v>
      </c>
      <c r="O502" t="s">
        <v>24</v>
      </c>
      <c r="P502" t="s">
        <v>25</v>
      </c>
      <c r="R502">
        <f>tblDailySchedule[[#This Row],[Capacity Approx]]*'[1]Load Factor Sheet June Acft  '!$B$5</f>
        <v>150.61772727272728</v>
      </c>
      <c r="S502">
        <f>tblDailySchedule[[#This Row],[Capacity Approx]]*'[1]Load Factor Sheet June Acft  '!$D$5</f>
        <v>163.08818181818182</v>
      </c>
      <c r="T502" s="22">
        <f>tblDailySchedule[[#This Row],[STD]]</f>
        <v>0.34722222222222221</v>
      </c>
    </row>
    <row r="503" spans="1:20" hidden="1" x14ac:dyDescent="0.35">
      <c r="A503" s="11">
        <v>46128</v>
      </c>
      <c r="B503" s="3">
        <v>4</v>
      </c>
      <c r="C503" t="s">
        <v>114</v>
      </c>
      <c r="D503" t="s">
        <v>18</v>
      </c>
      <c r="E503" s="3">
        <v>3</v>
      </c>
      <c r="F503" t="s">
        <v>19</v>
      </c>
      <c r="G503" t="s">
        <v>26</v>
      </c>
      <c r="H503" t="s">
        <v>27</v>
      </c>
      <c r="I503" s="12">
        <v>0.3263888888888889</v>
      </c>
      <c r="J503" t="s">
        <v>28</v>
      </c>
      <c r="K503" t="s">
        <v>27</v>
      </c>
      <c r="L503" s="12">
        <v>0.35416666666666669</v>
      </c>
      <c r="M503" t="s">
        <v>29</v>
      </c>
      <c r="N503" s="3">
        <v>186</v>
      </c>
      <c r="O503" t="s">
        <v>24</v>
      </c>
      <c r="P503" t="s">
        <v>25</v>
      </c>
      <c r="R503">
        <f>tblDailySchedule[[#This Row],[Capacity Approx]]*'[1]Load Factor Sheet June Acft  '!$B$5</f>
        <v>150.61772727272728</v>
      </c>
      <c r="S503">
        <f>tblDailySchedule[[#This Row],[Capacity Approx]]*'[1]Load Factor Sheet June Acft  '!$D$5</f>
        <v>163.08818181818182</v>
      </c>
      <c r="T503" s="22">
        <f>tblDailySchedule[[#This Row],[STD]]</f>
        <v>0.35416666666666669</v>
      </c>
    </row>
    <row r="504" spans="1:20" hidden="1" x14ac:dyDescent="0.35">
      <c r="A504" s="11">
        <v>46128</v>
      </c>
      <c r="B504" s="3">
        <v>4</v>
      </c>
      <c r="C504" t="s">
        <v>114</v>
      </c>
      <c r="D504" t="s">
        <v>18</v>
      </c>
      <c r="E504" s="3">
        <v>4</v>
      </c>
      <c r="F504" t="s">
        <v>19</v>
      </c>
      <c r="G504" t="s">
        <v>30</v>
      </c>
      <c r="H504" t="s">
        <v>31</v>
      </c>
      <c r="I504" s="12">
        <v>0.34722222222222221</v>
      </c>
      <c r="J504" t="s">
        <v>32</v>
      </c>
      <c r="K504" t="s">
        <v>31</v>
      </c>
      <c r="L504" s="12">
        <v>0.36805555555555558</v>
      </c>
      <c r="M504" t="s">
        <v>33</v>
      </c>
      <c r="N504" s="3">
        <v>189</v>
      </c>
      <c r="O504" t="s">
        <v>24</v>
      </c>
      <c r="P504" t="s">
        <v>25</v>
      </c>
      <c r="R504">
        <f>tblDailySchedule[[#This Row],[Capacity Approx]]*'[1]Load Factor Sheet June Acft  '!$B$5</f>
        <v>153.04704545454547</v>
      </c>
      <c r="S504">
        <f>tblDailySchedule[[#This Row],[Capacity Approx]]*'[1]Load Factor Sheet June Acft  '!$D$5</f>
        <v>165.71863636363636</v>
      </c>
      <c r="T504" s="22">
        <f>tblDailySchedule[[#This Row],[STD]]</f>
        <v>0.36805555555555558</v>
      </c>
    </row>
    <row r="505" spans="1:20" hidden="1" x14ac:dyDescent="0.35">
      <c r="A505" s="11">
        <v>46128</v>
      </c>
      <c r="B505" s="3">
        <v>4</v>
      </c>
      <c r="C505" t="s">
        <v>114</v>
      </c>
      <c r="D505" t="s">
        <v>18</v>
      </c>
      <c r="E505" s="3">
        <v>5</v>
      </c>
      <c r="F505" t="s">
        <v>19</v>
      </c>
      <c r="G505" t="s">
        <v>40</v>
      </c>
      <c r="H505" t="s">
        <v>31</v>
      </c>
      <c r="I505" s="12">
        <v>0.35069444444444442</v>
      </c>
      <c r="J505" t="s">
        <v>41</v>
      </c>
      <c r="K505" t="s">
        <v>31</v>
      </c>
      <c r="L505" s="12">
        <v>0.37152777777777779</v>
      </c>
      <c r="M505" t="s">
        <v>23</v>
      </c>
      <c r="N505" s="3">
        <v>186</v>
      </c>
      <c r="O505" t="s">
        <v>24</v>
      </c>
      <c r="P505" t="s">
        <v>25</v>
      </c>
      <c r="R505">
        <f>tblDailySchedule[[#This Row],[Capacity Approx]]*'[1]Load Factor Sheet June Acft  '!$B$5</f>
        <v>150.61772727272728</v>
      </c>
      <c r="S505">
        <f>tblDailySchedule[[#This Row],[Capacity Approx]]*'[1]Load Factor Sheet June Acft  '!$D$5</f>
        <v>163.08818181818182</v>
      </c>
      <c r="T505" s="22">
        <f>tblDailySchedule[[#This Row],[STD]]</f>
        <v>0.37152777777777779</v>
      </c>
    </row>
    <row r="506" spans="1:20" hidden="1" x14ac:dyDescent="0.35">
      <c r="A506" s="11">
        <v>46128</v>
      </c>
      <c r="B506" s="3">
        <v>4</v>
      </c>
      <c r="C506" t="s">
        <v>114</v>
      </c>
      <c r="D506" t="s">
        <v>18</v>
      </c>
      <c r="E506" s="3">
        <v>7</v>
      </c>
      <c r="F506" t="s">
        <v>19</v>
      </c>
      <c r="G506" t="s">
        <v>42</v>
      </c>
      <c r="H506" t="s">
        <v>43</v>
      </c>
      <c r="I506" s="12">
        <v>0.3923611111111111</v>
      </c>
      <c r="J506" t="s">
        <v>44</v>
      </c>
      <c r="K506" t="s">
        <v>43</v>
      </c>
      <c r="L506" s="12">
        <v>0.40277777777777779</v>
      </c>
      <c r="M506" t="s">
        <v>45</v>
      </c>
      <c r="N506" s="3">
        <v>9</v>
      </c>
      <c r="O506" t="s">
        <v>24</v>
      </c>
      <c r="P506" t="s">
        <v>25</v>
      </c>
      <c r="R506">
        <f>tblDailySchedule[[#This Row],[Capacity Approx]]*'[1]Load Factor Sheet June Acft  '!$B$5</f>
        <v>7.2879545454545456</v>
      </c>
      <c r="S506">
        <f>tblDailySchedule[[#This Row],[Capacity Approx]]*'[1]Load Factor Sheet June Acft  '!$D$5</f>
        <v>7.8913636363636366</v>
      </c>
      <c r="T506" s="22">
        <f>tblDailySchedule[[#This Row],[STD]]</f>
        <v>0.40277777777777779</v>
      </c>
    </row>
    <row r="507" spans="1:20" hidden="1" x14ac:dyDescent="0.35">
      <c r="A507" s="11">
        <v>46128</v>
      </c>
      <c r="B507" s="3">
        <v>4</v>
      </c>
      <c r="C507" t="s">
        <v>114</v>
      </c>
      <c r="D507" t="s">
        <v>18</v>
      </c>
      <c r="E507" s="3">
        <v>8</v>
      </c>
      <c r="F507" t="s">
        <v>19</v>
      </c>
      <c r="G507" t="s">
        <v>46</v>
      </c>
      <c r="H507" t="s">
        <v>31</v>
      </c>
      <c r="I507" s="12">
        <v>0.4201388888888889</v>
      </c>
      <c r="J507" t="s">
        <v>47</v>
      </c>
      <c r="K507" t="s">
        <v>31</v>
      </c>
      <c r="L507" s="12">
        <v>0.44444444444444442</v>
      </c>
      <c r="M507" t="s">
        <v>29</v>
      </c>
      <c r="N507" s="3">
        <v>186</v>
      </c>
      <c r="O507" t="s">
        <v>24</v>
      </c>
      <c r="P507" t="s">
        <v>25</v>
      </c>
      <c r="R507">
        <f>tblDailySchedule[[#This Row],[Capacity Approx]]*'[1]Load Factor Sheet June Acft  '!$B$5</f>
        <v>150.61772727272728</v>
      </c>
      <c r="S507">
        <f>tblDailySchedule[[#This Row],[Capacity Approx]]*'[1]Load Factor Sheet June Acft  '!$D$5</f>
        <v>163.08818181818182</v>
      </c>
      <c r="T507" s="22">
        <f>tblDailySchedule[[#This Row],[STD]]</f>
        <v>0.44444444444444442</v>
      </c>
    </row>
    <row r="508" spans="1:20" hidden="1" x14ac:dyDescent="0.35">
      <c r="A508" s="11">
        <v>46128</v>
      </c>
      <c r="B508" s="3">
        <v>4</v>
      </c>
      <c r="C508" t="s">
        <v>114</v>
      </c>
      <c r="D508" t="s">
        <v>18</v>
      </c>
      <c r="E508" s="3">
        <v>9</v>
      </c>
      <c r="F508" t="s">
        <v>19</v>
      </c>
      <c r="G508" t="s">
        <v>48</v>
      </c>
      <c r="H508" t="s">
        <v>49</v>
      </c>
      <c r="I508" s="12">
        <v>0.4375</v>
      </c>
      <c r="J508" t="s">
        <v>50</v>
      </c>
      <c r="K508" t="s">
        <v>49</v>
      </c>
      <c r="L508" s="12">
        <v>0.45833333333333331</v>
      </c>
      <c r="M508" t="s">
        <v>51</v>
      </c>
      <c r="N508" s="3">
        <v>78</v>
      </c>
      <c r="O508" t="s">
        <v>24</v>
      </c>
      <c r="P508" t="s">
        <v>25</v>
      </c>
      <c r="R508">
        <f>tblDailySchedule[[#This Row],[Capacity Approx]]*'[1]Load Factor Sheet June Acft  '!$B$5</f>
        <v>63.162272727272729</v>
      </c>
      <c r="S508">
        <f>tblDailySchedule[[#This Row],[Capacity Approx]]*'[1]Load Factor Sheet June Acft  '!$D$5</f>
        <v>68.391818181818181</v>
      </c>
      <c r="T508" s="22">
        <f>tblDailySchedule[[#This Row],[STD]]</f>
        <v>0.45833333333333331</v>
      </c>
    </row>
    <row r="509" spans="1:20" hidden="1" x14ac:dyDescent="0.35">
      <c r="A509" s="11">
        <v>46128</v>
      </c>
      <c r="B509" s="3">
        <v>4</v>
      </c>
      <c r="C509" t="s">
        <v>114</v>
      </c>
      <c r="D509" t="s">
        <v>18</v>
      </c>
      <c r="E509" s="3">
        <v>10</v>
      </c>
      <c r="F509" t="s">
        <v>19</v>
      </c>
      <c r="G509" t="s">
        <v>52</v>
      </c>
      <c r="H509" t="s">
        <v>27</v>
      </c>
      <c r="I509" s="12">
        <v>0.4826388888888889</v>
      </c>
      <c r="J509" t="s">
        <v>53</v>
      </c>
      <c r="K509" t="s">
        <v>27</v>
      </c>
      <c r="L509" s="12">
        <v>0.51041666666666663</v>
      </c>
      <c r="M509" t="s">
        <v>23</v>
      </c>
      <c r="N509" s="3">
        <v>186</v>
      </c>
      <c r="O509" t="s">
        <v>24</v>
      </c>
      <c r="P509" t="s">
        <v>25</v>
      </c>
      <c r="R509">
        <f>tblDailySchedule[[#This Row],[Capacity Approx]]*'[1]Load Factor Sheet June Acft  '!$B$5</f>
        <v>150.61772727272728</v>
      </c>
      <c r="S509">
        <f>tblDailySchedule[[#This Row],[Capacity Approx]]*'[1]Load Factor Sheet June Acft  '!$D$5</f>
        <v>163.08818181818182</v>
      </c>
      <c r="T509" s="22">
        <f>tblDailySchedule[[#This Row],[STD]]</f>
        <v>0.51041666666666663</v>
      </c>
    </row>
    <row r="510" spans="1:20" hidden="1" x14ac:dyDescent="0.35">
      <c r="A510" s="11">
        <v>46128</v>
      </c>
      <c r="B510" s="3">
        <v>4</v>
      </c>
      <c r="C510" t="s">
        <v>114</v>
      </c>
      <c r="D510" t="s">
        <v>18</v>
      </c>
      <c r="E510" s="3">
        <v>11</v>
      </c>
      <c r="F510" t="s">
        <v>19</v>
      </c>
      <c r="G510" t="s">
        <v>54</v>
      </c>
      <c r="H510" t="s">
        <v>31</v>
      </c>
      <c r="I510" s="12">
        <v>0.51388888888888884</v>
      </c>
      <c r="J510" t="s">
        <v>55</v>
      </c>
      <c r="K510" t="s">
        <v>31</v>
      </c>
      <c r="L510" s="12">
        <v>0.54166666666666663</v>
      </c>
      <c r="M510" t="s">
        <v>23</v>
      </c>
      <c r="N510" s="3">
        <v>186</v>
      </c>
      <c r="O510" t="s">
        <v>24</v>
      </c>
      <c r="P510" t="s">
        <v>56</v>
      </c>
      <c r="R510">
        <f>tblDailySchedule[[#This Row],[Capacity Approx]]*'[1]Load Factor Sheet June Acft  '!$B$5</f>
        <v>150.61772727272728</v>
      </c>
      <c r="S510">
        <f>tblDailySchedule[[#This Row],[Capacity Approx]]*'[1]Load Factor Sheet June Acft  '!$D$5</f>
        <v>163.08818181818182</v>
      </c>
      <c r="T510" s="22">
        <f>tblDailySchedule[[#This Row],[STD]]</f>
        <v>0.54166666666666663</v>
      </c>
    </row>
    <row r="511" spans="1:20" hidden="1" x14ac:dyDescent="0.35">
      <c r="A511" s="11">
        <v>46128</v>
      </c>
      <c r="B511" s="3">
        <v>4</v>
      </c>
      <c r="C511" t="s">
        <v>114</v>
      </c>
      <c r="D511" t="s">
        <v>18</v>
      </c>
      <c r="E511" s="3">
        <v>12</v>
      </c>
      <c r="F511" t="s">
        <v>109</v>
      </c>
      <c r="G511" t="s">
        <v>110</v>
      </c>
      <c r="H511" t="s">
        <v>111</v>
      </c>
      <c r="I511" s="12">
        <v>0.55555555555555558</v>
      </c>
      <c r="J511" t="s">
        <v>112</v>
      </c>
      <c r="K511" t="s">
        <v>111</v>
      </c>
      <c r="L511" s="12">
        <v>0.56944444444444442</v>
      </c>
      <c r="M511" t="s">
        <v>51</v>
      </c>
      <c r="N511" s="3">
        <v>78</v>
      </c>
      <c r="O511" t="s">
        <v>24</v>
      </c>
      <c r="P511" t="s">
        <v>56</v>
      </c>
      <c r="R511">
        <f>tblDailySchedule[[#This Row],[Capacity Approx]]*'[1]Load Factor Sheet June Acft  '!$B$5</f>
        <v>63.162272727272729</v>
      </c>
      <c r="S511">
        <f>tblDailySchedule[[#This Row],[Capacity Approx]]*'[1]Load Factor Sheet June Acft  '!$D$5</f>
        <v>68.391818181818181</v>
      </c>
      <c r="T511" s="22">
        <f>tblDailySchedule[[#This Row],[STD]]</f>
        <v>0.56944444444444442</v>
      </c>
    </row>
    <row r="512" spans="1:20" hidden="1" x14ac:dyDescent="0.35">
      <c r="A512" s="11">
        <v>46128</v>
      </c>
      <c r="B512" s="3">
        <v>4</v>
      </c>
      <c r="C512" t="s">
        <v>114</v>
      </c>
      <c r="D512" t="s">
        <v>18</v>
      </c>
      <c r="E512" s="3">
        <v>13</v>
      </c>
      <c r="F512" t="s">
        <v>19</v>
      </c>
      <c r="G512" t="s">
        <v>57</v>
      </c>
      <c r="H512" t="s">
        <v>58</v>
      </c>
      <c r="I512" s="12">
        <v>0.55902777777777779</v>
      </c>
      <c r="J512" t="s">
        <v>59</v>
      </c>
      <c r="K512" t="s">
        <v>58</v>
      </c>
      <c r="L512" s="12">
        <v>0.57638888888888884</v>
      </c>
      <c r="M512" t="s">
        <v>51</v>
      </c>
      <c r="N512" s="3">
        <v>78</v>
      </c>
      <c r="O512" t="s">
        <v>24</v>
      </c>
      <c r="P512" t="s">
        <v>56</v>
      </c>
      <c r="R512">
        <f>tblDailySchedule[[#This Row],[Capacity Approx]]*'[1]Load Factor Sheet June Acft  '!$B$5</f>
        <v>63.162272727272729</v>
      </c>
      <c r="S512">
        <f>tblDailySchedule[[#This Row],[Capacity Approx]]*'[1]Load Factor Sheet June Acft  '!$D$5</f>
        <v>68.391818181818181</v>
      </c>
      <c r="T512" s="22">
        <f>tblDailySchedule[[#This Row],[STD]]</f>
        <v>0.57638888888888884</v>
      </c>
    </row>
    <row r="513" spans="1:20" hidden="1" x14ac:dyDescent="0.35">
      <c r="A513" s="11">
        <v>46128</v>
      </c>
      <c r="B513" s="3">
        <v>4</v>
      </c>
      <c r="C513" t="s">
        <v>114</v>
      </c>
      <c r="D513" t="s">
        <v>18</v>
      </c>
      <c r="E513" s="3">
        <v>14</v>
      </c>
      <c r="F513" t="s">
        <v>19</v>
      </c>
      <c r="G513" t="s">
        <v>60</v>
      </c>
      <c r="H513" t="s">
        <v>61</v>
      </c>
      <c r="I513" s="12">
        <v>0.59027777777777779</v>
      </c>
      <c r="J513" t="s">
        <v>62</v>
      </c>
      <c r="K513" t="s">
        <v>61</v>
      </c>
      <c r="L513" s="12">
        <v>0.62152777777777779</v>
      </c>
      <c r="M513" t="s">
        <v>63</v>
      </c>
      <c r="N513" s="3">
        <v>232</v>
      </c>
      <c r="O513" t="s">
        <v>24</v>
      </c>
      <c r="P513" t="s">
        <v>56</v>
      </c>
      <c r="R513">
        <f>tblDailySchedule[[#This Row],[Capacity Approx]]*'[1]Load Factor Sheet June Acft  '!$B$5</f>
        <v>187.86727272727273</v>
      </c>
      <c r="S513">
        <f>tblDailySchedule[[#This Row],[Capacity Approx]]*'[1]Load Factor Sheet June Acft  '!$D$5</f>
        <v>203.4218181818182</v>
      </c>
      <c r="T513" s="22">
        <f>tblDailySchedule[[#This Row],[STD]]</f>
        <v>0.62152777777777779</v>
      </c>
    </row>
    <row r="514" spans="1:20" hidden="1" x14ac:dyDescent="0.35">
      <c r="A514" s="11">
        <v>46128</v>
      </c>
      <c r="B514" s="3">
        <v>4</v>
      </c>
      <c r="C514" t="s">
        <v>114</v>
      </c>
      <c r="D514" t="s">
        <v>18</v>
      </c>
      <c r="E514" s="3">
        <v>15</v>
      </c>
      <c r="F514" t="s">
        <v>19</v>
      </c>
      <c r="G514" t="s">
        <v>64</v>
      </c>
      <c r="H514" t="s">
        <v>31</v>
      </c>
      <c r="I514" s="12">
        <v>0.60069444444444442</v>
      </c>
      <c r="J514" t="s">
        <v>65</v>
      </c>
      <c r="K514" t="s">
        <v>66</v>
      </c>
      <c r="L514" s="12">
        <v>0.62847222222222221</v>
      </c>
      <c r="M514" t="s">
        <v>63</v>
      </c>
      <c r="N514" s="3">
        <v>232</v>
      </c>
      <c r="O514" t="s">
        <v>24</v>
      </c>
      <c r="P514" t="s">
        <v>56</v>
      </c>
      <c r="R514">
        <f>tblDailySchedule[[#This Row],[Capacity Approx]]*'[1]Load Factor Sheet June Acft  '!$B$5</f>
        <v>187.86727272727273</v>
      </c>
      <c r="S514">
        <f>tblDailySchedule[[#This Row],[Capacity Approx]]*'[1]Load Factor Sheet June Acft  '!$D$5</f>
        <v>203.4218181818182</v>
      </c>
      <c r="T514" s="22">
        <f>tblDailySchedule[[#This Row],[STD]]</f>
        <v>0.62847222222222221</v>
      </c>
    </row>
    <row r="515" spans="1:20" hidden="1" x14ac:dyDescent="0.35">
      <c r="A515" s="11">
        <v>46128</v>
      </c>
      <c r="B515" s="3">
        <v>4</v>
      </c>
      <c r="C515" t="s">
        <v>114</v>
      </c>
      <c r="D515" t="s">
        <v>18</v>
      </c>
      <c r="E515" s="3">
        <v>16</v>
      </c>
      <c r="F515" t="s">
        <v>19</v>
      </c>
      <c r="G515" t="s">
        <v>67</v>
      </c>
      <c r="H515" t="s">
        <v>31</v>
      </c>
      <c r="I515" s="12">
        <v>0.65625</v>
      </c>
      <c r="J515" t="s">
        <v>68</v>
      </c>
      <c r="K515" t="s">
        <v>31</v>
      </c>
      <c r="L515" s="12">
        <v>0.68402777777777779</v>
      </c>
      <c r="M515" t="s">
        <v>63</v>
      </c>
      <c r="N515" s="3">
        <v>232</v>
      </c>
      <c r="O515" t="s">
        <v>24</v>
      </c>
      <c r="P515" t="s">
        <v>56</v>
      </c>
      <c r="R515">
        <f>tblDailySchedule[[#This Row],[Capacity Approx]]*'[1]Load Factor Sheet June Acft  '!$B$5</f>
        <v>187.86727272727273</v>
      </c>
      <c r="S515">
        <f>tblDailySchedule[[#This Row],[Capacity Approx]]*'[1]Load Factor Sheet June Acft  '!$D$5</f>
        <v>203.4218181818182</v>
      </c>
      <c r="T515" s="22">
        <f>tblDailySchedule[[#This Row],[STD]]</f>
        <v>0.68402777777777779</v>
      </c>
    </row>
    <row r="516" spans="1:20" hidden="1" x14ac:dyDescent="0.35">
      <c r="A516" s="11">
        <v>46128</v>
      </c>
      <c r="B516" s="3">
        <v>4</v>
      </c>
      <c r="C516" t="s">
        <v>114</v>
      </c>
      <c r="D516" t="s">
        <v>18</v>
      </c>
      <c r="E516" s="3">
        <v>17</v>
      </c>
      <c r="F516" t="s">
        <v>19</v>
      </c>
      <c r="G516" t="s">
        <v>69</v>
      </c>
      <c r="H516" t="s">
        <v>31</v>
      </c>
      <c r="I516" s="12">
        <v>0.66319444444444442</v>
      </c>
      <c r="J516" t="s">
        <v>70</v>
      </c>
      <c r="K516" t="s">
        <v>31</v>
      </c>
      <c r="L516" s="12">
        <v>0.69097222222222221</v>
      </c>
      <c r="M516" t="s">
        <v>33</v>
      </c>
      <c r="N516" s="3">
        <v>189</v>
      </c>
      <c r="O516" t="s">
        <v>24</v>
      </c>
      <c r="P516" t="s">
        <v>56</v>
      </c>
      <c r="R516">
        <f>tblDailySchedule[[#This Row],[Capacity Approx]]*'[1]Load Factor Sheet June Acft  '!$B$5</f>
        <v>153.04704545454547</v>
      </c>
      <c r="S516">
        <f>tblDailySchedule[[#This Row],[Capacity Approx]]*'[1]Load Factor Sheet June Acft  '!$D$5</f>
        <v>165.71863636363636</v>
      </c>
      <c r="T516" s="22">
        <f>tblDailySchedule[[#This Row],[STD]]</f>
        <v>0.69097222222222221</v>
      </c>
    </row>
    <row r="517" spans="1:20" hidden="1" x14ac:dyDescent="0.35">
      <c r="A517" s="11">
        <v>46128</v>
      </c>
      <c r="B517" s="3">
        <v>4</v>
      </c>
      <c r="C517" t="s">
        <v>114</v>
      </c>
      <c r="D517" t="s">
        <v>18</v>
      </c>
      <c r="E517" s="3">
        <v>18</v>
      </c>
      <c r="F517" t="s">
        <v>19</v>
      </c>
      <c r="G517" t="s">
        <v>71</v>
      </c>
      <c r="H517" t="s">
        <v>21</v>
      </c>
      <c r="I517" s="12">
        <v>0.67013888888888884</v>
      </c>
      <c r="J517" t="s">
        <v>72</v>
      </c>
      <c r="K517" t="s">
        <v>21</v>
      </c>
      <c r="L517" s="12">
        <v>0.69791666666666663</v>
      </c>
      <c r="M517" t="s">
        <v>63</v>
      </c>
      <c r="N517" s="3">
        <v>232</v>
      </c>
      <c r="O517" t="s">
        <v>24</v>
      </c>
      <c r="P517" t="s">
        <v>56</v>
      </c>
      <c r="R517">
        <f>tblDailySchedule[[#This Row],[Capacity Approx]]*'[1]Load Factor Sheet June Acft  '!$B$5</f>
        <v>187.86727272727273</v>
      </c>
      <c r="S517">
        <f>tblDailySchedule[[#This Row],[Capacity Approx]]*'[1]Load Factor Sheet June Acft  '!$D$5</f>
        <v>203.4218181818182</v>
      </c>
      <c r="T517" s="22">
        <f>tblDailySchedule[[#This Row],[STD]]</f>
        <v>0.69791666666666663</v>
      </c>
    </row>
    <row r="518" spans="1:20" hidden="1" x14ac:dyDescent="0.35">
      <c r="A518" s="11">
        <v>46128</v>
      </c>
      <c r="B518" s="3">
        <v>4</v>
      </c>
      <c r="C518" t="s">
        <v>114</v>
      </c>
      <c r="D518" t="s">
        <v>18</v>
      </c>
      <c r="E518" s="3">
        <v>19</v>
      </c>
      <c r="F518" t="s">
        <v>19</v>
      </c>
      <c r="G518" t="s">
        <v>73</v>
      </c>
      <c r="H518" t="s">
        <v>27</v>
      </c>
      <c r="I518" s="12">
        <v>0.74652777777777779</v>
      </c>
      <c r="J518" t="s">
        <v>74</v>
      </c>
      <c r="K518" t="s">
        <v>27</v>
      </c>
      <c r="L518" s="12">
        <v>0.77430555555555558</v>
      </c>
      <c r="M518" t="s">
        <v>63</v>
      </c>
      <c r="N518" s="3">
        <v>232</v>
      </c>
      <c r="O518" t="s">
        <v>24</v>
      </c>
      <c r="P518" t="s">
        <v>56</v>
      </c>
      <c r="R518">
        <f>tblDailySchedule[[#This Row],[Capacity Approx]]*'[1]Load Factor Sheet June Acft  '!$B$5</f>
        <v>187.86727272727273</v>
      </c>
      <c r="S518">
        <f>tblDailySchedule[[#This Row],[Capacity Approx]]*'[1]Load Factor Sheet June Acft  '!$D$5</f>
        <v>203.4218181818182</v>
      </c>
      <c r="T518" s="22">
        <f>tblDailySchedule[[#This Row],[STD]]</f>
        <v>0.77430555555555558</v>
      </c>
    </row>
    <row r="519" spans="1:20" hidden="1" x14ac:dyDescent="0.35">
      <c r="A519" s="11">
        <v>46128</v>
      </c>
      <c r="B519" s="3">
        <v>4</v>
      </c>
      <c r="C519" t="s">
        <v>114</v>
      </c>
      <c r="D519" t="s">
        <v>18</v>
      </c>
      <c r="E519" s="3">
        <v>21</v>
      </c>
      <c r="F519" t="s">
        <v>19</v>
      </c>
      <c r="G519" t="s">
        <v>81</v>
      </c>
      <c r="H519" t="s">
        <v>61</v>
      </c>
      <c r="I519" s="12">
        <v>0.77083333333333337</v>
      </c>
      <c r="J519" t="s">
        <v>82</v>
      </c>
      <c r="K519" t="s">
        <v>49</v>
      </c>
      <c r="L519" s="12">
        <v>0.79166666666666663</v>
      </c>
      <c r="M519" t="s">
        <v>33</v>
      </c>
      <c r="N519" s="3">
        <v>189</v>
      </c>
      <c r="O519" t="s">
        <v>24</v>
      </c>
      <c r="P519" t="s">
        <v>79</v>
      </c>
      <c r="R519">
        <f>tblDailySchedule[[#This Row],[Capacity Approx]]*'[1]Load Factor Sheet June Acft  '!$B$5</f>
        <v>153.04704545454547</v>
      </c>
      <c r="S519">
        <f>tblDailySchedule[[#This Row],[Capacity Approx]]*'[1]Load Factor Sheet June Acft  '!$D$5</f>
        <v>165.71863636363636</v>
      </c>
      <c r="T519" s="22">
        <f>tblDailySchedule[[#This Row],[STD]]</f>
        <v>0.79166666666666663</v>
      </c>
    </row>
    <row r="520" spans="1:20" hidden="1" x14ac:dyDescent="0.35">
      <c r="A520" s="11">
        <v>46128</v>
      </c>
      <c r="B520" s="3">
        <v>4</v>
      </c>
      <c r="C520" t="s">
        <v>114</v>
      </c>
      <c r="D520" t="s">
        <v>18</v>
      </c>
      <c r="E520" s="3">
        <v>22</v>
      </c>
      <c r="F520" t="s">
        <v>19</v>
      </c>
      <c r="G520" t="s">
        <v>83</v>
      </c>
      <c r="H520" t="s">
        <v>31</v>
      </c>
      <c r="I520" s="12">
        <v>0.77777777777777779</v>
      </c>
      <c r="J520" t="s">
        <v>84</v>
      </c>
      <c r="K520" t="s">
        <v>31</v>
      </c>
      <c r="L520" s="12">
        <v>0.80555555555555558</v>
      </c>
      <c r="M520" t="s">
        <v>63</v>
      </c>
      <c r="N520" s="3">
        <v>232</v>
      </c>
      <c r="O520" t="s">
        <v>24</v>
      </c>
      <c r="P520" t="s">
        <v>79</v>
      </c>
      <c r="R520">
        <f>tblDailySchedule[[#This Row],[Capacity Approx]]*'[1]Load Factor Sheet June Acft  '!$B$5</f>
        <v>187.86727272727273</v>
      </c>
      <c r="S520">
        <f>tblDailySchedule[[#This Row],[Capacity Approx]]*'[1]Load Factor Sheet June Acft  '!$D$5</f>
        <v>203.4218181818182</v>
      </c>
      <c r="T520" s="22">
        <f>tblDailySchedule[[#This Row],[STD]]</f>
        <v>0.80555555555555558</v>
      </c>
    </row>
    <row r="521" spans="1:20" hidden="1" x14ac:dyDescent="0.35">
      <c r="A521" s="11">
        <v>46128</v>
      </c>
      <c r="B521" s="3">
        <v>4</v>
      </c>
      <c r="C521" t="s">
        <v>114</v>
      </c>
      <c r="D521" t="s">
        <v>18</v>
      </c>
      <c r="E521" s="3">
        <v>23</v>
      </c>
      <c r="F521" t="s">
        <v>19</v>
      </c>
      <c r="G521" t="s">
        <v>85</v>
      </c>
      <c r="H521" t="s">
        <v>86</v>
      </c>
      <c r="I521" s="12">
        <v>0.79861111111111116</v>
      </c>
      <c r="J521" t="s">
        <v>87</v>
      </c>
      <c r="K521" t="s">
        <v>86</v>
      </c>
      <c r="L521" s="12">
        <v>0.82638888888888884</v>
      </c>
      <c r="M521" t="s">
        <v>63</v>
      </c>
      <c r="N521" s="3">
        <v>232</v>
      </c>
      <c r="O521" t="s">
        <v>24</v>
      </c>
      <c r="P521" t="s">
        <v>79</v>
      </c>
      <c r="R521">
        <f>tblDailySchedule[[#This Row],[Capacity Approx]]*'[1]Load Factor Sheet June Acft  '!$B$5</f>
        <v>187.86727272727273</v>
      </c>
      <c r="S521">
        <f>tblDailySchedule[[#This Row],[Capacity Approx]]*'[1]Load Factor Sheet June Acft  '!$D$5</f>
        <v>203.4218181818182</v>
      </c>
      <c r="T521" s="22">
        <f>tblDailySchedule[[#This Row],[STD]]</f>
        <v>0.82638888888888884</v>
      </c>
    </row>
    <row r="522" spans="1:20" hidden="1" x14ac:dyDescent="0.35">
      <c r="A522" s="11">
        <v>46128</v>
      </c>
      <c r="B522" s="3">
        <v>4</v>
      </c>
      <c r="C522" t="s">
        <v>114</v>
      </c>
      <c r="D522" t="s">
        <v>18</v>
      </c>
      <c r="E522" s="3">
        <v>24</v>
      </c>
      <c r="F522" t="s">
        <v>19</v>
      </c>
      <c r="G522" t="s">
        <v>88</v>
      </c>
      <c r="H522" t="s">
        <v>89</v>
      </c>
      <c r="I522" s="12">
        <v>0.83333333333333337</v>
      </c>
      <c r="J522" t="s">
        <v>90</v>
      </c>
      <c r="K522" t="s">
        <v>31</v>
      </c>
      <c r="L522" s="12">
        <v>0.86111111111111116</v>
      </c>
      <c r="M522" t="s">
        <v>63</v>
      </c>
      <c r="N522" s="3">
        <v>232</v>
      </c>
      <c r="O522" t="s">
        <v>24</v>
      </c>
      <c r="P522" t="s">
        <v>79</v>
      </c>
      <c r="R522">
        <f>tblDailySchedule[[#This Row],[Capacity Approx]]*'[1]Load Factor Sheet June Acft  '!$B$5</f>
        <v>187.86727272727273</v>
      </c>
      <c r="S522">
        <f>tblDailySchedule[[#This Row],[Capacity Approx]]*'[1]Load Factor Sheet June Acft  '!$D$5</f>
        <v>203.4218181818182</v>
      </c>
      <c r="T522" s="22">
        <f>tblDailySchedule[[#This Row],[STD]]</f>
        <v>0.86111111111111116</v>
      </c>
    </row>
    <row r="523" spans="1:20" hidden="1" x14ac:dyDescent="0.35">
      <c r="A523" s="11">
        <v>46128</v>
      </c>
      <c r="B523" s="3">
        <v>4</v>
      </c>
      <c r="C523" t="s">
        <v>114</v>
      </c>
      <c r="D523" t="s">
        <v>18</v>
      </c>
      <c r="E523" s="3">
        <v>25</v>
      </c>
      <c r="F523" t="s">
        <v>19</v>
      </c>
      <c r="G523" t="s">
        <v>91</v>
      </c>
      <c r="H523" t="s">
        <v>61</v>
      </c>
      <c r="I523" s="12">
        <v>0.85416666666666663</v>
      </c>
      <c r="J523" t="s">
        <v>92</v>
      </c>
      <c r="K523" t="s">
        <v>61</v>
      </c>
      <c r="L523" s="12">
        <v>0.88194444444444442</v>
      </c>
      <c r="M523" t="s">
        <v>63</v>
      </c>
      <c r="N523" s="3">
        <v>232</v>
      </c>
      <c r="O523" t="s">
        <v>24</v>
      </c>
      <c r="P523" t="s">
        <v>79</v>
      </c>
      <c r="R523">
        <f>tblDailySchedule[[#This Row],[Capacity Approx]]*'[1]Load Factor Sheet June Acft  '!$B$5</f>
        <v>187.86727272727273</v>
      </c>
      <c r="S523">
        <f>tblDailySchedule[[#This Row],[Capacity Approx]]*'[1]Load Factor Sheet June Acft  '!$D$5</f>
        <v>203.4218181818182</v>
      </c>
      <c r="T523" s="22">
        <f>tblDailySchedule[[#This Row],[STD]]</f>
        <v>0.88194444444444442</v>
      </c>
    </row>
    <row r="524" spans="1:20" hidden="1" x14ac:dyDescent="0.35">
      <c r="A524" s="11">
        <v>46128</v>
      </c>
      <c r="B524" s="3">
        <v>4</v>
      </c>
      <c r="C524" t="s">
        <v>114</v>
      </c>
      <c r="D524" t="s">
        <v>18</v>
      </c>
      <c r="E524" s="3">
        <v>26</v>
      </c>
      <c r="F524" t="s">
        <v>19</v>
      </c>
      <c r="G524" t="s">
        <v>93</v>
      </c>
      <c r="H524" t="s">
        <v>31</v>
      </c>
      <c r="I524" s="12">
        <v>0.86111111111111116</v>
      </c>
      <c r="J524" t="s">
        <v>94</v>
      </c>
      <c r="K524" t="s">
        <v>31</v>
      </c>
      <c r="L524" s="12">
        <v>0.88888888888888884</v>
      </c>
      <c r="M524" t="s">
        <v>23</v>
      </c>
      <c r="N524" s="3">
        <v>186</v>
      </c>
      <c r="O524" t="s">
        <v>24</v>
      </c>
      <c r="P524" t="s">
        <v>79</v>
      </c>
      <c r="R524">
        <f>tblDailySchedule[[#This Row],[Capacity Approx]]*'[1]Load Factor Sheet June Acft  '!$B$5</f>
        <v>150.61772727272728</v>
      </c>
      <c r="S524">
        <f>tblDailySchedule[[#This Row],[Capacity Approx]]*'[1]Load Factor Sheet June Acft  '!$D$5</f>
        <v>163.08818181818182</v>
      </c>
      <c r="T524" s="22">
        <f>tblDailySchedule[[#This Row],[STD]]</f>
        <v>0.88888888888888884</v>
      </c>
    </row>
    <row r="525" spans="1:20" hidden="1" x14ac:dyDescent="0.35">
      <c r="A525" s="11">
        <v>46128</v>
      </c>
      <c r="B525" s="3">
        <v>4</v>
      </c>
      <c r="C525" t="s">
        <v>114</v>
      </c>
      <c r="D525" t="s">
        <v>18</v>
      </c>
      <c r="E525" s="3">
        <v>27</v>
      </c>
      <c r="F525" t="s">
        <v>19</v>
      </c>
      <c r="G525" t="s">
        <v>95</v>
      </c>
      <c r="H525" t="s">
        <v>21</v>
      </c>
      <c r="I525" s="12">
        <v>0.86805555555555558</v>
      </c>
      <c r="J525" t="s">
        <v>96</v>
      </c>
      <c r="K525" t="s">
        <v>21</v>
      </c>
      <c r="L525" s="12">
        <v>0.89583333333333337</v>
      </c>
      <c r="M525" t="s">
        <v>29</v>
      </c>
      <c r="N525" s="3">
        <v>186</v>
      </c>
      <c r="O525" t="s">
        <v>24</v>
      </c>
      <c r="P525" t="s">
        <v>79</v>
      </c>
      <c r="R525">
        <f>tblDailySchedule[[#This Row],[Capacity Approx]]*'[1]Load Factor Sheet June Acft  '!$B$5</f>
        <v>150.61772727272728</v>
      </c>
      <c r="S525">
        <f>tblDailySchedule[[#This Row],[Capacity Approx]]*'[1]Load Factor Sheet June Acft  '!$D$5</f>
        <v>163.08818181818182</v>
      </c>
      <c r="T525" s="22">
        <f>tblDailySchedule[[#This Row],[STD]]</f>
        <v>0.89583333333333337</v>
      </c>
    </row>
    <row r="526" spans="1:20" hidden="1" x14ac:dyDescent="0.35">
      <c r="A526" s="11">
        <v>46128</v>
      </c>
      <c r="B526" s="3">
        <v>4</v>
      </c>
      <c r="C526" t="s">
        <v>114</v>
      </c>
      <c r="D526" t="s">
        <v>18</v>
      </c>
      <c r="E526" s="3">
        <v>28</v>
      </c>
      <c r="F526" t="s">
        <v>19</v>
      </c>
      <c r="G526" t="s">
        <v>97</v>
      </c>
      <c r="H526" t="s">
        <v>49</v>
      </c>
      <c r="I526" s="12">
        <v>0.90277777777777779</v>
      </c>
      <c r="J526" t="s">
        <v>97</v>
      </c>
      <c r="K526" t="s">
        <v>61</v>
      </c>
      <c r="L526" s="12">
        <v>0.92361111111111116</v>
      </c>
      <c r="M526" t="s">
        <v>33</v>
      </c>
      <c r="N526" s="3">
        <v>189</v>
      </c>
      <c r="O526" t="s">
        <v>24</v>
      </c>
      <c r="P526" t="s">
        <v>79</v>
      </c>
      <c r="R526">
        <f>tblDailySchedule[[#This Row],[Capacity Approx]]*'[1]Load Factor Sheet June Acft  '!$B$5</f>
        <v>153.04704545454547</v>
      </c>
      <c r="S526">
        <f>tblDailySchedule[[#This Row],[Capacity Approx]]*'[1]Load Factor Sheet June Acft  '!$D$5</f>
        <v>165.71863636363636</v>
      </c>
      <c r="T526" s="22">
        <f>tblDailySchedule[[#This Row],[STD]]</f>
        <v>0.92361111111111116</v>
      </c>
    </row>
    <row r="527" spans="1:20" hidden="1" x14ac:dyDescent="0.35">
      <c r="A527" s="11">
        <v>46128</v>
      </c>
      <c r="B527" s="3">
        <v>4</v>
      </c>
      <c r="C527" t="s">
        <v>114</v>
      </c>
      <c r="D527" t="s">
        <v>18</v>
      </c>
      <c r="E527" s="3">
        <v>29</v>
      </c>
      <c r="F527" t="s">
        <v>19</v>
      </c>
      <c r="G527" t="s">
        <v>98</v>
      </c>
      <c r="H527" t="s">
        <v>21</v>
      </c>
      <c r="I527" s="12">
        <v>0.92013888888888884</v>
      </c>
      <c r="J527" t="s">
        <v>99</v>
      </c>
      <c r="K527" t="s">
        <v>21</v>
      </c>
      <c r="L527" s="12">
        <v>0.94791666666666663</v>
      </c>
      <c r="M527" t="s">
        <v>63</v>
      </c>
      <c r="N527" s="3">
        <v>232</v>
      </c>
      <c r="O527" t="s">
        <v>24</v>
      </c>
      <c r="P527" t="s">
        <v>79</v>
      </c>
      <c r="R527">
        <f>tblDailySchedule[[#This Row],[Capacity Approx]]*'[1]Load Factor Sheet June Acft  '!$B$5</f>
        <v>187.86727272727273</v>
      </c>
      <c r="S527">
        <f>tblDailySchedule[[#This Row],[Capacity Approx]]*'[1]Load Factor Sheet June Acft  '!$D$5</f>
        <v>203.4218181818182</v>
      </c>
      <c r="T527" s="22">
        <f>tblDailySchedule[[#This Row],[STD]]</f>
        <v>0.94791666666666663</v>
      </c>
    </row>
    <row r="528" spans="1:20" hidden="1" x14ac:dyDescent="0.35">
      <c r="A528" s="11">
        <v>46129</v>
      </c>
      <c r="B528" s="3">
        <v>5</v>
      </c>
      <c r="C528" t="s">
        <v>115</v>
      </c>
      <c r="D528" t="s">
        <v>18</v>
      </c>
      <c r="E528" s="3">
        <v>2</v>
      </c>
      <c r="F528" t="s">
        <v>19</v>
      </c>
      <c r="G528" t="s">
        <v>20</v>
      </c>
      <c r="H528" t="s">
        <v>21</v>
      </c>
      <c r="I528" s="12">
        <v>0.31944444444444442</v>
      </c>
      <c r="J528" t="s">
        <v>22</v>
      </c>
      <c r="K528" t="s">
        <v>21</v>
      </c>
      <c r="L528" s="12">
        <v>0.34722222222222221</v>
      </c>
      <c r="M528" t="s">
        <v>23</v>
      </c>
      <c r="N528" s="3">
        <v>186</v>
      </c>
      <c r="O528" t="s">
        <v>24</v>
      </c>
      <c r="P528" t="s">
        <v>25</v>
      </c>
      <c r="R528">
        <f>tblDailySchedule[[#This Row],[Capacity Approx]]*'[1]Load Factor Sheet June Acft  '!$B$5</f>
        <v>150.61772727272728</v>
      </c>
      <c r="S528">
        <f>tblDailySchedule[[#This Row],[Capacity Approx]]*'[1]Load Factor Sheet June Acft  '!$D$5</f>
        <v>163.08818181818182</v>
      </c>
      <c r="T528" s="22">
        <f>tblDailySchedule[[#This Row],[STD]]</f>
        <v>0.34722222222222221</v>
      </c>
    </row>
    <row r="529" spans="1:20" hidden="1" x14ac:dyDescent="0.35">
      <c r="A529" s="11">
        <v>46129</v>
      </c>
      <c r="B529" s="3">
        <v>5</v>
      </c>
      <c r="C529" t="s">
        <v>115</v>
      </c>
      <c r="D529" t="s">
        <v>18</v>
      </c>
      <c r="E529" s="3">
        <v>3</v>
      </c>
      <c r="F529" t="s">
        <v>19</v>
      </c>
      <c r="G529" t="s">
        <v>26</v>
      </c>
      <c r="H529" t="s">
        <v>27</v>
      </c>
      <c r="I529" s="12">
        <v>0.3263888888888889</v>
      </c>
      <c r="J529" t="s">
        <v>28</v>
      </c>
      <c r="K529" t="s">
        <v>27</v>
      </c>
      <c r="L529" s="12">
        <v>0.35416666666666669</v>
      </c>
      <c r="M529" t="s">
        <v>29</v>
      </c>
      <c r="N529" s="3">
        <v>186</v>
      </c>
      <c r="O529" t="s">
        <v>24</v>
      </c>
      <c r="P529" t="s">
        <v>25</v>
      </c>
      <c r="R529">
        <f>tblDailySchedule[[#This Row],[Capacity Approx]]*'[1]Load Factor Sheet June Acft  '!$B$5</f>
        <v>150.61772727272728</v>
      </c>
      <c r="S529">
        <f>tblDailySchedule[[#This Row],[Capacity Approx]]*'[1]Load Factor Sheet June Acft  '!$D$5</f>
        <v>163.08818181818182</v>
      </c>
      <c r="T529" s="22">
        <f>tblDailySchedule[[#This Row],[STD]]</f>
        <v>0.35416666666666669</v>
      </c>
    </row>
    <row r="530" spans="1:20" hidden="1" x14ac:dyDescent="0.35">
      <c r="A530" s="11">
        <v>46129</v>
      </c>
      <c r="B530" s="3">
        <v>5</v>
      </c>
      <c r="C530" t="s">
        <v>115</v>
      </c>
      <c r="D530" t="s">
        <v>18</v>
      </c>
      <c r="E530" s="3">
        <v>4</v>
      </c>
      <c r="F530" t="s">
        <v>19</v>
      </c>
      <c r="G530" t="s">
        <v>30</v>
      </c>
      <c r="H530" t="s">
        <v>31</v>
      </c>
      <c r="I530" s="12">
        <v>0.34722222222222221</v>
      </c>
      <c r="J530" t="s">
        <v>32</v>
      </c>
      <c r="K530" t="s">
        <v>31</v>
      </c>
      <c r="L530" s="12">
        <v>0.36805555555555558</v>
      </c>
      <c r="M530" t="s">
        <v>33</v>
      </c>
      <c r="N530" s="3">
        <v>189</v>
      </c>
      <c r="O530" t="s">
        <v>24</v>
      </c>
      <c r="P530" t="s">
        <v>25</v>
      </c>
      <c r="R530">
        <f>tblDailySchedule[[#This Row],[Capacity Approx]]*'[1]Load Factor Sheet June Acft  '!$B$5</f>
        <v>153.04704545454547</v>
      </c>
      <c r="S530">
        <f>tblDailySchedule[[#This Row],[Capacity Approx]]*'[1]Load Factor Sheet June Acft  '!$D$5</f>
        <v>165.71863636363636</v>
      </c>
      <c r="T530" s="22">
        <f>tblDailySchedule[[#This Row],[STD]]</f>
        <v>0.36805555555555558</v>
      </c>
    </row>
    <row r="531" spans="1:20" hidden="1" x14ac:dyDescent="0.35">
      <c r="A531" s="13">
        <v>46129</v>
      </c>
      <c r="B531" s="7">
        <v>5</v>
      </c>
      <c r="C531" s="14" t="s">
        <v>115</v>
      </c>
      <c r="D531" s="14" t="s">
        <v>18</v>
      </c>
      <c r="E531" s="7">
        <v>6</v>
      </c>
      <c r="F531" s="14" t="s">
        <v>34</v>
      </c>
      <c r="G531" s="14" t="s">
        <v>35</v>
      </c>
      <c r="H531" s="14" t="s">
        <v>36</v>
      </c>
      <c r="I531" s="15">
        <v>0.34722222222222221</v>
      </c>
      <c r="J531" s="14" t="s">
        <v>37</v>
      </c>
      <c r="K531" s="14" t="s">
        <v>36</v>
      </c>
      <c r="L531" s="15">
        <v>0.40972222222222221</v>
      </c>
      <c r="M531" s="14" t="s">
        <v>38</v>
      </c>
      <c r="N531" s="7">
        <v>186</v>
      </c>
      <c r="O531" s="14" t="s">
        <v>39</v>
      </c>
      <c r="P531" s="14" t="s">
        <v>25</v>
      </c>
      <c r="Q531" s="14" t="s">
        <v>39</v>
      </c>
      <c r="R531">
        <f>tblDailySchedule[[#This Row],[Capacity Approx]]*'[1]Load Factor Sheet June Acft  '!$B$5</f>
        <v>150.61772727272728</v>
      </c>
      <c r="S531">
        <f>tblDailySchedule[[#This Row],[Capacity Approx]]*'[1]Load Factor Sheet June Acft  '!$D$5</f>
        <v>163.08818181818182</v>
      </c>
      <c r="T531" s="22">
        <f>tblDailySchedule[[#This Row],[STD]]</f>
        <v>0.40972222222222221</v>
      </c>
    </row>
    <row r="532" spans="1:20" hidden="1" x14ac:dyDescent="0.35">
      <c r="A532" s="11">
        <v>46129</v>
      </c>
      <c r="B532" s="3">
        <v>5</v>
      </c>
      <c r="C532" t="s">
        <v>115</v>
      </c>
      <c r="D532" t="s">
        <v>18</v>
      </c>
      <c r="E532" s="3">
        <v>5</v>
      </c>
      <c r="F532" t="s">
        <v>19</v>
      </c>
      <c r="G532" t="s">
        <v>40</v>
      </c>
      <c r="H532" t="s">
        <v>31</v>
      </c>
      <c r="I532" s="12">
        <v>0.35069444444444442</v>
      </c>
      <c r="J532" t="s">
        <v>41</v>
      </c>
      <c r="K532" t="s">
        <v>31</v>
      </c>
      <c r="L532" s="12">
        <v>0.37152777777777779</v>
      </c>
      <c r="M532" t="s">
        <v>23</v>
      </c>
      <c r="N532" s="3">
        <v>186</v>
      </c>
      <c r="O532" t="s">
        <v>24</v>
      </c>
      <c r="P532" t="s">
        <v>25</v>
      </c>
      <c r="R532">
        <f>tblDailySchedule[[#This Row],[Capacity Approx]]*'[1]Load Factor Sheet June Acft  '!$B$5</f>
        <v>150.61772727272728</v>
      </c>
      <c r="S532">
        <f>tblDailySchedule[[#This Row],[Capacity Approx]]*'[1]Load Factor Sheet June Acft  '!$D$5</f>
        <v>163.08818181818182</v>
      </c>
      <c r="T532" s="22">
        <f>tblDailySchedule[[#This Row],[STD]]</f>
        <v>0.37152777777777779</v>
      </c>
    </row>
    <row r="533" spans="1:20" hidden="1" x14ac:dyDescent="0.35">
      <c r="A533" s="11">
        <v>46129</v>
      </c>
      <c r="B533" s="3">
        <v>5</v>
      </c>
      <c r="C533" t="s">
        <v>115</v>
      </c>
      <c r="D533" t="s">
        <v>18</v>
      </c>
      <c r="E533" s="3">
        <v>7</v>
      </c>
      <c r="F533" t="s">
        <v>19</v>
      </c>
      <c r="G533" t="s">
        <v>42</v>
      </c>
      <c r="H533" t="s">
        <v>43</v>
      </c>
      <c r="I533" s="12">
        <v>0.3923611111111111</v>
      </c>
      <c r="J533" t="s">
        <v>44</v>
      </c>
      <c r="K533" t="s">
        <v>43</v>
      </c>
      <c r="L533" s="12">
        <v>0.40277777777777779</v>
      </c>
      <c r="M533" t="s">
        <v>45</v>
      </c>
      <c r="N533" s="3">
        <v>9</v>
      </c>
      <c r="O533" t="s">
        <v>24</v>
      </c>
      <c r="P533" t="s">
        <v>25</v>
      </c>
      <c r="R533">
        <f>tblDailySchedule[[#This Row],[Capacity Approx]]*'[1]Load Factor Sheet June Acft  '!$B$5</f>
        <v>7.2879545454545456</v>
      </c>
      <c r="S533">
        <f>tblDailySchedule[[#This Row],[Capacity Approx]]*'[1]Load Factor Sheet June Acft  '!$D$5</f>
        <v>7.8913636363636366</v>
      </c>
      <c r="T533" s="22">
        <f>tblDailySchedule[[#This Row],[STD]]</f>
        <v>0.40277777777777779</v>
      </c>
    </row>
    <row r="534" spans="1:20" hidden="1" x14ac:dyDescent="0.35">
      <c r="A534" s="11">
        <v>46129</v>
      </c>
      <c r="B534" s="3">
        <v>5</v>
      </c>
      <c r="C534" t="s">
        <v>115</v>
      </c>
      <c r="D534" t="s">
        <v>18</v>
      </c>
      <c r="E534" s="3">
        <v>8</v>
      </c>
      <c r="F534" t="s">
        <v>19</v>
      </c>
      <c r="G534" t="s">
        <v>46</v>
      </c>
      <c r="H534" t="s">
        <v>31</v>
      </c>
      <c r="I534" s="12">
        <v>0.4201388888888889</v>
      </c>
      <c r="J534" t="s">
        <v>47</v>
      </c>
      <c r="K534" t="s">
        <v>31</v>
      </c>
      <c r="L534" s="12">
        <v>0.44444444444444442</v>
      </c>
      <c r="M534" t="s">
        <v>29</v>
      </c>
      <c r="N534" s="3">
        <v>186</v>
      </c>
      <c r="O534" t="s">
        <v>24</v>
      </c>
      <c r="P534" t="s">
        <v>25</v>
      </c>
      <c r="R534">
        <f>tblDailySchedule[[#This Row],[Capacity Approx]]*'[1]Load Factor Sheet June Acft  '!$B$5</f>
        <v>150.61772727272728</v>
      </c>
      <c r="S534">
        <f>tblDailySchedule[[#This Row],[Capacity Approx]]*'[1]Load Factor Sheet June Acft  '!$D$5</f>
        <v>163.08818181818182</v>
      </c>
      <c r="T534" s="22">
        <f>tblDailySchedule[[#This Row],[STD]]</f>
        <v>0.44444444444444442</v>
      </c>
    </row>
    <row r="535" spans="1:20" hidden="1" x14ac:dyDescent="0.35">
      <c r="A535" s="11">
        <v>46129</v>
      </c>
      <c r="B535" s="3">
        <v>5</v>
      </c>
      <c r="C535" t="s">
        <v>115</v>
      </c>
      <c r="D535" t="s">
        <v>18</v>
      </c>
      <c r="E535" s="3">
        <v>9</v>
      </c>
      <c r="F535" t="s">
        <v>19</v>
      </c>
      <c r="G535" t="s">
        <v>48</v>
      </c>
      <c r="H535" t="s">
        <v>49</v>
      </c>
      <c r="I535" s="12">
        <v>0.4375</v>
      </c>
      <c r="J535" t="s">
        <v>50</v>
      </c>
      <c r="K535" t="s">
        <v>49</v>
      </c>
      <c r="L535" s="12">
        <v>0.45833333333333331</v>
      </c>
      <c r="M535" t="s">
        <v>51</v>
      </c>
      <c r="N535" s="3">
        <v>78</v>
      </c>
      <c r="O535" t="s">
        <v>24</v>
      </c>
      <c r="P535" t="s">
        <v>25</v>
      </c>
      <c r="R535">
        <f>tblDailySchedule[[#This Row],[Capacity Approx]]*'[1]Load Factor Sheet June Acft  '!$B$5</f>
        <v>63.162272727272729</v>
      </c>
      <c r="S535">
        <f>tblDailySchedule[[#This Row],[Capacity Approx]]*'[1]Load Factor Sheet June Acft  '!$D$5</f>
        <v>68.391818181818181</v>
      </c>
      <c r="T535" s="22">
        <f>tblDailySchedule[[#This Row],[STD]]</f>
        <v>0.45833333333333331</v>
      </c>
    </row>
    <row r="536" spans="1:20" hidden="1" x14ac:dyDescent="0.35">
      <c r="A536" s="11">
        <v>46129</v>
      </c>
      <c r="B536" s="3">
        <v>5</v>
      </c>
      <c r="C536" t="s">
        <v>115</v>
      </c>
      <c r="D536" t="s">
        <v>18</v>
      </c>
      <c r="E536" s="3">
        <v>10</v>
      </c>
      <c r="F536" t="s">
        <v>19</v>
      </c>
      <c r="G536" t="s">
        <v>52</v>
      </c>
      <c r="H536" t="s">
        <v>27</v>
      </c>
      <c r="I536" s="12">
        <v>0.4826388888888889</v>
      </c>
      <c r="J536" t="s">
        <v>53</v>
      </c>
      <c r="K536" t="s">
        <v>27</v>
      </c>
      <c r="L536" s="12">
        <v>0.51041666666666663</v>
      </c>
      <c r="M536" t="s">
        <v>23</v>
      </c>
      <c r="N536" s="3">
        <v>186</v>
      </c>
      <c r="O536" t="s">
        <v>24</v>
      </c>
      <c r="P536" t="s">
        <v>25</v>
      </c>
      <c r="R536">
        <f>tblDailySchedule[[#This Row],[Capacity Approx]]*'[1]Load Factor Sheet June Acft  '!$B$5</f>
        <v>150.61772727272728</v>
      </c>
      <c r="S536">
        <f>tblDailySchedule[[#This Row],[Capacity Approx]]*'[1]Load Factor Sheet June Acft  '!$D$5</f>
        <v>163.08818181818182</v>
      </c>
      <c r="T536" s="22">
        <f>tblDailySchedule[[#This Row],[STD]]</f>
        <v>0.51041666666666663</v>
      </c>
    </row>
    <row r="537" spans="1:20" hidden="1" x14ac:dyDescent="0.35">
      <c r="A537" s="11">
        <v>46129</v>
      </c>
      <c r="B537" s="3">
        <v>5</v>
      </c>
      <c r="C537" t="s">
        <v>115</v>
      </c>
      <c r="D537" t="s">
        <v>18</v>
      </c>
      <c r="E537" s="3">
        <v>11</v>
      </c>
      <c r="F537" t="s">
        <v>19</v>
      </c>
      <c r="G537" t="s">
        <v>54</v>
      </c>
      <c r="H537" t="s">
        <v>31</v>
      </c>
      <c r="I537" s="12">
        <v>0.51388888888888884</v>
      </c>
      <c r="J537" t="s">
        <v>55</v>
      </c>
      <c r="K537" t="s">
        <v>31</v>
      </c>
      <c r="L537" s="12">
        <v>0.54166666666666663</v>
      </c>
      <c r="M537" t="s">
        <v>23</v>
      </c>
      <c r="N537" s="3">
        <v>186</v>
      </c>
      <c r="O537" t="s">
        <v>24</v>
      </c>
      <c r="P537" t="s">
        <v>56</v>
      </c>
      <c r="R537">
        <f>tblDailySchedule[[#This Row],[Capacity Approx]]*'[1]Load Factor Sheet June Acft  '!$B$5</f>
        <v>150.61772727272728</v>
      </c>
      <c r="S537">
        <f>tblDailySchedule[[#This Row],[Capacity Approx]]*'[1]Load Factor Sheet June Acft  '!$D$5</f>
        <v>163.08818181818182</v>
      </c>
      <c r="T537" s="22">
        <f>tblDailySchedule[[#This Row],[STD]]</f>
        <v>0.54166666666666663</v>
      </c>
    </row>
    <row r="538" spans="1:20" hidden="1" x14ac:dyDescent="0.35">
      <c r="A538" s="11">
        <v>46129</v>
      </c>
      <c r="B538" s="3">
        <v>5</v>
      </c>
      <c r="C538" t="s">
        <v>115</v>
      </c>
      <c r="D538" t="s">
        <v>18</v>
      </c>
      <c r="E538" s="3">
        <v>13</v>
      </c>
      <c r="F538" t="s">
        <v>19</v>
      </c>
      <c r="G538" t="s">
        <v>57</v>
      </c>
      <c r="H538" t="s">
        <v>58</v>
      </c>
      <c r="I538" s="12">
        <v>0.55902777777777779</v>
      </c>
      <c r="J538" t="s">
        <v>59</v>
      </c>
      <c r="K538" t="s">
        <v>58</v>
      </c>
      <c r="L538" s="12">
        <v>0.57638888888888884</v>
      </c>
      <c r="M538" t="s">
        <v>51</v>
      </c>
      <c r="N538" s="3">
        <v>78</v>
      </c>
      <c r="O538" t="s">
        <v>24</v>
      </c>
      <c r="P538" t="s">
        <v>56</v>
      </c>
      <c r="R538">
        <f>tblDailySchedule[[#This Row],[Capacity Approx]]*'[1]Load Factor Sheet June Acft  '!$B$5</f>
        <v>63.162272727272729</v>
      </c>
      <c r="S538">
        <f>tblDailySchedule[[#This Row],[Capacity Approx]]*'[1]Load Factor Sheet June Acft  '!$D$5</f>
        <v>68.391818181818181</v>
      </c>
      <c r="T538" s="22">
        <f>tblDailySchedule[[#This Row],[STD]]</f>
        <v>0.57638888888888884</v>
      </c>
    </row>
    <row r="539" spans="1:20" hidden="1" x14ac:dyDescent="0.35">
      <c r="A539" s="11">
        <v>46129</v>
      </c>
      <c r="B539" s="3">
        <v>5</v>
      </c>
      <c r="C539" t="s">
        <v>115</v>
      </c>
      <c r="D539" t="s">
        <v>18</v>
      </c>
      <c r="E539" s="3">
        <v>14</v>
      </c>
      <c r="F539" t="s">
        <v>19</v>
      </c>
      <c r="G539" t="s">
        <v>60</v>
      </c>
      <c r="H539" t="s">
        <v>61</v>
      </c>
      <c r="I539" s="12">
        <v>0.59027777777777779</v>
      </c>
      <c r="J539" t="s">
        <v>62</v>
      </c>
      <c r="K539" t="s">
        <v>61</v>
      </c>
      <c r="L539" s="12">
        <v>0.62152777777777779</v>
      </c>
      <c r="M539" t="s">
        <v>63</v>
      </c>
      <c r="N539" s="3">
        <v>232</v>
      </c>
      <c r="O539" t="s">
        <v>24</v>
      </c>
      <c r="P539" t="s">
        <v>56</v>
      </c>
      <c r="R539">
        <f>tblDailySchedule[[#This Row],[Capacity Approx]]*'[1]Load Factor Sheet June Acft  '!$B$5</f>
        <v>187.86727272727273</v>
      </c>
      <c r="S539">
        <f>tblDailySchedule[[#This Row],[Capacity Approx]]*'[1]Load Factor Sheet June Acft  '!$D$5</f>
        <v>203.4218181818182</v>
      </c>
      <c r="T539" s="22">
        <f>tblDailySchedule[[#This Row],[STD]]</f>
        <v>0.62152777777777779</v>
      </c>
    </row>
    <row r="540" spans="1:20" hidden="1" x14ac:dyDescent="0.35">
      <c r="A540" s="11">
        <v>46129</v>
      </c>
      <c r="B540" s="3">
        <v>5</v>
      </c>
      <c r="C540" t="s">
        <v>115</v>
      </c>
      <c r="D540" t="s">
        <v>18</v>
      </c>
      <c r="E540" s="3">
        <v>15</v>
      </c>
      <c r="F540" t="s">
        <v>19</v>
      </c>
      <c r="G540" t="s">
        <v>64</v>
      </c>
      <c r="H540" t="s">
        <v>31</v>
      </c>
      <c r="I540" s="12">
        <v>0.60069444444444442</v>
      </c>
      <c r="J540" t="s">
        <v>65</v>
      </c>
      <c r="K540" t="s">
        <v>66</v>
      </c>
      <c r="L540" s="12">
        <v>0.62847222222222221</v>
      </c>
      <c r="M540" t="s">
        <v>63</v>
      </c>
      <c r="N540" s="3">
        <v>232</v>
      </c>
      <c r="O540" t="s">
        <v>24</v>
      </c>
      <c r="P540" t="s">
        <v>56</v>
      </c>
      <c r="R540">
        <f>tblDailySchedule[[#This Row],[Capacity Approx]]*'[1]Load Factor Sheet June Acft  '!$B$5</f>
        <v>187.86727272727273</v>
      </c>
      <c r="S540">
        <f>tblDailySchedule[[#This Row],[Capacity Approx]]*'[1]Load Factor Sheet June Acft  '!$D$5</f>
        <v>203.4218181818182</v>
      </c>
      <c r="T540" s="22">
        <f>tblDailySchedule[[#This Row],[STD]]</f>
        <v>0.62847222222222221</v>
      </c>
    </row>
    <row r="541" spans="1:20" hidden="1" x14ac:dyDescent="0.35">
      <c r="A541" s="11">
        <v>46129</v>
      </c>
      <c r="B541" s="3">
        <v>5</v>
      </c>
      <c r="C541" t="s">
        <v>115</v>
      </c>
      <c r="D541" t="s">
        <v>18</v>
      </c>
      <c r="E541" s="3">
        <v>16</v>
      </c>
      <c r="F541" t="s">
        <v>19</v>
      </c>
      <c r="G541" t="s">
        <v>67</v>
      </c>
      <c r="H541" t="s">
        <v>31</v>
      </c>
      <c r="I541" s="12">
        <v>0.65625</v>
      </c>
      <c r="J541" t="s">
        <v>68</v>
      </c>
      <c r="K541" t="s">
        <v>31</v>
      </c>
      <c r="L541" s="12">
        <v>0.68402777777777779</v>
      </c>
      <c r="M541" t="s">
        <v>63</v>
      </c>
      <c r="N541" s="3">
        <v>232</v>
      </c>
      <c r="O541" t="s">
        <v>24</v>
      </c>
      <c r="P541" t="s">
        <v>56</v>
      </c>
      <c r="R541">
        <f>tblDailySchedule[[#This Row],[Capacity Approx]]*'[1]Load Factor Sheet June Acft  '!$B$5</f>
        <v>187.86727272727273</v>
      </c>
      <c r="S541">
        <f>tblDailySchedule[[#This Row],[Capacity Approx]]*'[1]Load Factor Sheet June Acft  '!$D$5</f>
        <v>203.4218181818182</v>
      </c>
      <c r="T541" s="22">
        <f>tblDailySchedule[[#This Row],[STD]]</f>
        <v>0.68402777777777779</v>
      </c>
    </row>
    <row r="542" spans="1:20" hidden="1" x14ac:dyDescent="0.35">
      <c r="A542" s="11">
        <v>46129</v>
      </c>
      <c r="B542" s="3">
        <v>5</v>
      </c>
      <c r="C542" t="s">
        <v>115</v>
      </c>
      <c r="D542" t="s">
        <v>18</v>
      </c>
      <c r="E542" s="3">
        <v>17</v>
      </c>
      <c r="F542" t="s">
        <v>19</v>
      </c>
      <c r="G542" t="s">
        <v>69</v>
      </c>
      <c r="H542" t="s">
        <v>31</v>
      </c>
      <c r="I542" s="12">
        <v>0.66319444444444442</v>
      </c>
      <c r="J542" t="s">
        <v>70</v>
      </c>
      <c r="K542" t="s">
        <v>31</v>
      </c>
      <c r="L542" s="12">
        <v>0.69097222222222221</v>
      </c>
      <c r="M542" t="s">
        <v>33</v>
      </c>
      <c r="N542" s="3">
        <v>189</v>
      </c>
      <c r="O542" t="s">
        <v>24</v>
      </c>
      <c r="P542" t="s">
        <v>56</v>
      </c>
      <c r="R542">
        <f>tblDailySchedule[[#This Row],[Capacity Approx]]*'[1]Load Factor Sheet June Acft  '!$B$5</f>
        <v>153.04704545454547</v>
      </c>
      <c r="S542">
        <f>tblDailySchedule[[#This Row],[Capacity Approx]]*'[1]Load Factor Sheet June Acft  '!$D$5</f>
        <v>165.71863636363636</v>
      </c>
      <c r="T542" s="22">
        <f>tblDailySchedule[[#This Row],[STD]]</f>
        <v>0.69097222222222221</v>
      </c>
    </row>
    <row r="543" spans="1:20" hidden="1" x14ac:dyDescent="0.35">
      <c r="A543" s="11">
        <v>46129</v>
      </c>
      <c r="B543" s="3">
        <v>5</v>
      </c>
      <c r="C543" t="s">
        <v>115</v>
      </c>
      <c r="D543" t="s">
        <v>18</v>
      </c>
      <c r="E543" s="3">
        <v>18</v>
      </c>
      <c r="F543" t="s">
        <v>19</v>
      </c>
      <c r="G543" t="s">
        <v>71</v>
      </c>
      <c r="H543" t="s">
        <v>21</v>
      </c>
      <c r="I543" s="12">
        <v>0.67013888888888884</v>
      </c>
      <c r="J543" t="s">
        <v>72</v>
      </c>
      <c r="K543" t="s">
        <v>21</v>
      </c>
      <c r="L543" s="12">
        <v>0.69791666666666663</v>
      </c>
      <c r="M543" t="s">
        <v>63</v>
      </c>
      <c r="N543" s="3">
        <v>232</v>
      </c>
      <c r="O543" t="s">
        <v>24</v>
      </c>
      <c r="P543" t="s">
        <v>56</v>
      </c>
      <c r="R543">
        <f>tblDailySchedule[[#This Row],[Capacity Approx]]*'[1]Load Factor Sheet June Acft  '!$B$5</f>
        <v>187.86727272727273</v>
      </c>
      <c r="S543">
        <f>tblDailySchedule[[#This Row],[Capacity Approx]]*'[1]Load Factor Sheet June Acft  '!$D$5</f>
        <v>203.4218181818182</v>
      </c>
      <c r="T543" s="22">
        <f>tblDailySchedule[[#This Row],[STD]]</f>
        <v>0.69791666666666663</v>
      </c>
    </row>
    <row r="544" spans="1:20" hidden="1" x14ac:dyDescent="0.35">
      <c r="A544" s="11">
        <v>46129</v>
      </c>
      <c r="B544" s="3">
        <v>5</v>
      </c>
      <c r="C544" t="s">
        <v>115</v>
      </c>
      <c r="D544" t="s">
        <v>18</v>
      </c>
      <c r="E544" s="3">
        <v>19</v>
      </c>
      <c r="F544" t="s">
        <v>19</v>
      </c>
      <c r="G544" t="s">
        <v>73</v>
      </c>
      <c r="H544" t="s">
        <v>27</v>
      </c>
      <c r="I544" s="12">
        <v>0.74652777777777779</v>
      </c>
      <c r="J544" t="s">
        <v>74</v>
      </c>
      <c r="K544" t="s">
        <v>27</v>
      </c>
      <c r="L544" s="12">
        <v>0.77430555555555558</v>
      </c>
      <c r="M544" t="s">
        <v>63</v>
      </c>
      <c r="N544" s="3">
        <v>232</v>
      </c>
      <c r="O544" t="s">
        <v>24</v>
      </c>
      <c r="P544" t="s">
        <v>56</v>
      </c>
      <c r="R544">
        <f>tblDailySchedule[[#This Row],[Capacity Approx]]*'[1]Load Factor Sheet June Acft  '!$B$5</f>
        <v>187.86727272727273</v>
      </c>
      <c r="S544">
        <f>tblDailySchedule[[#This Row],[Capacity Approx]]*'[1]Load Factor Sheet June Acft  '!$D$5</f>
        <v>203.4218181818182</v>
      </c>
      <c r="T544" s="22">
        <f>tblDailySchedule[[#This Row],[STD]]</f>
        <v>0.77430555555555558</v>
      </c>
    </row>
    <row r="545" spans="1:20" hidden="1" x14ac:dyDescent="0.35">
      <c r="A545" s="11">
        <v>46129</v>
      </c>
      <c r="B545" s="3">
        <v>5</v>
      </c>
      <c r="C545" t="s">
        <v>115</v>
      </c>
      <c r="D545" t="s">
        <v>18</v>
      </c>
      <c r="E545" s="3">
        <v>20</v>
      </c>
      <c r="F545" t="s">
        <v>34</v>
      </c>
      <c r="G545" t="s">
        <v>75</v>
      </c>
      <c r="H545" t="s">
        <v>76</v>
      </c>
      <c r="I545" s="12">
        <v>0.76388888888888884</v>
      </c>
      <c r="J545" t="s">
        <v>77</v>
      </c>
      <c r="K545" t="s">
        <v>78</v>
      </c>
      <c r="L545" s="12">
        <v>0.78472222222222221</v>
      </c>
      <c r="M545" t="s">
        <v>51</v>
      </c>
      <c r="N545" s="3">
        <v>78</v>
      </c>
      <c r="O545" t="s">
        <v>24</v>
      </c>
      <c r="P545" t="s">
        <v>79</v>
      </c>
      <c r="Q545" s="16" t="s">
        <v>80</v>
      </c>
      <c r="R545">
        <f>tblDailySchedule[[#This Row],[Capacity Approx]]*'[1]Load Factor Sheet June Acft  '!$B$5</f>
        <v>63.162272727272729</v>
      </c>
      <c r="S545">
        <f>tblDailySchedule[[#This Row],[Capacity Approx]]*'[1]Load Factor Sheet June Acft  '!$D$5</f>
        <v>68.391818181818181</v>
      </c>
      <c r="T545" s="22">
        <f>tblDailySchedule[[#This Row],[STD]]</f>
        <v>0.78472222222222221</v>
      </c>
    </row>
    <row r="546" spans="1:20" hidden="1" x14ac:dyDescent="0.35">
      <c r="A546" s="11">
        <v>46129</v>
      </c>
      <c r="B546" s="3">
        <v>5</v>
      </c>
      <c r="C546" t="s">
        <v>115</v>
      </c>
      <c r="D546" t="s">
        <v>18</v>
      </c>
      <c r="E546" s="3">
        <v>21</v>
      </c>
      <c r="F546" t="s">
        <v>19</v>
      </c>
      <c r="G546" t="s">
        <v>81</v>
      </c>
      <c r="H546" t="s">
        <v>61</v>
      </c>
      <c r="I546" s="12">
        <v>0.77083333333333337</v>
      </c>
      <c r="J546" t="s">
        <v>82</v>
      </c>
      <c r="K546" t="s">
        <v>49</v>
      </c>
      <c r="L546" s="12">
        <v>0.79166666666666663</v>
      </c>
      <c r="M546" t="s">
        <v>33</v>
      </c>
      <c r="N546" s="3">
        <v>189</v>
      </c>
      <c r="O546" t="s">
        <v>24</v>
      </c>
      <c r="P546" t="s">
        <v>79</v>
      </c>
      <c r="R546">
        <f>tblDailySchedule[[#This Row],[Capacity Approx]]*'[1]Load Factor Sheet June Acft  '!$B$5</f>
        <v>153.04704545454547</v>
      </c>
      <c r="S546">
        <f>tblDailySchedule[[#This Row],[Capacity Approx]]*'[1]Load Factor Sheet June Acft  '!$D$5</f>
        <v>165.71863636363636</v>
      </c>
      <c r="T546" s="22">
        <f>tblDailySchedule[[#This Row],[STD]]</f>
        <v>0.79166666666666663</v>
      </c>
    </row>
    <row r="547" spans="1:20" hidden="1" x14ac:dyDescent="0.35">
      <c r="A547" s="11">
        <v>46129</v>
      </c>
      <c r="B547" s="3">
        <v>5</v>
      </c>
      <c r="C547" t="s">
        <v>115</v>
      </c>
      <c r="D547" t="s">
        <v>18</v>
      </c>
      <c r="E547" s="3">
        <v>22</v>
      </c>
      <c r="F547" t="s">
        <v>19</v>
      </c>
      <c r="G547" t="s">
        <v>83</v>
      </c>
      <c r="H547" t="s">
        <v>31</v>
      </c>
      <c r="I547" s="12">
        <v>0.77777777777777779</v>
      </c>
      <c r="J547" t="s">
        <v>84</v>
      </c>
      <c r="K547" t="s">
        <v>31</v>
      </c>
      <c r="L547" s="12">
        <v>0.80555555555555558</v>
      </c>
      <c r="M547" t="s">
        <v>63</v>
      </c>
      <c r="N547" s="3">
        <v>232</v>
      </c>
      <c r="O547" t="s">
        <v>24</v>
      </c>
      <c r="P547" t="s">
        <v>79</v>
      </c>
      <c r="R547">
        <f>tblDailySchedule[[#This Row],[Capacity Approx]]*'[1]Load Factor Sheet June Acft  '!$B$5</f>
        <v>187.86727272727273</v>
      </c>
      <c r="S547">
        <f>tblDailySchedule[[#This Row],[Capacity Approx]]*'[1]Load Factor Sheet June Acft  '!$D$5</f>
        <v>203.4218181818182</v>
      </c>
      <c r="T547" s="22">
        <f>tblDailySchedule[[#This Row],[STD]]</f>
        <v>0.80555555555555558</v>
      </c>
    </row>
    <row r="548" spans="1:20" hidden="1" x14ac:dyDescent="0.35">
      <c r="A548" s="11">
        <v>46129</v>
      </c>
      <c r="B548" s="3">
        <v>5</v>
      </c>
      <c r="C548" t="s">
        <v>115</v>
      </c>
      <c r="D548" t="s">
        <v>18</v>
      </c>
      <c r="E548" s="3">
        <v>23</v>
      </c>
      <c r="F548" t="s">
        <v>19</v>
      </c>
      <c r="G548" t="s">
        <v>85</v>
      </c>
      <c r="H548" t="s">
        <v>86</v>
      </c>
      <c r="I548" s="12">
        <v>0.79861111111111116</v>
      </c>
      <c r="J548" t="s">
        <v>87</v>
      </c>
      <c r="K548" t="s">
        <v>86</v>
      </c>
      <c r="L548" s="12">
        <v>0.82638888888888884</v>
      </c>
      <c r="M548" t="s">
        <v>63</v>
      </c>
      <c r="N548" s="3">
        <v>232</v>
      </c>
      <c r="O548" t="s">
        <v>24</v>
      </c>
      <c r="P548" t="s">
        <v>79</v>
      </c>
      <c r="R548">
        <f>tblDailySchedule[[#This Row],[Capacity Approx]]*'[1]Load Factor Sheet June Acft  '!$B$5</f>
        <v>187.86727272727273</v>
      </c>
      <c r="S548">
        <f>tblDailySchedule[[#This Row],[Capacity Approx]]*'[1]Load Factor Sheet June Acft  '!$D$5</f>
        <v>203.4218181818182</v>
      </c>
      <c r="T548" s="22">
        <f>tblDailySchedule[[#This Row],[STD]]</f>
        <v>0.82638888888888884</v>
      </c>
    </row>
    <row r="549" spans="1:20" hidden="1" x14ac:dyDescent="0.35">
      <c r="A549" s="11">
        <v>46129</v>
      </c>
      <c r="B549" s="3">
        <v>5</v>
      </c>
      <c r="C549" t="s">
        <v>115</v>
      </c>
      <c r="D549" t="s">
        <v>18</v>
      </c>
      <c r="E549" s="3">
        <v>24</v>
      </c>
      <c r="F549" t="s">
        <v>19</v>
      </c>
      <c r="G549" t="s">
        <v>88</v>
      </c>
      <c r="H549" t="s">
        <v>89</v>
      </c>
      <c r="I549" s="12">
        <v>0.83333333333333337</v>
      </c>
      <c r="J549" t="s">
        <v>90</v>
      </c>
      <c r="K549" t="s">
        <v>31</v>
      </c>
      <c r="L549" s="12">
        <v>0.86111111111111116</v>
      </c>
      <c r="M549" t="s">
        <v>63</v>
      </c>
      <c r="N549" s="3">
        <v>232</v>
      </c>
      <c r="O549" t="s">
        <v>24</v>
      </c>
      <c r="P549" t="s">
        <v>79</v>
      </c>
      <c r="R549">
        <f>tblDailySchedule[[#This Row],[Capacity Approx]]*'[1]Load Factor Sheet June Acft  '!$B$5</f>
        <v>187.86727272727273</v>
      </c>
      <c r="S549">
        <f>tblDailySchedule[[#This Row],[Capacity Approx]]*'[1]Load Factor Sheet June Acft  '!$D$5</f>
        <v>203.4218181818182</v>
      </c>
      <c r="T549" s="22">
        <f>tblDailySchedule[[#This Row],[STD]]</f>
        <v>0.86111111111111116</v>
      </c>
    </row>
    <row r="550" spans="1:20" hidden="1" x14ac:dyDescent="0.35">
      <c r="A550" s="11">
        <v>46129</v>
      </c>
      <c r="B550" s="3">
        <v>5</v>
      </c>
      <c r="C550" t="s">
        <v>115</v>
      </c>
      <c r="D550" t="s">
        <v>18</v>
      </c>
      <c r="E550" s="3">
        <v>25</v>
      </c>
      <c r="F550" t="s">
        <v>19</v>
      </c>
      <c r="G550" t="s">
        <v>91</v>
      </c>
      <c r="H550" t="s">
        <v>61</v>
      </c>
      <c r="I550" s="12">
        <v>0.85416666666666663</v>
      </c>
      <c r="J550" t="s">
        <v>92</v>
      </c>
      <c r="K550" t="s">
        <v>61</v>
      </c>
      <c r="L550" s="12">
        <v>0.88194444444444442</v>
      </c>
      <c r="M550" t="s">
        <v>63</v>
      </c>
      <c r="N550" s="3">
        <v>232</v>
      </c>
      <c r="O550" t="s">
        <v>24</v>
      </c>
      <c r="P550" t="s">
        <v>79</v>
      </c>
      <c r="R550">
        <f>tblDailySchedule[[#This Row],[Capacity Approx]]*'[1]Load Factor Sheet June Acft  '!$B$5</f>
        <v>187.86727272727273</v>
      </c>
      <c r="S550">
        <f>tblDailySchedule[[#This Row],[Capacity Approx]]*'[1]Load Factor Sheet June Acft  '!$D$5</f>
        <v>203.4218181818182</v>
      </c>
      <c r="T550" s="22">
        <f>tblDailySchedule[[#This Row],[STD]]</f>
        <v>0.88194444444444442</v>
      </c>
    </row>
    <row r="551" spans="1:20" hidden="1" x14ac:dyDescent="0.35">
      <c r="A551" s="11">
        <v>46129</v>
      </c>
      <c r="B551" s="3">
        <v>5</v>
      </c>
      <c r="C551" t="s">
        <v>115</v>
      </c>
      <c r="D551" t="s">
        <v>18</v>
      </c>
      <c r="E551" s="3">
        <v>26</v>
      </c>
      <c r="F551" t="s">
        <v>19</v>
      </c>
      <c r="G551" t="s">
        <v>93</v>
      </c>
      <c r="H551" t="s">
        <v>31</v>
      </c>
      <c r="I551" s="12">
        <v>0.86111111111111116</v>
      </c>
      <c r="J551" t="s">
        <v>94</v>
      </c>
      <c r="K551" t="s">
        <v>31</v>
      </c>
      <c r="L551" s="12">
        <v>0.88888888888888884</v>
      </c>
      <c r="M551" t="s">
        <v>23</v>
      </c>
      <c r="N551" s="3">
        <v>186</v>
      </c>
      <c r="O551" t="s">
        <v>24</v>
      </c>
      <c r="P551" t="s">
        <v>79</v>
      </c>
      <c r="R551">
        <f>tblDailySchedule[[#This Row],[Capacity Approx]]*'[1]Load Factor Sheet June Acft  '!$B$5</f>
        <v>150.61772727272728</v>
      </c>
      <c r="S551">
        <f>tblDailySchedule[[#This Row],[Capacity Approx]]*'[1]Load Factor Sheet June Acft  '!$D$5</f>
        <v>163.08818181818182</v>
      </c>
      <c r="T551" s="22">
        <f>tblDailySchedule[[#This Row],[STD]]</f>
        <v>0.88888888888888884</v>
      </c>
    </row>
    <row r="552" spans="1:20" hidden="1" x14ac:dyDescent="0.35">
      <c r="A552" s="11">
        <v>46129</v>
      </c>
      <c r="B552" s="3">
        <v>5</v>
      </c>
      <c r="C552" t="s">
        <v>115</v>
      </c>
      <c r="D552" t="s">
        <v>18</v>
      </c>
      <c r="E552" s="3">
        <v>27</v>
      </c>
      <c r="F552" t="s">
        <v>19</v>
      </c>
      <c r="G552" t="s">
        <v>95</v>
      </c>
      <c r="H552" t="s">
        <v>21</v>
      </c>
      <c r="I552" s="12">
        <v>0.86805555555555558</v>
      </c>
      <c r="J552" t="s">
        <v>96</v>
      </c>
      <c r="K552" t="s">
        <v>21</v>
      </c>
      <c r="L552" s="12">
        <v>0.89583333333333337</v>
      </c>
      <c r="M552" t="s">
        <v>29</v>
      </c>
      <c r="N552" s="3">
        <v>186</v>
      </c>
      <c r="O552" t="s">
        <v>24</v>
      </c>
      <c r="P552" t="s">
        <v>79</v>
      </c>
      <c r="R552">
        <f>tblDailySchedule[[#This Row],[Capacity Approx]]*'[1]Load Factor Sheet June Acft  '!$B$5</f>
        <v>150.61772727272728</v>
      </c>
      <c r="S552">
        <f>tblDailySchedule[[#This Row],[Capacity Approx]]*'[1]Load Factor Sheet June Acft  '!$D$5</f>
        <v>163.08818181818182</v>
      </c>
      <c r="T552" s="22">
        <f>tblDailySchedule[[#This Row],[STD]]</f>
        <v>0.89583333333333337</v>
      </c>
    </row>
    <row r="553" spans="1:20" hidden="1" x14ac:dyDescent="0.35">
      <c r="A553" s="11">
        <v>46129</v>
      </c>
      <c r="B553" s="3">
        <v>5</v>
      </c>
      <c r="C553" t="s">
        <v>115</v>
      </c>
      <c r="D553" t="s">
        <v>18</v>
      </c>
      <c r="E553" s="3">
        <v>28</v>
      </c>
      <c r="F553" t="s">
        <v>19</v>
      </c>
      <c r="G553" t="s">
        <v>97</v>
      </c>
      <c r="H553" t="s">
        <v>49</v>
      </c>
      <c r="I553" s="12">
        <v>0.90277777777777779</v>
      </c>
      <c r="J553" t="s">
        <v>97</v>
      </c>
      <c r="K553" t="s">
        <v>61</v>
      </c>
      <c r="L553" s="12">
        <v>0.92361111111111116</v>
      </c>
      <c r="M553" t="s">
        <v>33</v>
      </c>
      <c r="N553" s="3">
        <v>189</v>
      </c>
      <c r="O553" t="s">
        <v>24</v>
      </c>
      <c r="P553" t="s">
        <v>79</v>
      </c>
      <c r="R553">
        <f>tblDailySchedule[[#This Row],[Capacity Approx]]*'[1]Load Factor Sheet June Acft  '!$B$5</f>
        <v>153.04704545454547</v>
      </c>
      <c r="S553">
        <f>tblDailySchedule[[#This Row],[Capacity Approx]]*'[1]Load Factor Sheet June Acft  '!$D$5</f>
        <v>165.71863636363636</v>
      </c>
      <c r="T553" s="22">
        <f>tblDailySchedule[[#This Row],[STD]]</f>
        <v>0.92361111111111116</v>
      </c>
    </row>
    <row r="554" spans="1:20" hidden="1" x14ac:dyDescent="0.35">
      <c r="A554" s="11">
        <v>46129</v>
      </c>
      <c r="B554" s="3">
        <v>5</v>
      </c>
      <c r="C554" t="s">
        <v>115</v>
      </c>
      <c r="D554" t="s">
        <v>18</v>
      </c>
      <c r="E554" s="3">
        <v>29</v>
      </c>
      <c r="F554" t="s">
        <v>19</v>
      </c>
      <c r="G554" t="s">
        <v>98</v>
      </c>
      <c r="H554" t="s">
        <v>21</v>
      </c>
      <c r="I554" s="12">
        <v>0.92013888888888884</v>
      </c>
      <c r="J554" t="s">
        <v>99</v>
      </c>
      <c r="K554" t="s">
        <v>21</v>
      </c>
      <c r="L554" s="12">
        <v>0.94791666666666663</v>
      </c>
      <c r="M554" t="s">
        <v>63</v>
      </c>
      <c r="N554" s="3">
        <v>232</v>
      </c>
      <c r="O554" t="s">
        <v>24</v>
      </c>
      <c r="P554" t="s">
        <v>79</v>
      </c>
      <c r="R554">
        <f>tblDailySchedule[[#This Row],[Capacity Approx]]*'[1]Load Factor Sheet June Acft  '!$B$5</f>
        <v>187.86727272727273</v>
      </c>
      <c r="S554">
        <f>tblDailySchedule[[#This Row],[Capacity Approx]]*'[1]Load Factor Sheet June Acft  '!$D$5</f>
        <v>203.4218181818182</v>
      </c>
      <c r="T554" s="22">
        <f>tblDailySchedule[[#This Row],[STD]]</f>
        <v>0.94791666666666663</v>
      </c>
    </row>
    <row r="555" spans="1:20" hidden="1" x14ac:dyDescent="0.35">
      <c r="A555" s="13">
        <v>46129</v>
      </c>
      <c r="B555" s="7">
        <v>5</v>
      </c>
      <c r="C555" s="14" t="s">
        <v>115</v>
      </c>
      <c r="D555" s="14" t="s">
        <v>18</v>
      </c>
      <c r="E555" s="7">
        <v>30</v>
      </c>
      <c r="F555" s="14" t="s">
        <v>104</v>
      </c>
      <c r="G555" s="14" t="s">
        <v>105</v>
      </c>
      <c r="H555" s="14" t="s">
        <v>106</v>
      </c>
      <c r="I555" s="15">
        <v>0.92708333333333337</v>
      </c>
      <c r="J555" s="14" t="s">
        <v>107</v>
      </c>
      <c r="K555" s="14" t="s">
        <v>106</v>
      </c>
      <c r="L555" s="15">
        <v>0.95833333333333337</v>
      </c>
      <c r="M555" s="14" t="s">
        <v>38</v>
      </c>
      <c r="N555" s="7">
        <v>186</v>
      </c>
      <c r="O555" s="14" t="s">
        <v>39</v>
      </c>
      <c r="P555" s="14" t="s">
        <v>79</v>
      </c>
      <c r="Q555" s="14" t="s">
        <v>39</v>
      </c>
      <c r="R555">
        <f>tblDailySchedule[[#This Row],[Capacity Approx]]*'[1]Load Factor Sheet June Acft  '!$B$5</f>
        <v>150.61772727272728</v>
      </c>
      <c r="S555">
        <f>tblDailySchedule[[#This Row],[Capacity Approx]]*'[1]Load Factor Sheet June Acft  '!$D$5</f>
        <v>163.08818181818182</v>
      </c>
      <c r="T555" s="22">
        <f>tblDailySchedule[[#This Row],[STD]]</f>
        <v>0.95833333333333337</v>
      </c>
    </row>
    <row r="556" spans="1:20" hidden="1" x14ac:dyDescent="0.35">
      <c r="A556" s="11">
        <v>46130</v>
      </c>
      <c r="B556" s="3">
        <v>6</v>
      </c>
      <c r="C556" t="s">
        <v>116</v>
      </c>
      <c r="D556" t="s">
        <v>18</v>
      </c>
      <c r="E556" s="3">
        <v>1</v>
      </c>
      <c r="F556" t="s">
        <v>101</v>
      </c>
      <c r="G556" t="s">
        <v>102</v>
      </c>
      <c r="H556" t="s">
        <v>61</v>
      </c>
      <c r="I556" s="12">
        <v>0.3125</v>
      </c>
      <c r="J556" t="s">
        <v>103</v>
      </c>
      <c r="K556" t="s">
        <v>61</v>
      </c>
      <c r="L556" s="12">
        <v>0.33333333333333331</v>
      </c>
      <c r="M556" t="s">
        <v>33</v>
      </c>
      <c r="N556" s="3">
        <v>189</v>
      </c>
      <c r="O556" t="s">
        <v>24</v>
      </c>
      <c r="P556" t="s">
        <v>25</v>
      </c>
      <c r="R556">
        <f>tblDailySchedule[[#This Row],[Capacity Approx]]*'[1]Load Factor Sheet June Acft  '!$B$5</f>
        <v>153.04704545454547</v>
      </c>
      <c r="S556">
        <f>tblDailySchedule[[#This Row],[Capacity Approx]]*'[1]Load Factor Sheet June Acft  '!$D$5</f>
        <v>165.71863636363636</v>
      </c>
      <c r="T556" s="22">
        <f>tblDailySchedule[[#This Row],[STD]]</f>
        <v>0.33333333333333331</v>
      </c>
    </row>
    <row r="557" spans="1:20" hidden="1" x14ac:dyDescent="0.35">
      <c r="A557" s="11">
        <v>46130</v>
      </c>
      <c r="B557" s="3">
        <v>6</v>
      </c>
      <c r="C557" t="s">
        <v>116</v>
      </c>
      <c r="D557" t="s">
        <v>18</v>
      </c>
      <c r="E557" s="3">
        <v>2</v>
      </c>
      <c r="F557" t="s">
        <v>19</v>
      </c>
      <c r="G557" t="s">
        <v>20</v>
      </c>
      <c r="H557" t="s">
        <v>21</v>
      </c>
      <c r="I557" s="12">
        <v>0.31944444444444442</v>
      </c>
      <c r="J557" t="s">
        <v>22</v>
      </c>
      <c r="K557" t="s">
        <v>21</v>
      </c>
      <c r="L557" s="12">
        <v>0.34722222222222221</v>
      </c>
      <c r="M557" t="s">
        <v>23</v>
      </c>
      <c r="N557" s="3">
        <v>186</v>
      </c>
      <c r="O557" t="s">
        <v>24</v>
      </c>
      <c r="P557" t="s">
        <v>25</v>
      </c>
      <c r="R557">
        <f>tblDailySchedule[[#This Row],[Capacity Approx]]*'[1]Load Factor Sheet June Acft  '!$B$5</f>
        <v>150.61772727272728</v>
      </c>
      <c r="S557">
        <f>tblDailySchedule[[#This Row],[Capacity Approx]]*'[1]Load Factor Sheet June Acft  '!$D$5</f>
        <v>163.08818181818182</v>
      </c>
      <c r="T557" s="22">
        <f>tblDailySchedule[[#This Row],[STD]]</f>
        <v>0.34722222222222221</v>
      </c>
    </row>
    <row r="558" spans="1:20" hidden="1" x14ac:dyDescent="0.35">
      <c r="A558" s="11">
        <v>46130</v>
      </c>
      <c r="B558" s="3">
        <v>6</v>
      </c>
      <c r="C558" t="s">
        <v>116</v>
      </c>
      <c r="D558" t="s">
        <v>18</v>
      </c>
      <c r="E558" s="3">
        <v>3</v>
      </c>
      <c r="F558" t="s">
        <v>19</v>
      </c>
      <c r="G558" t="s">
        <v>26</v>
      </c>
      <c r="H558" t="s">
        <v>27</v>
      </c>
      <c r="I558" s="12">
        <v>0.3263888888888889</v>
      </c>
      <c r="J558" t="s">
        <v>28</v>
      </c>
      <c r="K558" t="s">
        <v>27</v>
      </c>
      <c r="L558" s="12">
        <v>0.35416666666666669</v>
      </c>
      <c r="M558" t="s">
        <v>29</v>
      </c>
      <c r="N558" s="3">
        <v>186</v>
      </c>
      <c r="O558" t="s">
        <v>24</v>
      </c>
      <c r="P558" t="s">
        <v>25</v>
      </c>
      <c r="R558">
        <f>tblDailySchedule[[#This Row],[Capacity Approx]]*'[1]Load Factor Sheet June Acft  '!$B$5</f>
        <v>150.61772727272728</v>
      </c>
      <c r="S558">
        <f>tblDailySchedule[[#This Row],[Capacity Approx]]*'[1]Load Factor Sheet June Acft  '!$D$5</f>
        <v>163.08818181818182</v>
      </c>
      <c r="T558" s="22">
        <f>tblDailySchedule[[#This Row],[STD]]</f>
        <v>0.35416666666666669</v>
      </c>
    </row>
    <row r="559" spans="1:20" hidden="1" x14ac:dyDescent="0.35">
      <c r="A559" s="11">
        <v>46130</v>
      </c>
      <c r="B559" s="3">
        <v>6</v>
      </c>
      <c r="C559" t="s">
        <v>116</v>
      </c>
      <c r="D559" t="s">
        <v>18</v>
      </c>
      <c r="E559" s="3">
        <v>4</v>
      </c>
      <c r="F559" t="s">
        <v>19</v>
      </c>
      <c r="G559" t="s">
        <v>30</v>
      </c>
      <c r="H559" t="s">
        <v>31</v>
      </c>
      <c r="I559" s="12">
        <v>0.34722222222222221</v>
      </c>
      <c r="J559" t="s">
        <v>32</v>
      </c>
      <c r="K559" t="s">
        <v>31</v>
      </c>
      <c r="L559" s="12">
        <v>0.36805555555555558</v>
      </c>
      <c r="M559" t="s">
        <v>33</v>
      </c>
      <c r="N559" s="3">
        <v>189</v>
      </c>
      <c r="O559" t="s">
        <v>24</v>
      </c>
      <c r="P559" t="s">
        <v>25</v>
      </c>
      <c r="R559">
        <f>tblDailySchedule[[#This Row],[Capacity Approx]]*'[1]Load Factor Sheet June Acft  '!$B$5</f>
        <v>153.04704545454547</v>
      </c>
      <c r="S559">
        <f>tblDailySchedule[[#This Row],[Capacity Approx]]*'[1]Load Factor Sheet June Acft  '!$D$5</f>
        <v>165.71863636363636</v>
      </c>
      <c r="T559" s="22">
        <f>tblDailySchedule[[#This Row],[STD]]</f>
        <v>0.36805555555555558</v>
      </c>
    </row>
    <row r="560" spans="1:20" hidden="1" x14ac:dyDescent="0.35">
      <c r="A560" s="11">
        <v>46130</v>
      </c>
      <c r="B560" s="3">
        <v>6</v>
      </c>
      <c r="C560" t="s">
        <v>116</v>
      </c>
      <c r="D560" t="s">
        <v>18</v>
      </c>
      <c r="E560" s="3">
        <v>5</v>
      </c>
      <c r="F560" t="s">
        <v>19</v>
      </c>
      <c r="G560" t="s">
        <v>40</v>
      </c>
      <c r="H560" t="s">
        <v>31</v>
      </c>
      <c r="I560" s="12">
        <v>0.35069444444444442</v>
      </c>
      <c r="J560" t="s">
        <v>41</v>
      </c>
      <c r="K560" t="s">
        <v>31</v>
      </c>
      <c r="L560" s="12">
        <v>0.37152777777777779</v>
      </c>
      <c r="M560" t="s">
        <v>23</v>
      </c>
      <c r="N560" s="3">
        <v>186</v>
      </c>
      <c r="O560" t="s">
        <v>24</v>
      </c>
      <c r="P560" t="s">
        <v>25</v>
      </c>
      <c r="R560">
        <f>tblDailySchedule[[#This Row],[Capacity Approx]]*'[1]Load Factor Sheet June Acft  '!$B$5</f>
        <v>150.61772727272728</v>
      </c>
      <c r="S560">
        <f>tblDailySchedule[[#This Row],[Capacity Approx]]*'[1]Load Factor Sheet June Acft  '!$D$5</f>
        <v>163.08818181818182</v>
      </c>
      <c r="T560" s="22">
        <f>tblDailySchedule[[#This Row],[STD]]</f>
        <v>0.37152777777777779</v>
      </c>
    </row>
    <row r="561" spans="1:20" hidden="1" x14ac:dyDescent="0.35">
      <c r="A561" s="11">
        <v>46130</v>
      </c>
      <c r="B561" s="3">
        <v>6</v>
      </c>
      <c r="C561" t="s">
        <v>116</v>
      </c>
      <c r="D561" t="s">
        <v>18</v>
      </c>
      <c r="E561" s="3">
        <v>7</v>
      </c>
      <c r="F561" t="s">
        <v>19</v>
      </c>
      <c r="G561" t="s">
        <v>42</v>
      </c>
      <c r="H561" t="s">
        <v>43</v>
      </c>
      <c r="I561" s="12">
        <v>0.3923611111111111</v>
      </c>
      <c r="J561" t="s">
        <v>44</v>
      </c>
      <c r="K561" t="s">
        <v>43</v>
      </c>
      <c r="L561" s="12">
        <v>0.40277777777777779</v>
      </c>
      <c r="M561" t="s">
        <v>45</v>
      </c>
      <c r="N561" s="3">
        <v>9</v>
      </c>
      <c r="O561" t="s">
        <v>24</v>
      </c>
      <c r="P561" t="s">
        <v>25</v>
      </c>
      <c r="R561">
        <f>tblDailySchedule[[#This Row],[Capacity Approx]]*'[1]Load Factor Sheet June Acft  '!$B$5</f>
        <v>7.2879545454545456</v>
      </c>
      <c r="S561">
        <f>tblDailySchedule[[#This Row],[Capacity Approx]]*'[1]Load Factor Sheet June Acft  '!$D$5</f>
        <v>7.8913636363636366</v>
      </c>
      <c r="T561" s="22">
        <f>tblDailySchedule[[#This Row],[STD]]</f>
        <v>0.40277777777777779</v>
      </c>
    </row>
    <row r="562" spans="1:20" hidden="1" x14ac:dyDescent="0.35">
      <c r="A562" s="11">
        <v>46130</v>
      </c>
      <c r="B562" s="3">
        <v>6</v>
      </c>
      <c r="C562" t="s">
        <v>116</v>
      </c>
      <c r="D562" t="s">
        <v>18</v>
      </c>
      <c r="E562" s="3">
        <v>8</v>
      </c>
      <c r="F562" t="s">
        <v>19</v>
      </c>
      <c r="G562" t="s">
        <v>46</v>
      </c>
      <c r="H562" t="s">
        <v>31</v>
      </c>
      <c r="I562" s="12">
        <v>0.4201388888888889</v>
      </c>
      <c r="J562" t="s">
        <v>47</v>
      </c>
      <c r="K562" t="s">
        <v>31</v>
      </c>
      <c r="L562" s="12">
        <v>0.44444444444444442</v>
      </c>
      <c r="M562" t="s">
        <v>29</v>
      </c>
      <c r="N562" s="3">
        <v>186</v>
      </c>
      <c r="O562" t="s">
        <v>24</v>
      </c>
      <c r="P562" t="s">
        <v>25</v>
      </c>
      <c r="R562">
        <f>tblDailySchedule[[#This Row],[Capacity Approx]]*'[1]Load Factor Sheet June Acft  '!$B$5</f>
        <v>150.61772727272728</v>
      </c>
      <c r="S562">
        <f>tblDailySchedule[[#This Row],[Capacity Approx]]*'[1]Load Factor Sheet June Acft  '!$D$5</f>
        <v>163.08818181818182</v>
      </c>
      <c r="T562" s="22">
        <f>tblDailySchedule[[#This Row],[STD]]</f>
        <v>0.44444444444444442</v>
      </c>
    </row>
    <row r="563" spans="1:20" hidden="1" x14ac:dyDescent="0.35">
      <c r="A563" s="11">
        <v>46130</v>
      </c>
      <c r="B563" s="3">
        <v>6</v>
      </c>
      <c r="C563" t="s">
        <v>116</v>
      </c>
      <c r="D563" t="s">
        <v>18</v>
      </c>
      <c r="E563" s="3">
        <v>9</v>
      </c>
      <c r="F563" t="s">
        <v>19</v>
      </c>
      <c r="G563" t="s">
        <v>48</v>
      </c>
      <c r="H563" t="s">
        <v>49</v>
      </c>
      <c r="I563" s="12">
        <v>0.4375</v>
      </c>
      <c r="J563" t="s">
        <v>50</v>
      </c>
      <c r="K563" t="s">
        <v>49</v>
      </c>
      <c r="L563" s="12">
        <v>0.45833333333333331</v>
      </c>
      <c r="M563" t="s">
        <v>51</v>
      </c>
      <c r="N563" s="3">
        <v>78</v>
      </c>
      <c r="O563" t="s">
        <v>24</v>
      </c>
      <c r="P563" t="s">
        <v>25</v>
      </c>
      <c r="R563">
        <f>tblDailySchedule[[#This Row],[Capacity Approx]]*'[1]Load Factor Sheet June Acft  '!$B$5</f>
        <v>63.162272727272729</v>
      </c>
      <c r="S563">
        <f>tblDailySchedule[[#This Row],[Capacity Approx]]*'[1]Load Factor Sheet June Acft  '!$D$5</f>
        <v>68.391818181818181</v>
      </c>
      <c r="T563" s="22">
        <f>tblDailySchedule[[#This Row],[STD]]</f>
        <v>0.45833333333333331</v>
      </c>
    </row>
    <row r="564" spans="1:20" hidden="1" x14ac:dyDescent="0.35">
      <c r="A564" s="11">
        <v>46130</v>
      </c>
      <c r="B564" s="3">
        <v>6</v>
      </c>
      <c r="C564" t="s">
        <v>116</v>
      </c>
      <c r="D564" t="s">
        <v>18</v>
      </c>
      <c r="E564" s="3">
        <v>10</v>
      </c>
      <c r="F564" t="s">
        <v>19</v>
      </c>
      <c r="G564" t="s">
        <v>52</v>
      </c>
      <c r="H564" t="s">
        <v>27</v>
      </c>
      <c r="I564" s="12">
        <v>0.4826388888888889</v>
      </c>
      <c r="J564" t="s">
        <v>53</v>
      </c>
      <c r="K564" t="s">
        <v>27</v>
      </c>
      <c r="L564" s="12">
        <v>0.51041666666666663</v>
      </c>
      <c r="M564" t="s">
        <v>23</v>
      </c>
      <c r="N564" s="3">
        <v>186</v>
      </c>
      <c r="O564" t="s">
        <v>24</v>
      </c>
      <c r="P564" t="s">
        <v>25</v>
      </c>
      <c r="R564">
        <f>tblDailySchedule[[#This Row],[Capacity Approx]]*'[1]Load Factor Sheet June Acft  '!$B$5</f>
        <v>150.61772727272728</v>
      </c>
      <c r="S564">
        <f>tblDailySchedule[[#This Row],[Capacity Approx]]*'[1]Load Factor Sheet June Acft  '!$D$5</f>
        <v>163.08818181818182</v>
      </c>
      <c r="T564" s="22">
        <f>tblDailySchedule[[#This Row],[STD]]</f>
        <v>0.51041666666666663</v>
      </c>
    </row>
    <row r="565" spans="1:20" hidden="1" x14ac:dyDescent="0.35">
      <c r="A565" s="11">
        <v>46130</v>
      </c>
      <c r="B565" s="3">
        <v>6</v>
      </c>
      <c r="C565" t="s">
        <v>116</v>
      </c>
      <c r="D565" t="s">
        <v>18</v>
      </c>
      <c r="E565" s="3">
        <v>11</v>
      </c>
      <c r="F565" t="s">
        <v>19</v>
      </c>
      <c r="G565" t="s">
        <v>54</v>
      </c>
      <c r="H565" t="s">
        <v>31</v>
      </c>
      <c r="I565" s="12">
        <v>0.51388888888888884</v>
      </c>
      <c r="J565" t="s">
        <v>55</v>
      </c>
      <c r="K565" t="s">
        <v>31</v>
      </c>
      <c r="L565" s="12">
        <v>0.54166666666666663</v>
      </c>
      <c r="M565" t="s">
        <v>23</v>
      </c>
      <c r="N565" s="3">
        <v>186</v>
      </c>
      <c r="O565" t="s">
        <v>24</v>
      </c>
      <c r="P565" t="s">
        <v>56</v>
      </c>
      <c r="R565">
        <f>tblDailySchedule[[#This Row],[Capacity Approx]]*'[1]Load Factor Sheet June Acft  '!$B$5</f>
        <v>150.61772727272728</v>
      </c>
      <c r="S565">
        <f>tblDailySchedule[[#This Row],[Capacity Approx]]*'[1]Load Factor Sheet June Acft  '!$D$5</f>
        <v>163.08818181818182</v>
      </c>
      <c r="T565" s="22">
        <f>tblDailySchedule[[#This Row],[STD]]</f>
        <v>0.54166666666666663</v>
      </c>
    </row>
    <row r="566" spans="1:20" hidden="1" x14ac:dyDescent="0.35">
      <c r="A566" s="11">
        <v>46130</v>
      </c>
      <c r="B566" s="3">
        <v>6</v>
      </c>
      <c r="C566" t="s">
        <v>116</v>
      </c>
      <c r="D566" t="s">
        <v>18</v>
      </c>
      <c r="E566" s="3">
        <v>12</v>
      </c>
      <c r="F566" t="s">
        <v>109</v>
      </c>
      <c r="G566" t="s">
        <v>110</v>
      </c>
      <c r="H566" t="s">
        <v>111</v>
      </c>
      <c r="I566" s="12">
        <v>0.55555555555555558</v>
      </c>
      <c r="J566" t="s">
        <v>112</v>
      </c>
      <c r="K566" t="s">
        <v>111</v>
      </c>
      <c r="L566" s="12">
        <v>0.56944444444444442</v>
      </c>
      <c r="M566" t="s">
        <v>51</v>
      </c>
      <c r="N566" s="3">
        <v>78</v>
      </c>
      <c r="O566" t="s">
        <v>24</v>
      </c>
      <c r="P566" t="s">
        <v>56</v>
      </c>
      <c r="R566">
        <f>tblDailySchedule[[#This Row],[Capacity Approx]]*'[1]Load Factor Sheet June Acft  '!$B$5</f>
        <v>63.162272727272729</v>
      </c>
      <c r="S566">
        <f>tblDailySchedule[[#This Row],[Capacity Approx]]*'[1]Load Factor Sheet June Acft  '!$D$5</f>
        <v>68.391818181818181</v>
      </c>
      <c r="T566" s="22">
        <f>tblDailySchedule[[#This Row],[STD]]</f>
        <v>0.56944444444444442</v>
      </c>
    </row>
    <row r="567" spans="1:20" hidden="1" x14ac:dyDescent="0.35">
      <c r="A567" s="11">
        <v>46130</v>
      </c>
      <c r="B567" s="3">
        <v>6</v>
      </c>
      <c r="C567" t="s">
        <v>116</v>
      </c>
      <c r="D567" t="s">
        <v>18</v>
      </c>
      <c r="E567" s="3">
        <v>13</v>
      </c>
      <c r="F567" t="s">
        <v>19</v>
      </c>
      <c r="G567" t="s">
        <v>57</v>
      </c>
      <c r="H567" t="s">
        <v>58</v>
      </c>
      <c r="I567" s="12">
        <v>0.55902777777777779</v>
      </c>
      <c r="J567" t="s">
        <v>59</v>
      </c>
      <c r="K567" t="s">
        <v>58</v>
      </c>
      <c r="L567" s="12">
        <v>0.57638888888888884</v>
      </c>
      <c r="M567" t="s">
        <v>51</v>
      </c>
      <c r="N567" s="3">
        <v>78</v>
      </c>
      <c r="O567" t="s">
        <v>24</v>
      </c>
      <c r="P567" t="s">
        <v>56</v>
      </c>
      <c r="R567">
        <f>tblDailySchedule[[#This Row],[Capacity Approx]]*'[1]Load Factor Sheet June Acft  '!$B$5</f>
        <v>63.162272727272729</v>
      </c>
      <c r="S567">
        <f>tblDailySchedule[[#This Row],[Capacity Approx]]*'[1]Load Factor Sheet June Acft  '!$D$5</f>
        <v>68.391818181818181</v>
      </c>
      <c r="T567" s="22">
        <f>tblDailySchedule[[#This Row],[STD]]</f>
        <v>0.57638888888888884</v>
      </c>
    </row>
    <row r="568" spans="1:20" hidden="1" x14ac:dyDescent="0.35">
      <c r="A568" s="11">
        <v>46130</v>
      </c>
      <c r="B568" s="3">
        <v>6</v>
      </c>
      <c r="C568" t="s">
        <v>116</v>
      </c>
      <c r="D568" t="s">
        <v>18</v>
      </c>
      <c r="E568" s="3">
        <v>14</v>
      </c>
      <c r="F568" t="s">
        <v>19</v>
      </c>
      <c r="G568" t="s">
        <v>60</v>
      </c>
      <c r="H568" t="s">
        <v>61</v>
      </c>
      <c r="I568" s="12">
        <v>0.59027777777777779</v>
      </c>
      <c r="J568" t="s">
        <v>62</v>
      </c>
      <c r="K568" t="s">
        <v>61</v>
      </c>
      <c r="L568" s="12">
        <v>0.62152777777777779</v>
      </c>
      <c r="M568" t="s">
        <v>63</v>
      </c>
      <c r="N568" s="3">
        <v>232</v>
      </c>
      <c r="O568" t="s">
        <v>24</v>
      </c>
      <c r="P568" t="s">
        <v>56</v>
      </c>
      <c r="R568">
        <f>tblDailySchedule[[#This Row],[Capacity Approx]]*'[1]Load Factor Sheet June Acft  '!$B$5</f>
        <v>187.86727272727273</v>
      </c>
      <c r="S568">
        <f>tblDailySchedule[[#This Row],[Capacity Approx]]*'[1]Load Factor Sheet June Acft  '!$D$5</f>
        <v>203.4218181818182</v>
      </c>
      <c r="T568" s="22">
        <f>tblDailySchedule[[#This Row],[STD]]</f>
        <v>0.62152777777777779</v>
      </c>
    </row>
    <row r="569" spans="1:20" hidden="1" x14ac:dyDescent="0.35">
      <c r="A569" s="11">
        <v>46130</v>
      </c>
      <c r="B569" s="3">
        <v>6</v>
      </c>
      <c r="C569" t="s">
        <v>116</v>
      </c>
      <c r="D569" t="s">
        <v>18</v>
      </c>
      <c r="E569" s="3">
        <v>15</v>
      </c>
      <c r="F569" t="s">
        <v>19</v>
      </c>
      <c r="G569" t="s">
        <v>64</v>
      </c>
      <c r="H569" t="s">
        <v>31</v>
      </c>
      <c r="I569" s="12">
        <v>0.60069444444444442</v>
      </c>
      <c r="J569" t="s">
        <v>65</v>
      </c>
      <c r="K569" t="s">
        <v>66</v>
      </c>
      <c r="L569" s="12">
        <v>0.62847222222222221</v>
      </c>
      <c r="M569" t="s">
        <v>63</v>
      </c>
      <c r="N569" s="3">
        <v>232</v>
      </c>
      <c r="O569" t="s">
        <v>24</v>
      </c>
      <c r="P569" t="s">
        <v>56</v>
      </c>
      <c r="R569">
        <f>tblDailySchedule[[#This Row],[Capacity Approx]]*'[1]Load Factor Sheet June Acft  '!$B$5</f>
        <v>187.86727272727273</v>
      </c>
      <c r="S569">
        <f>tblDailySchedule[[#This Row],[Capacity Approx]]*'[1]Load Factor Sheet June Acft  '!$D$5</f>
        <v>203.4218181818182</v>
      </c>
      <c r="T569" s="22">
        <f>tblDailySchedule[[#This Row],[STD]]</f>
        <v>0.62847222222222221</v>
      </c>
    </row>
    <row r="570" spans="1:20" hidden="1" x14ac:dyDescent="0.35">
      <c r="A570" s="11">
        <v>46130</v>
      </c>
      <c r="B570" s="3">
        <v>6</v>
      </c>
      <c r="C570" t="s">
        <v>116</v>
      </c>
      <c r="D570" t="s">
        <v>18</v>
      </c>
      <c r="E570" s="3">
        <v>16</v>
      </c>
      <c r="F570" t="s">
        <v>19</v>
      </c>
      <c r="G570" t="s">
        <v>67</v>
      </c>
      <c r="H570" t="s">
        <v>31</v>
      </c>
      <c r="I570" s="12">
        <v>0.65625</v>
      </c>
      <c r="J570" t="s">
        <v>68</v>
      </c>
      <c r="K570" t="s">
        <v>31</v>
      </c>
      <c r="L570" s="12">
        <v>0.68402777777777779</v>
      </c>
      <c r="M570" t="s">
        <v>63</v>
      </c>
      <c r="N570" s="3">
        <v>232</v>
      </c>
      <c r="O570" t="s">
        <v>24</v>
      </c>
      <c r="P570" t="s">
        <v>56</v>
      </c>
      <c r="R570">
        <f>tblDailySchedule[[#This Row],[Capacity Approx]]*'[1]Load Factor Sheet June Acft  '!$B$5</f>
        <v>187.86727272727273</v>
      </c>
      <c r="S570">
        <f>tblDailySchedule[[#This Row],[Capacity Approx]]*'[1]Load Factor Sheet June Acft  '!$D$5</f>
        <v>203.4218181818182</v>
      </c>
      <c r="T570" s="22">
        <f>tblDailySchedule[[#This Row],[STD]]</f>
        <v>0.68402777777777779</v>
      </c>
    </row>
    <row r="571" spans="1:20" hidden="1" x14ac:dyDescent="0.35">
      <c r="A571" s="11">
        <v>46130</v>
      </c>
      <c r="B571" s="3">
        <v>6</v>
      </c>
      <c r="C571" t="s">
        <v>116</v>
      </c>
      <c r="D571" t="s">
        <v>18</v>
      </c>
      <c r="E571" s="3">
        <v>17</v>
      </c>
      <c r="F571" t="s">
        <v>19</v>
      </c>
      <c r="G571" t="s">
        <v>69</v>
      </c>
      <c r="H571" t="s">
        <v>31</v>
      </c>
      <c r="I571" s="12">
        <v>0.66319444444444442</v>
      </c>
      <c r="J571" t="s">
        <v>70</v>
      </c>
      <c r="K571" t="s">
        <v>31</v>
      </c>
      <c r="L571" s="12">
        <v>0.69097222222222221</v>
      </c>
      <c r="M571" t="s">
        <v>33</v>
      </c>
      <c r="N571" s="3">
        <v>189</v>
      </c>
      <c r="O571" t="s">
        <v>24</v>
      </c>
      <c r="P571" t="s">
        <v>56</v>
      </c>
      <c r="R571">
        <f>tblDailySchedule[[#This Row],[Capacity Approx]]*'[1]Load Factor Sheet June Acft  '!$B$5</f>
        <v>153.04704545454547</v>
      </c>
      <c r="S571">
        <f>tblDailySchedule[[#This Row],[Capacity Approx]]*'[1]Load Factor Sheet June Acft  '!$D$5</f>
        <v>165.71863636363636</v>
      </c>
      <c r="T571" s="22">
        <f>tblDailySchedule[[#This Row],[STD]]</f>
        <v>0.69097222222222221</v>
      </c>
    </row>
    <row r="572" spans="1:20" hidden="1" x14ac:dyDescent="0.35">
      <c r="A572" s="11">
        <v>46130</v>
      </c>
      <c r="B572" s="3">
        <v>6</v>
      </c>
      <c r="C572" t="s">
        <v>116</v>
      </c>
      <c r="D572" t="s">
        <v>18</v>
      </c>
      <c r="E572" s="3">
        <v>18</v>
      </c>
      <c r="F572" t="s">
        <v>19</v>
      </c>
      <c r="G572" t="s">
        <v>71</v>
      </c>
      <c r="H572" t="s">
        <v>21</v>
      </c>
      <c r="I572" s="12">
        <v>0.67013888888888884</v>
      </c>
      <c r="J572" t="s">
        <v>72</v>
      </c>
      <c r="K572" t="s">
        <v>21</v>
      </c>
      <c r="L572" s="12">
        <v>0.69791666666666663</v>
      </c>
      <c r="M572" t="s">
        <v>63</v>
      </c>
      <c r="N572" s="3">
        <v>232</v>
      </c>
      <c r="O572" t="s">
        <v>24</v>
      </c>
      <c r="P572" t="s">
        <v>56</v>
      </c>
      <c r="R572">
        <f>tblDailySchedule[[#This Row],[Capacity Approx]]*'[1]Load Factor Sheet June Acft  '!$B$5</f>
        <v>187.86727272727273</v>
      </c>
      <c r="S572">
        <f>tblDailySchedule[[#This Row],[Capacity Approx]]*'[1]Load Factor Sheet June Acft  '!$D$5</f>
        <v>203.4218181818182</v>
      </c>
      <c r="T572" s="22">
        <f>tblDailySchedule[[#This Row],[STD]]</f>
        <v>0.69791666666666663</v>
      </c>
    </row>
    <row r="573" spans="1:20" hidden="1" x14ac:dyDescent="0.35">
      <c r="A573" s="11">
        <v>46130</v>
      </c>
      <c r="B573" s="3">
        <v>6</v>
      </c>
      <c r="C573" t="s">
        <v>116</v>
      </c>
      <c r="D573" t="s">
        <v>18</v>
      </c>
      <c r="E573" s="3">
        <v>19</v>
      </c>
      <c r="F573" t="s">
        <v>19</v>
      </c>
      <c r="G573" t="s">
        <v>73</v>
      </c>
      <c r="H573" t="s">
        <v>27</v>
      </c>
      <c r="I573" s="12">
        <v>0.74652777777777779</v>
      </c>
      <c r="J573" t="s">
        <v>74</v>
      </c>
      <c r="K573" t="s">
        <v>27</v>
      </c>
      <c r="L573" s="12">
        <v>0.77430555555555558</v>
      </c>
      <c r="M573" t="s">
        <v>63</v>
      </c>
      <c r="N573" s="3">
        <v>232</v>
      </c>
      <c r="O573" t="s">
        <v>24</v>
      </c>
      <c r="P573" t="s">
        <v>56</v>
      </c>
      <c r="R573">
        <f>tblDailySchedule[[#This Row],[Capacity Approx]]*'[1]Load Factor Sheet June Acft  '!$B$5</f>
        <v>187.86727272727273</v>
      </c>
      <c r="S573">
        <f>tblDailySchedule[[#This Row],[Capacity Approx]]*'[1]Load Factor Sheet June Acft  '!$D$5</f>
        <v>203.4218181818182</v>
      </c>
      <c r="T573" s="22">
        <f>tblDailySchedule[[#This Row],[STD]]</f>
        <v>0.77430555555555558</v>
      </c>
    </row>
    <row r="574" spans="1:20" hidden="1" x14ac:dyDescent="0.35">
      <c r="A574" s="11">
        <v>46130</v>
      </c>
      <c r="B574" s="3">
        <v>6</v>
      </c>
      <c r="C574" t="s">
        <v>116</v>
      </c>
      <c r="D574" t="s">
        <v>18</v>
      </c>
      <c r="E574" s="3">
        <v>21</v>
      </c>
      <c r="F574" t="s">
        <v>19</v>
      </c>
      <c r="G574" t="s">
        <v>81</v>
      </c>
      <c r="H574" t="s">
        <v>61</v>
      </c>
      <c r="I574" s="12">
        <v>0.77083333333333337</v>
      </c>
      <c r="J574" t="s">
        <v>82</v>
      </c>
      <c r="K574" t="s">
        <v>49</v>
      </c>
      <c r="L574" s="12">
        <v>0.79166666666666663</v>
      </c>
      <c r="M574" t="s">
        <v>33</v>
      </c>
      <c r="N574" s="3">
        <v>189</v>
      </c>
      <c r="O574" t="s">
        <v>24</v>
      </c>
      <c r="P574" t="s">
        <v>79</v>
      </c>
      <c r="R574">
        <f>tblDailySchedule[[#This Row],[Capacity Approx]]*'[1]Load Factor Sheet June Acft  '!$B$5</f>
        <v>153.04704545454547</v>
      </c>
      <c r="S574">
        <f>tblDailySchedule[[#This Row],[Capacity Approx]]*'[1]Load Factor Sheet June Acft  '!$D$5</f>
        <v>165.71863636363636</v>
      </c>
      <c r="T574" s="22">
        <f>tblDailySchedule[[#This Row],[STD]]</f>
        <v>0.79166666666666663</v>
      </c>
    </row>
    <row r="575" spans="1:20" hidden="1" x14ac:dyDescent="0.35">
      <c r="A575" s="11">
        <v>46130</v>
      </c>
      <c r="B575" s="3">
        <v>6</v>
      </c>
      <c r="C575" t="s">
        <v>116</v>
      </c>
      <c r="D575" t="s">
        <v>18</v>
      </c>
      <c r="E575" s="3">
        <v>22</v>
      </c>
      <c r="F575" t="s">
        <v>19</v>
      </c>
      <c r="G575" t="s">
        <v>83</v>
      </c>
      <c r="H575" t="s">
        <v>31</v>
      </c>
      <c r="I575" s="12">
        <v>0.77777777777777779</v>
      </c>
      <c r="J575" t="s">
        <v>84</v>
      </c>
      <c r="K575" t="s">
        <v>31</v>
      </c>
      <c r="L575" s="12">
        <v>0.80555555555555558</v>
      </c>
      <c r="M575" t="s">
        <v>63</v>
      </c>
      <c r="N575" s="3">
        <v>232</v>
      </c>
      <c r="O575" t="s">
        <v>24</v>
      </c>
      <c r="P575" t="s">
        <v>79</v>
      </c>
      <c r="R575">
        <f>tblDailySchedule[[#This Row],[Capacity Approx]]*'[1]Load Factor Sheet June Acft  '!$B$5</f>
        <v>187.86727272727273</v>
      </c>
      <c r="S575">
        <f>tblDailySchedule[[#This Row],[Capacity Approx]]*'[1]Load Factor Sheet June Acft  '!$D$5</f>
        <v>203.4218181818182</v>
      </c>
      <c r="T575" s="22">
        <f>tblDailySchedule[[#This Row],[STD]]</f>
        <v>0.80555555555555558</v>
      </c>
    </row>
    <row r="576" spans="1:20" hidden="1" x14ac:dyDescent="0.35">
      <c r="A576" s="11">
        <v>46130</v>
      </c>
      <c r="B576" s="3">
        <v>6</v>
      </c>
      <c r="C576" t="s">
        <v>116</v>
      </c>
      <c r="D576" t="s">
        <v>18</v>
      </c>
      <c r="E576" s="3">
        <v>23</v>
      </c>
      <c r="F576" t="s">
        <v>19</v>
      </c>
      <c r="G576" t="s">
        <v>85</v>
      </c>
      <c r="H576" t="s">
        <v>86</v>
      </c>
      <c r="I576" s="12">
        <v>0.79861111111111116</v>
      </c>
      <c r="J576" t="s">
        <v>87</v>
      </c>
      <c r="K576" t="s">
        <v>86</v>
      </c>
      <c r="L576" s="12">
        <v>0.82638888888888884</v>
      </c>
      <c r="M576" t="s">
        <v>63</v>
      </c>
      <c r="N576" s="3">
        <v>232</v>
      </c>
      <c r="O576" t="s">
        <v>24</v>
      </c>
      <c r="P576" t="s">
        <v>79</v>
      </c>
      <c r="R576">
        <f>tblDailySchedule[[#This Row],[Capacity Approx]]*'[1]Load Factor Sheet June Acft  '!$B$5</f>
        <v>187.86727272727273</v>
      </c>
      <c r="S576">
        <f>tblDailySchedule[[#This Row],[Capacity Approx]]*'[1]Load Factor Sheet June Acft  '!$D$5</f>
        <v>203.4218181818182</v>
      </c>
      <c r="T576" s="22">
        <f>tblDailySchedule[[#This Row],[STD]]</f>
        <v>0.82638888888888884</v>
      </c>
    </row>
    <row r="577" spans="1:20" hidden="1" x14ac:dyDescent="0.35">
      <c r="A577" s="11">
        <v>46130</v>
      </c>
      <c r="B577" s="3">
        <v>6</v>
      </c>
      <c r="C577" t="s">
        <v>116</v>
      </c>
      <c r="D577" t="s">
        <v>18</v>
      </c>
      <c r="E577" s="3">
        <v>24</v>
      </c>
      <c r="F577" t="s">
        <v>19</v>
      </c>
      <c r="G577" t="s">
        <v>88</v>
      </c>
      <c r="H577" t="s">
        <v>89</v>
      </c>
      <c r="I577" s="12">
        <v>0.83333333333333337</v>
      </c>
      <c r="J577" t="s">
        <v>90</v>
      </c>
      <c r="K577" t="s">
        <v>31</v>
      </c>
      <c r="L577" s="12">
        <v>0.86111111111111116</v>
      </c>
      <c r="M577" t="s">
        <v>63</v>
      </c>
      <c r="N577" s="3">
        <v>232</v>
      </c>
      <c r="O577" t="s">
        <v>24</v>
      </c>
      <c r="P577" t="s">
        <v>79</v>
      </c>
      <c r="R577">
        <f>tblDailySchedule[[#This Row],[Capacity Approx]]*'[1]Load Factor Sheet June Acft  '!$B$5</f>
        <v>187.86727272727273</v>
      </c>
      <c r="S577">
        <f>tblDailySchedule[[#This Row],[Capacity Approx]]*'[1]Load Factor Sheet June Acft  '!$D$5</f>
        <v>203.4218181818182</v>
      </c>
      <c r="T577" s="22">
        <f>tblDailySchedule[[#This Row],[STD]]</f>
        <v>0.86111111111111116</v>
      </c>
    </row>
    <row r="578" spans="1:20" hidden="1" x14ac:dyDescent="0.35">
      <c r="A578" s="11">
        <v>46130</v>
      </c>
      <c r="B578" s="3">
        <v>6</v>
      </c>
      <c r="C578" t="s">
        <v>116</v>
      </c>
      <c r="D578" t="s">
        <v>18</v>
      </c>
      <c r="E578" s="3">
        <v>25</v>
      </c>
      <c r="F578" t="s">
        <v>19</v>
      </c>
      <c r="G578" t="s">
        <v>91</v>
      </c>
      <c r="H578" t="s">
        <v>61</v>
      </c>
      <c r="I578" s="12">
        <v>0.85416666666666663</v>
      </c>
      <c r="J578" t="s">
        <v>92</v>
      </c>
      <c r="K578" t="s">
        <v>61</v>
      </c>
      <c r="L578" s="12">
        <v>0.88194444444444442</v>
      </c>
      <c r="M578" t="s">
        <v>63</v>
      </c>
      <c r="N578" s="3">
        <v>232</v>
      </c>
      <c r="O578" t="s">
        <v>24</v>
      </c>
      <c r="P578" t="s">
        <v>79</v>
      </c>
      <c r="R578">
        <f>tblDailySchedule[[#This Row],[Capacity Approx]]*'[1]Load Factor Sheet June Acft  '!$B$5</f>
        <v>187.86727272727273</v>
      </c>
      <c r="S578">
        <f>tblDailySchedule[[#This Row],[Capacity Approx]]*'[1]Load Factor Sheet June Acft  '!$D$5</f>
        <v>203.4218181818182</v>
      </c>
      <c r="T578" s="22">
        <f>tblDailySchedule[[#This Row],[STD]]</f>
        <v>0.88194444444444442</v>
      </c>
    </row>
    <row r="579" spans="1:20" hidden="1" x14ac:dyDescent="0.35">
      <c r="A579" s="11">
        <v>46130</v>
      </c>
      <c r="B579" s="3">
        <v>6</v>
      </c>
      <c r="C579" t="s">
        <v>116</v>
      </c>
      <c r="D579" t="s">
        <v>18</v>
      </c>
      <c r="E579" s="3">
        <v>26</v>
      </c>
      <c r="F579" t="s">
        <v>19</v>
      </c>
      <c r="G579" t="s">
        <v>93</v>
      </c>
      <c r="H579" t="s">
        <v>31</v>
      </c>
      <c r="I579" s="12">
        <v>0.86111111111111116</v>
      </c>
      <c r="J579" t="s">
        <v>94</v>
      </c>
      <c r="K579" t="s">
        <v>31</v>
      </c>
      <c r="L579" s="12">
        <v>0.88888888888888884</v>
      </c>
      <c r="M579" t="s">
        <v>23</v>
      </c>
      <c r="N579" s="3">
        <v>186</v>
      </c>
      <c r="O579" t="s">
        <v>24</v>
      </c>
      <c r="P579" t="s">
        <v>79</v>
      </c>
      <c r="R579">
        <f>tblDailySchedule[[#This Row],[Capacity Approx]]*'[1]Load Factor Sheet June Acft  '!$B$5</f>
        <v>150.61772727272728</v>
      </c>
      <c r="S579">
        <f>tblDailySchedule[[#This Row],[Capacity Approx]]*'[1]Load Factor Sheet June Acft  '!$D$5</f>
        <v>163.08818181818182</v>
      </c>
      <c r="T579" s="22">
        <f>tblDailySchedule[[#This Row],[STD]]</f>
        <v>0.88888888888888884</v>
      </c>
    </row>
    <row r="580" spans="1:20" hidden="1" x14ac:dyDescent="0.35">
      <c r="A580" s="11">
        <v>46130</v>
      </c>
      <c r="B580" s="3">
        <v>6</v>
      </c>
      <c r="C580" t="s">
        <v>116</v>
      </c>
      <c r="D580" t="s">
        <v>18</v>
      </c>
      <c r="E580" s="3">
        <v>27</v>
      </c>
      <c r="F580" t="s">
        <v>19</v>
      </c>
      <c r="G580" t="s">
        <v>95</v>
      </c>
      <c r="H580" t="s">
        <v>21</v>
      </c>
      <c r="I580" s="12">
        <v>0.86805555555555558</v>
      </c>
      <c r="J580" t="s">
        <v>96</v>
      </c>
      <c r="K580" t="s">
        <v>21</v>
      </c>
      <c r="L580" s="12">
        <v>0.89583333333333337</v>
      </c>
      <c r="M580" t="s">
        <v>29</v>
      </c>
      <c r="N580" s="3">
        <v>186</v>
      </c>
      <c r="O580" t="s">
        <v>24</v>
      </c>
      <c r="P580" t="s">
        <v>79</v>
      </c>
      <c r="R580">
        <f>tblDailySchedule[[#This Row],[Capacity Approx]]*'[1]Load Factor Sheet June Acft  '!$B$5</f>
        <v>150.61772727272728</v>
      </c>
      <c r="S580">
        <f>tblDailySchedule[[#This Row],[Capacity Approx]]*'[1]Load Factor Sheet June Acft  '!$D$5</f>
        <v>163.08818181818182</v>
      </c>
      <c r="T580" s="22">
        <f>tblDailySchedule[[#This Row],[STD]]</f>
        <v>0.89583333333333337</v>
      </c>
    </row>
    <row r="581" spans="1:20" hidden="1" x14ac:dyDescent="0.35">
      <c r="A581" s="11">
        <v>46130</v>
      </c>
      <c r="B581" s="3">
        <v>6</v>
      </c>
      <c r="C581" t="s">
        <v>116</v>
      </c>
      <c r="D581" t="s">
        <v>18</v>
      </c>
      <c r="E581" s="3">
        <v>28</v>
      </c>
      <c r="F581" t="s">
        <v>19</v>
      </c>
      <c r="G581" t="s">
        <v>97</v>
      </c>
      <c r="H581" t="s">
        <v>49</v>
      </c>
      <c r="I581" s="12">
        <v>0.90277777777777779</v>
      </c>
      <c r="J581" t="s">
        <v>97</v>
      </c>
      <c r="K581" t="s">
        <v>61</v>
      </c>
      <c r="L581" s="12">
        <v>0.92361111111111116</v>
      </c>
      <c r="M581" t="s">
        <v>33</v>
      </c>
      <c r="N581" s="3">
        <v>189</v>
      </c>
      <c r="O581" t="s">
        <v>24</v>
      </c>
      <c r="P581" t="s">
        <v>79</v>
      </c>
      <c r="R581">
        <f>tblDailySchedule[[#This Row],[Capacity Approx]]*'[1]Load Factor Sheet June Acft  '!$B$5</f>
        <v>153.04704545454547</v>
      </c>
      <c r="S581">
        <f>tblDailySchedule[[#This Row],[Capacity Approx]]*'[1]Load Factor Sheet June Acft  '!$D$5</f>
        <v>165.71863636363636</v>
      </c>
      <c r="T581" s="22">
        <f>tblDailySchedule[[#This Row],[STD]]</f>
        <v>0.92361111111111116</v>
      </c>
    </row>
    <row r="582" spans="1:20" hidden="1" x14ac:dyDescent="0.35">
      <c r="A582" s="11">
        <v>46130</v>
      </c>
      <c r="B582" s="3">
        <v>6</v>
      </c>
      <c r="C582" t="s">
        <v>116</v>
      </c>
      <c r="D582" t="s">
        <v>18</v>
      </c>
      <c r="E582" s="3">
        <v>29</v>
      </c>
      <c r="F582" t="s">
        <v>19</v>
      </c>
      <c r="G582" t="s">
        <v>98</v>
      </c>
      <c r="H582" t="s">
        <v>21</v>
      </c>
      <c r="I582" s="12">
        <v>0.92013888888888884</v>
      </c>
      <c r="J582" t="s">
        <v>99</v>
      </c>
      <c r="K582" t="s">
        <v>21</v>
      </c>
      <c r="L582" s="12">
        <v>0.94791666666666663</v>
      </c>
      <c r="M582" t="s">
        <v>63</v>
      </c>
      <c r="N582" s="3">
        <v>232</v>
      </c>
      <c r="O582" t="s">
        <v>24</v>
      </c>
      <c r="P582" t="s">
        <v>79</v>
      </c>
      <c r="R582">
        <f>tblDailySchedule[[#This Row],[Capacity Approx]]*'[1]Load Factor Sheet June Acft  '!$B$5</f>
        <v>187.86727272727273</v>
      </c>
      <c r="S582">
        <f>tblDailySchedule[[#This Row],[Capacity Approx]]*'[1]Load Factor Sheet June Acft  '!$D$5</f>
        <v>203.4218181818182</v>
      </c>
      <c r="T582" s="22">
        <f>tblDailySchedule[[#This Row],[STD]]</f>
        <v>0.94791666666666663</v>
      </c>
    </row>
    <row r="583" spans="1:20" hidden="1" x14ac:dyDescent="0.35">
      <c r="A583" s="13">
        <v>46130</v>
      </c>
      <c r="B583" s="7">
        <v>6</v>
      </c>
      <c r="C583" s="14" t="s">
        <v>116</v>
      </c>
      <c r="D583" s="14" t="s">
        <v>18</v>
      </c>
      <c r="E583" s="7">
        <v>30</v>
      </c>
      <c r="F583" s="14" t="s">
        <v>104</v>
      </c>
      <c r="G583" s="14" t="s">
        <v>105</v>
      </c>
      <c r="H583" s="14" t="s">
        <v>106</v>
      </c>
      <c r="I583" s="15">
        <v>0.92708333333333337</v>
      </c>
      <c r="J583" s="14" t="s">
        <v>107</v>
      </c>
      <c r="K583" s="14" t="s">
        <v>106</v>
      </c>
      <c r="L583" s="15">
        <v>0.95833333333333337</v>
      </c>
      <c r="M583" s="14" t="s">
        <v>38</v>
      </c>
      <c r="N583" s="7">
        <v>186</v>
      </c>
      <c r="O583" s="14" t="s">
        <v>39</v>
      </c>
      <c r="P583" s="14" t="s">
        <v>79</v>
      </c>
      <c r="Q583" s="14" t="s">
        <v>39</v>
      </c>
      <c r="R583">
        <f>tblDailySchedule[[#This Row],[Capacity Approx]]*'[1]Load Factor Sheet June Acft  '!$B$5</f>
        <v>150.61772727272728</v>
      </c>
      <c r="S583">
        <f>tblDailySchedule[[#This Row],[Capacity Approx]]*'[1]Load Factor Sheet June Acft  '!$D$5</f>
        <v>163.08818181818182</v>
      </c>
      <c r="T583" s="22">
        <f>tblDailySchedule[[#This Row],[STD]]</f>
        <v>0.95833333333333337</v>
      </c>
    </row>
    <row r="584" spans="1:20" hidden="1" x14ac:dyDescent="0.35">
      <c r="A584" s="11">
        <v>46131</v>
      </c>
      <c r="B584" s="3">
        <v>7</v>
      </c>
      <c r="C584" t="s">
        <v>17</v>
      </c>
      <c r="D584" t="s">
        <v>18</v>
      </c>
      <c r="E584" s="3">
        <v>2</v>
      </c>
      <c r="F584" t="s">
        <v>19</v>
      </c>
      <c r="G584" t="s">
        <v>20</v>
      </c>
      <c r="H584" t="s">
        <v>21</v>
      </c>
      <c r="I584" s="12">
        <v>0.31944444444444442</v>
      </c>
      <c r="J584" t="s">
        <v>22</v>
      </c>
      <c r="K584" t="s">
        <v>21</v>
      </c>
      <c r="L584" s="12">
        <v>0.34722222222222221</v>
      </c>
      <c r="M584" t="s">
        <v>23</v>
      </c>
      <c r="N584" s="3">
        <v>186</v>
      </c>
      <c r="O584" t="s">
        <v>24</v>
      </c>
      <c r="P584" t="s">
        <v>25</v>
      </c>
      <c r="R584">
        <f>tblDailySchedule[[#This Row],[Capacity Approx]]*'[1]Load Factor Sheet June Acft  '!$B$5</f>
        <v>150.61772727272728</v>
      </c>
      <c r="S584">
        <f>tblDailySchedule[[#This Row],[Capacity Approx]]*'[1]Load Factor Sheet June Acft  '!$D$5</f>
        <v>163.08818181818182</v>
      </c>
      <c r="T584" s="22">
        <f>tblDailySchedule[[#This Row],[STD]]</f>
        <v>0.34722222222222221</v>
      </c>
    </row>
    <row r="585" spans="1:20" hidden="1" x14ac:dyDescent="0.35">
      <c r="A585" s="11">
        <v>46131</v>
      </c>
      <c r="B585" s="3">
        <v>7</v>
      </c>
      <c r="C585" t="s">
        <v>17</v>
      </c>
      <c r="D585" t="s">
        <v>18</v>
      </c>
      <c r="E585" s="3">
        <v>3</v>
      </c>
      <c r="F585" t="s">
        <v>19</v>
      </c>
      <c r="G585" t="s">
        <v>26</v>
      </c>
      <c r="H585" t="s">
        <v>27</v>
      </c>
      <c r="I585" s="12">
        <v>0.3263888888888889</v>
      </c>
      <c r="J585" t="s">
        <v>28</v>
      </c>
      <c r="K585" t="s">
        <v>27</v>
      </c>
      <c r="L585" s="12">
        <v>0.35416666666666669</v>
      </c>
      <c r="M585" t="s">
        <v>29</v>
      </c>
      <c r="N585" s="3">
        <v>186</v>
      </c>
      <c r="O585" t="s">
        <v>24</v>
      </c>
      <c r="P585" t="s">
        <v>25</v>
      </c>
      <c r="R585">
        <f>tblDailySchedule[[#This Row],[Capacity Approx]]*'[1]Load Factor Sheet June Acft  '!$B$5</f>
        <v>150.61772727272728</v>
      </c>
      <c r="S585">
        <f>tblDailySchedule[[#This Row],[Capacity Approx]]*'[1]Load Factor Sheet June Acft  '!$D$5</f>
        <v>163.08818181818182</v>
      </c>
      <c r="T585" s="22">
        <f>tblDailySchedule[[#This Row],[STD]]</f>
        <v>0.35416666666666669</v>
      </c>
    </row>
    <row r="586" spans="1:20" hidden="1" x14ac:dyDescent="0.35">
      <c r="A586" s="11">
        <v>46131</v>
      </c>
      <c r="B586" s="3">
        <v>7</v>
      </c>
      <c r="C586" t="s">
        <v>17</v>
      </c>
      <c r="D586" t="s">
        <v>18</v>
      </c>
      <c r="E586" s="3">
        <v>4</v>
      </c>
      <c r="F586" t="s">
        <v>19</v>
      </c>
      <c r="G586" t="s">
        <v>30</v>
      </c>
      <c r="H586" t="s">
        <v>31</v>
      </c>
      <c r="I586" s="12">
        <v>0.34722222222222221</v>
      </c>
      <c r="J586" t="s">
        <v>32</v>
      </c>
      <c r="K586" t="s">
        <v>31</v>
      </c>
      <c r="L586" s="12">
        <v>0.36805555555555558</v>
      </c>
      <c r="M586" t="s">
        <v>33</v>
      </c>
      <c r="N586" s="3">
        <v>189</v>
      </c>
      <c r="O586" t="s">
        <v>24</v>
      </c>
      <c r="P586" t="s">
        <v>25</v>
      </c>
      <c r="R586">
        <f>tblDailySchedule[[#This Row],[Capacity Approx]]*'[1]Load Factor Sheet June Acft  '!$B$5</f>
        <v>153.04704545454547</v>
      </c>
      <c r="S586">
        <f>tblDailySchedule[[#This Row],[Capacity Approx]]*'[1]Load Factor Sheet June Acft  '!$D$5</f>
        <v>165.71863636363636</v>
      </c>
      <c r="T586" s="22">
        <f>tblDailySchedule[[#This Row],[STD]]</f>
        <v>0.36805555555555558</v>
      </c>
    </row>
    <row r="587" spans="1:20" hidden="1" x14ac:dyDescent="0.35">
      <c r="A587" s="13">
        <v>46131</v>
      </c>
      <c r="B587" s="7">
        <v>7</v>
      </c>
      <c r="C587" s="14" t="s">
        <v>17</v>
      </c>
      <c r="D587" s="14" t="s">
        <v>18</v>
      </c>
      <c r="E587" s="7">
        <v>6</v>
      </c>
      <c r="F587" s="14" t="s">
        <v>34</v>
      </c>
      <c r="G587" s="14" t="s">
        <v>35</v>
      </c>
      <c r="H587" s="14" t="s">
        <v>36</v>
      </c>
      <c r="I587" s="15">
        <v>0.34722222222222221</v>
      </c>
      <c r="J587" s="14" t="s">
        <v>37</v>
      </c>
      <c r="K587" s="14" t="s">
        <v>36</v>
      </c>
      <c r="L587" s="15">
        <v>0.40972222222222221</v>
      </c>
      <c r="M587" s="14" t="s">
        <v>38</v>
      </c>
      <c r="N587" s="7">
        <v>186</v>
      </c>
      <c r="O587" s="14" t="s">
        <v>39</v>
      </c>
      <c r="P587" s="14" t="s">
        <v>25</v>
      </c>
      <c r="Q587" s="14" t="s">
        <v>39</v>
      </c>
      <c r="R587">
        <f>tblDailySchedule[[#This Row],[Capacity Approx]]*'[1]Load Factor Sheet June Acft  '!$B$5</f>
        <v>150.61772727272728</v>
      </c>
      <c r="S587">
        <f>tblDailySchedule[[#This Row],[Capacity Approx]]*'[1]Load Factor Sheet June Acft  '!$D$5</f>
        <v>163.08818181818182</v>
      </c>
      <c r="T587" s="22">
        <f>tblDailySchedule[[#This Row],[STD]]</f>
        <v>0.40972222222222221</v>
      </c>
    </row>
    <row r="588" spans="1:20" hidden="1" x14ac:dyDescent="0.35">
      <c r="A588" s="11">
        <v>46131</v>
      </c>
      <c r="B588" s="3">
        <v>7</v>
      </c>
      <c r="C588" t="s">
        <v>17</v>
      </c>
      <c r="D588" t="s">
        <v>18</v>
      </c>
      <c r="E588" s="3">
        <v>5</v>
      </c>
      <c r="F588" t="s">
        <v>19</v>
      </c>
      <c r="G588" t="s">
        <v>40</v>
      </c>
      <c r="H588" t="s">
        <v>31</v>
      </c>
      <c r="I588" s="12">
        <v>0.35069444444444442</v>
      </c>
      <c r="J588" t="s">
        <v>41</v>
      </c>
      <c r="K588" t="s">
        <v>31</v>
      </c>
      <c r="L588" s="12">
        <v>0.37152777777777779</v>
      </c>
      <c r="M588" t="s">
        <v>23</v>
      </c>
      <c r="N588" s="3">
        <v>186</v>
      </c>
      <c r="O588" t="s">
        <v>24</v>
      </c>
      <c r="P588" t="s">
        <v>25</v>
      </c>
      <c r="R588">
        <f>tblDailySchedule[[#This Row],[Capacity Approx]]*'[1]Load Factor Sheet June Acft  '!$B$5</f>
        <v>150.61772727272728</v>
      </c>
      <c r="S588">
        <f>tblDailySchedule[[#This Row],[Capacity Approx]]*'[1]Load Factor Sheet June Acft  '!$D$5</f>
        <v>163.08818181818182</v>
      </c>
      <c r="T588" s="22">
        <f>tblDailySchedule[[#This Row],[STD]]</f>
        <v>0.37152777777777779</v>
      </c>
    </row>
    <row r="589" spans="1:20" hidden="1" x14ac:dyDescent="0.35">
      <c r="A589" s="11">
        <v>46131</v>
      </c>
      <c r="B589" s="3">
        <v>7</v>
      </c>
      <c r="C589" t="s">
        <v>17</v>
      </c>
      <c r="D589" t="s">
        <v>18</v>
      </c>
      <c r="E589" s="3">
        <v>7</v>
      </c>
      <c r="F589" t="s">
        <v>19</v>
      </c>
      <c r="G589" t="s">
        <v>42</v>
      </c>
      <c r="H589" t="s">
        <v>43</v>
      </c>
      <c r="I589" s="12">
        <v>0.3923611111111111</v>
      </c>
      <c r="J589" t="s">
        <v>44</v>
      </c>
      <c r="K589" t="s">
        <v>43</v>
      </c>
      <c r="L589" s="12">
        <v>0.40277777777777779</v>
      </c>
      <c r="M589" t="s">
        <v>45</v>
      </c>
      <c r="N589" s="3">
        <v>9</v>
      </c>
      <c r="O589" t="s">
        <v>24</v>
      </c>
      <c r="P589" t="s">
        <v>25</v>
      </c>
      <c r="R589">
        <f>tblDailySchedule[[#This Row],[Capacity Approx]]*'[1]Load Factor Sheet June Acft  '!$B$5</f>
        <v>7.2879545454545456</v>
      </c>
      <c r="S589">
        <f>tblDailySchedule[[#This Row],[Capacity Approx]]*'[1]Load Factor Sheet June Acft  '!$D$5</f>
        <v>7.8913636363636366</v>
      </c>
      <c r="T589" s="22">
        <f>tblDailySchedule[[#This Row],[STD]]</f>
        <v>0.40277777777777779</v>
      </c>
    </row>
    <row r="590" spans="1:20" hidden="1" x14ac:dyDescent="0.35">
      <c r="A590" s="11">
        <v>46131</v>
      </c>
      <c r="B590" s="3">
        <v>7</v>
      </c>
      <c r="C590" t="s">
        <v>17</v>
      </c>
      <c r="D590" t="s">
        <v>18</v>
      </c>
      <c r="E590" s="3">
        <v>8</v>
      </c>
      <c r="F590" t="s">
        <v>19</v>
      </c>
      <c r="G590" t="s">
        <v>46</v>
      </c>
      <c r="H590" t="s">
        <v>31</v>
      </c>
      <c r="I590" s="12">
        <v>0.4201388888888889</v>
      </c>
      <c r="J590" t="s">
        <v>47</v>
      </c>
      <c r="K590" t="s">
        <v>31</v>
      </c>
      <c r="L590" s="12">
        <v>0.44444444444444442</v>
      </c>
      <c r="M590" t="s">
        <v>29</v>
      </c>
      <c r="N590" s="3">
        <v>186</v>
      </c>
      <c r="O590" t="s">
        <v>24</v>
      </c>
      <c r="P590" t="s">
        <v>25</v>
      </c>
      <c r="R590">
        <f>tblDailySchedule[[#This Row],[Capacity Approx]]*'[1]Load Factor Sheet June Acft  '!$B$5</f>
        <v>150.61772727272728</v>
      </c>
      <c r="S590">
        <f>tblDailySchedule[[#This Row],[Capacity Approx]]*'[1]Load Factor Sheet June Acft  '!$D$5</f>
        <v>163.08818181818182</v>
      </c>
      <c r="T590" s="22">
        <f>tblDailySchedule[[#This Row],[STD]]</f>
        <v>0.44444444444444442</v>
      </c>
    </row>
    <row r="591" spans="1:20" hidden="1" x14ac:dyDescent="0.35">
      <c r="A591" s="11">
        <v>46131</v>
      </c>
      <c r="B591" s="3">
        <v>7</v>
      </c>
      <c r="C591" t="s">
        <v>17</v>
      </c>
      <c r="D591" t="s">
        <v>18</v>
      </c>
      <c r="E591" s="3">
        <v>9</v>
      </c>
      <c r="F591" t="s">
        <v>19</v>
      </c>
      <c r="G591" t="s">
        <v>48</v>
      </c>
      <c r="H591" t="s">
        <v>49</v>
      </c>
      <c r="I591" s="12">
        <v>0.4375</v>
      </c>
      <c r="J591" t="s">
        <v>50</v>
      </c>
      <c r="K591" t="s">
        <v>49</v>
      </c>
      <c r="L591" s="12">
        <v>0.45833333333333331</v>
      </c>
      <c r="M591" t="s">
        <v>51</v>
      </c>
      <c r="N591" s="3">
        <v>78</v>
      </c>
      <c r="O591" t="s">
        <v>24</v>
      </c>
      <c r="P591" t="s">
        <v>25</v>
      </c>
      <c r="R591">
        <f>tblDailySchedule[[#This Row],[Capacity Approx]]*'[1]Load Factor Sheet June Acft  '!$B$5</f>
        <v>63.162272727272729</v>
      </c>
      <c r="S591">
        <f>tblDailySchedule[[#This Row],[Capacity Approx]]*'[1]Load Factor Sheet June Acft  '!$D$5</f>
        <v>68.391818181818181</v>
      </c>
      <c r="T591" s="22">
        <f>tblDailySchedule[[#This Row],[STD]]</f>
        <v>0.45833333333333331</v>
      </c>
    </row>
    <row r="592" spans="1:20" hidden="1" x14ac:dyDescent="0.35">
      <c r="A592" s="11">
        <v>46131</v>
      </c>
      <c r="B592" s="3">
        <v>7</v>
      </c>
      <c r="C592" t="s">
        <v>17</v>
      </c>
      <c r="D592" t="s">
        <v>18</v>
      </c>
      <c r="E592" s="3">
        <v>10</v>
      </c>
      <c r="F592" t="s">
        <v>19</v>
      </c>
      <c r="G592" t="s">
        <v>52</v>
      </c>
      <c r="H592" t="s">
        <v>27</v>
      </c>
      <c r="I592" s="12">
        <v>0.4826388888888889</v>
      </c>
      <c r="J592" t="s">
        <v>53</v>
      </c>
      <c r="K592" t="s">
        <v>27</v>
      </c>
      <c r="L592" s="12">
        <v>0.51041666666666663</v>
      </c>
      <c r="M592" t="s">
        <v>23</v>
      </c>
      <c r="N592" s="3">
        <v>186</v>
      </c>
      <c r="O592" t="s">
        <v>24</v>
      </c>
      <c r="P592" t="s">
        <v>25</v>
      </c>
      <c r="R592">
        <f>tblDailySchedule[[#This Row],[Capacity Approx]]*'[1]Load Factor Sheet June Acft  '!$B$5</f>
        <v>150.61772727272728</v>
      </c>
      <c r="S592">
        <f>tblDailySchedule[[#This Row],[Capacity Approx]]*'[1]Load Factor Sheet June Acft  '!$D$5</f>
        <v>163.08818181818182</v>
      </c>
      <c r="T592" s="22">
        <f>tblDailySchedule[[#This Row],[STD]]</f>
        <v>0.51041666666666663</v>
      </c>
    </row>
    <row r="593" spans="1:20" hidden="1" x14ac:dyDescent="0.35">
      <c r="A593" s="11">
        <v>46131</v>
      </c>
      <c r="B593" s="3">
        <v>7</v>
      </c>
      <c r="C593" t="s">
        <v>17</v>
      </c>
      <c r="D593" t="s">
        <v>18</v>
      </c>
      <c r="E593" s="3">
        <v>11</v>
      </c>
      <c r="F593" t="s">
        <v>19</v>
      </c>
      <c r="G593" t="s">
        <v>54</v>
      </c>
      <c r="H593" t="s">
        <v>31</v>
      </c>
      <c r="I593" s="12">
        <v>0.51388888888888884</v>
      </c>
      <c r="J593" t="s">
        <v>55</v>
      </c>
      <c r="K593" t="s">
        <v>31</v>
      </c>
      <c r="L593" s="12">
        <v>0.54166666666666663</v>
      </c>
      <c r="M593" t="s">
        <v>23</v>
      </c>
      <c r="N593" s="3">
        <v>186</v>
      </c>
      <c r="O593" t="s">
        <v>24</v>
      </c>
      <c r="P593" t="s">
        <v>56</v>
      </c>
      <c r="R593">
        <f>tblDailySchedule[[#This Row],[Capacity Approx]]*'[1]Load Factor Sheet June Acft  '!$B$5</f>
        <v>150.61772727272728</v>
      </c>
      <c r="S593">
        <f>tblDailySchedule[[#This Row],[Capacity Approx]]*'[1]Load Factor Sheet June Acft  '!$D$5</f>
        <v>163.08818181818182</v>
      </c>
      <c r="T593" s="22">
        <f>tblDailySchedule[[#This Row],[STD]]</f>
        <v>0.54166666666666663</v>
      </c>
    </row>
    <row r="594" spans="1:20" hidden="1" x14ac:dyDescent="0.35">
      <c r="A594" s="11">
        <v>46131</v>
      </c>
      <c r="B594" s="3">
        <v>7</v>
      </c>
      <c r="C594" t="s">
        <v>17</v>
      </c>
      <c r="D594" t="s">
        <v>18</v>
      </c>
      <c r="E594" s="3">
        <v>13</v>
      </c>
      <c r="F594" t="s">
        <v>19</v>
      </c>
      <c r="G594" t="s">
        <v>57</v>
      </c>
      <c r="H594" t="s">
        <v>58</v>
      </c>
      <c r="I594" s="12">
        <v>0.55902777777777779</v>
      </c>
      <c r="J594" t="s">
        <v>59</v>
      </c>
      <c r="K594" t="s">
        <v>58</v>
      </c>
      <c r="L594" s="12">
        <v>0.57638888888888884</v>
      </c>
      <c r="M594" t="s">
        <v>51</v>
      </c>
      <c r="N594" s="3">
        <v>78</v>
      </c>
      <c r="O594" t="s">
        <v>24</v>
      </c>
      <c r="P594" t="s">
        <v>56</v>
      </c>
      <c r="R594">
        <f>tblDailySchedule[[#This Row],[Capacity Approx]]*'[1]Load Factor Sheet June Acft  '!$B$5</f>
        <v>63.162272727272729</v>
      </c>
      <c r="S594">
        <f>tblDailySchedule[[#This Row],[Capacity Approx]]*'[1]Load Factor Sheet June Acft  '!$D$5</f>
        <v>68.391818181818181</v>
      </c>
      <c r="T594" s="22">
        <f>tblDailySchedule[[#This Row],[STD]]</f>
        <v>0.57638888888888884</v>
      </c>
    </row>
    <row r="595" spans="1:20" hidden="1" x14ac:dyDescent="0.35">
      <c r="A595" s="11">
        <v>46131</v>
      </c>
      <c r="B595" s="3">
        <v>7</v>
      </c>
      <c r="C595" t="s">
        <v>17</v>
      </c>
      <c r="D595" t="s">
        <v>18</v>
      </c>
      <c r="E595" s="3">
        <v>14</v>
      </c>
      <c r="F595" t="s">
        <v>19</v>
      </c>
      <c r="G595" t="s">
        <v>60</v>
      </c>
      <c r="H595" t="s">
        <v>61</v>
      </c>
      <c r="I595" s="12">
        <v>0.59027777777777779</v>
      </c>
      <c r="J595" t="s">
        <v>62</v>
      </c>
      <c r="K595" t="s">
        <v>61</v>
      </c>
      <c r="L595" s="12">
        <v>0.62152777777777779</v>
      </c>
      <c r="M595" t="s">
        <v>63</v>
      </c>
      <c r="N595" s="3">
        <v>232</v>
      </c>
      <c r="O595" t="s">
        <v>24</v>
      </c>
      <c r="P595" t="s">
        <v>56</v>
      </c>
      <c r="R595">
        <f>tblDailySchedule[[#This Row],[Capacity Approx]]*'[1]Load Factor Sheet June Acft  '!$B$5</f>
        <v>187.86727272727273</v>
      </c>
      <c r="S595">
        <f>tblDailySchedule[[#This Row],[Capacity Approx]]*'[1]Load Factor Sheet June Acft  '!$D$5</f>
        <v>203.4218181818182</v>
      </c>
      <c r="T595" s="22">
        <f>tblDailySchedule[[#This Row],[STD]]</f>
        <v>0.62152777777777779</v>
      </c>
    </row>
    <row r="596" spans="1:20" hidden="1" x14ac:dyDescent="0.35">
      <c r="A596" s="11">
        <v>46131</v>
      </c>
      <c r="B596" s="3">
        <v>7</v>
      </c>
      <c r="C596" t="s">
        <v>17</v>
      </c>
      <c r="D596" t="s">
        <v>18</v>
      </c>
      <c r="E596" s="3">
        <v>15</v>
      </c>
      <c r="F596" t="s">
        <v>19</v>
      </c>
      <c r="G596" t="s">
        <v>64</v>
      </c>
      <c r="H596" t="s">
        <v>31</v>
      </c>
      <c r="I596" s="12">
        <v>0.60069444444444442</v>
      </c>
      <c r="J596" t="s">
        <v>65</v>
      </c>
      <c r="K596" t="s">
        <v>66</v>
      </c>
      <c r="L596" s="12">
        <v>0.62847222222222221</v>
      </c>
      <c r="M596" t="s">
        <v>63</v>
      </c>
      <c r="N596" s="3">
        <v>232</v>
      </c>
      <c r="O596" t="s">
        <v>24</v>
      </c>
      <c r="P596" t="s">
        <v>56</v>
      </c>
      <c r="R596">
        <f>tblDailySchedule[[#This Row],[Capacity Approx]]*'[1]Load Factor Sheet June Acft  '!$B$5</f>
        <v>187.86727272727273</v>
      </c>
      <c r="S596">
        <f>tblDailySchedule[[#This Row],[Capacity Approx]]*'[1]Load Factor Sheet June Acft  '!$D$5</f>
        <v>203.4218181818182</v>
      </c>
      <c r="T596" s="22">
        <f>tblDailySchedule[[#This Row],[STD]]</f>
        <v>0.62847222222222221</v>
      </c>
    </row>
    <row r="597" spans="1:20" hidden="1" x14ac:dyDescent="0.35">
      <c r="A597" s="11">
        <v>46131</v>
      </c>
      <c r="B597" s="3">
        <v>7</v>
      </c>
      <c r="C597" t="s">
        <v>17</v>
      </c>
      <c r="D597" t="s">
        <v>18</v>
      </c>
      <c r="E597" s="3">
        <v>16</v>
      </c>
      <c r="F597" t="s">
        <v>19</v>
      </c>
      <c r="G597" t="s">
        <v>67</v>
      </c>
      <c r="H597" t="s">
        <v>31</v>
      </c>
      <c r="I597" s="12">
        <v>0.65625</v>
      </c>
      <c r="J597" t="s">
        <v>68</v>
      </c>
      <c r="K597" t="s">
        <v>31</v>
      </c>
      <c r="L597" s="12">
        <v>0.68402777777777779</v>
      </c>
      <c r="M597" t="s">
        <v>63</v>
      </c>
      <c r="N597" s="3">
        <v>232</v>
      </c>
      <c r="O597" t="s">
        <v>24</v>
      </c>
      <c r="P597" t="s">
        <v>56</v>
      </c>
      <c r="R597">
        <f>tblDailySchedule[[#This Row],[Capacity Approx]]*'[1]Load Factor Sheet June Acft  '!$B$5</f>
        <v>187.86727272727273</v>
      </c>
      <c r="S597">
        <f>tblDailySchedule[[#This Row],[Capacity Approx]]*'[1]Load Factor Sheet June Acft  '!$D$5</f>
        <v>203.4218181818182</v>
      </c>
      <c r="T597" s="22">
        <f>tblDailySchedule[[#This Row],[STD]]</f>
        <v>0.68402777777777779</v>
      </c>
    </row>
    <row r="598" spans="1:20" hidden="1" x14ac:dyDescent="0.35">
      <c r="A598" s="11">
        <v>46131</v>
      </c>
      <c r="B598" s="3">
        <v>7</v>
      </c>
      <c r="C598" t="s">
        <v>17</v>
      </c>
      <c r="D598" t="s">
        <v>18</v>
      </c>
      <c r="E598" s="3">
        <v>17</v>
      </c>
      <c r="F598" t="s">
        <v>19</v>
      </c>
      <c r="G598" t="s">
        <v>69</v>
      </c>
      <c r="H598" t="s">
        <v>31</v>
      </c>
      <c r="I598" s="12">
        <v>0.66319444444444442</v>
      </c>
      <c r="J598" t="s">
        <v>70</v>
      </c>
      <c r="K598" t="s">
        <v>31</v>
      </c>
      <c r="L598" s="12">
        <v>0.69097222222222221</v>
      </c>
      <c r="M598" t="s">
        <v>33</v>
      </c>
      <c r="N598" s="3">
        <v>189</v>
      </c>
      <c r="O598" t="s">
        <v>24</v>
      </c>
      <c r="P598" t="s">
        <v>56</v>
      </c>
      <c r="R598">
        <f>tblDailySchedule[[#This Row],[Capacity Approx]]*'[1]Load Factor Sheet June Acft  '!$B$5</f>
        <v>153.04704545454547</v>
      </c>
      <c r="S598">
        <f>tblDailySchedule[[#This Row],[Capacity Approx]]*'[1]Load Factor Sheet June Acft  '!$D$5</f>
        <v>165.71863636363636</v>
      </c>
      <c r="T598" s="22">
        <f>tblDailySchedule[[#This Row],[STD]]</f>
        <v>0.69097222222222221</v>
      </c>
    </row>
    <row r="599" spans="1:20" hidden="1" x14ac:dyDescent="0.35">
      <c r="A599" s="11">
        <v>46131</v>
      </c>
      <c r="B599" s="3">
        <v>7</v>
      </c>
      <c r="C599" t="s">
        <v>17</v>
      </c>
      <c r="D599" t="s">
        <v>18</v>
      </c>
      <c r="E599" s="3">
        <v>18</v>
      </c>
      <c r="F599" t="s">
        <v>19</v>
      </c>
      <c r="G599" t="s">
        <v>71</v>
      </c>
      <c r="H599" t="s">
        <v>21</v>
      </c>
      <c r="I599" s="12">
        <v>0.67013888888888884</v>
      </c>
      <c r="J599" t="s">
        <v>72</v>
      </c>
      <c r="K599" t="s">
        <v>21</v>
      </c>
      <c r="L599" s="12">
        <v>0.69791666666666663</v>
      </c>
      <c r="M599" t="s">
        <v>63</v>
      </c>
      <c r="N599" s="3">
        <v>232</v>
      </c>
      <c r="O599" t="s">
        <v>24</v>
      </c>
      <c r="P599" t="s">
        <v>56</v>
      </c>
      <c r="R599">
        <f>tblDailySchedule[[#This Row],[Capacity Approx]]*'[1]Load Factor Sheet June Acft  '!$B$5</f>
        <v>187.86727272727273</v>
      </c>
      <c r="S599">
        <f>tblDailySchedule[[#This Row],[Capacity Approx]]*'[1]Load Factor Sheet June Acft  '!$D$5</f>
        <v>203.4218181818182</v>
      </c>
      <c r="T599" s="22">
        <f>tblDailySchedule[[#This Row],[STD]]</f>
        <v>0.69791666666666663</v>
      </c>
    </row>
    <row r="600" spans="1:20" hidden="1" x14ac:dyDescent="0.35">
      <c r="A600" s="11">
        <v>46131</v>
      </c>
      <c r="B600" s="3">
        <v>7</v>
      </c>
      <c r="C600" t="s">
        <v>17</v>
      </c>
      <c r="D600" t="s">
        <v>18</v>
      </c>
      <c r="E600" s="3">
        <v>19</v>
      </c>
      <c r="F600" t="s">
        <v>19</v>
      </c>
      <c r="G600" t="s">
        <v>73</v>
      </c>
      <c r="H600" t="s">
        <v>27</v>
      </c>
      <c r="I600" s="12">
        <v>0.74652777777777779</v>
      </c>
      <c r="J600" t="s">
        <v>74</v>
      </c>
      <c r="K600" t="s">
        <v>27</v>
      </c>
      <c r="L600" s="12">
        <v>0.77430555555555558</v>
      </c>
      <c r="M600" t="s">
        <v>63</v>
      </c>
      <c r="N600" s="3">
        <v>232</v>
      </c>
      <c r="O600" t="s">
        <v>24</v>
      </c>
      <c r="P600" t="s">
        <v>56</v>
      </c>
      <c r="R600">
        <f>tblDailySchedule[[#This Row],[Capacity Approx]]*'[1]Load Factor Sheet June Acft  '!$B$5</f>
        <v>187.86727272727273</v>
      </c>
      <c r="S600">
        <f>tblDailySchedule[[#This Row],[Capacity Approx]]*'[1]Load Factor Sheet June Acft  '!$D$5</f>
        <v>203.4218181818182</v>
      </c>
      <c r="T600" s="22">
        <f>tblDailySchedule[[#This Row],[STD]]</f>
        <v>0.77430555555555558</v>
      </c>
    </row>
    <row r="601" spans="1:20" hidden="1" x14ac:dyDescent="0.35">
      <c r="A601" s="11">
        <v>46131</v>
      </c>
      <c r="B601" s="3">
        <v>7</v>
      </c>
      <c r="C601" t="s">
        <v>17</v>
      </c>
      <c r="D601" t="s">
        <v>18</v>
      </c>
      <c r="E601" s="3">
        <v>20</v>
      </c>
      <c r="F601" t="s">
        <v>34</v>
      </c>
      <c r="G601" t="s">
        <v>75</v>
      </c>
      <c r="H601" t="s">
        <v>76</v>
      </c>
      <c r="I601" s="12">
        <v>0.76388888888888884</v>
      </c>
      <c r="J601" t="s">
        <v>77</v>
      </c>
      <c r="K601" t="s">
        <v>78</v>
      </c>
      <c r="L601" s="12">
        <v>0.78472222222222221</v>
      </c>
      <c r="M601" t="s">
        <v>51</v>
      </c>
      <c r="N601" s="3">
        <v>78</v>
      </c>
      <c r="O601" t="s">
        <v>24</v>
      </c>
      <c r="P601" t="s">
        <v>79</v>
      </c>
      <c r="Q601" s="16" t="s">
        <v>80</v>
      </c>
      <c r="R601">
        <f>tblDailySchedule[[#This Row],[Capacity Approx]]*'[1]Load Factor Sheet June Acft  '!$B$5</f>
        <v>63.162272727272729</v>
      </c>
      <c r="S601">
        <f>tblDailySchedule[[#This Row],[Capacity Approx]]*'[1]Load Factor Sheet June Acft  '!$D$5</f>
        <v>68.391818181818181</v>
      </c>
      <c r="T601" s="22">
        <f>tblDailySchedule[[#This Row],[STD]]</f>
        <v>0.78472222222222221</v>
      </c>
    </row>
    <row r="602" spans="1:20" hidden="1" x14ac:dyDescent="0.35">
      <c r="A602" s="11">
        <v>46131</v>
      </c>
      <c r="B602" s="3">
        <v>7</v>
      </c>
      <c r="C602" t="s">
        <v>17</v>
      </c>
      <c r="D602" t="s">
        <v>18</v>
      </c>
      <c r="E602" s="3">
        <v>21</v>
      </c>
      <c r="F602" t="s">
        <v>19</v>
      </c>
      <c r="G602" t="s">
        <v>81</v>
      </c>
      <c r="H602" t="s">
        <v>61</v>
      </c>
      <c r="I602" s="12">
        <v>0.77083333333333337</v>
      </c>
      <c r="J602" t="s">
        <v>82</v>
      </c>
      <c r="K602" t="s">
        <v>49</v>
      </c>
      <c r="L602" s="12">
        <v>0.79166666666666663</v>
      </c>
      <c r="M602" t="s">
        <v>33</v>
      </c>
      <c r="N602" s="3">
        <v>189</v>
      </c>
      <c r="O602" t="s">
        <v>24</v>
      </c>
      <c r="P602" t="s">
        <v>79</v>
      </c>
      <c r="R602">
        <f>tblDailySchedule[[#This Row],[Capacity Approx]]*'[1]Load Factor Sheet June Acft  '!$B$5</f>
        <v>153.04704545454547</v>
      </c>
      <c r="S602">
        <f>tblDailySchedule[[#This Row],[Capacity Approx]]*'[1]Load Factor Sheet June Acft  '!$D$5</f>
        <v>165.71863636363636</v>
      </c>
      <c r="T602" s="22">
        <f>tblDailySchedule[[#This Row],[STD]]</f>
        <v>0.79166666666666663</v>
      </c>
    </row>
    <row r="603" spans="1:20" hidden="1" x14ac:dyDescent="0.35">
      <c r="A603" s="11">
        <v>46131</v>
      </c>
      <c r="B603" s="3">
        <v>7</v>
      </c>
      <c r="C603" t="s">
        <v>17</v>
      </c>
      <c r="D603" t="s">
        <v>18</v>
      </c>
      <c r="E603" s="3">
        <v>22</v>
      </c>
      <c r="F603" t="s">
        <v>19</v>
      </c>
      <c r="G603" t="s">
        <v>83</v>
      </c>
      <c r="H603" t="s">
        <v>31</v>
      </c>
      <c r="I603" s="12">
        <v>0.77777777777777779</v>
      </c>
      <c r="J603" t="s">
        <v>84</v>
      </c>
      <c r="K603" t="s">
        <v>31</v>
      </c>
      <c r="L603" s="12">
        <v>0.80555555555555558</v>
      </c>
      <c r="M603" t="s">
        <v>63</v>
      </c>
      <c r="N603" s="3">
        <v>232</v>
      </c>
      <c r="O603" t="s">
        <v>24</v>
      </c>
      <c r="P603" t="s">
        <v>79</v>
      </c>
      <c r="R603">
        <f>tblDailySchedule[[#This Row],[Capacity Approx]]*'[1]Load Factor Sheet June Acft  '!$B$5</f>
        <v>187.86727272727273</v>
      </c>
      <c r="S603">
        <f>tblDailySchedule[[#This Row],[Capacity Approx]]*'[1]Load Factor Sheet June Acft  '!$D$5</f>
        <v>203.4218181818182</v>
      </c>
      <c r="T603" s="22">
        <f>tblDailySchedule[[#This Row],[STD]]</f>
        <v>0.80555555555555558</v>
      </c>
    </row>
    <row r="604" spans="1:20" hidden="1" x14ac:dyDescent="0.35">
      <c r="A604" s="11">
        <v>46131</v>
      </c>
      <c r="B604" s="3">
        <v>7</v>
      </c>
      <c r="C604" t="s">
        <v>17</v>
      </c>
      <c r="D604" t="s">
        <v>18</v>
      </c>
      <c r="E604" s="3">
        <v>23</v>
      </c>
      <c r="F604" t="s">
        <v>19</v>
      </c>
      <c r="G604" t="s">
        <v>85</v>
      </c>
      <c r="H604" t="s">
        <v>86</v>
      </c>
      <c r="I604" s="12">
        <v>0.79861111111111116</v>
      </c>
      <c r="J604" t="s">
        <v>87</v>
      </c>
      <c r="K604" t="s">
        <v>86</v>
      </c>
      <c r="L604" s="12">
        <v>0.82638888888888884</v>
      </c>
      <c r="M604" t="s">
        <v>63</v>
      </c>
      <c r="N604" s="3">
        <v>232</v>
      </c>
      <c r="O604" t="s">
        <v>24</v>
      </c>
      <c r="P604" t="s">
        <v>79</v>
      </c>
      <c r="R604">
        <f>tblDailySchedule[[#This Row],[Capacity Approx]]*'[1]Load Factor Sheet June Acft  '!$B$5</f>
        <v>187.86727272727273</v>
      </c>
      <c r="S604">
        <f>tblDailySchedule[[#This Row],[Capacity Approx]]*'[1]Load Factor Sheet June Acft  '!$D$5</f>
        <v>203.4218181818182</v>
      </c>
      <c r="T604" s="22">
        <f>tblDailySchedule[[#This Row],[STD]]</f>
        <v>0.82638888888888884</v>
      </c>
    </row>
    <row r="605" spans="1:20" hidden="1" x14ac:dyDescent="0.35">
      <c r="A605" s="11">
        <v>46131</v>
      </c>
      <c r="B605" s="3">
        <v>7</v>
      </c>
      <c r="C605" t="s">
        <v>17</v>
      </c>
      <c r="D605" t="s">
        <v>18</v>
      </c>
      <c r="E605" s="3">
        <v>24</v>
      </c>
      <c r="F605" t="s">
        <v>19</v>
      </c>
      <c r="G605" t="s">
        <v>88</v>
      </c>
      <c r="H605" t="s">
        <v>89</v>
      </c>
      <c r="I605" s="12">
        <v>0.83333333333333337</v>
      </c>
      <c r="J605" t="s">
        <v>90</v>
      </c>
      <c r="K605" t="s">
        <v>31</v>
      </c>
      <c r="L605" s="12">
        <v>0.86111111111111116</v>
      </c>
      <c r="M605" t="s">
        <v>63</v>
      </c>
      <c r="N605" s="3">
        <v>232</v>
      </c>
      <c r="O605" t="s">
        <v>24</v>
      </c>
      <c r="P605" t="s">
        <v>79</v>
      </c>
      <c r="R605">
        <f>tblDailySchedule[[#This Row],[Capacity Approx]]*'[1]Load Factor Sheet June Acft  '!$B$5</f>
        <v>187.86727272727273</v>
      </c>
      <c r="S605">
        <f>tblDailySchedule[[#This Row],[Capacity Approx]]*'[1]Load Factor Sheet June Acft  '!$D$5</f>
        <v>203.4218181818182</v>
      </c>
      <c r="T605" s="22">
        <f>tblDailySchedule[[#This Row],[STD]]</f>
        <v>0.86111111111111116</v>
      </c>
    </row>
    <row r="606" spans="1:20" hidden="1" x14ac:dyDescent="0.35">
      <c r="A606" s="11">
        <v>46131</v>
      </c>
      <c r="B606" s="3">
        <v>7</v>
      </c>
      <c r="C606" t="s">
        <v>17</v>
      </c>
      <c r="D606" t="s">
        <v>18</v>
      </c>
      <c r="E606" s="3">
        <v>25</v>
      </c>
      <c r="F606" t="s">
        <v>19</v>
      </c>
      <c r="G606" t="s">
        <v>91</v>
      </c>
      <c r="H606" t="s">
        <v>61</v>
      </c>
      <c r="I606" s="12">
        <v>0.85416666666666663</v>
      </c>
      <c r="J606" t="s">
        <v>92</v>
      </c>
      <c r="K606" t="s">
        <v>61</v>
      </c>
      <c r="L606" s="12">
        <v>0.88194444444444442</v>
      </c>
      <c r="M606" t="s">
        <v>63</v>
      </c>
      <c r="N606" s="3">
        <v>232</v>
      </c>
      <c r="O606" t="s">
        <v>24</v>
      </c>
      <c r="P606" t="s">
        <v>79</v>
      </c>
      <c r="R606">
        <f>tblDailySchedule[[#This Row],[Capacity Approx]]*'[1]Load Factor Sheet June Acft  '!$B$5</f>
        <v>187.86727272727273</v>
      </c>
      <c r="S606">
        <f>tblDailySchedule[[#This Row],[Capacity Approx]]*'[1]Load Factor Sheet June Acft  '!$D$5</f>
        <v>203.4218181818182</v>
      </c>
      <c r="T606" s="22">
        <f>tblDailySchedule[[#This Row],[STD]]</f>
        <v>0.88194444444444442</v>
      </c>
    </row>
    <row r="607" spans="1:20" hidden="1" x14ac:dyDescent="0.35">
      <c r="A607" s="11">
        <v>46131</v>
      </c>
      <c r="B607" s="3">
        <v>7</v>
      </c>
      <c r="C607" t="s">
        <v>17</v>
      </c>
      <c r="D607" t="s">
        <v>18</v>
      </c>
      <c r="E607" s="3">
        <v>26</v>
      </c>
      <c r="F607" t="s">
        <v>19</v>
      </c>
      <c r="G607" t="s">
        <v>93</v>
      </c>
      <c r="H607" t="s">
        <v>31</v>
      </c>
      <c r="I607" s="12">
        <v>0.86111111111111116</v>
      </c>
      <c r="J607" t="s">
        <v>94</v>
      </c>
      <c r="K607" t="s">
        <v>31</v>
      </c>
      <c r="L607" s="12">
        <v>0.88888888888888884</v>
      </c>
      <c r="M607" t="s">
        <v>23</v>
      </c>
      <c r="N607" s="3">
        <v>186</v>
      </c>
      <c r="O607" t="s">
        <v>24</v>
      </c>
      <c r="P607" t="s">
        <v>79</v>
      </c>
      <c r="R607">
        <f>tblDailySchedule[[#This Row],[Capacity Approx]]*'[1]Load Factor Sheet June Acft  '!$B$5</f>
        <v>150.61772727272728</v>
      </c>
      <c r="S607">
        <f>tblDailySchedule[[#This Row],[Capacity Approx]]*'[1]Load Factor Sheet June Acft  '!$D$5</f>
        <v>163.08818181818182</v>
      </c>
      <c r="T607" s="22">
        <f>tblDailySchedule[[#This Row],[STD]]</f>
        <v>0.88888888888888884</v>
      </c>
    </row>
    <row r="608" spans="1:20" hidden="1" x14ac:dyDescent="0.35">
      <c r="A608" s="11">
        <v>46131</v>
      </c>
      <c r="B608" s="3">
        <v>7</v>
      </c>
      <c r="C608" t="s">
        <v>17</v>
      </c>
      <c r="D608" t="s">
        <v>18</v>
      </c>
      <c r="E608" s="3">
        <v>27</v>
      </c>
      <c r="F608" t="s">
        <v>19</v>
      </c>
      <c r="G608" t="s">
        <v>95</v>
      </c>
      <c r="H608" t="s">
        <v>21</v>
      </c>
      <c r="I608" s="12">
        <v>0.86805555555555558</v>
      </c>
      <c r="J608" t="s">
        <v>96</v>
      </c>
      <c r="K608" t="s">
        <v>21</v>
      </c>
      <c r="L608" s="12">
        <v>0.89583333333333337</v>
      </c>
      <c r="M608" t="s">
        <v>29</v>
      </c>
      <c r="N608" s="3">
        <v>186</v>
      </c>
      <c r="O608" t="s">
        <v>24</v>
      </c>
      <c r="P608" t="s">
        <v>79</v>
      </c>
      <c r="R608">
        <f>tblDailySchedule[[#This Row],[Capacity Approx]]*'[1]Load Factor Sheet June Acft  '!$B$5</f>
        <v>150.61772727272728</v>
      </c>
      <c r="S608">
        <f>tblDailySchedule[[#This Row],[Capacity Approx]]*'[1]Load Factor Sheet June Acft  '!$D$5</f>
        <v>163.08818181818182</v>
      </c>
      <c r="T608" s="22">
        <f>tblDailySchedule[[#This Row],[STD]]</f>
        <v>0.89583333333333337</v>
      </c>
    </row>
    <row r="609" spans="1:20" hidden="1" x14ac:dyDescent="0.35">
      <c r="A609" s="11">
        <v>46131</v>
      </c>
      <c r="B609" s="3">
        <v>7</v>
      </c>
      <c r="C609" t="s">
        <v>17</v>
      </c>
      <c r="D609" t="s">
        <v>18</v>
      </c>
      <c r="E609" s="3">
        <v>28</v>
      </c>
      <c r="F609" t="s">
        <v>19</v>
      </c>
      <c r="G609" t="s">
        <v>97</v>
      </c>
      <c r="H609" t="s">
        <v>49</v>
      </c>
      <c r="I609" s="12">
        <v>0.90277777777777779</v>
      </c>
      <c r="J609" t="s">
        <v>97</v>
      </c>
      <c r="K609" t="s">
        <v>61</v>
      </c>
      <c r="L609" s="12">
        <v>0.92361111111111116</v>
      </c>
      <c r="M609" t="s">
        <v>33</v>
      </c>
      <c r="N609" s="3">
        <v>189</v>
      </c>
      <c r="O609" t="s">
        <v>24</v>
      </c>
      <c r="P609" t="s">
        <v>79</v>
      </c>
      <c r="R609">
        <f>tblDailySchedule[[#This Row],[Capacity Approx]]*'[1]Load Factor Sheet June Acft  '!$B$5</f>
        <v>153.04704545454547</v>
      </c>
      <c r="S609">
        <f>tblDailySchedule[[#This Row],[Capacity Approx]]*'[1]Load Factor Sheet June Acft  '!$D$5</f>
        <v>165.71863636363636</v>
      </c>
      <c r="T609" s="22">
        <f>tblDailySchedule[[#This Row],[STD]]</f>
        <v>0.92361111111111116</v>
      </c>
    </row>
    <row r="610" spans="1:20" hidden="1" x14ac:dyDescent="0.35">
      <c r="A610" s="11">
        <v>46131</v>
      </c>
      <c r="B610" s="3">
        <v>7</v>
      </c>
      <c r="C610" t="s">
        <v>17</v>
      </c>
      <c r="D610" t="s">
        <v>18</v>
      </c>
      <c r="E610" s="3">
        <v>29</v>
      </c>
      <c r="F610" t="s">
        <v>19</v>
      </c>
      <c r="G610" t="s">
        <v>98</v>
      </c>
      <c r="H610" t="s">
        <v>21</v>
      </c>
      <c r="I610" s="12">
        <v>0.92013888888888884</v>
      </c>
      <c r="J610" t="s">
        <v>99</v>
      </c>
      <c r="K610" t="s">
        <v>21</v>
      </c>
      <c r="L610" s="12">
        <v>0.94791666666666663</v>
      </c>
      <c r="M610" t="s">
        <v>63</v>
      </c>
      <c r="N610" s="3">
        <v>232</v>
      </c>
      <c r="O610" t="s">
        <v>24</v>
      </c>
      <c r="P610" t="s">
        <v>79</v>
      </c>
      <c r="R610">
        <f>tblDailySchedule[[#This Row],[Capacity Approx]]*'[1]Load Factor Sheet June Acft  '!$B$5</f>
        <v>187.86727272727273</v>
      </c>
      <c r="S610">
        <f>tblDailySchedule[[#This Row],[Capacity Approx]]*'[1]Load Factor Sheet June Acft  '!$D$5</f>
        <v>203.4218181818182</v>
      </c>
      <c r="T610" s="22">
        <f>tblDailySchedule[[#This Row],[STD]]</f>
        <v>0.94791666666666663</v>
      </c>
    </row>
    <row r="611" spans="1:20" hidden="1" x14ac:dyDescent="0.35">
      <c r="A611" s="11">
        <v>46132</v>
      </c>
      <c r="B611" s="3">
        <v>1</v>
      </c>
      <c r="C611" t="s">
        <v>100</v>
      </c>
      <c r="D611" t="s">
        <v>18</v>
      </c>
      <c r="E611" s="3">
        <v>1</v>
      </c>
      <c r="F611" t="s">
        <v>101</v>
      </c>
      <c r="G611" t="s">
        <v>102</v>
      </c>
      <c r="H611" t="s">
        <v>61</v>
      </c>
      <c r="I611" s="12">
        <v>0.3125</v>
      </c>
      <c r="J611" t="s">
        <v>103</v>
      </c>
      <c r="K611" t="s">
        <v>61</v>
      </c>
      <c r="L611" s="12">
        <v>0.33333333333333331</v>
      </c>
      <c r="M611" t="s">
        <v>33</v>
      </c>
      <c r="N611" s="3">
        <v>189</v>
      </c>
      <c r="O611" t="s">
        <v>24</v>
      </c>
      <c r="P611" t="s">
        <v>25</v>
      </c>
      <c r="R611">
        <f>tblDailySchedule[[#This Row],[Capacity Approx]]*'[1]Load Factor Sheet June Acft  '!$B$5</f>
        <v>153.04704545454547</v>
      </c>
      <c r="S611">
        <f>tblDailySchedule[[#This Row],[Capacity Approx]]*'[1]Load Factor Sheet June Acft  '!$D$5</f>
        <v>165.71863636363636</v>
      </c>
      <c r="T611" s="22">
        <f>tblDailySchedule[[#This Row],[STD]]</f>
        <v>0.33333333333333331</v>
      </c>
    </row>
    <row r="612" spans="1:20" hidden="1" x14ac:dyDescent="0.35">
      <c r="A612" s="11">
        <v>46132</v>
      </c>
      <c r="B612" s="3">
        <v>1</v>
      </c>
      <c r="C612" t="s">
        <v>100</v>
      </c>
      <c r="D612" t="s">
        <v>18</v>
      </c>
      <c r="E612" s="3">
        <v>2</v>
      </c>
      <c r="F612" t="s">
        <v>19</v>
      </c>
      <c r="G612" t="s">
        <v>20</v>
      </c>
      <c r="H612" t="s">
        <v>21</v>
      </c>
      <c r="I612" s="12">
        <v>0.31944444444444442</v>
      </c>
      <c r="J612" t="s">
        <v>22</v>
      </c>
      <c r="K612" t="s">
        <v>21</v>
      </c>
      <c r="L612" s="12">
        <v>0.34722222222222221</v>
      </c>
      <c r="M612" t="s">
        <v>23</v>
      </c>
      <c r="N612" s="3">
        <v>186</v>
      </c>
      <c r="O612" t="s">
        <v>24</v>
      </c>
      <c r="P612" t="s">
        <v>25</v>
      </c>
      <c r="R612">
        <f>tblDailySchedule[[#This Row],[Capacity Approx]]*'[1]Load Factor Sheet June Acft  '!$B$5</f>
        <v>150.61772727272728</v>
      </c>
      <c r="S612">
        <f>tblDailySchedule[[#This Row],[Capacity Approx]]*'[1]Load Factor Sheet June Acft  '!$D$5</f>
        <v>163.08818181818182</v>
      </c>
      <c r="T612" s="22">
        <f>tblDailySchedule[[#This Row],[STD]]</f>
        <v>0.34722222222222221</v>
      </c>
    </row>
    <row r="613" spans="1:20" hidden="1" x14ac:dyDescent="0.35">
      <c r="A613" s="11">
        <v>46132</v>
      </c>
      <c r="B613" s="3">
        <v>1</v>
      </c>
      <c r="C613" t="s">
        <v>100</v>
      </c>
      <c r="D613" t="s">
        <v>18</v>
      </c>
      <c r="E613" s="3">
        <v>3</v>
      </c>
      <c r="F613" t="s">
        <v>19</v>
      </c>
      <c r="G613" t="s">
        <v>26</v>
      </c>
      <c r="H613" t="s">
        <v>27</v>
      </c>
      <c r="I613" s="12">
        <v>0.3263888888888889</v>
      </c>
      <c r="J613" t="s">
        <v>28</v>
      </c>
      <c r="K613" t="s">
        <v>27</v>
      </c>
      <c r="L613" s="12">
        <v>0.35416666666666669</v>
      </c>
      <c r="M613" t="s">
        <v>29</v>
      </c>
      <c r="N613" s="3">
        <v>186</v>
      </c>
      <c r="O613" t="s">
        <v>24</v>
      </c>
      <c r="P613" t="s">
        <v>25</v>
      </c>
      <c r="R613">
        <f>tblDailySchedule[[#This Row],[Capacity Approx]]*'[1]Load Factor Sheet June Acft  '!$B$5</f>
        <v>150.61772727272728</v>
      </c>
      <c r="S613">
        <f>tblDailySchedule[[#This Row],[Capacity Approx]]*'[1]Load Factor Sheet June Acft  '!$D$5</f>
        <v>163.08818181818182</v>
      </c>
      <c r="T613" s="22">
        <f>tblDailySchedule[[#This Row],[STD]]</f>
        <v>0.35416666666666669</v>
      </c>
    </row>
    <row r="614" spans="1:20" hidden="1" x14ac:dyDescent="0.35">
      <c r="A614" s="11">
        <v>46132</v>
      </c>
      <c r="B614" s="3">
        <v>1</v>
      </c>
      <c r="C614" t="s">
        <v>100</v>
      </c>
      <c r="D614" t="s">
        <v>18</v>
      </c>
      <c r="E614" s="3">
        <v>4</v>
      </c>
      <c r="F614" t="s">
        <v>19</v>
      </c>
      <c r="G614" t="s">
        <v>30</v>
      </c>
      <c r="H614" t="s">
        <v>31</v>
      </c>
      <c r="I614" s="12">
        <v>0.34722222222222221</v>
      </c>
      <c r="J614" t="s">
        <v>32</v>
      </c>
      <c r="K614" t="s">
        <v>31</v>
      </c>
      <c r="L614" s="12">
        <v>0.36805555555555558</v>
      </c>
      <c r="M614" t="s">
        <v>33</v>
      </c>
      <c r="N614" s="3">
        <v>189</v>
      </c>
      <c r="O614" t="s">
        <v>24</v>
      </c>
      <c r="P614" t="s">
        <v>25</v>
      </c>
      <c r="R614">
        <f>tblDailySchedule[[#This Row],[Capacity Approx]]*'[1]Load Factor Sheet June Acft  '!$B$5</f>
        <v>153.04704545454547</v>
      </c>
      <c r="S614">
        <f>tblDailySchedule[[#This Row],[Capacity Approx]]*'[1]Load Factor Sheet June Acft  '!$D$5</f>
        <v>165.71863636363636</v>
      </c>
      <c r="T614" s="22">
        <f>tblDailySchedule[[#This Row],[STD]]</f>
        <v>0.36805555555555558</v>
      </c>
    </row>
    <row r="615" spans="1:20" hidden="1" x14ac:dyDescent="0.35">
      <c r="A615" s="13">
        <v>46132</v>
      </c>
      <c r="B615" s="7">
        <v>1</v>
      </c>
      <c r="C615" s="14" t="s">
        <v>100</v>
      </c>
      <c r="D615" s="14" t="s">
        <v>18</v>
      </c>
      <c r="E615" s="7">
        <v>6</v>
      </c>
      <c r="F615" s="14" t="s">
        <v>34</v>
      </c>
      <c r="G615" s="14" t="s">
        <v>35</v>
      </c>
      <c r="H615" s="14" t="s">
        <v>36</v>
      </c>
      <c r="I615" s="15">
        <v>0.34722222222222221</v>
      </c>
      <c r="J615" s="14" t="s">
        <v>37</v>
      </c>
      <c r="K615" s="14" t="s">
        <v>36</v>
      </c>
      <c r="L615" s="15">
        <v>0.40972222222222221</v>
      </c>
      <c r="M615" s="14" t="s">
        <v>38</v>
      </c>
      <c r="N615" s="7">
        <v>186</v>
      </c>
      <c r="O615" s="14" t="s">
        <v>39</v>
      </c>
      <c r="P615" s="14" t="s">
        <v>25</v>
      </c>
      <c r="Q615" s="14" t="s">
        <v>39</v>
      </c>
      <c r="R615">
        <f>tblDailySchedule[[#This Row],[Capacity Approx]]*'[1]Load Factor Sheet June Acft  '!$B$5</f>
        <v>150.61772727272728</v>
      </c>
      <c r="S615">
        <f>tblDailySchedule[[#This Row],[Capacity Approx]]*'[1]Load Factor Sheet June Acft  '!$D$5</f>
        <v>163.08818181818182</v>
      </c>
      <c r="T615" s="22">
        <f>tblDailySchedule[[#This Row],[STD]]</f>
        <v>0.40972222222222221</v>
      </c>
    </row>
    <row r="616" spans="1:20" hidden="1" x14ac:dyDescent="0.35">
      <c r="A616" s="11">
        <v>46132</v>
      </c>
      <c r="B616" s="3">
        <v>1</v>
      </c>
      <c r="C616" t="s">
        <v>100</v>
      </c>
      <c r="D616" t="s">
        <v>18</v>
      </c>
      <c r="E616" s="3">
        <v>5</v>
      </c>
      <c r="F616" t="s">
        <v>19</v>
      </c>
      <c r="G616" t="s">
        <v>40</v>
      </c>
      <c r="H616" t="s">
        <v>31</v>
      </c>
      <c r="I616" s="12">
        <v>0.35069444444444442</v>
      </c>
      <c r="J616" t="s">
        <v>41</v>
      </c>
      <c r="K616" t="s">
        <v>31</v>
      </c>
      <c r="L616" s="12">
        <v>0.37152777777777779</v>
      </c>
      <c r="M616" t="s">
        <v>23</v>
      </c>
      <c r="N616" s="3">
        <v>186</v>
      </c>
      <c r="O616" t="s">
        <v>24</v>
      </c>
      <c r="P616" t="s">
        <v>25</v>
      </c>
      <c r="R616">
        <f>tblDailySchedule[[#This Row],[Capacity Approx]]*'[1]Load Factor Sheet June Acft  '!$B$5</f>
        <v>150.61772727272728</v>
      </c>
      <c r="S616">
        <f>tblDailySchedule[[#This Row],[Capacity Approx]]*'[1]Load Factor Sheet June Acft  '!$D$5</f>
        <v>163.08818181818182</v>
      </c>
      <c r="T616" s="22">
        <f>tblDailySchedule[[#This Row],[STD]]</f>
        <v>0.37152777777777779</v>
      </c>
    </row>
    <row r="617" spans="1:20" hidden="1" x14ac:dyDescent="0.35">
      <c r="A617" s="11">
        <v>46132</v>
      </c>
      <c r="B617" s="3">
        <v>1</v>
      </c>
      <c r="C617" t="s">
        <v>100</v>
      </c>
      <c r="D617" t="s">
        <v>18</v>
      </c>
      <c r="E617" s="3">
        <v>7</v>
      </c>
      <c r="F617" t="s">
        <v>19</v>
      </c>
      <c r="G617" t="s">
        <v>42</v>
      </c>
      <c r="H617" t="s">
        <v>43</v>
      </c>
      <c r="I617" s="12">
        <v>0.3923611111111111</v>
      </c>
      <c r="J617" t="s">
        <v>44</v>
      </c>
      <c r="K617" t="s">
        <v>43</v>
      </c>
      <c r="L617" s="12">
        <v>0.40277777777777779</v>
      </c>
      <c r="M617" t="s">
        <v>45</v>
      </c>
      <c r="N617" s="3">
        <v>9</v>
      </c>
      <c r="O617" t="s">
        <v>24</v>
      </c>
      <c r="P617" t="s">
        <v>25</v>
      </c>
      <c r="R617">
        <f>tblDailySchedule[[#This Row],[Capacity Approx]]*'[1]Load Factor Sheet June Acft  '!$B$5</f>
        <v>7.2879545454545456</v>
      </c>
      <c r="S617">
        <f>tblDailySchedule[[#This Row],[Capacity Approx]]*'[1]Load Factor Sheet June Acft  '!$D$5</f>
        <v>7.8913636363636366</v>
      </c>
      <c r="T617" s="22">
        <f>tblDailySchedule[[#This Row],[STD]]</f>
        <v>0.40277777777777779</v>
      </c>
    </row>
    <row r="618" spans="1:20" hidden="1" x14ac:dyDescent="0.35">
      <c r="A618" s="11">
        <v>46132</v>
      </c>
      <c r="B618" s="3">
        <v>1</v>
      </c>
      <c r="C618" t="s">
        <v>100</v>
      </c>
      <c r="D618" t="s">
        <v>18</v>
      </c>
      <c r="E618" s="3">
        <v>8</v>
      </c>
      <c r="F618" t="s">
        <v>19</v>
      </c>
      <c r="G618" t="s">
        <v>46</v>
      </c>
      <c r="H618" t="s">
        <v>31</v>
      </c>
      <c r="I618" s="12">
        <v>0.4201388888888889</v>
      </c>
      <c r="J618" t="s">
        <v>47</v>
      </c>
      <c r="K618" t="s">
        <v>31</v>
      </c>
      <c r="L618" s="12">
        <v>0.44444444444444442</v>
      </c>
      <c r="M618" t="s">
        <v>29</v>
      </c>
      <c r="N618" s="3">
        <v>186</v>
      </c>
      <c r="O618" t="s">
        <v>24</v>
      </c>
      <c r="P618" t="s">
        <v>25</v>
      </c>
      <c r="R618">
        <f>tblDailySchedule[[#This Row],[Capacity Approx]]*'[1]Load Factor Sheet June Acft  '!$B$5</f>
        <v>150.61772727272728</v>
      </c>
      <c r="S618">
        <f>tblDailySchedule[[#This Row],[Capacity Approx]]*'[1]Load Factor Sheet June Acft  '!$D$5</f>
        <v>163.08818181818182</v>
      </c>
      <c r="T618" s="22">
        <f>tblDailySchedule[[#This Row],[STD]]</f>
        <v>0.44444444444444442</v>
      </c>
    </row>
    <row r="619" spans="1:20" hidden="1" x14ac:dyDescent="0.35">
      <c r="A619" s="11">
        <v>46132</v>
      </c>
      <c r="B619" s="3">
        <v>1</v>
      </c>
      <c r="C619" t="s">
        <v>100</v>
      </c>
      <c r="D619" t="s">
        <v>18</v>
      </c>
      <c r="E619" s="3">
        <v>9</v>
      </c>
      <c r="F619" t="s">
        <v>19</v>
      </c>
      <c r="G619" t="s">
        <v>48</v>
      </c>
      <c r="H619" t="s">
        <v>49</v>
      </c>
      <c r="I619" s="12">
        <v>0.4375</v>
      </c>
      <c r="J619" t="s">
        <v>50</v>
      </c>
      <c r="K619" t="s">
        <v>49</v>
      </c>
      <c r="L619" s="12">
        <v>0.45833333333333331</v>
      </c>
      <c r="M619" t="s">
        <v>51</v>
      </c>
      <c r="N619" s="3">
        <v>78</v>
      </c>
      <c r="O619" t="s">
        <v>24</v>
      </c>
      <c r="P619" t="s">
        <v>25</v>
      </c>
      <c r="R619">
        <f>tblDailySchedule[[#This Row],[Capacity Approx]]*'[1]Load Factor Sheet June Acft  '!$B$5</f>
        <v>63.162272727272729</v>
      </c>
      <c r="S619">
        <f>tblDailySchedule[[#This Row],[Capacity Approx]]*'[1]Load Factor Sheet June Acft  '!$D$5</f>
        <v>68.391818181818181</v>
      </c>
      <c r="T619" s="22">
        <f>tblDailySchedule[[#This Row],[STD]]</f>
        <v>0.45833333333333331</v>
      </c>
    </row>
    <row r="620" spans="1:20" hidden="1" x14ac:dyDescent="0.35">
      <c r="A620" s="11">
        <v>46132</v>
      </c>
      <c r="B620" s="3">
        <v>1</v>
      </c>
      <c r="C620" t="s">
        <v>100</v>
      </c>
      <c r="D620" t="s">
        <v>18</v>
      </c>
      <c r="E620" s="3">
        <v>10</v>
      </c>
      <c r="F620" t="s">
        <v>19</v>
      </c>
      <c r="G620" t="s">
        <v>52</v>
      </c>
      <c r="H620" t="s">
        <v>27</v>
      </c>
      <c r="I620" s="12">
        <v>0.4826388888888889</v>
      </c>
      <c r="J620" t="s">
        <v>53</v>
      </c>
      <c r="K620" t="s">
        <v>27</v>
      </c>
      <c r="L620" s="12">
        <v>0.51041666666666663</v>
      </c>
      <c r="M620" t="s">
        <v>23</v>
      </c>
      <c r="N620" s="3">
        <v>186</v>
      </c>
      <c r="O620" t="s">
        <v>24</v>
      </c>
      <c r="P620" t="s">
        <v>25</v>
      </c>
      <c r="R620">
        <f>tblDailySchedule[[#This Row],[Capacity Approx]]*'[1]Load Factor Sheet June Acft  '!$B$5</f>
        <v>150.61772727272728</v>
      </c>
      <c r="S620">
        <f>tblDailySchedule[[#This Row],[Capacity Approx]]*'[1]Load Factor Sheet June Acft  '!$D$5</f>
        <v>163.08818181818182</v>
      </c>
      <c r="T620" s="22">
        <f>tblDailySchedule[[#This Row],[STD]]</f>
        <v>0.51041666666666663</v>
      </c>
    </row>
    <row r="621" spans="1:20" hidden="1" x14ac:dyDescent="0.35">
      <c r="A621" s="11">
        <v>46132</v>
      </c>
      <c r="B621" s="3">
        <v>1</v>
      </c>
      <c r="C621" t="s">
        <v>100</v>
      </c>
      <c r="D621" t="s">
        <v>18</v>
      </c>
      <c r="E621" s="3">
        <v>11</v>
      </c>
      <c r="F621" t="s">
        <v>19</v>
      </c>
      <c r="G621" t="s">
        <v>54</v>
      </c>
      <c r="H621" t="s">
        <v>31</v>
      </c>
      <c r="I621" s="12">
        <v>0.51388888888888884</v>
      </c>
      <c r="J621" t="s">
        <v>55</v>
      </c>
      <c r="K621" t="s">
        <v>31</v>
      </c>
      <c r="L621" s="12">
        <v>0.54166666666666663</v>
      </c>
      <c r="M621" t="s">
        <v>23</v>
      </c>
      <c r="N621" s="3">
        <v>186</v>
      </c>
      <c r="O621" t="s">
        <v>24</v>
      </c>
      <c r="P621" t="s">
        <v>56</v>
      </c>
      <c r="R621">
        <f>tblDailySchedule[[#This Row],[Capacity Approx]]*'[1]Load Factor Sheet June Acft  '!$B$5</f>
        <v>150.61772727272728</v>
      </c>
      <c r="S621">
        <f>tblDailySchedule[[#This Row],[Capacity Approx]]*'[1]Load Factor Sheet June Acft  '!$D$5</f>
        <v>163.08818181818182</v>
      </c>
      <c r="T621" s="22">
        <f>tblDailySchedule[[#This Row],[STD]]</f>
        <v>0.54166666666666663</v>
      </c>
    </row>
    <row r="622" spans="1:20" hidden="1" x14ac:dyDescent="0.35">
      <c r="A622" s="11">
        <v>46132</v>
      </c>
      <c r="B622" s="3">
        <v>1</v>
      </c>
      <c r="C622" t="s">
        <v>100</v>
      </c>
      <c r="D622" t="s">
        <v>18</v>
      </c>
      <c r="E622" s="3">
        <v>13</v>
      </c>
      <c r="F622" t="s">
        <v>19</v>
      </c>
      <c r="G622" t="s">
        <v>57</v>
      </c>
      <c r="H622" t="s">
        <v>58</v>
      </c>
      <c r="I622" s="12">
        <v>0.55902777777777779</v>
      </c>
      <c r="J622" t="s">
        <v>59</v>
      </c>
      <c r="K622" t="s">
        <v>58</v>
      </c>
      <c r="L622" s="12">
        <v>0.57638888888888884</v>
      </c>
      <c r="M622" t="s">
        <v>51</v>
      </c>
      <c r="N622" s="3">
        <v>78</v>
      </c>
      <c r="O622" t="s">
        <v>24</v>
      </c>
      <c r="P622" t="s">
        <v>56</v>
      </c>
      <c r="R622">
        <f>tblDailySchedule[[#This Row],[Capacity Approx]]*'[1]Load Factor Sheet June Acft  '!$B$5</f>
        <v>63.162272727272729</v>
      </c>
      <c r="S622">
        <f>tblDailySchedule[[#This Row],[Capacity Approx]]*'[1]Load Factor Sheet June Acft  '!$D$5</f>
        <v>68.391818181818181</v>
      </c>
      <c r="T622" s="22">
        <f>tblDailySchedule[[#This Row],[STD]]</f>
        <v>0.57638888888888884</v>
      </c>
    </row>
    <row r="623" spans="1:20" hidden="1" x14ac:dyDescent="0.35">
      <c r="A623" s="11">
        <v>46132</v>
      </c>
      <c r="B623" s="3">
        <v>1</v>
      </c>
      <c r="C623" t="s">
        <v>100</v>
      </c>
      <c r="D623" t="s">
        <v>18</v>
      </c>
      <c r="E623" s="3">
        <v>14</v>
      </c>
      <c r="F623" t="s">
        <v>19</v>
      </c>
      <c r="G623" t="s">
        <v>60</v>
      </c>
      <c r="H623" t="s">
        <v>61</v>
      </c>
      <c r="I623" s="12">
        <v>0.59027777777777779</v>
      </c>
      <c r="J623" t="s">
        <v>62</v>
      </c>
      <c r="K623" t="s">
        <v>61</v>
      </c>
      <c r="L623" s="12">
        <v>0.62152777777777779</v>
      </c>
      <c r="M623" t="s">
        <v>63</v>
      </c>
      <c r="N623" s="3">
        <v>232</v>
      </c>
      <c r="O623" t="s">
        <v>24</v>
      </c>
      <c r="P623" t="s">
        <v>56</v>
      </c>
      <c r="R623">
        <f>tblDailySchedule[[#This Row],[Capacity Approx]]*'[1]Load Factor Sheet June Acft  '!$B$5</f>
        <v>187.86727272727273</v>
      </c>
      <c r="S623">
        <f>tblDailySchedule[[#This Row],[Capacity Approx]]*'[1]Load Factor Sheet June Acft  '!$D$5</f>
        <v>203.4218181818182</v>
      </c>
      <c r="T623" s="22">
        <f>tblDailySchedule[[#This Row],[STD]]</f>
        <v>0.62152777777777779</v>
      </c>
    </row>
    <row r="624" spans="1:20" hidden="1" x14ac:dyDescent="0.35">
      <c r="A624" s="11">
        <v>46132</v>
      </c>
      <c r="B624" s="3">
        <v>1</v>
      </c>
      <c r="C624" t="s">
        <v>100</v>
      </c>
      <c r="D624" t="s">
        <v>18</v>
      </c>
      <c r="E624" s="3">
        <v>15</v>
      </c>
      <c r="F624" t="s">
        <v>19</v>
      </c>
      <c r="G624" t="s">
        <v>64</v>
      </c>
      <c r="H624" t="s">
        <v>31</v>
      </c>
      <c r="I624" s="12">
        <v>0.60069444444444442</v>
      </c>
      <c r="J624" t="s">
        <v>65</v>
      </c>
      <c r="K624" t="s">
        <v>66</v>
      </c>
      <c r="L624" s="12">
        <v>0.62847222222222221</v>
      </c>
      <c r="M624" t="s">
        <v>63</v>
      </c>
      <c r="N624" s="3">
        <v>232</v>
      </c>
      <c r="O624" t="s">
        <v>24</v>
      </c>
      <c r="P624" t="s">
        <v>56</v>
      </c>
      <c r="R624">
        <f>tblDailySchedule[[#This Row],[Capacity Approx]]*'[1]Load Factor Sheet June Acft  '!$B$5</f>
        <v>187.86727272727273</v>
      </c>
      <c r="S624">
        <f>tblDailySchedule[[#This Row],[Capacity Approx]]*'[1]Load Factor Sheet June Acft  '!$D$5</f>
        <v>203.4218181818182</v>
      </c>
      <c r="T624" s="22">
        <f>tblDailySchedule[[#This Row],[STD]]</f>
        <v>0.62847222222222221</v>
      </c>
    </row>
    <row r="625" spans="1:20" hidden="1" x14ac:dyDescent="0.35">
      <c r="A625" s="11">
        <v>46132</v>
      </c>
      <c r="B625" s="3">
        <v>1</v>
      </c>
      <c r="C625" t="s">
        <v>100</v>
      </c>
      <c r="D625" t="s">
        <v>18</v>
      </c>
      <c r="E625" s="3">
        <v>16</v>
      </c>
      <c r="F625" t="s">
        <v>19</v>
      </c>
      <c r="G625" t="s">
        <v>67</v>
      </c>
      <c r="H625" t="s">
        <v>31</v>
      </c>
      <c r="I625" s="12">
        <v>0.65625</v>
      </c>
      <c r="J625" t="s">
        <v>68</v>
      </c>
      <c r="K625" t="s">
        <v>31</v>
      </c>
      <c r="L625" s="12">
        <v>0.68402777777777779</v>
      </c>
      <c r="M625" t="s">
        <v>63</v>
      </c>
      <c r="N625" s="3">
        <v>232</v>
      </c>
      <c r="O625" t="s">
        <v>24</v>
      </c>
      <c r="P625" t="s">
        <v>56</v>
      </c>
      <c r="R625">
        <f>tblDailySchedule[[#This Row],[Capacity Approx]]*'[1]Load Factor Sheet June Acft  '!$B$5</f>
        <v>187.86727272727273</v>
      </c>
      <c r="S625">
        <f>tblDailySchedule[[#This Row],[Capacity Approx]]*'[1]Load Factor Sheet June Acft  '!$D$5</f>
        <v>203.4218181818182</v>
      </c>
      <c r="T625" s="22">
        <f>tblDailySchedule[[#This Row],[STD]]</f>
        <v>0.68402777777777779</v>
      </c>
    </row>
    <row r="626" spans="1:20" hidden="1" x14ac:dyDescent="0.35">
      <c r="A626" s="11">
        <v>46132</v>
      </c>
      <c r="B626" s="3">
        <v>1</v>
      </c>
      <c r="C626" t="s">
        <v>100</v>
      </c>
      <c r="D626" t="s">
        <v>18</v>
      </c>
      <c r="E626" s="3">
        <v>17</v>
      </c>
      <c r="F626" t="s">
        <v>19</v>
      </c>
      <c r="G626" t="s">
        <v>69</v>
      </c>
      <c r="H626" t="s">
        <v>31</v>
      </c>
      <c r="I626" s="12">
        <v>0.66319444444444442</v>
      </c>
      <c r="J626" t="s">
        <v>70</v>
      </c>
      <c r="K626" t="s">
        <v>31</v>
      </c>
      <c r="L626" s="12">
        <v>0.69097222222222221</v>
      </c>
      <c r="M626" t="s">
        <v>33</v>
      </c>
      <c r="N626" s="3">
        <v>189</v>
      </c>
      <c r="O626" t="s">
        <v>24</v>
      </c>
      <c r="P626" t="s">
        <v>56</v>
      </c>
      <c r="R626">
        <f>tblDailySchedule[[#This Row],[Capacity Approx]]*'[1]Load Factor Sheet June Acft  '!$B$5</f>
        <v>153.04704545454547</v>
      </c>
      <c r="S626">
        <f>tblDailySchedule[[#This Row],[Capacity Approx]]*'[1]Load Factor Sheet June Acft  '!$D$5</f>
        <v>165.71863636363636</v>
      </c>
      <c r="T626" s="22">
        <f>tblDailySchedule[[#This Row],[STD]]</f>
        <v>0.69097222222222221</v>
      </c>
    </row>
    <row r="627" spans="1:20" hidden="1" x14ac:dyDescent="0.35">
      <c r="A627" s="11">
        <v>46132</v>
      </c>
      <c r="B627" s="3">
        <v>1</v>
      </c>
      <c r="C627" t="s">
        <v>100</v>
      </c>
      <c r="D627" t="s">
        <v>18</v>
      </c>
      <c r="E627" s="3">
        <v>18</v>
      </c>
      <c r="F627" t="s">
        <v>19</v>
      </c>
      <c r="G627" t="s">
        <v>71</v>
      </c>
      <c r="H627" t="s">
        <v>21</v>
      </c>
      <c r="I627" s="12">
        <v>0.67013888888888884</v>
      </c>
      <c r="J627" t="s">
        <v>72</v>
      </c>
      <c r="K627" t="s">
        <v>21</v>
      </c>
      <c r="L627" s="12">
        <v>0.69791666666666663</v>
      </c>
      <c r="M627" t="s">
        <v>63</v>
      </c>
      <c r="N627" s="3">
        <v>232</v>
      </c>
      <c r="O627" t="s">
        <v>24</v>
      </c>
      <c r="P627" t="s">
        <v>56</v>
      </c>
      <c r="R627">
        <f>tblDailySchedule[[#This Row],[Capacity Approx]]*'[1]Load Factor Sheet June Acft  '!$B$5</f>
        <v>187.86727272727273</v>
      </c>
      <c r="S627">
        <f>tblDailySchedule[[#This Row],[Capacity Approx]]*'[1]Load Factor Sheet June Acft  '!$D$5</f>
        <v>203.4218181818182</v>
      </c>
      <c r="T627" s="22">
        <f>tblDailySchedule[[#This Row],[STD]]</f>
        <v>0.69791666666666663</v>
      </c>
    </row>
    <row r="628" spans="1:20" hidden="1" x14ac:dyDescent="0.35">
      <c r="A628" s="11">
        <v>46132</v>
      </c>
      <c r="B628" s="3">
        <v>1</v>
      </c>
      <c r="C628" t="s">
        <v>100</v>
      </c>
      <c r="D628" t="s">
        <v>18</v>
      </c>
      <c r="E628" s="3">
        <v>19</v>
      </c>
      <c r="F628" t="s">
        <v>19</v>
      </c>
      <c r="G628" t="s">
        <v>73</v>
      </c>
      <c r="H628" t="s">
        <v>27</v>
      </c>
      <c r="I628" s="12">
        <v>0.74652777777777779</v>
      </c>
      <c r="J628" t="s">
        <v>74</v>
      </c>
      <c r="K628" t="s">
        <v>27</v>
      </c>
      <c r="L628" s="12">
        <v>0.77430555555555558</v>
      </c>
      <c r="M628" t="s">
        <v>63</v>
      </c>
      <c r="N628" s="3">
        <v>232</v>
      </c>
      <c r="O628" t="s">
        <v>24</v>
      </c>
      <c r="P628" t="s">
        <v>56</v>
      </c>
      <c r="R628">
        <f>tblDailySchedule[[#This Row],[Capacity Approx]]*'[1]Load Factor Sheet June Acft  '!$B$5</f>
        <v>187.86727272727273</v>
      </c>
      <c r="S628">
        <f>tblDailySchedule[[#This Row],[Capacity Approx]]*'[1]Load Factor Sheet June Acft  '!$D$5</f>
        <v>203.4218181818182</v>
      </c>
      <c r="T628" s="22">
        <f>tblDailySchedule[[#This Row],[STD]]</f>
        <v>0.77430555555555558</v>
      </c>
    </row>
    <row r="629" spans="1:20" hidden="1" x14ac:dyDescent="0.35">
      <c r="A629" s="11">
        <v>46132</v>
      </c>
      <c r="B629" s="3">
        <v>1</v>
      </c>
      <c r="C629" t="s">
        <v>100</v>
      </c>
      <c r="D629" t="s">
        <v>18</v>
      </c>
      <c r="E629" s="3">
        <v>20</v>
      </c>
      <c r="F629" t="s">
        <v>34</v>
      </c>
      <c r="G629" t="s">
        <v>75</v>
      </c>
      <c r="H629" t="s">
        <v>76</v>
      </c>
      <c r="I629" s="12">
        <v>0.76388888888888884</v>
      </c>
      <c r="J629" t="s">
        <v>77</v>
      </c>
      <c r="K629" t="s">
        <v>78</v>
      </c>
      <c r="L629" s="12">
        <v>0.78472222222222221</v>
      </c>
      <c r="M629" t="s">
        <v>51</v>
      </c>
      <c r="N629" s="3">
        <v>78</v>
      </c>
      <c r="O629" t="s">
        <v>24</v>
      </c>
      <c r="P629" t="s">
        <v>79</v>
      </c>
      <c r="Q629" s="16" t="s">
        <v>80</v>
      </c>
      <c r="R629">
        <f>tblDailySchedule[[#This Row],[Capacity Approx]]*'[1]Load Factor Sheet June Acft  '!$B$5</f>
        <v>63.162272727272729</v>
      </c>
      <c r="S629">
        <f>tblDailySchedule[[#This Row],[Capacity Approx]]*'[1]Load Factor Sheet June Acft  '!$D$5</f>
        <v>68.391818181818181</v>
      </c>
      <c r="T629" s="22">
        <f>tblDailySchedule[[#This Row],[STD]]</f>
        <v>0.78472222222222221</v>
      </c>
    </row>
    <row r="630" spans="1:20" hidden="1" x14ac:dyDescent="0.35">
      <c r="A630" s="11">
        <v>46132</v>
      </c>
      <c r="B630" s="3">
        <v>1</v>
      </c>
      <c r="C630" t="s">
        <v>100</v>
      </c>
      <c r="D630" t="s">
        <v>18</v>
      </c>
      <c r="E630" s="3">
        <v>21</v>
      </c>
      <c r="F630" t="s">
        <v>19</v>
      </c>
      <c r="G630" t="s">
        <v>81</v>
      </c>
      <c r="H630" t="s">
        <v>61</v>
      </c>
      <c r="I630" s="12">
        <v>0.77083333333333337</v>
      </c>
      <c r="J630" t="s">
        <v>82</v>
      </c>
      <c r="K630" t="s">
        <v>49</v>
      </c>
      <c r="L630" s="12">
        <v>0.79166666666666663</v>
      </c>
      <c r="M630" t="s">
        <v>33</v>
      </c>
      <c r="N630" s="3">
        <v>189</v>
      </c>
      <c r="O630" t="s">
        <v>24</v>
      </c>
      <c r="P630" t="s">
        <v>79</v>
      </c>
      <c r="R630">
        <f>tblDailySchedule[[#This Row],[Capacity Approx]]*'[1]Load Factor Sheet June Acft  '!$B$5</f>
        <v>153.04704545454547</v>
      </c>
      <c r="S630">
        <f>tblDailySchedule[[#This Row],[Capacity Approx]]*'[1]Load Factor Sheet June Acft  '!$D$5</f>
        <v>165.71863636363636</v>
      </c>
      <c r="T630" s="22">
        <f>tblDailySchedule[[#This Row],[STD]]</f>
        <v>0.79166666666666663</v>
      </c>
    </row>
    <row r="631" spans="1:20" hidden="1" x14ac:dyDescent="0.35">
      <c r="A631" s="11">
        <v>46132</v>
      </c>
      <c r="B631" s="3">
        <v>1</v>
      </c>
      <c r="C631" t="s">
        <v>100</v>
      </c>
      <c r="D631" t="s">
        <v>18</v>
      </c>
      <c r="E631" s="3">
        <v>22</v>
      </c>
      <c r="F631" t="s">
        <v>19</v>
      </c>
      <c r="G631" t="s">
        <v>83</v>
      </c>
      <c r="H631" t="s">
        <v>31</v>
      </c>
      <c r="I631" s="12">
        <v>0.77777777777777779</v>
      </c>
      <c r="J631" t="s">
        <v>84</v>
      </c>
      <c r="K631" t="s">
        <v>31</v>
      </c>
      <c r="L631" s="12">
        <v>0.80555555555555558</v>
      </c>
      <c r="M631" t="s">
        <v>63</v>
      </c>
      <c r="N631" s="3">
        <v>232</v>
      </c>
      <c r="O631" t="s">
        <v>24</v>
      </c>
      <c r="P631" t="s">
        <v>79</v>
      </c>
      <c r="R631">
        <f>tblDailySchedule[[#This Row],[Capacity Approx]]*'[1]Load Factor Sheet June Acft  '!$B$5</f>
        <v>187.86727272727273</v>
      </c>
      <c r="S631">
        <f>tblDailySchedule[[#This Row],[Capacity Approx]]*'[1]Load Factor Sheet June Acft  '!$D$5</f>
        <v>203.4218181818182</v>
      </c>
      <c r="T631" s="22">
        <f>tblDailySchedule[[#This Row],[STD]]</f>
        <v>0.80555555555555558</v>
      </c>
    </row>
    <row r="632" spans="1:20" hidden="1" x14ac:dyDescent="0.35">
      <c r="A632" s="11">
        <v>46132</v>
      </c>
      <c r="B632" s="3">
        <v>1</v>
      </c>
      <c r="C632" t="s">
        <v>100</v>
      </c>
      <c r="D632" t="s">
        <v>18</v>
      </c>
      <c r="E632" s="3">
        <v>23</v>
      </c>
      <c r="F632" t="s">
        <v>19</v>
      </c>
      <c r="G632" t="s">
        <v>85</v>
      </c>
      <c r="H632" t="s">
        <v>86</v>
      </c>
      <c r="I632" s="12">
        <v>0.79861111111111116</v>
      </c>
      <c r="J632" t="s">
        <v>87</v>
      </c>
      <c r="K632" t="s">
        <v>86</v>
      </c>
      <c r="L632" s="12">
        <v>0.82638888888888884</v>
      </c>
      <c r="M632" t="s">
        <v>63</v>
      </c>
      <c r="N632" s="3">
        <v>232</v>
      </c>
      <c r="O632" t="s">
        <v>24</v>
      </c>
      <c r="P632" t="s">
        <v>79</v>
      </c>
      <c r="R632">
        <f>tblDailySchedule[[#This Row],[Capacity Approx]]*'[1]Load Factor Sheet June Acft  '!$B$5</f>
        <v>187.86727272727273</v>
      </c>
      <c r="S632">
        <f>tblDailySchedule[[#This Row],[Capacity Approx]]*'[1]Load Factor Sheet June Acft  '!$D$5</f>
        <v>203.4218181818182</v>
      </c>
      <c r="T632" s="22">
        <f>tblDailySchedule[[#This Row],[STD]]</f>
        <v>0.82638888888888884</v>
      </c>
    </row>
    <row r="633" spans="1:20" hidden="1" x14ac:dyDescent="0.35">
      <c r="A633" s="11">
        <v>46132</v>
      </c>
      <c r="B633" s="3">
        <v>1</v>
      </c>
      <c r="C633" t="s">
        <v>100</v>
      </c>
      <c r="D633" t="s">
        <v>18</v>
      </c>
      <c r="E633" s="3">
        <v>24</v>
      </c>
      <c r="F633" t="s">
        <v>19</v>
      </c>
      <c r="G633" t="s">
        <v>88</v>
      </c>
      <c r="H633" t="s">
        <v>89</v>
      </c>
      <c r="I633" s="12">
        <v>0.83333333333333337</v>
      </c>
      <c r="J633" t="s">
        <v>90</v>
      </c>
      <c r="K633" t="s">
        <v>31</v>
      </c>
      <c r="L633" s="12">
        <v>0.86111111111111116</v>
      </c>
      <c r="M633" t="s">
        <v>63</v>
      </c>
      <c r="N633" s="3">
        <v>232</v>
      </c>
      <c r="O633" t="s">
        <v>24</v>
      </c>
      <c r="P633" t="s">
        <v>79</v>
      </c>
      <c r="R633">
        <f>tblDailySchedule[[#This Row],[Capacity Approx]]*'[1]Load Factor Sheet June Acft  '!$B$5</f>
        <v>187.86727272727273</v>
      </c>
      <c r="S633">
        <f>tblDailySchedule[[#This Row],[Capacity Approx]]*'[1]Load Factor Sheet June Acft  '!$D$5</f>
        <v>203.4218181818182</v>
      </c>
      <c r="T633" s="22">
        <f>tblDailySchedule[[#This Row],[STD]]</f>
        <v>0.86111111111111116</v>
      </c>
    </row>
    <row r="634" spans="1:20" hidden="1" x14ac:dyDescent="0.35">
      <c r="A634" s="11">
        <v>46132</v>
      </c>
      <c r="B634" s="3">
        <v>1</v>
      </c>
      <c r="C634" t="s">
        <v>100</v>
      </c>
      <c r="D634" t="s">
        <v>18</v>
      </c>
      <c r="E634" s="3">
        <v>25</v>
      </c>
      <c r="F634" t="s">
        <v>19</v>
      </c>
      <c r="G634" t="s">
        <v>91</v>
      </c>
      <c r="H634" t="s">
        <v>61</v>
      </c>
      <c r="I634" s="12">
        <v>0.85416666666666663</v>
      </c>
      <c r="J634" t="s">
        <v>92</v>
      </c>
      <c r="K634" t="s">
        <v>61</v>
      </c>
      <c r="L634" s="12">
        <v>0.88194444444444442</v>
      </c>
      <c r="M634" t="s">
        <v>63</v>
      </c>
      <c r="N634" s="3">
        <v>232</v>
      </c>
      <c r="O634" t="s">
        <v>24</v>
      </c>
      <c r="P634" t="s">
        <v>79</v>
      </c>
      <c r="R634">
        <f>tblDailySchedule[[#This Row],[Capacity Approx]]*'[1]Load Factor Sheet June Acft  '!$B$5</f>
        <v>187.86727272727273</v>
      </c>
      <c r="S634">
        <f>tblDailySchedule[[#This Row],[Capacity Approx]]*'[1]Load Factor Sheet June Acft  '!$D$5</f>
        <v>203.4218181818182</v>
      </c>
      <c r="T634" s="22">
        <f>tblDailySchedule[[#This Row],[STD]]</f>
        <v>0.88194444444444442</v>
      </c>
    </row>
    <row r="635" spans="1:20" hidden="1" x14ac:dyDescent="0.35">
      <c r="A635" s="11">
        <v>46132</v>
      </c>
      <c r="B635" s="3">
        <v>1</v>
      </c>
      <c r="C635" t="s">
        <v>100</v>
      </c>
      <c r="D635" t="s">
        <v>18</v>
      </c>
      <c r="E635" s="3">
        <v>26</v>
      </c>
      <c r="F635" t="s">
        <v>19</v>
      </c>
      <c r="G635" t="s">
        <v>93</v>
      </c>
      <c r="H635" t="s">
        <v>31</v>
      </c>
      <c r="I635" s="12">
        <v>0.86111111111111116</v>
      </c>
      <c r="J635" t="s">
        <v>94</v>
      </c>
      <c r="K635" t="s">
        <v>31</v>
      </c>
      <c r="L635" s="12">
        <v>0.88888888888888884</v>
      </c>
      <c r="M635" t="s">
        <v>23</v>
      </c>
      <c r="N635" s="3">
        <v>186</v>
      </c>
      <c r="O635" t="s">
        <v>24</v>
      </c>
      <c r="P635" t="s">
        <v>79</v>
      </c>
      <c r="R635">
        <f>tblDailySchedule[[#This Row],[Capacity Approx]]*'[1]Load Factor Sheet June Acft  '!$B$5</f>
        <v>150.61772727272728</v>
      </c>
      <c r="S635">
        <f>tblDailySchedule[[#This Row],[Capacity Approx]]*'[1]Load Factor Sheet June Acft  '!$D$5</f>
        <v>163.08818181818182</v>
      </c>
      <c r="T635" s="22">
        <f>tblDailySchedule[[#This Row],[STD]]</f>
        <v>0.88888888888888884</v>
      </c>
    </row>
    <row r="636" spans="1:20" hidden="1" x14ac:dyDescent="0.35">
      <c r="A636" s="11">
        <v>46132</v>
      </c>
      <c r="B636" s="3">
        <v>1</v>
      </c>
      <c r="C636" t="s">
        <v>100</v>
      </c>
      <c r="D636" t="s">
        <v>18</v>
      </c>
      <c r="E636" s="3">
        <v>27</v>
      </c>
      <c r="F636" t="s">
        <v>19</v>
      </c>
      <c r="G636" t="s">
        <v>95</v>
      </c>
      <c r="H636" t="s">
        <v>21</v>
      </c>
      <c r="I636" s="12">
        <v>0.86805555555555558</v>
      </c>
      <c r="J636" t="s">
        <v>96</v>
      </c>
      <c r="K636" t="s">
        <v>21</v>
      </c>
      <c r="L636" s="12">
        <v>0.89583333333333337</v>
      </c>
      <c r="M636" t="s">
        <v>29</v>
      </c>
      <c r="N636" s="3">
        <v>186</v>
      </c>
      <c r="O636" t="s">
        <v>24</v>
      </c>
      <c r="P636" t="s">
        <v>79</v>
      </c>
      <c r="R636">
        <f>tblDailySchedule[[#This Row],[Capacity Approx]]*'[1]Load Factor Sheet June Acft  '!$B$5</f>
        <v>150.61772727272728</v>
      </c>
      <c r="S636">
        <f>tblDailySchedule[[#This Row],[Capacity Approx]]*'[1]Load Factor Sheet June Acft  '!$D$5</f>
        <v>163.08818181818182</v>
      </c>
      <c r="T636" s="22">
        <f>tblDailySchedule[[#This Row],[STD]]</f>
        <v>0.89583333333333337</v>
      </c>
    </row>
    <row r="637" spans="1:20" hidden="1" x14ac:dyDescent="0.35">
      <c r="A637" s="11">
        <v>46132</v>
      </c>
      <c r="B637" s="3">
        <v>1</v>
      </c>
      <c r="C637" t="s">
        <v>100</v>
      </c>
      <c r="D637" t="s">
        <v>18</v>
      </c>
      <c r="E637" s="3">
        <v>28</v>
      </c>
      <c r="F637" t="s">
        <v>19</v>
      </c>
      <c r="G637" t="s">
        <v>97</v>
      </c>
      <c r="H637" t="s">
        <v>49</v>
      </c>
      <c r="I637" s="12">
        <v>0.90277777777777779</v>
      </c>
      <c r="J637" t="s">
        <v>97</v>
      </c>
      <c r="K637" t="s">
        <v>61</v>
      </c>
      <c r="L637" s="12">
        <v>0.92361111111111116</v>
      </c>
      <c r="M637" t="s">
        <v>33</v>
      </c>
      <c r="N637" s="3">
        <v>189</v>
      </c>
      <c r="O637" t="s">
        <v>24</v>
      </c>
      <c r="P637" t="s">
        <v>79</v>
      </c>
      <c r="R637">
        <f>tblDailySchedule[[#This Row],[Capacity Approx]]*'[1]Load Factor Sheet June Acft  '!$B$5</f>
        <v>153.04704545454547</v>
      </c>
      <c r="S637">
        <f>tblDailySchedule[[#This Row],[Capacity Approx]]*'[1]Load Factor Sheet June Acft  '!$D$5</f>
        <v>165.71863636363636</v>
      </c>
      <c r="T637" s="22">
        <f>tblDailySchedule[[#This Row],[STD]]</f>
        <v>0.92361111111111116</v>
      </c>
    </row>
    <row r="638" spans="1:20" hidden="1" x14ac:dyDescent="0.35">
      <c r="A638" s="11">
        <v>46132</v>
      </c>
      <c r="B638" s="3">
        <v>1</v>
      </c>
      <c r="C638" t="s">
        <v>100</v>
      </c>
      <c r="D638" t="s">
        <v>18</v>
      </c>
      <c r="E638" s="3">
        <v>29</v>
      </c>
      <c r="F638" t="s">
        <v>19</v>
      </c>
      <c r="G638" t="s">
        <v>98</v>
      </c>
      <c r="H638" t="s">
        <v>21</v>
      </c>
      <c r="I638" s="12">
        <v>0.92013888888888884</v>
      </c>
      <c r="J638" t="s">
        <v>99</v>
      </c>
      <c r="K638" t="s">
        <v>21</v>
      </c>
      <c r="L638" s="12">
        <v>0.94791666666666663</v>
      </c>
      <c r="M638" t="s">
        <v>63</v>
      </c>
      <c r="N638" s="3">
        <v>232</v>
      </c>
      <c r="O638" t="s">
        <v>24</v>
      </c>
      <c r="P638" t="s">
        <v>79</v>
      </c>
      <c r="R638">
        <f>tblDailySchedule[[#This Row],[Capacity Approx]]*'[1]Load Factor Sheet June Acft  '!$B$5</f>
        <v>187.86727272727273</v>
      </c>
      <c r="S638">
        <f>tblDailySchedule[[#This Row],[Capacity Approx]]*'[1]Load Factor Sheet June Acft  '!$D$5</f>
        <v>203.4218181818182</v>
      </c>
      <c r="T638" s="22">
        <f>tblDailySchedule[[#This Row],[STD]]</f>
        <v>0.94791666666666663</v>
      </c>
    </row>
    <row r="639" spans="1:20" hidden="1" x14ac:dyDescent="0.35">
      <c r="A639" s="13">
        <v>46132</v>
      </c>
      <c r="B639" s="7">
        <v>1</v>
      </c>
      <c r="C639" s="14" t="s">
        <v>100</v>
      </c>
      <c r="D639" s="14" t="s">
        <v>18</v>
      </c>
      <c r="E639" s="7">
        <v>30</v>
      </c>
      <c r="F639" s="14" t="s">
        <v>104</v>
      </c>
      <c r="G639" s="14" t="s">
        <v>105</v>
      </c>
      <c r="H639" s="14" t="s">
        <v>106</v>
      </c>
      <c r="I639" s="15">
        <v>0.92708333333333337</v>
      </c>
      <c r="J639" s="14" t="s">
        <v>107</v>
      </c>
      <c r="K639" s="14" t="s">
        <v>106</v>
      </c>
      <c r="L639" s="15">
        <v>0.95833333333333337</v>
      </c>
      <c r="M639" s="14" t="s">
        <v>38</v>
      </c>
      <c r="N639" s="7">
        <v>186</v>
      </c>
      <c r="O639" s="14" t="s">
        <v>39</v>
      </c>
      <c r="P639" s="14" t="s">
        <v>79</v>
      </c>
      <c r="Q639" s="14" t="s">
        <v>39</v>
      </c>
      <c r="R639">
        <f>tblDailySchedule[[#This Row],[Capacity Approx]]*'[1]Load Factor Sheet June Acft  '!$B$5</f>
        <v>150.61772727272728</v>
      </c>
      <c r="S639">
        <f>tblDailySchedule[[#This Row],[Capacity Approx]]*'[1]Load Factor Sheet June Acft  '!$D$5</f>
        <v>163.08818181818182</v>
      </c>
      <c r="T639" s="22">
        <f>tblDailySchedule[[#This Row],[STD]]</f>
        <v>0.95833333333333337</v>
      </c>
    </row>
    <row r="640" spans="1:20" hidden="1" x14ac:dyDescent="0.35">
      <c r="A640" s="11">
        <v>46133</v>
      </c>
      <c r="B640" s="3">
        <v>2</v>
      </c>
      <c r="C640" t="s">
        <v>108</v>
      </c>
      <c r="D640" t="s">
        <v>18</v>
      </c>
      <c r="E640" s="3">
        <v>1</v>
      </c>
      <c r="F640" t="s">
        <v>101</v>
      </c>
      <c r="G640" t="s">
        <v>102</v>
      </c>
      <c r="H640" t="s">
        <v>61</v>
      </c>
      <c r="I640" s="12">
        <v>0.3125</v>
      </c>
      <c r="J640" t="s">
        <v>103</v>
      </c>
      <c r="K640" t="s">
        <v>61</v>
      </c>
      <c r="L640" s="12">
        <v>0.33333333333333331</v>
      </c>
      <c r="M640" t="s">
        <v>33</v>
      </c>
      <c r="N640" s="3">
        <v>189</v>
      </c>
      <c r="O640" t="s">
        <v>24</v>
      </c>
      <c r="P640" t="s">
        <v>25</v>
      </c>
      <c r="R640">
        <f>tblDailySchedule[[#This Row],[Capacity Approx]]*'[1]Load Factor Sheet June Acft  '!$B$5</f>
        <v>153.04704545454547</v>
      </c>
      <c r="S640">
        <f>tblDailySchedule[[#This Row],[Capacity Approx]]*'[1]Load Factor Sheet June Acft  '!$D$5</f>
        <v>165.71863636363636</v>
      </c>
      <c r="T640" s="22">
        <f>tblDailySchedule[[#This Row],[STD]]</f>
        <v>0.33333333333333331</v>
      </c>
    </row>
    <row r="641" spans="1:20" hidden="1" x14ac:dyDescent="0.35">
      <c r="A641" s="11">
        <v>46133</v>
      </c>
      <c r="B641" s="3">
        <v>2</v>
      </c>
      <c r="C641" t="s">
        <v>108</v>
      </c>
      <c r="D641" t="s">
        <v>18</v>
      </c>
      <c r="E641" s="3">
        <v>2</v>
      </c>
      <c r="F641" t="s">
        <v>19</v>
      </c>
      <c r="G641" t="s">
        <v>20</v>
      </c>
      <c r="H641" t="s">
        <v>21</v>
      </c>
      <c r="I641" s="12">
        <v>0.31944444444444442</v>
      </c>
      <c r="J641" t="s">
        <v>22</v>
      </c>
      <c r="K641" t="s">
        <v>21</v>
      </c>
      <c r="L641" s="12">
        <v>0.34722222222222221</v>
      </c>
      <c r="M641" t="s">
        <v>23</v>
      </c>
      <c r="N641" s="3">
        <v>186</v>
      </c>
      <c r="O641" t="s">
        <v>24</v>
      </c>
      <c r="P641" t="s">
        <v>25</v>
      </c>
      <c r="R641">
        <f>tblDailySchedule[[#This Row],[Capacity Approx]]*'[1]Load Factor Sheet June Acft  '!$B$5</f>
        <v>150.61772727272728</v>
      </c>
      <c r="S641">
        <f>tblDailySchedule[[#This Row],[Capacity Approx]]*'[1]Load Factor Sheet June Acft  '!$D$5</f>
        <v>163.08818181818182</v>
      </c>
      <c r="T641" s="22">
        <f>tblDailySchedule[[#This Row],[STD]]</f>
        <v>0.34722222222222221</v>
      </c>
    </row>
    <row r="642" spans="1:20" hidden="1" x14ac:dyDescent="0.35">
      <c r="A642" s="11">
        <v>46133</v>
      </c>
      <c r="B642" s="3">
        <v>2</v>
      </c>
      <c r="C642" t="s">
        <v>108</v>
      </c>
      <c r="D642" t="s">
        <v>18</v>
      </c>
      <c r="E642" s="3">
        <v>3</v>
      </c>
      <c r="F642" t="s">
        <v>19</v>
      </c>
      <c r="G642" t="s">
        <v>26</v>
      </c>
      <c r="H642" t="s">
        <v>27</v>
      </c>
      <c r="I642" s="12">
        <v>0.3263888888888889</v>
      </c>
      <c r="J642" t="s">
        <v>28</v>
      </c>
      <c r="K642" t="s">
        <v>27</v>
      </c>
      <c r="L642" s="12">
        <v>0.35416666666666669</v>
      </c>
      <c r="M642" t="s">
        <v>29</v>
      </c>
      <c r="N642" s="3">
        <v>186</v>
      </c>
      <c r="O642" t="s">
        <v>24</v>
      </c>
      <c r="P642" t="s">
        <v>25</v>
      </c>
      <c r="R642">
        <f>tblDailySchedule[[#This Row],[Capacity Approx]]*'[1]Load Factor Sheet June Acft  '!$B$5</f>
        <v>150.61772727272728</v>
      </c>
      <c r="S642">
        <f>tblDailySchedule[[#This Row],[Capacity Approx]]*'[1]Load Factor Sheet June Acft  '!$D$5</f>
        <v>163.08818181818182</v>
      </c>
      <c r="T642" s="22">
        <f>tblDailySchedule[[#This Row],[STD]]</f>
        <v>0.35416666666666669</v>
      </c>
    </row>
    <row r="643" spans="1:20" hidden="1" x14ac:dyDescent="0.35">
      <c r="A643" s="11">
        <v>46133</v>
      </c>
      <c r="B643" s="3">
        <v>2</v>
      </c>
      <c r="C643" t="s">
        <v>108</v>
      </c>
      <c r="D643" t="s">
        <v>18</v>
      </c>
      <c r="E643" s="3">
        <v>4</v>
      </c>
      <c r="F643" t="s">
        <v>19</v>
      </c>
      <c r="G643" t="s">
        <v>30</v>
      </c>
      <c r="H643" t="s">
        <v>31</v>
      </c>
      <c r="I643" s="12">
        <v>0.34722222222222221</v>
      </c>
      <c r="J643" t="s">
        <v>32</v>
      </c>
      <c r="K643" t="s">
        <v>31</v>
      </c>
      <c r="L643" s="12">
        <v>0.36805555555555558</v>
      </c>
      <c r="M643" t="s">
        <v>33</v>
      </c>
      <c r="N643" s="3">
        <v>189</v>
      </c>
      <c r="O643" t="s">
        <v>24</v>
      </c>
      <c r="P643" t="s">
        <v>25</v>
      </c>
      <c r="R643">
        <f>tblDailySchedule[[#This Row],[Capacity Approx]]*'[1]Load Factor Sheet June Acft  '!$B$5</f>
        <v>153.04704545454547</v>
      </c>
      <c r="S643">
        <f>tblDailySchedule[[#This Row],[Capacity Approx]]*'[1]Load Factor Sheet June Acft  '!$D$5</f>
        <v>165.71863636363636</v>
      </c>
      <c r="T643" s="22">
        <f>tblDailySchedule[[#This Row],[STD]]</f>
        <v>0.36805555555555558</v>
      </c>
    </row>
    <row r="644" spans="1:20" hidden="1" x14ac:dyDescent="0.35">
      <c r="A644" s="11">
        <v>46133</v>
      </c>
      <c r="B644" s="3">
        <v>2</v>
      </c>
      <c r="C644" t="s">
        <v>108</v>
      </c>
      <c r="D644" t="s">
        <v>18</v>
      </c>
      <c r="E644" s="3">
        <v>5</v>
      </c>
      <c r="F644" t="s">
        <v>19</v>
      </c>
      <c r="G644" t="s">
        <v>40</v>
      </c>
      <c r="H644" t="s">
        <v>31</v>
      </c>
      <c r="I644" s="12">
        <v>0.35069444444444442</v>
      </c>
      <c r="J644" t="s">
        <v>41</v>
      </c>
      <c r="K644" t="s">
        <v>31</v>
      </c>
      <c r="L644" s="12">
        <v>0.37152777777777779</v>
      </c>
      <c r="M644" t="s">
        <v>23</v>
      </c>
      <c r="N644" s="3">
        <v>186</v>
      </c>
      <c r="O644" t="s">
        <v>24</v>
      </c>
      <c r="P644" t="s">
        <v>25</v>
      </c>
      <c r="R644">
        <f>tblDailySchedule[[#This Row],[Capacity Approx]]*'[1]Load Factor Sheet June Acft  '!$B$5</f>
        <v>150.61772727272728</v>
      </c>
      <c r="S644">
        <f>tblDailySchedule[[#This Row],[Capacity Approx]]*'[1]Load Factor Sheet June Acft  '!$D$5</f>
        <v>163.08818181818182</v>
      </c>
      <c r="T644" s="22">
        <f>tblDailySchedule[[#This Row],[STD]]</f>
        <v>0.37152777777777779</v>
      </c>
    </row>
    <row r="645" spans="1:20" hidden="1" x14ac:dyDescent="0.35">
      <c r="A645" s="11">
        <v>46133</v>
      </c>
      <c r="B645" s="3">
        <v>2</v>
      </c>
      <c r="C645" t="s">
        <v>108</v>
      </c>
      <c r="D645" t="s">
        <v>18</v>
      </c>
      <c r="E645" s="3">
        <v>7</v>
      </c>
      <c r="F645" t="s">
        <v>19</v>
      </c>
      <c r="G645" t="s">
        <v>42</v>
      </c>
      <c r="H645" t="s">
        <v>43</v>
      </c>
      <c r="I645" s="12">
        <v>0.3923611111111111</v>
      </c>
      <c r="J645" t="s">
        <v>44</v>
      </c>
      <c r="K645" t="s">
        <v>43</v>
      </c>
      <c r="L645" s="12">
        <v>0.40277777777777779</v>
      </c>
      <c r="M645" t="s">
        <v>45</v>
      </c>
      <c r="N645" s="3">
        <v>9</v>
      </c>
      <c r="O645" t="s">
        <v>24</v>
      </c>
      <c r="P645" t="s">
        <v>25</v>
      </c>
      <c r="R645">
        <f>tblDailySchedule[[#This Row],[Capacity Approx]]*'[1]Load Factor Sheet June Acft  '!$B$5</f>
        <v>7.2879545454545456</v>
      </c>
      <c r="S645">
        <f>tblDailySchedule[[#This Row],[Capacity Approx]]*'[1]Load Factor Sheet June Acft  '!$D$5</f>
        <v>7.8913636363636366</v>
      </c>
      <c r="T645" s="22">
        <f>tblDailySchedule[[#This Row],[STD]]</f>
        <v>0.40277777777777779</v>
      </c>
    </row>
    <row r="646" spans="1:20" hidden="1" x14ac:dyDescent="0.35">
      <c r="A646" s="11">
        <v>46133</v>
      </c>
      <c r="B646" s="3">
        <v>2</v>
      </c>
      <c r="C646" t="s">
        <v>108</v>
      </c>
      <c r="D646" t="s">
        <v>18</v>
      </c>
      <c r="E646" s="3">
        <v>8</v>
      </c>
      <c r="F646" t="s">
        <v>19</v>
      </c>
      <c r="G646" t="s">
        <v>46</v>
      </c>
      <c r="H646" t="s">
        <v>31</v>
      </c>
      <c r="I646" s="12">
        <v>0.4201388888888889</v>
      </c>
      <c r="J646" t="s">
        <v>47</v>
      </c>
      <c r="K646" t="s">
        <v>31</v>
      </c>
      <c r="L646" s="12">
        <v>0.44444444444444442</v>
      </c>
      <c r="M646" t="s">
        <v>29</v>
      </c>
      <c r="N646" s="3">
        <v>186</v>
      </c>
      <c r="O646" t="s">
        <v>24</v>
      </c>
      <c r="P646" t="s">
        <v>25</v>
      </c>
      <c r="R646">
        <f>tblDailySchedule[[#This Row],[Capacity Approx]]*'[1]Load Factor Sheet June Acft  '!$B$5</f>
        <v>150.61772727272728</v>
      </c>
      <c r="S646">
        <f>tblDailySchedule[[#This Row],[Capacity Approx]]*'[1]Load Factor Sheet June Acft  '!$D$5</f>
        <v>163.08818181818182</v>
      </c>
      <c r="T646" s="22">
        <f>tblDailySchedule[[#This Row],[STD]]</f>
        <v>0.44444444444444442</v>
      </c>
    </row>
    <row r="647" spans="1:20" hidden="1" x14ac:dyDescent="0.35">
      <c r="A647" s="11">
        <v>46133</v>
      </c>
      <c r="B647" s="3">
        <v>2</v>
      </c>
      <c r="C647" t="s">
        <v>108</v>
      </c>
      <c r="D647" t="s">
        <v>18</v>
      </c>
      <c r="E647" s="3">
        <v>9</v>
      </c>
      <c r="F647" t="s">
        <v>19</v>
      </c>
      <c r="G647" t="s">
        <v>48</v>
      </c>
      <c r="H647" t="s">
        <v>49</v>
      </c>
      <c r="I647" s="12">
        <v>0.4375</v>
      </c>
      <c r="J647" t="s">
        <v>50</v>
      </c>
      <c r="K647" t="s">
        <v>49</v>
      </c>
      <c r="L647" s="12">
        <v>0.45833333333333331</v>
      </c>
      <c r="M647" t="s">
        <v>51</v>
      </c>
      <c r="N647" s="3">
        <v>78</v>
      </c>
      <c r="O647" t="s">
        <v>24</v>
      </c>
      <c r="P647" t="s">
        <v>25</v>
      </c>
      <c r="R647">
        <f>tblDailySchedule[[#This Row],[Capacity Approx]]*'[1]Load Factor Sheet June Acft  '!$B$5</f>
        <v>63.162272727272729</v>
      </c>
      <c r="S647">
        <f>tblDailySchedule[[#This Row],[Capacity Approx]]*'[1]Load Factor Sheet June Acft  '!$D$5</f>
        <v>68.391818181818181</v>
      </c>
      <c r="T647" s="22">
        <f>tblDailySchedule[[#This Row],[STD]]</f>
        <v>0.45833333333333331</v>
      </c>
    </row>
    <row r="648" spans="1:20" hidden="1" x14ac:dyDescent="0.35">
      <c r="A648" s="11">
        <v>46133</v>
      </c>
      <c r="B648" s="3">
        <v>2</v>
      </c>
      <c r="C648" t="s">
        <v>108</v>
      </c>
      <c r="D648" t="s">
        <v>18</v>
      </c>
      <c r="E648" s="3">
        <v>10</v>
      </c>
      <c r="F648" t="s">
        <v>19</v>
      </c>
      <c r="G648" t="s">
        <v>52</v>
      </c>
      <c r="H648" t="s">
        <v>27</v>
      </c>
      <c r="I648" s="12">
        <v>0.4826388888888889</v>
      </c>
      <c r="J648" t="s">
        <v>53</v>
      </c>
      <c r="K648" t="s">
        <v>27</v>
      </c>
      <c r="L648" s="12">
        <v>0.51041666666666663</v>
      </c>
      <c r="M648" t="s">
        <v>23</v>
      </c>
      <c r="N648" s="3">
        <v>186</v>
      </c>
      <c r="O648" t="s">
        <v>24</v>
      </c>
      <c r="P648" t="s">
        <v>25</v>
      </c>
      <c r="R648">
        <f>tblDailySchedule[[#This Row],[Capacity Approx]]*'[1]Load Factor Sheet June Acft  '!$B$5</f>
        <v>150.61772727272728</v>
      </c>
      <c r="S648">
        <f>tblDailySchedule[[#This Row],[Capacity Approx]]*'[1]Load Factor Sheet June Acft  '!$D$5</f>
        <v>163.08818181818182</v>
      </c>
      <c r="T648" s="22">
        <f>tblDailySchedule[[#This Row],[STD]]</f>
        <v>0.51041666666666663</v>
      </c>
    </row>
    <row r="649" spans="1:20" hidden="1" x14ac:dyDescent="0.35">
      <c r="A649" s="11">
        <v>46133</v>
      </c>
      <c r="B649" s="3">
        <v>2</v>
      </c>
      <c r="C649" t="s">
        <v>108</v>
      </c>
      <c r="D649" t="s">
        <v>18</v>
      </c>
      <c r="E649" s="3">
        <v>11</v>
      </c>
      <c r="F649" t="s">
        <v>19</v>
      </c>
      <c r="G649" t="s">
        <v>54</v>
      </c>
      <c r="H649" t="s">
        <v>31</v>
      </c>
      <c r="I649" s="12">
        <v>0.51388888888888884</v>
      </c>
      <c r="J649" t="s">
        <v>55</v>
      </c>
      <c r="K649" t="s">
        <v>31</v>
      </c>
      <c r="L649" s="12">
        <v>0.54166666666666663</v>
      </c>
      <c r="M649" t="s">
        <v>23</v>
      </c>
      <c r="N649" s="3">
        <v>186</v>
      </c>
      <c r="O649" t="s">
        <v>24</v>
      </c>
      <c r="P649" t="s">
        <v>56</v>
      </c>
      <c r="R649">
        <f>tblDailySchedule[[#This Row],[Capacity Approx]]*'[1]Load Factor Sheet June Acft  '!$B$5</f>
        <v>150.61772727272728</v>
      </c>
      <c r="S649">
        <f>tblDailySchedule[[#This Row],[Capacity Approx]]*'[1]Load Factor Sheet June Acft  '!$D$5</f>
        <v>163.08818181818182</v>
      </c>
      <c r="T649" s="22">
        <f>tblDailySchedule[[#This Row],[STD]]</f>
        <v>0.54166666666666663</v>
      </c>
    </row>
    <row r="650" spans="1:20" hidden="1" x14ac:dyDescent="0.35">
      <c r="A650" s="11">
        <v>46133</v>
      </c>
      <c r="B650" s="3">
        <v>2</v>
      </c>
      <c r="C650" t="s">
        <v>108</v>
      </c>
      <c r="D650" t="s">
        <v>18</v>
      </c>
      <c r="E650" s="3">
        <v>12</v>
      </c>
      <c r="F650" t="s">
        <v>109</v>
      </c>
      <c r="G650" t="s">
        <v>110</v>
      </c>
      <c r="H650" t="s">
        <v>111</v>
      </c>
      <c r="I650" s="12">
        <v>0.55555555555555558</v>
      </c>
      <c r="J650" t="s">
        <v>112</v>
      </c>
      <c r="K650" t="s">
        <v>111</v>
      </c>
      <c r="L650" s="12">
        <v>0.56944444444444442</v>
      </c>
      <c r="M650" t="s">
        <v>51</v>
      </c>
      <c r="N650" s="3">
        <v>78</v>
      </c>
      <c r="O650" t="s">
        <v>24</v>
      </c>
      <c r="P650" t="s">
        <v>56</v>
      </c>
      <c r="R650">
        <f>tblDailySchedule[[#This Row],[Capacity Approx]]*'[1]Load Factor Sheet June Acft  '!$B$5</f>
        <v>63.162272727272729</v>
      </c>
      <c r="S650">
        <f>tblDailySchedule[[#This Row],[Capacity Approx]]*'[1]Load Factor Sheet June Acft  '!$D$5</f>
        <v>68.391818181818181</v>
      </c>
      <c r="T650" s="22">
        <f>tblDailySchedule[[#This Row],[STD]]</f>
        <v>0.56944444444444442</v>
      </c>
    </row>
    <row r="651" spans="1:20" hidden="1" x14ac:dyDescent="0.35">
      <c r="A651" s="11">
        <v>46133</v>
      </c>
      <c r="B651" s="3">
        <v>2</v>
      </c>
      <c r="C651" t="s">
        <v>108</v>
      </c>
      <c r="D651" t="s">
        <v>18</v>
      </c>
      <c r="E651" s="3">
        <v>13</v>
      </c>
      <c r="F651" t="s">
        <v>19</v>
      </c>
      <c r="G651" t="s">
        <v>57</v>
      </c>
      <c r="H651" t="s">
        <v>58</v>
      </c>
      <c r="I651" s="12">
        <v>0.55902777777777779</v>
      </c>
      <c r="J651" t="s">
        <v>59</v>
      </c>
      <c r="K651" t="s">
        <v>58</v>
      </c>
      <c r="L651" s="12">
        <v>0.57638888888888884</v>
      </c>
      <c r="M651" t="s">
        <v>51</v>
      </c>
      <c r="N651" s="3">
        <v>78</v>
      </c>
      <c r="O651" t="s">
        <v>24</v>
      </c>
      <c r="P651" t="s">
        <v>56</v>
      </c>
      <c r="R651">
        <f>tblDailySchedule[[#This Row],[Capacity Approx]]*'[1]Load Factor Sheet June Acft  '!$B$5</f>
        <v>63.162272727272729</v>
      </c>
      <c r="S651">
        <f>tblDailySchedule[[#This Row],[Capacity Approx]]*'[1]Load Factor Sheet June Acft  '!$D$5</f>
        <v>68.391818181818181</v>
      </c>
      <c r="T651" s="22">
        <f>tblDailySchedule[[#This Row],[STD]]</f>
        <v>0.57638888888888884</v>
      </c>
    </row>
    <row r="652" spans="1:20" hidden="1" x14ac:dyDescent="0.35">
      <c r="A652" s="11">
        <v>46133</v>
      </c>
      <c r="B652" s="3">
        <v>2</v>
      </c>
      <c r="C652" t="s">
        <v>108</v>
      </c>
      <c r="D652" t="s">
        <v>18</v>
      </c>
      <c r="E652" s="3">
        <v>14</v>
      </c>
      <c r="F652" t="s">
        <v>19</v>
      </c>
      <c r="G652" t="s">
        <v>60</v>
      </c>
      <c r="H652" t="s">
        <v>61</v>
      </c>
      <c r="I652" s="12">
        <v>0.59027777777777779</v>
      </c>
      <c r="J652" t="s">
        <v>62</v>
      </c>
      <c r="K652" t="s">
        <v>61</v>
      </c>
      <c r="L652" s="12">
        <v>0.62152777777777779</v>
      </c>
      <c r="M652" t="s">
        <v>63</v>
      </c>
      <c r="N652" s="3">
        <v>232</v>
      </c>
      <c r="O652" t="s">
        <v>24</v>
      </c>
      <c r="P652" t="s">
        <v>56</v>
      </c>
      <c r="R652">
        <f>tblDailySchedule[[#This Row],[Capacity Approx]]*'[1]Load Factor Sheet June Acft  '!$B$5</f>
        <v>187.86727272727273</v>
      </c>
      <c r="S652">
        <f>tblDailySchedule[[#This Row],[Capacity Approx]]*'[1]Load Factor Sheet June Acft  '!$D$5</f>
        <v>203.4218181818182</v>
      </c>
      <c r="T652" s="22">
        <f>tblDailySchedule[[#This Row],[STD]]</f>
        <v>0.62152777777777779</v>
      </c>
    </row>
    <row r="653" spans="1:20" hidden="1" x14ac:dyDescent="0.35">
      <c r="A653" s="11">
        <v>46133</v>
      </c>
      <c r="B653" s="3">
        <v>2</v>
      </c>
      <c r="C653" t="s">
        <v>108</v>
      </c>
      <c r="D653" t="s">
        <v>18</v>
      </c>
      <c r="E653" s="3">
        <v>15</v>
      </c>
      <c r="F653" t="s">
        <v>19</v>
      </c>
      <c r="G653" t="s">
        <v>64</v>
      </c>
      <c r="H653" t="s">
        <v>31</v>
      </c>
      <c r="I653" s="12">
        <v>0.60069444444444442</v>
      </c>
      <c r="J653" t="s">
        <v>65</v>
      </c>
      <c r="K653" t="s">
        <v>66</v>
      </c>
      <c r="L653" s="12">
        <v>0.62847222222222221</v>
      </c>
      <c r="M653" t="s">
        <v>63</v>
      </c>
      <c r="N653" s="3">
        <v>232</v>
      </c>
      <c r="O653" t="s">
        <v>24</v>
      </c>
      <c r="P653" t="s">
        <v>56</v>
      </c>
      <c r="R653">
        <f>tblDailySchedule[[#This Row],[Capacity Approx]]*'[1]Load Factor Sheet June Acft  '!$B$5</f>
        <v>187.86727272727273</v>
      </c>
      <c r="S653">
        <f>tblDailySchedule[[#This Row],[Capacity Approx]]*'[1]Load Factor Sheet June Acft  '!$D$5</f>
        <v>203.4218181818182</v>
      </c>
      <c r="T653" s="22">
        <f>tblDailySchedule[[#This Row],[STD]]</f>
        <v>0.62847222222222221</v>
      </c>
    </row>
    <row r="654" spans="1:20" hidden="1" x14ac:dyDescent="0.35">
      <c r="A654" s="11">
        <v>46133</v>
      </c>
      <c r="B654" s="3">
        <v>2</v>
      </c>
      <c r="C654" t="s">
        <v>108</v>
      </c>
      <c r="D654" t="s">
        <v>18</v>
      </c>
      <c r="E654" s="3">
        <v>16</v>
      </c>
      <c r="F654" t="s">
        <v>19</v>
      </c>
      <c r="G654" t="s">
        <v>67</v>
      </c>
      <c r="H654" t="s">
        <v>31</v>
      </c>
      <c r="I654" s="12">
        <v>0.65625</v>
      </c>
      <c r="J654" t="s">
        <v>68</v>
      </c>
      <c r="K654" t="s">
        <v>31</v>
      </c>
      <c r="L654" s="12">
        <v>0.68402777777777779</v>
      </c>
      <c r="M654" t="s">
        <v>63</v>
      </c>
      <c r="N654" s="3">
        <v>232</v>
      </c>
      <c r="O654" t="s">
        <v>24</v>
      </c>
      <c r="P654" t="s">
        <v>56</v>
      </c>
      <c r="R654">
        <f>tblDailySchedule[[#This Row],[Capacity Approx]]*'[1]Load Factor Sheet June Acft  '!$B$5</f>
        <v>187.86727272727273</v>
      </c>
      <c r="S654">
        <f>tblDailySchedule[[#This Row],[Capacity Approx]]*'[1]Load Factor Sheet June Acft  '!$D$5</f>
        <v>203.4218181818182</v>
      </c>
      <c r="T654" s="22">
        <f>tblDailySchedule[[#This Row],[STD]]</f>
        <v>0.68402777777777779</v>
      </c>
    </row>
    <row r="655" spans="1:20" hidden="1" x14ac:dyDescent="0.35">
      <c r="A655" s="11">
        <v>46133</v>
      </c>
      <c r="B655" s="3">
        <v>2</v>
      </c>
      <c r="C655" t="s">
        <v>108</v>
      </c>
      <c r="D655" t="s">
        <v>18</v>
      </c>
      <c r="E655" s="3">
        <v>17</v>
      </c>
      <c r="F655" t="s">
        <v>19</v>
      </c>
      <c r="G655" t="s">
        <v>69</v>
      </c>
      <c r="H655" t="s">
        <v>31</v>
      </c>
      <c r="I655" s="12">
        <v>0.66319444444444442</v>
      </c>
      <c r="J655" t="s">
        <v>70</v>
      </c>
      <c r="K655" t="s">
        <v>31</v>
      </c>
      <c r="L655" s="12">
        <v>0.69097222222222221</v>
      </c>
      <c r="M655" t="s">
        <v>33</v>
      </c>
      <c r="N655" s="3">
        <v>189</v>
      </c>
      <c r="O655" t="s">
        <v>24</v>
      </c>
      <c r="P655" t="s">
        <v>56</v>
      </c>
      <c r="R655">
        <f>tblDailySchedule[[#This Row],[Capacity Approx]]*'[1]Load Factor Sheet June Acft  '!$B$5</f>
        <v>153.04704545454547</v>
      </c>
      <c r="S655">
        <f>tblDailySchedule[[#This Row],[Capacity Approx]]*'[1]Load Factor Sheet June Acft  '!$D$5</f>
        <v>165.71863636363636</v>
      </c>
      <c r="T655" s="22">
        <f>tblDailySchedule[[#This Row],[STD]]</f>
        <v>0.69097222222222221</v>
      </c>
    </row>
    <row r="656" spans="1:20" hidden="1" x14ac:dyDescent="0.35">
      <c r="A656" s="11">
        <v>46133</v>
      </c>
      <c r="B656" s="3">
        <v>2</v>
      </c>
      <c r="C656" t="s">
        <v>108</v>
      </c>
      <c r="D656" t="s">
        <v>18</v>
      </c>
      <c r="E656" s="3">
        <v>18</v>
      </c>
      <c r="F656" t="s">
        <v>19</v>
      </c>
      <c r="G656" t="s">
        <v>71</v>
      </c>
      <c r="H656" t="s">
        <v>21</v>
      </c>
      <c r="I656" s="12">
        <v>0.67013888888888884</v>
      </c>
      <c r="J656" t="s">
        <v>72</v>
      </c>
      <c r="K656" t="s">
        <v>21</v>
      </c>
      <c r="L656" s="12">
        <v>0.69791666666666663</v>
      </c>
      <c r="M656" t="s">
        <v>63</v>
      </c>
      <c r="N656" s="3">
        <v>232</v>
      </c>
      <c r="O656" t="s">
        <v>24</v>
      </c>
      <c r="P656" t="s">
        <v>56</v>
      </c>
      <c r="R656">
        <f>tblDailySchedule[[#This Row],[Capacity Approx]]*'[1]Load Factor Sheet June Acft  '!$B$5</f>
        <v>187.86727272727273</v>
      </c>
      <c r="S656">
        <f>tblDailySchedule[[#This Row],[Capacity Approx]]*'[1]Load Factor Sheet June Acft  '!$D$5</f>
        <v>203.4218181818182</v>
      </c>
      <c r="T656" s="22">
        <f>tblDailySchedule[[#This Row],[STD]]</f>
        <v>0.69791666666666663</v>
      </c>
    </row>
    <row r="657" spans="1:20" hidden="1" x14ac:dyDescent="0.35">
      <c r="A657" s="11">
        <v>46133</v>
      </c>
      <c r="B657" s="3">
        <v>2</v>
      </c>
      <c r="C657" t="s">
        <v>108</v>
      </c>
      <c r="D657" t="s">
        <v>18</v>
      </c>
      <c r="E657" s="3">
        <v>19</v>
      </c>
      <c r="F657" t="s">
        <v>19</v>
      </c>
      <c r="G657" t="s">
        <v>73</v>
      </c>
      <c r="H657" t="s">
        <v>27</v>
      </c>
      <c r="I657" s="12">
        <v>0.74652777777777779</v>
      </c>
      <c r="J657" t="s">
        <v>74</v>
      </c>
      <c r="K657" t="s">
        <v>27</v>
      </c>
      <c r="L657" s="12">
        <v>0.77430555555555558</v>
      </c>
      <c r="M657" t="s">
        <v>63</v>
      </c>
      <c r="N657" s="3">
        <v>232</v>
      </c>
      <c r="O657" t="s">
        <v>24</v>
      </c>
      <c r="P657" t="s">
        <v>56</v>
      </c>
      <c r="R657">
        <f>tblDailySchedule[[#This Row],[Capacity Approx]]*'[1]Load Factor Sheet June Acft  '!$B$5</f>
        <v>187.86727272727273</v>
      </c>
      <c r="S657">
        <f>tblDailySchedule[[#This Row],[Capacity Approx]]*'[1]Load Factor Sheet June Acft  '!$D$5</f>
        <v>203.4218181818182</v>
      </c>
      <c r="T657" s="22">
        <f>tblDailySchedule[[#This Row],[STD]]</f>
        <v>0.77430555555555558</v>
      </c>
    </row>
    <row r="658" spans="1:20" hidden="1" x14ac:dyDescent="0.35">
      <c r="A658" s="11">
        <v>46133</v>
      </c>
      <c r="B658" s="3">
        <v>2</v>
      </c>
      <c r="C658" t="s">
        <v>108</v>
      </c>
      <c r="D658" t="s">
        <v>18</v>
      </c>
      <c r="E658" s="3">
        <v>21</v>
      </c>
      <c r="F658" t="s">
        <v>19</v>
      </c>
      <c r="G658" t="s">
        <v>81</v>
      </c>
      <c r="H658" t="s">
        <v>61</v>
      </c>
      <c r="I658" s="12">
        <v>0.77083333333333337</v>
      </c>
      <c r="J658" t="s">
        <v>82</v>
      </c>
      <c r="K658" t="s">
        <v>49</v>
      </c>
      <c r="L658" s="12">
        <v>0.79166666666666663</v>
      </c>
      <c r="M658" t="s">
        <v>33</v>
      </c>
      <c r="N658" s="3">
        <v>189</v>
      </c>
      <c r="O658" t="s">
        <v>24</v>
      </c>
      <c r="P658" t="s">
        <v>79</v>
      </c>
      <c r="R658">
        <f>tblDailySchedule[[#This Row],[Capacity Approx]]*'[1]Load Factor Sheet June Acft  '!$B$5</f>
        <v>153.04704545454547</v>
      </c>
      <c r="S658">
        <f>tblDailySchedule[[#This Row],[Capacity Approx]]*'[1]Load Factor Sheet June Acft  '!$D$5</f>
        <v>165.71863636363636</v>
      </c>
      <c r="T658" s="22">
        <f>tblDailySchedule[[#This Row],[STD]]</f>
        <v>0.79166666666666663</v>
      </c>
    </row>
    <row r="659" spans="1:20" hidden="1" x14ac:dyDescent="0.35">
      <c r="A659" s="11">
        <v>46133</v>
      </c>
      <c r="B659" s="3">
        <v>2</v>
      </c>
      <c r="C659" t="s">
        <v>108</v>
      </c>
      <c r="D659" t="s">
        <v>18</v>
      </c>
      <c r="E659" s="3">
        <v>22</v>
      </c>
      <c r="F659" t="s">
        <v>19</v>
      </c>
      <c r="G659" t="s">
        <v>83</v>
      </c>
      <c r="H659" t="s">
        <v>31</v>
      </c>
      <c r="I659" s="12">
        <v>0.77777777777777779</v>
      </c>
      <c r="J659" t="s">
        <v>84</v>
      </c>
      <c r="K659" t="s">
        <v>31</v>
      </c>
      <c r="L659" s="12">
        <v>0.80555555555555558</v>
      </c>
      <c r="M659" t="s">
        <v>63</v>
      </c>
      <c r="N659" s="3">
        <v>232</v>
      </c>
      <c r="O659" t="s">
        <v>24</v>
      </c>
      <c r="P659" t="s">
        <v>79</v>
      </c>
      <c r="R659">
        <f>tblDailySchedule[[#This Row],[Capacity Approx]]*'[1]Load Factor Sheet June Acft  '!$B$5</f>
        <v>187.86727272727273</v>
      </c>
      <c r="S659">
        <f>tblDailySchedule[[#This Row],[Capacity Approx]]*'[1]Load Factor Sheet June Acft  '!$D$5</f>
        <v>203.4218181818182</v>
      </c>
      <c r="T659" s="22">
        <f>tblDailySchedule[[#This Row],[STD]]</f>
        <v>0.80555555555555558</v>
      </c>
    </row>
    <row r="660" spans="1:20" hidden="1" x14ac:dyDescent="0.35">
      <c r="A660" s="11">
        <v>46133</v>
      </c>
      <c r="B660" s="3">
        <v>2</v>
      </c>
      <c r="C660" t="s">
        <v>108</v>
      </c>
      <c r="D660" t="s">
        <v>18</v>
      </c>
      <c r="E660" s="3">
        <v>23</v>
      </c>
      <c r="F660" t="s">
        <v>19</v>
      </c>
      <c r="G660" t="s">
        <v>85</v>
      </c>
      <c r="H660" t="s">
        <v>86</v>
      </c>
      <c r="I660" s="12">
        <v>0.79861111111111116</v>
      </c>
      <c r="J660" t="s">
        <v>87</v>
      </c>
      <c r="K660" t="s">
        <v>86</v>
      </c>
      <c r="L660" s="12">
        <v>0.82638888888888884</v>
      </c>
      <c r="M660" t="s">
        <v>63</v>
      </c>
      <c r="N660" s="3">
        <v>232</v>
      </c>
      <c r="O660" t="s">
        <v>24</v>
      </c>
      <c r="P660" t="s">
        <v>79</v>
      </c>
      <c r="R660">
        <f>tblDailySchedule[[#This Row],[Capacity Approx]]*'[1]Load Factor Sheet June Acft  '!$B$5</f>
        <v>187.86727272727273</v>
      </c>
      <c r="S660">
        <f>tblDailySchedule[[#This Row],[Capacity Approx]]*'[1]Load Factor Sheet June Acft  '!$D$5</f>
        <v>203.4218181818182</v>
      </c>
      <c r="T660" s="22">
        <f>tblDailySchedule[[#This Row],[STD]]</f>
        <v>0.82638888888888884</v>
      </c>
    </row>
    <row r="661" spans="1:20" hidden="1" x14ac:dyDescent="0.35">
      <c r="A661" s="11">
        <v>46133</v>
      </c>
      <c r="B661" s="3">
        <v>2</v>
      </c>
      <c r="C661" t="s">
        <v>108</v>
      </c>
      <c r="D661" t="s">
        <v>18</v>
      </c>
      <c r="E661" s="3">
        <v>24</v>
      </c>
      <c r="F661" t="s">
        <v>19</v>
      </c>
      <c r="G661" t="s">
        <v>88</v>
      </c>
      <c r="H661" t="s">
        <v>89</v>
      </c>
      <c r="I661" s="12">
        <v>0.83333333333333337</v>
      </c>
      <c r="J661" t="s">
        <v>90</v>
      </c>
      <c r="K661" t="s">
        <v>31</v>
      </c>
      <c r="L661" s="12">
        <v>0.86111111111111116</v>
      </c>
      <c r="M661" t="s">
        <v>63</v>
      </c>
      <c r="N661" s="3">
        <v>232</v>
      </c>
      <c r="O661" t="s">
        <v>24</v>
      </c>
      <c r="P661" t="s">
        <v>79</v>
      </c>
      <c r="R661">
        <f>tblDailySchedule[[#This Row],[Capacity Approx]]*'[1]Load Factor Sheet June Acft  '!$B$5</f>
        <v>187.86727272727273</v>
      </c>
      <c r="S661">
        <f>tblDailySchedule[[#This Row],[Capacity Approx]]*'[1]Load Factor Sheet June Acft  '!$D$5</f>
        <v>203.4218181818182</v>
      </c>
      <c r="T661" s="22">
        <f>tblDailySchedule[[#This Row],[STD]]</f>
        <v>0.86111111111111116</v>
      </c>
    </row>
    <row r="662" spans="1:20" hidden="1" x14ac:dyDescent="0.35">
      <c r="A662" s="11">
        <v>46133</v>
      </c>
      <c r="B662" s="3">
        <v>2</v>
      </c>
      <c r="C662" t="s">
        <v>108</v>
      </c>
      <c r="D662" t="s">
        <v>18</v>
      </c>
      <c r="E662" s="3">
        <v>25</v>
      </c>
      <c r="F662" t="s">
        <v>19</v>
      </c>
      <c r="G662" t="s">
        <v>91</v>
      </c>
      <c r="H662" t="s">
        <v>61</v>
      </c>
      <c r="I662" s="12">
        <v>0.85416666666666663</v>
      </c>
      <c r="J662" t="s">
        <v>92</v>
      </c>
      <c r="K662" t="s">
        <v>61</v>
      </c>
      <c r="L662" s="12">
        <v>0.88194444444444442</v>
      </c>
      <c r="M662" t="s">
        <v>63</v>
      </c>
      <c r="N662" s="3">
        <v>232</v>
      </c>
      <c r="O662" t="s">
        <v>24</v>
      </c>
      <c r="P662" t="s">
        <v>79</v>
      </c>
      <c r="R662">
        <f>tblDailySchedule[[#This Row],[Capacity Approx]]*'[1]Load Factor Sheet June Acft  '!$B$5</f>
        <v>187.86727272727273</v>
      </c>
      <c r="S662">
        <f>tblDailySchedule[[#This Row],[Capacity Approx]]*'[1]Load Factor Sheet June Acft  '!$D$5</f>
        <v>203.4218181818182</v>
      </c>
      <c r="T662" s="22">
        <f>tblDailySchedule[[#This Row],[STD]]</f>
        <v>0.88194444444444442</v>
      </c>
    </row>
    <row r="663" spans="1:20" hidden="1" x14ac:dyDescent="0.35">
      <c r="A663" s="11">
        <v>46133</v>
      </c>
      <c r="B663" s="3">
        <v>2</v>
      </c>
      <c r="C663" t="s">
        <v>108</v>
      </c>
      <c r="D663" t="s">
        <v>18</v>
      </c>
      <c r="E663" s="3">
        <v>26</v>
      </c>
      <c r="F663" t="s">
        <v>19</v>
      </c>
      <c r="G663" t="s">
        <v>93</v>
      </c>
      <c r="H663" t="s">
        <v>31</v>
      </c>
      <c r="I663" s="12">
        <v>0.86111111111111116</v>
      </c>
      <c r="J663" t="s">
        <v>94</v>
      </c>
      <c r="K663" t="s">
        <v>31</v>
      </c>
      <c r="L663" s="12">
        <v>0.88888888888888884</v>
      </c>
      <c r="M663" t="s">
        <v>23</v>
      </c>
      <c r="N663" s="3">
        <v>186</v>
      </c>
      <c r="O663" t="s">
        <v>24</v>
      </c>
      <c r="P663" t="s">
        <v>79</v>
      </c>
      <c r="R663">
        <f>tblDailySchedule[[#This Row],[Capacity Approx]]*'[1]Load Factor Sheet June Acft  '!$B$5</f>
        <v>150.61772727272728</v>
      </c>
      <c r="S663">
        <f>tblDailySchedule[[#This Row],[Capacity Approx]]*'[1]Load Factor Sheet June Acft  '!$D$5</f>
        <v>163.08818181818182</v>
      </c>
      <c r="T663" s="22">
        <f>tblDailySchedule[[#This Row],[STD]]</f>
        <v>0.88888888888888884</v>
      </c>
    </row>
    <row r="664" spans="1:20" hidden="1" x14ac:dyDescent="0.35">
      <c r="A664" s="11">
        <v>46133</v>
      </c>
      <c r="B664" s="3">
        <v>2</v>
      </c>
      <c r="C664" t="s">
        <v>108</v>
      </c>
      <c r="D664" t="s">
        <v>18</v>
      </c>
      <c r="E664" s="3">
        <v>27</v>
      </c>
      <c r="F664" t="s">
        <v>19</v>
      </c>
      <c r="G664" t="s">
        <v>95</v>
      </c>
      <c r="H664" t="s">
        <v>21</v>
      </c>
      <c r="I664" s="12">
        <v>0.86805555555555558</v>
      </c>
      <c r="J664" t="s">
        <v>96</v>
      </c>
      <c r="K664" t="s">
        <v>21</v>
      </c>
      <c r="L664" s="12">
        <v>0.89583333333333337</v>
      </c>
      <c r="M664" t="s">
        <v>29</v>
      </c>
      <c r="N664" s="3">
        <v>186</v>
      </c>
      <c r="O664" t="s">
        <v>24</v>
      </c>
      <c r="P664" t="s">
        <v>79</v>
      </c>
      <c r="R664">
        <f>tblDailySchedule[[#This Row],[Capacity Approx]]*'[1]Load Factor Sheet June Acft  '!$B$5</f>
        <v>150.61772727272728</v>
      </c>
      <c r="S664">
        <f>tblDailySchedule[[#This Row],[Capacity Approx]]*'[1]Load Factor Sheet June Acft  '!$D$5</f>
        <v>163.08818181818182</v>
      </c>
      <c r="T664" s="22">
        <f>tblDailySchedule[[#This Row],[STD]]</f>
        <v>0.89583333333333337</v>
      </c>
    </row>
    <row r="665" spans="1:20" hidden="1" x14ac:dyDescent="0.35">
      <c r="A665" s="11">
        <v>46133</v>
      </c>
      <c r="B665" s="3">
        <v>2</v>
      </c>
      <c r="C665" t="s">
        <v>108</v>
      </c>
      <c r="D665" t="s">
        <v>18</v>
      </c>
      <c r="E665" s="3">
        <v>28</v>
      </c>
      <c r="F665" t="s">
        <v>19</v>
      </c>
      <c r="G665" t="s">
        <v>97</v>
      </c>
      <c r="H665" t="s">
        <v>49</v>
      </c>
      <c r="I665" s="12">
        <v>0.90277777777777779</v>
      </c>
      <c r="J665" t="s">
        <v>97</v>
      </c>
      <c r="K665" t="s">
        <v>61</v>
      </c>
      <c r="L665" s="12">
        <v>0.92361111111111116</v>
      </c>
      <c r="M665" t="s">
        <v>33</v>
      </c>
      <c r="N665" s="3">
        <v>189</v>
      </c>
      <c r="O665" t="s">
        <v>24</v>
      </c>
      <c r="P665" t="s">
        <v>79</v>
      </c>
      <c r="R665">
        <f>tblDailySchedule[[#This Row],[Capacity Approx]]*'[1]Load Factor Sheet June Acft  '!$B$5</f>
        <v>153.04704545454547</v>
      </c>
      <c r="S665">
        <f>tblDailySchedule[[#This Row],[Capacity Approx]]*'[1]Load Factor Sheet June Acft  '!$D$5</f>
        <v>165.71863636363636</v>
      </c>
      <c r="T665" s="22">
        <f>tblDailySchedule[[#This Row],[STD]]</f>
        <v>0.92361111111111116</v>
      </c>
    </row>
    <row r="666" spans="1:20" hidden="1" x14ac:dyDescent="0.35">
      <c r="A666" s="11">
        <v>46133</v>
      </c>
      <c r="B666" s="3">
        <v>2</v>
      </c>
      <c r="C666" t="s">
        <v>108</v>
      </c>
      <c r="D666" t="s">
        <v>18</v>
      </c>
      <c r="E666" s="3">
        <v>29</v>
      </c>
      <c r="F666" t="s">
        <v>19</v>
      </c>
      <c r="G666" t="s">
        <v>98</v>
      </c>
      <c r="H666" t="s">
        <v>21</v>
      </c>
      <c r="I666" s="12">
        <v>0.92013888888888884</v>
      </c>
      <c r="J666" t="s">
        <v>99</v>
      </c>
      <c r="K666" t="s">
        <v>21</v>
      </c>
      <c r="L666" s="12">
        <v>0.94791666666666663</v>
      </c>
      <c r="M666" t="s">
        <v>63</v>
      </c>
      <c r="N666" s="3">
        <v>232</v>
      </c>
      <c r="O666" t="s">
        <v>24</v>
      </c>
      <c r="P666" t="s">
        <v>79</v>
      </c>
      <c r="R666">
        <f>tblDailySchedule[[#This Row],[Capacity Approx]]*'[1]Load Factor Sheet June Acft  '!$B$5</f>
        <v>187.86727272727273</v>
      </c>
      <c r="S666">
        <f>tblDailySchedule[[#This Row],[Capacity Approx]]*'[1]Load Factor Sheet June Acft  '!$D$5</f>
        <v>203.4218181818182</v>
      </c>
      <c r="T666" s="22">
        <f>tblDailySchedule[[#This Row],[STD]]</f>
        <v>0.94791666666666663</v>
      </c>
    </row>
    <row r="667" spans="1:20" hidden="1" x14ac:dyDescent="0.35">
      <c r="A667" s="11">
        <v>46134</v>
      </c>
      <c r="B667" s="3">
        <v>3</v>
      </c>
      <c r="C667" t="s">
        <v>113</v>
      </c>
      <c r="D667" t="s">
        <v>18</v>
      </c>
      <c r="E667" s="3">
        <v>2</v>
      </c>
      <c r="F667" t="s">
        <v>19</v>
      </c>
      <c r="G667" t="s">
        <v>20</v>
      </c>
      <c r="H667" t="s">
        <v>21</v>
      </c>
      <c r="I667" s="12">
        <v>0.31944444444444442</v>
      </c>
      <c r="J667" t="s">
        <v>22</v>
      </c>
      <c r="K667" t="s">
        <v>21</v>
      </c>
      <c r="L667" s="12">
        <v>0.34722222222222221</v>
      </c>
      <c r="M667" t="s">
        <v>23</v>
      </c>
      <c r="N667" s="3">
        <v>186</v>
      </c>
      <c r="O667" t="s">
        <v>24</v>
      </c>
      <c r="P667" t="s">
        <v>25</v>
      </c>
      <c r="R667">
        <f>tblDailySchedule[[#This Row],[Capacity Approx]]*'[1]Load Factor Sheet June Acft  '!$B$5</f>
        <v>150.61772727272728</v>
      </c>
      <c r="S667">
        <f>tblDailySchedule[[#This Row],[Capacity Approx]]*'[1]Load Factor Sheet June Acft  '!$D$5</f>
        <v>163.08818181818182</v>
      </c>
      <c r="T667" s="22">
        <f>tblDailySchedule[[#This Row],[STD]]</f>
        <v>0.34722222222222221</v>
      </c>
    </row>
    <row r="668" spans="1:20" hidden="1" x14ac:dyDescent="0.35">
      <c r="A668" s="11">
        <v>46134</v>
      </c>
      <c r="B668" s="3">
        <v>3</v>
      </c>
      <c r="C668" t="s">
        <v>113</v>
      </c>
      <c r="D668" t="s">
        <v>18</v>
      </c>
      <c r="E668" s="3">
        <v>3</v>
      </c>
      <c r="F668" t="s">
        <v>19</v>
      </c>
      <c r="G668" t="s">
        <v>26</v>
      </c>
      <c r="H668" t="s">
        <v>27</v>
      </c>
      <c r="I668" s="12">
        <v>0.3263888888888889</v>
      </c>
      <c r="J668" t="s">
        <v>28</v>
      </c>
      <c r="K668" t="s">
        <v>27</v>
      </c>
      <c r="L668" s="12">
        <v>0.35416666666666669</v>
      </c>
      <c r="M668" t="s">
        <v>29</v>
      </c>
      <c r="N668" s="3">
        <v>186</v>
      </c>
      <c r="O668" t="s">
        <v>24</v>
      </c>
      <c r="P668" t="s">
        <v>25</v>
      </c>
      <c r="R668">
        <f>tblDailySchedule[[#This Row],[Capacity Approx]]*'[1]Load Factor Sheet June Acft  '!$B$5</f>
        <v>150.61772727272728</v>
      </c>
      <c r="S668">
        <f>tblDailySchedule[[#This Row],[Capacity Approx]]*'[1]Load Factor Sheet June Acft  '!$D$5</f>
        <v>163.08818181818182</v>
      </c>
      <c r="T668" s="22">
        <f>tblDailySchedule[[#This Row],[STD]]</f>
        <v>0.35416666666666669</v>
      </c>
    </row>
    <row r="669" spans="1:20" hidden="1" x14ac:dyDescent="0.35">
      <c r="A669" s="11">
        <v>46134</v>
      </c>
      <c r="B669" s="3">
        <v>3</v>
      </c>
      <c r="C669" t="s">
        <v>113</v>
      </c>
      <c r="D669" t="s">
        <v>18</v>
      </c>
      <c r="E669" s="3">
        <v>4</v>
      </c>
      <c r="F669" t="s">
        <v>19</v>
      </c>
      <c r="G669" t="s">
        <v>30</v>
      </c>
      <c r="H669" t="s">
        <v>31</v>
      </c>
      <c r="I669" s="12">
        <v>0.34722222222222221</v>
      </c>
      <c r="J669" t="s">
        <v>32</v>
      </c>
      <c r="K669" t="s">
        <v>31</v>
      </c>
      <c r="L669" s="12">
        <v>0.36805555555555558</v>
      </c>
      <c r="M669" t="s">
        <v>33</v>
      </c>
      <c r="N669" s="3">
        <v>189</v>
      </c>
      <c r="O669" t="s">
        <v>24</v>
      </c>
      <c r="P669" t="s">
        <v>25</v>
      </c>
      <c r="R669">
        <f>tblDailySchedule[[#This Row],[Capacity Approx]]*'[1]Load Factor Sheet June Acft  '!$B$5</f>
        <v>153.04704545454547</v>
      </c>
      <c r="S669">
        <f>tblDailySchedule[[#This Row],[Capacity Approx]]*'[1]Load Factor Sheet June Acft  '!$D$5</f>
        <v>165.71863636363636</v>
      </c>
      <c r="T669" s="22">
        <f>tblDailySchedule[[#This Row],[STD]]</f>
        <v>0.36805555555555558</v>
      </c>
    </row>
    <row r="670" spans="1:20" hidden="1" x14ac:dyDescent="0.35">
      <c r="A670" s="13">
        <v>46134</v>
      </c>
      <c r="B670" s="7">
        <v>3</v>
      </c>
      <c r="C670" s="14" t="s">
        <v>113</v>
      </c>
      <c r="D670" s="14" t="s">
        <v>18</v>
      </c>
      <c r="E670" s="7">
        <v>6</v>
      </c>
      <c r="F670" s="14" t="s">
        <v>34</v>
      </c>
      <c r="G670" s="14" t="s">
        <v>35</v>
      </c>
      <c r="H670" s="14" t="s">
        <v>36</v>
      </c>
      <c r="I670" s="15">
        <v>0.34722222222222221</v>
      </c>
      <c r="J670" s="14" t="s">
        <v>37</v>
      </c>
      <c r="K670" s="14" t="s">
        <v>36</v>
      </c>
      <c r="L670" s="15">
        <v>0.40972222222222221</v>
      </c>
      <c r="M670" s="14" t="s">
        <v>38</v>
      </c>
      <c r="N670" s="7">
        <v>186</v>
      </c>
      <c r="O670" s="14" t="s">
        <v>39</v>
      </c>
      <c r="P670" s="14" t="s">
        <v>25</v>
      </c>
      <c r="Q670" s="14" t="s">
        <v>39</v>
      </c>
      <c r="R670">
        <f>tblDailySchedule[[#This Row],[Capacity Approx]]*'[1]Load Factor Sheet June Acft  '!$B$5</f>
        <v>150.61772727272728</v>
      </c>
      <c r="S670">
        <f>tblDailySchedule[[#This Row],[Capacity Approx]]*'[1]Load Factor Sheet June Acft  '!$D$5</f>
        <v>163.08818181818182</v>
      </c>
      <c r="T670" s="22">
        <f>tblDailySchedule[[#This Row],[STD]]</f>
        <v>0.40972222222222221</v>
      </c>
    </row>
    <row r="671" spans="1:20" hidden="1" x14ac:dyDescent="0.35">
      <c r="A671" s="11">
        <v>46134</v>
      </c>
      <c r="B671" s="3">
        <v>3</v>
      </c>
      <c r="C671" t="s">
        <v>113</v>
      </c>
      <c r="D671" t="s">
        <v>18</v>
      </c>
      <c r="E671" s="3">
        <v>5</v>
      </c>
      <c r="F671" t="s">
        <v>19</v>
      </c>
      <c r="G671" t="s">
        <v>40</v>
      </c>
      <c r="H671" t="s">
        <v>31</v>
      </c>
      <c r="I671" s="12">
        <v>0.35069444444444442</v>
      </c>
      <c r="J671" t="s">
        <v>41</v>
      </c>
      <c r="K671" t="s">
        <v>31</v>
      </c>
      <c r="L671" s="12">
        <v>0.37152777777777779</v>
      </c>
      <c r="M671" t="s">
        <v>23</v>
      </c>
      <c r="N671" s="3">
        <v>186</v>
      </c>
      <c r="O671" t="s">
        <v>24</v>
      </c>
      <c r="P671" t="s">
        <v>25</v>
      </c>
      <c r="R671">
        <f>tblDailySchedule[[#This Row],[Capacity Approx]]*'[1]Load Factor Sheet June Acft  '!$B$5</f>
        <v>150.61772727272728</v>
      </c>
      <c r="S671">
        <f>tblDailySchedule[[#This Row],[Capacity Approx]]*'[1]Load Factor Sheet June Acft  '!$D$5</f>
        <v>163.08818181818182</v>
      </c>
      <c r="T671" s="22">
        <f>tblDailySchedule[[#This Row],[STD]]</f>
        <v>0.37152777777777779</v>
      </c>
    </row>
    <row r="672" spans="1:20" hidden="1" x14ac:dyDescent="0.35">
      <c r="A672" s="11">
        <v>46134</v>
      </c>
      <c r="B672" s="3">
        <v>3</v>
      </c>
      <c r="C672" t="s">
        <v>113</v>
      </c>
      <c r="D672" t="s">
        <v>18</v>
      </c>
      <c r="E672" s="3">
        <v>7</v>
      </c>
      <c r="F672" t="s">
        <v>19</v>
      </c>
      <c r="G672" t="s">
        <v>42</v>
      </c>
      <c r="H672" t="s">
        <v>43</v>
      </c>
      <c r="I672" s="12">
        <v>0.3923611111111111</v>
      </c>
      <c r="J672" t="s">
        <v>44</v>
      </c>
      <c r="K672" t="s">
        <v>43</v>
      </c>
      <c r="L672" s="12">
        <v>0.40277777777777779</v>
      </c>
      <c r="M672" t="s">
        <v>45</v>
      </c>
      <c r="N672" s="3">
        <v>9</v>
      </c>
      <c r="O672" t="s">
        <v>24</v>
      </c>
      <c r="P672" t="s">
        <v>25</v>
      </c>
      <c r="R672">
        <f>tblDailySchedule[[#This Row],[Capacity Approx]]*'[1]Load Factor Sheet June Acft  '!$B$5</f>
        <v>7.2879545454545456</v>
      </c>
      <c r="S672">
        <f>tblDailySchedule[[#This Row],[Capacity Approx]]*'[1]Load Factor Sheet June Acft  '!$D$5</f>
        <v>7.8913636363636366</v>
      </c>
      <c r="T672" s="22">
        <f>tblDailySchedule[[#This Row],[STD]]</f>
        <v>0.40277777777777779</v>
      </c>
    </row>
    <row r="673" spans="1:20" hidden="1" x14ac:dyDescent="0.35">
      <c r="A673" s="11">
        <v>46134</v>
      </c>
      <c r="B673" s="3">
        <v>3</v>
      </c>
      <c r="C673" t="s">
        <v>113</v>
      </c>
      <c r="D673" t="s">
        <v>18</v>
      </c>
      <c r="E673" s="3">
        <v>8</v>
      </c>
      <c r="F673" t="s">
        <v>19</v>
      </c>
      <c r="G673" t="s">
        <v>46</v>
      </c>
      <c r="H673" t="s">
        <v>31</v>
      </c>
      <c r="I673" s="12">
        <v>0.4201388888888889</v>
      </c>
      <c r="J673" t="s">
        <v>47</v>
      </c>
      <c r="K673" t="s">
        <v>31</v>
      </c>
      <c r="L673" s="12">
        <v>0.44444444444444442</v>
      </c>
      <c r="M673" t="s">
        <v>29</v>
      </c>
      <c r="N673" s="3">
        <v>186</v>
      </c>
      <c r="O673" t="s">
        <v>24</v>
      </c>
      <c r="P673" t="s">
        <v>25</v>
      </c>
      <c r="R673">
        <f>tblDailySchedule[[#This Row],[Capacity Approx]]*'[1]Load Factor Sheet June Acft  '!$B$5</f>
        <v>150.61772727272728</v>
      </c>
      <c r="S673">
        <f>tblDailySchedule[[#This Row],[Capacity Approx]]*'[1]Load Factor Sheet June Acft  '!$D$5</f>
        <v>163.08818181818182</v>
      </c>
      <c r="T673" s="22">
        <f>tblDailySchedule[[#This Row],[STD]]</f>
        <v>0.44444444444444442</v>
      </c>
    </row>
    <row r="674" spans="1:20" hidden="1" x14ac:dyDescent="0.35">
      <c r="A674" s="11">
        <v>46134</v>
      </c>
      <c r="B674" s="3">
        <v>3</v>
      </c>
      <c r="C674" t="s">
        <v>113</v>
      </c>
      <c r="D674" t="s">
        <v>18</v>
      </c>
      <c r="E674" s="3">
        <v>9</v>
      </c>
      <c r="F674" t="s">
        <v>19</v>
      </c>
      <c r="G674" t="s">
        <v>48</v>
      </c>
      <c r="H674" t="s">
        <v>49</v>
      </c>
      <c r="I674" s="12">
        <v>0.4375</v>
      </c>
      <c r="J674" t="s">
        <v>50</v>
      </c>
      <c r="K674" t="s">
        <v>49</v>
      </c>
      <c r="L674" s="12">
        <v>0.45833333333333331</v>
      </c>
      <c r="M674" t="s">
        <v>51</v>
      </c>
      <c r="N674" s="3">
        <v>78</v>
      </c>
      <c r="O674" t="s">
        <v>24</v>
      </c>
      <c r="P674" t="s">
        <v>25</v>
      </c>
      <c r="R674">
        <f>tblDailySchedule[[#This Row],[Capacity Approx]]*'[1]Load Factor Sheet June Acft  '!$B$5</f>
        <v>63.162272727272729</v>
      </c>
      <c r="S674">
        <f>tblDailySchedule[[#This Row],[Capacity Approx]]*'[1]Load Factor Sheet June Acft  '!$D$5</f>
        <v>68.391818181818181</v>
      </c>
      <c r="T674" s="22">
        <f>tblDailySchedule[[#This Row],[STD]]</f>
        <v>0.45833333333333331</v>
      </c>
    </row>
    <row r="675" spans="1:20" hidden="1" x14ac:dyDescent="0.35">
      <c r="A675" s="11">
        <v>46134</v>
      </c>
      <c r="B675" s="3">
        <v>3</v>
      </c>
      <c r="C675" t="s">
        <v>113</v>
      </c>
      <c r="D675" t="s">
        <v>18</v>
      </c>
      <c r="E675" s="3">
        <v>10</v>
      </c>
      <c r="F675" t="s">
        <v>19</v>
      </c>
      <c r="G675" t="s">
        <v>52</v>
      </c>
      <c r="H675" t="s">
        <v>27</v>
      </c>
      <c r="I675" s="12">
        <v>0.4826388888888889</v>
      </c>
      <c r="J675" t="s">
        <v>53</v>
      </c>
      <c r="K675" t="s">
        <v>27</v>
      </c>
      <c r="L675" s="12">
        <v>0.51041666666666663</v>
      </c>
      <c r="M675" t="s">
        <v>23</v>
      </c>
      <c r="N675" s="3">
        <v>186</v>
      </c>
      <c r="O675" t="s">
        <v>24</v>
      </c>
      <c r="P675" t="s">
        <v>25</v>
      </c>
      <c r="R675">
        <f>tblDailySchedule[[#This Row],[Capacity Approx]]*'[1]Load Factor Sheet June Acft  '!$B$5</f>
        <v>150.61772727272728</v>
      </c>
      <c r="S675">
        <f>tblDailySchedule[[#This Row],[Capacity Approx]]*'[1]Load Factor Sheet June Acft  '!$D$5</f>
        <v>163.08818181818182</v>
      </c>
      <c r="T675" s="22">
        <f>tblDailySchedule[[#This Row],[STD]]</f>
        <v>0.51041666666666663</v>
      </c>
    </row>
    <row r="676" spans="1:20" hidden="1" x14ac:dyDescent="0.35">
      <c r="A676" s="11">
        <v>46134</v>
      </c>
      <c r="B676" s="3">
        <v>3</v>
      </c>
      <c r="C676" t="s">
        <v>113</v>
      </c>
      <c r="D676" t="s">
        <v>18</v>
      </c>
      <c r="E676" s="3">
        <v>11</v>
      </c>
      <c r="F676" t="s">
        <v>19</v>
      </c>
      <c r="G676" t="s">
        <v>54</v>
      </c>
      <c r="H676" t="s">
        <v>31</v>
      </c>
      <c r="I676" s="12">
        <v>0.51388888888888884</v>
      </c>
      <c r="J676" t="s">
        <v>55</v>
      </c>
      <c r="K676" t="s">
        <v>31</v>
      </c>
      <c r="L676" s="12">
        <v>0.54166666666666663</v>
      </c>
      <c r="M676" t="s">
        <v>23</v>
      </c>
      <c r="N676" s="3">
        <v>186</v>
      </c>
      <c r="O676" t="s">
        <v>24</v>
      </c>
      <c r="P676" t="s">
        <v>56</v>
      </c>
      <c r="R676">
        <f>tblDailySchedule[[#This Row],[Capacity Approx]]*'[1]Load Factor Sheet June Acft  '!$B$5</f>
        <v>150.61772727272728</v>
      </c>
      <c r="S676">
        <f>tblDailySchedule[[#This Row],[Capacity Approx]]*'[1]Load Factor Sheet June Acft  '!$D$5</f>
        <v>163.08818181818182</v>
      </c>
      <c r="T676" s="22">
        <f>tblDailySchedule[[#This Row],[STD]]</f>
        <v>0.54166666666666663</v>
      </c>
    </row>
    <row r="677" spans="1:20" hidden="1" x14ac:dyDescent="0.35">
      <c r="A677" s="11">
        <v>46134</v>
      </c>
      <c r="B677" s="3">
        <v>3</v>
      </c>
      <c r="C677" t="s">
        <v>113</v>
      </c>
      <c r="D677" t="s">
        <v>18</v>
      </c>
      <c r="E677" s="3">
        <v>13</v>
      </c>
      <c r="F677" t="s">
        <v>19</v>
      </c>
      <c r="G677" t="s">
        <v>57</v>
      </c>
      <c r="H677" t="s">
        <v>58</v>
      </c>
      <c r="I677" s="12">
        <v>0.55902777777777779</v>
      </c>
      <c r="J677" t="s">
        <v>59</v>
      </c>
      <c r="K677" t="s">
        <v>58</v>
      </c>
      <c r="L677" s="12">
        <v>0.57638888888888884</v>
      </c>
      <c r="M677" t="s">
        <v>51</v>
      </c>
      <c r="N677" s="3">
        <v>78</v>
      </c>
      <c r="O677" t="s">
        <v>24</v>
      </c>
      <c r="P677" t="s">
        <v>56</v>
      </c>
      <c r="R677">
        <f>tblDailySchedule[[#This Row],[Capacity Approx]]*'[1]Load Factor Sheet June Acft  '!$B$5</f>
        <v>63.162272727272729</v>
      </c>
      <c r="S677">
        <f>tblDailySchedule[[#This Row],[Capacity Approx]]*'[1]Load Factor Sheet June Acft  '!$D$5</f>
        <v>68.391818181818181</v>
      </c>
      <c r="T677" s="22">
        <f>tblDailySchedule[[#This Row],[STD]]</f>
        <v>0.57638888888888884</v>
      </c>
    </row>
    <row r="678" spans="1:20" hidden="1" x14ac:dyDescent="0.35">
      <c r="A678" s="11">
        <v>46134</v>
      </c>
      <c r="B678" s="3">
        <v>3</v>
      </c>
      <c r="C678" t="s">
        <v>113</v>
      </c>
      <c r="D678" t="s">
        <v>18</v>
      </c>
      <c r="E678" s="3">
        <v>14</v>
      </c>
      <c r="F678" t="s">
        <v>19</v>
      </c>
      <c r="G678" t="s">
        <v>60</v>
      </c>
      <c r="H678" t="s">
        <v>61</v>
      </c>
      <c r="I678" s="12">
        <v>0.59027777777777779</v>
      </c>
      <c r="J678" t="s">
        <v>62</v>
      </c>
      <c r="K678" t="s">
        <v>61</v>
      </c>
      <c r="L678" s="12">
        <v>0.62152777777777779</v>
      </c>
      <c r="M678" t="s">
        <v>63</v>
      </c>
      <c r="N678" s="3">
        <v>232</v>
      </c>
      <c r="O678" t="s">
        <v>24</v>
      </c>
      <c r="P678" t="s">
        <v>56</v>
      </c>
      <c r="R678">
        <f>tblDailySchedule[[#This Row],[Capacity Approx]]*'[1]Load Factor Sheet June Acft  '!$B$5</f>
        <v>187.86727272727273</v>
      </c>
      <c r="S678">
        <f>tblDailySchedule[[#This Row],[Capacity Approx]]*'[1]Load Factor Sheet June Acft  '!$D$5</f>
        <v>203.4218181818182</v>
      </c>
      <c r="T678" s="22">
        <f>tblDailySchedule[[#This Row],[STD]]</f>
        <v>0.62152777777777779</v>
      </c>
    </row>
    <row r="679" spans="1:20" hidden="1" x14ac:dyDescent="0.35">
      <c r="A679" s="11">
        <v>46134</v>
      </c>
      <c r="B679" s="3">
        <v>3</v>
      </c>
      <c r="C679" t="s">
        <v>113</v>
      </c>
      <c r="D679" t="s">
        <v>18</v>
      </c>
      <c r="E679" s="3">
        <v>15</v>
      </c>
      <c r="F679" t="s">
        <v>19</v>
      </c>
      <c r="G679" t="s">
        <v>64</v>
      </c>
      <c r="H679" t="s">
        <v>31</v>
      </c>
      <c r="I679" s="12">
        <v>0.60069444444444442</v>
      </c>
      <c r="J679" t="s">
        <v>65</v>
      </c>
      <c r="K679" t="s">
        <v>66</v>
      </c>
      <c r="L679" s="12">
        <v>0.62847222222222221</v>
      </c>
      <c r="M679" t="s">
        <v>63</v>
      </c>
      <c r="N679" s="3">
        <v>232</v>
      </c>
      <c r="O679" t="s">
        <v>24</v>
      </c>
      <c r="P679" t="s">
        <v>56</v>
      </c>
      <c r="R679">
        <f>tblDailySchedule[[#This Row],[Capacity Approx]]*'[1]Load Factor Sheet June Acft  '!$B$5</f>
        <v>187.86727272727273</v>
      </c>
      <c r="S679">
        <f>tblDailySchedule[[#This Row],[Capacity Approx]]*'[1]Load Factor Sheet June Acft  '!$D$5</f>
        <v>203.4218181818182</v>
      </c>
      <c r="T679" s="22">
        <f>tblDailySchedule[[#This Row],[STD]]</f>
        <v>0.62847222222222221</v>
      </c>
    </row>
    <row r="680" spans="1:20" hidden="1" x14ac:dyDescent="0.35">
      <c r="A680" s="11">
        <v>46134</v>
      </c>
      <c r="B680" s="3">
        <v>3</v>
      </c>
      <c r="C680" t="s">
        <v>113</v>
      </c>
      <c r="D680" t="s">
        <v>18</v>
      </c>
      <c r="E680" s="3">
        <v>16</v>
      </c>
      <c r="F680" t="s">
        <v>19</v>
      </c>
      <c r="G680" t="s">
        <v>67</v>
      </c>
      <c r="H680" t="s">
        <v>31</v>
      </c>
      <c r="I680" s="12">
        <v>0.65625</v>
      </c>
      <c r="J680" t="s">
        <v>68</v>
      </c>
      <c r="K680" t="s">
        <v>31</v>
      </c>
      <c r="L680" s="12">
        <v>0.68402777777777779</v>
      </c>
      <c r="M680" t="s">
        <v>63</v>
      </c>
      <c r="N680" s="3">
        <v>232</v>
      </c>
      <c r="O680" t="s">
        <v>24</v>
      </c>
      <c r="P680" t="s">
        <v>56</v>
      </c>
      <c r="R680">
        <f>tblDailySchedule[[#This Row],[Capacity Approx]]*'[1]Load Factor Sheet June Acft  '!$B$5</f>
        <v>187.86727272727273</v>
      </c>
      <c r="S680">
        <f>tblDailySchedule[[#This Row],[Capacity Approx]]*'[1]Load Factor Sheet June Acft  '!$D$5</f>
        <v>203.4218181818182</v>
      </c>
      <c r="T680" s="22">
        <f>tblDailySchedule[[#This Row],[STD]]</f>
        <v>0.68402777777777779</v>
      </c>
    </row>
    <row r="681" spans="1:20" hidden="1" x14ac:dyDescent="0.35">
      <c r="A681" s="11">
        <v>46134</v>
      </c>
      <c r="B681" s="3">
        <v>3</v>
      </c>
      <c r="C681" t="s">
        <v>113</v>
      </c>
      <c r="D681" t="s">
        <v>18</v>
      </c>
      <c r="E681" s="3">
        <v>17</v>
      </c>
      <c r="F681" t="s">
        <v>19</v>
      </c>
      <c r="G681" t="s">
        <v>69</v>
      </c>
      <c r="H681" t="s">
        <v>31</v>
      </c>
      <c r="I681" s="12">
        <v>0.66319444444444442</v>
      </c>
      <c r="J681" t="s">
        <v>70</v>
      </c>
      <c r="K681" t="s">
        <v>31</v>
      </c>
      <c r="L681" s="12">
        <v>0.69097222222222221</v>
      </c>
      <c r="M681" t="s">
        <v>33</v>
      </c>
      <c r="N681" s="3">
        <v>189</v>
      </c>
      <c r="O681" t="s">
        <v>24</v>
      </c>
      <c r="P681" t="s">
        <v>56</v>
      </c>
      <c r="R681">
        <f>tblDailySchedule[[#This Row],[Capacity Approx]]*'[1]Load Factor Sheet June Acft  '!$B$5</f>
        <v>153.04704545454547</v>
      </c>
      <c r="S681">
        <f>tblDailySchedule[[#This Row],[Capacity Approx]]*'[1]Load Factor Sheet June Acft  '!$D$5</f>
        <v>165.71863636363636</v>
      </c>
      <c r="T681" s="22">
        <f>tblDailySchedule[[#This Row],[STD]]</f>
        <v>0.69097222222222221</v>
      </c>
    </row>
    <row r="682" spans="1:20" hidden="1" x14ac:dyDescent="0.35">
      <c r="A682" s="11">
        <v>46134</v>
      </c>
      <c r="B682" s="3">
        <v>3</v>
      </c>
      <c r="C682" t="s">
        <v>113</v>
      </c>
      <c r="D682" t="s">
        <v>18</v>
      </c>
      <c r="E682" s="3">
        <v>18</v>
      </c>
      <c r="F682" t="s">
        <v>19</v>
      </c>
      <c r="G682" t="s">
        <v>71</v>
      </c>
      <c r="H682" t="s">
        <v>21</v>
      </c>
      <c r="I682" s="12">
        <v>0.67013888888888884</v>
      </c>
      <c r="J682" t="s">
        <v>72</v>
      </c>
      <c r="K682" t="s">
        <v>21</v>
      </c>
      <c r="L682" s="12">
        <v>0.69791666666666663</v>
      </c>
      <c r="M682" t="s">
        <v>63</v>
      </c>
      <c r="N682" s="3">
        <v>232</v>
      </c>
      <c r="O682" t="s">
        <v>24</v>
      </c>
      <c r="P682" t="s">
        <v>56</v>
      </c>
      <c r="R682">
        <f>tblDailySchedule[[#This Row],[Capacity Approx]]*'[1]Load Factor Sheet June Acft  '!$B$5</f>
        <v>187.86727272727273</v>
      </c>
      <c r="S682">
        <f>tblDailySchedule[[#This Row],[Capacity Approx]]*'[1]Load Factor Sheet June Acft  '!$D$5</f>
        <v>203.4218181818182</v>
      </c>
      <c r="T682" s="22">
        <f>tblDailySchedule[[#This Row],[STD]]</f>
        <v>0.69791666666666663</v>
      </c>
    </row>
    <row r="683" spans="1:20" hidden="1" x14ac:dyDescent="0.35">
      <c r="A683" s="11">
        <v>46134</v>
      </c>
      <c r="B683" s="3">
        <v>3</v>
      </c>
      <c r="C683" t="s">
        <v>113</v>
      </c>
      <c r="D683" t="s">
        <v>18</v>
      </c>
      <c r="E683" s="3">
        <v>19</v>
      </c>
      <c r="F683" t="s">
        <v>19</v>
      </c>
      <c r="G683" t="s">
        <v>73</v>
      </c>
      <c r="H683" t="s">
        <v>27</v>
      </c>
      <c r="I683" s="12">
        <v>0.74652777777777779</v>
      </c>
      <c r="J683" t="s">
        <v>74</v>
      </c>
      <c r="K683" t="s">
        <v>27</v>
      </c>
      <c r="L683" s="12">
        <v>0.77430555555555558</v>
      </c>
      <c r="M683" t="s">
        <v>63</v>
      </c>
      <c r="N683" s="3">
        <v>232</v>
      </c>
      <c r="O683" t="s">
        <v>24</v>
      </c>
      <c r="P683" t="s">
        <v>56</v>
      </c>
      <c r="R683">
        <f>tblDailySchedule[[#This Row],[Capacity Approx]]*'[1]Load Factor Sheet June Acft  '!$B$5</f>
        <v>187.86727272727273</v>
      </c>
      <c r="S683">
        <f>tblDailySchedule[[#This Row],[Capacity Approx]]*'[1]Load Factor Sheet June Acft  '!$D$5</f>
        <v>203.4218181818182</v>
      </c>
      <c r="T683" s="22">
        <f>tblDailySchedule[[#This Row],[STD]]</f>
        <v>0.77430555555555558</v>
      </c>
    </row>
    <row r="684" spans="1:20" hidden="1" x14ac:dyDescent="0.35">
      <c r="A684" s="11">
        <v>46134</v>
      </c>
      <c r="B684" s="3">
        <v>3</v>
      </c>
      <c r="C684" t="s">
        <v>113</v>
      </c>
      <c r="D684" t="s">
        <v>18</v>
      </c>
      <c r="E684" s="3">
        <v>20</v>
      </c>
      <c r="F684" t="s">
        <v>34</v>
      </c>
      <c r="G684" t="s">
        <v>75</v>
      </c>
      <c r="H684" t="s">
        <v>76</v>
      </c>
      <c r="I684" s="12">
        <v>0.76388888888888884</v>
      </c>
      <c r="J684" t="s">
        <v>77</v>
      </c>
      <c r="K684" t="s">
        <v>78</v>
      </c>
      <c r="L684" s="12">
        <v>0.78472222222222221</v>
      </c>
      <c r="M684" t="s">
        <v>51</v>
      </c>
      <c r="N684" s="3">
        <v>78</v>
      </c>
      <c r="O684" t="s">
        <v>24</v>
      </c>
      <c r="P684" t="s">
        <v>79</v>
      </c>
      <c r="Q684" s="16" t="s">
        <v>80</v>
      </c>
      <c r="R684">
        <f>tblDailySchedule[[#This Row],[Capacity Approx]]*'[1]Load Factor Sheet June Acft  '!$B$5</f>
        <v>63.162272727272729</v>
      </c>
      <c r="S684">
        <f>tblDailySchedule[[#This Row],[Capacity Approx]]*'[1]Load Factor Sheet June Acft  '!$D$5</f>
        <v>68.391818181818181</v>
      </c>
      <c r="T684" s="22">
        <f>tblDailySchedule[[#This Row],[STD]]</f>
        <v>0.78472222222222221</v>
      </c>
    </row>
    <row r="685" spans="1:20" hidden="1" x14ac:dyDescent="0.35">
      <c r="A685" s="11">
        <v>46134</v>
      </c>
      <c r="B685" s="3">
        <v>3</v>
      </c>
      <c r="C685" t="s">
        <v>113</v>
      </c>
      <c r="D685" t="s">
        <v>18</v>
      </c>
      <c r="E685" s="3">
        <v>21</v>
      </c>
      <c r="F685" t="s">
        <v>19</v>
      </c>
      <c r="G685" t="s">
        <v>81</v>
      </c>
      <c r="H685" t="s">
        <v>61</v>
      </c>
      <c r="I685" s="12">
        <v>0.77083333333333337</v>
      </c>
      <c r="J685" t="s">
        <v>82</v>
      </c>
      <c r="K685" t="s">
        <v>49</v>
      </c>
      <c r="L685" s="12">
        <v>0.79166666666666663</v>
      </c>
      <c r="M685" t="s">
        <v>33</v>
      </c>
      <c r="N685" s="3">
        <v>189</v>
      </c>
      <c r="O685" t="s">
        <v>24</v>
      </c>
      <c r="P685" t="s">
        <v>79</v>
      </c>
      <c r="R685">
        <f>tblDailySchedule[[#This Row],[Capacity Approx]]*'[1]Load Factor Sheet June Acft  '!$B$5</f>
        <v>153.04704545454547</v>
      </c>
      <c r="S685">
        <f>tblDailySchedule[[#This Row],[Capacity Approx]]*'[1]Load Factor Sheet June Acft  '!$D$5</f>
        <v>165.71863636363636</v>
      </c>
      <c r="T685" s="22">
        <f>tblDailySchedule[[#This Row],[STD]]</f>
        <v>0.79166666666666663</v>
      </c>
    </row>
    <row r="686" spans="1:20" hidden="1" x14ac:dyDescent="0.35">
      <c r="A686" s="11">
        <v>46134</v>
      </c>
      <c r="B686" s="3">
        <v>3</v>
      </c>
      <c r="C686" t="s">
        <v>113</v>
      </c>
      <c r="D686" t="s">
        <v>18</v>
      </c>
      <c r="E686" s="3">
        <v>22</v>
      </c>
      <c r="F686" t="s">
        <v>19</v>
      </c>
      <c r="G686" t="s">
        <v>83</v>
      </c>
      <c r="H686" t="s">
        <v>31</v>
      </c>
      <c r="I686" s="12">
        <v>0.77777777777777779</v>
      </c>
      <c r="J686" t="s">
        <v>84</v>
      </c>
      <c r="K686" t="s">
        <v>31</v>
      </c>
      <c r="L686" s="12">
        <v>0.80555555555555558</v>
      </c>
      <c r="M686" t="s">
        <v>63</v>
      </c>
      <c r="N686" s="3">
        <v>232</v>
      </c>
      <c r="O686" t="s">
        <v>24</v>
      </c>
      <c r="P686" t="s">
        <v>79</v>
      </c>
      <c r="R686">
        <f>tblDailySchedule[[#This Row],[Capacity Approx]]*'[1]Load Factor Sheet June Acft  '!$B$5</f>
        <v>187.86727272727273</v>
      </c>
      <c r="S686">
        <f>tblDailySchedule[[#This Row],[Capacity Approx]]*'[1]Load Factor Sheet June Acft  '!$D$5</f>
        <v>203.4218181818182</v>
      </c>
      <c r="T686" s="22">
        <f>tblDailySchedule[[#This Row],[STD]]</f>
        <v>0.80555555555555558</v>
      </c>
    </row>
    <row r="687" spans="1:20" hidden="1" x14ac:dyDescent="0.35">
      <c r="A687" s="11">
        <v>46134</v>
      </c>
      <c r="B687" s="3">
        <v>3</v>
      </c>
      <c r="C687" t="s">
        <v>113</v>
      </c>
      <c r="D687" t="s">
        <v>18</v>
      </c>
      <c r="E687" s="3">
        <v>23</v>
      </c>
      <c r="F687" t="s">
        <v>19</v>
      </c>
      <c r="G687" t="s">
        <v>85</v>
      </c>
      <c r="H687" t="s">
        <v>86</v>
      </c>
      <c r="I687" s="12">
        <v>0.79861111111111116</v>
      </c>
      <c r="J687" t="s">
        <v>87</v>
      </c>
      <c r="K687" t="s">
        <v>86</v>
      </c>
      <c r="L687" s="12">
        <v>0.82638888888888884</v>
      </c>
      <c r="M687" t="s">
        <v>63</v>
      </c>
      <c r="N687" s="3">
        <v>232</v>
      </c>
      <c r="O687" t="s">
        <v>24</v>
      </c>
      <c r="P687" t="s">
        <v>79</v>
      </c>
      <c r="R687">
        <f>tblDailySchedule[[#This Row],[Capacity Approx]]*'[1]Load Factor Sheet June Acft  '!$B$5</f>
        <v>187.86727272727273</v>
      </c>
      <c r="S687">
        <f>tblDailySchedule[[#This Row],[Capacity Approx]]*'[1]Load Factor Sheet June Acft  '!$D$5</f>
        <v>203.4218181818182</v>
      </c>
      <c r="T687" s="22">
        <f>tblDailySchedule[[#This Row],[STD]]</f>
        <v>0.82638888888888884</v>
      </c>
    </row>
    <row r="688" spans="1:20" hidden="1" x14ac:dyDescent="0.35">
      <c r="A688" s="11">
        <v>46134</v>
      </c>
      <c r="B688" s="3">
        <v>3</v>
      </c>
      <c r="C688" t="s">
        <v>113</v>
      </c>
      <c r="D688" t="s">
        <v>18</v>
      </c>
      <c r="E688" s="3">
        <v>24</v>
      </c>
      <c r="F688" t="s">
        <v>19</v>
      </c>
      <c r="G688" t="s">
        <v>88</v>
      </c>
      <c r="H688" t="s">
        <v>89</v>
      </c>
      <c r="I688" s="12">
        <v>0.83333333333333337</v>
      </c>
      <c r="J688" t="s">
        <v>90</v>
      </c>
      <c r="K688" t="s">
        <v>31</v>
      </c>
      <c r="L688" s="12">
        <v>0.86111111111111116</v>
      </c>
      <c r="M688" t="s">
        <v>63</v>
      </c>
      <c r="N688" s="3">
        <v>232</v>
      </c>
      <c r="O688" t="s">
        <v>24</v>
      </c>
      <c r="P688" t="s">
        <v>79</v>
      </c>
      <c r="R688">
        <f>tblDailySchedule[[#This Row],[Capacity Approx]]*'[1]Load Factor Sheet June Acft  '!$B$5</f>
        <v>187.86727272727273</v>
      </c>
      <c r="S688">
        <f>tblDailySchedule[[#This Row],[Capacity Approx]]*'[1]Load Factor Sheet June Acft  '!$D$5</f>
        <v>203.4218181818182</v>
      </c>
      <c r="T688" s="22">
        <f>tblDailySchedule[[#This Row],[STD]]</f>
        <v>0.86111111111111116</v>
      </c>
    </row>
    <row r="689" spans="1:20" hidden="1" x14ac:dyDescent="0.35">
      <c r="A689" s="11">
        <v>46134</v>
      </c>
      <c r="B689" s="3">
        <v>3</v>
      </c>
      <c r="C689" t="s">
        <v>113</v>
      </c>
      <c r="D689" t="s">
        <v>18</v>
      </c>
      <c r="E689" s="3">
        <v>25</v>
      </c>
      <c r="F689" t="s">
        <v>19</v>
      </c>
      <c r="G689" t="s">
        <v>91</v>
      </c>
      <c r="H689" t="s">
        <v>61</v>
      </c>
      <c r="I689" s="12">
        <v>0.85416666666666663</v>
      </c>
      <c r="J689" t="s">
        <v>92</v>
      </c>
      <c r="K689" t="s">
        <v>61</v>
      </c>
      <c r="L689" s="12">
        <v>0.88194444444444442</v>
      </c>
      <c r="M689" t="s">
        <v>63</v>
      </c>
      <c r="N689" s="3">
        <v>232</v>
      </c>
      <c r="O689" t="s">
        <v>24</v>
      </c>
      <c r="P689" t="s">
        <v>79</v>
      </c>
      <c r="R689">
        <f>tblDailySchedule[[#This Row],[Capacity Approx]]*'[1]Load Factor Sheet June Acft  '!$B$5</f>
        <v>187.86727272727273</v>
      </c>
      <c r="S689">
        <f>tblDailySchedule[[#This Row],[Capacity Approx]]*'[1]Load Factor Sheet June Acft  '!$D$5</f>
        <v>203.4218181818182</v>
      </c>
      <c r="T689" s="22">
        <f>tblDailySchedule[[#This Row],[STD]]</f>
        <v>0.88194444444444442</v>
      </c>
    </row>
    <row r="690" spans="1:20" hidden="1" x14ac:dyDescent="0.35">
      <c r="A690" s="11">
        <v>46134</v>
      </c>
      <c r="B690" s="3">
        <v>3</v>
      </c>
      <c r="C690" t="s">
        <v>113</v>
      </c>
      <c r="D690" t="s">
        <v>18</v>
      </c>
      <c r="E690" s="3">
        <v>26</v>
      </c>
      <c r="F690" t="s">
        <v>19</v>
      </c>
      <c r="G690" t="s">
        <v>93</v>
      </c>
      <c r="H690" t="s">
        <v>31</v>
      </c>
      <c r="I690" s="12">
        <v>0.86111111111111116</v>
      </c>
      <c r="J690" t="s">
        <v>94</v>
      </c>
      <c r="K690" t="s">
        <v>31</v>
      </c>
      <c r="L690" s="12">
        <v>0.88888888888888884</v>
      </c>
      <c r="M690" t="s">
        <v>23</v>
      </c>
      <c r="N690" s="3">
        <v>186</v>
      </c>
      <c r="O690" t="s">
        <v>24</v>
      </c>
      <c r="P690" t="s">
        <v>79</v>
      </c>
      <c r="R690">
        <f>tblDailySchedule[[#This Row],[Capacity Approx]]*'[1]Load Factor Sheet June Acft  '!$B$5</f>
        <v>150.61772727272728</v>
      </c>
      <c r="S690">
        <f>tblDailySchedule[[#This Row],[Capacity Approx]]*'[1]Load Factor Sheet June Acft  '!$D$5</f>
        <v>163.08818181818182</v>
      </c>
      <c r="T690" s="22">
        <f>tblDailySchedule[[#This Row],[STD]]</f>
        <v>0.88888888888888884</v>
      </c>
    </row>
    <row r="691" spans="1:20" hidden="1" x14ac:dyDescent="0.35">
      <c r="A691" s="11">
        <v>46134</v>
      </c>
      <c r="B691" s="3">
        <v>3</v>
      </c>
      <c r="C691" t="s">
        <v>113</v>
      </c>
      <c r="D691" t="s">
        <v>18</v>
      </c>
      <c r="E691" s="3">
        <v>27</v>
      </c>
      <c r="F691" t="s">
        <v>19</v>
      </c>
      <c r="G691" t="s">
        <v>95</v>
      </c>
      <c r="H691" t="s">
        <v>21</v>
      </c>
      <c r="I691" s="12">
        <v>0.86805555555555558</v>
      </c>
      <c r="J691" t="s">
        <v>96</v>
      </c>
      <c r="K691" t="s">
        <v>21</v>
      </c>
      <c r="L691" s="12">
        <v>0.89583333333333337</v>
      </c>
      <c r="M691" t="s">
        <v>29</v>
      </c>
      <c r="N691" s="3">
        <v>186</v>
      </c>
      <c r="O691" t="s">
        <v>24</v>
      </c>
      <c r="P691" t="s">
        <v>79</v>
      </c>
      <c r="R691">
        <f>tblDailySchedule[[#This Row],[Capacity Approx]]*'[1]Load Factor Sheet June Acft  '!$B$5</f>
        <v>150.61772727272728</v>
      </c>
      <c r="S691">
        <f>tblDailySchedule[[#This Row],[Capacity Approx]]*'[1]Load Factor Sheet June Acft  '!$D$5</f>
        <v>163.08818181818182</v>
      </c>
      <c r="T691" s="22">
        <f>tblDailySchedule[[#This Row],[STD]]</f>
        <v>0.89583333333333337</v>
      </c>
    </row>
    <row r="692" spans="1:20" hidden="1" x14ac:dyDescent="0.35">
      <c r="A692" s="11">
        <v>46134</v>
      </c>
      <c r="B692" s="3">
        <v>3</v>
      </c>
      <c r="C692" t="s">
        <v>113</v>
      </c>
      <c r="D692" t="s">
        <v>18</v>
      </c>
      <c r="E692" s="3">
        <v>28</v>
      </c>
      <c r="F692" t="s">
        <v>19</v>
      </c>
      <c r="G692" t="s">
        <v>97</v>
      </c>
      <c r="H692" t="s">
        <v>49</v>
      </c>
      <c r="I692" s="12">
        <v>0.90277777777777779</v>
      </c>
      <c r="J692" t="s">
        <v>97</v>
      </c>
      <c r="K692" t="s">
        <v>61</v>
      </c>
      <c r="L692" s="12">
        <v>0.92361111111111116</v>
      </c>
      <c r="M692" t="s">
        <v>33</v>
      </c>
      <c r="N692" s="3">
        <v>189</v>
      </c>
      <c r="O692" t="s">
        <v>24</v>
      </c>
      <c r="P692" t="s">
        <v>79</v>
      </c>
      <c r="R692">
        <f>tblDailySchedule[[#This Row],[Capacity Approx]]*'[1]Load Factor Sheet June Acft  '!$B$5</f>
        <v>153.04704545454547</v>
      </c>
      <c r="S692">
        <f>tblDailySchedule[[#This Row],[Capacity Approx]]*'[1]Load Factor Sheet June Acft  '!$D$5</f>
        <v>165.71863636363636</v>
      </c>
      <c r="T692" s="22">
        <f>tblDailySchedule[[#This Row],[STD]]</f>
        <v>0.92361111111111116</v>
      </c>
    </row>
    <row r="693" spans="1:20" hidden="1" x14ac:dyDescent="0.35">
      <c r="A693" s="11">
        <v>46134</v>
      </c>
      <c r="B693" s="3">
        <v>3</v>
      </c>
      <c r="C693" t="s">
        <v>113</v>
      </c>
      <c r="D693" t="s">
        <v>18</v>
      </c>
      <c r="E693" s="3">
        <v>29</v>
      </c>
      <c r="F693" t="s">
        <v>19</v>
      </c>
      <c r="G693" t="s">
        <v>98</v>
      </c>
      <c r="H693" t="s">
        <v>21</v>
      </c>
      <c r="I693" s="12">
        <v>0.92013888888888884</v>
      </c>
      <c r="J693" t="s">
        <v>99</v>
      </c>
      <c r="K693" t="s">
        <v>21</v>
      </c>
      <c r="L693" s="12">
        <v>0.94791666666666663</v>
      </c>
      <c r="M693" t="s">
        <v>63</v>
      </c>
      <c r="N693" s="3">
        <v>232</v>
      </c>
      <c r="O693" t="s">
        <v>24</v>
      </c>
      <c r="P693" t="s">
        <v>79</v>
      </c>
      <c r="R693">
        <f>tblDailySchedule[[#This Row],[Capacity Approx]]*'[1]Load Factor Sheet June Acft  '!$B$5</f>
        <v>187.86727272727273</v>
      </c>
      <c r="S693">
        <f>tblDailySchedule[[#This Row],[Capacity Approx]]*'[1]Load Factor Sheet June Acft  '!$D$5</f>
        <v>203.4218181818182</v>
      </c>
      <c r="T693" s="22">
        <f>tblDailySchedule[[#This Row],[STD]]</f>
        <v>0.94791666666666663</v>
      </c>
    </row>
    <row r="694" spans="1:20" hidden="1" x14ac:dyDescent="0.35">
      <c r="A694" s="13">
        <v>46134</v>
      </c>
      <c r="B694" s="7">
        <v>3</v>
      </c>
      <c r="C694" s="14" t="s">
        <v>113</v>
      </c>
      <c r="D694" s="14" t="s">
        <v>18</v>
      </c>
      <c r="E694" s="7">
        <v>30</v>
      </c>
      <c r="F694" s="14" t="s">
        <v>104</v>
      </c>
      <c r="G694" s="14" t="s">
        <v>105</v>
      </c>
      <c r="H694" s="14" t="s">
        <v>106</v>
      </c>
      <c r="I694" s="15">
        <v>0.92708333333333337</v>
      </c>
      <c r="J694" s="14" t="s">
        <v>107</v>
      </c>
      <c r="K694" s="14" t="s">
        <v>106</v>
      </c>
      <c r="L694" s="15">
        <v>0.95833333333333337</v>
      </c>
      <c r="M694" s="14" t="s">
        <v>38</v>
      </c>
      <c r="N694" s="7">
        <v>186</v>
      </c>
      <c r="O694" s="14" t="s">
        <v>39</v>
      </c>
      <c r="P694" s="14" t="s">
        <v>79</v>
      </c>
      <c r="Q694" s="14" t="s">
        <v>39</v>
      </c>
      <c r="R694">
        <f>tblDailySchedule[[#This Row],[Capacity Approx]]*'[1]Load Factor Sheet June Acft  '!$B$5</f>
        <v>150.61772727272728</v>
      </c>
      <c r="S694">
        <f>tblDailySchedule[[#This Row],[Capacity Approx]]*'[1]Load Factor Sheet June Acft  '!$D$5</f>
        <v>163.08818181818182</v>
      </c>
      <c r="T694" s="22">
        <f>tblDailySchedule[[#This Row],[STD]]</f>
        <v>0.95833333333333337</v>
      </c>
    </row>
    <row r="695" spans="1:20" hidden="1" x14ac:dyDescent="0.35">
      <c r="A695" s="11">
        <v>46135</v>
      </c>
      <c r="B695" s="3">
        <v>4</v>
      </c>
      <c r="C695" t="s">
        <v>114</v>
      </c>
      <c r="D695" t="s">
        <v>18</v>
      </c>
      <c r="E695" s="3">
        <v>1</v>
      </c>
      <c r="F695" t="s">
        <v>101</v>
      </c>
      <c r="G695" t="s">
        <v>102</v>
      </c>
      <c r="H695" t="s">
        <v>61</v>
      </c>
      <c r="I695" s="12">
        <v>0.3125</v>
      </c>
      <c r="J695" t="s">
        <v>103</v>
      </c>
      <c r="K695" t="s">
        <v>61</v>
      </c>
      <c r="L695" s="12">
        <v>0.33333333333333331</v>
      </c>
      <c r="M695" t="s">
        <v>33</v>
      </c>
      <c r="N695" s="3">
        <v>189</v>
      </c>
      <c r="O695" t="s">
        <v>24</v>
      </c>
      <c r="P695" t="s">
        <v>25</v>
      </c>
      <c r="R695">
        <f>tblDailySchedule[[#This Row],[Capacity Approx]]*'[1]Load Factor Sheet June Acft  '!$B$5</f>
        <v>153.04704545454547</v>
      </c>
      <c r="S695">
        <f>tblDailySchedule[[#This Row],[Capacity Approx]]*'[1]Load Factor Sheet June Acft  '!$D$5</f>
        <v>165.71863636363636</v>
      </c>
      <c r="T695" s="22">
        <f>tblDailySchedule[[#This Row],[STD]]</f>
        <v>0.33333333333333331</v>
      </c>
    </row>
    <row r="696" spans="1:20" hidden="1" x14ac:dyDescent="0.35">
      <c r="A696" s="11">
        <v>46135</v>
      </c>
      <c r="B696" s="3">
        <v>4</v>
      </c>
      <c r="C696" t="s">
        <v>114</v>
      </c>
      <c r="D696" t="s">
        <v>18</v>
      </c>
      <c r="E696" s="3">
        <v>2</v>
      </c>
      <c r="F696" t="s">
        <v>19</v>
      </c>
      <c r="G696" t="s">
        <v>20</v>
      </c>
      <c r="H696" t="s">
        <v>21</v>
      </c>
      <c r="I696" s="12">
        <v>0.31944444444444442</v>
      </c>
      <c r="J696" t="s">
        <v>22</v>
      </c>
      <c r="K696" t="s">
        <v>21</v>
      </c>
      <c r="L696" s="12">
        <v>0.34722222222222221</v>
      </c>
      <c r="M696" t="s">
        <v>23</v>
      </c>
      <c r="N696" s="3">
        <v>186</v>
      </c>
      <c r="O696" t="s">
        <v>24</v>
      </c>
      <c r="P696" t="s">
        <v>25</v>
      </c>
      <c r="R696">
        <f>tblDailySchedule[[#This Row],[Capacity Approx]]*'[1]Load Factor Sheet June Acft  '!$B$5</f>
        <v>150.61772727272728</v>
      </c>
      <c r="S696">
        <f>tblDailySchedule[[#This Row],[Capacity Approx]]*'[1]Load Factor Sheet June Acft  '!$D$5</f>
        <v>163.08818181818182</v>
      </c>
      <c r="T696" s="22">
        <f>tblDailySchedule[[#This Row],[STD]]</f>
        <v>0.34722222222222221</v>
      </c>
    </row>
    <row r="697" spans="1:20" hidden="1" x14ac:dyDescent="0.35">
      <c r="A697" s="11">
        <v>46135</v>
      </c>
      <c r="B697" s="3">
        <v>4</v>
      </c>
      <c r="C697" t="s">
        <v>114</v>
      </c>
      <c r="D697" t="s">
        <v>18</v>
      </c>
      <c r="E697" s="3">
        <v>3</v>
      </c>
      <c r="F697" t="s">
        <v>19</v>
      </c>
      <c r="G697" t="s">
        <v>26</v>
      </c>
      <c r="H697" t="s">
        <v>27</v>
      </c>
      <c r="I697" s="12">
        <v>0.3263888888888889</v>
      </c>
      <c r="J697" t="s">
        <v>28</v>
      </c>
      <c r="K697" t="s">
        <v>27</v>
      </c>
      <c r="L697" s="12">
        <v>0.35416666666666669</v>
      </c>
      <c r="M697" t="s">
        <v>29</v>
      </c>
      <c r="N697" s="3">
        <v>186</v>
      </c>
      <c r="O697" t="s">
        <v>24</v>
      </c>
      <c r="P697" t="s">
        <v>25</v>
      </c>
      <c r="R697">
        <f>tblDailySchedule[[#This Row],[Capacity Approx]]*'[1]Load Factor Sheet June Acft  '!$B$5</f>
        <v>150.61772727272728</v>
      </c>
      <c r="S697">
        <f>tblDailySchedule[[#This Row],[Capacity Approx]]*'[1]Load Factor Sheet June Acft  '!$D$5</f>
        <v>163.08818181818182</v>
      </c>
      <c r="T697" s="22">
        <f>tblDailySchedule[[#This Row],[STD]]</f>
        <v>0.35416666666666669</v>
      </c>
    </row>
    <row r="698" spans="1:20" hidden="1" x14ac:dyDescent="0.35">
      <c r="A698" s="11">
        <v>46135</v>
      </c>
      <c r="B698" s="3">
        <v>4</v>
      </c>
      <c r="C698" t="s">
        <v>114</v>
      </c>
      <c r="D698" t="s">
        <v>18</v>
      </c>
      <c r="E698" s="3">
        <v>4</v>
      </c>
      <c r="F698" t="s">
        <v>19</v>
      </c>
      <c r="G698" t="s">
        <v>30</v>
      </c>
      <c r="H698" t="s">
        <v>31</v>
      </c>
      <c r="I698" s="12">
        <v>0.34722222222222221</v>
      </c>
      <c r="J698" t="s">
        <v>32</v>
      </c>
      <c r="K698" t="s">
        <v>31</v>
      </c>
      <c r="L698" s="12">
        <v>0.36805555555555558</v>
      </c>
      <c r="M698" t="s">
        <v>33</v>
      </c>
      <c r="N698" s="3">
        <v>189</v>
      </c>
      <c r="O698" t="s">
        <v>24</v>
      </c>
      <c r="P698" t="s">
        <v>25</v>
      </c>
      <c r="R698">
        <f>tblDailySchedule[[#This Row],[Capacity Approx]]*'[1]Load Factor Sheet June Acft  '!$B$5</f>
        <v>153.04704545454547</v>
      </c>
      <c r="S698">
        <f>tblDailySchedule[[#This Row],[Capacity Approx]]*'[1]Load Factor Sheet June Acft  '!$D$5</f>
        <v>165.71863636363636</v>
      </c>
      <c r="T698" s="22">
        <f>tblDailySchedule[[#This Row],[STD]]</f>
        <v>0.36805555555555558</v>
      </c>
    </row>
    <row r="699" spans="1:20" hidden="1" x14ac:dyDescent="0.35">
      <c r="A699" s="11">
        <v>46135</v>
      </c>
      <c r="B699" s="3">
        <v>4</v>
      </c>
      <c r="C699" t="s">
        <v>114</v>
      </c>
      <c r="D699" t="s">
        <v>18</v>
      </c>
      <c r="E699" s="3">
        <v>5</v>
      </c>
      <c r="F699" t="s">
        <v>19</v>
      </c>
      <c r="G699" t="s">
        <v>40</v>
      </c>
      <c r="H699" t="s">
        <v>31</v>
      </c>
      <c r="I699" s="12">
        <v>0.35069444444444442</v>
      </c>
      <c r="J699" t="s">
        <v>41</v>
      </c>
      <c r="K699" t="s">
        <v>31</v>
      </c>
      <c r="L699" s="12">
        <v>0.37152777777777779</v>
      </c>
      <c r="M699" t="s">
        <v>23</v>
      </c>
      <c r="N699" s="3">
        <v>186</v>
      </c>
      <c r="O699" t="s">
        <v>24</v>
      </c>
      <c r="P699" t="s">
        <v>25</v>
      </c>
      <c r="R699">
        <f>tblDailySchedule[[#This Row],[Capacity Approx]]*'[1]Load Factor Sheet June Acft  '!$B$5</f>
        <v>150.61772727272728</v>
      </c>
      <c r="S699">
        <f>tblDailySchedule[[#This Row],[Capacity Approx]]*'[1]Load Factor Sheet June Acft  '!$D$5</f>
        <v>163.08818181818182</v>
      </c>
      <c r="T699" s="22">
        <f>tblDailySchedule[[#This Row],[STD]]</f>
        <v>0.37152777777777779</v>
      </c>
    </row>
    <row r="700" spans="1:20" hidden="1" x14ac:dyDescent="0.35">
      <c r="A700" s="11">
        <v>46135</v>
      </c>
      <c r="B700" s="3">
        <v>4</v>
      </c>
      <c r="C700" t="s">
        <v>114</v>
      </c>
      <c r="D700" t="s">
        <v>18</v>
      </c>
      <c r="E700" s="3">
        <v>7</v>
      </c>
      <c r="F700" t="s">
        <v>19</v>
      </c>
      <c r="G700" t="s">
        <v>42</v>
      </c>
      <c r="H700" t="s">
        <v>43</v>
      </c>
      <c r="I700" s="12">
        <v>0.3923611111111111</v>
      </c>
      <c r="J700" t="s">
        <v>44</v>
      </c>
      <c r="K700" t="s">
        <v>43</v>
      </c>
      <c r="L700" s="12">
        <v>0.40277777777777779</v>
      </c>
      <c r="M700" t="s">
        <v>45</v>
      </c>
      <c r="N700" s="3">
        <v>9</v>
      </c>
      <c r="O700" t="s">
        <v>24</v>
      </c>
      <c r="P700" t="s">
        <v>25</v>
      </c>
      <c r="R700">
        <f>tblDailySchedule[[#This Row],[Capacity Approx]]*'[1]Load Factor Sheet June Acft  '!$B$5</f>
        <v>7.2879545454545456</v>
      </c>
      <c r="S700">
        <f>tblDailySchedule[[#This Row],[Capacity Approx]]*'[1]Load Factor Sheet June Acft  '!$D$5</f>
        <v>7.8913636363636366</v>
      </c>
      <c r="T700" s="22">
        <f>tblDailySchedule[[#This Row],[STD]]</f>
        <v>0.40277777777777779</v>
      </c>
    </row>
    <row r="701" spans="1:20" hidden="1" x14ac:dyDescent="0.35">
      <c r="A701" s="11">
        <v>46135</v>
      </c>
      <c r="B701" s="3">
        <v>4</v>
      </c>
      <c r="C701" t="s">
        <v>114</v>
      </c>
      <c r="D701" t="s">
        <v>18</v>
      </c>
      <c r="E701" s="3">
        <v>8</v>
      </c>
      <c r="F701" t="s">
        <v>19</v>
      </c>
      <c r="G701" t="s">
        <v>46</v>
      </c>
      <c r="H701" t="s">
        <v>31</v>
      </c>
      <c r="I701" s="12">
        <v>0.4201388888888889</v>
      </c>
      <c r="J701" t="s">
        <v>47</v>
      </c>
      <c r="K701" t="s">
        <v>31</v>
      </c>
      <c r="L701" s="12">
        <v>0.44444444444444442</v>
      </c>
      <c r="M701" t="s">
        <v>29</v>
      </c>
      <c r="N701" s="3">
        <v>186</v>
      </c>
      <c r="O701" t="s">
        <v>24</v>
      </c>
      <c r="P701" t="s">
        <v>25</v>
      </c>
      <c r="R701">
        <f>tblDailySchedule[[#This Row],[Capacity Approx]]*'[1]Load Factor Sheet June Acft  '!$B$5</f>
        <v>150.61772727272728</v>
      </c>
      <c r="S701">
        <f>tblDailySchedule[[#This Row],[Capacity Approx]]*'[1]Load Factor Sheet June Acft  '!$D$5</f>
        <v>163.08818181818182</v>
      </c>
      <c r="T701" s="22">
        <f>tblDailySchedule[[#This Row],[STD]]</f>
        <v>0.44444444444444442</v>
      </c>
    </row>
    <row r="702" spans="1:20" hidden="1" x14ac:dyDescent="0.35">
      <c r="A702" s="11">
        <v>46135</v>
      </c>
      <c r="B702" s="3">
        <v>4</v>
      </c>
      <c r="C702" t="s">
        <v>114</v>
      </c>
      <c r="D702" t="s">
        <v>18</v>
      </c>
      <c r="E702" s="3">
        <v>9</v>
      </c>
      <c r="F702" t="s">
        <v>19</v>
      </c>
      <c r="G702" t="s">
        <v>48</v>
      </c>
      <c r="H702" t="s">
        <v>49</v>
      </c>
      <c r="I702" s="12">
        <v>0.4375</v>
      </c>
      <c r="J702" t="s">
        <v>50</v>
      </c>
      <c r="K702" t="s">
        <v>49</v>
      </c>
      <c r="L702" s="12">
        <v>0.45833333333333331</v>
      </c>
      <c r="M702" t="s">
        <v>51</v>
      </c>
      <c r="N702" s="3">
        <v>78</v>
      </c>
      <c r="O702" t="s">
        <v>24</v>
      </c>
      <c r="P702" t="s">
        <v>25</v>
      </c>
      <c r="R702">
        <f>tblDailySchedule[[#This Row],[Capacity Approx]]*'[1]Load Factor Sheet June Acft  '!$B$5</f>
        <v>63.162272727272729</v>
      </c>
      <c r="S702">
        <f>tblDailySchedule[[#This Row],[Capacity Approx]]*'[1]Load Factor Sheet June Acft  '!$D$5</f>
        <v>68.391818181818181</v>
      </c>
      <c r="T702" s="22">
        <f>tblDailySchedule[[#This Row],[STD]]</f>
        <v>0.45833333333333331</v>
      </c>
    </row>
    <row r="703" spans="1:20" hidden="1" x14ac:dyDescent="0.35">
      <c r="A703" s="11">
        <v>46135</v>
      </c>
      <c r="B703" s="3">
        <v>4</v>
      </c>
      <c r="C703" t="s">
        <v>114</v>
      </c>
      <c r="D703" t="s">
        <v>18</v>
      </c>
      <c r="E703" s="3">
        <v>10</v>
      </c>
      <c r="F703" t="s">
        <v>19</v>
      </c>
      <c r="G703" t="s">
        <v>52</v>
      </c>
      <c r="H703" t="s">
        <v>27</v>
      </c>
      <c r="I703" s="12">
        <v>0.4826388888888889</v>
      </c>
      <c r="J703" t="s">
        <v>53</v>
      </c>
      <c r="K703" t="s">
        <v>27</v>
      </c>
      <c r="L703" s="12">
        <v>0.51041666666666663</v>
      </c>
      <c r="M703" t="s">
        <v>23</v>
      </c>
      <c r="N703" s="3">
        <v>186</v>
      </c>
      <c r="O703" t="s">
        <v>24</v>
      </c>
      <c r="P703" t="s">
        <v>25</v>
      </c>
      <c r="R703">
        <f>tblDailySchedule[[#This Row],[Capacity Approx]]*'[1]Load Factor Sheet June Acft  '!$B$5</f>
        <v>150.61772727272728</v>
      </c>
      <c r="S703">
        <f>tblDailySchedule[[#This Row],[Capacity Approx]]*'[1]Load Factor Sheet June Acft  '!$D$5</f>
        <v>163.08818181818182</v>
      </c>
      <c r="T703" s="22">
        <f>tblDailySchedule[[#This Row],[STD]]</f>
        <v>0.51041666666666663</v>
      </c>
    </row>
    <row r="704" spans="1:20" hidden="1" x14ac:dyDescent="0.35">
      <c r="A704" s="11">
        <v>46135</v>
      </c>
      <c r="B704" s="3">
        <v>4</v>
      </c>
      <c r="C704" t="s">
        <v>114</v>
      </c>
      <c r="D704" t="s">
        <v>18</v>
      </c>
      <c r="E704" s="3">
        <v>11</v>
      </c>
      <c r="F704" t="s">
        <v>19</v>
      </c>
      <c r="G704" t="s">
        <v>54</v>
      </c>
      <c r="H704" t="s">
        <v>31</v>
      </c>
      <c r="I704" s="12">
        <v>0.51388888888888884</v>
      </c>
      <c r="J704" t="s">
        <v>55</v>
      </c>
      <c r="K704" t="s">
        <v>31</v>
      </c>
      <c r="L704" s="12">
        <v>0.54166666666666663</v>
      </c>
      <c r="M704" t="s">
        <v>23</v>
      </c>
      <c r="N704" s="3">
        <v>186</v>
      </c>
      <c r="O704" t="s">
        <v>24</v>
      </c>
      <c r="P704" t="s">
        <v>56</v>
      </c>
      <c r="R704">
        <f>tblDailySchedule[[#This Row],[Capacity Approx]]*'[1]Load Factor Sheet June Acft  '!$B$5</f>
        <v>150.61772727272728</v>
      </c>
      <c r="S704">
        <f>tblDailySchedule[[#This Row],[Capacity Approx]]*'[1]Load Factor Sheet June Acft  '!$D$5</f>
        <v>163.08818181818182</v>
      </c>
      <c r="T704" s="22">
        <f>tblDailySchedule[[#This Row],[STD]]</f>
        <v>0.54166666666666663</v>
      </c>
    </row>
    <row r="705" spans="1:20" hidden="1" x14ac:dyDescent="0.35">
      <c r="A705" s="11">
        <v>46135</v>
      </c>
      <c r="B705" s="3">
        <v>4</v>
      </c>
      <c r="C705" t="s">
        <v>114</v>
      </c>
      <c r="D705" t="s">
        <v>18</v>
      </c>
      <c r="E705" s="3">
        <v>12</v>
      </c>
      <c r="F705" t="s">
        <v>109</v>
      </c>
      <c r="G705" t="s">
        <v>110</v>
      </c>
      <c r="H705" t="s">
        <v>111</v>
      </c>
      <c r="I705" s="12">
        <v>0.55555555555555558</v>
      </c>
      <c r="J705" t="s">
        <v>112</v>
      </c>
      <c r="K705" t="s">
        <v>111</v>
      </c>
      <c r="L705" s="12">
        <v>0.56944444444444442</v>
      </c>
      <c r="M705" t="s">
        <v>51</v>
      </c>
      <c r="N705" s="3">
        <v>78</v>
      </c>
      <c r="O705" t="s">
        <v>24</v>
      </c>
      <c r="P705" t="s">
        <v>56</v>
      </c>
      <c r="R705">
        <f>tblDailySchedule[[#This Row],[Capacity Approx]]*'[1]Load Factor Sheet June Acft  '!$B$5</f>
        <v>63.162272727272729</v>
      </c>
      <c r="S705">
        <f>tblDailySchedule[[#This Row],[Capacity Approx]]*'[1]Load Factor Sheet June Acft  '!$D$5</f>
        <v>68.391818181818181</v>
      </c>
      <c r="T705" s="22">
        <f>tblDailySchedule[[#This Row],[STD]]</f>
        <v>0.56944444444444442</v>
      </c>
    </row>
    <row r="706" spans="1:20" hidden="1" x14ac:dyDescent="0.35">
      <c r="A706" s="11">
        <v>46135</v>
      </c>
      <c r="B706" s="3">
        <v>4</v>
      </c>
      <c r="C706" t="s">
        <v>114</v>
      </c>
      <c r="D706" t="s">
        <v>18</v>
      </c>
      <c r="E706" s="3">
        <v>13</v>
      </c>
      <c r="F706" t="s">
        <v>19</v>
      </c>
      <c r="G706" t="s">
        <v>57</v>
      </c>
      <c r="H706" t="s">
        <v>58</v>
      </c>
      <c r="I706" s="12">
        <v>0.55902777777777779</v>
      </c>
      <c r="J706" t="s">
        <v>59</v>
      </c>
      <c r="K706" t="s">
        <v>58</v>
      </c>
      <c r="L706" s="12">
        <v>0.57638888888888884</v>
      </c>
      <c r="M706" t="s">
        <v>51</v>
      </c>
      <c r="N706" s="3">
        <v>78</v>
      </c>
      <c r="O706" t="s">
        <v>24</v>
      </c>
      <c r="P706" t="s">
        <v>56</v>
      </c>
      <c r="R706">
        <f>tblDailySchedule[[#This Row],[Capacity Approx]]*'[1]Load Factor Sheet June Acft  '!$B$5</f>
        <v>63.162272727272729</v>
      </c>
      <c r="S706">
        <f>tblDailySchedule[[#This Row],[Capacity Approx]]*'[1]Load Factor Sheet June Acft  '!$D$5</f>
        <v>68.391818181818181</v>
      </c>
      <c r="T706" s="22">
        <f>tblDailySchedule[[#This Row],[STD]]</f>
        <v>0.57638888888888884</v>
      </c>
    </row>
    <row r="707" spans="1:20" hidden="1" x14ac:dyDescent="0.35">
      <c r="A707" s="11">
        <v>46135</v>
      </c>
      <c r="B707" s="3">
        <v>4</v>
      </c>
      <c r="C707" t="s">
        <v>114</v>
      </c>
      <c r="D707" t="s">
        <v>18</v>
      </c>
      <c r="E707" s="3">
        <v>14</v>
      </c>
      <c r="F707" t="s">
        <v>19</v>
      </c>
      <c r="G707" t="s">
        <v>60</v>
      </c>
      <c r="H707" t="s">
        <v>61</v>
      </c>
      <c r="I707" s="12">
        <v>0.59027777777777779</v>
      </c>
      <c r="J707" t="s">
        <v>62</v>
      </c>
      <c r="K707" t="s">
        <v>61</v>
      </c>
      <c r="L707" s="12">
        <v>0.62152777777777779</v>
      </c>
      <c r="M707" t="s">
        <v>63</v>
      </c>
      <c r="N707" s="3">
        <v>232</v>
      </c>
      <c r="O707" t="s">
        <v>24</v>
      </c>
      <c r="P707" t="s">
        <v>56</v>
      </c>
      <c r="R707">
        <f>tblDailySchedule[[#This Row],[Capacity Approx]]*'[1]Load Factor Sheet June Acft  '!$B$5</f>
        <v>187.86727272727273</v>
      </c>
      <c r="S707">
        <f>tblDailySchedule[[#This Row],[Capacity Approx]]*'[1]Load Factor Sheet June Acft  '!$D$5</f>
        <v>203.4218181818182</v>
      </c>
      <c r="T707" s="22">
        <f>tblDailySchedule[[#This Row],[STD]]</f>
        <v>0.62152777777777779</v>
      </c>
    </row>
    <row r="708" spans="1:20" hidden="1" x14ac:dyDescent="0.35">
      <c r="A708" s="11">
        <v>46135</v>
      </c>
      <c r="B708" s="3">
        <v>4</v>
      </c>
      <c r="C708" t="s">
        <v>114</v>
      </c>
      <c r="D708" t="s">
        <v>18</v>
      </c>
      <c r="E708" s="3">
        <v>15</v>
      </c>
      <c r="F708" t="s">
        <v>19</v>
      </c>
      <c r="G708" t="s">
        <v>64</v>
      </c>
      <c r="H708" t="s">
        <v>31</v>
      </c>
      <c r="I708" s="12">
        <v>0.60069444444444442</v>
      </c>
      <c r="J708" t="s">
        <v>65</v>
      </c>
      <c r="K708" t="s">
        <v>66</v>
      </c>
      <c r="L708" s="12">
        <v>0.62847222222222221</v>
      </c>
      <c r="M708" t="s">
        <v>63</v>
      </c>
      <c r="N708" s="3">
        <v>232</v>
      </c>
      <c r="O708" t="s">
        <v>24</v>
      </c>
      <c r="P708" t="s">
        <v>56</v>
      </c>
      <c r="R708">
        <f>tblDailySchedule[[#This Row],[Capacity Approx]]*'[1]Load Factor Sheet June Acft  '!$B$5</f>
        <v>187.86727272727273</v>
      </c>
      <c r="S708">
        <f>tblDailySchedule[[#This Row],[Capacity Approx]]*'[1]Load Factor Sheet June Acft  '!$D$5</f>
        <v>203.4218181818182</v>
      </c>
      <c r="T708" s="22">
        <f>tblDailySchedule[[#This Row],[STD]]</f>
        <v>0.62847222222222221</v>
      </c>
    </row>
    <row r="709" spans="1:20" hidden="1" x14ac:dyDescent="0.35">
      <c r="A709" s="11">
        <v>46135</v>
      </c>
      <c r="B709" s="3">
        <v>4</v>
      </c>
      <c r="C709" t="s">
        <v>114</v>
      </c>
      <c r="D709" t="s">
        <v>18</v>
      </c>
      <c r="E709" s="3">
        <v>16</v>
      </c>
      <c r="F709" t="s">
        <v>19</v>
      </c>
      <c r="G709" t="s">
        <v>67</v>
      </c>
      <c r="H709" t="s">
        <v>31</v>
      </c>
      <c r="I709" s="12">
        <v>0.65625</v>
      </c>
      <c r="J709" t="s">
        <v>68</v>
      </c>
      <c r="K709" t="s">
        <v>31</v>
      </c>
      <c r="L709" s="12">
        <v>0.68402777777777779</v>
      </c>
      <c r="M709" t="s">
        <v>63</v>
      </c>
      <c r="N709" s="3">
        <v>232</v>
      </c>
      <c r="O709" t="s">
        <v>24</v>
      </c>
      <c r="P709" t="s">
        <v>56</v>
      </c>
      <c r="R709">
        <f>tblDailySchedule[[#This Row],[Capacity Approx]]*'[1]Load Factor Sheet June Acft  '!$B$5</f>
        <v>187.86727272727273</v>
      </c>
      <c r="S709">
        <f>tblDailySchedule[[#This Row],[Capacity Approx]]*'[1]Load Factor Sheet June Acft  '!$D$5</f>
        <v>203.4218181818182</v>
      </c>
      <c r="T709" s="22">
        <f>tblDailySchedule[[#This Row],[STD]]</f>
        <v>0.68402777777777779</v>
      </c>
    </row>
    <row r="710" spans="1:20" hidden="1" x14ac:dyDescent="0.35">
      <c r="A710" s="11">
        <v>46135</v>
      </c>
      <c r="B710" s="3">
        <v>4</v>
      </c>
      <c r="C710" t="s">
        <v>114</v>
      </c>
      <c r="D710" t="s">
        <v>18</v>
      </c>
      <c r="E710" s="3">
        <v>17</v>
      </c>
      <c r="F710" t="s">
        <v>19</v>
      </c>
      <c r="G710" t="s">
        <v>69</v>
      </c>
      <c r="H710" t="s">
        <v>31</v>
      </c>
      <c r="I710" s="12">
        <v>0.66319444444444442</v>
      </c>
      <c r="J710" t="s">
        <v>70</v>
      </c>
      <c r="K710" t="s">
        <v>31</v>
      </c>
      <c r="L710" s="12">
        <v>0.69097222222222221</v>
      </c>
      <c r="M710" t="s">
        <v>33</v>
      </c>
      <c r="N710" s="3">
        <v>189</v>
      </c>
      <c r="O710" t="s">
        <v>24</v>
      </c>
      <c r="P710" t="s">
        <v>56</v>
      </c>
      <c r="R710">
        <f>tblDailySchedule[[#This Row],[Capacity Approx]]*'[1]Load Factor Sheet June Acft  '!$B$5</f>
        <v>153.04704545454547</v>
      </c>
      <c r="S710">
        <f>tblDailySchedule[[#This Row],[Capacity Approx]]*'[1]Load Factor Sheet June Acft  '!$D$5</f>
        <v>165.71863636363636</v>
      </c>
      <c r="T710" s="22">
        <f>tblDailySchedule[[#This Row],[STD]]</f>
        <v>0.69097222222222221</v>
      </c>
    </row>
    <row r="711" spans="1:20" hidden="1" x14ac:dyDescent="0.35">
      <c r="A711" s="11">
        <v>46135</v>
      </c>
      <c r="B711" s="3">
        <v>4</v>
      </c>
      <c r="C711" t="s">
        <v>114</v>
      </c>
      <c r="D711" t="s">
        <v>18</v>
      </c>
      <c r="E711" s="3">
        <v>18</v>
      </c>
      <c r="F711" t="s">
        <v>19</v>
      </c>
      <c r="G711" t="s">
        <v>71</v>
      </c>
      <c r="H711" t="s">
        <v>21</v>
      </c>
      <c r="I711" s="12">
        <v>0.67013888888888884</v>
      </c>
      <c r="J711" t="s">
        <v>72</v>
      </c>
      <c r="K711" t="s">
        <v>21</v>
      </c>
      <c r="L711" s="12">
        <v>0.69791666666666663</v>
      </c>
      <c r="M711" t="s">
        <v>63</v>
      </c>
      <c r="N711" s="3">
        <v>232</v>
      </c>
      <c r="O711" t="s">
        <v>24</v>
      </c>
      <c r="P711" t="s">
        <v>56</v>
      </c>
      <c r="R711">
        <f>tblDailySchedule[[#This Row],[Capacity Approx]]*'[1]Load Factor Sheet June Acft  '!$B$5</f>
        <v>187.86727272727273</v>
      </c>
      <c r="S711">
        <f>tblDailySchedule[[#This Row],[Capacity Approx]]*'[1]Load Factor Sheet June Acft  '!$D$5</f>
        <v>203.4218181818182</v>
      </c>
      <c r="T711" s="22">
        <f>tblDailySchedule[[#This Row],[STD]]</f>
        <v>0.69791666666666663</v>
      </c>
    </row>
    <row r="712" spans="1:20" hidden="1" x14ac:dyDescent="0.35">
      <c r="A712" s="11">
        <v>46135</v>
      </c>
      <c r="B712" s="3">
        <v>4</v>
      </c>
      <c r="C712" t="s">
        <v>114</v>
      </c>
      <c r="D712" t="s">
        <v>18</v>
      </c>
      <c r="E712" s="3">
        <v>19</v>
      </c>
      <c r="F712" t="s">
        <v>19</v>
      </c>
      <c r="G712" t="s">
        <v>73</v>
      </c>
      <c r="H712" t="s">
        <v>27</v>
      </c>
      <c r="I712" s="12">
        <v>0.74652777777777779</v>
      </c>
      <c r="J712" t="s">
        <v>74</v>
      </c>
      <c r="K712" t="s">
        <v>27</v>
      </c>
      <c r="L712" s="12">
        <v>0.77430555555555558</v>
      </c>
      <c r="M712" t="s">
        <v>63</v>
      </c>
      <c r="N712" s="3">
        <v>232</v>
      </c>
      <c r="O712" t="s">
        <v>24</v>
      </c>
      <c r="P712" t="s">
        <v>56</v>
      </c>
      <c r="R712">
        <f>tblDailySchedule[[#This Row],[Capacity Approx]]*'[1]Load Factor Sheet June Acft  '!$B$5</f>
        <v>187.86727272727273</v>
      </c>
      <c r="S712">
        <f>tblDailySchedule[[#This Row],[Capacity Approx]]*'[1]Load Factor Sheet June Acft  '!$D$5</f>
        <v>203.4218181818182</v>
      </c>
      <c r="T712" s="22">
        <f>tblDailySchedule[[#This Row],[STD]]</f>
        <v>0.77430555555555558</v>
      </c>
    </row>
    <row r="713" spans="1:20" hidden="1" x14ac:dyDescent="0.35">
      <c r="A713" s="11">
        <v>46135</v>
      </c>
      <c r="B713" s="3">
        <v>4</v>
      </c>
      <c r="C713" t="s">
        <v>114</v>
      </c>
      <c r="D713" t="s">
        <v>18</v>
      </c>
      <c r="E713" s="3">
        <v>21</v>
      </c>
      <c r="F713" t="s">
        <v>19</v>
      </c>
      <c r="G713" t="s">
        <v>81</v>
      </c>
      <c r="H713" t="s">
        <v>61</v>
      </c>
      <c r="I713" s="12">
        <v>0.77083333333333337</v>
      </c>
      <c r="J713" t="s">
        <v>82</v>
      </c>
      <c r="K713" t="s">
        <v>49</v>
      </c>
      <c r="L713" s="12">
        <v>0.79166666666666663</v>
      </c>
      <c r="M713" t="s">
        <v>33</v>
      </c>
      <c r="N713" s="3">
        <v>189</v>
      </c>
      <c r="O713" t="s">
        <v>24</v>
      </c>
      <c r="P713" t="s">
        <v>79</v>
      </c>
      <c r="R713">
        <f>tblDailySchedule[[#This Row],[Capacity Approx]]*'[1]Load Factor Sheet June Acft  '!$B$5</f>
        <v>153.04704545454547</v>
      </c>
      <c r="S713">
        <f>tblDailySchedule[[#This Row],[Capacity Approx]]*'[1]Load Factor Sheet June Acft  '!$D$5</f>
        <v>165.71863636363636</v>
      </c>
      <c r="T713" s="22">
        <f>tblDailySchedule[[#This Row],[STD]]</f>
        <v>0.79166666666666663</v>
      </c>
    </row>
    <row r="714" spans="1:20" hidden="1" x14ac:dyDescent="0.35">
      <c r="A714" s="11">
        <v>46135</v>
      </c>
      <c r="B714" s="3">
        <v>4</v>
      </c>
      <c r="C714" t="s">
        <v>114</v>
      </c>
      <c r="D714" t="s">
        <v>18</v>
      </c>
      <c r="E714" s="3">
        <v>22</v>
      </c>
      <c r="F714" t="s">
        <v>19</v>
      </c>
      <c r="G714" t="s">
        <v>83</v>
      </c>
      <c r="H714" t="s">
        <v>31</v>
      </c>
      <c r="I714" s="12">
        <v>0.77777777777777779</v>
      </c>
      <c r="J714" t="s">
        <v>84</v>
      </c>
      <c r="K714" t="s">
        <v>31</v>
      </c>
      <c r="L714" s="12">
        <v>0.80555555555555558</v>
      </c>
      <c r="M714" t="s">
        <v>63</v>
      </c>
      <c r="N714" s="3">
        <v>232</v>
      </c>
      <c r="O714" t="s">
        <v>24</v>
      </c>
      <c r="P714" t="s">
        <v>79</v>
      </c>
      <c r="R714">
        <f>tblDailySchedule[[#This Row],[Capacity Approx]]*'[1]Load Factor Sheet June Acft  '!$B$5</f>
        <v>187.86727272727273</v>
      </c>
      <c r="S714">
        <f>tblDailySchedule[[#This Row],[Capacity Approx]]*'[1]Load Factor Sheet June Acft  '!$D$5</f>
        <v>203.4218181818182</v>
      </c>
      <c r="T714" s="22">
        <f>tblDailySchedule[[#This Row],[STD]]</f>
        <v>0.80555555555555558</v>
      </c>
    </row>
    <row r="715" spans="1:20" hidden="1" x14ac:dyDescent="0.35">
      <c r="A715" s="11">
        <v>46135</v>
      </c>
      <c r="B715" s="3">
        <v>4</v>
      </c>
      <c r="C715" t="s">
        <v>114</v>
      </c>
      <c r="D715" t="s">
        <v>18</v>
      </c>
      <c r="E715" s="3">
        <v>23</v>
      </c>
      <c r="F715" t="s">
        <v>19</v>
      </c>
      <c r="G715" t="s">
        <v>85</v>
      </c>
      <c r="H715" t="s">
        <v>86</v>
      </c>
      <c r="I715" s="12">
        <v>0.79861111111111116</v>
      </c>
      <c r="J715" t="s">
        <v>87</v>
      </c>
      <c r="K715" t="s">
        <v>86</v>
      </c>
      <c r="L715" s="12">
        <v>0.82638888888888884</v>
      </c>
      <c r="M715" t="s">
        <v>63</v>
      </c>
      <c r="N715" s="3">
        <v>232</v>
      </c>
      <c r="O715" t="s">
        <v>24</v>
      </c>
      <c r="P715" t="s">
        <v>79</v>
      </c>
      <c r="R715">
        <f>tblDailySchedule[[#This Row],[Capacity Approx]]*'[1]Load Factor Sheet June Acft  '!$B$5</f>
        <v>187.86727272727273</v>
      </c>
      <c r="S715">
        <f>tblDailySchedule[[#This Row],[Capacity Approx]]*'[1]Load Factor Sheet June Acft  '!$D$5</f>
        <v>203.4218181818182</v>
      </c>
      <c r="T715" s="22">
        <f>tblDailySchedule[[#This Row],[STD]]</f>
        <v>0.82638888888888884</v>
      </c>
    </row>
    <row r="716" spans="1:20" hidden="1" x14ac:dyDescent="0.35">
      <c r="A716" s="11">
        <v>46135</v>
      </c>
      <c r="B716" s="3">
        <v>4</v>
      </c>
      <c r="C716" t="s">
        <v>114</v>
      </c>
      <c r="D716" t="s">
        <v>18</v>
      </c>
      <c r="E716" s="3">
        <v>24</v>
      </c>
      <c r="F716" t="s">
        <v>19</v>
      </c>
      <c r="G716" t="s">
        <v>88</v>
      </c>
      <c r="H716" t="s">
        <v>89</v>
      </c>
      <c r="I716" s="12">
        <v>0.83333333333333337</v>
      </c>
      <c r="J716" t="s">
        <v>90</v>
      </c>
      <c r="K716" t="s">
        <v>31</v>
      </c>
      <c r="L716" s="12">
        <v>0.86111111111111116</v>
      </c>
      <c r="M716" t="s">
        <v>63</v>
      </c>
      <c r="N716" s="3">
        <v>232</v>
      </c>
      <c r="O716" t="s">
        <v>24</v>
      </c>
      <c r="P716" t="s">
        <v>79</v>
      </c>
      <c r="R716">
        <f>tblDailySchedule[[#This Row],[Capacity Approx]]*'[1]Load Factor Sheet June Acft  '!$B$5</f>
        <v>187.86727272727273</v>
      </c>
      <c r="S716">
        <f>tblDailySchedule[[#This Row],[Capacity Approx]]*'[1]Load Factor Sheet June Acft  '!$D$5</f>
        <v>203.4218181818182</v>
      </c>
      <c r="T716" s="22">
        <f>tblDailySchedule[[#This Row],[STD]]</f>
        <v>0.86111111111111116</v>
      </c>
    </row>
    <row r="717" spans="1:20" hidden="1" x14ac:dyDescent="0.35">
      <c r="A717" s="11">
        <v>46135</v>
      </c>
      <c r="B717" s="3">
        <v>4</v>
      </c>
      <c r="C717" t="s">
        <v>114</v>
      </c>
      <c r="D717" t="s">
        <v>18</v>
      </c>
      <c r="E717" s="3">
        <v>25</v>
      </c>
      <c r="F717" t="s">
        <v>19</v>
      </c>
      <c r="G717" t="s">
        <v>91</v>
      </c>
      <c r="H717" t="s">
        <v>61</v>
      </c>
      <c r="I717" s="12">
        <v>0.85416666666666663</v>
      </c>
      <c r="J717" t="s">
        <v>92</v>
      </c>
      <c r="K717" t="s">
        <v>61</v>
      </c>
      <c r="L717" s="12">
        <v>0.88194444444444442</v>
      </c>
      <c r="M717" t="s">
        <v>63</v>
      </c>
      <c r="N717" s="3">
        <v>232</v>
      </c>
      <c r="O717" t="s">
        <v>24</v>
      </c>
      <c r="P717" t="s">
        <v>79</v>
      </c>
      <c r="R717">
        <f>tblDailySchedule[[#This Row],[Capacity Approx]]*'[1]Load Factor Sheet June Acft  '!$B$5</f>
        <v>187.86727272727273</v>
      </c>
      <c r="S717">
        <f>tblDailySchedule[[#This Row],[Capacity Approx]]*'[1]Load Factor Sheet June Acft  '!$D$5</f>
        <v>203.4218181818182</v>
      </c>
      <c r="T717" s="22">
        <f>tblDailySchedule[[#This Row],[STD]]</f>
        <v>0.88194444444444442</v>
      </c>
    </row>
    <row r="718" spans="1:20" hidden="1" x14ac:dyDescent="0.35">
      <c r="A718" s="11">
        <v>46135</v>
      </c>
      <c r="B718" s="3">
        <v>4</v>
      </c>
      <c r="C718" t="s">
        <v>114</v>
      </c>
      <c r="D718" t="s">
        <v>18</v>
      </c>
      <c r="E718" s="3">
        <v>26</v>
      </c>
      <c r="F718" t="s">
        <v>19</v>
      </c>
      <c r="G718" t="s">
        <v>93</v>
      </c>
      <c r="H718" t="s">
        <v>31</v>
      </c>
      <c r="I718" s="12">
        <v>0.86111111111111116</v>
      </c>
      <c r="J718" t="s">
        <v>94</v>
      </c>
      <c r="K718" t="s">
        <v>31</v>
      </c>
      <c r="L718" s="12">
        <v>0.88888888888888884</v>
      </c>
      <c r="M718" t="s">
        <v>23</v>
      </c>
      <c r="N718" s="3">
        <v>186</v>
      </c>
      <c r="O718" t="s">
        <v>24</v>
      </c>
      <c r="P718" t="s">
        <v>79</v>
      </c>
      <c r="R718">
        <f>tblDailySchedule[[#This Row],[Capacity Approx]]*'[1]Load Factor Sheet June Acft  '!$B$5</f>
        <v>150.61772727272728</v>
      </c>
      <c r="S718">
        <f>tblDailySchedule[[#This Row],[Capacity Approx]]*'[1]Load Factor Sheet June Acft  '!$D$5</f>
        <v>163.08818181818182</v>
      </c>
      <c r="T718" s="22">
        <f>tblDailySchedule[[#This Row],[STD]]</f>
        <v>0.88888888888888884</v>
      </c>
    </row>
    <row r="719" spans="1:20" hidden="1" x14ac:dyDescent="0.35">
      <c r="A719" s="11">
        <v>46135</v>
      </c>
      <c r="B719" s="3">
        <v>4</v>
      </c>
      <c r="C719" t="s">
        <v>114</v>
      </c>
      <c r="D719" t="s">
        <v>18</v>
      </c>
      <c r="E719" s="3">
        <v>27</v>
      </c>
      <c r="F719" t="s">
        <v>19</v>
      </c>
      <c r="G719" t="s">
        <v>95</v>
      </c>
      <c r="H719" t="s">
        <v>21</v>
      </c>
      <c r="I719" s="12">
        <v>0.86805555555555558</v>
      </c>
      <c r="J719" t="s">
        <v>96</v>
      </c>
      <c r="K719" t="s">
        <v>21</v>
      </c>
      <c r="L719" s="12">
        <v>0.89583333333333337</v>
      </c>
      <c r="M719" t="s">
        <v>29</v>
      </c>
      <c r="N719" s="3">
        <v>186</v>
      </c>
      <c r="O719" t="s">
        <v>24</v>
      </c>
      <c r="P719" t="s">
        <v>79</v>
      </c>
      <c r="R719">
        <f>tblDailySchedule[[#This Row],[Capacity Approx]]*'[1]Load Factor Sheet June Acft  '!$B$5</f>
        <v>150.61772727272728</v>
      </c>
      <c r="S719">
        <f>tblDailySchedule[[#This Row],[Capacity Approx]]*'[1]Load Factor Sheet June Acft  '!$D$5</f>
        <v>163.08818181818182</v>
      </c>
      <c r="T719" s="22">
        <f>tblDailySchedule[[#This Row],[STD]]</f>
        <v>0.89583333333333337</v>
      </c>
    </row>
    <row r="720" spans="1:20" hidden="1" x14ac:dyDescent="0.35">
      <c r="A720" s="11">
        <v>46135</v>
      </c>
      <c r="B720" s="3">
        <v>4</v>
      </c>
      <c r="C720" t="s">
        <v>114</v>
      </c>
      <c r="D720" t="s">
        <v>18</v>
      </c>
      <c r="E720" s="3">
        <v>28</v>
      </c>
      <c r="F720" t="s">
        <v>19</v>
      </c>
      <c r="G720" t="s">
        <v>97</v>
      </c>
      <c r="H720" t="s">
        <v>49</v>
      </c>
      <c r="I720" s="12">
        <v>0.90277777777777779</v>
      </c>
      <c r="J720" t="s">
        <v>97</v>
      </c>
      <c r="K720" t="s">
        <v>61</v>
      </c>
      <c r="L720" s="12">
        <v>0.92361111111111116</v>
      </c>
      <c r="M720" t="s">
        <v>33</v>
      </c>
      <c r="N720" s="3">
        <v>189</v>
      </c>
      <c r="O720" t="s">
        <v>24</v>
      </c>
      <c r="P720" t="s">
        <v>79</v>
      </c>
      <c r="R720">
        <f>tblDailySchedule[[#This Row],[Capacity Approx]]*'[1]Load Factor Sheet June Acft  '!$B$5</f>
        <v>153.04704545454547</v>
      </c>
      <c r="S720">
        <f>tblDailySchedule[[#This Row],[Capacity Approx]]*'[1]Load Factor Sheet June Acft  '!$D$5</f>
        <v>165.71863636363636</v>
      </c>
      <c r="T720" s="22">
        <f>tblDailySchedule[[#This Row],[STD]]</f>
        <v>0.92361111111111116</v>
      </c>
    </row>
    <row r="721" spans="1:20" hidden="1" x14ac:dyDescent="0.35">
      <c r="A721" s="11">
        <v>46135</v>
      </c>
      <c r="B721" s="3">
        <v>4</v>
      </c>
      <c r="C721" t="s">
        <v>114</v>
      </c>
      <c r="D721" t="s">
        <v>18</v>
      </c>
      <c r="E721" s="3">
        <v>29</v>
      </c>
      <c r="F721" t="s">
        <v>19</v>
      </c>
      <c r="G721" t="s">
        <v>98</v>
      </c>
      <c r="H721" t="s">
        <v>21</v>
      </c>
      <c r="I721" s="12">
        <v>0.92013888888888884</v>
      </c>
      <c r="J721" t="s">
        <v>99</v>
      </c>
      <c r="K721" t="s">
        <v>21</v>
      </c>
      <c r="L721" s="12">
        <v>0.94791666666666663</v>
      </c>
      <c r="M721" t="s">
        <v>63</v>
      </c>
      <c r="N721" s="3">
        <v>232</v>
      </c>
      <c r="O721" t="s">
        <v>24</v>
      </c>
      <c r="P721" t="s">
        <v>79</v>
      </c>
      <c r="R721">
        <f>tblDailySchedule[[#This Row],[Capacity Approx]]*'[1]Load Factor Sheet June Acft  '!$B$5</f>
        <v>187.86727272727273</v>
      </c>
      <c r="S721">
        <f>tblDailySchedule[[#This Row],[Capacity Approx]]*'[1]Load Factor Sheet June Acft  '!$D$5</f>
        <v>203.4218181818182</v>
      </c>
      <c r="T721" s="22">
        <f>tblDailySchedule[[#This Row],[STD]]</f>
        <v>0.94791666666666663</v>
      </c>
    </row>
    <row r="722" spans="1:20" hidden="1" x14ac:dyDescent="0.35">
      <c r="A722" s="11">
        <v>46136</v>
      </c>
      <c r="B722" s="3">
        <v>5</v>
      </c>
      <c r="C722" t="s">
        <v>115</v>
      </c>
      <c r="D722" t="s">
        <v>18</v>
      </c>
      <c r="E722" s="3">
        <v>2</v>
      </c>
      <c r="F722" t="s">
        <v>19</v>
      </c>
      <c r="G722" t="s">
        <v>20</v>
      </c>
      <c r="H722" t="s">
        <v>21</v>
      </c>
      <c r="I722" s="12">
        <v>0.31944444444444442</v>
      </c>
      <c r="J722" t="s">
        <v>22</v>
      </c>
      <c r="K722" t="s">
        <v>21</v>
      </c>
      <c r="L722" s="12">
        <v>0.34722222222222221</v>
      </c>
      <c r="M722" t="s">
        <v>23</v>
      </c>
      <c r="N722" s="3">
        <v>186</v>
      </c>
      <c r="O722" t="s">
        <v>24</v>
      </c>
      <c r="P722" t="s">
        <v>25</v>
      </c>
      <c r="R722">
        <f>tblDailySchedule[[#This Row],[Capacity Approx]]*'[1]Load Factor Sheet June Acft  '!$B$5</f>
        <v>150.61772727272728</v>
      </c>
      <c r="S722">
        <f>tblDailySchedule[[#This Row],[Capacity Approx]]*'[1]Load Factor Sheet June Acft  '!$D$5</f>
        <v>163.08818181818182</v>
      </c>
      <c r="T722" s="22">
        <f>tblDailySchedule[[#This Row],[STD]]</f>
        <v>0.34722222222222221</v>
      </c>
    </row>
    <row r="723" spans="1:20" hidden="1" x14ac:dyDescent="0.35">
      <c r="A723" s="11">
        <v>46136</v>
      </c>
      <c r="B723" s="3">
        <v>5</v>
      </c>
      <c r="C723" t="s">
        <v>115</v>
      </c>
      <c r="D723" t="s">
        <v>18</v>
      </c>
      <c r="E723" s="3">
        <v>3</v>
      </c>
      <c r="F723" t="s">
        <v>19</v>
      </c>
      <c r="G723" t="s">
        <v>26</v>
      </c>
      <c r="H723" t="s">
        <v>27</v>
      </c>
      <c r="I723" s="12">
        <v>0.3263888888888889</v>
      </c>
      <c r="J723" t="s">
        <v>28</v>
      </c>
      <c r="K723" t="s">
        <v>27</v>
      </c>
      <c r="L723" s="12">
        <v>0.35416666666666669</v>
      </c>
      <c r="M723" t="s">
        <v>29</v>
      </c>
      <c r="N723" s="3">
        <v>186</v>
      </c>
      <c r="O723" t="s">
        <v>24</v>
      </c>
      <c r="P723" t="s">
        <v>25</v>
      </c>
      <c r="R723">
        <f>tblDailySchedule[[#This Row],[Capacity Approx]]*'[1]Load Factor Sheet June Acft  '!$B$5</f>
        <v>150.61772727272728</v>
      </c>
      <c r="S723">
        <f>tblDailySchedule[[#This Row],[Capacity Approx]]*'[1]Load Factor Sheet June Acft  '!$D$5</f>
        <v>163.08818181818182</v>
      </c>
      <c r="T723" s="22">
        <f>tblDailySchedule[[#This Row],[STD]]</f>
        <v>0.35416666666666669</v>
      </c>
    </row>
    <row r="724" spans="1:20" hidden="1" x14ac:dyDescent="0.35">
      <c r="A724" s="11">
        <v>46136</v>
      </c>
      <c r="B724" s="3">
        <v>5</v>
      </c>
      <c r="C724" t="s">
        <v>115</v>
      </c>
      <c r="D724" t="s">
        <v>18</v>
      </c>
      <c r="E724" s="3">
        <v>4</v>
      </c>
      <c r="F724" t="s">
        <v>19</v>
      </c>
      <c r="G724" t="s">
        <v>30</v>
      </c>
      <c r="H724" t="s">
        <v>31</v>
      </c>
      <c r="I724" s="12">
        <v>0.34722222222222221</v>
      </c>
      <c r="J724" t="s">
        <v>32</v>
      </c>
      <c r="K724" t="s">
        <v>31</v>
      </c>
      <c r="L724" s="12">
        <v>0.36805555555555558</v>
      </c>
      <c r="M724" t="s">
        <v>33</v>
      </c>
      <c r="N724" s="3">
        <v>189</v>
      </c>
      <c r="O724" t="s">
        <v>24</v>
      </c>
      <c r="P724" t="s">
        <v>25</v>
      </c>
      <c r="R724">
        <f>tblDailySchedule[[#This Row],[Capacity Approx]]*'[1]Load Factor Sheet June Acft  '!$B$5</f>
        <v>153.04704545454547</v>
      </c>
      <c r="S724">
        <f>tblDailySchedule[[#This Row],[Capacity Approx]]*'[1]Load Factor Sheet June Acft  '!$D$5</f>
        <v>165.71863636363636</v>
      </c>
      <c r="T724" s="22">
        <f>tblDailySchedule[[#This Row],[STD]]</f>
        <v>0.36805555555555558</v>
      </c>
    </row>
    <row r="725" spans="1:20" hidden="1" x14ac:dyDescent="0.35">
      <c r="A725" s="13">
        <v>46136</v>
      </c>
      <c r="B725" s="7">
        <v>5</v>
      </c>
      <c r="C725" s="14" t="s">
        <v>115</v>
      </c>
      <c r="D725" s="14" t="s">
        <v>18</v>
      </c>
      <c r="E725" s="7">
        <v>6</v>
      </c>
      <c r="F725" s="14" t="s">
        <v>34</v>
      </c>
      <c r="G725" s="14" t="s">
        <v>35</v>
      </c>
      <c r="H725" s="14" t="s">
        <v>36</v>
      </c>
      <c r="I725" s="15">
        <v>0.34722222222222221</v>
      </c>
      <c r="J725" s="14" t="s">
        <v>37</v>
      </c>
      <c r="K725" s="14" t="s">
        <v>36</v>
      </c>
      <c r="L725" s="15">
        <v>0.40972222222222221</v>
      </c>
      <c r="M725" s="14" t="s">
        <v>38</v>
      </c>
      <c r="N725" s="7">
        <v>186</v>
      </c>
      <c r="O725" s="14" t="s">
        <v>39</v>
      </c>
      <c r="P725" s="14" t="s">
        <v>25</v>
      </c>
      <c r="Q725" s="14" t="s">
        <v>39</v>
      </c>
      <c r="R725">
        <f>tblDailySchedule[[#This Row],[Capacity Approx]]*'[1]Load Factor Sheet June Acft  '!$B$5</f>
        <v>150.61772727272728</v>
      </c>
      <c r="S725">
        <f>tblDailySchedule[[#This Row],[Capacity Approx]]*'[1]Load Factor Sheet June Acft  '!$D$5</f>
        <v>163.08818181818182</v>
      </c>
      <c r="T725" s="22">
        <f>tblDailySchedule[[#This Row],[STD]]</f>
        <v>0.40972222222222221</v>
      </c>
    </row>
    <row r="726" spans="1:20" hidden="1" x14ac:dyDescent="0.35">
      <c r="A726" s="11">
        <v>46136</v>
      </c>
      <c r="B726" s="3">
        <v>5</v>
      </c>
      <c r="C726" t="s">
        <v>115</v>
      </c>
      <c r="D726" t="s">
        <v>18</v>
      </c>
      <c r="E726" s="3">
        <v>5</v>
      </c>
      <c r="F726" t="s">
        <v>19</v>
      </c>
      <c r="G726" t="s">
        <v>40</v>
      </c>
      <c r="H726" t="s">
        <v>31</v>
      </c>
      <c r="I726" s="12">
        <v>0.35069444444444442</v>
      </c>
      <c r="J726" t="s">
        <v>41</v>
      </c>
      <c r="K726" t="s">
        <v>31</v>
      </c>
      <c r="L726" s="12">
        <v>0.37152777777777779</v>
      </c>
      <c r="M726" t="s">
        <v>23</v>
      </c>
      <c r="N726" s="3">
        <v>186</v>
      </c>
      <c r="O726" t="s">
        <v>24</v>
      </c>
      <c r="P726" t="s">
        <v>25</v>
      </c>
      <c r="R726">
        <f>tblDailySchedule[[#This Row],[Capacity Approx]]*'[1]Load Factor Sheet June Acft  '!$B$5</f>
        <v>150.61772727272728</v>
      </c>
      <c r="S726">
        <f>tblDailySchedule[[#This Row],[Capacity Approx]]*'[1]Load Factor Sheet June Acft  '!$D$5</f>
        <v>163.08818181818182</v>
      </c>
      <c r="T726" s="22">
        <f>tblDailySchedule[[#This Row],[STD]]</f>
        <v>0.37152777777777779</v>
      </c>
    </row>
    <row r="727" spans="1:20" hidden="1" x14ac:dyDescent="0.35">
      <c r="A727" s="11">
        <v>46136</v>
      </c>
      <c r="B727" s="3">
        <v>5</v>
      </c>
      <c r="C727" t="s">
        <v>115</v>
      </c>
      <c r="D727" t="s">
        <v>18</v>
      </c>
      <c r="E727" s="3">
        <v>7</v>
      </c>
      <c r="F727" t="s">
        <v>19</v>
      </c>
      <c r="G727" t="s">
        <v>42</v>
      </c>
      <c r="H727" t="s">
        <v>43</v>
      </c>
      <c r="I727" s="12">
        <v>0.3923611111111111</v>
      </c>
      <c r="J727" t="s">
        <v>44</v>
      </c>
      <c r="K727" t="s">
        <v>43</v>
      </c>
      <c r="L727" s="12">
        <v>0.40277777777777779</v>
      </c>
      <c r="M727" t="s">
        <v>45</v>
      </c>
      <c r="N727" s="3">
        <v>9</v>
      </c>
      <c r="O727" t="s">
        <v>24</v>
      </c>
      <c r="P727" t="s">
        <v>25</v>
      </c>
      <c r="R727">
        <f>tblDailySchedule[[#This Row],[Capacity Approx]]*'[1]Load Factor Sheet June Acft  '!$B$5</f>
        <v>7.2879545454545456</v>
      </c>
      <c r="S727">
        <f>tblDailySchedule[[#This Row],[Capacity Approx]]*'[1]Load Factor Sheet June Acft  '!$D$5</f>
        <v>7.8913636363636366</v>
      </c>
      <c r="T727" s="22">
        <f>tblDailySchedule[[#This Row],[STD]]</f>
        <v>0.40277777777777779</v>
      </c>
    </row>
    <row r="728" spans="1:20" hidden="1" x14ac:dyDescent="0.35">
      <c r="A728" s="11">
        <v>46136</v>
      </c>
      <c r="B728" s="3">
        <v>5</v>
      </c>
      <c r="C728" t="s">
        <v>115</v>
      </c>
      <c r="D728" t="s">
        <v>18</v>
      </c>
      <c r="E728" s="3">
        <v>8</v>
      </c>
      <c r="F728" t="s">
        <v>19</v>
      </c>
      <c r="G728" t="s">
        <v>46</v>
      </c>
      <c r="H728" t="s">
        <v>31</v>
      </c>
      <c r="I728" s="12">
        <v>0.4201388888888889</v>
      </c>
      <c r="J728" t="s">
        <v>47</v>
      </c>
      <c r="K728" t="s">
        <v>31</v>
      </c>
      <c r="L728" s="12">
        <v>0.44444444444444442</v>
      </c>
      <c r="M728" t="s">
        <v>29</v>
      </c>
      <c r="N728" s="3">
        <v>186</v>
      </c>
      <c r="O728" t="s">
        <v>24</v>
      </c>
      <c r="P728" t="s">
        <v>25</v>
      </c>
      <c r="R728">
        <f>tblDailySchedule[[#This Row],[Capacity Approx]]*'[1]Load Factor Sheet June Acft  '!$B$5</f>
        <v>150.61772727272728</v>
      </c>
      <c r="S728">
        <f>tblDailySchedule[[#This Row],[Capacity Approx]]*'[1]Load Factor Sheet June Acft  '!$D$5</f>
        <v>163.08818181818182</v>
      </c>
      <c r="T728" s="22">
        <f>tblDailySchedule[[#This Row],[STD]]</f>
        <v>0.44444444444444442</v>
      </c>
    </row>
    <row r="729" spans="1:20" hidden="1" x14ac:dyDescent="0.35">
      <c r="A729" s="11">
        <v>46136</v>
      </c>
      <c r="B729" s="3">
        <v>5</v>
      </c>
      <c r="C729" t="s">
        <v>115</v>
      </c>
      <c r="D729" t="s">
        <v>18</v>
      </c>
      <c r="E729" s="3">
        <v>9</v>
      </c>
      <c r="F729" t="s">
        <v>19</v>
      </c>
      <c r="G729" t="s">
        <v>48</v>
      </c>
      <c r="H729" t="s">
        <v>49</v>
      </c>
      <c r="I729" s="12">
        <v>0.4375</v>
      </c>
      <c r="J729" t="s">
        <v>50</v>
      </c>
      <c r="K729" t="s">
        <v>49</v>
      </c>
      <c r="L729" s="12">
        <v>0.45833333333333331</v>
      </c>
      <c r="M729" t="s">
        <v>51</v>
      </c>
      <c r="N729" s="3">
        <v>78</v>
      </c>
      <c r="O729" t="s">
        <v>24</v>
      </c>
      <c r="P729" t="s">
        <v>25</v>
      </c>
      <c r="R729">
        <f>tblDailySchedule[[#This Row],[Capacity Approx]]*'[1]Load Factor Sheet June Acft  '!$B$5</f>
        <v>63.162272727272729</v>
      </c>
      <c r="S729">
        <f>tblDailySchedule[[#This Row],[Capacity Approx]]*'[1]Load Factor Sheet June Acft  '!$D$5</f>
        <v>68.391818181818181</v>
      </c>
      <c r="T729" s="22">
        <f>tblDailySchedule[[#This Row],[STD]]</f>
        <v>0.45833333333333331</v>
      </c>
    </row>
    <row r="730" spans="1:20" hidden="1" x14ac:dyDescent="0.35">
      <c r="A730" s="11">
        <v>46136</v>
      </c>
      <c r="B730" s="3">
        <v>5</v>
      </c>
      <c r="C730" t="s">
        <v>115</v>
      </c>
      <c r="D730" t="s">
        <v>18</v>
      </c>
      <c r="E730" s="3">
        <v>10</v>
      </c>
      <c r="F730" t="s">
        <v>19</v>
      </c>
      <c r="G730" t="s">
        <v>52</v>
      </c>
      <c r="H730" t="s">
        <v>27</v>
      </c>
      <c r="I730" s="12">
        <v>0.4826388888888889</v>
      </c>
      <c r="J730" t="s">
        <v>53</v>
      </c>
      <c r="K730" t="s">
        <v>27</v>
      </c>
      <c r="L730" s="12">
        <v>0.51041666666666663</v>
      </c>
      <c r="M730" t="s">
        <v>23</v>
      </c>
      <c r="N730" s="3">
        <v>186</v>
      </c>
      <c r="O730" t="s">
        <v>24</v>
      </c>
      <c r="P730" t="s">
        <v>25</v>
      </c>
      <c r="R730">
        <f>tblDailySchedule[[#This Row],[Capacity Approx]]*'[1]Load Factor Sheet June Acft  '!$B$5</f>
        <v>150.61772727272728</v>
      </c>
      <c r="S730">
        <f>tblDailySchedule[[#This Row],[Capacity Approx]]*'[1]Load Factor Sheet June Acft  '!$D$5</f>
        <v>163.08818181818182</v>
      </c>
      <c r="T730" s="22">
        <f>tblDailySchedule[[#This Row],[STD]]</f>
        <v>0.51041666666666663</v>
      </c>
    </row>
    <row r="731" spans="1:20" hidden="1" x14ac:dyDescent="0.35">
      <c r="A731" s="11">
        <v>46136</v>
      </c>
      <c r="B731" s="3">
        <v>5</v>
      </c>
      <c r="C731" t="s">
        <v>115</v>
      </c>
      <c r="D731" t="s">
        <v>18</v>
      </c>
      <c r="E731" s="3">
        <v>11</v>
      </c>
      <c r="F731" t="s">
        <v>19</v>
      </c>
      <c r="G731" t="s">
        <v>54</v>
      </c>
      <c r="H731" t="s">
        <v>31</v>
      </c>
      <c r="I731" s="12">
        <v>0.51388888888888884</v>
      </c>
      <c r="J731" t="s">
        <v>55</v>
      </c>
      <c r="K731" t="s">
        <v>31</v>
      </c>
      <c r="L731" s="12">
        <v>0.54166666666666663</v>
      </c>
      <c r="M731" t="s">
        <v>23</v>
      </c>
      <c r="N731" s="3">
        <v>186</v>
      </c>
      <c r="O731" t="s">
        <v>24</v>
      </c>
      <c r="P731" t="s">
        <v>56</v>
      </c>
      <c r="R731">
        <f>tblDailySchedule[[#This Row],[Capacity Approx]]*'[1]Load Factor Sheet June Acft  '!$B$5</f>
        <v>150.61772727272728</v>
      </c>
      <c r="S731">
        <f>tblDailySchedule[[#This Row],[Capacity Approx]]*'[1]Load Factor Sheet June Acft  '!$D$5</f>
        <v>163.08818181818182</v>
      </c>
      <c r="T731" s="22">
        <f>tblDailySchedule[[#This Row],[STD]]</f>
        <v>0.54166666666666663</v>
      </c>
    </row>
    <row r="732" spans="1:20" hidden="1" x14ac:dyDescent="0.35">
      <c r="A732" s="11">
        <v>46136</v>
      </c>
      <c r="B732" s="3">
        <v>5</v>
      </c>
      <c r="C732" t="s">
        <v>115</v>
      </c>
      <c r="D732" t="s">
        <v>18</v>
      </c>
      <c r="E732" s="3">
        <v>13</v>
      </c>
      <c r="F732" t="s">
        <v>19</v>
      </c>
      <c r="G732" t="s">
        <v>57</v>
      </c>
      <c r="H732" t="s">
        <v>58</v>
      </c>
      <c r="I732" s="12">
        <v>0.55902777777777779</v>
      </c>
      <c r="J732" t="s">
        <v>59</v>
      </c>
      <c r="K732" t="s">
        <v>58</v>
      </c>
      <c r="L732" s="12">
        <v>0.57638888888888884</v>
      </c>
      <c r="M732" t="s">
        <v>51</v>
      </c>
      <c r="N732" s="3">
        <v>78</v>
      </c>
      <c r="O732" t="s">
        <v>24</v>
      </c>
      <c r="P732" t="s">
        <v>56</v>
      </c>
      <c r="R732">
        <f>tblDailySchedule[[#This Row],[Capacity Approx]]*'[1]Load Factor Sheet June Acft  '!$B$5</f>
        <v>63.162272727272729</v>
      </c>
      <c r="S732">
        <f>tblDailySchedule[[#This Row],[Capacity Approx]]*'[1]Load Factor Sheet June Acft  '!$D$5</f>
        <v>68.391818181818181</v>
      </c>
      <c r="T732" s="22">
        <f>tblDailySchedule[[#This Row],[STD]]</f>
        <v>0.57638888888888884</v>
      </c>
    </row>
    <row r="733" spans="1:20" hidden="1" x14ac:dyDescent="0.35">
      <c r="A733" s="11">
        <v>46136</v>
      </c>
      <c r="B733" s="3">
        <v>5</v>
      </c>
      <c r="C733" t="s">
        <v>115</v>
      </c>
      <c r="D733" t="s">
        <v>18</v>
      </c>
      <c r="E733" s="3">
        <v>14</v>
      </c>
      <c r="F733" t="s">
        <v>19</v>
      </c>
      <c r="G733" t="s">
        <v>60</v>
      </c>
      <c r="H733" t="s">
        <v>61</v>
      </c>
      <c r="I733" s="12">
        <v>0.59027777777777779</v>
      </c>
      <c r="J733" t="s">
        <v>62</v>
      </c>
      <c r="K733" t="s">
        <v>61</v>
      </c>
      <c r="L733" s="12">
        <v>0.62152777777777779</v>
      </c>
      <c r="M733" t="s">
        <v>63</v>
      </c>
      <c r="N733" s="3">
        <v>232</v>
      </c>
      <c r="O733" t="s">
        <v>24</v>
      </c>
      <c r="P733" t="s">
        <v>56</v>
      </c>
      <c r="R733">
        <f>tblDailySchedule[[#This Row],[Capacity Approx]]*'[1]Load Factor Sheet June Acft  '!$B$5</f>
        <v>187.86727272727273</v>
      </c>
      <c r="S733">
        <f>tblDailySchedule[[#This Row],[Capacity Approx]]*'[1]Load Factor Sheet June Acft  '!$D$5</f>
        <v>203.4218181818182</v>
      </c>
      <c r="T733" s="22">
        <f>tblDailySchedule[[#This Row],[STD]]</f>
        <v>0.62152777777777779</v>
      </c>
    </row>
    <row r="734" spans="1:20" hidden="1" x14ac:dyDescent="0.35">
      <c r="A734" s="11">
        <v>46136</v>
      </c>
      <c r="B734" s="3">
        <v>5</v>
      </c>
      <c r="C734" t="s">
        <v>115</v>
      </c>
      <c r="D734" t="s">
        <v>18</v>
      </c>
      <c r="E734" s="3">
        <v>15</v>
      </c>
      <c r="F734" t="s">
        <v>19</v>
      </c>
      <c r="G734" t="s">
        <v>64</v>
      </c>
      <c r="H734" t="s">
        <v>31</v>
      </c>
      <c r="I734" s="12">
        <v>0.60069444444444442</v>
      </c>
      <c r="J734" t="s">
        <v>65</v>
      </c>
      <c r="K734" t="s">
        <v>66</v>
      </c>
      <c r="L734" s="12">
        <v>0.62847222222222221</v>
      </c>
      <c r="M734" t="s">
        <v>63</v>
      </c>
      <c r="N734" s="3">
        <v>232</v>
      </c>
      <c r="O734" t="s">
        <v>24</v>
      </c>
      <c r="P734" t="s">
        <v>56</v>
      </c>
      <c r="R734">
        <f>tblDailySchedule[[#This Row],[Capacity Approx]]*'[1]Load Factor Sheet June Acft  '!$B$5</f>
        <v>187.86727272727273</v>
      </c>
      <c r="S734">
        <f>tblDailySchedule[[#This Row],[Capacity Approx]]*'[1]Load Factor Sheet June Acft  '!$D$5</f>
        <v>203.4218181818182</v>
      </c>
      <c r="T734" s="22">
        <f>tblDailySchedule[[#This Row],[STD]]</f>
        <v>0.62847222222222221</v>
      </c>
    </row>
    <row r="735" spans="1:20" hidden="1" x14ac:dyDescent="0.35">
      <c r="A735" s="11">
        <v>46136</v>
      </c>
      <c r="B735" s="3">
        <v>5</v>
      </c>
      <c r="C735" t="s">
        <v>115</v>
      </c>
      <c r="D735" t="s">
        <v>18</v>
      </c>
      <c r="E735" s="3">
        <v>16</v>
      </c>
      <c r="F735" t="s">
        <v>19</v>
      </c>
      <c r="G735" t="s">
        <v>67</v>
      </c>
      <c r="H735" t="s">
        <v>31</v>
      </c>
      <c r="I735" s="12">
        <v>0.65625</v>
      </c>
      <c r="J735" t="s">
        <v>68</v>
      </c>
      <c r="K735" t="s">
        <v>31</v>
      </c>
      <c r="L735" s="12">
        <v>0.68402777777777779</v>
      </c>
      <c r="M735" t="s">
        <v>63</v>
      </c>
      <c r="N735" s="3">
        <v>232</v>
      </c>
      <c r="O735" t="s">
        <v>24</v>
      </c>
      <c r="P735" t="s">
        <v>56</v>
      </c>
      <c r="R735">
        <f>tblDailySchedule[[#This Row],[Capacity Approx]]*'[1]Load Factor Sheet June Acft  '!$B$5</f>
        <v>187.86727272727273</v>
      </c>
      <c r="S735">
        <f>tblDailySchedule[[#This Row],[Capacity Approx]]*'[1]Load Factor Sheet June Acft  '!$D$5</f>
        <v>203.4218181818182</v>
      </c>
      <c r="T735" s="22">
        <f>tblDailySchedule[[#This Row],[STD]]</f>
        <v>0.68402777777777779</v>
      </c>
    </row>
    <row r="736" spans="1:20" hidden="1" x14ac:dyDescent="0.35">
      <c r="A736" s="11">
        <v>46136</v>
      </c>
      <c r="B736" s="3">
        <v>5</v>
      </c>
      <c r="C736" t="s">
        <v>115</v>
      </c>
      <c r="D736" t="s">
        <v>18</v>
      </c>
      <c r="E736" s="3">
        <v>17</v>
      </c>
      <c r="F736" t="s">
        <v>19</v>
      </c>
      <c r="G736" t="s">
        <v>69</v>
      </c>
      <c r="H736" t="s">
        <v>31</v>
      </c>
      <c r="I736" s="12">
        <v>0.66319444444444442</v>
      </c>
      <c r="J736" t="s">
        <v>70</v>
      </c>
      <c r="K736" t="s">
        <v>31</v>
      </c>
      <c r="L736" s="12">
        <v>0.69097222222222221</v>
      </c>
      <c r="M736" t="s">
        <v>33</v>
      </c>
      <c r="N736" s="3">
        <v>189</v>
      </c>
      <c r="O736" t="s">
        <v>24</v>
      </c>
      <c r="P736" t="s">
        <v>56</v>
      </c>
      <c r="R736">
        <f>tblDailySchedule[[#This Row],[Capacity Approx]]*'[1]Load Factor Sheet June Acft  '!$B$5</f>
        <v>153.04704545454547</v>
      </c>
      <c r="S736">
        <f>tblDailySchedule[[#This Row],[Capacity Approx]]*'[1]Load Factor Sheet June Acft  '!$D$5</f>
        <v>165.71863636363636</v>
      </c>
      <c r="T736" s="22">
        <f>tblDailySchedule[[#This Row],[STD]]</f>
        <v>0.69097222222222221</v>
      </c>
    </row>
    <row r="737" spans="1:20" hidden="1" x14ac:dyDescent="0.35">
      <c r="A737" s="11">
        <v>46136</v>
      </c>
      <c r="B737" s="3">
        <v>5</v>
      </c>
      <c r="C737" t="s">
        <v>115</v>
      </c>
      <c r="D737" t="s">
        <v>18</v>
      </c>
      <c r="E737" s="3">
        <v>18</v>
      </c>
      <c r="F737" t="s">
        <v>19</v>
      </c>
      <c r="G737" t="s">
        <v>71</v>
      </c>
      <c r="H737" t="s">
        <v>21</v>
      </c>
      <c r="I737" s="12">
        <v>0.67013888888888884</v>
      </c>
      <c r="J737" t="s">
        <v>72</v>
      </c>
      <c r="K737" t="s">
        <v>21</v>
      </c>
      <c r="L737" s="12">
        <v>0.69791666666666663</v>
      </c>
      <c r="M737" t="s">
        <v>63</v>
      </c>
      <c r="N737" s="3">
        <v>232</v>
      </c>
      <c r="O737" t="s">
        <v>24</v>
      </c>
      <c r="P737" t="s">
        <v>56</v>
      </c>
      <c r="R737">
        <f>tblDailySchedule[[#This Row],[Capacity Approx]]*'[1]Load Factor Sheet June Acft  '!$B$5</f>
        <v>187.86727272727273</v>
      </c>
      <c r="S737">
        <f>tblDailySchedule[[#This Row],[Capacity Approx]]*'[1]Load Factor Sheet June Acft  '!$D$5</f>
        <v>203.4218181818182</v>
      </c>
      <c r="T737" s="22">
        <f>tblDailySchedule[[#This Row],[STD]]</f>
        <v>0.69791666666666663</v>
      </c>
    </row>
    <row r="738" spans="1:20" hidden="1" x14ac:dyDescent="0.35">
      <c r="A738" s="11">
        <v>46136</v>
      </c>
      <c r="B738" s="3">
        <v>5</v>
      </c>
      <c r="C738" t="s">
        <v>115</v>
      </c>
      <c r="D738" t="s">
        <v>18</v>
      </c>
      <c r="E738" s="3">
        <v>19</v>
      </c>
      <c r="F738" t="s">
        <v>19</v>
      </c>
      <c r="G738" t="s">
        <v>73</v>
      </c>
      <c r="H738" t="s">
        <v>27</v>
      </c>
      <c r="I738" s="12">
        <v>0.74652777777777779</v>
      </c>
      <c r="J738" t="s">
        <v>74</v>
      </c>
      <c r="K738" t="s">
        <v>27</v>
      </c>
      <c r="L738" s="12">
        <v>0.77430555555555558</v>
      </c>
      <c r="M738" t="s">
        <v>63</v>
      </c>
      <c r="N738" s="3">
        <v>232</v>
      </c>
      <c r="O738" t="s">
        <v>24</v>
      </c>
      <c r="P738" t="s">
        <v>56</v>
      </c>
      <c r="R738">
        <f>tblDailySchedule[[#This Row],[Capacity Approx]]*'[1]Load Factor Sheet June Acft  '!$B$5</f>
        <v>187.86727272727273</v>
      </c>
      <c r="S738">
        <f>tblDailySchedule[[#This Row],[Capacity Approx]]*'[1]Load Factor Sheet June Acft  '!$D$5</f>
        <v>203.4218181818182</v>
      </c>
      <c r="T738" s="22">
        <f>tblDailySchedule[[#This Row],[STD]]</f>
        <v>0.77430555555555558</v>
      </c>
    </row>
    <row r="739" spans="1:20" hidden="1" x14ac:dyDescent="0.35">
      <c r="A739" s="11">
        <v>46136</v>
      </c>
      <c r="B739" s="3">
        <v>5</v>
      </c>
      <c r="C739" t="s">
        <v>115</v>
      </c>
      <c r="D739" t="s">
        <v>18</v>
      </c>
      <c r="E739" s="3">
        <v>20</v>
      </c>
      <c r="F739" t="s">
        <v>34</v>
      </c>
      <c r="G739" t="s">
        <v>75</v>
      </c>
      <c r="H739" t="s">
        <v>76</v>
      </c>
      <c r="I739" s="12">
        <v>0.76388888888888884</v>
      </c>
      <c r="J739" t="s">
        <v>77</v>
      </c>
      <c r="K739" t="s">
        <v>78</v>
      </c>
      <c r="L739" s="12">
        <v>0.78472222222222221</v>
      </c>
      <c r="M739" t="s">
        <v>51</v>
      </c>
      <c r="N739" s="3">
        <v>78</v>
      </c>
      <c r="O739" t="s">
        <v>24</v>
      </c>
      <c r="P739" t="s">
        <v>79</v>
      </c>
      <c r="Q739" s="16" t="s">
        <v>80</v>
      </c>
      <c r="R739">
        <f>tblDailySchedule[[#This Row],[Capacity Approx]]*'[1]Load Factor Sheet June Acft  '!$B$5</f>
        <v>63.162272727272729</v>
      </c>
      <c r="S739">
        <f>tblDailySchedule[[#This Row],[Capacity Approx]]*'[1]Load Factor Sheet June Acft  '!$D$5</f>
        <v>68.391818181818181</v>
      </c>
      <c r="T739" s="22">
        <f>tblDailySchedule[[#This Row],[STD]]</f>
        <v>0.78472222222222221</v>
      </c>
    </row>
    <row r="740" spans="1:20" hidden="1" x14ac:dyDescent="0.35">
      <c r="A740" s="11">
        <v>46136</v>
      </c>
      <c r="B740" s="3">
        <v>5</v>
      </c>
      <c r="C740" t="s">
        <v>115</v>
      </c>
      <c r="D740" t="s">
        <v>18</v>
      </c>
      <c r="E740" s="3">
        <v>21</v>
      </c>
      <c r="F740" t="s">
        <v>19</v>
      </c>
      <c r="G740" t="s">
        <v>81</v>
      </c>
      <c r="H740" t="s">
        <v>61</v>
      </c>
      <c r="I740" s="12">
        <v>0.77083333333333337</v>
      </c>
      <c r="J740" t="s">
        <v>82</v>
      </c>
      <c r="K740" t="s">
        <v>49</v>
      </c>
      <c r="L740" s="12">
        <v>0.79166666666666663</v>
      </c>
      <c r="M740" t="s">
        <v>33</v>
      </c>
      <c r="N740" s="3">
        <v>189</v>
      </c>
      <c r="O740" t="s">
        <v>24</v>
      </c>
      <c r="P740" t="s">
        <v>79</v>
      </c>
      <c r="R740">
        <f>tblDailySchedule[[#This Row],[Capacity Approx]]*'[1]Load Factor Sheet June Acft  '!$B$5</f>
        <v>153.04704545454547</v>
      </c>
      <c r="S740">
        <f>tblDailySchedule[[#This Row],[Capacity Approx]]*'[1]Load Factor Sheet June Acft  '!$D$5</f>
        <v>165.71863636363636</v>
      </c>
      <c r="T740" s="22">
        <f>tblDailySchedule[[#This Row],[STD]]</f>
        <v>0.79166666666666663</v>
      </c>
    </row>
    <row r="741" spans="1:20" hidden="1" x14ac:dyDescent="0.35">
      <c r="A741" s="11">
        <v>46136</v>
      </c>
      <c r="B741" s="3">
        <v>5</v>
      </c>
      <c r="C741" t="s">
        <v>115</v>
      </c>
      <c r="D741" t="s">
        <v>18</v>
      </c>
      <c r="E741" s="3">
        <v>22</v>
      </c>
      <c r="F741" t="s">
        <v>19</v>
      </c>
      <c r="G741" t="s">
        <v>83</v>
      </c>
      <c r="H741" t="s">
        <v>31</v>
      </c>
      <c r="I741" s="12">
        <v>0.77777777777777779</v>
      </c>
      <c r="J741" t="s">
        <v>84</v>
      </c>
      <c r="K741" t="s">
        <v>31</v>
      </c>
      <c r="L741" s="12">
        <v>0.80555555555555558</v>
      </c>
      <c r="M741" t="s">
        <v>63</v>
      </c>
      <c r="N741" s="3">
        <v>232</v>
      </c>
      <c r="O741" t="s">
        <v>24</v>
      </c>
      <c r="P741" t="s">
        <v>79</v>
      </c>
      <c r="R741">
        <f>tblDailySchedule[[#This Row],[Capacity Approx]]*'[1]Load Factor Sheet June Acft  '!$B$5</f>
        <v>187.86727272727273</v>
      </c>
      <c r="S741">
        <f>tblDailySchedule[[#This Row],[Capacity Approx]]*'[1]Load Factor Sheet June Acft  '!$D$5</f>
        <v>203.4218181818182</v>
      </c>
      <c r="T741" s="22">
        <f>tblDailySchedule[[#This Row],[STD]]</f>
        <v>0.80555555555555558</v>
      </c>
    </row>
    <row r="742" spans="1:20" hidden="1" x14ac:dyDescent="0.35">
      <c r="A742" s="11">
        <v>46136</v>
      </c>
      <c r="B742" s="3">
        <v>5</v>
      </c>
      <c r="C742" t="s">
        <v>115</v>
      </c>
      <c r="D742" t="s">
        <v>18</v>
      </c>
      <c r="E742" s="3">
        <v>23</v>
      </c>
      <c r="F742" t="s">
        <v>19</v>
      </c>
      <c r="G742" t="s">
        <v>85</v>
      </c>
      <c r="H742" t="s">
        <v>86</v>
      </c>
      <c r="I742" s="12">
        <v>0.79861111111111116</v>
      </c>
      <c r="J742" t="s">
        <v>87</v>
      </c>
      <c r="K742" t="s">
        <v>86</v>
      </c>
      <c r="L742" s="12">
        <v>0.82638888888888884</v>
      </c>
      <c r="M742" t="s">
        <v>63</v>
      </c>
      <c r="N742" s="3">
        <v>232</v>
      </c>
      <c r="O742" t="s">
        <v>24</v>
      </c>
      <c r="P742" t="s">
        <v>79</v>
      </c>
      <c r="R742">
        <f>tblDailySchedule[[#This Row],[Capacity Approx]]*'[1]Load Factor Sheet June Acft  '!$B$5</f>
        <v>187.86727272727273</v>
      </c>
      <c r="S742">
        <f>tblDailySchedule[[#This Row],[Capacity Approx]]*'[1]Load Factor Sheet June Acft  '!$D$5</f>
        <v>203.4218181818182</v>
      </c>
      <c r="T742" s="22">
        <f>tblDailySchedule[[#This Row],[STD]]</f>
        <v>0.82638888888888884</v>
      </c>
    </row>
    <row r="743" spans="1:20" hidden="1" x14ac:dyDescent="0.35">
      <c r="A743" s="11">
        <v>46136</v>
      </c>
      <c r="B743" s="3">
        <v>5</v>
      </c>
      <c r="C743" t="s">
        <v>115</v>
      </c>
      <c r="D743" t="s">
        <v>18</v>
      </c>
      <c r="E743" s="3">
        <v>24</v>
      </c>
      <c r="F743" t="s">
        <v>19</v>
      </c>
      <c r="G743" t="s">
        <v>88</v>
      </c>
      <c r="H743" t="s">
        <v>89</v>
      </c>
      <c r="I743" s="12">
        <v>0.83333333333333337</v>
      </c>
      <c r="J743" t="s">
        <v>90</v>
      </c>
      <c r="K743" t="s">
        <v>31</v>
      </c>
      <c r="L743" s="12">
        <v>0.86111111111111116</v>
      </c>
      <c r="M743" t="s">
        <v>63</v>
      </c>
      <c r="N743" s="3">
        <v>232</v>
      </c>
      <c r="O743" t="s">
        <v>24</v>
      </c>
      <c r="P743" t="s">
        <v>79</v>
      </c>
      <c r="R743">
        <f>tblDailySchedule[[#This Row],[Capacity Approx]]*'[1]Load Factor Sheet June Acft  '!$B$5</f>
        <v>187.86727272727273</v>
      </c>
      <c r="S743">
        <f>tblDailySchedule[[#This Row],[Capacity Approx]]*'[1]Load Factor Sheet June Acft  '!$D$5</f>
        <v>203.4218181818182</v>
      </c>
      <c r="T743" s="22">
        <f>tblDailySchedule[[#This Row],[STD]]</f>
        <v>0.86111111111111116</v>
      </c>
    </row>
    <row r="744" spans="1:20" hidden="1" x14ac:dyDescent="0.35">
      <c r="A744" s="11">
        <v>46136</v>
      </c>
      <c r="B744" s="3">
        <v>5</v>
      </c>
      <c r="C744" t="s">
        <v>115</v>
      </c>
      <c r="D744" t="s">
        <v>18</v>
      </c>
      <c r="E744" s="3">
        <v>25</v>
      </c>
      <c r="F744" t="s">
        <v>19</v>
      </c>
      <c r="G744" t="s">
        <v>91</v>
      </c>
      <c r="H744" t="s">
        <v>61</v>
      </c>
      <c r="I744" s="12">
        <v>0.85416666666666663</v>
      </c>
      <c r="J744" t="s">
        <v>92</v>
      </c>
      <c r="K744" t="s">
        <v>61</v>
      </c>
      <c r="L744" s="12">
        <v>0.88194444444444442</v>
      </c>
      <c r="M744" t="s">
        <v>63</v>
      </c>
      <c r="N744" s="3">
        <v>232</v>
      </c>
      <c r="O744" t="s">
        <v>24</v>
      </c>
      <c r="P744" t="s">
        <v>79</v>
      </c>
      <c r="R744">
        <f>tblDailySchedule[[#This Row],[Capacity Approx]]*'[1]Load Factor Sheet June Acft  '!$B$5</f>
        <v>187.86727272727273</v>
      </c>
      <c r="S744">
        <f>tblDailySchedule[[#This Row],[Capacity Approx]]*'[1]Load Factor Sheet June Acft  '!$D$5</f>
        <v>203.4218181818182</v>
      </c>
      <c r="T744" s="22">
        <f>tblDailySchedule[[#This Row],[STD]]</f>
        <v>0.88194444444444442</v>
      </c>
    </row>
    <row r="745" spans="1:20" hidden="1" x14ac:dyDescent="0.35">
      <c r="A745" s="11">
        <v>46136</v>
      </c>
      <c r="B745" s="3">
        <v>5</v>
      </c>
      <c r="C745" t="s">
        <v>115</v>
      </c>
      <c r="D745" t="s">
        <v>18</v>
      </c>
      <c r="E745" s="3">
        <v>26</v>
      </c>
      <c r="F745" t="s">
        <v>19</v>
      </c>
      <c r="G745" t="s">
        <v>93</v>
      </c>
      <c r="H745" t="s">
        <v>31</v>
      </c>
      <c r="I745" s="12">
        <v>0.86111111111111116</v>
      </c>
      <c r="J745" t="s">
        <v>94</v>
      </c>
      <c r="K745" t="s">
        <v>31</v>
      </c>
      <c r="L745" s="12">
        <v>0.88888888888888884</v>
      </c>
      <c r="M745" t="s">
        <v>23</v>
      </c>
      <c r="N745" s="3">
        <v>186</v>
      </c>
      <c r="O745" t="s">
        <v>24</v>
      </c>
      <c r="P745" t="s">
        <v>79</v>
      </c>
      <c r="R745">
        <f>tblDailySchedule[[#This Row],[Capacity Approx]]*'[1]Load Factor Sheet June Acft  '!$B$5</f>
        <v>150.61772727272728</v>
      </c>
      <c r="S745">
        <f>tblDailySchedule[[#This Row],[Capacity Approx]]*'[1]Load Factor Sheet June Acft  '!$D$5</f>
        <v>163.08818181818182</v>
      </c>
      <c r="T745" s="22">
        <f>tblDailySchedule[[#This Row],[STD]]</f>
        <v>0.88888888888888884</v>
      </c>
    </row>
    <row r="746" spans="1:20" hidden="1" x14ac:dyDescent="0.35">
      <c r="A746" s="11">
        <v>46136</v>
      </c>
      <c r="B746" s="3">
        <v>5</v>
      </c>
      <c r="C746" t="s">
        <v>115</v>
      </c>
      <c r="D746" t="s">
        <v>18</v>
      </c>
      <c r="E746" s="3">
        <v>27</v>
      </c>
      <c r="F746" t="s">
        <v>19</v>
      </c>
      <c r="G746" t="s">
        <v>95</v>
      </c>
      <c r="H746" t="s">
        <v>21</v>
      </c>
      <c r="I746" s="12">
        <v>0.86805555555555558</v>
      </c>
      <c r="J746" t="s">
        <v>96</v>
      </c>
      <c r="K746" t="s">
        <v>21</v>
      </c>
      <c r="L746" s="12">
        <v>0.89583333333333337</v>
      </c>
      <c r="M746" t="s">
        <v>29</v>
      </c>
      <c r="N746" s="3">
        <v>186</v>
      </c>
      <c r="O746" t="s">
        <v>24</v>
      </c>
      <c r="P746" t="s">
        <v>79</v>
      </c>
      <c r="R746">
        <f>tblDailySchedule[[#This Row],[Capacity Approx]]*'[1]Load Factor Sheet June Acft  '!$B$5</f>
        <v>150.61772727272728</v>
      </c>
      <c r="S746">
        <f>tblDailySchedule[[#This Row],[Capacity Approx]]*'[1]Load Factor Sheet June Acft  '!$D$5</f>
        <v>163.08818181818182</v>
      </c>
      <c r="T746" s="22">
        <f>tblDailySchedule[[#This Row],[STD]]</f>
        <v>0.89583333333333337</v>
      </c>
    </row>
    <row r="747" spans="1:20" hidden="1" x14ac:dyDescent="0.35">
      <c r="A747" s="11">
        <v>46136</v>
      </c>
      <c r="B747" s="3">
        <v>5</v>
      </c>
      <c r="C747" t="s">
        <v>115</v>
      </c>
      <c r="D747" t="s">
        <v>18</v>
      </c>
      <c r="E747" s="3">
        <v>28</v>
      </c>
      <c r="F747" t="s">
        <v>19</v>
      </c>
      <c r="G747" t="s">
        <v>97</v>
      </c>
      <c r="H747" t="s">
        <v>49</v>
      </c>
      <c r="I747" s="12">
        <v>0.90277777777777779</v>
      </c>
      <c r="J747" t="s">
        <v>97</v>
      </c>
      <c r="K747" t="s">
        <v>61</v>
      </c>
      <c r="L747" s="12">
        <v>0.92361111111111116</v>
      </c>
      <c r="M747" t="s">
        <v>33</v>
      </c>
      <c r="N747" s="3">
        <v>189</v>
      </c>
      <c r="O747" t="s">
        <v>24</v>
      </c>
      <c r="P747" t="s">
        <v>79</v>
      </c>
      <c r="R747">
        <f>tblDailySchedule[[#This Row],[Capacity Approx]]*'[1]Load Factor Sheet June Acft  '!$B$5</f>
        <v>153.04704545454547</v>
      </c>
      <c r="S747">
        <f>tblDailySchedule[[#This Row],[Capacity Approx]]*'[1]Load Factor Sheet June Acft  '!$D$5</f>
        <v>165.71863636363636</v>
      </c>
      <c r="T747" s="22">
        <f>tblDailySchedule[[#This Row],[STD]]</f>
        <v>0.92361111111111116</v>
      </c>
    </row>
    <row r="748" spans="1:20" hidden="1" x14ac:dyDescent="0.35">
      <c r="A748" s="11">
        <v>46136</v>
      </c>
      <c r="B748" s="3">
        <v>5</v>
      </c>
      <c r="C748" t="s">
        <v>115</v>
      </c>
      <c r="D748" t="s">
        <v>18</v>
      </c>
      <c r="E748" s="3">
        <v>29</v>
      </c>
      <c r="F748" t="s">
        <v>19</v>
      </c>
      <c r="G748" t="s">
        <v>98</v>
      </c>
      <c r="H748" t="s">
        <v>21</v>
      </c>
      <c r="I748" s="12">
        <v>0.92013888888888884</v>
      </c>
      <c r="J748" t="s">
        <v>99</v>
      </c>
      <c r="K748" t="s">
        <v>21</v>
      </c>
      <c r="L748" s="12">
        <v>0.94791666666666663</v>
      </c>
      <c r="M748" t="s">
        <v>63</v>
      </c>
      <c r="N748" s="3">
        <v>232</v>
      </c>
      <c r="O748" t="s">
        <v>24</v>
      </c>
      <c r="P748" t="s">
        <v>79</v>
      </c>
      <c r="R748">
        <f>tblDailySchedule[[#This Row],[Capacity Approx]]*'[1]Load Factor Sheet June Acft  '!$B$5</f>
        <v>187.86727272727273</v>
      </c>
      <c r="S748">
        <f>tblDailySchedule[[#This Row],[Capacity Approx]]*'[1]Load Factor Sheet June Acft  '!$D$5</f>
        <v>203.4218181818182</v>
      </c>
      <c r="T748" s="22">
        <f>tblDailySchedule[[#This Row],[STD]]</f>
        <v>0.94791666666666663</v>
      </c>
    </row>
    <row r="749" spans="1:20" hidden="1" x14ac:dyDescent="0.35">
      <c r="A749" s="13">
        <v>46136</v>
      </c>
      <c r="B749" s="7">
        <v>5</v>
      </c>
      <c r="C749" s="14" t="s">
        <v>115</v>
      </c>
      <c r="D749" s="14" t="s">
        <v>18</v>
      </c>
      <c r="E749" s="7">
        <v>30</v>
      </c>
      <c r="F749" s="14" t="s">
        <v>104</v>
      </c>
      <c r="G749" s="14" t="s">
        <v>105</v>
      </c>
      <c r="H749" s="14" t="s">
        <v>106</v>
      </c>
      <c r="I749" s="15">
        <v>0.92708333333333337</v>
      </c>
      <c r="J749" s="14" t="s">
        <v>107</v>
      </c>
      <c r="K749" s="14" t="s">
        <v>106</v>
      </c>
      <c r="L749" s="15">
        <v>0.95833333333333337</v>
      </c>
      <c r="M749" s="14" t="s">
        <v>38</v>
      </c>
      <c r="N749" s="7">
        <v>186</v>
      </c>
      <c r="O749" s="14" t="s">
        <v>39</v>
      </c>
      <c r="P749" s="14" t="s">
        <v>79</v>
      </c>
      <c r="Q749" s="14" t="s">
        <v>39</v>
      </c>
      <c r="R749">
        <f>tblDailySchedule[[#This Row],[Capacity Approx]]*'[1]Load Factor Sheet June Acft  '!$B$5</f>
        <v>150.61772727272728</v>
      </c>
      <c r="S749">
        <f>tblDailySchedule[[#This Row],[Capacity Approx]]*'[1]Load Factor Sheet June Acft  '!$D$5</f>
        <v>163.08818181818182</v>
      </c>
      <c r="T749" s="22">
        <f>tblDailySchedule[[#This Row],[STD]]</f>
        <v>0.95833333333333337</v>
      </c>
    </row>
    <row r="750" spans="1:20" hidden="1" x14ac:dyDescent="0.35">
      <c r="A750" s="11">
        <v>46137</v>
      </c>
      <c r="B750" s="3">
        <v>6</v>
      </c>
      <c r="C750" t="s">
        <v>116</v>
      </c>
      <c r="D750" t="s">
        <v>18</v>
      </c>
      <c r="E750" s="3">
        <v>1</v>
      </c>
      <c r="F750" t="s">
        <v>101</v>
      </c>
      <c r="G750" t="s">
        <v>102</v>
      </c>
      <c r="H750" t="s">
        <v>61</v>
      </c>
      <c r="I750" s="12">
        <v>0.3125</v>
      </c>
      <c r="J750" t="s">
        <v>103</v>
      </c>
      <c r="K750" t="s">
        <v>61</v>
      </c>
      <c r="L750" s="12">
        <v>0.33333333333333331</v>
      </c>
      <c r="M750" t="s">
        <v>33</v>
      </c>
      <c r="N750" s="3">
        <v>189</v>
      </c>
      <c r="O750" t="s">
        <v>24</v>
      </c>
      <c r="P750" t="s">
        <v>25</v>
      </c>
      <c r="R750">
        <f>tblDailySchedule[[#This Row],[Capacity Approx]]*'[1]Load Factor Sheet June Acft  '!$B$5</f>
        <v>153.04704545454547</v>
      </c>
      <c r="S750">
        <f>tblDailySchedule[[#This Row],[Capacity Approx]]*'[1]Load Factor Sheet June Acft  '!$D$5</f>
        <v>165.71863636363636</v>
      </c>
      <c r="T750" s="22">
        <f>tblDailySchedule[[#This Row],[STD]]</f>
        <v>0.33333333333333331</v>
      </c>
    </row>
    <row r="751" spans="1:20" hidden="1" x14ac:dyDescent="0.35">
      <c r="A751" s="11">
        <v>46137</v>
      </c>
      <c r="B751" s="3">
        <v>6</v>
      </c>
      <c r="C751" t="s">
        <v>116</v>
      </c>
      <c r="D751" t="s">
        <v>18</v>
      </c>
      <c r="E751" s="3">
        <v>2</v>
      </c>
      <c r="F751" t="s">
        <v>19</v>
      </c>
      <c r="G751" t="s">
        <v>20</v>
      </c>
      <c r="H751" t="s">
        <v>21</v>
      </c>
      <c r="I751" s="12">
        <v>0.31944444444444442</v>
      </c>
      <c r="J751" t="s">
        <v>22</v>
      </c>
      <c r="K751" t="s">
        <v>21</v>
      </c>
      <c r="L751" s="12">
        <v>0.34722222222222221</v>
      </c>
      <c r="M751" t="s">
        <v>23</v>
      </c>
      <c r="N751" s="3">
        <v>186</v>
      </c>
      <c r="O751" t="s">
        <v>24</v>
      </c>
      <c r="P751" t="s">
        <v>25</v>
      </c>
      <c r="R751">
        <f>tblDailySchedule[[#This Row],[Capacity Approx]]*'[1]Load Factor Sheet June Acft  '!$B$5</f>
        <v>150.61772727272728</v>
      </c>
      <c r="S751">
        <f>tblDailySchedule[[#This Row],[Capacity Approx]]*'[1]Load Factor Sheet June Acft  '!$D$5</f>
        <v>163.08818181818182</v>
      </c>
      <c r="T751" s="22">
        <f>tblDailySchedule[[#This Row],[STD]]</f>
        <v>0.34722222222222221</v>
      </c>
    </row>
    <row r="752" spans="1:20" hidden="1" x14ac:dyDescent="0.35">
      <c r="A752" s="11">
        <v>46137</v>
      </c>
      <c r="B752" s="3">
        <v>6</v>
      </c>
      <c r="C752" t="s">
        <v>116</v>
      </c>
      <c r="D752" t="s">
        <v>18</v>
      </c>
      <c r="E752" s="3">
        <v>3</v>
      </c>
      <c r="F752" t="s">
        <v>19</v>
      </c>
      <c r="G752" t="s">
        <v>26</v>
      </c>
      <c r="H752" t="s">
        <v>27</v>
      </c>
      <c r="I752" s="12">
        <v>0.3263888888888889</v>
      </c>
      <c r="J752" t="s">
        <v>28</v>
      </c>
      <c r="K752" t="s">
        <v>27</v>
      </c>
      <c r="L752" s="12">
        <v>0.35416666666666669</v>
      </c>
      <c r="M752" t="s">
        <v>29</v>
      </c>
      <c r="N752" s="3">
        <v>186</v>
      </c>
      <c r="O752" t="s">
        <v>24</v>
      </c>
      <c r="P752" t="s">
        <v>25</v>
      </c>
      <c r="R752">
        <f>tblDailySchedule[[#This Row],[Capacity Approx]]*'[1]Load Factor Sheet June Acft  '!$B$5</f>
        <v>150.61772727272728</v>
      </c>
      <c r="S752">
        <f>tblDailySchedule[[#This Row],[Capacity Approx]]*'[1]Load Factor Sheet June Acft  '!$D$5</f>
        <v>163.08818181818182</v>
      </c>
      <c r="T752" s="22">
        <f>tblDailySchedule[[#This Row],[STD]]</f>
        <v>0.35416666666666669</v>
      </c>
    </row>
    <row r="753" spans="1:20" hidden="1" x14ac:dyDescent="0.35">
      <c r="A753" s="11">
        <v>46137</v>
      </c>
      <c r="B753" s="3">
        <v>6</v>
      </c>
      <c r="C753" t="s">
        <v>116</v>
      </c>
      <c r="D753" t="s">
        <v>18</v>
      </c>
      <c r="E753" s="3">
        <v>4</v>
      </c>
      <c r="F753" t="s">
        <v>19</v>
      </c>
      <c r="G753" t="s">
        <v>30</v>
      </c>
      <c r="H753" t="s">
        <v>31</v>
      </c>
      <c r="I753" s="12">
        <v>0.34722222222222221</v>
      </c>
      <c r="J753" t="s">
        <v>32</v>
      </c>
      <c r="K753" t="s">
        <v>31</v>
      </c>
      <c r="L753" s="12">
        <v>0.36805555555555558</v>
      </c>
      <c r="M753" t="s">
        <v>33</v>
      </c>
      <c r="N753" s="3">
        <v>189</v>
      </c>
      <c r="O753" t="s">
        <v>24</v>
      </c>
      <c r="P753" t="s">
        <v>25</v>
      </c>
      <c r="R753">
        <f>tblDailySchedule[[#This Row],[Capacity Approx]]*'[1]Load Factor Sheet June Acft  '!$B$5</f>
        <v>153.04704545454547</v>
      </c>
      <c r="S753">
        <f>tblDailySchedule[[#This Row],[Capacity Approx]]*'[1]Load Factor Sheet June Acft  '!$D$5</f>
        <v>165.71863636363636</v>
      </c>
      <c r="T753" s="22">
        <f>tblDailySchedule[[#This Row],[STD]]</f>
        <v>0.36805555555555558</v>
      </c>
    </row>
    <row r="754" spans="1:20" hidden="1" x14ac:dyDescent="0.35">
      <c r="A754" s="11">
        <v>46137</v>
      </c>
      <c r="B754" s="3">
        <v>6</v>
      </c>
      <c r="C754" t="s">
        <v>116</v>
      </c>
      <c r="D754" t="s">
        <v>18</v>
      </c>
      <c r="E754" s="3">
        <v>5</v>
      </c>
      <c r="F754" t="s">
        <v>19</v>
      </c>
      <c r="G754" t="s">
        <v>40</v>
      </c>
      <c r="H754" t="s">
        <v>31</v>
      </c>
      <c r="I754" s="12">
        <v>0.35069444444444442</v>
      </c>
      <c r="J754" t="s">
        <v>41</v>
      </c>
      <c r="K754" t="s">
        <v>31</v>
      </c>
      <c r="L754" s="12">
        <v>0.37152777777777779</v>
      </c>
      <c r="M754" t="s">
        <v>23</v>
      </c>
      <c r="N754" s="3">
        <v>186</v>
      </c>
      <c r="O754" t="s">
        <v>24</v>
      </c>
      <c r="P754" t="s">
        <v>25</v>
      </c>
      <c r="R754">
        <f>tblDailySchedule[[#This Row],[Capacity Approx]]*'[1]Load Factor Sheet June Acft  '!$B$5</f>
        <v>150.61772727272728</v>
      </c>
      <c r="S754">
        <f>tblDailySchedule[[#This Row],[Capacity Approx]]*'[1]Load Factor Sheet June Acft  '!$D$5</f>
        <v>163.08818181818182</v>
      </c>
      <c r="T754" s="22">
        <f>tblDailySchedule[[#This Row],[STD]]</f>
        <v>0.37152777777777779</v>
      </c>
    </row>
    <row r="755" spans="1:20" hidden="1" x14ac:dyDescent="0.35">
      <c r="A755" s="11">
        <v>46137</v>
      </c>
      <c r="B755" s="3">
        <v>6</v>
      </c>
      <c r="C755" t="s">
        <v>116</v>
      </c>
      <c r="D755" t="s">
        <v>18</v>
      </c>
      <c r="E755" s="3">
        <v>7</v>
      </c>
      <c r="F755" t="s">
        <v>19</v>
      </c>
      <c r="G755" t="s">
        <v>42</v>
      </c>
      <c r="H755" t="s">
        <v>43</v>
      </c>
      <c r="I755" s="12">
        <v>0.3923611111111111</v>
      </c>
      <c r="J755" t="s">
        <v>44</v>
      </c>
      <c r="K755" t="s">
        <v>43</v>
      </c>
      <c r="L755" s="12">
        <v>0.40277777777777779</v>
      </c>
      <c r="M755" t="s">
        <v>45</v>
      </c>
      <c r="N755" s="3">
        <v>9</v>
      </c>
      <c r="O755" t="s">
        <v>24</v>
      </c>
      <c r="P755" t="s">
        <v>25</v>
      </c>
      <c r="R755">
        <f>tblDailySchedule[[#This Row],[Capacity Approx]]*'[1]Load Factor Sheet June Acft  '!$B$5</f>
        <v>7.2879545454545456</v>
      </c>
      <c r="S755">
        <f>tblDailySchedule[[#This Row],[Capacity Approx]]*'[1]Load Factor Sheet June Acft  '!$D$5</f>
        <v>7.8913636363636366</v>
      </c>
      <c r="T755" s="22">
        <f>tblDailySchedule[[#This Row],[STD]]</f>
        <v>0.40277777777777779</v>
      </c>
    </row>
    <row r="756" spans="1:20" hidden="1" x14ac:dyDescent="0.35">
      <c r="A756" s="11">
        <v>46137</v>
      </c>
      <c r="B756" s="3">
        <v>6</v>
      </c>
      <c r="C756" t="s">
        <v>116</v>
      </c>
      <c r="D756" t="s">
        <v>18</v>
      </c>
      <c r="E756" s="3">
        <v>8</v>
      </c>
      <c r="F756" t="s">
        <v>19</v>
      </c>
      <c r="G756" t="s">
        <v>46</v>
      </c>
      <c r="H756" t="s">
        <v>31</v>
      </c>
      <c r="I756" s="12">
        <v>0.4201388888888889</v>
      </c>
      <c r="J756" t="s">
        <v>47</v>
      </c>
      <c r="K756" t="s">
        <v>31</v>
      </c>
      <c r="L756" s="12">
        <v>0.44444444444444442</v>
      </c>
      <c r="M756" t="s">
        <v>29</v>
      </c>
      <c r="N756" s="3">
        <v>186</v>
      </c>
      <c r="O756" t="s">
        <v>24</v>
      </c>
      <c r="P756" t="s">
        <v>25</v>
      </c>
      <c r="R756">
        <f>tblDailySchedule[[#This Row],[Capacity Approx]]*'[1]Load Factor Sheet June Acft  '!$B$5</f>
        <v>150.61772727272728</v>
      </c>
      <c r="S756">
        <f>tblDailySchedule[[#This Row],[Capacity Approx]]*'[1]Load Factor Sheet June Acft  '!$D$5</f>
        <v>163.08818181818182</v>
      </c>
      <c r="T756" s="22">
        <f>tblDailySchedule[[#This Row],[STD]]</f>
        <v>0.44444444444444442</v>
      </c>
    </row>
    <row r="757" spans="1:20" hidden="1" x14ac:dyDescent="0.35">
      <c r="A757" s="11">
        <v>46137</v>
      </c>
      <c r="B757" s="3">
        <v>6</v>
      </c>
      <c r="C757" t="s">
        <v>116</v>
      </c>
      <c r="D757" t="s">
        <v>18</v>
      </c>
      <c r="E757" s="3">
        <v>9</v>
      </c>
      <c r="F757" t="s">
        <v>19</v>
      </c>
      <c r="G757" t="s">
        <v>48</v>
      </c>
      <c r="H757" t="s">
        <v>49</v>
      </c>
      <c r="I757" s="12">
        <v>0.4375</v>
      </c>
      <c r="J757" t="s">
        <v>50</v>
      </c>
      <c r="K757" t="s">
        <v>49</v>
      </c>
      <c r="L757" s="12">
        <v>0.45833333333333331</v>
      </c>
      <c r="M757" t="s">
        <v>51</v>
      </c>
      <c r="N757" s="3">
        <v>78</v>
      </c>
      <c r="O757" t="s">
        <v>24</v>
      </c>
      <c r="P757" t="s">
        <v>25</v>
      </c>
      <c r="R757">
        <f>tblDailySchedule[[#This Row],[Capacity Approx]]*'[1]Load Factor Sheet June Acft  '!$B$5</f>
        <v>63.162272727272729</v>
      </c>
      <c r="S757">
        <f>tblDailySchedule[[#This Row],[Capacity Approx]]*'[1]Load Factor Sheet June Acft  '!$D$5</f>
        <v>68.391818181818181</v>
      </c>
      <c r="T757" s="22">
        <f>tblDailySchedule[[#This Row],[STD]]</f>
        <v>0.45833333333333331</v>
      </c>
    </row>
    <row r="758" spans="1:20" hidden="1" x14ac:dyDescent="0.35">
      <c r="A758" s="11">
        <v>46137</v>
      </c>
      <c r="B758" s="3">
        <v>6</v>
      </c>
      <c r="C758" t="s">
        <v>116</v>
      </c>
      <c r="D758" t="s">
        <v>18</v>
      </c>
      <c r="E758" s="3">
        <v>10</v>
      </c>
      <c r="F758" t="s">
        <v>19</v>
      </c>
      <c r="G758" t="s">
        <v>52</v>
      </c>
      <c r="H758" t="s">
        <v>27</v>
      </c>
      <c r="I758" s="12">
        <v>0.4826388888888889</v>
      </c>
      <c r="J758" t="s">
        <v>53</v>
      </c>
      <c r="K758" t="s">
        <v>27</v>
      </c>
      <c r="L758" s="12">
        <v>0.51041666666666663</v>
      </c>
      <c r="M758" t="s">
        <v>23</v>
      </c>
      <c r="N758" s="3">
        <v>186</v>
      </c>
      <c r="O758" t="s">
        <v>24</v>
      </c>
      <c r="P758" t="s">
        <v>25</v>
      </c>
      <c r="R758">
        <f>tblDailySchedule[[#This Row],[Capacity Approx]]*'[1]Load Factor Sheet June Acft  '!$B$5</f>
        <v>150.61772727272728</v>
      </c>
      <c r="S758">
        <f>tblDailySchedule[[#This Row],[Capacity Approx]]*'[1]Load Factor Sheet June Acft  '!$D$5</f>
        <v>163.08818181818182</v>
      </c>
      <c r="T758" s="22">
        <f>tblDailySchedule[[#This Row],[STD]]</f>
        <v>0.51041666666666663</v>
      </c>
    </row>
    <row r="759" spans="1:20" hidden="1" x14ac:dyDescent="0.35">
      <c r="A759" s="11">
        <v>46137</v>
      </c>
      <c r="B759" s="3">
        <v>6</v>
      </c>
      <c r="C759" t="s">
        <v>116</v>
      </c>
      <c r="D759" t="s">
        <v>18</v>
      </c>
      <c r="E759" s="3">
        <v>11</v>
      </c>
      <c r="F759" t="s">
        <v>19</v>
      </c>
      <c r="G759" t="s">
        <v>54</v>
      </c>
      <c r="H759" t="s">
        <v>31</v>
      </c>
      <c r="I759" s="12">
        <v>0.51388888888888884</v>
      </c>
      <c r="J759" t="s">
        <v>55</v>
      </c>
      <c r="K759" t="s">
        <v>31</v>
      </c>
      <c r="L759" s="12">
        <v>0.54166666666666663</v>
      </c>
      <c r="M759" t="s">
        <v>23</v>
      </c>
      <c r="N759" s="3">
        <v>186</v>
      </c>
      <c r="O759" t="s">
        <v>24</v>
      </c>
      <c r="P759" t="s">
        <v>56</v>
      </c>
      <c r="R759">
        <f>tblDailySchedule[[#This Row],[Capacity Approx]]*'[1]Load Factor Sheet June Acft  '!$B$5</f>
        <v>150.61772727272728</v>
      </c>
      <c r="S759">
        <f>tblDailySchedule[[#This Row],[Capacity Approx]]*'[1]Load Factor Sheet June Acft  '!$D$5</f>
        <v>163.08818181818182</v>
      </c>
      <c r="T759" s="22">
        <f>tblDailySchedule[[#This Row],[STD]]</f>
        <v>0.54166666666666663</v>
      </c>
    </row>
    <row r="760" spans="1:20" hidden="1" x14ac:dyDescent="0.35">
      <c r="A760" s="11">
        <v>46137</v>
      </c>
      <c r="B760" s="3">
        <v>6</v>
      </c>
      <c r="C760" t="s">
        <v>116</v>
      </c>
      <c r="D760" t="s">
        <v>18</v>
      </c>
      <c r="E760" s="3">
        <v>12</v>
      </c>
      <c r="F760" t="s">
        <v>109</v>
      </c>
      <c r="G760" t="s">
        <v>110</v>
      </c>
      <c r="H760" t="s">
        <v>111</v>
      </c>
      <c r="I760" s="12">
        <v>0.55555555555555558</v>
      </c>
      <c r="J760" t="s">
        <v>112</v>
      </c>
      <c r="K760" t="s">
        <v>111</v>
      </c>
      <c r="L760" s="12">
        <v>0.56944444444444442</v>
      </c>
      <c r="M760" t="s">
        <v>51</v>
      </c>
      <c r="N760" s="3">
        <v>78</v>
      </c>
      <c r="O760" t="s">
        <v>24</v>
      </c>
      <c r="P760" t="s">
        <v>56</v>
      </c>
      <c r="R760">
        <f>tblDailySchedule[[#This Row],[Capacity Approx]]*'[1]Load Factor Sheet June Acft  '!$B$5</f>
        <v>63.162272727272729</v>
      </c>
      <c r="S760">
        <f>tblDailySchedule[[#This Row],[Capacity Approx]]*'[1]Load Factor Sheet June Acft  '!$D$5</f>
        <v>68.391818181818181</v>
      </c>
      <c r="T760" s="22">
        <f>tblDailySchedule[[#This Row],[STD]]</f>
        <v>0.56944444444444442</v>
      </c>
    </row>
    <row r="761" spans="1:20" hidden="1" x14ac:dyDescent="0.35">
      <c r="A761" s="11">
        <v>46137</v>
      </c>
      <c r="B761" s="3">
        <v>6</v>
      </c>
      <c r="C761" t="s">
        <v>116</v>
      </c>
      <c r="D761" t="s">
        <v>18</v>
      </c>
      <c r="E761" s="3">
        <v>13</v>
      </c>
      <c r="F761" t="s">
        <v>19</v>
      </c>
      <c r="G761" t="s">
        <v>57</v>
      </c>
      <c r="H761" t="s">
        <v>58</v>
      </c>
      <c r="I761" s="12">
        <v>0.55902777777777779</v>
      </c>
      <c r="J761" t="s">
        <v>59</v>
      </c>
      <c r="K761" t="s">
        <v>58</v>
      </c>
      <c r="L761" s="12">
        <v>0.57638888888888884</v>
      </c>
      <c r="M761" t="s">
        <v>51</v>
      </c>
      <c r="N761" s="3">
        <v>78</v>
      </c>
      <c r="O761" t="s">
        <v>24</v>
      </c>
      <c r="P761" t="s">
        <v>56</v>
      </c>
      <c r="R761">
        <f>tblDailySchedule[[#This Row],[Capacity Approx]]*'[1]Load Factor Sheet June Acft  '!$B$5</f>
        <v>63.162272727272729</v>
      </c>
      <c r="S761">
        <f>tblDailySchedule[[#This Row],[Capacity Approx]]*'[1]Load Factor Sheet June Acft  '!$D$5</f>
        <v>68.391818181818181</v>
      </c>
      <c r="T761" s="22">
        <f>tblDailySchedule[[#This Row],[STD]]</f>
        <v>0.57638888888888884</v>
      </c>
    </row>
    <row r="762" spans="1:20" hidden="1" x14ac:dyDescent="0.35">
      <c r="A762" s="11">
        <v>46137</v>
      </c>
      <c r="B762" s="3">
        <v>6</v>
      </c>
      <c r="C762" t="s">
        <v>116</v>
      </c>
      <c r="D762" t="s">
        <v>18</v>
      </c>
      <c r="E762" s="3">
        <v>14</v>
      </c>
      <c r="F762" t="s">
        <v>19</v>
      </c>
      <c r="G762" t="s">
        <v>60</v>
      </c>
      <c r="H762" t="s">
        <v>61</v>
      </c>
      <c r="I762" s="12">
        <v>0.59027777777777779</v>
      </c>
      <c r="J762" t="s">
        <v>62</v>
      </c>
      <c r="K762" t="s">
        <v>61</v>
      </c>
      <c r="L762" s="12">
        <v>0.62152777777777779</v>
      </c>
      <c r="M762" t="s">
        <v>63</v>
      </c>
      <c r="N762" s="3">
        <v>232</v>
      </c>
      <c r="O762" t="s">
        <v>24</v>
      </c>
      <c r="P762" t="s">
        <v>56</v>
      </c>
      <c r="R762">
        <f>tblDailySchedule[[#This Row],[Capacity Approx]]*'[1]Load Factor Sheet June Acft  '!$B$5</f>
        <v>187.86727272727273</v>
      </c>
      <c r="S762">
        <f>tblDailySchedule[[#This Row],[Capacity Approx]]*'[1]Load Factor Sheet June Acft  '!$D$5</f>
        <v>203.4218181818182</v>
      </c>
      <c r="T762" s="22">
        <f>tblDailySchedule[[#This Row],[STD]]</f>
        <v>0.62152777777777779</v>
      </c>
    </row>
    <row r="763" spans="1:20" hidden="1" x14ac:dyDescent="0.35">
      <c r="A763" s="11">
        <v>46137</v>
      </c>
      <c r="B763" s="3">
        <v>6</v>
      </c>
      <c r="C763" t="s">
        <v>116</v>
      </c>
      <c r="D763" t="s">
        <v>18</v>
      </c>
      <c r="E763" s="3">
        <v>15</v>
      </c>
      <c r="F763" t="s">
        <v>19</v>
      </c>
      <c r="G763" t="s">
        <v>64</v>
      </c>
      <c r="H763" t="s">
        <v>31</v>
      </c>
      <c r="I763" s="12">
        <v>0.60069444444444442</v>
      </c>
      <c r="J763" t="s">
        <v>65</v>
      </c>
      <c r="K763" t="s">
        <v>66</v>
      </c>
      <c r="L763" s="12">
        <v>0.62847222222222221</v>
      </c>
      <c r="M763" t="s">
        <v>63</v>
      </c>
      <c r="N763" s="3">
        <v>232</v>
      </c>
      <c r="O763" t="s">
        <v>24</v>
      </c>
      <c r="P763" t="s">
        <v>56</v>
      </c>
      <c r="R763">
        <f>tblDailySchedule[[#This Row],[Capacity Approx]]*'[1]Load Factor Sheet June Acft  '!$B$5</f>
        <v>187.86727272727273</v>
      </c>
      <c r="S763">
        <f>tblDailySchedule[[#This Row],[Capacity Approx]]*'[1]Load Factor Sheet June Acft  '!$D$5</f>
        <v>203.4218181818182</v>
      </c>
      <c r="T763" s="22">
        <f>tblDailySchedule[[#This Row],[STD]]</f>
        <v>0.62847222222222221</v>
      </c>
    </row>
    <row r="764" spans="1:20" hidden="1" x14ac:dyDescent="0.35">
      <c r="A764" s="11">
        <v>46137</v>
      </c>
      <c r="B764" s="3">
        <v>6</v>
      </c>
      <c r="C764" t="s">
        <v>116</v>
      </c>
      <c r="D764" t="s">
        <v>18</v>
      </c>
      <c r="E764" s="3">
        <v>16</v>
      </c>
      <c r="F764" t="s">
        <v>19</v>
      </c>
      <c r="G764" t="s">
        <v>67</v>
      </c>
      <c r="H764" t="s">
        <v>31</v>
      </c>
      <c r="I764" s="12">
        <v>0.65625</v>
      </c>
      <c r="J764" t="s">
        <v>68</v>
      </c>
      <c r="K764" t="s">
        <v>31</v>
      </c>
      <c r="L764" s="12">
        <v>0.68402777777777779</v>
      </c>
      <c r="M764" t="s">
        <v>63</v>
      </c>
      <c r="N764" s="3">
        <v>232</v>
      </c>
      <c r="O764" t="s">
        <v>24</v>
      </c>
      <c r="P764" t="s">
        <v>56</v>
      </c>
      <c r="R764">
        <f>tblDailySchedule[[#This Row],[Capacity Approx]]*'[1]Load Factor Sheet June Acft  '!$B$5</f>
        <v>187.86727272727273</v>
      </c>
      <c r="S764">
        <f>tblDailySchedule[[#This Row],[Capacity Approx]]*'[1]Load Factor Sheet June Acft  '!$D$5</f>
        <v>203.4218181818182</v>
      </c>
      <c r="T764" s="22">
        <f>tblDailySchedule[[#This Row],[STD]]</f>
        <v>0.68402777777777779</v>
      </c>
    </row>
    <row r="765" spans="1:20" hidden="1" x14ac:dyDescent="0.35">
      <c r="A765" s="11">
        <v>46137</v>
      </c>
      <c r="B765" s="3">
        <v>6</v>
      </c>
      <c r="C765" t="s">
        <v>116</v>
      </c>
      <c r="D765" t="s">
        <v>18</v>
      </c>
      <c r="E765" s="3">
        <v>17</v>
      </c>
      <c r="F765" t="s">
        <v>19</v>
      </c>
      <c r="G765" t="s">
        <v>69</v>
      </c>
      <c r="H765" t="s">
        <v>31</v>
      </c>
      <c r="I765" s="12">
        <v>0.66319444444444442</v>
      </c>
      <c r="J765" t="s">
        <v>70</v>
      </c>
      <c r="K765" t="s">
        <v>31</v>
      </c>
      <c r="L765" s="12">
        <v>0.69097222222222221</v>
      </c>
      <c r="M765" t="s">
        <v>33</v>
      </c>
      <c r="N765" s="3">
        <v>189</v>
      </c>
      <c r="O765" t="s">
        <v>24</v>
      </c>
      <c r="P765" t="s">
        <v>56</v>
      </c>
      <c r="R765">
        <f>tblDailySchedule[[#This Row],[Capacity Approx]]*'[1]Load Factor Sheet June Acft  '!$B$5</f>
        <v>153.04704545454547</v>
      </c>
      <c r="S765">
        <f>tblDailySchedule[[#This Row],[Capacity Approx]]*'[1]Load Factor Sheet June Acft  '!$D$5</f>
        <v>165.71863636363636</v>
      </c>
      <c r="T765" s="22">
        <f>tblDailySchedule[[#This Row],[STD]]</f>
        <v>0.69097222222222221</v>
      </c>
    </row>
    <row r="766" spans="1:20" hidden="1" x14ac:dyDescent="0.35">
      <c r="A766" s="11">
        <v>46137</v>
      </c>
      <c r="B766" s="3">
        <v>6</v>
      </c>
      <c r="C766" t="s">
        <v>116</v>
      </c>
      <c r="D766" t="s">
        <v>18</v>
      </c>
      <c r="E766" s="3">
        <v>18</v>
      </c>
      <c r="F766" t="s">
        <v>19</v>
      </c>
      <c r="G766" t="s">
        <v>71</v>
      </c>
      <c r="H766" t="s">
        <v>21</v>
      </c>
      <c r="I766" s="12">
        <v>0.67013888888888884</v>
      </c>
      <c r="J766" t="s">
        <v>72</v>
      </c>
      <c r="K766" t="s">
        <v>21</v>
      </c>
      <c r="L766" s="12">
        <v>0.69791666666666663</v>
      </c>
      <c r="M766" t="s">
        <v>63</v>
      </c>
      <c r="N766" s="3">
        <v>232</v>
      </c>
      <c r="O766" t="s">
        <v>24</v>
      </c>
      <c r="P766" t="s">
        <v>56</v>
      </c>
      <c r="R766">
        <f>tblDailySchedule[[#This Row],[Capacity Approx]]*'[1]Load Factor Sheet June Acft  '!$B$5</f>
        <v>187.86727272727273</v>
      </c>
      <c r="S766">
        <f>tblDailySchedule[[#This Row],[Capacity Approx]]*'[1]Load Factor Sheet June Acft  '!$D$5</f>
        <v>203.4218181818182</v>
      </c>
      <c r="T766" s="22">
        <f>tblDailySchedule[[#This Row],[STD]]</f>
        <v>0.69791666666666663</v>
      </c>
    </row>
    <row r="767" spans="1:20" hidden="1" x14ac:dyDescent="0.35">
      <c r="A767" s="11">
        <v>46137</v>
      </c>
      <c r="B767" s="3">
        <v>6</v>
      </c>
      <c r="C767" t="s">
        <v>116</v>
      </c>
      <c r="D767" t="s">
        <v>18</v>
      </c>
      <c r="E767" s="3">
        <v>19</v>
      </c>
      <c r="F767" t="s">
        <v>19</v>
      </c>
      <c r="G767" t="s">
        <v>73</v>
      </c>
      <c r="H767" t="s">
        <v>27</v>
      </c>
      <c r="I767" s="12">
        <v>0.74652777777777779</v>
      </c>
      <c r="J767" t="s">
        <v>74</v>
      </c>
      <c r="K767" t="s">
        <v>27</v>
      </c>
      <c r="L767" s="12">
        <v>0.77430555555555558</v>
      </c>
      <c r="M767" t="s">
        <v>63</v>
      </c>
      <c r="N767" s="3">
        <v>232</v>
      </c>
      <c r="O767" t="s">
        <v>24</v>
      </c>
      <c r="P767" t="s">
        <v>56</v>
      </c>
      <c r="R767">
        <f>tblDailySchedule[[#This Row],[Capacity Approx]]*'[1]Load Factor Sheet June Acft  '!$B$5</f>
        <v>187.86727272727273</v>
      </c>
      <c r="S767">
        <f>tblDailySchedule[[#This Row],[Capacity Approx]]*'[1]Load Factor Sheet June Acft  '!$D$5</f>
        <v>203.4218181818182</v>
      </c>
      <c r="T767" s="22">
        <f>tblDailySchedule[[#This Row],[STD]]</f>
        <v>0.77430555555555558</v>
      </c>
    </row>
    <row r="768" spans="1:20" hidden="1" x14ac:dyDescent="0.35">
      <c r="A768" s="11">
        <v>46137</v>
      </c>
      <c r="B768" s="3">
        <v>6</v>
      </c>
      <c r="C768" t="s">
        <v>116</v>
      </c>
      <c r="D768" t="s">
        <v>18</v>
      </c>
      <c r="E768" s="3">
        <v>21</v>
      </c>
      <c r="F768" t="s">
        <v>19</v>
      </c>
      <c r="G768" t="s">
        <v>81</v>
      </c>
      <c r="H768" t="s">
        <v>61</v>
      </c>
      <c r="I768" s="12">
        <v>0.77083333333333337</v>
      </c>
      <c r="J768" t="s">
        <v>82</v>
      </c>
      <c r="K768" t="s">
        <v>49</v>
      </c>
      <c r="L768" s="12">
        <v>0.79166666666666663</v>
      </c>
      <c r="M768" t="s">
        <v>33</v>
      </c>
      <c r="N768" s="3">
        <v>189</v>
      </c>
      <c r="O768" t="s">
        <v>24</v>
      </c>
      <c r="P768" t="s">
        <v>79</v>
      </c>
      <c r="R768">
        <f>tblDailySchedule[[#This Row],[Capacity Approx]]*'[1]Load Factor Sheet June Acft  '!$B$5</f>
        <v>153.04704545454547</v>
      </c>
      <c r="S768">
        <f>tblDailySchedule[[#This Row],[Capacity Approx]]*'[1]Load Factor Sheet June Acft  '!$D$5</f>
        <v>165.71863636363636</v>
      </c>
      <c r="T768" s="22">
        <f>tblDailySchedule[[#This Row],[STD]]</f>
        <v>0.79166666666666663</v>
      </c>
    </row>
    <row r="769" spans="1:20" hidden="1" x14ac:dyDescent="0.35">
      <c r="A769" s="11">
        <v>46137</v>
      </c>
      <c r="B769" s="3">
        <v>6</v>
      </c>
      <c r="C769" t="s">
        <v>116</v>
      </c>
      <c r="D769" t="s">
        <v>18</v>
      </c>
      <c r="E769" s="3">
        <v>22</v>
      </c>
      <c r="F769" t="s">
        <v>19</v>
      </c>
      <c r="G769" t="s">
        <v>83</v>
      </c>
      <c r="H769" t="s">
        <v>31</v>
      </c>
      <c r="I769" s="12">
        <v>0.77777777777777779</v>
      </c>
      <c r="J769" t="s">
        <v>84</v>
      </c>
      <c r="K769" t="s">
        <v>31</v>
      </c>
      <c r="L769" s="12">
        <v>0.80555555555555558</v>
      </c>
      <c r="M769" t="s">
        <v>63</v>
      </c>
      <c r="N769" s="3">
        <v>232</v>
      </c>
      <c r="O769" t="s">
        <v>24</v>
      </c>
      <c r="P769" t="s">
        <v>79</v>
      </c>
      <c r="R769">
        <f>tblDailySchedule[[#This Row],[Capacity Approx]]*'[1]Load Factor Sheet June Acft  '!$B$5</f>
        <v>187.86727272727273</v>
      </c>
      <c r="S769">
        <f>tblDailySchedule[[#This Row],[Capacity Approx]]*'[1]Load Factor Sheet June Acft  '!$D$5</f>
        <v>203.4218181818182</v>
      </c>
      <c r="T769" s="22">
        <f>tblDailySchedule[[#This Row],[STD]]</f>
        <v>0.80555555555555558</v>
      </c>
    </row>
    <row r="770" spans="1:20" hidden="1" x14ac:dyDescent="0.35">
      <c r="A770" s="11">
        <v>46137</v>
      </c>
      <c r="B770" s="3">
        <v>6</v>
      </c>
      <c r="C770" t="s">
        <v>116</v>
      </c>
      <c r="D770" t="s">
        <v>18</v>
      </c>
      <c r="E770" s="3">
        <v>23</v>
      </c>
      <c r="F770" t="s">
        <v>19</v>
      </c>
      <c r="G770" t="s">
        <v>85</v>
      </c>
      <c r="H770" t="s">
        <v>86</v>
      </c>
      <c r="I770" s="12">
        <v>0.79861111111111116</v>
      </c>
      <c r="J770" t="s">
        <v>87</v>
      </c>
      <c r="K770" t="s">
        <v>86</v>
      </c>
      <c r="L770" s="12">
        <v>0.82638888888888884</v>
      </c>
      <c r="M770" t="s">
        <v>63</v>
      </c>
      <c r="N770" s="3">
        <v>232</v>
      </c>
      <c r="O770" t="s">
        <v>24</v>
      </c>
      <c r="P770" t="s">
        <v>79</v>
      </c>
      <c r="R770">
        <f>tblDailySchedule[[#This Row],[Capacity Approx]]*'[1]Load Factor Sheet June Acft  '!$B$5</f>
        <v>187.86727272727273</v>
      </c>
      <c r="S770">
        <f>tblDailySchedule[[#This Row],[Capacity Approx]]*'[1]Load Factor Sheet June Acft  '!$D$5</f>
        <v>203.4218181818182</v>
      </c>
      <c r="T770" s="22">
        <f>tblDailySchedule[[#This Row],[STD]]</f>
        <v>0.82638888888888884</v>
      </c>
    </row>
    <row r="771" spans="1:20" hidden="1" x14ac:dyDescent="0.35">
      <c r="A771" s="11">
        <v>46137</v>
      </c>
      <c r="B771" s="3">
        <v>6</v>
      </c>
      <c r="C771" t="s">
        <v>116</v>
      </c>
      <c r="D771" t="s">
        <v>18</v>
      </c>
      <c r="E771" s="3">
        <v>24</v>
      </c>
      <c r="F771" t="s">
        <v>19</v>
      </c>
      <c r="G771" t="s">
        <v>88</v>
      </c>
      <c r="H771" t="s">
        <v>89</v>
      </c>
      <c r="I771" s="12">
        <v>0.83333333333333337</v>
      </c>
      <c r="J771" t="s">
        <v>90</v>
      </c>
      <c r="K771" t="s">
        <v>31</v>
      </c>
      <c r="L771" s="12">
        <v>0.86111111111111116</v>
      </c>
      <c r="M771" t="s">
        <v>63</v>
      </c>
      <c r="N771" s="3">
        <v>232</v>
      </c>
      <c r="O771" t="s">
        <v>24</v>
      </c>
      <c r="P771" t="s">
        <v>79</v>
      </c>
      <c r="R771">
        <f>tblDailySchedule[[#This Row],[Capacity Approx]]*'[1]Load Factor Sheet June Acft  '!$B$5</f>
        <v>187.86727272727273</v>
      </c>
      <c r="S771">
        <f>tblDailySchedule[[#This Row],[Capacity Approx]]*'[1]Load Factor Sheet June Acft  '!$D$5</f>
        <v>203.4218181818182</v>
      </c>
      <c r="T771" s="22">
        <f>tblDailySchedule[[#This Row],[STD]]</f>
        <v>0.86111111111111116</v>
      </c>
    </row>
    <row r="772" spans="1:20" hidden="1" x14ac:dyDescent="0.35">
      <c r="A772" s="11">
        <v>46137</v>
      </c>
      <c r="B772" s="3">
        <v>6</v>
      </c>
      <c r="C772" t="s">
        <v>116</v>
      </c>
      <c r="D772" t="s">
        <v>18</v>
      </c>
      <c r="E772" s="3">
        <v>25</v>
      </c>
      <c r="F772" t="s">
        <v>19</v>
      </c>
      <c r="G772" t="s">
        <v>91</v>
      </c>
      <c r="H772" t="s">
        <v>61</v>
      </c>
      <c r="I772" s="12">
        <v>0.85416666666666663</v>
      </c>
      <c r="J772" t="s">
        <v>92</v>
      </c>
      <c r="K772" t="s">
        <v>61</v>
      </c>
      <c r="L772" s="12">
        <v>0.88194444444444442</v>
      </c>
      <c r="M772" t="s">
        <v>63</v>
      </c>
      <c r="N772" s="3">
        <v>232</v>
      </c>
      <c r="O772" t="s">
        <v>24</v>
      </c>
      <c r="P772" t="s">
        <v>79</v>
      </c>
      <c r="R772">
        <f>tblDailySchedule[[#This Row],[Capacity Approx]]*'[1]Load Factor Sheet June Acft  '!$B$5</f>
        <v>187.86727272727273</v>
      </c>
      <c r="S772">
        <f>tblDailySchedule[[#This Row],[Capacity Approx]]*'[1]Load Factor Sheet June Acft  '!$D$5</f>
        <v>203.4218181818182</v>
      </c>
      <c r="T772" s="22">
        <f>tblDailySchedule[[#This Row],[STD]]</f>
        <v>0.88194444444444442</v>
      </c>
    </row>
    <row r="773" spans="1:20" hidden="1" x14ac:dyDescent="0.35">
      <c r="A773" s="11">
        <v>46137</v>
      </c>
      <c r="B773" s="3">
        <v>6</v>
      </c>
      <c r="C773" t="s">
        <v>116</v>
      </c>
      <c r="D773" t="s">
        <v>18</v>
      </c>
      <c r="E773" s="3">
        <v>26</v>
      </c>
      <c r="F773" t="s">
        <v>19</v>
      </c>
      <c r="G773" t="s">
        <v>93</v>
      </c>
      <c r="H773" t="s">
        <v>31</v>
      </c>
      <c r="I773" s="12">
        <v>0.86111111111111116</v>
      </c>
      <c r="J773" t="s">
        <v>94</v>
      </c>
      <c r="K773" t="s">
        <v>31</v>
      </c>
      <c r="L773" s="12">
        <v>0.88888888888888884</v>
      </c>
      <c r="M773" t="s">
        <v>23</v>
      </c>
      <c r="N773" s="3">
        <v>186</v>
      </c>
      <c r="O773" t="s">
        <v>24</v>
      </c>
      <c r="P773" t="s">
        <v>79</v>
      </c>
      <c r="R773">
        <f>tblDailySchedule[[#This Row],[Capacity Approx]]*'[1]Load Factor Sheet June Acft  '!$B$5</f>
        <v>150.61772727272728</v>
      </c>
      <c r="S773">
        <f>tblDailySchedule[[#This Row],[Capacity Approx]]*'[1]Load Factor Sheet June Acft  '!$D$5</f>
        <v>163.08818181818182</v>
      </c>
      <c r="T773" s="22">
        <f>tblDailySchedule[[#This Row],[STD]]</f>
        <v>0.88888888888888884</v>
      </c>
    </row>
    <row r="774" spans="1:20" hidden="1" x14ac:dyDescent="0.35">
      <c r="A774" s="11">
        <v>46137</v>
      </c>
      <c r="B774" s="3">
        <v>6</v>
      </c>
      <c r="C774" t="s">
        <v>116</v>
      </c>
      <c r="D774" t="s">
        <v>18</v>
      </c>
      <c r="E774" s="3">
        <v>27</v>
      </c>
      <c r="F774" t="s">
        <v>19</v>
      </c>
      <c r="G774" t="s">
        <v>95</v>
      </c>
      <c r="H774" t="s">
        <v>21</v>
      </c>
      <c r="I774" s="12">
        <v>0.86805555555555558</v>
      </c>
      <c r="J774" t="s">
        <v>96</v>
      </c>
      <c r="K774" t="s">
        <v>21</v>
      </c>
      <c r="L774" s="12">
        <v>0.89583333333333337</v>
      </c>
      <c r="M774" t="s">
        <v>29</v>
      </c>
      <c r="N774" s="3">
        <v>186</v>
      </c>
      <c r="O774" t="s">
        <v>24</v>
      </c>
      <c r="P774" t="s">
        <v>79</v>
      </c>
      <c r="R774">
        <f>tblDailySchedule[[#This Row],[Capacity Approx]]*'[1]Load Factor Sheet June Acft  '!$B$5</f>
        <v>150.61772727272728</v>
      </c>
      <c r="S774">
        <f>tblDailySchedule[[#This Row],[Capacity Approx]]*'[1]Load Factor Sheet June Acft  '!$D$5</f>
        <v>163.08818181818182</v>
      </c>
      <c r="T774" s="22">
        <f>tblDailySchedule[[#This Row],[STD]]</f>
        <v>0.89583333333333337</v>
      </c>
    </row>
    <row r="775" spans="1:20" hidden="1" x14ac:dyDescent="0.35">
      <c r="A775" s="11">
        <v>46137</v>
      </c>
      <c r="B775" s="3">
        <v>6</v>
      </c>
      <c r="C775" t="s">
        <v>116</v>
      </c>
      <c r="D775" t="s">
        <v>18</v>
      </c>
      <c r="E775" s="3">
        <v>28</v>
      </c>
      <c r="F775" t="s">
        <v>19</v>
      </c>
      <c r="G775" t="s">
        <v>97</v>
      </c>
      <c r="H775" t="s">
        <v>49</v>
      </c>
      <c r="I775" s="12">
        <v>0.90277777777777779</v>
      </c>
      <c r="J775" t="s">
        <v>97</v>
      </c>
      <c r="K775" t="s">
        <v>61</v>
      </c>
      <c r="L775" s="12">
        <v>0.92361111111111116</v>
      </c>
      <c r="M775" t="s">
        <v>33</v>
      </c>
      <c r="N775" s="3">
        <v>189</v>
      </c>
      <c r="O775" t="s">
        <v>24</v>
      </c>
      <c r="P775" t="s">
        <v>79</v>
      </c>
      <c r="R775">
        <f>tblDailySchedule[[#This Row],[Capacity Approx]]*'[1]Load Factor Sheet June Acft  '!$B$5</f>
        <v>153.04704545454547</v>
      </c>
      <c r="S775">
        <f>tblDailySchedule[[#This Row],[Capacity Approx]]*'[1]Load Factor Sheet June Acft  '!$D$5</f>
        <v>165.71863636363636</v>
      </c>
      <c r="T775" s="22">
        <f>tblDailySchedule[[#This Row],[STD]]</f>
        <v>0.92361111111111116</v>
      </c>
    </row>
    <row r="776" spans="1:20" hidden="1" x14ac:dyDescent="0.35">
      <c r="A776" s="11">
        <v>46137</v>
      </c>
      <c r="B776" s="3">
        <v>6</v>
      </c>
      <c r="C776" t="s">
        <v>116</v>
      </c>
      <c r="D776" t="s">
        <v>18</v>
      </c>
      <c r="E776" s="3">
        <v>29</v>
      </c>
      <c r="F776" t="s">
        <v>19</v>
      </c>
      <c r="G776" t="s">
        <v>98</v>
      </c>
      <c r="H776" t="s">
        <v>21</v>
      </c>
      <c r="I776" s="12">
        <v>0.92013888888888884</v>
      </c>
      <c r="J776" t="s">
        <v>99</v>
      </c>
      <c r="K776" t="s">
        <v>21</v>
      </c>
      <c r="L776" s="12">
        <v>0.94791666666666663</v>
      </c>
      <c r="M776" t="s">
        <v>63</v>
      </c>
      <c r="N776" s="3">
        <v>232</v>
      </c>
      <c r="O776" t="s">
        <v>24</v>
      </c>
      <c r="P776" t="s">
        <v>79</v>
      </c>
      <c r="R776">
        <f>tblDailySchedule[[#This Row],[Capacity Approx]]*'[1]Load Factor Sheet June Acft  '!$B$5</f>
        <v>187.86727272727273</v>
      </c>
      <c r="S776">
        <f>tblDailySchedule[[#This Row],[Capacity Approx]]*'[1]Load Factor Sheet June Acft  '!$D$5</f>
        <v>203.4218181818182</v>
      </c>
      <c r="T776" s="22">
        <f>tblDailySchedule[[#This Row],[STD]]</f>
        <v>0.94791666666666663</v>
      </c>
    </row>
    <row r="777" spans="1:20" hidden="1" x14ac:dyDescent="0.35">
      <c r="A777" s="13">
        <v>46137</v>
      </c>
      <c r="B777" s="7">
        <v>6</v>
      </c>
      <c r="C777" s="14" t="s">
        <v>116</v>
      </c>
      <c r="D777" s="14" t="s">
        <v>18</v>
      </c>
      <c r="E777" s="7">
        <v>30</v>
      </c>
      <c r="F777" s="14" t="s">
        <v>104</v>
      </c>
      <c r="G777" s="14" t="s">
        <v>105</v>
      </c>
      <c r="H777" s="14" t="s">
        <v>106</v>
      </c>
      <c r="I777" s="15">
        <v>0.92708333333333337</v>
      </c>
      <c r="J777" s="14" t="s">
        <v>107</v>
      </c>
      <c r="K777" s="14" t="s">
        <v>106</v>
      </c>
      <c r="L777" s="15">
        <v>0.95833333333333337</v>
      </c>
      <c r="M777" s="14" t="s">
        <v>38</v>
      </c>
      <c r="N777" s="7">
        <v>186</v>
      </c>
      <c r="O777" s="14" t="s">
        <v>39</v>
      </c>
      <c r="P777" s="14" t="s">
        <v>79</v>
      </c>
      <c r="Q777" s="14" t="s">
        <v>39</v>
      </c>
      <c r="R777">
        <f>tblDailySchedule[[#This Row],[Capacity Approx]]*'[1]Load Factor Sheet June Acft  '!$B$5</f>
        <v>150.61772727272728</v>
      </c>
      <c r="S777">
        <f>tblDailySchedule[[#This Row],[Capacity Approx]]*'[1]Load Factor Sheet June Acft  '!$D$5</f>
        <v>163.08818181818182</v>
      </c>
      <c r="T777" s="22">
        <f>tblDailySchedule[[#This Row],[STD]]</f>
        <v>0.95833333333333337</v>
      </c>
    </row>
    <row r="778" spans="1:20" hidden="1" x14ac:dyDescent="0.35">
      <c r="A778" s="11">
        <v>46138</v>
      </c>
      <c r="B778" s="3">
        <v>7</v>
      </c>
      <c r="C778" t="s">
        <v>17</v>
      </c>
      <c r="D778" t="s">
        <v>18</v>
      </c>
      <c r="E778" s="3">
        <v>2</v>
      </c>
      <c r="F778" t="s">
        <v>19</v>
      </c>
      <c r="G778" t="s">
        <v>20</v>
      </c>
      <c r="H778" t="s">
        <v>21</v>
      </c>
      <c r="I778" s="12">
        <v>0.31944444444444442</v>
      </c>
      <c r="J778" t="s">
        <v>22</v>
      </c>
      <c r="K778" t="s">
        <v>21</v>
      </c>
      <c r="L778" s="12">
        <v>0.34722222222222221</v>
      </c>
      <c r="M778" t="s">
        <v>23</v>
      </c>
      <c r="N778" s="3">
        <v>186</v>
      </c>
      <c r="O778" t="s">
        <v>24</v>
      </c>
      <c r="P778" t="s">
        <v>25</v>
      </c>
      <c r="R778">
        <f>tblDailySchedule[[#This Row],[Capacity Approx]]*'[1]Load Factor Sheet June Acft  '!$B$5</f>
        <v>150.61772727272728</v>
      </c>
      <c r="S778">
        <f>tblDailySchedule[[#This Row],[Capacity Approx]]*'[1]Load Factor Sheet June Acft  '!$D$5</f>
        <v>163.08818181818182</v>
      </c>
      <c r="T778" s="22">
        <f>tblDailySchedule[[#This Row],[STD]]</f>
        <v>0.34722222222222221</v>
      </c>
    </row>
    <row r="779" spans="1:20" hidden="1" x14ac:dyDescent="0.35">
      <c r="A779" s="11">
        <v>46138</v>
      </c>
      <c r="B779" s="3">
        <v>7</v>
      </c>
      <c r="C779" t="s">
        <v>17</v>
      </c>
      <c r="D779" t="s">
        <v>18</v>
      </c>
      <c r="E779" s="3">
        <v>3</v>
      </c>
      <c r="F779" t="s">
        <v>19</v>
      </c>
      <c r="G779" t="s">
        <v>26</v>
      </c>
      <c r="H779" t="s">
        <v>27</v>
      </c>
      <c r="I779" s="12">
        <v>0.3263888888888889</v>
      </c>
      <c r="J779" t="s">
        <v>28</v>
      </c>
      <c r="K779" t="s">
        <v>27</v>
      </c>
      <c r="L779" s="12">
        <v>0.35416666666666669</v>
      </c>
      <c r="M779" t="s">
        <v>29</v>
      </c>
      <c r="N779" s="3">
        <v>186</v>
      </c>
      <c r="O779" t="s">
        <v>24</v>
      </c>
      <c r="P779" t="s">
        <v>25</v>
      </c>
      <c r="R779">
        <f>tblDailySchedule[[#This Row],[Capacity Approx]]*'[1]Load Factor Sheet June Acft  '!$B$5</f>
        <v>150.61772727272728</v>
      </c>
      <c r="S779">
        <f>tblDailySchedule[[#This Row],[Capacity Approx]]*'[1]Load Factor Sheet June Acft  '!$D$5</f>
        <v>163.08818181818182</v>
      </c>
      <c r="T779" s="22">
        <f>tblDailySchedule[[#This Row],[STD]]</f>
        <v>0.35416666666666669</v>
      </c>
    </row>
    <row r="780" spans="1:20" hidden="1" x14ac:dyDescent="0.35">
      <c r="A780" s="11">
        <v>46138</v>
      </c>
      <c r="B780" s="3">
        <v>7</v>
      </c>
      <c r="C780" t="s">
        <v>17</v>
      </c>
      <c r="D780" t="s">
        <v>18</v>
      </c>
      <c r="E780" s="3">
        <v>4</v>
      </c>
      <c r="F780" t="s">
        <v>19</v>
      </c>
      <c r="G780" t="s">
        <v>30</v>
      </c>
      <c r="H780" t="s">
        <v>31</v>
      </c>
      <c r="I780" s="12">
        <v>0.34722222222222221</v>
      </c>
      <c r="J780" t="s">
        <v>32</v>
      </c>
      <c r="K780" t="s">
        <v>31</v>
      </c>
      <c r="L780" s="12">
        <v>0.36805555555555558</v>
      </c>
      <c r="M780" t="s">
        <v>33</v>
      </c>
      <c r="N780" s="3">
        <v>189</v>
      </c>
      <c r="O780" t="s">
        <v>24</v>
      </c>
      <c r="P780" t="s">
        <v>25</v>
      </c>
      <c r="R780">
        <f>tblDailySchedule[[#This Row],[Capacity Approx]]*'[1]Load Factor Sheet June Acft  '!$B$5</f>
        <v>153.04704545454547</v>
      </c>
      <c r="S780">
        <f>tblDailySchedule[[#This Row],[Capacity Approx]]*'[1]Load Factor Sheet June Acft  '!$D$5</f>
        <v>165.71863636363636</v>
      </c>
      <c r="T780" s="22">
        <f>tblDailySchedule[[#This Row],[STD]]</f>
        <v>0.36805555555555558</v>
      </c>
    </row>
    <row r="781" spans="1:20" hidden="1" x14ac:dyDescent="0.35">
      <c r="A781" s="13">
        <v>46138</v>
      </c>
      <c r="B781" s="7">
        <v>7</v>
      </c>
      <c r="C781" s="14" t="s">
        <v>17</v>
      </c>
      <c r="D781" s="14" t="s">
        <v>18</v>
      </c>
      <c r="E781" s="7">
        <v>6</v>
      </c>
      <c r="F781" s="14" t="s">
        <v>34</v>
      </c>
      <c r="G781" s="14" t="s">
        <v>35</v>
      </c>
      <c r="H781" s="14" t="s">
        <v>36</v>
      </c>
      <c r="I781" s="15">
        <v>0.34722222222222221</v>
      </c>
      <c r="J781" s="14" t="s">
        <v>37</v>
      </c>
      <c r="K781" s="14" t="s">
        <v>36</v>
      </c>
      <c r="L781" s="15">
        <v>0.40972222222222221</v>
      </c>
      <c r="M781" s="14" t="s">
        <v>38</v>
      </c>
      <c r="N781" s="7">
        <v>186</v>
      </c>
      <c r="O781" s="14" t="s">
        <v>39</v>
      </c>
      <c r="P781" s="14" t="s">
        <v>25</v>
      </c>
      <c r="Q781" s="14" t="s">
        <v>39</v>
      </c>
      <c r="R781">
        <f>tblDailySchedule[[#This Row],[Capacity Approx]]*'[1]Load Factor Sheet June Acft  '!$B$5</f>
        <v>150.61772727272728</v>
      </c>
      <c r="S781">
        <f>tblDailySchedule[[#This Row],[Capacity Approx]]*'[1]Load Factor Sheet June Acft  '!$D$5</f>
        <v>163.08818181818182</v>
      </c>
      <c r="T781" s="22">
        <f>tblDailySchedule[[#This Row],[STD]]</f>
        <v>0.40972222222222221</v>
      </c>
    </row>
    <row r="782" spans="1:20" hidden="1" x14ac:dyDescent="0.35">
      <c r="A782" s="11">
        <v>46138</v>
      </c>
      <c r="B782" s="3">
        <v>7</v>
      </c>
      <c r="C782" t="s">
        <v>17</v>
      </c>
      <c r="D782" t="s">
        <v>18</v>
      </c>
      <c r="E782" s="3">
        <v>5</v>
      </c>
      <c r="F782" t="s">
        <v>19</v>
      </c>
      <c r="G782" t="s">
        <v>40</v>
      </c>
      <c r="H782" t="s">
        <v>31</v>
      </c>
      <c r="I782" s="12">
        <v>0.35069444444444442</v>
      </c>
      <c r="J782" t="s">
        <v>41</v>
      </c>
      <c r="K782" t="s">
        <v>31</v>
      </c>
      <c r="L782" s="12">
        <v>0.37152777777777779</v>
      </c>
      <c r="M782" t="s">
        <v>23</v>
      </c>
      <c r="N782" s="3">
        <v>186</v>
      </c>
      <c r="O782" t="s">
        <v>24</v>
      </c>
      <c r="P782" t="s">
        <v>25</v>
      </c>
      <c r="R782">
        <f>tblDailySchedule[[#This Row],[Capacity Approx]]*'[1]Load Factor Sheet June Acft  '!$B$5</f>
        <v>150.61772727272728</v>
      </c>
      <c r="S782">
        <f>tblDailySchedule[[#This Row],[Capacity Approx]]*'[1]Load Factor Sheet June Acft  '!$D$5</f>
        <v>163.08818181818182</v>
      </c>
      <c r="T782" s="22">
        <f>tblDailySchedule[[#This Row],[STD]]</f>
        <v>0.37152777777777779</v>
      </c>
    </row>
    <row r="783" spans="1:20" hidden="1" x14ac:dyDescent="0.35">
      <c r="A783" s="11">
        <v>46138</v>
      </c>
      <c r="B783" s="3">
        <v>7</v>
      </c>
      <c r="C783" t="s">
        <v>17</v>
      </c>
      <c r="D783" t="s">
        <v>18</v>
      </c>
      <c r="E783" s="3">
        <v>7</v>
      </c>
      <c r="F783" t="s">
        <v>19</v>
      </c>
      <c r="G783" t="s">
        <v>42</v>
      </c>
      <c r="H783" t="s">
        <v>43</v>
      </c>
      <c r="I783" s="12">
        <v>0.3923611111111111</v>
      </c>
      <c r="J783" t="s">
        <v>44</v>
      </c>
      <c r="K783" t="s">
        <v>43</v>
      </c>
      <c r="L783" s="12">
        <v>0.40277777777777779</v>
      </c>
      <c r="M783" t="s">
        <v>45</v>
      </c>
      <c r="N783" s="3">
        <v>9</v>
      </c>
      <c r="O783" t="s">
        <v>24</v>
      </c>
      <c r="P783" t="s">
        <v>25</v>
      </c>
      <c r="R783">
        <f>tblDailySchedule[[#This Row],[Capacity Approx]]*'[1]Load Factor Sheet June Acft  '!$B$5</f>
        <v>7.2879545454545456</v>
      </c>
      <c r="S783">
        <f>tblDailySchedule[[#This Row],[Capacity Approx]]*'[1]Load Factor Sheet June Acft  '!$D$5</f>
        <v>7.8913636363636366</v>
      </c>
      <c r="T783" s="22">
        <f>tblDailySchedule[[#This Row],[STD]]</f>
        <v>0.40277777777777779</v>
      </c>
    </row>
    <row r="784" spans="1:20" hidden="1" x14ac:dyDescent="0.35">
      <c r="A784" s="11">
        <v>46138</v>
      </c>
      <c r="B784" s="3">
        <v>7</v>
      </c>
      <c r="C784" t="s">
        <v>17</v>
      </c>
      <c r="D784" t="s">
        <v>18</v>
      </c>
      <c r="E784" s="3">
        <v>8</v>
      </c>
      <c r="F784" t="s">
        <v>19</v>
      </c>
      <c r="G784" t="s">
        <v>46</v>
      </c>
      <c r="H784" t="s">
        <v>31</v>
      </c>
      <c r="I784" s="12">
        <v>0.4201388888888889</v>
      </c>
      <c r="J784" t="s">
        <v>47</v>
      </c>
      <c r="K784" t="s">
        <v>31</v>
      </c>
      <c r="L784" s="12">
        <v>0.44444444444444442</v>
      </c>
      <c r="M784" t="s">
        <v>29</v>
      </c>
      <c r="N784" s="3">
        <v>186</v>
      </c>
      <c r="O784" t="s">
        <v>24</v>
      </c>
      <c r="P784" t="s">
        <v>25</v>
      </c>
      <c r="R784">
        <f>tblDailySchedule[[#This Row],[Capacity Approx]]*'[1]Load Factor Sheet June Acft  '!$B$5</f>
        <v>150.61772727272728</v>
      </c>
      <c r="S784">
        <f>tblDailySchedule[[#This Row],[Capacity Approx]]*'[1]Load Factor Sheet June Acft  '!$D$5</f>
        <v>163.08818181818182</v>
      </c>
      <c r="T784" s="22">
        <f>tblDailySchedule[[#This Row],[STD]]</f>
        <v>0.44444444444444442</v>
      </c>
    </row>
    <row r="785" spans="1:20" hidden="1" x14ac:dyDescent="0.35">
      <c r="A785" s="11">
        <v>46138</v>
      </c>
      <c r="B785" s="3">
        <v>7</v>
      </c>
      <c r="C785" t="s">
        <v>17</v>
      </c>
      <c r="D785" t="s">
        <v>18</v>
      </c>
      <c r="E785" s="3">
        <v>9</v>
      </c>
      <c r="F785" t="s">
        <v>19</v>
      </c>
      <c r="G785" t="s">
        <v>48</v>
      </c>
      <c r="H785" t="s">
        <v>49</v>
      </c>
      <c r="I785" s="12">
        <v>0.4375</v>
      </c>
      <c r="J785" t="s">
        <v>50</v>
      </c>
      <c r="K785" t="s">
        <v>49</v>
      </c>
      <c r="L785" s="12">
        <v>0.45833333333333331</v>
      </c>
      <c r="M785" t="s">
        <v>51</v>
      </c>
      <c r="N785" s="3">
        <v>78</v>
      </c>
      <c r="O785" t="s">
        <v>24</v>
      </c>
      <c r="P785" t="s">
        <v>25</v>
      </c>
      <c r="R785">
        <f>tblDailySchedule[[#This Row],[Capacity Approx]]*'[1]Load Factor Sheet June Acft  '!$B$5</f>
        <v>63.162272727272729</v>
      </c>
      <c r="S785">
        <f>tblDailySchedule[[#This Row],[Capacity Approx]]*'[1]Load Factor Sheet June Acft  '!$D$5</f>
        <v>68.391818181818181</v>
      </c>
      <c r="T785" s="22">
        <f>tblDailySchedule[[#This Row],[STD]]</f>
        <v>0.45833333333333331</v>
      </c>
    </row>
    <row r="786" spans="1:20" hidden="1" x14ac:dyDescent="0.35">
      <c r="A786" s="11">
        <v>46138</v>
      </c>
      <c r="B786" s="3">
        <v>7</v>
      </c>
      <c r="C786" t="s">
        <v>17</v>
      </c>
      <c r="D786" t="s">
        <v>18</v>
      </c>
      <c r="E786" s="3">
        <v>10</v>
      </c>
      <c r="F786" t="s">
        <v>19</v>
      </c>
      <c r="G786" t="s">
        <v>52</v>
      </c>
      <c r="H786" t="s">
        <v>27</v>
      </c>
      <c r="I786" s="12">
        <v>0.4826388888888889</v>
      </c>
      <c r="J786" t="s">
        <v>53</v>
      </c>
      <c r="K786" t="s">
        <v>27</v>
      </c>
      <c r="L786" s="12">
        <v>0.51041666666666663</v>
      </c>
      <c r="M786" t="s">
        <v>23</v>
      </c>
      <c r="N786" s="3">
        <v>186</v>
      </c>
      <c r="O786" t="s">
        <v>24</v>
      </c>
      <c r="P786" t="s">
        <v>25</v>
      </c>
      <c r="R786">
        <f>tblDailySchedule[[#This Row],[Capacity Approx]]*'[1]Load Factor Sheet June Acft  '!$B$5</f>
        <v>150.61772727272728</v>
      </c>
      <c r="S786">
        <f>tblDailySchedule[[#This Row],[Capacity Approx]]*'[1]Load Factor Sheet June Acft  '!$D$5</f>
        <v>163.08818181818182</v>
      </c>
      <c r="T786" s="22">
        <f>tblDailySchedule[[#This Row],[STD]]</f>
        <v>0.51041666666666663</v>
      </c>
    </row>
    <row r="787" spans="1:20" hidden="1" x14ac:dyDescent="0.35">
      <c r="A787" s="11">
        <v>46138</v>
      </c>
      <c r="B787" s="3">
        <v>7</v>
      </c>
      <c r="C787" t="s">
        <v>17</v>
      </c>
      <c r="D787" t="s">
        <v>18</v>
      </c>
      <c r="E787" s="3">
        <v>11</v>
      </c>
      <c r="F787" t="s">
        <v>19</v>
      </c>
      <c r="G787" t="s">
        <v>54</v>
      </c>
      <c r="H787" t="s">
        <v>31</v>
      </c>
      <c r="I787" s="12">
        <v>0.51388888888888884</v>
      </c>
      <c r="J787" t="s">
        <v>55</v>
      </c>
      <c r="K787" t="s">
        <v>31</v>
      </c>
      <c r="L787" s="12">
        <v>0.54166666666666663</v>
      </c>
      <c r="M787" t="s">
        <v>23</v>
      </c>
      <c r="N787" s="3">
        <v>186</v>
      </c>
      <c r="O787" t="s">
        <v>24</v>
      </c>
      <c r="P787" t="s">
        <v>56</v>
      </c>
      <c r="R787">
        <f>tblDailySchedule[[#This Row],[Capacity Approx]]*'[1]Load Factor Sheet June Acft  '!$B$5</f>
        <v>150.61772727272728</v>
      </c>
      <c r="S787">
        <f>tblDailySchedule[[#This Row],[Capacity Approx]]*'[1]Load Factor Sheet June Acft  '!$D$5</f>
        <v>163.08818181818182</v>
      </c>
      <c r="T787" s="22">
        <f>tblDailySchedule[[#This Row],[STD]]</f>
        <v>0.54166666666666663</v>
      </c>
    </row>
    <row r="788" spans="1:20" hidden="1" x14ac:dyDescent="0.35">
      <c r="A788" s="11">
        <v>46138</v>
      </c>
      <c r="B788" s="3">
        <v>7</v>
      </c>
      <c r="C788" t="s">
        <v>17</v>
      </c>
      <c r="D788" t="s">
        <v>18</v>
      </c>
      <c r="E788" s="3">
        <v>13</v>
      </c>
      <c r="F788" t="s">
        <v>19</v>
      </c>
      <c r="G788" t="s">
        <v>57</v>
      </c>
      <c r="H788" t="s">
        <v>58</v>
      </c>
      <c r="I788" s="12">
        <v>0.55902777777777779</v>
      </c>
      <c r="J788" t="s">
        <v>59</v>
      </c>
      <c r="K788" t="s">
        <v>58</v>
      </c>
      <c r="L788" s="12">
        <v>0.57638888888888884</v>
      </c>
      <c r="M788" t="s">
        <v>51</v>
      </c>
      <c r="N788" s="3">
        <v>78</v>
      </c>
      <c r="O788" t="s">
        <v>24</v>
      </c>
      <c r="P788" t="s">
        <v>56</v>
      </c>
      <c r="R788">
        <f>tblDailySchedule[[#This Row],[Capacity Approx]]*'[1]Load Factor Sheet June Acft  '!$B$5</f>
        <v>63.162272727272729</v>
      </c>
      <c r="S788">
        <f>tblDailySchedule[[#This Row],[Capacity Approx]]*'[1]Load Factor Sheet June Acft  '!$D$5</f>
        <v>68.391818181818181</v>
      </c>
      <c r="T788" s="22">
        <f>tblDailySchedule[[#This Row],[STD]]</f>
        <v>0.57638888888888884</v>
      </c>
    </row>
    <row r="789" spans="1:20" hidden="1" x14ac:dyDescent="0.35">
      <c r="A789" s="11">
        <v>46138</v>
      </c>
      <c r="B789" s="3">
        <v>7</v>
      </c>
      <c r="C789" t="s">
        <v>17</v>
      </c>
      <c r="D789" t="s">
        <v>18</v>
      </c>
      <c r="E789" s="3">
        <v>14</v>
      </c>
      <c r="F789" t="s">
        <v>19</v>
      </c>
      <c r="G789" t="s">
        <v>60</v>
      </c>
      <c r="H789" t="s">
        <v>61</v>
      </c>
      <c r="I789" s="12">
        <v>0.59027777777777779</v>
      </c>
      <c r="J789" t="s">
        <v>62</v>
      </c>
      <c r="K789" t="s">
        <v>61</v>
      </c>
      <c r="L789" s="12">
        <v>0.62152777777777779</v>
      </c>
      <c r="M789" t="s">
        <v>63</v>
      </c>
      <c r="N789" s="3">
        <v>232</v>
      </c>
      <c r="O789" t="s">
        <v>24</v>
      </c>
      <c r="P789" t="s">
        <v>56</v>
      </c>
      <c r="R789">
        <f>tblDailySchedule[[#This Row],[Capacity Approx]]*'[1]Load Factor Sheet June Acft  '!$B$5</f>
        <v>187.86727272727273</v>
      </c>
      <c r="S789">
        <f>tblDailySchedule[[#This Row],[Capacity Approx]]*'[1]Load Factor Sheet June Acft  '!$D$5</f>
        <v>203.4218181818182</v>
      </c>
      <c r="T789" s="22">
        <f>tblDailySchedule[[#This Row],[STD]]</f>
        <v>0.62152777777777779</v>
      </c>
    </row>
    <row r="790" spans="1:20" hidden="1" x14ac:dyDescent="0.35">
      <c r="A790" s="11">
        <v>46138</v>
      </c>
      <c r="B790" s="3">
        <v>7</v>
      </c>
      <c r="C790" t="s">
        <v>17</v>
      </c>
      <c r="D790" t="s">
        <v>18</v>
      </c>
      <c r="E790" s="3">
        <v>15</v>
      </c>
      <c r="F790" t="s">
        <v>19</v>
      </c>
      <c r="G790" t="s">
        <v>64</v>
      </c>
      <c r="H790" t="s">
        <v>31</v>
      </c>
      <c r="I790" s="12">
        <v>0.60069444444444442</v>
      </c>
      <c r="J790" t="s">
        <v>65</v>
      </c>
      <c r="K790" t="s">
        <v>66</v>
      </c>
      <c r="L790" s="12">
        <v>0.62847222222222221</v>
      </c>
      <c r="M790" t="s">
        <v>63</v>
      </c>
      <c r="N790" s="3">
        <v>232</v>
      </c>
      <c r="O790" t="s">
        <v>24</v>
      </c>
      <c r="P790" t="s">
        <v>56</v>
      </c>
      <c r="R790">
        <f>tblDailySchedule[[#This Row],[Capacity Approx]]*'[1]Load Factor Sheet June Acft  '!$B$5</f>
        <v>187.86727272727273</v>
      </c>
      <c r="S790">
        <f>tblDailySchedule[[#This Row],[Capacity Approx]]*'[1]Load Factor Sheet June Acft  '!$D$5</f>
        <v>203.4218181818182</v>
      </c>
      <c r="T790" s="22">
        <f>tblDailySchedule[[#This Row],[STD]]</f>
        <v>0.62847222222222221</v>
      </c>
    </row>
    <row r="791" spans="1:20" hidden="1" x14ac:dyDescent="0.35">
      <c r="A791" s="11">
        <v>46138</v>
      </c>
      <c r="B791" s="3">
        <v>7</v>
      </c>
      <c r="C791" t="s">
        <v>17</v>
      </c>
      <c r="D791" t="s">
        <v>18</v>
      </c>
      <c r="E791" s="3">
        <v>16</v>
      </c>
      <c r="F791" t="s">
        <v>19</v>
      </c>
      <c r="G791" t="s">
        <v>67</v>
      </c>
      <c r="H791" t="s">
        <v>31</v>
      </c>
      <c r="I791" s="12">
        <v>0.65625</v>
      </c>
      <c r="J791" t="s">
        <v>68</v>
      </c>
      <c r="K791" t="s">
        <v>31</v>
      </c>
      <c r="L791" s="12">
        <v>0.68402777777777779</v>
      </c>
      <c r="M791" t="s">
        <v>63</v>
      </c>
      <c r="N791" s="3">
        <v>232</v>
      </c>
      <c r="O791" t="s">
        <v>24</v>
      </c>
      <c r="P791" t="s">
        <v>56</v>
      </c>
      <c r="R791">
        <f>tblDailySchedule[[#This Row],[Capacity Approx]]*'[1]Load Factor Sheet June Acft  '!$B$5</f>
        <v>187.86727272727273</v>
      </c>
      <c r="S791">
        <f>tblDailySchedule[[#This Row],[Capacity Approx]]*'[1]Load Factor Sheet June Acft  '!$D$5</f>
        <v>203.4218181818182</v>
      </c>
      <c r="T791" s="22">
        <f>tblDailySchedule[[#This Row],[STD]]</f>
        <v>0.68402777777777779</v>
      </c>
    </row>
    <row r="792" spans="1:20" hidden="1" x14ac:dyDescent="0.35">
      <c r="A792" s="11">
        <v>46138</v>
      </c>
      <c r="B792" s="3">
        <v>7</v>
      </c>
      <c r="C792" t="s">
        <v>17</v>
      </c>
      <c r="D792" t="s">
        <v>18</v>
      </c>
      <c r="E792" s="3">
        <v>17</v>
      </c>
      <c r="F792" t="s">
        <v>19</v>
      </c>
      <c r="G792" t="s">
        <v>69</v>
      </c>
      <c r="H792" t="s">
        <v>31</v>
      </c>
      <c r="I792" s="12">
        <v>0.66319444444444442</v>
      </c>
      <c r="J792" t="s">
        <v>70</v>
      </c>
      <c r="K792" t="s">
        <v>31</v>
      </c>
      <c r="L792" s="12">
        <v>0.69097222222222221</v>
      </c>
      <c r="M792" t="s">
        <v>33</v>
      </c>
      <c r="N792" s="3">
        <v>189</v>
      </c>
      <c r="O792" t="s">
        <v>24</v>
      </c>
      <c r="P792" t="s">
        <v>56</v>
      </c>
      <c r="R792">
        <f>tblDailySchedule[[#This Row],[Capacity Approx]]*'[1]Load Factor Sheet June Acft  '!$B$5</f>
        <v>153.04704545454547</v>
      </c>
      <c r="S792">
        <f>tblDailySchedule[[#This Row],[Capacity Approx]]*'[1]Load Factor Sheet June Acft  '!$D$5</f>
        <v>165.71863636363636</v>
      </c>
      <c r="T792" s="22">
        <f>tblDailySchedule[[#This Row],[STD]]</f>
        <v>0.69097222222222221</v>
      </c>
    </row>
    <row r="793" spans="1:20" hidden="1" x14ac:dyDescent="0.35">
      <c r="A793" s="11">
        <v>46138</v>
      </c>
      <c r="B793" s="3">
        <v>7</v>
      </c>
      <c r="C793" t="s">
        <v>17</v>
      </c>
      <c r="D793" t="s">
        <v>18</v>
      </c>
      <c r="E793" s="3">
        <v>18</v>
      </c>
      <c r="F793" t="s">
        <v>19</v>
      </c>
      <c r="G793" t="s">
        <v>71</v>
      </c>
      <c r="H793" t="s">
        <v>21</v>
      </c>
      <c r="I793" s="12">
        <v>0.67013888888888884</v>
      </c>
      <c r="J793" t="s">
        <v>72</v>
      </c>
      <c r="K793" t="s">
        <v>21</v>
      </c>
      <c r="L793" s="12">
        <v>0.69791666666666663</v>
      </c>
      <c r="M793" t="s">
        <v>63</v>
      </c>
      <c r="N793" s="3">
        <v>232</v>
      </c>
      <c r="O793" t="s">
        <v>24</v>
      </c>
      <c r="P793" t="s">
        <v>56</v>
      </c>
      <c r="R793">
        <f>tblDailySchedule[[#This Row],[Capacity Approx]]*'[1]Load Factor Sheet June Acft  '!$B$5</f>
        <v>187.86727272727273</v>
      </c>
      <c r="S793">
        <f>tblDailySchedule[[#This Row],[Capacity Approx]]*'[1]Load Factor Sheet June Acft  '!$D$5</f>
        <v>203.4218181818182</v>
      </c>
      <c r="T793" s="22">
        <f>tblDailySchedule[[#This Row],[STD]]</f>
        <v>0.69791666666666663</v>
      </c>
    </row>
    <row r="794" spans="1:20" hidden="1" x14ac:dyDescent="0.35">
      <c r="A794" s="11">
        <v>46138</v>
      </c>
      <c r="B794" s="3">
        <v>7</v>
      </c>
      <c r="C794" t="s">
        <v>17</v>
      </c>
      <c r="D794" t="s">
        <v>18</v>
      </c>
      <c r="E794" s="3">
        <v>19</v>
      </c>
      <c r="F794" t="s">
        <v>19</v>
      </c>
      <c r="G794" t="s">
        <v>73</v>
      </c>
      <c r="H794" t="s">
        <v>27</v>
      </c>
      <c r="I794" s="12">
        <v>0.74652777777777779</v>
      </c>
      <c r="J794" t="s">
        <v>74</v>
      </c>
      <c r="K794" t="s">
        <v>27</v>
      </c>
      <c r="L794" s="12">
        <v>0.77430555555555558</v>
      </c>
      <c r="M794" t="s">
        <v>63</v>
      </c>
      <c r="N794" s="3">
        <v>232</v>
      </c>
      <c r="O794" t="s">
        <v>24</v>
      </c>
      <c r="P794" t="s">
        <v>56</v>
      </c>
      <c r="R794">
        <f>tblDailySchedule[[#This Row],[Capacity Approx]]*'[1]Load Factor Sheet June Acft  '!$B$5</f>
        <v>187.86727272727273</v>
      </c>
      <c r="S794">
        <f>tblDailySchedule[[#This Row],[Capacity Approx]]*'[1]Load Factor Sheet June Acft  '!$D$5</f>
        <v>203.4218181818182</v>
      </c>
      <c r="T794" s="22">
        <f>tblDailySchedule[[#This Row],[STD]]</f>
        <v>0.77430555555555558</v>
      </c>
    </row>
    <row r="795" spans="1:20" hidden="1" x14ac:dyDescent="0.35">
      <c r="A795" s="11">
        <v>46138</v>
      </c>
      <c r="B795" s="3">
        <v>7</v>
      </c>
      <c r="C795" t="s">
        <v>17</v>
      </c>
      <c r="D795" t="s">
        <v>18</v>
      </c>
      <c r="E795" s="3">
        <v>20</v>
      </c>
      <c r="F795" t="s">
        <v>34</v>
      </c>
      <c r="G795" t="s">
        <v>75</v>
      </c>
      <c r="H795" t="s">
        <v>76</v>
      </c>
      <c r="I795" s="12">
        <v>0.76388888888888884</v>
      </c>
      <c r="J795" t="s">
        <v>77</v>
      </c>
      <c r="K795" t="s">
        <v>78</v>
      </c>
      <c r="L795" s="12">
        <v>0.78472222222222221</v>
      </c>
      <c r="M795" t="s">
        <v>51</v>
      </c>
      <c r="N795" s="3">
        <v>78</v>
      </c>
      <c r="O795" t="s">
        <v>24</v>
      </c>
      <c r="P795" t="s">
        <v>79</v>
      </c>
      <c r="Q795" s="16" t="s">
        <v>80</v>
      </c>
      <c r="R795">
        <f>tblDailySchedule[[#This Row],[Capacity Approx]]*'[1]Load Factor Sheet June Acft  '!$B$5</f>
        <v>63.162272727272729</v>
      </c>
      <c r="S795">
        <f>tblDailySchedule[[#This Row],[Capacity Approx]]*'[1]Load Factor Sheet June Acft  '!$D$5</f>
        <v>68.391818181818181</v>
      </c>
      <c r="T795" s="22">
        <f>tblDailySchedule[[#This Row],[STD]]</f>
        <v>0.78472222222222221</v>
      </c>
    </row>
    <row r="796" spans="1:20" hidden="1" x14ac:dyDescent="0.35">
      <c r="A796" s="11">
        <v>46138</v>
      </c>
      <c r="B796" s="3">
        <v>7</v>
      </c>
      <c r="C796" t="s">
        <v>17</v>
      </c>
      <c r="D796" t="s">
        <v>18</v>
      </c>
      <c r="E796" s="3">
        <v>21</v>
      </c>
      <c r="F796" t="s">
        <v>19</v>
      </c>
      <c r="G796" t="s">
        <v>81</v>
      </c>
      <c r="H796" t="s">
        <v>61</v>
      </c>
      <c r="I796" s="12">
        <v>0.77083333333333337</v>
      </c>
      <c r="J796" t="s">
        <v>82</v>
      </c>
      <c r="K796" t="s">
        <v>49</v>
      </c>
      <c r="L796" s="12">
        <v>0.79166666666666663</v>
      </c>
      <c r="M796" t="s">
        <v>33</v>
      </c>
      <c r="N796" s="3">
        <v>189</v>
      </c>
      <c r="O796" t="s">
        <v>24</v>
      </c>
      <c r="P796" t="s">
        <v>79</v>
      </c>
      <c r="R796">
        <f>tblDailySchedule[[#This Row],[Capacity Approx]]*'[1]Load Factor Sheet June Acft  '!$B$5</f>
        <v>153.04704545454547</v>
      </c>
      <c r="S796">
        <f>tblDailySchedule[[#This Row],[Capacity Approx]]*'[1]Load Factor Sheet June Acft  '!$D$5</f>
        <v>165.71863636363636</v>
      </c>
      <c r="T796" s="22">
        <f>tblDailySchedule[[#This Row],[STD]]</f>
        <v>0.79166666666666663</v>
      </c>
    </row>
    <row r="797" spans="1:20" hidden="1" x14ac:dyDescent="0.35">
      <c r="A797" s="11">
        <v>46138</v>
      </c>
      <c r="B797" s="3">
        <v>7</v>
      </c>
      <c r="C797" t="s">
        <v>17</v>
      </c>
      <c r="D797" t="s">
        <v>18</v>
      </c>
      <c r="E797" s="3">
        <v>22</v>
      </c>
      <c r="F797" t="s">
        <v>19</v>
      </c>
      <c r="G797" t="s">
        <v>83</v>
      </c>
      <c r="H797" t="s">
        <v>31</v>
      </c>
      <c r="I797" s="12">
        <v>0.77777777777777779</v>
      </c>
      <c r="J797" t="s">
        <v>84</v>
      </c>
      <c r="K797" t="s">
        <v>31</v>
      </c>
      <c r="L797" s="12">
        <v>0.80555555555555558</v>
      </c>
      <c r="M797" t="s">
        <v>63</v>
      </c>
      <c r="N797" s="3">
        <v>232</v>
      </c>
      <c r="O797" t="s">
        <v>24</v>
      </c>
      <c r="P797" t="s">
        <v>79</v>
      </c>
      <c r="R797">
        <f>tblDailySchedule[[#This Row],[Capacity Approx]]*'[1]Load Factor Sheet June Acft  '!$B$5</f>
        <v>187.86727272727273</v>
      </c>
      <c r="S797">
        <f>tblDailySchedule[[#This Row],[Capacity Approx]]*'[1]Load Factor Sheet June Acft  '!$D$5</f>
        <v>203.4218181818182</v>
      </c>
      <c r="T797" s="22">
        <f>tblDailySchedule[[#This Row],[STD]]</f>
        <v>0.80555555555555558</v>
      </c>
    </row>
    <row r="798" spans="1:20" hidden="1" x14ac:dyDescent="0.35">
      <c r="A798" s="11">
        <v>46138</v>
      </c>
      <c r="B798" s="3">
        <v>7</v>
      </c>
      <c r="C798" t="s">
        <v>17</v>
      </c>
      <c r="D798" t="s">
        <v>18</v>
      </c>
      <c r="E798" s="3">
        <v>23</v>
      </c>
      <c r="F798" t="s">
        <v>19</v>
      </c>
      <c r="G798" t="s">
        <v>85</v>
      </c>
      <c r="H798" t="s">
        <v>86</v>
      </c>
      <c r="I798" s="12">
        <v>0.79861111111111116</v>
      </c>
      <c r="J798" t="s">
        <v>87</v>
      </c>
      <c r="K798" t="s">
        <v>86</v>
      </c>
      <c r="L798" s="12">
        <v>0.82638888888888884</v>
      </c>
      <c r="M798" t="s">
        <v>63</v>
      </c>
      <c r="N798" s="3">
        <v>232</v>
      </c>
      <c r="O798" t="s">
        <v>24</v>
      </c>
      <c r="P798" t="s">
        <v>79</v>
      </c>
      <c r="R798">
        <f>tblDailySchedule[[#This Row],[Capacity Approx]]*'[1]Load Factor Sheet June Acft  '!$B$5</f>
        <v>187.86727272727273</v>
      </c>
      <c r="S798">
        <f>tblDailySchedule[[#This Row],[Capacity Approx]]*'[1]Load Factor Sheet June Acft  '!$D$5</f>
        <v>203.4218181818182</v>
      </c>
      <c r="T798" s="22">
        <f>tblDailySchedule[[#This Row],[STD]]</f>
        <v>0.82638888888888884</v>
      </c>
    </row>
    <row r="799" spans="1:20" hidden="1" x14ac:dyDescent="0.35">
      <c r="A799" s="11">
        <v>46138</v>
      </c>
      <c r="B799" s="3">
        <v>7</v>
      </c>
      <c r="C799" t="s">
        <v>17</v>
      </c>
      <c r="D799" t="s">
        <v>18</v>
      </c>
      <c r="E799" s="3">
        <v>24</v>
      </c>
      <c r="F799" t="s">
        <v>19</v>
      </c>
      <c r="G799" t="s">
        <v>88</v>
      </c>
      <c r="H799" t="s">
        <v>89</v>
      </c>
      <c r="I799" s="12">
        <v>0.83333333333333337</v>
      </c>
      <c r="J799" t="s">
        <v>90</v>
      </c>
      <c r="K799" t="s">
        <v>31</v>
      </c>
      <c r="L799" s="12">
        <v>0.86111111111111116</v>
      </c>
      <c r="M799" t="s">
        <v>63</v>
      </c>
      <c r="N799" s="3">
        <v>232</v>
      </c>
      <c r="O799" t="s">
        <v>24</v>
      </c>
      <c r="P799" t="s">
        <v>79</v>
      </c>
      <c r="R799">
        <f>tblDailySchedule[[#This Row],[Capacity Approx]]*'[1]Load Factor Sheet June Acft  '!$B$5</f>
        <v>187.86727272727273</v>
      </c>
      <c r="S799">
        <f>tblDailySchedule[[#This Row],[Capacity Approx]]*'[1]Load Factor Sheet June Acft  '!$D$5</f>
        <v>203.4218181818182</v>
      </c>
      <c r="T799" s="22">
        <f>tblDailySchedule[[#This Row],[STD]]</f>
        <v>0.86111111111111116</v>
      </c>
    </row>
    <row r="800" spans="1:20" hidden="1" x14ac:dyDescent="0.35">
      <c r="A800" s="11">
        <v>46138</v>
      </c>
      <c r="B800" s="3">
        <v>7</v>
      </c>
      <c r="C800" t="s">
        <v>17</v>
      </c>
      <c r="D800" t="s">
        <v>18</v>
      </c>
      <c r="E800" s="3">
        <v>25</v>
      </c>
      <c r="F800" t="s">
        <v>19</v>
      </c>
      <c r="G800" t="s">
        <v>91</v>
      </c>
      <c r="H800" t="s">
        <v>61</v>
      </c>
      <c r="I800" s="12">
        <v>0.85416666666666663</v>
      </c>
      <c r="J800" t="s">
        <v>92</v>
      </c>
      <c r="K800" t="s">
        <v>61</v>
      </c>
      <c r="L800" s="12">
        <v>0.88194444444444442</v>
      </c>
      <c r="M800" t="s">
        <v>63</v>
      </c>
      <c r="N800" s="3">
        <v>232</v>
      </c>
      <c r="O800" t="s">
        <v>24</v>
      </c>
      <c r="P800" t="s">
        <v>79</v>
      </c>
      <c r="R800">
        <f>tblDailySchedule[[#This Row],[Capacity Approx]]*'[1]Load Factor Sheet June Acft  '!$B$5</f>
        <v>187.86727272727273</v>
      </c>
      <c r="S800">
        <f>tblDailySchedule[[#This Row],[Capacity Approx]]*'[1]Load Factor Sheet June Acft  '!$D$5</f>
        <v>203.4218181818182</v>
      </c>
      <c r="T800" s="22">
        <f>tblDailySchedule[[#This Row],[STD]]</f>
        <v>0.88194444444444442</v>
      </c>
    </row>
    <row r="801" spans="1:20" hidden="1" x14ac:dyDescent="0.35">
      <c r="A801" s="11">
        <v>46138</v>
      </c>
      <c r="B801" s="3">
        <v>7</v>
      </c>
      <c r="C801" t="s">
        <v>17</v>
      </c>
      <c r="D801" t="s">
        <v>18</v>
      </c>
      <c r="E801" s="3">
        <v>26</v>
      </c>
      <c r="F801" t="s">
        <v>19</v>
      </c>
      <c r="G801" t="s">
        <v>93</v>
      </c>
      <c r="H801" t="s">
        <v>31</v>
      </c>
      <c r="I801" s="12">
        <v>0.86111111111111116</v>
      </c>
      <c r="J801" t="s">
        <v>94</v>
      </c>
      <c r="K801" t="s">
        <v>31</v>
      </c>
      <c r="L801" s="12">
        <v>0.88888888888888884</v>
      </c>
      <c r="M801" t="s">
        <v>23</v>
      </c>
      <c r="N801" s="3">
        <v>186</v>
      </c>
      <c r="O801" t="s">
        <v>24</v>
      </c>
      <c r="P801" t="s">
        <v>79</v>
      </c>
      <c r="R801">
        <f>tblDailySchedule[[#This Row],[Capacity Approx]]*'[1]Load Factor Sheet June Acft  '!$B$5</f>
        <v>150.61772727272728</v>
      </c>
      <c r="S801">
        <f>tblDailySchedule[[#This Row],[Capacity Approx]]*'[1]Load Factor Sheet June Acft  '!$D$5</f>
        <v>163.08818181818182</v>
      </c>
      <c r="T801" s="22">
        <f>tblDailySchedule[[#This Row],[STD]]</f>
        <v>0.88888888888888884</v>
      </c>
    </row>
    <row r="802" spans="1:20" hidden="1" x14ac:dyDescent="0.35">
      <c r="A802" s="11">
        <v>46138</v>
      </c>
      <c r="B802" s="3">
        <v>7</v>
      </c>
      <c r="C802" t="s">
        <v>17</v>
      </c>
      <c r="D802" t="s">
        <v>18</v>
      </c>
      <c r="E802" s="3">
        <v>27</v>
      </c>
      <c r="F802" t="s">
        <v>19</v>
      </c>
      <c r="G802" t="s">
        <v>95</v>
      </c>
      <c r="H802" t="s">
        <v>21</v>
      </c>
      <c r="I802" s="12">
        <v>0.86805555555555558</v>
      </c>
      <c r="J802" t="s">
        <v>96</v>
      </c>
      <c r="K802" t="s">
        <v>21</v>
      </c>
      <c r="L802" s="12">
        <v>0.89583333333333337</v>
      </c>
      <c r="M802" t="s">
        <v>29</v>
      </c>
      <c r="N802" s="3">
        <v>186</v>
      </c>
      <c r="O802" t="s">
        <v>24</v>
      </c>
      <c r="P802" t="s">
        <v>79</v>
      </c>
      <c r="R802">
        <f>tblDailySchedule[[#This Row],[Capacity Approx]]*'[1]Load Factor Sheet June Acft  '!$B$5</f>
        <v>150.61772727272728</v>
      </c>
      <c r="S802">
        <f>tblDailySchedule[[#This Row],[Capacity Approx]]*'[1]Load Factor Sheet June Acft  '!$D$5</f>
        <v>163.08818181818182</v>
      </c>
      <c r="T802" s="22">
        <f>tblDailySchedule[[#This Row],[STD]]</f>
        <v>0.89583333333333337</v>
      </c>
    </row>
    <row r="803" spans="1:20" hidden="1" x14ac:dyDescent="0.35">
      <c r="A803" s="11">
        <v>46138</v>
      </c>
      <c r="B803" s="3">
        <v>7</v>
      </c>
      <c r="C803" t="s">
        <v>17</v>
      </c>
      <c r="D803" t="s">
        <v>18</v>
      </c>
      <c r="E803" s="3">
        <v>28</v>
      </c>
      <c r="F803" t="s">
        <v>19</v>
      </c>
      <c r="G803" t="s">
        <v>97</v>
      </c>
      <c r="H803" t="s">
        <v>49</v>
      </c>
      <c r="I803" s="12">
        <v>0.90277777777777779</v>
      </c>
      <c r="J803" t="s">
        <v>97</v>
      </c>
      <c r="K803" t="s">
        <v>61</v>
      </c>
      <c r="L803" s="12">
        <v>0.92361111111111116</v>
      </c>
      <c r="M803" t="s">
        <v>33</v>
      </c>
      <c r="N803" s="3">
        <v>189</v>
      </c>
      <c r="O803" t="s">
        <v>24</v>
      </c>
      <c r="P803" t="s">
        <v>79</v>
      </c>
      <c r="R803">
        <f>tblDailySchedule[[#This Row],[Capacity Approx]]*'[1]Load Factor Sheet June Acft  '!$B$5</f>
        <v>153.04704545454547</v>
      </c>
      <c r="S803">
        <f>tblDailySchedule[[#This Row],[Capacity Approx]]*'[1]Load Factor Sheet June Acft  '!$D$5</f>
        <v>165.71863636363636</v>
      </c>
      <c r="T803" s="22">
        <f>tblDailySchedule[[#This Row],[STD]]</f>
        <v>0.92361111111111116</v>
      </c>
    </row>
    <row r="804" spans="1:20" hidden="1" x14ac:dyDescent="0.35">
      <c r="A804" s="11">
        <v>46138</v>
      </c>
      <c r="B804" s="3">
        <v>7</v>
      </c>
      <c r="C804" t="s">
        <v>17</v>
      </c>
      <c r="D804" t="s">
        <v>18</v>
      </c>
      <c r="E804" s="3">
        <v>29</v>
      </c>
      <c r="F804" t="s">
        <v>19</v>
      </c>
      <c r="G804" t="s">
        <v>98</v>
      </c>
      <c r="H804" t="s">
        <v>21</v>
      </c>
      <c r="I804" s="12">
        <v>0.92013888888888884</v>
      </c>
      <c r="J804" t="s">
        <v>99</v>
      </c>
      <c r="K804" t="s">
        <v>21</v>
      </c>
      <c r="L804" s="12">
        <v>0.94791666666666663</v>
      </c>
      <c r="M804" t="s">
        <v>63</v>
      </c>
      <c r="N804" s="3">
        <v>232</v>
      </c>
      <c r="O804" t="s">
        <v>24</v>
      </c>
      <c r="P804" t="s">
        <v>79</v>
      </c>
      <c r="R804">
        <f>tblDailySchedule[[#This Row],[Capacity Approx]]*'[1]Load Factor Sheet June Acft  '!$B$5</f>
        <v>187.86727272727273</v>
      </c>
      <c r="S804">
        <f>tblDailySchedule[[#This Row],[Capacity Approx]]*'[1]Load Factor Sheet June Acft  '!$D$5</f>
        <v>203.4218181818182</v>
      </c>
      <c r="T804" s="22">
        <f>tblDailySchedule[[#This Row],[STD]]</f>
        <v>0.94791666666666663</v>
      </c>
    </row>
    <row r="805" spans="1:20" hidden="1" x14ac:dyDescent="0.35">
      <c r="A805" s="11">
        <v>46139</v>
      </c>
      <c r="B805" s="3">
        <v>1</v>
      </c>
      <c r="C805" t="s">
        <v>100</v>
      </c>
      <c r="D805" t="s">
        <v>18</v>
      </c>
      <c r="E805" s="3">
        <v>1</v>
      </c>
      <c r="F805" t="s">
        <v>101</v>
      </c>
      <c r="G805" t="s">
        <v>102</v>
      </c>
      <c r="H805" t="s">
        <v>61</v>
      </c>
      <c r="I805" s="12">
        <v>0.3125</v>
      </c>
      <c r="J805" t="s">
        <v>103</v>
      </c>
      <c r="K805" t="s">
        <v>61</v>
      </c>
      <c r="L805" s="12">
        <v>0.33333333333333331</v>
      </c>
      <c r="M805" t="s">
        <v>33</v>
      </c>
      <c r="N805" s="3">
        <v>189</v>
      </c>
      <c r="O805" t="s">
        <v>24</v>
      </c>
      <c r="P805" t="s">
        <v>25</v>
      </c>
      <c r="R805">
        <f>tblDailySchedule[[#This Row],[Capacity Approx]]*'[1]Load Factor Sheet June Acft  '!$B$5</f>
        <v>153.04704545454547</v>
      </c>
      <c r="S805">
        <f>tblDailySchedule[[#This Row],[Capacity Approx]]*'[1]Load Factor Sheet June Acft  '!$D$5</f>
        <v>165.71863636363636</v>
      </c>
      <c r="T805" s="22">
        <f>tblDailySchedule[[#This Row],[STD]]</f>
        <v>0.33333333333333331</v>
      </c>
    </row>
    <row r="806" spans="1:20" hidden="1" x14ac:dyDescent="0.35">
      <c r="A806" s="11">
        <v>46139</v>
      </c>
      <c r="B806" s="3">
        <v>1</v>
      </c>
      <c r="C806" t="s">
        <v>100</v>
      </c>
      <c r="D806" t="s">
        <v>18</v>
      </c>
      <c r="E806" s="3">
        <v>2</v>
      </c>
      <c r="F806" t="s">
        <v>19</v>
      </c>
      <c r="G806" t="s">
        <v>20</v>
      </c>
      <c r="H806" t="s">
        <v>21</v>
      </c>
      <c r="I806" s="12">
        <v>0.31944444444444442</v>
      </c>
      <c r="J806" t="s">
        <v>22</v>
      </c>
      <c r="K806" t="s">
        <v>21</v>
      </c>
      <c r="L806" s="12">
        <v>0.34722222222222221</v>
      </c>
      <c r="M806" t="s">
        <v>23</v>
      </c>
      <c r="N806" s="3">
        <v>186</v>
      </c>
      <c r="O806" t="s">
        <v>24</v>
      </c>
      <c r="P806" t="s">
        <v>25</v>
      </c>
      <c r="R806">
        <f>tblDailySchedule[[#This Row],[Capacity Approx]]*'[1]Load Factor Sheet June Acft  '!$B$5</f>
        <v>150.61772727272728</v>
      </c>
      <c r="S806">
        <f>tblDailySchedule[[#This Row],[Capacity Approx]]*'[1]Load Factor Sheet June Acft  '!$D$5</f>
        <v>163.08818181818182</v>
      </c>
      <c r="T806" s="22">
        <f>tblDailySchedule[[#This Row],[STD]]</f>
        <v>0.34722222222222221</v>
      </c>
    </row>
    <row r="807" spans="1:20" hidden="1" x14ac:dyDescent="0.35">
      <c r="A807" s="11">
        <v>46139</v>
      </c>
      <c r="B807" s="3">
        <v>1</v>
      </c>
      <c r="C807" t="s">
        <v>100</v>
      </c>
      <c r="D807" t="s">
        <v>18</v>
      </c>
      <c r="E807" s="3">
        <v>3</v>
      </c>
      <c r="F807" t="s">
        <v>19</v>
      </c>
      <c r="G807" t="s">
        <v>26</v>
      </c>
      <c r="H807" t="s">
        <v>27</v>
      </c>
      <c r="I807" s="12">
        <v>0.3263888888888889</v>
      </c>
      <c r="J807" t="s">
        <v>28</v>
      </c>
      <c r="K807" t="s">
        <v>27</v>
      </c>
      <c r="L807" s="12">
        <v>0.35416666666666669</v>
      </c>
      <c r="M807" t="s">
        <v>29</v>
      </c>
      <c r="N807" s="3">
        <v>186</v>
      </c>
      <c r="O807" t="s">
        <v>24</v>
      </c>
      <c r="P807" t="s">
        <v>25</v>
      </c>
      <c r="R807">
        <f>tblDailySchedule[[#This Row],[Capacity Approx]]*'[1]Load Factor Sheet June Acft  '!$B$5</f>
        <v>150.61772727272728</v>
      </c>
      <c r="S807">
        <f>tblDailySchedule[[#This Row],[Capacity Approx]]*'[1]Load Factor Sheet June Acft  '!$D$5</f>
        <v>163.08818181818182</v>
      </c>
      <c r="T807" s="22">
        <f>tblDailySchedule[[#This Row],[STD]]</f>
        <v>0.35416666666666669</v>
      </c>
    </row>
    <row r="808" spans="1:20" hidden="1" x14ac:dyDescent="0.35">
      <c r="A808" s="11">
        <v>46139</v>
      </c>
      <c r="B808" s="3">
        <v>1</v>
      </c>
      <c r="C808" t="s">
        <v>100</v>
      </c>
      <c r="D808" t="s">
        <v>18</v>
      </c>
      <c r="E808" s="3">
        <v>4</v>
      </c>
      <c r="F808" t="s">
        <v>19</v>
      </c>
      <c r="G808" t="s">
        <v>30</v>
      </c>
      <c r="H808" t="s">
        <v>31</v>
      </c>
      <c r="I808" s="12">
        <v>0.34722222222222221</v>
      </c>
      <c r="J808" t="s">
        <v>32</v>
      </c>
      <c r="K808" t="s">
        <v>31</v>
      </c>
      <c r="L808" s="12">
        <v>0.36805555555555558</v>
      </c>
      <c r="M808" t="s">
        <v>33</v>
      </c>
      <c r="N808" s="3">
        <v>189</v>
      </c>
      <c r="O808" t="s">
        <v>24</v>
      </c>
      <c r="P808" t="s">
        <v>25</v>
      </c>
      <c r="R808">
        <f>tblDailySchedule[[#This Row],[Capacity Approx]]*'[1]Load Factor Sheet June Acft  '!$B$5</f>
        <v>153.04704545454547</v>
      </c>
      <c r="S808">
        <f>tblDailySchedule[[#This Row],[Capacity Approx]]*'[1]Load Factor Sheet June Acft  '!$D$5</f>
        <v>165.71863636363636</v>
      </c>
      <c r="T808" s="22">
        <f>tblDailySchedule[[#This Row],[STD]]</f>
        <v>0.36805555555555558</v>
      </c>
    </row>
    <row r="809" spans="1:20" hidden="1" x14ac:dyDescent="0.35">
      <c r="A809" s="13">
        <v>46139</v>
      </c>
      <c r="B809" s="7">
        <v>1</v>
      </c>
      <c r="C809" s="14" t="s">
        <v>100</v>
      </c>
      <c r="D809" s="14" t="s">
        <v>18</v>
      </c>
      <c r="E809" s="7">
        <v>6</v>
      </c>
      <c r="F809" s="14" t="s">
        <v>34</v>
      </c>
      <c r="G809" s="14" t="s">
        <v>35</v>
      </c>
      <c r="H809" s="14" t="s">
        <v>36</v>
      </c>
      <c r="I809" s="15">
        <v>0.34722222222222221</v>
      </c>
      <c r="J809" s="14" t="s">
        <v>37</v>
      </c>
      <c r="K809" s="14" t="s">
        <v>36</v>
      </c>
      <c r="L809" s="15">
        <v>0.40972222222222221</v>
      </c>
      <c r="M809" s="14" t="s">
        <v>38</v>
      </c>
      <c r="N809" s="7">
        <v>186</v>
      </c>
      <c r="O809" s="14" t="s">
        <v>39</v>
      </c>
      <c r="P809" s="14" t="s">
        <v>25</v>
      </c>
      <c r="Q809" s="14" t="s">
        <v>39</v>
      </c>
      <c r="R809">
        <f>tblDailySchedule[[#This Row],[Capacity Approx]]*'[1]Load Factor Sheet June Acft  '!$B$5</f>
        <v>150.61772727272728</v>
      </c>
      <c r="S809">
        <f>tblDailySchedule[[#This Row],[Capacity Approx]]*'[1]Load Factor Sheet June Acft  '!$D$5</f>
        <v>163.08818181818182</v>
      </c>
      <c r="T809" s="22">
        <f>tblDailySchedule[[#This Row],[STD]]</f>
        <v>0.40972222222222221</v>
      </c>
    </row>
    <row r="810" spans="1:20" hidden="1" x14ac:dyDescent="0.35">
      <c r="A810" s="11">
        <v>46139</v>
      </c>
      <c r="B810" s="3">
        <v>1</v>
      </c>
      <c r="C810" t="s">
        <v>100</v>
      </c>
      <c r="D810" t="s">
        <v>18</v>
      </c>
      <c r="E810" s="3">
        <v>5</v>
      </c>
      <c r="F810" t="s">
        <v>19</v>
      </c>
      <c r="G810" t="s">
        <v>40</v>
      </c>
      <c r="H810" t="s">
        <v>31</v>
      </c>
      <c r="I810" s="12">
        <v>0.35069444444444442</v>
      </c>
      <c r="J810" t="s">
        <v>41</v>
      </c>
      <c r="K810" t="s">
        <v>31</v>
      </c>
      <c r="L810" s="12">
        <v>0.37152777777777779</v>
      </c>
      <c r="M810" t="s">
        <v>23</v>
      </c>
      <c r="N810" s="3">
        <v>186</v>
      </c>
      <c r="O810" t="s">
        <v>24</v>
      </c>
      <c r="P810" t="s">
        <v>25</v>
      </c>
      <c r="R810">
        <f>tblDailySchedule[[#This Row],[Capacity Approx]]*'[1]Load Factor Sheet June Acft  '!$B$5</f>
        <v>150.61772727272728</v>
      </c>
      <c r="S810">
        <f>tblDailySchedule[[#This Row],[Capacity Approx]]*'[1]Load Factor Sheet June Acft  '!$D$5</f>
        <v>163.08818181818182</v>
      </c>
      <c r="T810" s="22">
        <f>tblDailySchedule[[#This Row],[STD]]</f>
        <v>0.37152777777777779</v>
      </c>
    </row>
    <row r="811" spans="1:20" hidden="1" x14ac:dyDescent="0.35">
      <c r="A811" s="11">
        <v>46139</v>
      </c>
      <c r="B811" s="3">
        <v>1</v>
      </c>
      <c r="C811" t="s">
        <v>100</v>
      </c>
      <c r="D811" t="s">
        <v>18</v>
      </c>
      <c r="E811" s="3">
        <v>7</v>
      </c>
      <c r="F811" t="s">
        <v>19</v>
      </c>
      <c r="G811" t="s">
        <v>42</v>
      </c>
      <c r="H811" t="s">
        <v>43</v>
      </c>
      <c r="I811" s="12">
        <v>0.3923611111111111</v>
      </c>
      <c r="J811" t="s">
        <v>44</v>
      </c>
      <c r="K811" t="s">
        <v>43</v>
      </c>
      <c r="L811" s="12">
        <v>0.40277777777777779</v>
      </c>
      <c r="M811" t="s">
        <v>45</v>
      </c>
      <c r="N811" s="3">
        <v>9</v>
      </c>
      <c r="O811" t="s">
        <v>24</v>
      </c>
      <c r="P811" t="s">
        <v>25</v>
      </c>
      <c r="R811">
        <f>tblDailySchedule[[#This Row],[Capacity Approx]]*'[1]Load Factor Sheet June Acft  '!$B$5</f>
        <v>7.2879545454545456</v>
      </c>
      <c r="S811">
        <f>tblDailySchedule[[#This Row],[Capacity Approx]]*'[1]Load Factor Sheet June Acft  '!$D$5</f>
        <v>7.8913636363636366</v>
      </c>
      <c r="T811" s="22">
        <f>tblDailySchedule[[#This Row],[STD]]</f>
        <v>0.40277777777777779</v>
      </c>
    </row>
    <row r="812" spans="1:20" hidden="1" x14ac:dyDescent="0.35">
      <c r="A812" s="11">
        <v>46139</v>
      </c>
      <c r="B812" s="3">
        <v>1</v>
      </c>
      <c r="C812" t="s">
        <v>100</v>
      </c>
      <c r="D812" t="s">
        <v>18</v>
      </c>
      <c r="E812" s="3">
        <v>8</v>
      </c>
      <c r="F812" t="s">
        <v>19</v>
      </c>
      <c r="G812" t="s">
        <v>46</v>
      </c>
      <c r="H812" t="s">
        <v>31</v>
      </c>
      <c r="I812" s="12">
        <v>0.4201388888888889</v>
      </c>
      <c r="J812" t="s">
        <v>47</v>
      </c>
      <c r="K812" t="s">
        <v>31</v>
      </c>
      <c r="L812" s="12">
        <v>0.44444444444444442</v>
      </c>
      <c r="M812" t="s">
        <v>29</v>
      </c>
      <c r="N812" s="3">
        <v>186</v>
      </c>
      <c r="O812" t="s">
        <v>24</v>
      </c>
      <c r="P812" t="s">
        <v>25</v>
      </c>
      <c r="R812">
        <f>tblDailySchedule[[#This Row],[Capacity Approx]]*'[1]Load Factor Sheet June Acft  '!$B$5</f>
        <v>150.61772727272728</v>
      </c>
      <c r="S812">
        <f>tblDailySchedule[[#This Row],[Capacity Approx]]*'[1]Load Factor Sheet June Acft  '!$D$5</f>
        <v>163.08818181818182</v>
      </c>
      <c r="T812" s="22">
        <f>tblDailySchedule[[#This Row],[STD]]</f>
        <v>0.44444444444444442</v>
      </c>
    </row>
    <row r="813" spans="1:20" hidden="1" x14ac:dyDescent="0.35">
      <c r="A813" s="11">
        <v>46139</v>
      </c>
      <c r="B813" s="3">
        <v>1</v>
      </c>
      <c r="C813" t="s">
        <v>100</v>
      </c>
      <c r="D813" t="s">
        <v>18</v>
      </c>
      <c r="E813" s="3">
        <v>9</v>
      </c>
      <c r="F813" t="s">
        <v>19</v>
      </c>
      <c r="G813" t="s">
        <v>48</v>
      </c>
      <c r="H813" t="s">
        <v>49</v>
      </c>
      <c r="I813" s="12">
        <v>0.4375</v>
      </c>
      <c r="J813" t="s">
        <v>50</v>
      </c>
      <c r="K813" t="s">
        <v>49</v>
      </c>
      <c r="L813" s="12">
        <v>0.45833333333333331</v>
      </c>
      <c r="M813" t="s">
        <v>51</v>
      </c>
      <c r="N813" s="3">
        <v>78</v>
      </c>
      <c r="O813" t="s">
        <v>24</v>
      </c>
      <c r="P813" t="s">
        <v>25</v>
      </c>
      <c r="R813">
        <f>tblDailySchedule[[#This Row],[Capacity Approx]]*'[1]Load Factor Sheet June Acft  '!$B$5</f>
        <v>63.162272727272729</v>
      </c>
      <c r="S813">
        <f>tblDailySchedule[[#This Row],[Capacity Approx]]*'[1]Load Factor Sheet June Acft  '!$D$5</f>
        <v>68.391818181818181</v>
      </c>
      <c r="T813" s="22">
        <f>tblDailySchedule[[#This Row],[STD]]</f>
        <v>0.45833333333333331</v>
      </c>
    </row>
    <row r="814" spans="1:20" hidden="1" x14ac:dyDescent="0.35">
      <c r="A814" s="11">
        <v>46139</v>
      </c>
      <c r="B814" s="3">
        <v>1</v>
      </c>
      <c r="C814" t="s">
        <v>100</v>
      </c>
      <c r="D814" t="s">
        <v>18</v>
      </c>
      <c r="E814" s="3">
        <v>10</v>
      </c>
      <c r="F814" t="s">
        <v>19</v>
      </c>
      <c r="G814" t="s">
        <v>52</v>
      </c>
      <c r="H814" t="s">
        <v>27</v>
      </c>
      <c r="I814" s="12">
        <v>0.4826388888888889</v>
      </c>
      <c r="J814" t="s">
        <v>53</v>
      </c>
      <c r="K814" t="s">
        <v>27</v>
      </c>
      <c r="L814" s="12">
        <v>0.51041666666666663</v>
      </c>
      <c r="M814" t="s">
        <v>23</v>
      </c>
      <c r="N814" s="3">
        <v>186</v>
      </c>
      <c r="O814" t="s">
        <v>24</v>
      </c>
      <c r="P814" t="s">
        <v>25</v>
      </c>
      <c r="R814">
        <f>tblDailySchedule[[#This Row],[Capacity Approx]]*'[1]Load Factor Sheet June Acft  '!$B$5</f>
        <v>150.61772727272728</v>
      </c>
      <c r="S814">
        <f>tblDailySchedule[[#This Row],[Capacity Approx]]*'[1]Load Factor Sheet June Acft  '!$D$5</f>
        <v>163.08818181818182</v>
      </c>
      <c r="T814" s="22">
        <f>tblDailySchedule[[#This Row],[STD]]</f>
        <v>0.51041666666666663</v>
      </c>
    </row>
    <row r="815" spans="1:20" hidden="1" x14ac:dyDescent="0.35">
      <c r="A815" s="11">
        <v>46139</v>
      </c>
      <c r="B815" s="3">
        <v>1</v>
      </c>
      <c r="C815" t="s">
        <v>100</v>
      </c>
      <c r="D815" t="s">
        <v>18</v>
      </c>
      <c r="E815" s="3">
        <v>11</v>
      </c>
      <c r="F815" t="s">
        <v>19</v>
      </c>
      <c r="G815" t="s">
        <v>54</v>
      </c>
      <c r="H815" t="s">
        <v>31</v>
      </c>
      <c r="I815" s="12">
        <v>0.51388888888888884</v>
      </c>
      <c r="J815" t="s">
        <v>55</v>
      </c>
      <c r="K815" t="s">
        <v>31</v>
      </c>
      <c r="L815" s="12">
        <v>0.54166666666666663</v>
      </c>
      <c r="M815" t="s">
        <v>23</v>
      </c>
      <c r="N815" s="3">
        <v>186</v>
      </c>
      <c r="O815" t="s">
        <v>24</v>
      </c>
      <c r="P815" t="s">
        <v>56</v>
      </c>
      <c r="R815">
        <f>tblDailySchedule[[#This Row],[Capacity Approx]]*'[1]Load Factor Sheet June Acft  '!$B$5</f>
        <v>150.61772727272728</v>
      </c>
      <c r="S815">
        <f>tblDailySchedule[[#This Row],[Capacity Approx]]*'[1]Load Factor Sheet June Acft  '!$D$5</f>
        <v>163.08818181818182</v>
      </c>
      <c r="T815" s="22">
        <f>tblDailySchedule[[#This Row],[STD]]</f>
        <v>0.54166666666666663</v>
      </c>
    </row>
    <row r="816" spans="1:20" hidden="1" x14ac:dyDescent="0.35">
      <c r="A816" s="11">
        <v>46139</v>
      </c>
      <c r="B816" s="3">
        <v>1</v>
      </c>
      <c r="C816" t="s">
        <v>100</v>
      </c>
      <c r="D816" t="s">
        <v>18</v>
      </c>
      <c r="E816" s="3">
        <v>13</v>
      </c>
      <c r="F816" t="s">
        <v>19</v>
      </c>
      <c r="G816" t="s">
        <v>57</v>
      </c>
      <c r="H816" t="s">
        <v>58</v>
      </c>
      <c r="I816" s="12">
        <v>0.55902777777777779</v>
      </c>
      <c r="J816" t="s">
        <v>59</v>
      </c>
      <c r="K816" t="s">
        <v>58</v>
      </c>
      <c r="L816" s="12">
        <v>0.57638888888888884</v>
      </c>
      <c r="M816" t="s">
        <v>51</v>
      </c>
      <c r="N816" s="3">
        <v>78</v>
      </c>
      <c r="O816" t="s">
        <v>24</v>
      </c>
      <c r="P816" t="s">
        <v>56</v>
      </c>
      <c r="R816">
        <f>tblDailySchedule[[#This Row],[Capacity Approx]]*'[1]Load Factor Sheet June Acft  '!$B$5</f>
        <v>63.162272727272729</v>
      </c>
      <c r="S816">
        <f>tblDailySchedule[[#This Row],[Capacity Approx]]*'[1]Load Factor Sheet June Acft  '!$D$5</f>
        <v>68.391818181818181</v>
      </c>
      <c r="T816" s="22">
        <f>tblDailySchedule[[#This Row],[STD]]</f>
        <v>0.57638888888888884</v>
      </c>
    </row>
    <row r="817" spans="1:20" hidden="1" x14ac:dyDescent="0.35">
      <c r="A817" s="11">
        <v>46139</v>
      </c>
      <c r="B817" s="3">
        <v>1</v>
      </c>
      <c r="C817" t="s">
        <v>100</v>
      </c>
      <c r="D817" t="s">
        <v>18</v>
      </c>
      <c r="E817" s="3">
        <v>14</v>
      </c>
      <c r="F817" t="s">
        <v>19</v>
      </c>
      <c r="G817" t="s">
        <v>60</v>
      </c>
      <c r="H817" t="s">
        <v>61</v>
      </c>
      <c r="I817" s="12">
        <v>0.59027777777777779</v>
      </c>
      <c r="J817" t="s">
        <v>62</v>
      </c>
      <c r="K817" t="s">
        <v>61</v>
      </c>
      <c r="L817" s="12">
        <v>0.62152777777777779</v>
      </c>
      <c r="M817" t="s">
        <v>63</v>
      </c>
      <c r="N817" s="3">
        <v>232</v>
      </c>
      <c r="O817" t="s">
        <v>24</v>
      </c>
      <c r="P817" t="s">
        <v>56</v>
      </c>
      <c r="R817">
        <f>tblDailySchedule[[#This Row],[Capacity Approx]]*'[1]Load Factor Sheet June Acft  '!$B$5</f>
        <v>187.86727272727273</v>
      </c>
      <c r="S817">
        <f>tblDailySchedule[[#This Row],[Capacity Approx]]*'[1]Load Factor Sheet June Acft  '!$D$5</f>
        <v>203.4218181818182</v>
      </c>
      <c r="T817" s="22">
        <f>tblDailySchedule[[#This Row],[STD]]</f>
        <v>0.62152777777777779</v>
      </c>
    </row>
    <row r="818" spans="1:20" hidden="1" x14ac:dyDescent="0.35">
      <c r="A818" s="11">
        <v>46139</v>
      </c>
      <c r="B818" s="3">
        <v>1</v>
      </c>
      <c r="C818" t="s">
        <v>100</v>
      </c>
      <c r="D818" t="s">
        <v>18</v>
      </c>
      <c r="E818" s="3">
        <v>15</v>
      </c>
      <c r="F818" t="s">
        <v>19</v>
      </c>
      <c r="G818" t="s">
        <v>64</v>
      </c>
      <c r="H818" t="s">
        <v>31</v>
      </c>
      <c r="I818" s="12">
        <v>0.60069444444444442</v>
      </c>
      <c r="J818" t="s">
        <v>65</v>
      </c>
      <c r="K818" t="s">
        <v>66</v>
      </c>
      <c r="L818" s="12">
        <v>0.62847222222222221</v>
      </c>
      <c r="M818" t="s">
        <v>63</v>
      </c>
      <c r="N818" s="3">
        <v>232</v>
      </c>
      <c r="O818" t="s">
        <v>24</v>
      </c>
      <c r="P818" t="s">
        <v>56</v>
      </c>
      <c r="R818">
        <f>tblDailySchedule[[#This Row],[Capacity Approx]]*'[1]Load Factor Sheet June Acft  '!$B$5</f>
        <v>187.86727272727273</v>
      </c>
      <c r="S818">
        <f>tblDailySchedule[[#This Row],[Capacity Approx]]*'[1]Load Factor Sheet June Acft  '!$D$5</f>
        <v>203.4218181818182</v>
      </c>
      <c r="T818" s="22">
        <f>tblDailySchedule[[#This Row],[STD]]</f>
        <v>0.62847222222222221</v>
      </c>
    </row>
    <row r="819" spans="1:20" hidden="1" x14ac:dyDescent="0.35">
      <c r="A819" s="11">
        <v>46139</v>
      </c>
      <c r="B819" s="3">
        <v>1</v>
      </c>
      <c r="C819" t="s">
        <v>100</v>
      </c>
      <c r="D819" t="s">
        <v>18</v>
      </c>
      <c r="E819" s="3">
        <v>16</v>
      </c>
      <c r="F819" t="s">
        <v>19</v>
      </c>
      <c r="G819" t="s">
        <v>67</v>
      </c>
      <c r="H819" t="s">
        <v>31</v>
      </c>
      <c r="I819" s="12">
        <v>0.65625</v>
      </c>
      <c r="J819" t="s">
        <v>68</v>
      </c>
      <c r="K819" t="s">
        <v>31</v>
      </c>
      <c r="L819" s="12">
        <v>0.68402777777777779</v>
      </c>
      <c r="M819" t="s">
        <v>63</v>
      </c>
      <c r="N819" s="3">
        <v>232</v>
      </c>
      <c r="O819" t="s">
        <v>24</v>
      </c>
      <c r="P819" t="s">
        <v>56</v>
      </c>
      <c r="R819">
        <f>tblDailySchedule[[#This Row],[Capacity Approx]]*'[1]Load Factor Sheet June Acft  '!$B$5</f>
        <v>187.86727272727273</v>
      </c>
      <c r="S819">
        <f>tblDailySchedule[[#This Row],[Capacity Approx]]*'[1]Load Factor Sheet June Acft  '!$D$5</f>
        <v>203.4218181818182</v>
      </c>
      <c r="T819" s="22">
        <f>tblDailySchedule[[#This Row],[STD]]</f>
        <v>0.68402777777777779</v>
      </c>
    </row>
    <row r="820" spans="1:20" hidden="1" x14ac:dyDescent="0.35">
      <c r="A820" s="11">
        <v>46139</v>
      </c>
      <c r="B820" s="3">
        <v>1</v>
      </c>
      <c r="C820" t="s">
        <v>100</v>
      </c>
      <c r="D820" t="s">
        <v>18</v>
      </c>
      <c r="E820" s="3">
        <v>17</v>
      </c>
      <c r="F820" t="s">
        <v>19</v>
      </c>
      <c r="G820" t="s">
        <v>69</v>
      </c>
      <c r="H820" t="s">
        <v>31</v>
      </c>
      <c r="I820" s="12">
        <v>0.66319444444444442</v>
      </c>
      <c r="J820" t="s">
        <v>70</v>
      </c>
      <c r="K820" t="s">
        <v>31</v>
      </c>
      <c r="L820" s="12">
        <v>0.69097222222222221</v>
      </c>
      <c r="M820" t="s">
        <v>33</v>
      </c>
      <c r="N820" s="3">
        <v>189</v>
      </c>
      <c r="O820" t="s">
        <v>24</v>
      </c>
      <c r="P820" t="s">
        <v>56</v>
      </c>
      <c r="R820">
        <f>tblDailySchedule[[#This Row],[Capacity Approx]]*'[1]Load Factor Sheet June Acft  '!$B$5</f>
        <v>153.04704545454547</v>
      </c>
      <c r="S820">
        <f>tblDailySchedule[[#This Row],[Capacity Approx]]*'[1]Load Factor Sheet June Acft  '!$D$5</f>
        <v>165.71863636363636</v>
      </c>
      <c r="T820" s="22">
        <f>tblDailySchedule[[#This Row],[STD]]</f>
        <v>0.69097222222222221</v>
      </c>
    </row>
    <row r="821" spans="1:20" hidden="1" x14ac:dyDescent="0.35">
      <c r="A821" s="11">
        <v>46139</v>
      </c>
      <c r="B821" s="3">
        <v>1</v>
      </c>
      <c r="C821" t="s">
        <v>100</v>
      </c>
      <c r="D821" t="s">
        <v>18</v>
      </c>
      <c r="E821" s="3">
        <v>18</v>
      </c>
      <c r="F821" t="s">
        <v>19</v>
      </c>
      <c r="G821" t="s">
        <v>71</v>
      </c>
      <c r="H821" t="s">
        <v>21</v>
      </c>
      <c r="I821" s="12">
        <v>0.67013888888888884</v>
      </c>
      <c r="J821" t="s">
        <v>72</v>
      </c>
      <c r="K821" t="s">
        <v>21</v>
      </c>
      <c r="L821" s="12">
        <v>0.69791666666666663</v>
      </c>
      <c r="M821" t="s">
        <v>63</v>
      </c>
      <c r="N821" s="3">
        <v>232</v>
      </c>
      <c r="O821" t="s">
        <v>24</v>
      </c>
      <c r="P821" t="s">
        <v>56</v>
      </c>
      <c r="R821">
        <f>tblDailySchedule[[#This Row],[Capacity Approx]]*'[1]Load Factor Sheet June Acft  '!$B$5</f>
        <v>187.86727272727273</v>
      </c>
      <c r="S821">
        <f>tblDailySchedule[[#This Row],[Capacity Approx]]*'[1]Load Factor Sheet June Acft  '!$D$5</f>
        <v>203.4218181818182</v>
      </c>
      <c r="T821" s="22">
        <f>tblDailySchedule[[#This Row],[STD]]</f>
        <v>0.69791666666666663</v>
      </c>
    </row>
    <row r="822" spans="1:20" hidden="1" x14ac:dyDescent="0.35">
      <c r="A822" s="11">
        <v>46139</v>
      </c>
      <c r="B822" s="3">
        <v>1</v>
      </c>
      <c r="C822" t="s">
        <v>100</v>
      </c>
      <c r="D822" t="s">
        <v>18</v>
      </c>
      <c r="E822" s="3">
        <v>19</v>
      </c>
      <c r="F822" t="s">
        <v>19</v>
      </c>
      <c r="G822" t="s">
        <v>73</v>
      </c>
      <c r="H822" t="s">
        <v>27</v>
      </c>
      <c r="I822" s="12">
        <v>0.74652777777777779</v>
      </c>
      <c r="J822" t="s">
        <v>74</v>
      </c>
      <c r="K822" t="s">
        <v>27</v>
      </c>
      <c r="L822" s="12">
        <v>0.77430555555555558</v>
      </c>
      <c r="M822" t="s">
        <v>63</v>
      </c>
      <c r="N822" s="3">
        <v>232</v>
      </c>
      <c r="O822" t="s">
        <v>24</v>
      </c>
      <c r="P822" t="s">
        <v>56</v>
      </c>
      <c r="R822">
        <f>tblDailySchedule[[#This Row],[Capacity Approx]]*'[1]Load Factor Sheet June Acft  '!$B$5</f>
        <v>187.86727272727273</v>
      </c>
      <c r="S822">
        <f>tblDailySchedule[[#This Row],[Capacity Approx]]*'[1]Load Factor Sheet June Acft  '!$D$5</f>
        <v>203.4218181818182</v>
      </c>
      <c r="T822" s="22">
        <f>tblDailySchedule[[#This Row],[STD]]</f>
        <v>0.77430555555555558</v>
      </c>
    </row>
    <row r="823" spans="1:20" hidden="1" x14ac:dyDescent="0.35">
      <c r="A823" s="11">
        <v>46139</v>
      </c>
      <c r="B823" s="3">
        <v>1</v>
      </c>
      <c r="C823" t="s">
        <v>100</v>
      </c>
      <c r="D823" t="s">
        <v>18</v>
      </c>
      <c r="E823" s="3">
        <v>20</v>
      </c>
      <c r="F823" t="s">
        <v>34</v>
      </c>
      <c r="G823" t="s">
        <v>75</v>
      </c>
      <c r="H823" t="s">
        <v>76</v>
      </c>
      <c r="I823" s="12">
        <v>0.76388888888888884</v>
      </c>
      <c r="J823" t="s">
        <v>77</v>
      </c>
      <c r="K823" t="s">
        <v>78</v>
      </c>
      <c r="L823" s="12">
        <v>0.78472222222222221</v>
      </c>
      <c r="M823" t="s">
        <v>51</v>
      </c>
      <c r="N823" s="3">
        <v>78</v>
      </c>
      <c r="O823" t="s">
        <v>24</v>
      </c>
      <c r="P823" t="s">
        <v>79</v>
      </c>
      <c r="Q823" s="16" t="s">
        <v>80</v>
      </c>
      <c r="R823">
        <f>tblDailySchedule[[#This Row],[Capacity Approx]]*'[1]Load Factor Sheet June Acft  '!$B$5</f>
        <v>63.162272727272729</v>
      </c>
      <c r="S823">
        <f>tblDailySchedule[[#This Row],[Capacity Approx]]*'[1]Load Factor Sheet June Acft  '!$D$5</f>
        <v>68.391818181818181</v>
      </c>
      <c r="T823" s="22">
        <f>tblDailySchedule[[#This Row],[STD]]</f>
        <v>0.78472222222222221</v>
      </c>
    </row>
    <row r="824" spans="1:20" hidden="1" x14ac:dyDescent="0.35">
      <c r="A824" s="11">
        <v>46139</v>
      </c>
      <c r="B824" s="3">
        <v>1</v>
      </c>
      <c r="C824" t="s">
        <v>100</v>
      </c>
      <c r="D824" t="s">
        <v>18</v>
      </c>
      <c r="E824" s="3">
        <v>21</v>
      </c>
      <c r="F824" t="s">
        <v>19</v>
      </c>
      <c r="G824" t="s">
        <v>81</v>
      </c>
      <c r="H824" t="s">
        <v>61</v>
      </c>
      <c r="I824" s="12">
        <v>0.77083333333333337</v>
      </c>
      <c r="J824" t="s">
        <v>82</v>
      </c>
      <c r="K824" t="s">
        <v>49</v>
      </c>
      <c r="L824" s="12">
        <v>0.79166666666666663</v>
      </c>
      <c r="M824" t="s">
        <v>33</v>
      </c>
      <c r="N824" s="3">
        <v>189</v>
      </c>
      <c r="O824" t="s">
        <v>24</v>
      </c>
      <c r="P824" t="s">
        <v>79</v>
      </c>
      <c r="R824">
        <f>tblDailySchedule[[#This Row],[Capacity Approx]]*'[1]Load Factor Sheet June Acft  '!$B$5</f>
        <v>153.04704545454547</v>
      </c>
      <c r="S824">
        <f>tblDailySchedule[[#This Row],[Capacity Approx]]*'[1]Load Factor Sheet June Acft  '!$D$5</f>
        <v>165.71863636363636</v>
      </c>
      <c r="T824" s="22">
        <f>tblDailySchedule[[#This Row],[STD]]</f>
        <v>0.79166666666666663</v>
      </c>
    </row>
    <row r="825" spans="1:20" hidden="1" x14ac:dyDescent="0.35">
      <c r="A825" s="11">
        <v>46139</v>
      </c>
      <c r="B825" s="3">
        <v>1</v>
      </c>
      <c r="C825" t="s">
        <v>100</v>
      </c>
      <c r="D825" t="s">
        <v>18</v>
      </c>
      <c r="E825" s="3">
        <v>22</v>
      </c>
      <c r="F825" t="s">
        <v>19</v>
      </c>
      <c r="G825" t="s">
        <v>83</v>
      </c>
      <c r="H825" t="s">
        <v>31</v>
      </c>
      <c r="I825" s="12">
        <v>0.77777777777777779</v>
      </c>
      <c r="J825" t="s">
        <v>84</v>
      </c>
      <c r="K825" t="s">
        <v>31</v>
      </c>
      <c r="L825" s="12">
        <v>0.80555555555555558</v>
      </c>
      <c r="M825" t="s">
        <v>63</v>
      </c>
      <c r="N825" s="3">
        <v>232</v>
      </c>
      <c r="O825" t="s">
        <v>24</v>
      </c>
      <c r="P825" t="s">
        <v>79</v>
      </c>
      <c r="R825">
        <f>tblDailySchedule[[#This Row],[Capacity Approx]]*'[1]Load Factor Sheet June Acft  '!$B$5</f>
        <v>187.86727272727273</v>
      </c>
      <c r="S825">
        <f>tblDailySchedule[[#This Row],[Capacity Approx]]*'[1]Load Factor Sheet June Acft  '!$D$5</f>
        <v>203.4218181818182</v>
      </c>
      <c r="T825" s="22">
        <f>tblDailySchedule[[#This Row],[STD]]</f>
        <v>0.80555555555555558</v>
      </c>
    </row>
    <row r="826" spans="1:20" hidden="1" x14ac:dyDescent="0.35">
      <c r="A826" s="11">
        <v>46139</v>
      </c>
      <c r="B826" s="3">
        <v>1</v>
      </c>
      <c r="C826" t="s">
        <v>100</v>
      </c>
      <c r="D826" t="s">
        <v>18</v>
      </c>
      <c r="E826" s="3">
        <v>23</v>
      </c>
      <c r="F826" t="s">
        <v>19</v>
      </c>
      <c r="G826" t="s">
        <v>85</v>
      </c>
      <c r="H826" t="s">
        <v>86</v>
      </c>
      <c r="I826" s="12">
        <v>0.79861111111111116</v>
      </c>
      <c r="J826" t="s">
        <v>87</v>
      </c>
      <c r="K826" t="s">
        <v>86</v>
      </c>
      <c r="L826" s="12">
        <v>0.82638888888888884</v>
      </c>
      <c r="M826" t="s">
        <v>63</v>
      </c>
      <c r="N826" s="3">
        <v>232</v>
      </c>
      <c r="O826" t="s">
        <v>24</v>
      </c>
      <c r="P826" t="s">
        <v>79</v>
      </c>
      <c r="R826">
        <f>tblDailySchedule[[#This Row],[Capacity Approx]]*'[1]Load Factor Sheet June Acft  '!$B$5</f>
        <v>187.86727272727273</v>
      </c>
      <c r="S826">
        <f>tblDailySchedule[[#This Row],[Capacity Approx]]*'[1]Load Factor Sheet June Acft  '!$D$5</f>
        <v>203.4218181818182</v>
      </c>
      <c r="T826" s="22">
        <f>tblDailySchedule[[#This Row],[STD]]</f>
        <v>0.82638888888888884</v>
      </c>
    </row>
    <row r="827" spans="1:20" hidden="1" x14ac:dyDescent="0.35">
      <c r="A827" s="11">
        <v>46139</v>
      </c>
      <c r="B827" s="3">
        <v>1</v>
      </c>
      <c r="C827" t="s">
        <v>100</v>
      </c>
      <c r="D827" t="s">
        <v>18</v>
      </c>
      <c r="E827" s="3">
        <v>24</v>
      </c>
      <c r="F827" t="s">
        <v>19</v>
      </c>
      <c r="G827" t="s">
        <v>88</v>
      </c>
      <c r="H827" t="s">
        <v>89</v>
      </c>
      <c r="I827" s="12">
        <v>0.83333333333333337</v>
      </c>
      <c r="J827" t="s">
        <v>90</v>
      </c>
      <c r="K827" t="s">
        <v>31</v>
      </c>
      <c r="L827" s="12">
        <v>0.86111111111111116</v>
      </c>
      <c r="M827" t="s">
        <v>63</v>
      </c>
      <c r="N827" s="3">
        <v>232</v>
      </c>
      <c r="O827" t="s">
        <v>24</v>
      </c>
      <c r="P827" t="s">
        <v>79</v>
      </c>
      <c r="R827">
        <f>tblDailySchedule[[#This Row],[Capacity Approx]]*'[1]Load Factor Sheet June Acft  '!$B$5</f>
        <v>187.86727272727273</v>
      </c>
      <c r="S827">
        <f>tblDailySchedule[[#This Row],[Capacity Approx]]*'[1]Load Factor Sheet June Acft  '!$D$5</f>
        <v>203.4218181818182</v>
      </c>
      <c r="T827" s="22">
        <f>tblDailySchedule[[#This Row],[STD]]</f>
        <v>0.86111111111111116</v>
      </c>
    </row>
    <row r="828" spans="1:20" hidden="1" x14ac:dyDescent="0.35">
      <c r="A828" s="11">
        <v>46139</v>
      </c>
      <c r="B828" s="3">
        <v>1</v>
      </c>
      <c r="C828" t="s">
        <v>100</v>
      </c>
      <c r="D828" t="s">
        <v>18</v>
      </c>
      <c r="E828" s="3">
        <v>25</v>
      </c>
      <c r="F828" t="s">
        <v>19</v>
      </c>
      <c r="G828" t="s">
        <v>91</v>
      </c>
      <c r="H828" t="s">
        <v>61</v>
      </c>
      <c r="I828" s="12">
        <v>0.85416666666666663</v>
      </c>
      <c r="J828" t="s">
        <v>92</v>
      </c>
      <c r="K828" t="s">
        <v>61</v>
      </c>
      <c r="L828" s="12">
        <v>0.88194444444444442</v>
      </c>
      <c r="M828" t="s">
        <v>63</v>
      </c>
      <c r="N828" s="3">
        <v>232</v>
      </c>
      <c r="O828" t="s">
        <v>24</v>
      </c>
      <c r="P828" t="s">
        <v>79</v>
      </c>
      <c r="R828">
        <f>tblDailySchedule[[#This Row],[Capacity Approx]]*'[1]Load Factor Sheet June Acft  '!$B$5</f>
        <v>187.86727272727273</v>
      </c>
      <c r="S828">
        <f>tblDailySchedule[[#This Row],[Capacity Approx]]*'[1]Load Factor Sheet June Acft  '!$D$5</f>
        <v>203.4218181818182</v>
      </c>
      <c r="T828" s="22">
        <f>tblDailySchedule[[#This Row],[STD]]</f>
        <v>0.88194444444444442</v>
      </c>
    </row>
    <row r="829" spans="1:20" hidden="1" x14ac:dyDescent="0.35">
      <c r="A829" s="11">
        <v>46139</v>
      </c>
      <c r="B829" s="3">
        <v>1</v>
      </c>
      <c r="C829" t="s">
        <v>100</v>
      </c>
      <c r="D829" t="s">
        <v>18</v>
      </c>
      <c r="E829" s="3">
        <v>26</v>
      </c>
      <c r="F829" t="s">
        <v>19</v>
      </c>
      <c r="G829" t="s">
        <v>93</v>
      </c>
      <c r="H829" t="s">
        <v>31</v>
      </c>
      <c r="I829" s="12">
        <v>0.86111111111111116</v>
      </c>
      <c r="J829" t="s">
        <v>94</v>
      </c>
      <c r="K829" t="s">
        <v>31</v>
      </c>
      <c r="L829" s="12">
        <v>0.88888888888888884</v>
      </c>
      <c r="M829" t="s">
        <v>23</v>
      </c>
      <c r="N829" s="3">
        <v>186</v>
      </c>
      <c r="O829" t="s">
        <v>24</v>
      </c>
      <c r="P829" t="s">
        <v>79</v>
      </c>
      <c r="R829">
        <f>tblDailySchedule[[#This Row],[Capacity Approx]]*'[1]Load Factor Sheet June Acft  '!$B$5</f>
        <v>150.61772727272728</v>
      </c>
      <c r="S829">
        <f>tblDailySchedule[[#This Row],[Capacity Approx]]*'[1]Load Factor Sheet June Acft  '!$D$5</f>
        <v>163.08818181818182</v>
      </c>
      <c r="T829" s="22">
        <f>tblDailySchedule[[#This Row],[STD]]</f>
        <v>0.88888888888888884</v>
      </c>
    </row>
    <row r="830" spans="1:20" hidden="1" x14ac:dyDescent="0.35">
      <c r="A830" s="11">
        <v>46139</v>
      </c>
      <c r="B830" s="3">
        <v>1</v>
      </c>
      <c r="C830" t="s">
        <v>100</v>
      </c>
      <c r="D830" t="s">
        <v>18</v>
      </c>
      <c r="E830" s="3">
        <v>27</v>
      </c>
      <c r="F830" t="s">
        <v>19</v>
      </c>
      <c r="G830" t="s">
        <v>95</v>
      </c>
      <c r="H830" t="s">
        <v>21</v>
      </c>
      <c r="I830" s="12">
        <v>0.86805555555555558</v>
      </c>
      <c r="J830" t="s">
        <v>96</v>
      </c>
      <c r="K830" t="s">
        <v>21</v>
      </c>
      <c r="L830" s="12">
        <v>0.89583333333333337</v>
      </c>
      <c r="M830" t="s">
        <v>29</v>
      </c>
      <c r="N830" s="3">
        <v>186</v>
      </c>
      <c r="O830" t="s">
        <v>24</v>
      </c>
      <c r="P830" t="s">
        <v>79</v>
      </c>
      <c r="R830">
        <f>tblDailySchedule[[#This Row],[Capacity Approx]]*'[1]Load Factor Sheet June Acft  '!$B$5</f>
        <v>150.61772727272728</v>
      </c>
      <c r="S830">
        <f>tblDailySchedule[[#This Row],[Capacity Approx]]*'[1]Load Factor Sheet June Acft  '!$D$5</f>
        <v>163.08818181818182</v>
      </c>
      <c r="T830" s="22">
        <f>tblDailySchedule[[#This Row],[STD]]</f>
        <v>0.89583333333333337</v>
      </c>
    </row>
    <row r="831" spans="1:20" hidden="1" x14ac:dyDescent="0.35">
      <c r="A831" s="11">
        <v>46139</v>
      </c>
      <c r="B831" s="3">
        <v>1</v>
      </c>
      <c r="C831" t="s">
        <v>100</v>
      </c>
      <c r="D831" t="s">
        <v>18</v>
      </c>
      <c r="E831" s="3">
        <v>28</v>
      </c>
      <c r="F831" t="s">
        <v>19</v>
      </c>
      <c r="G831" t="s">
        <v>97</v>
      </c>
      <c r="H831" t="s">
        <v>49</v>
      </c>
      <c r="I831" s="12">
        <v>0.90277777777777779</v>
      </c>
      <c r="J831" t="s">
        <v>97</v>
      </c>
      <c r="K831" t="s">
        <v>61</v>
      </c>
      <c r="L831" s="12">
        <v>0.92361111111111116</v>
      </c>
      <c r="M831" t="s">
        <v>33</v>
      </c>
      <c r="N831" s="3">
        <v>189</v>
      </c>
      <c r="O831" t="s">
        <v>24</v>
      </c>
      <c r="P831" t="s">
        <v>79</v>
      </c>
      <c r="R831">
        <f>tblDailySchedule[[#This Row],[Capacity Approx]]*'[1]Load Factor Sheet June Acft  '!$B$5</f>
        <v>153.04704545454547</v>
      </c>
      <c r="S831">
        <f>tblDailySchedule[[#This Row],[Capacity Approx]]*'[1]Load Factor Sheet June Acft  '!$D$5</f>
        <v>165.71863636363636</v>
      </c>
      <c r="T831" s="22">
        <f>tblDailySchedule[[#This Row],[STD]]</f>
        <v>0.92361111111111116</v>
      </c>
    </row>
    <row r="832" spans="1:20" hidden="1" x14ac:dyDescent="0.35">
      <c r="A832" s="11">
        <v>46139</v>
      </c>
      <c r="B832" s="3">
        <v>1</v>
      </c>
      <c r="C832" t="s">
        <v>100</v>
      </c>
      <c r="D832" t="s">
        <v>18</v>
      </c>
      <c r="E832" s="3">
        <v>29</v>
      </c>
      <c r="F832" t="s">
        <v>19</v>
      </c>
      <c r="G832" t="s">
        <v>98</v>
      </c>
      <c r="H832" t="s">
        <v>21</v>
      </c>
      <c r="I832" s="12">
        <v>0.92013888888888884</v>
      </c>
      <c r="J832" t="s">
        <v>99</v>
      </c>
      <c r="K832" t="s">
        <v>21</v>
      </c>
      <c r="L832" s="12">
        <v>0.94791666666666663</v>
      </c>
      <c r="M832" t="s">
        <v>63</v>
      </c>
      <c r="N832" s="3">
        <v>232</v>
      </c>
      <c r="O832" t="s">
        <v>24</v>
      </c>
      <c r="P832" t="s">
        <v>79</v>
      </c>
      <c r="R832">
        <f>tblDailySchedule[[#This Row],[Capacity Approx]]*'[1]Load Factor Sheet June Acft  '!$B$5</f>
        <v>187.86727272727273</v>
      </c>
      <c r="S832">
        <f>tblDailySchedule[[#This Row],[Capacity Approx]]*'[1]Load Factor Sheet June Acft  '!$D$5</f>
        <v>203.4218181818182</v>
      </c>
      <c r="T832" s="22">
        <f>tblDailySchedule[[#This Row],[STD]]</f>
        <v>0.94791666666666663</v>
      </c>
    </row>
    <row r="833" spans="1:20" hidden="1" x14ac:dyDescent="0.35">
      <c r="A833" s="13">
        <v>46139</v>
      </c>
      <c r="B833" s="7">
        <v>1</v>
      </c>
      <c r="C833" s="14" t="s">
        <v>100</v>
      </c>
      <c r="D833" s="14" t="s">
        <v>18</v>
      </c>
      <c r="E833" s="7">
        <v>30</v>
      </c>
      <c r="F833" s="14" t="s">
        <v>104</v>
      </c>
      <c r="G833" s="14" t="s">
        <v>105</v>
      </c>
      <c r="H833" s="14" t="s">
        <v>106</v>
      </c>
      <c r="I833" s="15">
        <v>0.92708333333333337</v>
      </c>
      <c r="J833" s="14" t="s">
        <v>107</v>
      </c>
      <c r="K833" s="14" t="s">
        <v>106</v>
      </c>
      <c r="L833" s="15">
        <v>0.95833333333333337</v>
      </c>
      <c r="M833" s="14" t="s">
        <v>38</v>
      </c>
      <c r="N833" s="7">
        <v>186</v>
      </c>
      <c r="O833" s="14" t="s">
        <v>39</v>
      </c>
      <c r="P833" s="14" t="s">
        <v>79</v>
      </c>
      <c r="Q833" s="14" t="s">
        <v>39</v>
      </c>
      <c r="R833">
        <f>tblDailySchedule[[#This Row],[Capacity Approx]]*'[1]Load Factor Sheet June Acft  '!$B$5</f>
        <v>150.61772727272728</v>
      </c>
      <c r="S833">
        <f>tblDailySchedule[[#This Row],[Capacity Approx]]*'[1]Load Factor Sheet June Acft  '!$D$5</f>
        <v>163.08818181818182</v>
      </c>
      <c r="T833" s="22">
        <f>tblDailySchedule[[#This Row],[STD]]</f>
        <v>0.95833333333333337</v>
      </c>
    </row>
    <row r="834" spans="1:20" hidden="1" x14ac:dyDescent="0.35">
      <c r="A834" s="11">
        <v>46140</v>
      </c>
      <c r="B834" s="3">
        <v>2</v>
      </c>
      <c r="C834" t="s">
        <v>108</v>
      </c>
      <c r="D834" t="s">
        <v>18</v>
      </c>
      <c r="E834" s="3">
        <v>1</v>
      </c>
      <c r="F834" t="s">
        <v>101</v>
      </c>
      <c r="G834" t="s">
        <v>102</v>
      </c>
      <c r="H834" t="s">
        <v>61</v>
      </c>
      <c r="I834" s="12">
        <v>0.3125</v>
      </c>
      <c r="J834" t="s">
        <v>103</v>
      </c>
      <c r="K834" t="s">
        <v>61</v>
      </c>
      <c r="L834" s="12">
        <v>0.33333333333333331</v>
      </c>
      <c r="M834" t="s">
        <v>33</v>
      </c>
      <c r="N834" s="3">
        <v>189</v>
      </c>
      <c r="O834" t="s">
        <v>24</v>
      </c>
      <c r="P834" t="s">
        <v>25</v>
      </c>
      <c r="R834">
        <f>tblDailySchedule[[#This Row],[Capacity Approx]]*'[1]Load Factor Sheet June Acft  '!$B$5</f>
        <v>153.04704545454547</v>
      </c>
      <c r="S834">
        <f>tblDailySchedule[[#This Row],[Capacity Approx]]*'[1]Load Factor Sheet June Acft  '!$D$5</f>
        <v>165.71863636363636</v>
      </c>
      <c r="T834" s="22">
        <f>tblDailySchedule[[#This Row],[STD]]</f>
        <v>0.33333333333333331</v>
      </c>
    </row>
    <row r="835" spans="1:20" hidden="1" x14ac:dyDescent="0.35">
      <c r="A835" s="11">
        <v>46140</v>
      </c>
      <c r="B835" s="3">
        <v>2</v>
      </c>
      <c r="C835" t="s">
        <v>108</v>
      </c>
      <c r="D835" t="s">
        <v>18</v>
      </c>
      <c r="E835" s="3">
        <v>2</v>
      </c>
      <c r="F835" t="s">
        <v>19</v>
      </c>
      <c r="G835" t="s">
        <v>20</v>
      </c>
      <c r="H835" t="s">
        <v>21</v>
      </c>
      <c r="I835" s="12">
        <v>0.31944444444444442</v>
      </c>
      <c r="J835" t="s">
        <v>22</v>
      </c>
      <c r="K835" t="s">
        <v>21</v>
      </c>
      <c r="L835" s="12">
        <v>0.34722222222222221</v>
      </c>
      <c r="M835" t="s">
        <v>23</v>
      </c>
      <c r="N835" s="3">
        <v>186</v>
      </c>
      <c r="O835" t="s">
        <v>24</v>
      </c>
      <c r="P835" t="s">
        <v>25</v>
      </c>
      <c r="R835">
        <f>tblDailySchedule[[#This Row],[Capacity Approx]]*'[1]Load Factor Sheet June Acft  '!$B$5</f>
        <v>150.61772727272728</v>
      </c>
      <c r="S835">
        <f>tblDailySchedule[[#This Row],[Capacity Approx]]*'[1]Load Factor Sheet June Acft  '!$D$5</f>
        <v>163.08818181818182</v>
      </c>
      <c r="T835" s="22">
        <f>tblDailySchedule[[#This Row],[STD]]</f>
        <v>0.34722222222222221</v>
      </c>
    </row>
    <row r="836" spans="1:20" hidden="1" x14ac:dyDescent="0.35">
      <c r="A836" s="11">
        <v>46140</v>
      </c>
      <c r="B836" s="3">
        <v>2</v>
      </c>
      <c r="C836" t="s">
        <v>108</v>
      </c>
      <c r="D836" t="s">
        <v>18</v>
      </c>
      <c r="E836" s="3">
        <v>3</v>
      </c>
      <c r="F836" t="s">
        <v>19</v>
      </c>
      <c r="G836" t="s">
        <v>26</v>
      </c>
      <c r="H836" t="s">
        <v>27</v>
      </c>
      <c r="I836" s="12">
        <v>0.3263888888888889</v>
      </c>
      <c r="J836" t="s">
        <v>28</v>
      </c>
      <c r="K836" t="s">
        <v>27</v>
      </c>
      <c r="L836" s="12">
        <v>0.35416666666666669</v>
      </c>
      <c r="M836" t="s">
        <v>29</v>
      </c>
      <c r="N836" s="3">
        <v>186</v>
      </c>
      <c r="O836" t="s">
        <v>24</v>
      </c>
      <c r="P836" t="s">
        <v>25</v>
      </c>
      <c r="R836">
        <f>tblDailySchedule[[#This Row],[Capacity Approx]]*'[1]Load Factor Sheet June Acft  '!$B$5</f>
        <v>150.61772727272728</v>
      </c>
      <c r="S836">
        <f>tblDailySchedule[[#This Row],[Capacity Approx]]*'[1]Load Factor Sheet June Acft  '!$D$5</f>
        <v>163.08818181818182</v>
      </c>
      <c r="T836" s="22">
        <f>tblDailySchedule[[#This Row],[STD]]</f>
        <v>0.35416666666666669</v>
      </c>
    </row>
    <row r="837" spans="1:20" hidden="1" x14ac:dyDescent="0.35">
      <c r="A837" s="11">
        <v>46140</v>
      </c>
      <c r="B837" s="3">
        <v>2</v>
      </c>
      <c r="C837" t="s">
        <v>108</v>
      </c>
      <c r="D837" t="s">
        <v>18</v>
      </c>
      <c r="E837" s="3">
        <v>4</v>
      </c>
      <c r="F837" t="s">
        <v>19</v>
      </c>
      <c r="G837" t="s">
        <v>30</v>
      </c>
      <c r="H837" t="s">
        <v>31</v>
      </c>
      <c r="I837" s="12">
        <v>0.34722222222222221</v>
      </c>
      <c r="J837" t="s">
        <v>32</v>
      </c>
      <c r="K837" t="s">
        <v>31</v>
      </c>
      <c r="L837" s="12">
        <v>0.36805555555555558</v>
      </c>
      <c r="M837" t="s">
        <v>33</v>
      </c>
      <c r="N837" s="3">
        <v>189</v>
      </c>
      <c r="O837" t="s">
        <v>24</v>
      </c>
      <c r="P837" t="s">
        <v>25</v>
      </c>
      <c r="R837">
        <f>tblDailySchedule[[#This Row],[Capacity Approx]]*'[1]Load Factor Sheet June Acft  '!$B$5</f>
        <v>153.04704545454547</v>
      </c>
      <c r="S837">
        <f>tblDailySchedule[[#This Row],[Capacity Approx]]*'[1]Load Factor Sheet June Acft  '!$D$5</f>
        <v>165.71863636363636</v>
      </c>
      <c r="T837" s="22">
        <f>tblDailySchedule[[#This Row],[STD]]</f>
        <v>0.36805555555555558</v>
      </c>
    </row>
    <row r="838" spans="1:20" hidden="1" x14ac:dyDescent="0.35">
      <c r="A838" s="11">
        <v>46140</v>
      </c>
      <c r="B838" s="3">
        <v>2</v>
      </c>
      <c r="C838" t="s">
        <v>108</v>
      </c>
      <c r="D838" t="s">
        <v>18</v>
      </c>
      <c r="E838" s="3">
        <v>5</v>
      </c>
      <c r="F838" t="s">
        <v>19</v>
      </c>
      <c r="G838" t="s">
        <v>40</v>
      </c>
      <c r="H838" t="s">
        <v>31</v>
      </c>
      <c r="I838" s="12">
        <v>0.35069444444444442</v>
      </c>
      <c r="J838" t="s">
        <v>41</v>
      </c>
      <c r="K838" t="s">
        <v>31</v>
      </c>
      <c r="L838" s="12">
        <v>0.37152777777777779</v>
      </c>
      <c r="M838" t="s">
        <v>23</v>
      </c>
      <c r="N838" s="3">
        <v>186</v>
      </c>
      <c r="O838" t="s">
        <v>24</v>
      </c>
      <c r="P838" t="s">
        <v>25</v>
      </c>
      <c r="R838">
        <f>tblDailySchedule[[#This Row],[Capacity Approx]]*'[1]Load Factor Sheet June Acft  '!$B$5</f>
        <v>150.61772727272728</v>
      </c>
      <c r="S838">
        <f>tblDailySchedule[[#This Row],[Capacity Approx]]*'[1]Load Factor Sheet June Acft  '!$D$5</f>
        <v>163.08818181818182</v>
      </c>
      <c r="T838" s="22">
        <f>tblDailySchedule[[#This Row],[STD]]</f>
        <v>0.37152777777777779</v>
      </c>
    </row>
    <row r="839" spans="1:20" hidden="1" x14ac:dyDescent="0.35">
      <c r="A839" s="11">
        <v>46140</v>
      </c>
      <c r="B839" s="3">
        <v>2</v>
      </c>
      <c r="C839" t="s">
        <v>108</v>
      </c>
      <c r="D839" t="s">
        <v>18</v>
      </c>
      <c r="E839" s="3">
        <v>7</v>
      </c>
      <c r="F839" t="s">
        <v>19</v>
      </c>
      <c r="G839" t="s">
        <v>42</v>
      </c>
      <c r="H839" t="s">
        <v>43</v>
      </c>
      <c r="I839" s="12">
        <v>0.3923611111111111</v>
      </c>
      <c r="J839" t="s">
        <v>44</v>
      </c>
      <c r="K839" t="s">
        <v>43</v>
      </c>
      <c r="L839" s="12">
        <v>0.40277777777777779</v>
      </c>
      <c r="M839" t="s">
        <v>45</v>
      </c>
      <c r="N839" s="3">
        <v>9</v>
      </c>
      <c r="O839" t="s">
        <v>24</v>
      </c>
      <c r="P839" t="s">
        <v>25</v>
      </c>
      <c r="R839">
        <f>tblDailySchedule[[#This Row],[Capacity Approx]]*'[1]Load Factor Sheet June Acft  '!$B$5</f>
        <v>7.2879545454545456</v>
      </c>
      <c r="S839">
        <f>tblDailySchedule[[#This Row],[Capacity Approx]]*'[1]Load Factor Sheet June Acft  '!$D$5</f>
        <v>7.8913636363636366</v>
      </c>
      <c r="T839" s="22">
        <f>tblDailySchedule[[#This Row],[STD]]</f>
        <v>0.40277777777777779</v>
      </c>
    </row>
    <row r="840" spans="1:20" hidden="1" x14ac:dyDescent="0.35">
      <c r="A840" s="11">
        <v>46140</v>
      </c>
      <c r="B840" s="3">
        <v>2</v>
      </c>
      <c r="C840" t="s">
        <v>108</v>
      </c>
      <c r="D840" t="s">
        <v>18</v>
      </c>
      <c r="E840" s="3">
        <v>8</v>
      </c>
      <c r="F840" t="s">
        <v>19</v>
      </c>
      <c r="G840" t="s">
        <v>46</v>
      </c>
      <c r="H840" t="s">
        <v>31</v>
      </c>
      <c r="I840" s="12">
        <v>0.4201388888888889</v>
      </c>
      <c r="J840" t="s">
        <v>47</v>
      </c>
      <c r="K840" t="s">
        <v>31</v>
      </c>
      <c r="L840" s="12">
        <v>0.44444444444444442</v>
      </c>
      <c r="M840" t="s">
        <v>29</v>
      </c>
      <c r="N840" s="3">
        <v>186</v>
      </c>
      <c r="O840" t="s">
        <v>24</v>
      </c>
      <c r="P840" t="s">
        <v>25</v>
      </c>
      <c r="R840">
        <f>tblDailySchedule[[#This Row],[Capacity Approx]]*'[1]Load Factor Sheet June Acft  '!$B$5</f>
        <v>150.61772727272728</v>
      </c>
      <c r="S840">
        <f>tblDailySchedule[[#This Row],[Capacity Approx]]*'[1]Load Factor Sheet June Acft  '!$D$5</f>
        <v>163.08818181818182</v>
      </c>
      <c r="T840" s="22">
        <f>tblDailySchedule[[#This Row],[STD]]</f>
        <v>0.44444444444444442</v>
      </c>
    </row>
    <row r="841" spans="1:20" hidden="1" x14ac:dyDescent="0.35">
      <c r="A841" s="11">
        <v>46140</v>
      </c>
      <c r="B841" s="3">
        <v>2</v>
      </c>
      <c r="C841" t="s">
        <v>108</v>
      </c>
      <c r="D841" t="s">
        <v>18</v>
      </c>
      <c r="E841" s="3">
        <v>9</v>
      </c>
      <c r="F841" t="s">
        <v>19</v>
      </c>
      <c r="G841" t="s">
        <v>48</v>
      </c>
      <c r="H841" t="s">
        <v>49</v>
      </c>
      <c r="I841" s="12">
        <v>0.4375</v>
      </c>
      <c r="J841" t="s">
        <v>50</v>
      </c>
      <c r="K841" t="s">
        <v>49</v>
      </c>
      <c r="L841" s="12">
        <v>0.45833333333333331</v>
      </c>
      <c r="M841" t="s">
        <v>51</v>
      </c>
      <c r="N841" s="3">
        <v>78</v>
      </c>
      <c r="O841" t="s">
        <v>24</v>
      </c>
      <c r="P841" t="s">
        <v>25</v>
      </c>
      <c r="R841">
        <f>tblDailySchedule[[#This Row],[Capacity Approx]]*'[1]Load Factor Sheet June Acft  '!$B$5</f>
        <v>63.162272727272729</v>
      </c>
      <c r="S841">
        <f>tblDailySchedule[[#This Row],[Capacity Approx]]*'[1]Load Factor Sheet June Acft  '!$D$5</f>
        <v>68.391818181818181</v>
      </c>
      <c r="T841" s="22">
        <f>tblDailySchedule[[#This Row],[STD]]</f>
        <v>0.45833333333333331</v>
      </c>
    </row>
    <row r="842" spans="1:20" hidden="1" x14ac:dyDescent="0.35">
      <c r="A842" s="11">
        <v>46140</v>
      </c>
      <c r="B842" s="3">
        <v>2</v>
      </c>
      <c r="C842" t="s">
        <v>108</v>
      </c>
      <c r="D842" t="s">
        <v>18</v>
      </c>
      <c r="E842" s="3">
        <v>10</v>
      </c>
      <c r="F842" t="s">
        <v>19</v>
      </c>
      <c r="G842" t="s">
        <v>52</v>
      </c>
      <c r="H842" t="s">
        <v>27</v>
      </c>
      <c r="I842" s="12">
        <v>0.4826388888888889</v>
      </c>
      <c r="J842" t="s">
        <v>53</v>
      </c>
      <c r="K842" t="s">
        <v>27</v>
      </c>
      <c r="L842" s="12">
        <v>0.51041666666666663</v>
      </c>
      <c r="M842" t="s">
        <v>23</v>
      </c>
      <c r="N842" s="3">
        <v>186</v>
      </c>
      <c r="O842" t="s">
        <v>24</v>
      </c>
      <c r="P842" t="s">
        <v>25</v>
      </c>
      <c r="R842">
        <f>tblDailySchedule[[#This Row],[Capacity Approx]]*'[1]Load Factor Sheet June Acft  '!$B$5</f>
        <v>150.61772727272728</v>
      </c>
      <c r="S842">
        <f>tblDailySchedule[[#This Row],[Capacity Approx]]*'[1]Load Factor Sheet June Acft  '!$D$5</f>
        <v>163.08818181818182</v>
      </c>
      <c r="T842" s="22">
        <f>tblDailySchedule[[#This Row],[STD]]</f>
        <v>0.51041666666666663</v>
      </c>
    </row>
    <row r="843" spans="1:20" hidden="1" x14ac:dyDescent="0.35">
      <c r="A843" s="11">
        <v>46140</v>
      </c>
      <c r="B843" s="3">
        <v>2</v>
      </c>
      <c r="C843" t="s">
        <v>108</v>
      </c>
      <c r="D843" t="s">
        <v>18</v>
      </c>
      <c r="E843" s="3">
        <v>11</v>
      </c>
      <c r="F843" t="s">
        <v>19</v>
      </c>
      <c r="G843" t="s">
        <v>54</v>
      </c>
      <c r="H843" t="s">
        <v>31</v>
      </c>
      <c r="I843" s="12">
        <v>0.51388888888888884</v>
      </c>
      <c r="J843" t="s">
        <v>55</v>
      </c>
      <c r="K843" t="s">
        <v>31</v>
      </c>
      <c r="L843" s="12">
        <v>0.54166666666666663</v>
      </c>
      <c r="M843" t="s">
        <v>23</v>
      </c>
      <c r="N843" s="3">
        <v>186</v>
      </c>
      <c r="O843" t="s">
        <v>24</v>
      </c>
      <c r="P843" t="s">
        <v>56</v>
      </c>
      <c r="R843">
        <f>tblDailySchedule[[#This Row],[Capacity Approx]]*'[1]Load Factor Sheet June Acft  '!$B$5</f>
        <v>150.61772727272728</v>
      </c>
      <c r="S843">
        <f>tblDailySchedule[[#This Row],[Capacity Approx]]*'[1]Load Factor Sheet June Acft  '!$D$5</f>
        <v>163.08818181818182</v>
      </c>
      <c r="T843" s="22">
        <f>tblDailySchedule[[#This Row],[STD]]</f>
        <v>0.54166666666666663</v>
      </c>
    </row>
    <row r="844" spans="1:20" hidden="1" x14ac:dyDescent="0.35">
      <c r="A844" s="11">
        <v>46140</v>
      </c>
      <c r="B844" s="3">
        <v>2</v>
      </c>
      <c r="C844" t="s">
        <v>108</v>
      </c>
      <c r="D844" t="s">
        <v>18</v>
      </c>
      <c r="E844" s="3">
        <v>12</v>
      </c>
      <c r="F844" t="s">
        <v>109</v>
      </c>
      <c r="G844" t="s">
        <v>110</v>
      </c>
      <c r="H844" t="s">
        <v>111</v>
      </c>
      <c r="I844" s="12">
        <v>0.55555555555555558</v>
      </c>
      <c r="J844" t="s">
        <v>112</v>
      </c>
      <c r="K844" t="s">
        <v>111</v>
      </c>
      <c r="L844" s="12">
        <v>0.56944444444444442</v>
      </c>
      <c r="M844" t="s">
        <v>51</v>
      </c>
      <c r="N844" s="3">
        <v>78</v>
      </c>
      <c r="O844" t="s">
        <v>24</v>
      </c>
      <c r="P844" t="s">
        <v>56</v>
      </c>
      <c r="R844">
        <f>tblDailySchedule[[#This Row],[Capacity Approx]]*'[1]Load Factor Sheet June Acft  '!$B$5</f>
        <v>63.162272727272729</v>
      </c>
      <c r="S844">
        <f>tblDailySchedule[[#This Row],[Capacity Approx]]*'[1]Load Factor Sheet June Acft  '!$D$5</f>
        <v>68.391818181818181</v>
      </c>
      <c r="T844" s="22">
        <f>tblDailySchedule[[#This Row],[STD]]</f>
        <v>0.56944444444444442</v>
      </c>
    </row>
    <row r="845" spans="1:20" hidden="1" x14ac:dyDescent="0.35">
      <c r="A845" s="11">
        <v>46140</v>
      </c>
      <c r="B845" s="3">
        <v>2</v>
      </c>
      <c r="C845" t="s">
        <v>108</v>
      </c>
      <c r="D845" t="s">
        <v>18</v>
      </c>
      <c r="E845" s="3">
        <v>13</v>
      </c>
      <c r="F845" t="s">
        <v>19</v>
      </c>
      <c r="G845" t="s">
        <v>57</v>
      </c>
      <c r="H845" t="s">
        <v>58</v>
      </c>
      <c r="I845" s="12">
        <v>0.55902777777777779</v>
      </c>
      <c r="J845" t="s">
        <v>59</v>
      </c>
      <c r="K845" t="s">
        <v>58</v>
      </c>
      <c r="L845" s="12">
        <v>0.57638888888888884</v>
      </c>
      <c r="M845" t="s">
        <v>51</v>
      </c>
      <c r="N845" s="3">
        <v>78</v>
      </c>
      <c r="O845" t="s">
        <v>24</v>
      </c>
      <c r="P845" t="s">
        <v>56</v>
      </c>
      <c r="R845">
        <f>tblDailySchedule[[#This Row],[Capacity Approx]]*'[1]Load Factor Sheet June Acft  '!$B$5</f>
        <v>63.162272727272729</v>
      </c>
      <c r="S845">
        <f>tblDailySchedule[[#This Row],[Capacity Approx]]*'[1]Load Factor Sheet June Acft  '!$D$5</f>
        <v>68.391818181818181</v>
      </c>
      <c r="T845" s="22">
        <f>tblDailySchedule[[#This Row],[STD]]</f>
        <v>0.57638888888888884</v>
      </c>
    </row>
    <row r="846" spans="1:20" hidden="1" x14ac:dyDescent="0.35">
      <c r="A846" s="11">
        <v>46140</v>
      </c>
      <c r="B846" s="3">
        <v>2</v>
      </c>
      <c r="C846" t="s">
        <v>108</v>
      </c>
      <c r="D846" t="s">
        <v>18</v>
      </c>
      <c r="E846" s="3">
        <v>14</v>
      </c>
      <c r="F846" t="s">
        <v>19</v>
      </c>
      <c r="G846" t="s">
        <v>60</v>
      </c>
      <c r="H846" t="s">
        <v>61</v>
      </c>
      <c r="I846" s="12">
        <v>0.59027777777777779</v>
      </c>
      <c r="J846" t="s">
        <v>62</v>
      </c>
      <c r="K846" t="s">
        <v>61</v>
      </c>
      <c r="L846" s="12">
        <v>0.62152777777777779</v>
      </c>
      <c r="M846" t="s">
        <v>63</v>
      </c>
      <c r="N846" s="3">
        <v>232</v>
      </c>
      <c r="O846" t="s">
        <v>24</v>
      </c>
      <c r="P846" t="s">
        <v>56</v>
      </c>
      <c r="R846">
        <f>tblDailySchedule[[#This Row],[Capacity Approx]]*'[1]Load Factor Sheet June Acft  '!$B$5</f>
        <v>187.86727272727273</v>
      </c>
      <c r="S846">
        <f>tblDailySchedule[[#This Row],[Capacity Approx]]*'[1]Load Factor Sheet June Acft  '!$D$5</f>
        <v>203.4218181818182</v>
      </c>
      <c r="T846" s="22">
        <f>tblDailySchedule[[#This Row],[STD]]</f>
        <v>0.62152777777777779</v>
      </c>
    </row>
    <row r="847" spans="1:20" hidden="1" x14ac:dyDescent="0.35">
      <c r="A847" s="11">
        <v>46140</v>
      </c>
      <c r="B847" s="3">
        <v>2</v>
      </c>
      <c r="C847" t="s">
        <v>108</v>
      </c>
      <c r="D847" t="s">
        <v>18</v>
      </c>
      <c r="E847" s="3">
        <v>15</v>
      </c>
      <c r="F847" t="s">
        <v>19</v>
      </c>
      <c r="G847" t="s">
        <v>64</v>
      </c>
      <c r="H847" t="s">
        <v>31</v>
      </c>
      <c r="I847" s="12">
        <v>0.60069444444444442</v>
      </c>
      <c r="J847" t="s">
        <v>65</v>
      </c>
      <c r="K847" t="s">
        <v>66</v>
      </c>
      <c r="L847" s="12">
        <v>0.62847222222222221</v>
      </c>
      <c r="M847" t="s">
        <v>63</v>
      </c>
      <c r="N847" s="3">
        <v>232</v>
      </c>
      <c r="O847" t="s">
        <v>24</v>
      </c>
      <c r="P847" t="s">
        <v>56</v>
      </c>
      <c r="R847">
        <f>tblDailySchedule[[#This Row],[Capacity Approx]]*'[1]Load Factor Sheet June Acft  '!$B$5</f>
        <v>187.86727272727273</v>
      </c>
      <c r="S847">
        <f>tblDailySchedule[[#This Row],[Capacity Approx]]*'[1]Load Factor Sheet June Acft  '!$D$5</f>
        <v>203.4218181818182</v>
      </c>
      <c r="T847" s="22">
        <f>tblDailySchedule[[#This Row],[STD]]</f>
        <v>0.62847222222222221</v>
      </c>
    </row>
    <row r="848" spans="1:20" hidden="1" x14ac:dyDescent="0.35">
      <c r="A848" s="11">
        <v>46140</v>
      </c>
      <c r="B848" s="3">
        <v>2</v>
      </c>
      <c r="C848" t="s">
        <v>108</v>
      </c>
      <c r="D848" t="s">
        <v>18</v>
      </c>
      <c r="E848" s="3">
        <v>16</v>
      </c>
      <c r="F848" t="s">
        <v>19</v>
      </c>
      <c r="G848" t="s">
        <v>67</v>
      </c>
      <c r="H848" t="s">
        <v>31</v>
      </c>
      <c r="I848" s="12">
        <v>0.65625</v>
      </c>
      <c r="J848" t="s">
        <v>68</v>
      </c>
      <c r="K848" t="s">
        <v>31</v>
      </c>
      <c r="L848" s="12">
        <v>0.68402777777777779</v>
      </c>
      <c r="M848" t="s">
        <v>63</v>
      </c>
      <c r="N848" s="3">
        <v>232</v>
      </c>
      <c r="O848" t="s">
        <v>24</v>
      </c>
      <c r="P848" t="s">
        <v>56</v>
      </c>
      <c r="R848">
        <f>tblDailySchedule[[#This Row],[Capacity Approx]]*'[1]Load Factor Sheet June Acft  '!$B$5</f>
        <v>187.86727272727273</v>
      </c>
      <c r="S848">
        <f>tblDailySchedule[[#This Row],[Capacity Approx]]*'[1]Load Factor Sheet June Acft  '!$D$5</f>
        <v>203.4218181818182</v>
      </c>
      <c r="T848" s="22">
        <f>tblDailySchedule[[#This Row],[STD]]</f>
        <v>0.68402777777777779</v>
      </c>
    </row>
    <row r="849" spans="1:20" hidden="1" x14ac:dyDescent="0.35">
      <c r="A849" s="11">
        <v>46140</v>
      </c>
      <c r="B849" s="3">
        <v>2</v>
      </c>
      <c r="C849" t="s">
        <v>108</v>
      </c>
      <c r="D849" t="s">
        <v>18</v>
      </c>
      <c r="E849" s="3">
        <v>17</v>
      </c>
      <c r="F849" t="s">
        <v>19</v>
      </c>
      <c r="G849" t="s">
        <v>69</v>
      </c>
      <c r="H849" t="s">
        <v>31</v>
      </c>
      <c r="I849" s="12">
        <v>0.66319444444444442</v>
      </c>
      <c r="J849" t="s">
        <v>70</v>
      </c>
      <c r="K849" t="s">
        <v>31</v>
      </c>
      <c r="L849" s="12">
        <v>0.69097222222222221</v>
      </c>
      <c r="M849" t="s">
        <v>33</v>
      </c>
      <c r="N849" s="3">
        <v>189</v>
      </c>
      <c r="O849" t="s">
        <v>24</v>
      </c>
      <c r="P849" t="s">
        <v>56</v>
      </c>
      <c r="R849">
        <f>tblDailySchedule[[#This Row],[Capacity Approx]]*'[1]Load Factor Sheet June Acft  '!$B$5</f>
        <v>153.04704545454547</v>
      </c>
      <c r="S849">
        <f>tblDailySchedule[[#This Row],[Capacity Approx]]*'[1]Load Factor Sheet June Acft  '!$D$5</f>
        <v>165.71863636363636</v>
      </c>
      <c r="T849" s="22">
        <f>tblDailySchedule[[#This Row],[STD]]</f>
        <v>0.69097222222222221</v>
      </c>
    </row>
    <row r="850" spans="1:20" hidden="1" x14ac:dyDescent="0.35">
      <c r="A850" s="11">
        <v>46140</v>
      </c>
      <c r="B850" s="3">
        <v>2</v>
      </c>
      <c r="C850" t="s">
        <v>108</v>
      </c>
      <c r="D850" t="s">
        <v>18</v>
      </c>
      <c r="E850" s="3">
        <v>18</v>
      </c>
      <c r="F850" t="s">
        <v>19</v>
      </c>
      <c r="G850" t="s">
        <v>71</v>
      </c>
      <c r="H850" t="s">
        <v>21</v>
      </c>
      <c r="I850" s="12">
        <v>0.67013888888888884</v>
      </c>
      <c r="J850" t="s">
        <v>72</v>
      </c>
      <c r="K850" t="s">
        <v>21</v>
      </c>
      <c r="L850" s="12">
        <v>0.69791666666666663</v>
      </c>
      <c r="M850" t="s">
        <v>63</v>
      </c>
      <c r="N850" s="3">
        <v>232</v>
      </c>
      <c r="O850" t="s">
        <v>24</v>
      </c>
      <c r="P850" t="s">
        <v>56</v>
      </c>
      <c r="R850">
        <f>tblDailySchedule[[#This Row],[Capacity Approx]]*'[1]Load Factor Sheet June Acft  '!$B$5</f>
        <v>187.86727272727273</v>
      </c>
      <c r="S850">
        <f>tblDailySchedule[[#This Row],[Capacity Approx]]*'[1]Load Factor Sheet June Acft  '!$D$5</f>
        <v>203.4218181818182</v>
      </c>
      <c r="T850" s="22">
        <f>tblDailySchedule[[#This Row],[STD]]</f>
        <v>0.69791666666666663</v>
      </c>
    </row>
    <row r="851" spans="1:20" hidden="1" x14ac:dyDescent="0.35">
      <c r="A851" s="11">
        <v>46140</v>
      </c>
      <c r="B851" s="3">
        <v>2</v>
      </c>
      <c r="C851" t="s">
        <v>108</v>
      </c>
      <c r="D851" t="s">
        <v>18</v>
      </c>
      <c r="E851" s="3">
        <v>19</v>
      </c>
      <c r="F851" t="s">
        <v>19</v>
      </c>
      <c r="G851" t="s">
        <v>73</v>
      </c>
      <c r="H851" t="s">
        <v>27</v>
      </c>
      <c r="I851" s="12">
        <v>0.74652777777777779</v>
      </c>
      <c r="J851" t="s">
        <v>74</v>
      </c>
      <c r="K851" t="s">
        <v>27</v>
      </c>
      <c r="L851" s="12">
        <v>0.77430555555555558</v>
      </c>
      <c r="M851" t="s">
        <v>63</v>
      </c>
      <c r="N851" s="3">
        <v>232</v>
      </c>
      <c r="O851" t="s">
        <v>24</v>
      </c>
      <c r="P851" t="s">
        <v>56</v>
      </c>
      <c r="R851">
        <f>tblDailySchedule[[#This Row],[Capacity Approx]]*'[1]Load Factor Sheet June Acft  '!$B$5</f>
        <v>187.86727272727273</v>
      </c>
      <c r="S851">
        <f>tblDailySchedule[[#This Row],[Capacity Approx]]*'[1]Load Factor Sheet June Acft  '!$D$5</f>
        <v>203.4218181818182</v>
      </c>
      <c r="T851" s="22">
        <f>tblDailySchedule[[#This Row],[STD]]</f>
        <v>0.77430555555555558</v>
      </c>
    </row>
    <row r="852" spans="1:20" hidden="1" x14ac:dyDescent="0.35">
      <c r="A852" s="11">
        <v>46140</v>
      </c>
      <c r="B852" s="3">
        <v>2</v>
      </c>
      <c r="C852" t="s">
        <v>108</v>
      </c>
      <c r="D852" t="s">
        <v>18</v>
      </c>
      <c r="E852" s="3">
        <v>21</v>
      </c>
      <c r="F852" t="s">
        <v>19</v>
      </c>
      <c r="G852" t="s">
        <v>81</v>
      </c>
      <c r="H852" t="s">
        <v>61</v>
      </c>
      <c r="I852" s="12">
        <v>0.77083333333333337</v>
      </c>
      <c r="J852" t="s">
        <v>82</v>
      </c>
      <c r="K852" t="s">
        <v>49</v>
      </c>
      <c r="L852" s="12">
        <v>0.79166666666666663</v>
      </c>
      <c r="M852" t="s">
        <v>33</v>
      </c>
      <c r="N852" s="3">
        <v>189</v>
      </c>
      <c r="O852" t="s">
        <v>24</v>
      </c>
      <c r="P852" t="s">
        <v>79</v>
      </c>
      <c r="R852">
        <f>tblDailySchedule[[#This Row],[Capacity Approx]]*'[1]Load Factor Sheet June Acft  '!$B$5</f>
        <v>153.04704545454547</v>
      </c>
      <c r="S852">
        <f>tblDailySchedule[[#This Row],[Capacity Approx]]*'[1]Load Factor Sheet June Acft  '!$D$5</f>
        <v>165.71863636363636</v>
      </c>
      <c r="T852" s="22">
        <f>tblDailySchedule[[#This Row],[STD]]</f>
        <v>0.79166666666666663</v>
      </c>
    </row>
    <row r="853" spans="1:20" hidden="1" x14ac:dyDescent="0.35">
      <c r="A853" s="11">
        <v>46140</v>
      </c>
      <c r="B853" s="3">
        <v>2</v>
      </c>
      <c r="C853" t="s">
        <v>108</v>
      </c>
      <c r="D853" t="s">
        <v>18</v>
      </c>
      <c r="E853" s="3">
        <v>22</v>
      </c>
      <c r="F853" t="s">
        <v>19</v>
      </c>
      <c r="G853" t="s">
        <v>83</v>
      </c>
      <c r="H853" t="s">
        <v>31</v>
      </c>
      <c r="I853" s="12">
        <v>0.77777777777777779</v>
      </c>
      <c r="J853" t="s">
        <v>84</v>
      </c>
      <c r="K853" t="s">
        <v>31</v>
      </c>
      <c r="L853" s="12">
        <v>0.80555555555555558</v>
      </c>
      <c r="M853" t="s">
        <v>63</v>
      </c>
      <c r="N853" s="3">
        <v>232</v>
      </c>
      <c r="O853" t="s">
        <v>24</v>
      </c>
      <c r="P853" t="s">
        <v>79</v>
      </c>
      <c r="R853">
        <f>tblDailySchedule[[#This Row],[Capacity Approx]]*'[1]Load Factor Sheet June Acft  '!$B$5</f>
        <v>187.86727272727273</v>
      </c>
      <c r="S853">
        <f>tblDailySchedule[[#This Row],[Capacity Approx]]*'[1]Load Factor Sheet June Acft  '!$D$5</f>
        <v>203.4218181818182</v>
      </c>
      <c r="T853" s="22">
        <f>tblDailySchedule[[#This Row],[STD]]</f>
        <v>0.80555555555555558</v>
      </c>
    </row>
    <row r="854" spans="1:20" hidden="1" x14ac:dyDescent="0.35">
      <c r="A854" s="11">
        <v>46140</v>
      </c>
      <c r="B854" s="3">
        <v>2</v>
      </c>
      <c r="C854" t="s">
        <v>108</v>
      </c>
      <c r="D854" t="s">
        <v>18</v>
      </c>
      <c r="E854" s="3">
        <v>23</v>
      </c>
      <c r="F854" t="s">
        <v>19</v>
      </c>
      <c r="G854" t="s">
        <v>85</v>
      </c>
      <c r="H854" t="s">
        <v>86</v>
      </c>
      <c r="I854" s="12">
        <v>0.79861111111111116</v>
      </c>
      <c r="J854" t="s">
        <v>87</v>
      </c>
      <c r="K854" t="s">
        <v>86</v>
      </c>
      <c r="L854" s="12">
        <v>0.82638888888888884</v>
      </c>
      <c r="M854" t="s">
        <v>63</v>
      </c>
      <c r="N854" s="3">
        <v>232</v>
      </c>
      <c r="O854" t="s">
        <v>24</v>
      </c>
      <c r="P854" t="s">
        <v>79</v>
      </c>
      <c r="R854">
        <f>tblDailySchedule[[#This Row],[Capacity Approx]]*'[1]Load Factor Sheet June Acft  '!$B$5</f>
        <v>187.86727272727273</v>
      </c>
      <c r="S854">
        <f>tblDailySchedule[[#This Row],[Capacity Approx]]*'[1]Load Factor Sheet June Acft  '!$D$5</f>
        <v>203.4218181818182</v>
      </c>
      <c r="T854" s="22">
        <f>tblDailySchedule[[#This Row],[STD]]</f>
        <v>0.82638888888888884</v>
      </c>
    </row>
    <row r="855" spans="1:20" hidden="1" x14ac:dyDescent="0.35">
      <c r="A855" s="11">
        <v>46140</v>
      </c>
      <c r="B855" s="3">
        <v>2</v>
      </c>
      <c r="C855" t="s">
        <v>108</v>
      </c>
      <c r="D855" t="s">
        <v>18</v>
      </c>
      <c r="E855" s="3">
        <v>24</v>
      </c>
      <c r="F855" t="s">
        <v>19</v>
      </c>
      <c r="G855" t="s">
        <v>88</v>
      </c>
      <c r="H855" t="s">
        <v>89</v>
      </c>
      <c r="I855" s="12">
        <v>0.83333333333333337</v>
      </c>
      <c r="J855" t="s">
        <v>90</v>
      </c>
      <c r="K855" t="s">
        <v>31</v>
      </c>
      <c r="L855" s="12">
        <v>0.86111111111111116</v>
      </c>
      <c r="M855" t="s">
        <v>63</v>
      </c>
      <c r="N855" s="3">
        <v>232</v>
      </c>
      <c r="O855" t="s">
        <v>24</v>
      </c>
      <c r="P855" t="s">
        <v>79</v>
      </c>
      <c r="R855">
        <f>tblDailySchedule[[#This Row],[Capacity Approx]]*'[1]Load Factor Sheet June Acft  '!$B$5</f>
        <v>187.86727272727273</v>
      </c>
      <c r="S855">
        <f>tblDailySchedule[[#This Row],[Capacity Approx]]*'[1]Load Factor Sheet June Acft  '!$D$5</f>
        <v>203.4218181818182</v>
      </c>
      <c r="T855" s="22">
        <f>tblDailySchedule[[#This Row],[STD]]</f>
        <v>0.86111111111111116</v>
      </c>
    </row>
    <row r="856" spans="1:20" hidden="1" x14ac:dyDescent="0.35">
      <c r="A856" s="11">
        <v>46140</v>
      </c>
      <c r="B856" s="3">
        <v>2</v>
      </c>
      <c r="C856" t="s">
        <v>108</v>
      </c>
      <c r="D856" t="s">
        <v>18</v>
      </c>
      <c r="E856" s="3">
        <v>25</v>
      </c>
      <c r="F856" t="s">
        <v>19</v>
      </c>
      <c r="G856" t="s">
        <v>91</v>
      </c>
      <c r="H856" t="s">
        <v>61</v>
      </c>
      <c r="I856" s="12">
        <v>0.85416666666666663</v>
      </c>
      <c r="J856" t="s">
        <v>92</v>
      </c>
      <c r="K856" t="s">
        <v>61</v>
      </c>
      <c r="L856" s="12">
        <v>0.88194444444444442</v>
      </c>
      <c r="M856" t="s">
        <v>63</v>
      </c>
      <c r="N856" s="3">
        <v>232</v>
      </c>
      <c r="O856" t="s">
        <v>24</v>
      </c>
      <c r="P856" t="s">
        <v>79</v>
      </c>
      <c r="R856">
        <f>tblDailySchedule[[#This Row],[Capacity Approx]]*'[1]Load Factor Sheet June Acft  '!$B$5</f>
        <v>187.86727272727273</v>
      </c>
      <c r="S856">
        <f>tblDailySchedule[[#This Row],[Capacity Approx]]*'[1]Load Factor Sheet June Acft  '!$D$5</f>
        <v>203.4218181818182</v>
      </c>
      <c r="T856" s="22">
        <f>tblDailySchedule[[#This Row],[STD]]</f>
        <v>0.88194444444444442</v>
      </c>
    </row>
    <row r="857" spans="1:20" hidden="1" x14ac:dyDescent="0.35">
      <c r="A857" s="11">
        <v>46140</v>
      </c>
      <c r="B857" s="3">
        <v>2</v>
      </c>
      <c r="C857" t="s">
        <v>108</v>
      </c>
      <c r="D857" t="s">
        <v>18</v>
      </c>
      <c r="E857" s="3">
        <v>26</v>
      </c>
      <c r="F857" t="s">
        <v>19</v>
      </c>
      <c r="G857" t="s">
        <v>93</v>
      </c>
      <c r="H857" t="s">
        <v>31</v>
      </c>
      <c r="I857" s="12">
        <v>0.86111111111111116</v>
      </c>
      <c r="J857" t="s">
        <v>94</v>
      </c>
      <c r="K857" t="s">
        <v>31</v>
      </c>
      <c r="L857" s="12">
        <v>0.88888888888888884</v>
      </c>
      <c r="M857" t="s">
        <v>23</v>
      </c>
      <c r="N857" s="3">
        <v>186</v>
      </c>
      <c r="O857" t="s">
        <v>24</v>
      </c>
      <c r="P857" t="s">
        <v>79</v>
      </c>
      <c r="R857">
        <f>tblDailySchedule[[#This Row],[Capacity Approx]]*'[1]Load Factor Sheet June Acft  '!$B$5</f>
        <v>150.61772727272728</v>
      </c>
      <c r="S857">
        <f>tblDailySchedule[[#This Row],[Capacity Approx]]*'[1]Load Factor Sheet June Acft  '!$D$5</f>
        <v>163.08818181818182</v>
      </c>
      <c r="T857" s="22">
        <f>tblDailySchedule[[#This Row],[STD]]</f>
        <v>0.88888888888888884</v>
      </c>
    </row>
    <row r="858" spans="1:20" hidden="1" x14ac:dyDescent="0.35">
      <c r="A858" s="11">
        <v>46140</v>
      </c>
      <c r="B858" s="3">
        <v>2</v>
      </c>
      <c r="C858" t="s">
        <v>108</v>
      </c>
      <c r="D858" t="s">
        <v>18</v>
      </c>
      <c r="E858" s="3">
        <v>27</v>
      </c>
      <c r="F858" t="s">
        <v>19</v>
      </c>
      <c r="G858" t="s">
        <v>95</v>
      </c>
      <c r="H858" t="s">
        <v>21</v>
      </c>
      <c r="I858" s="12">
        <v>0.86805555555555558</v>
      </c>
      <c r="J858" t="s">
        <v>96</v>
      </c>
      <c r="K858" t="s">
        <v>21</v>
      </c>
      <c r="L858" s="12">
        <v>0.89583333333333337</v>
      </c>
      <c r="M858" t="s">
        <v>29</v>
      </c>
      <c r="N858" s="3">
        <v>186</v>
      </c>
      <c r="O858" t="s">
        <v>24</v>
      </c>
      <c r="P858" t="s">
        <v>79</v>
      </c>
      <c r="R858">
        <f>tblDailySchedule[[#This Row],[Capacity Approx]]*'[1]Load Factor Sheet June Acft  '!$B$5</f>
        <v>150.61772727272728</v>
      </c>
      <c r="S858">
        <f>tblDailySchedule[[#This Row],[Capacity Approx]]*'[1]Load Factor Sheet June Acft  '!$D$5</f>
        <v>163.08818181818182</v>
      </c>
      <c r="T858" s="22">
        <f>tblDailySchedule[[#This Row],[STD]]</f>
        <v>0.89583333333333337</v>
      </c>
    </row>
    <row r="859" spans="1:20" hidden="1" x14ac:dyDescent="0.35">
      <c r="A859" s="11">
        <v>46140</v>
      </c>
      <c r="B859" s="3">
        <v>2</v>
      </c>
      <c r="C859" t="s">
        <v>108</v>
      </c>
      <c r="D859" t="s">
        <v>18</v>
      </c>
      <c r="E859" s="3">
        <v>28</v>
      </c>
      <c r="F859" t="s">
        <v>19</v>
      </c>
      <c r="G859" t="s">
        <v>97</v>
      </c>
      <c r="H859" t="s">
        <v>49</v>
      </c>
      <c r="I859" s="12">
        <v>0.90277777777777779</v>
      </c>
      <c r="J859" t="s">
        <v>97</v>
      </c>
      <c r="K859" t="s">
        <v>61</v>
      </c>
      <c r="L859" s="12">
        <v>0.92361111111111116</v>
      </c>
      <c r="M859" t="s">
        <v>33</v>
      </c>
      <c r="N859" s="3">
        <v>189</v>
      </c>
      <c r="O859" t="s">
        <v>24</v>
      </c>
      <c r="P859" t="s">
        <v>79</v>
      </c>
      <c r="R859">
        <f>tblDailySchedule[[#This Row],[Capacity Approx]]*'[1]Load Factor Sheet June Acft  '!$B$5</f>
        <v>153.04704545454547</v>
      </c>
      <c r="S859">
        <f>tblDailySchedule[[#This Row],[Capacity Approx]]*'[1]Load Factor Sheet June Acft  '!$D$5</f>
        <v>165.71863636363636</v>
      </c>
      <c r="T859" s="22">
        <f>tblDailySchedule[[#This Row],[STD]]</f>
        <v>0.92361111111111116</v>
      </c>
    </row>
    <row r="860" spans="1:20" hidden="1" x14ac:dyDescent="0.35">
      <c r="A860" s="11">
        <v>46140</v>
      </c>
      <c r="B860" s="3">
        <v>2</v>
      </c>
      <c r="C860" t="s">
        <v>108</v>
      </c>
      <c r="D860" t="s">
        <v>18</v>
      </c>
      <c r="E860" s="3">
        <v>29</v>
      </c>
      <c r="F860" t="s">
        <v>19</v>
      </c>
      <c r="G860" t="s">
        <v>98</v>
      </c>
      <c r="H860" t="s">
        <v>21</v>
      </c>
      <c r="I860" s="12">
        <v>0.92013888888888884</v>
      </c>
      <c r="J860" t="s">
        <v>99</v>
      </c>
      <c r="K860" t="s">
        <v>21</v>
      </c>
      <c r="L860" s="12">
        <v>0.94791666666666663</v>
      </c>
      <c r="M860" t="s">
        <v>63</v>
      </c>
      <c r="N860" s="3">
        <v>232</v>
      </c>
      <c r="O860" t="s">
        <v>24</v>
      </c>
      <c r="P860" t="s">
        <v>79</v>
      </c>
      <c r="R860">
        <f>tblDailySchedule[[#This Row],[Capacity Approx]]*'[1]Load Factor Sheet June Acft  '!$B$5</f>
        <v>187.86727272727273</v>
      </c>
      <c r="S860">
        <f>tblDailySchedule[[#This Row],[Capacity Approx]]*'[1]Load Factor Sheet June Acft  '!$D$5</f>
        <v>203.4218181818182</v>
      </c>
      <c r="T860" s="22">
        <f>tblDailySchedule[[#This Row],[STD]]</f>
        <v>0.94791666666666663</v>
      </c>
    </row>
    <row r="861" spans="1:20" hidden="1" x14ac:dyDescent="0.35">
      <c r="A861" s="11">
        <v>46141</v>
      </c>
      <c r="B861" s="3">
        <v>3</v>
      </c>
      <c r="C861" t="s">
        <v>113</v>
      </c>
      <c r="D861" t="s">
        <v>18</v>
      </c>
      <c r="E861" s="3">
        <v>2</v>
      </c>
      <c r="F861" t="s">
        <v>19</v>
      </c>
      <c r="G861" t="s">
        <v>20</v>
      </c>
      <c r="H861" t="s">
        <v>21</v>
      </c>
      <c r="I861" s="12">
        <v>0.31944444444444442</v>
      </c>
      <c r="J861" t="s">
        <v>22</v>
      </c>
      <c r="K861" t="s">
        <v>21</v>
      </c>
      <c r="L861" s="12">
        <v>0.34722222222222221</v>
      </c>
      <c r="M861" t="s">
        <v>23</v>
      </c>
      <c r="N861" s="3">
        <v>186</v>
      </c>
      <c r="O861" t="s">
        <v>24</v>
      </c>
      <c r="P861" t="s">
        <v>25</v>
      </c>
      <c r="R861">
        <f>tblDailySchedule[[#This Row],[Capacity Approx]]*'[1]Load Factor Sheet June Acft  '!$B$5</f>
        <v>150.61772727272728</v>
      </c>
      <c r="S861">
        <f>tblDailySchedule[[#This Row],[Capacity Approx]]*'[1]Load Factor Sheet June Acft  '!$D$5</f>
        <v>163.08818181818182</v>
      </c>
      <c r="T861" s="22">
        <f>tblDailySchedule[[#This Row],[STD]]</f>
        <v>0.34722222222222221</v>
      </c>
    </row>
    <row r="862" spans="1:20" hidden="1" x14ac:dyDescent="0.35">
      <c r="A862" s="11">
        <v>46141</v>
      </c>
      <c r="B862" s="3">
        <v>3</v>
      </c>
      <c r="C862" t="s">
        <v>113</v>
      </c>
      <c r="D862" t="s">
        <v>18</v>
      </c>
      <c r="E862" s="3">
        <v>3</v>
      </c>
      <c r="F862" t="s">
        <v>19</v>
      </c>
      <c r="G862" t="s">
        <v>26</v>
      </c>
      <c r="H862" t="s">
        <v>27</v>
      </c>
      <c r="I862" s="12">
        <v>0.3263888888888889</v>
      </c>
      <c r="J862" t="s">
        <v>28</v>
      </c>
      <c r="K862" t="s">
        <v>27</v>
      </c>
      <c r="L862" s="12">
        <v>0.35416666666666669</v>
      </c>
      <c r="M862" t="s">
        <v>29</v>
      </c>
      <c r="N862" s="3">
        <v>186</v>
      </c>
      <c r="O862" t="s">
        <v>24</v>
      </c>
      <c r="P862" t="s">
        <v>25</v>
      </c>
      <c r="R862">
        <f>tblDailySchedule[[#This Row],[Capacity Approx]]*'[1]Load Factor Sheet June Acft  '!$B$5</f>
        <v>150.61772727272728</v>
      </c>
      <c r="S862">
        <f>tblDailySchedule[[#This Row],[Capacity Approx]]*'[1]Load Factor Sheet June Acft  '!$D$5</f>
        <v>163.08818181818182</v>
      </c>
      <c r="T862" s="22">
        <f>tblDailySchedule[[#This Row],[STD]]</f>
        <v>0.35416666666666669</v>
      </c>
    </row>
    <row r="863" spans="1:20" hidden="1" x14ac:dyDescent="0.35">
      <c r="A863" s="11">
        <v>46141</v>
      </c>
      <c r="B863" s="3">
        <v>3</v>
      </c>
      <c r="C863" t="s">
        <v>113</v>
      </c>
      <c r="D863" t="s">
        <v>18</v>
      </c>
      <c r="E863" s="3">
        <v>4</v>
      </c>
      <c r="F863" t="s">
        <v>19</v>
      </c>
      <c r="G863" t="s">
        <v>30</v>
      </c>
      <c r="H863" t="s">
        <v>31</v>
      </c>
      <c r="I863" s="12">
        <v>0.34722222222222221</v>
      </c>
      <c r="J863" t="s">
        <v>32</v>
      </c>
      <c r="K863" t="s">
        <v>31</v>
      </c>
      <c r="L863" s="12">
        <v>0.36805555555555558</v>
      </c>
      <c r="M863" t="s">
        <v>33</v>
      </c>
      <c r="N863" s="3">
        <v>189</v>
      </c>
      <c r="O863" t="s">
        <v>24</v>
      </c>
      <c r="P863" t="s">
        <v>25</v>
      </c>
      <c r="R863">
        <f>tblDailySchedule[[#This Row],[Capacity Approx]]*'[1]Load Factor Sheet June Acft  '!$B$5</f>
        <v>153.04704545454547</v>
      </c>
      <c r="S863">
        <f>tblDailySchedule[[#This Row],[Capacity Approx]]*'[1]Load Factor Sheet June Acft  '!$D$5</f>
        <v>165.71863636363636</v>
      </c>
      <c r="T863" s="22">
        <f>tblDailySchedule[[#This Row],[STD]]</f>
        <v>0.36805555555555558</v>
      </c>
    </row>
    <row r="864" spans="1:20" hidden="1" x14ac:dyDescent="0.35">
      <c r="A864" s="13">
        <v>46141</v>
      </c>
      <c r="B864" s="7">
        <v>3</v>
      </c>
      <c r="C864" s="14" t="s">
        <v>113</v>
      </c>
      <c r="D864" s="14" t="s">
        <v>18</v>
      </c>
      <c r="E864" s="7">
        <v>6</v>
      </c>
      <c r="F864" s="14" t="s">
        <v>34</v>
      </c>
      <c r="G864" s="14" t="s">
        <v>35</v>
      </c>
      <c r="H864" s="14" t="s">
        <v>36</v>
      </c>
      <c r="I864" s="15">
        <v>0.34722222222222221</v>
      </c>
      <c r="J864" s="14" t="s">
        <v>37</v>
      </c>
      <c r="K864" s="14" t="s">
        <v>36</v>
      </c>
      <c r="L864" s="15">
        <v>0.40972222222222221</v>
      </c>
      <c r="M864" s="14" t="s">
        <v>38</v>
      </c>
      <c r="N864" s="7">
        <v>186</v>
      </c>
      <c r="O864" s="14" t="s">
        <v>39</v>
      </c>
      <c r="P864" s="14" t="s">
        <v>25</v>
      </c>
      <c r="Q864" s="14" t="s">
        <v>39</v>
      </c>
      <c r="R864">
        <f>tblDailySchedule[[#This Row],[Capacity Approx]]*'[1]Load Factor Sheet June Acft  '!$B$5</f>
        <v>150.61772727272728</v>
      </c>
      <c r="S864">
        <f>tblDailySchedule[[#This Row],[Capacity Approx]]*'[1]Load Factor Sheet June Acft  '!$D$5</f>
        <v>163.08818181818182</v>
      </c>
      <c r="T864" s="22">
        <f>tblDailySchedule[[#This Row],[STD]]</f>
        <v>0.40972222222222221</v>
      </c>
    </row>
    <row r="865" spans="1:20" hidden="1" x14ac:dyDescent="0.35">
      <c r="A865" s="11">
        <v>46141</v>
      </c>
      <c r="B865" s="3">
        <v>3</v>
      </c>
      <c r="C865" t="s">
        <v>113</v>
      </c>
      <c r="D865" t="s">
        <v>18</v>
      </c>
      <c r="E865" s="3">
        <v>5</v>
      </c>
      <c r="F865" t="s">
        <v>19</v>
      </c>
      <c r="G865" t="s">
        <v>40</v>
      </c>
      <c r="H865" t="s">
        <v>31</v>
      </c>
      <c r="I865" s="12">
        <v>0.35069444444444442</v>
      </c>
      <c r="J865" t="s">
        <v>41</v>
      </c>
      <c r="K865" t="s">
        <v>31</v>
      </c>
      <c r="L865" s="12">
        <v>0.37152777777777779</v>
      </c>
      <c r="M865" t="s">
        <v>23</v>
      </c>
      <c r="N865" s="3">
        <v>186</v>
      </c>
      <c r="O865" t="s">
        <v>24</v>
      </c>
      <c r="P865" t="s">
        <v>25</v>
      </c>
      <c r="R865">
        <f>tblDailySchedule[[#This Row],[Capacity Approx]]*'[1]Load Factor Sheet June Acft  '!$B$5</f>
        <v>150.61772727272728</v>
      </c>
      <c r="S865">
        <f>tblDailySchedule[[#This Row],[Capacity Approx]]*'[1]Load Factor Sheet June Acft  '!$D$5</f>
        <v>163.08818181818182</v>
      </c>
      <c r="T865" s="22">
        <f>tblDailySchedule[[#This Row],[STD]]</f>
        <v>0.37152777777777779</v>
      </c>
    </row>
    <row r="866" spans="1:20" hidden="1" x14ac:dyDescent="0.35">
      <c r="A866" s="11">
        <v>46141</v>
      </c>
      <c r="B866" s="3">
        <v>3</v>
      </c>
      <c r="C866" t="s">
        <v>113</v>
      </c>
      <c r="D866" t="s">
        <v>18</v>
      </c>
      <c r="E866" s="3">
        <v>7</v>
      </c>
      <c r="F866" t="s">
        <v>19</v>
      </c>
      <c r="G866" t="s">
        <v>42</v>
      </c>
      <c r="H866" t="s">
        <v>43</v>
      </c>
      <c r="I866" s="12">
        <v>0.3923611111111111</v>
      </c>
      <c r="J866" t="s">
        <v>44</v>
      </c>
      <c r="K866" t="s">
        <v>43</v>
      </c>
      <c r="L866" s="12">
        <v>0.40277777777777779</v>
      </c>
      <c r="M866" t="s">
        <v>45</v>
      </c>
      <c r="N866" s="3">
        <v>9</v>
      </c>
      <c r="O866" t="s">
        <v>24</v>
      </c>
      <c r="P866" t="s">
        <v>25</v>
      </c>
      <c r="R866">
        <f>tblDailySchedule[[#This Row],[Capacity Approx]]*'[1]Load Factor Sheet June Acft  '!$B$5</f>
        <v>7.2879545454545456</v>
      </c>
      <c r="S866">
        <f>tblDailySchedule[[#This Row],[Capacity Approx]]*'[1]Load Factor Sheet June Acft  '!$D$5</f>
        <v>7.8913636363636366</v>
      </c>
      <c r="T866" s="22">
        <f>tblDailySchedule[[#This Row],[STD]]</f>
        <v>0.40277777777777779</v>
      </c>
    </row>
    <row r="867" spans="1:20" hidden="1" x14ac:dyDescent="0.35">
      <c r="A867" s="11">
        <v>46141</v>
      </c>
      <c r="B867" s="3">
        <v>3</v>
      </c>
      <c r="C867" t="s">
        <v>113</v>
      </c>
      <c r="D867" t="s">
        <v>18</v>
      </c>
      <c r="E867" s="3">
        <v>8</v>
      </c>
      <c r="F867" t="s">
        <v>19</v>
      </c>
      <c r="G867" t="s">
        <v>46</v>
      </c>
      <c r="H867" t="s">
        <v>31</v>
      </c>
      <c r="I867" s="12">
        <v>0.4201388888888889</v>
      </c>
      <c r="J867" t="s">
        <v>47</v>
      </c>
      <c r="K867" t="s">
        <v>31</v>
      </c>
      <c r="L867" s="12">
        <v>0.44444444444444442</v>
      </c>
      <c r="M867" t="s">
        <v>29</v>
      </c>
      <c r="N867" s="3">
        <v>186</v>
      </c>
      <c r="O867" t="s">
        <v>24</v>
      </c>
      <c r="P867" t="s">
        <v>25</v>
      </c>
      <c r="R867">
        <f>tblDailySchedule[[#This Row],[Capacity Approx]]*'[1]Load Factor Sheet June Acft  '!$B$5</f>
        <v>150.61772727272728</v>
      </c>
      <c r="S867">
        <f>tblDailySchedule[[#This Row],[Capacity Approx]]*'[1]Load Factor Sheet June Acft  '!$D$5</f>
        <v>163.08818181818182</v>
      </c>
      <c r="T867" s="22">
        <f>tblDailySchedule[[#This Row],[STD]]</f>
        <v>0.44444444444444442</v>
      </c>
    </row>
    <row r="868" spans="1:20" hidden="1" x14ac:dyDescent="0.35">
      <c r="A868" s="11">
        <v>46141</v>
      </c>
      <c r="B868" s="3">
        <v>3</v>
      </c>
      <c r="C868" t="s">
        <v>113</v>
      </c>
      <c r="D868" t="s">
        <v>18</v>
      </c>
      <c r="E868" s="3">
        <v>9</v>
      </c>
      <c r="F868" t="s">
        <v>19</v>
      </c>
      <c r="G868" t="s">
        <v>48</v>
      </c>
      <c r="H868" t="s">
        <v>49</v>
      </c>
      <c r="I868" s="12">
        <v>0.4375</v>
      </c>
      <c r="J868" t="s">
        <v>50</v>
      </c>
      <c r="K868" t="s">
        <v>49</v>
      </c>
      <c r="L868" s="12">
        <v>0.45833333333333331</v>
      </c>
      <c r="M868" t="s">
        <v>51</v>
      </c>
      <c r="N868" s="3">
        <v>78</v>
      </c>
      <c r="O868" t="s">
        <v>24</v>
      </c>
      <c r="P868" t="s">
        <v>25</v>
      </c>
      <c r="R868">
        <f>tblDailySchedule[[#This Row],[Capacity Approx]]*'[1]Load Factor Sheet June Acft  '!$B$5</f>
        <v>63.162272727272729</v>
      </c>
      <c r="S868">
        <f>tblDailySchedule[[#This Row],[Capacity Approx]]*'[1]Load Factor Sheet June Acft  '!$D$5</f>
        <v>68.391818181818181</v>
      </c>
      <c r="T868" s="22">
        <f>tblDailySchedule[[#This Row],[STD]]</f>
        <v>0.45833333333333331</v>
      </c>
    </row>
    <row r="869" spans="1:20" hidden="1" x14ac:dyDescent="0.35">
      <c r="A869" s="11">
        <v>46141</v>
      </c>
      <c r="B869" s="3">
        <v>3</v>
      </c>
      <c r="C869" t="s">
        <v>113</v>
      </c>
      <c r="D869" t="s">
        <v>18</v>
      </c>
      <c r="E869" s="3">
        <v>10</v>
      </c>
      <c r="F869" t="s">
        <v>19</v>
      </c>
      <c r="G869" t="s">
        <v>52</v>
      </c>
      <c r="H869" t="s">
        <v>27</v>
      </c>
      <c r="I869" s="12">
        <v>0.4826388888888889</v>
      </c>
      <c r="J869" t="s">
        <v>53</v>
      </c>
      <c r="K869" t="s">
        <v>27</v>
      </c>
      <c r="L869" s="12">
        <v>0.51041666666666663</v>
      </c>
      <c r="M869" t="s">
        <v>23</v>
      </c>
      <c r="N869" s="3">
        <v>186</v>
      </c>
      <c r="O869" t="s">
        <v>24</v>
      </c>
      <c r="P869" t="s">
        <v>25</v>
      </c>
      <c r="R869">
        <f>tblDailySchedule[[#This Row],[Capacity Approx]]*'[1]Load Factor Sheet June Acft  '!$B$5</f>
        <v>150.61772727272728</v>
      </c>
      <c r="S869">
        <f>tblDailySchedule[[#This Row],[Capacity Approx]]*'[1]Load Factor Sheet June Acft  '!$D$5</f>
        <v>163.08818181818182</v>
      </c>
      <c r="T869" s="22">
        <f>tblDailySchedule[[#This Row],[STD]]</f>
        <v>0.51041666666666663</v>
      </c>
    </row>
    <row r="870" spans="1:20" hidden="1" x14ac:dyDescent="0.35">
      <c r="A870" s="11">
        <v>46141</v>
      </c>
      <c r="B870" s="3">
        <v>3</v>
      </c>
      <c r="C870" t="s">
        <v>113</v>
      </c>
      <c r="D870" t="s">
        <v>18</v>
      </c>
      <c r="E870" s="3">
        <v>11</v>
      </c>
      <c r="F870" t="s">
        <v>19</v>
      </c>
      <c r="G870" t="s">
        <v>54</v>
      </c>
      <c r="H870" t="s">
        <v>31</v>
      </c>
      <c r="I870" s="12">
        <v>0.51388888888888884</v>
      </c>
      <c r="J870" t="s">
        <v>55</v>
      </c>
      <c r="K870" t="s">
        <v>31</v>
      </c>
      <c r="L870" s="12">
        <v>0.54166666666666663</v>
      </c>
      <c r="M870" t="s">
        <v>23</v>
      </c>
      <c r="N870" s="3">
        <v>186</v>
      </c>
      <c r="O870" t="s">
        <v>24</v>
      </c>
      <c r="P870" t="s">
        <v>56</v>
      </c>
      <c r="R870">
        <f>tblDailySchedule[[#This Row],[Capacity Approx]]*'[1]Load Factor Sheet June Acft  '!$B$5</f>
        <v>150.61772727272728</v>
      </c>
      <c r="S870">
        <f>tblDailySchedule[[#This Row],[Capacity Approx]]*'[1]Load Factor Sheet June Acft  '!$D$5</f>
        <v>163.08818181818182</v>
      </c>
      <c r="T870" s="22">
        <f>tblDailySchedule[[#This Row],[STD]]</f>
        <v>0.54166666666666663</v>
      </c>
    </row>
    <row r="871" spans="1:20" hidden="1" x14ac:dyDescent="0.35">
      <c r="A871" s="11">
        <v>46141</v>
      </c>
      <c r="B871" s="3">
        <v>3</v>
      </c>
      <c r="C871" t="s">
        <v>113</v>
      </c>
      <c r="D871" t="s">
        <v>18</v>
      </c>
      <c r="E871" s="3">
        <v>13</v>
      </c>
      <c r="F871" t="s">
        <v>19</v>
      </c>
      <c r="G871" t="s">
        <v>57</v>
      </c>
      <c r="H871" t="s">
        <v>58</v>
      </c>
      <c r="I871" s="12">
        <v>0.55902777777777779</v>
      </c>
      <c r="J871" t="s">
        <v>59</v>
      </c>
      <c r="K871" t="s">
        <v>58</v>
      </c>
      <c r="L871" s="12">
        <v>0.57638888888888884</v>
      </c>
      <c r="M871" t="s">
        <v>51</v>
      </c>
      <c r="N871" s="3">
        <v>78</v>
      </c>
      <c r="O871" t="s">
        <v>24</v>
      </c>
      <c r="P871" t="s">
        <v>56</v>
      </c>
      <c r="R871">
        <f>tblDailySchedule[[#This Row],[Capacity Approx]]*'[1]Load Factor Sheet June Acft  '!$B$5</f>
        <v>63.162272727272729</v>
      </c>
      <c r="S871">
        <f>tblDailySchedule[[#This Row],[Capacity Approx]]*'[1]Load Factor Sheet June Acft  '!$D$5</f>
        <v>68.391818181818181</v>
      </c>
      <c r="T871" s="22">
        <f>tblDailySchedule[[#This Row],[STD]]</f>
        <v>0.57638888888888884</v>
      </c>
    </row>
    <row r="872" spans="1:20" hidden="1" x14ac:dyDescent="0.35">
      <c r="A872" s="11">
        <v>46141</v>
      </c>
      <c r="B872" s="3">
        <v>3</v>
      </c>
      <c r="C872" t="s">
        <v>113</v>
      </c>
      <c r="D872" t="s">
        <v>18</v>
      </c>
      <c r="E872" s="3">
        <v>14</v>
      </c>
      <c r="F872" t="s">
        <v>19</v>
      </c>
      <c r="G872" t="s">
        <v>60</v>
      </c>
      <c r="H872" t="s">
        <v>61</v>
      </c>
      <c r="I872" s="12">
        <v>0.59027777777777779</v>
      </c>
      <c r="J872" t="s">
        <v>62</v>
      </c>
      <c r="K872" t="s">
        <v>61</v>
      </c>
      <c r="L872" s="12">
        <v>0.62152777777777779</v>
      </c>
      <c r="M872" t="s">
        <v>63</v>
      </c>
      <c r="N872" s="3">
        <v>232</v>
      </c>
      <c r="O872" t="s">
        <v>24</v>
      </c>
      <c r="P872" t="s">
        <v>56</v>
      </c>
      <c r="R872">
        <f>tblDailySchedule[[#This Row],[Capacity Approx]]*'[1]Load Factor Sheet June Acft  '!$B$5</f>
        <v>187.86727272727273</v>
      </c>
      <c r="S872">
        <f>tblDailySchedule[[#This Row],[Capacity Approx]]*'[1]Load Factor Sheet June Acft  '!$D$5</f>
        <v>203.4218181818182</v>
      </c>
      <c r="T872" s="22">
        <f>tblDailySchedule[[#This Row],[STD]]</f>
        <v>0.62152777777777779</v>
      </c>
    </row>
    <row r="873" spans="1:20" hidden="1" x14ac:dyDescent="0.35">
      <c r="A873" s="11">
        <v>46141</v>
      </c>
      <c r="B873" s="3">
        <v>3</v>
      </c>
      <c r="C873" t="s">
        <v>113</v>
      </c>
      <c r="D873" t="s">
        <v>18</v>
      </c>
      <c r="E873" s="3">
        <v>15</v>
      </c>
      <c r="F873" t="s">
        <v>19</v>
      </c>
      <c r="G873" t="s">
        <v>64</v>
      </c>
      <c r="H873" t="s">
        <v>31</v>
      </c>
      <c r="I873" s="12">
        <v>0.60069444444444442</v>
      </c>
      <c r="J873" t="s">
        <v>65</v>
      </c>
      <c r="K873" t="s">
        <v>66</v>
      </c>
      <c r="L873" s="12">
        <v>0.62847222222222221</v>
      </c>
      <c r="M873" t="s">
        <v>63</v>
      </c>
      <c r="N873" s="3">
        <v>232</v>
      </c>
      <c r="O873" t="s">
        <v>24</v>
      </c>
      <c r="P873" t="s">
        <v>56</v>
      </c>
      <c r="R873">
        <f>tblDailySchedule[[#This Row],[Capacity Approx]]*'[1]Load Factor Sheet June Acft  '!$B$5</f>
        <v>187.86727272727273</v>
      </c>
      <c r="S873">
        <f>tblDailySchedule[[#This Row],[Capacity Approx]]*'[1]Load Factor Sheet June Acft  '!$D$5</f>
        <v>203.4218181818182</v>
      </c>
      <c r="T873" s="22">
        <f>tblDailySchedule[[#This Row],[STD]]</f>
        <v>0.62847222222222221</v>
      </c>
    </row>
    <row r="874" spans="1:20" hidden="1" x14ac:dyDescent="0.35">
      <c r="A874" s="11">
        <v>46141</v>
      </c>
      <c r="B874" s="3">
        <v>3</v>
      </c>
      <c r="C874" t="s">
        <v>113</v>
      </c>
      <c r="D874" t="s">
        <v>18</v>
      </c>
      <c r="E874" s="3">
        <v>16</v>
      </c>
      <c r="F874" t="s">
        <v>19</v>
      </c>
      <c r="G874" t="s">
        <v>67</v>
      </c>
      <c r="H874" t="s">
        <v>31</v>
      </c>
      <c r="I874" s="12">
        <v>0.65625</v>
      </c>
      <c r="J874" t="s">
        <v>68</v>
      </c>
      <c r="K874" t="s">
        <v>31</v>
      </c>
      <c r="L874" s="12">
        <v>0.68402777777777779</v>
      </c>
      <c r="M874" t="s">
        <v>63</v>
      </c>
      <c r="N874" s="3">
        <v>232</v>
      </c>
      <c r="O874" t="s">
        <v>24</v>
      </c>
      <c r="P874" t="s">
        <v>56</v>
      </c>
      <c r="R874">
        <f>tblDailySchedule[[#This Row],[Capacity Approx]]*'[1]Load Factor Sheet June Acft  '!$B$5</f>
        <v>187.86727272727273</v>
      </c>
      <c r="S874">
        <f>tblDailySchedule[[#This Row],[Capacity Approx]]*'[1]Load Factor Sheet June Acft  '!$D$5</f>
        <v>203.4218181818182</v>
      </c>
      <c r="T874" s="22">
        <f>tblDailySchedule[[#This Row],[STD]]</f>
        <v>0.68402777777777779</v>
      </c>
    </row>
    <row r="875" spans="1:20" hidden="1" x14ac:dyDescent="0.35">
      <c r="A875" s="11">
        <v>46141</v>
      </c>
      <c r="B875" s="3">
        <v>3</v>
      </c>
      <c r="C875" t="s">
        <v>113</v>
      </c>
      <c r="D875" t="s">
        <v>18</v>
      </c>
      <c r="E875" s="3">
        <v>17</v>
      </c>
      <c r="F875" t="s">
        <v>19</v>
      </c>
      <c r="G875" t="s">
        <v>69</v>
      </c>
      <c r="H875" t="s">
        <v>31</v>
      </c>
      <c r="I875" s="12">
        <v>0.66319444444444442</v>
      </c>
      <c r="J875" t="s">
        <v>70</v>
      </c>
      <c r="K875" t="s">
        <v>31</v>
      </c>
      <c r="L875" s="12">
        <v>0.69097222222222221</v>
      </c>
      <c r="M875" t="s">
        <v>33</v>
      </c>
      <c r="N875" s="3">
        <v>189</v>
      </c>
      <c r="O875" t="s">
        <v>24</v>
      </c>
      <c r="P875" t="s">
        <v>56</v>
      </c>
      <c r="R875">
        <f>tblDailySchedule[[#This Row],[Capacity Approx]]*'[1]Load Factor Sheet June Acft  '!$B$5</f>
        <v>153.04704545454547</v>
      </c>
      <c r="S875">
        <f>tblDailySchedule[[#This Row],[Capacity Approx]]*'[1]Load Factor Sheet June Acft  '!$D$5</f>
        <v>165.71863636363636</v>
      </c>
      <c r="T875" s="22">
        <f>tblDailySchedule[[#This Row],[STD]]</f>
        <v>0.69097222222222221</v>
      </c>
    </row>
    <row r="876" spans="1:20" hidden="1" x14ac:dyDescent="0.35">
      <c r="A876" s="11">
        <v>46141</v>
      </c>
      <c r="B876" s="3">
        <v>3</v>
      </c>
      <c r="C876" t="s">
        <v>113</v>
      </c>
      <c r="D876" t="s">
        <v>18</v>
      </c>
      <c r="E876" s="3">
        <v>18</v>
      </c>
      <c r="F876" t="s">
        <v>19</v>
      </c>
      <c r="G876" t="s">
        <v>71</v>
      </c>
      <c r="H876" t="s">
        <v>21</v>
      </c>
      <c r="I876" s="12">
        <v>0.67013888888888884</v>
      </c>
      <c r="J876" t="s">
        <v>72</v>
      </c>
      <c r="K876" t="s">
        <v>21</v>
      </c>
      <c r="L876" s="12">
        <v>0.69791666666666663</v>
      </c>
      <c r="M876" t="s">
        <v>63</v>
      </c>
      <c r="N876" s="3">
        <v>232</v>
      </c>
      <c r="O876" t="s">
        <v>24</v>
      </c>
      <c r="P876" t="s">
        <v>56</v>
      </c>
      <c r="R876">
        <f>tblDailySchedule[[#This Row],[Capacity Approx]]*'[1]Load Factor Sheet June Acft  '!$B$5</f>
        <v>187.86727272727273</v>
      </c>
      <c r="S876">
        <f>tblDailySchedule[[#This Row],[Capacity Approx]]*'[1]Load Factor Sheet June Acft  '!$D$5</f>
        <v>203.4218181818182</v>
      </c>
      <c r="T876" s="22">
        <f>tblDailySchedule[[#This Row],[STD]]</f>
        <v>0.69791666666666663</v>
      </c>
    </row>
    <row r="877" spans="1:20" hidden="1" x14ac:dyDescent="0.35">
      <c r="A877" s="11">
        <v>46141</v>
      </c>
      <c r="B877" s="3">
        <v>3</v>
      </c>
      <c r="C877" t="s">
        <v>113</v>
      </c>
      <c r="D877" t="s">
        <v>18</v>
      </c>
      <c r="E877" s="3">
        <v>19</v>
      </c>
      <c r="F877" t="s">
        <v>19</v>
      </c>
      <c r="G877" t="s">
        <v>73</v>
      </c>
      <c r="H877" t="s">
        <v>27</v>
      </c>
      <c r="I877" s="12">
        <v>0.74652777777777779</v>
      </c>
      <c r="J877" t="s">
        <v>74</v>
      </c>
      <c r="K877" t="s">
        <v>27</v>
      </c>
      <c r="L877" s="12">
        <v>0.77430555555555558</v>
      </c>
      <c r="M877" t="s">
        <v>63</v>
      </c>
      <c r="N877" s="3">
        <v>232</v>
      </c>
      <c r="O877" t="s">
        <v>24</v>
      </c>
      <c r="P877" t="s">
        <v>56</v>
      </c>
      <c r="R877">
        <f>tblDailySchedule[[#This Row],[Capacity Approx]]*'[1]Load Factor Sheet June Acft  '!$B$5</f>
        <v>187.86727272727273</v>
      </c>
      <c r="S877">
        <f>tblDailySchedule[[#This Row],[Capacity Approx]]*'[1]Load Factor Sheet June Acft  '!$D$5</f>
        <v>203.4218181818182</v>
      </c>
      <c r="T877" s="22">
        <f>tblDailySchedule[[#This Row],[STD]]</f>
        <v>0.77430555555555558</v>
      </c>
    </row>
    <row r="878" spans="1:20" hidden="1" x14ac:dyDescent="0.35">
      <c r="A878" s="11">
        <v>46141</v>
      </c>
      <c r="B878" s="3">
        <v>3</v>
      </c>
      <c r="C878" t="s">
        <v>113</v>
      </c>
      <c r="D878" t="s">
        <v>18</v>
      </c>
      <c r="E878" s="3">
        <v>20</v>
      </c>
      <c r="F878" t="s">
        <v>34</v>
      </c>
      <c r="G878" t="s">
        <v>75</v>
      </c>
      <c r="H878" t="s">
        <v>76</v>
      </c>
      <c r="I878" s="12">
        <v>0.76388888888888884</v>
      </c>
      <c r="J878" t="s">
        <v>77</v>
      </c>
      <c r="K878" t="s">
        <v>78</v>
      </c>
      <c r="L878" s="12">
        <v>0.78472222222222221</v>
      </c>
      <c r="M878" t="s">
        <v>51</v>
      </c>
      <c r="N878" s="3">
        <v>78</v>
      </c>
      <c r="O878" t="s">
        <v>24</v>
      </c>
      <c r="P878" t="s">
        <v>79</v>
      </c>
      <c r="Q878" s="16" t="s">
        <v>80</v>
      </c>
      <c r="R878">
        <f>tblDailySchedule[[#This Row],[Capacity Approx]]*'[1]Load Factor Sheet June Acft  '!$B$5</f>
        <v>63.162272727272729</v>
      </c>
      <c r="S878">
        <f>tblDailySchedule[[#This Row],[Capacity Approx]]*'[1]Load Factor Sheet June Acft  '!$D$5</f>
        <v>68.391818181818181</v>
      </c>
      <c r="T878" s="22">
        <f>tblDailySchedule[[#This Row],[STD]]</f>
        <v>0.78472222222222221</v>
      </c>
    </row>
    <row r="879" spans="1:20" hidden="1" x14ac:dyDescent="0.35">
      <c r="A879" s="11">
        <v>46141</v>
      </c>
      <c r="B879" s="3">
        <v>3</v>
      </c>
      <c r="C879" t="s">
        <v>113</v>
      </c>
      <c r="D879" t="s">
        <v>18</v>
      </c>
      <c r="E879" s="3">
        <v>21</v>
      </c>
      <c r="F879" t="s">
        <v>19</v>
      </c>
      <c r="G879" t="s">
        <v>81</v>
      </c>
      <c r="H879" t="s">
        <v>61</v>
      </c>
      <c r="I879" s="12">
        <v>0.77083333333333337</v>
      </c>
      <c r="J879" t="s">
        <v>82</v>
      </c>
      <c r="K879" t="s">
        <v>49</v>
      </c>
      <c r="L879" s="12">
        <v>0.79166666666666663</v>
      </c>
      <c r="M879" t="s">
        <v>33</v>
      </c>
      <c r="N879" s="3">
        <v>189</v>
      </c>
      <c r="O879" t="s">
        <v>24</v>
      </c>
      <c r="P879" t="s">
        <v>79</v>
      </c>
      <c r="R879">
        <f>tblDailySchedule[[#This Row],[Capacity Approx]]*'[1]Load Factor Sheet June Acft  '!$B$5</f>
        <v>153.04704545454547</v>
      </c>
      <c r="S879">
        <f>tblDailySchedule[[#This Row],[Capacity Approx]]*'[1]Load Factor Sheet June Acft  '!$D$5</f>
        <v>165.71863636363636</v>
      </c>
      <c r="T879" s="22">
        <f>tblDailySchedule[[#This Row],[STD]]</f>
        <v>0.79166666666666663</v>
      </c>
    </row>
    <row r="880" spans="1:20" hidden="1" x14ac:dyDescent="0.35">
      <c r="A880" s="11">
        <v>46141</v>
      </c>
      <c r="B880" s="3">
        <v>3</v>
      </c>
      <c r="C880" t="s">
        <v>113</v>
      </c>
      <c r="D880" t="s">
        <v>18</v>
      </c>
      <c r="E880" s="3">
        <v>22</v>
      </c>
      <c r="F880" t="s">
        <v>19</v>
      </c>
      <c r="G880" t="s">
        <v>83</v>
      </c>
      <c r="H880" t="s">
        <v>31</v>
      </c>
      <c r="I880" s="12">
        <v>0.77777777777777779</v>
      </c>
      <c r="J880" t="s">
        <v>84</v>
      </c>
      <c r="K880" t="s">
        <v>31</v>
      </c>
      <c r="L880" s="12">
        <v>0.80555555555555558</v>
      </c>
      <c r="M880" t="s">
        <v>63</v>
      </c>
      <c r="N880" s="3">
        <v>232</v>
      </c>
      <c r="O880" t="s">
        <v>24</v>
      </c>
      <c r="P880" t="s">
        <v>79</v>
      </c>
      <c r="R880">
        <f>tblDailySchedule[[#This Row],[Capacity Approx]]*'[1]Load Factor Sheet June Acft  '!$B$5</f>
        <v>187.86727272727273</v>
      </c>
      <c r="S880">
        <f>tblDailySchedule[[#This Row],[Capacity Approx]]*'[1]Load Factor Sheet June Acft  '!$D$5</f>
        <v>203.4218181818182</v>
      </c>
      <c r="T880" s="22">
        <f>tblDailySchedule[[#This Row],[STD]]</f>
        <v>0.80555555555555558</v>
      </c>
    </row>
    <row r="881" spans="1:20" hidden="1" x14ac:dyDescent="0.35">
      <c r="A881" s="11">
        <v>46141</v>
      </c>
      <c r="B881" s="3">
        <v>3</v>
      </c>
      <c r="C881" t="s">
        <v>113</v>
      </c>
      <c r="D881" t="s">
        <v>18</v>
      </c>
      <c r="E881" s="3">
        <v>23</v>
      </c>
      <c r="F881" t="s">
        <v>19</v>
      </c>
      <c r="G881" t="s">
        <v>85</v>
      </c>
      <c r="H881" t="s">
        <v>86</v>
      </c>
      <c r="I881" s="12">
        <v>0.79861111111111116</v>
      </c>
      <c r="J881" t="s">
        <v>87</v>
      </c>
      <c r="K881" t="s">
        <v>86</v>
      </c>
      <c r="L881" s="12">
        <v>0.82638888888888884</v>
      </c>
      <c r="M881" t="s">
        <v>63</v>
      </c>
      <c r="N881" s="3">
        <v>232</v>
      </c>
      <c r="O881" t="s">
        <v>24</v>
      </c>
      <c r="P881" t="s">
        <v>79</v>
      </c>
      <c r="R881">
        <f>tblDailySchedule[[#This Row],[Capacity Approx]]*'[1]Load Factor Sheet June Acft  '!$B$5</f>
        <v>187.86727272727273</v>
      </c>
      <c r="S881">
        <f>tblDailySchedule[[#This Row],[Capacity Approx]]*'[1]Load Factor Sheet June Acft  '!$D$5</f>
        <v>203.4218181818182</v>
      </c>
      <c r="T881" s="22">
        <f>tblDailySchedule[[#This Row],[STD]]</f>
        <v>0.82638888888888884</v>
      </c>
    </row>
    <row r="882" spans="1:20" hidden="1" x14ac:dyDescent="0.35">
      <c r="A882" s="11">
        <v>46141</v>
      </c>
      <c r="B882" s="3">
        <v>3</v>
      </c>
      <c r="C882" t="s">
        <v>113</v>
      </c>
      <c r="D882" t="s">
        <v>18</v>
      </c>
      <c r="E882" s="3">
        <v>24</v>
      </c>
      <c r="F882" t="s">
        <v>19</v>
      </c>
      <c r="G882" t="s">
        <v>88</v>
      </c>
      <c r="H882" t="s">
        <v>89</v>
      </c>
      <c r="I882" s="12">
        <v>0.83333333333333337</v>
      </c>
      <c r="J882" t="s">
        <v>90</v>
      </c>
      <c r="K882" t="s">
        <v>31</v>
      </c>
      <c r="L882" s="12">
        <v>0.86111111111111116</v>
      </c>
      <c r="M882" t="s">
        <v>63</v>
      </c>
      <c r="N882" s="3">
        <v>232</v>
      </c>
      <c r="O882" t="s">
        <v>24</v>
      </c>
      <c r="P882" t="s">
        <v>79</v>
      </c>
      <c r="R882">
        <f>tblDailySchedule[[#This Row],[Capacity Approx]]*'[1]Load Factor Sheet June Acft  '!$B$5</f>
        <v>187.86727272727273</v>
      </c>
      <c r="S882">
        <f>tblDailySchedule[[#This Row],[Capacity Approx]]*'[1]Load Factor Sheet June Acft  '!$D$5</f>
        <v>203.4218181818182</v>
      </c>
      <c r="T882" s="22">
        <f>tblDailySchedule[[#This Row],[STD]]</f>
        <v>0.86111111111111116</v>
      </c>
    </row>
    <row r="883" spans="1:20" hidden="1" x14ac:dyDescent="0.35">
      <c r="A883" s="11">
        <v>46141</v>
      </c>
      <c r="B883" s="3">
        <v>3</v>
      </c>
      <c r="C883" t="s">
        <v>113</v>
      </c>
      <c r="D883" t="s">
        <v>18</v>
      </c>
      <c r="E883" s="3">
        <v>25</v>
      </c>
      <c r="F883" t="s">
        <v>19</v>
      </c>
      <c r="G883" t="s">
        <v>91</v>
      </c>
      <c r="H883" t="s">
        <v>61</v>
      </c>
      <c r="I883" s="12">
        <v>0.85416666666666663</v>
      </c>
      <c r="J883" t="s">
        <v>92</v>
      </c>
      <c r="K883" t="s">
        <v>61</v>
      </c>
      <c r="L883" s="12">
        <v>0.88194444444444442</v>
      </c>
      <c r="M883" t="s">
        <v>63</v>
      </c>
      <c r="N883" s="3">
        <v>232</v>
      </c>
      <c r="O883" t="s">
        <v>24</v>
      </c>
      <c r="P883" t="s">
        <v>79</v>
      </c>
      <c r="R883">
        <f>tblDailySchedule[[#This Row],[Capacity Approx]]*'[1]Load Factor Sheet June Acft  '!$B$5</f>
        <v>187.86727272727273</v>
      </c>
      <c r="S883">
        <f>tblDailySchedule[[#This Row],[Capacity Approx]]*'[1]Load Factor Sheet June Acft  '!$D$5</f>
        <v>203.4218181818182</v>
      </c>
      <c r="T883" s="22">
        <f>tblDailySchedule[[#This Row],[STD]]</f>
        <v>0.88194444444444442</v>
      </c>
    </row>
    <row r="884" spans="1:20" hidden="1" x14ac:dyDescent="0.35">
      <c r="A884" s="11">
        <v>46141</v>
      </c>
      <c r="B884" s="3">
        <v>3</v>
      </c>
      <c r="C884" t="s">
        <v>113</v>
      </c>
      <c r="D884" t="s">
        <v>18</v>
      </c>
      <c r="E884" s="3">
        <v>26</v>
      </c>
      <c r="F884" t="s">
        <v>19</v>
      </c>
      <c r="G884" t="s">
        <v>93</v>
      </c>
      <c r="H884" t="s">
        <v>31</v>
      </c>
      <c r="I884" s="12">
        <v>0.86111111111111116</v>
      </c>
      <c r="J884" t="s">
        <v>94</v>
      </c>
      <c r="K884" t="s">
        <v>31</v>
      </c>
      <c r="L884" s="12">
        <v>0.88888888888888884</v>
      </c>
      <c r="M884" t="s">
        <v>23</v>
      </c>
      <c r="N884" s="3">
        <v>186</v>
      </c>
      <c r="O884" t="s">
        <v>24</v>
      </c>
      <c r="P884" t="s">
        <v>79</v>
      </c>
      <c r="R884">
        <f>tblDailySchedule[[#This Row],[Capacity Approx]]*'[1]Load Factor Sheet June Acft  '!$B$5</f>
        <v>150.61772727272728</v>
      </c>
      <c r="S884">
        <f>tblDailySchedule[[#This Row],[Capacity Approx]]*'[1]Load Factor Sheet June Acft  '!$D$5</f>
        <v>163.08818181818182</v>
      </c>
      <c r="T884" s="22">
        <f>tblDailySchedule[[#This Row],[STD]]</f>
        <v>0.88888888888888884</v>
      </c>
    </row>
    <row r="885" spans="1:20" hidden="1" x14ac:dyDescent="0.35">
      <c r="A885" s="11">
        <v>46141</v>
      </c>
      <c r="B885" s="3">
        <v>3</v>
      </c>
      <c r="C885" t="s">
        <v>113</v>
      </c>
      <c r="D885" t="s">
        <v>18</v>
      </c>
      <c r="E885" s="3">
        <v>27</v>
      </c>
      <c r="F885" t="s">
        <v>19</v>
      </c>
      <c r="G885" t="s">
        <v>95</v>
      </c>
      <c r="H885" t="s">
        <v>21</v>
      </c>
      <c r="I885" s="12">
        <v>0.86805555555555558</v>
      </c>
      <c r="J885" t="s">
        <v>96</v>
      </c>
      <c r="K885" t="s">
        <v>21</v>
      </c>
      <c r="L885" s="12">
        <v>0.89583333333333337</v>
      </c>
      <c r="M885" t="s">
        <v>29</v>
      </c>
      <c r="N885" s="3">
        <v>186</v>
      </c>
      <c r="O885" t="s">
        <v>24</v>
      </c>
      <c r="P885" t="s">
        <v>79</v>
      </c>
      <c r="R885">
        <f>tblDailySchedule[[#This Row],[Capacity Approx]]*'[1]Load Factor Sheet June Acft  '!$B$5</f>
        <v>150.61772727272728</v>
      </c>
      <c r="S885">
        <f>tblDailySchedule[[#This Row],[Capacity Approx]]*'[1]Load Factor Sheet June Acft  '!$D$5</f>
        <v>163.08818181818182</v>
      </c>
      <c r="T885" s="22">
        <f>tblDailySchedule[[#This Row],[STD]]</f>
        <v>0.89583333333333337</v>
      </c>
    </row>
    <row r="886" spans="1:20" hidden="1" x14ac:dyDescent="0.35">
      <c r="A886" s="11">
        <v>46141</v>
      </c>
      <c r="B886" s="3">
        <v>3</v>
      </c>
      <c r="C886" t="s">
        <v>113</v>
      </c>
      <c r="D886" t="s">
        <v>18</v>
      </c>
      <c r="E886" s="3">
        <v>28</v>
      </c>
      <c r="F886" t="s">
        <v>19</v>
      </c>
      <c r="G886" t="s">
        <v>97</v>
      </c>
      <c r="H886" t="s">
        <v>49</v>
      </c>
      <c r="I886" s="12">
        <v>0.90277777777777779</v>
      </c>
      <c r="J886" t="s">
        <v>97</v>
      </c>
      <c r="K886" t="s">
        <v>61</v>
      </c>
      <c r="L886" s="12">
        <v>0.92361111111111116</v>
      </c>
      <c r="M886" t="s">
        <v>33</v>
      </c>
      <c r="N886" s="3">
        <v>189</v>
      </c>
      <c r="O886" t="s">
        <v>24</v>
      </c>
      <c r="P886" t="s">
        <v>79</v>
      </c>
      <c r="R886">
        <f>tblDailySchedule[[#This Row],[Capacity Approx]]*'[1]Load Factor Sheet June Acft  '!$B$5</f>
        <v>153.04704545454547</v>
      </c>
      <c r="S886">
        <f>tblDailySchedule[[#This Row],[Capacity Approx]]*'[1]Load Factor Sheet June Acft  '!$D$5</f>
        <v>165.71863636363636</v>
      </c>
      <c r="T886" s="22">
        <f>tblDailySchedule[[#This Row],[STD]]</f>
        <v>0.92361111111111116</v>
      </c>
    </row>
    <row r="887" spans="1:20" hidden="1" x14ac:dyDescent="0.35">
      <c r="A887" s="11">
        <v>46141</v>
      </c>
      <c r="B887" s="3">
        <v>3</v>
      </c>
      <c r="C887" t="s">
        <v>113</v>
      </c>
      <c r="D887" t="s">
        <v>18</v>
      </c>
      <c r="E887" s="3">
        <v>29</v>
      </c>
      <c r="F887" t="s">
        <v>19</v>
      </c>
      <c r="G887" t="s">
        <v>98</v>
      </c>
      <c r="H887" t="s">
        <v>21</v>
      </c>
      <c r="I887" s="12">
        <v>0.92013888888888884</v>
      </c>
      <c r="J887" t="s">
        <v>99</v>
      </c>
      <c r="K887" t="s">
        <v>21</v>
      </c>
      <c r="L887" s="12">
        <v>0.94791666666666663</v>
      </c>
      <c r="M887" t="s">
        <v>63</v>
      </c>
      <c r="N887" s="3">
        <v>232</v>
      </c>
      <c r="O887" t="s">
        <v>24</v>
      </c>
      <c r="P887" t="s">
        <v>79</v>
      </c>
      <c r="R887">
        <f>tblDailySchedule[[#This Row],[Capacity Approx]]*'[1]Load Factor Sheet June Acft  '!$B$5</f>
        <v>187.86727272727273</v>
      </c>
      <c r="S887">
        <f>tblDailySchedule[[#This Row],[Capacity Approx]]*'[1]Load Factor Sheet June Acft  '!$D$5</f>
        <v>203.4218181818182</v>
      </c>
      <c r="T887" s="22">
        <f>tblDailySchedule[[#This Row],[STD]]</f>
        <v>0.94791666666666663</v>
      </c>
    </row>
    <row r="888" spans="1:20" hidden="1" x14ac:dyDescent="0.35">
      <c r="A888" s="13">
        <v>46141</v>
      </c>
      <c r="B888" s="7">
        <v>3</v>
      </c>
      <c r="C888" s="14" t="s">
        <v>113</v>
      </c>
      <c r="D888" s="14" t="s">
        <v>18</v>
      </c>
      <c r="E888" s="7">
        <v>30</v>
      </c>
      <c r="F888" s="14" t="s">
        <v>104</v>
      </c>
      <c r="G888" s="14" t="s">
        <v>105</v>
      </c>
      <c r="H888" s="14" t="s">
        <v>106</v>
      </c>
      <c r="I888" s="15">
        <v>0.92708333333333337</v>
      </c>
      <c r="J888" s="14" t="s">
        <v>107</v>
      </c>
      <c r="K888" s="14" t="s">
        <v>106</v>
      </c>
      <c r="L888" s="15">
        <v>0.95833333333333337</v>
      </c>
      <c r="M888" s="14" t="s">
        <v>38</v>
      </c>
      <c r="N888" s="7">
        <v>186</v>
      </c>
      <c r="O888" s="14" t="s">
        <v>39</v>
      </c>
      <c r="P888" s="14" t="s">
        <v>79</v>
      </c>
      <c r="Q888" s="14" t="s">
        <v>39</v>
      </c>
      <c r="R888">
        <f>tblDailySchedule[[#This Row],[Capacity Approx]]*'[1]Load Factor Sheet June Acft  '!$B$5</f>
        <v>150.61772727272728</v>
      </c>
      <c r="S888">
        <f>tblDailySchedule[[#This Row],[Capacity Approx]]*'[1]Load Factor Sheet June Acft  '!$D$5</f>
        <v>163.08818181818182</v>
      </c>
      <c r="T888" s="22">
        <f>tblDailySchedule[[#This Row],[STD]]</f>
        <v>0.95833333333333337</v>
      </c>
    </row>
    <row r="889" spans="1:20" hidden="1" x14ac:dyDescent="0.35">
      <c r="A889" s="11">
        <v>46142</v>
      </c>
      <c r="B889" s="3">
        <v>4</v>
      </c>
      <c r="C889" t="s">
        <v>114</v>
      </c>
      <c r="D889" t="s">
        <v>18</v>
      </c>
      <c r="E889" s="3">
        <v>1</v>
      </c>
      <c r="F889" t="s">
        <v>101</v>
      </c>
      <c r="G889" t="s">
        <v>102</v>
      </c>
      <c r="H889" t="s">
        <v>61</v>
      </c>
      <c r="I889" s="12">
        <v>0.3125</v>
      </c>
      <c r="J889" t="s">
        <v>103</v>
      </c>
      <c r="K889" t="s">
        <v>61</v>
      </c>
      <c r="L889" s="12">
        <v>0.33333333333333331</v>
      </c>
      <c r="M889" t="s">
        <v>33</v>
      </c>
      <c r="N889" s="3">
        <v>189</v>
      </c>
      <c r="O889" t="s">
        <v>24</v>
      </c>
      <c r="P889" t="s">
        <v>25</v>
      </c>
      <c r="R889">
        <f>tblDailySchedule[[#This Row],[Capacity Approx]]*'[1]Load Factor Sheet June Acft  '!$B$5</f>
        <v>153.04704545454547</v>
      </c>
      <c r="S889">
        <f>tblDailySchedule[[#This Row],[Capacity Approx]]*'[1]Load Factor Sheet June Acft  '!$D$5</f>
        <v>165.71863636363636</v>
      </c>
      <c r="T889" s="22">
        <f>tblDailySchedule[[#This Row],[STD]]</f>
        <v>0.33333333333333331</v>
      </c>
    </row>
    <row r="890" spans="1:20" hidden="1" x14ac:dyDescent="0.35">
      <c r="A890" s="11">
        <v>46142</v>
      </c>
      <c r="B890" s="3">
        <v>4</v>
      </c>
      <c r="C890" t="s">
        <v>114</v>
      </c>
      <c r="D890" t="s">
        <v>18</v>
      </c>
      <c r="E890" s="3">
        <v>2</v>
      </c>
      <c r="F890" t="s">
        <v>19</v>
      </c>
      <c r="G890" t="s">
        <v>20</v>
      </c>
      <c r="H890" t="s">
        <v>21</v>
      </c>
      <c r="I890" s="12">
        <v>0.31944444444444442</v>
      </c>
      <c r="J890" t="s">
        <v>22</v>
      </c>
      <c r="K890" t="s">
        <v>21</v>
      </c>
      <c r="L890" s="12">
        <v>0.34722222222222221</v>
      </c>
      <c r="M890" t="s">
        <v>23</v>
      </c>
      <c r="N890" s="3">
        <v>186</v>
      </c>
      <c r="O890" t="s">
        <v>24</v>
      </c>
      <c r="P890" t="s">
        <v>25</v>
      </c>
      <c r="R890">
        <f>tblDailySchedule[[#This Row],[Capacity Approx]]*'[1]Load Factor Sheet June Acft  '!$B$5</f>
        <v>150.61772727272728</v>
      </c>
      <c r="S890">
        <f>tblDailySchedule[[#This Row],[Capacity Approx]]*'[1]Load Factor Sheet June Acft  '!$D$5</f>
        <v>163.08818181818182</v>
      </c>
      <c r="T890" s="22">
        <f>tblDailySchedule[[#This Row],[STD]]</f>
        <v>0.34722222222222221</v>
      </c>
    </row>
    <row r="891" spans="1:20" hidden="1" x14ac:dyDescent="0.35">
      <c r="A891" s="11">
        <v>46142</v>
      </c>
      <c r="B891" s="3">
        <v>4</v>
      </c>
      <c r="C891" t="s">
        <v>114</v>
      </c>
      <c r="D891" t="s">
        <v>18</v>
      </c>
      <c r="E891" s="3">
        <v>3</v>
      </c>
      <c r="F891" t="s">
        <v>19</v>
      </c>
      <c r="G891" t="s">
        <v>26</v>
      </c>
      <c r="H891" t="s">
        <v>27</v>
      </c>
      <c r="I891" s="12">
        <v>0.3263888888888889</v>
      </c>
      <c r="J891" t="s">
        <v>28</v>
      </c>
      <c r="K891" t="s">
        <v>27</v>
      </c>
      <c r="L891" s="12">
        <v>0.35416666666666669</v>
      </c>
      <c r="M891" t="s">
        <v>29</v>
      </c>
      <c r="N891" s="3">
        <v>186</v>
      </c>
      <c r="O891" t="s">
        <v>24</v>
      </c>
      <c r="P891" t="s">
        <v>25</v>
      </c>
      <c r="R891">
        <f>tblDailySchedule[[#This Row],[Capacity Approx]]*'[1]Load Factor Sheet June Acft  '!$B$5</f>
        <v>150.61772727272728</v>
      </c>
      <c r="S891">
        <f>tblDailySchedule[[#This Row],[Capacity Approx]]*'[1]Load Factor Sheet June Acft  '!$D$5</f>
        <v>163.08818181818182</v>
      </c>
      <c r="T891" s="22">
        <f>tblDailySchedule[[#This Row],[STD]]</f>
        <v>0.35416666666666669</v>
      </c>
    </row>
    <row r="892" spans="1:20" hidden="1" x14ac:dyDescent="0.35">
      <c r="A892" s="11">
        <v>46142</v>
      </c>
      <c r="B892" s="3">
        <v>4</v>
      </c>
      <c r="C892" t="s">
        <v>114</v>
      </c>
      <c r="D892" t="s">
        <v>18</v>
      </c>
      <c r="E892" s="3">
        <v>4</v>
      </c>
      <c r="F892" t="s">
        <v>19</v>
      </c>
      <c r="G892" t="s">
        <v>30</v>
      </c>
      <c r="H892" t="s">
        <v>31</v>
      </c>
      <c r="I892" s="12">
        <v>0.34722222222222221</v>
      </c>
      <c r="J892" t="s">
        <v>32</v>
      </c>
      <c r="K892" t="s">
        <v>31</v>
      </c>
      <c r="L892" s="12">
        <v>0.36805555555555558</v>
      </c>
      <c r="M892" t="s">
        <v>33</v>
      </c>
      <c r="N892" s="3">
        <v>189</v>
      </c>
      <c r="O892" t="s">
        <v>24</v>
      </c>
      <c r="P892" t="s">
        <v>25</v>
      </c>
      <c r="R892">
        <f>tblDailySchedule[[#This Row],[Capacity Approx]]*'[1]Load Factor Sheet June Acft  '!$B$5</f>
        <v>153.04704545454547</v>
      </c>
      <c r="S892">
        <f>tblDailySchedule[[#This Row],[Capacity Approx]]*'[1]Load Factor Sheet June Acft  '!$D$5</f>
        <v>165.71863636363636</v>
      </c>
      <c r="T892" s="22">
        <f>tblDailySchedule[[#This Row],[STD]]</f>
        <v>0.36805555555555558</v>
      </c>
    </row>
    <row r="893" spans="1:20" hidden="1" x14ac:dyDescent="0.35">
      <c r="A893" s="11">
        <v>46142</v>
      </c>
      <c r="B893" s="3">
        <v>4</v>
      </c>
      <c r="C893" t="s">
        <v>114</v>
      </c>
      <c r="D893" t="s">
        <v>18</v>
      </c>
      <c r="E893" s="3">
        <v>5</v>
      </c>
      <c r="F893" t="s">
        <v>19</v>
      </c>
      <c r="G893" t="s">
        <v>40</v>
      </c>
      <c r="H893" t="s">
        <v>31</v>
      </c>
      <c r="I893" s="12">
        <v>0.35069444444444442</v>
      </c>
      <c r="J893" t="s">
        <v>41</v>
      </c>
      <c r="K893" t="s">
        <v>31</v>
      </c>
      <c r="L893" s="12">
        <v>0.37152777777777779</v>
      </c>
      <c r="M893" t="s">
        <v>23</v>
      </c>
      <c r="N893" s="3">
        <v>186</v>
      </c>
      <c r="O893" t="s">
        <v>24</v>
      </c>
      <c r="P893" t="s">
        <v>25</v>
      </c>
      <c r="R893">
        <f>tblDailySchedule[[#This Row],[Capacity Approx]]*'[1]Load Factor Sheet June Acft  '!$B$5</f>
        <v>150.61772727272728</v>
      </c>
      <c r="S893">
        <f>tblDailySchedule[[#This Row],[Capacity Approx]]*'[1]Load Factor Sheet June Acft  '!$D$5</f>
        <v>163.08818181818182</v>
      </c>
      <c r="T893" s="22">
        <f>tblDailySchedule[[#This Row],[STD]]</f>
        <v>0.37152777777777779</v>
      </c>
    </row>
    <row r="894" spans="1:20" hidden="1" x14ac:dyDescent="0.35">
      <c r="A894" s="11">
        <v>46142</v>
      </c>
      <c r="B894" s="3">
        <v>4</v>
      </c>
      <c r="C894" t="s">
        <v>114</v>
      </c>
      <c r="D894" t="s">
        <v>18</v>
      </c>
      <c r="E894" s="3">
        <v>7</v>
      </c>
      <c r="F894" t="s">
        <v>19</v>
      </c>
      <c r="G894" t="s">
        <v>42</v>
      </c>
      <c r="H894" t="s">
        <v>43</v>
      </c>
      <c r="I894" s="12">
        <v>0.3923611111111111</v>
      </c>
      <c r="J894" t="s">
        <v>44</v>
      </c>
      <c r="K894" t="s">
        <v>43</v>
      </c>
      <c r="L894" s="12">
        <v>0.40277777777777779</v>
      </c>
      <c r="M894" t="s">
        <v>45</v>
      </c>
      <c r="N894" s="3">
        <v>9</v>
      </c>
      <c r="O894" t="s">
        <v>24</v>
      </c>
      <c r="P894" t="s">
        <v>25</v>
      </c>
      <c r="R894">
        <f>tblDailySchedule[[#This Row],[Capacity Approx]]*'[1]Load Factor Sheet June Acft  '!$B$5</f>
        <v>7.2879545454545456</v>
      </c>
      <c r="S894">
        <f>tblDailySchedule[[#This Row],[Capacity Approx]]*'[1]Load Factor Sheet June Acft  '!$D$5</f>
        <v>7.8913636363636366</v>
      </c>
      <c r="T894" s="22">
        <f>tblDailySchedule[[#This Row],[STD]]</f>
        <v>0.40277777777777779</v>
      </c>
    </row>
    <row r="895" spans="1:20" hidden="1" x14ac:dyDescent="0.35">
      <c r="A895" s="11">
        <v>46142</v>
      </c>
      <c r="B895" s="3">
        <v>4</v>
      </c>
      <c r="C895" t="s">
        <v>114</v>
      </c>
      <c r="D895" t="s">
        <v>18</v>
      </c>
      <c r="E895" s="3">
        <v>8</v>
      </c>
      <c r="F895" t="s">
        <v>19</v>
      </c>
      <c r="G895" t="s">
        <v>46</v>
      </c>
      <c r="H895" t="s">
        <v>31</v>
      </c>
      <c r="I895" s="12">
        <v>0.4201388888888889</v>
      </c>
      <c r="J895" t="s">
        <v>47</v>
      </c>
      <c r="K895" t="s">
        <v>31</v>
      </c>
      <c r="L895" s="12">
        <v>0.44444444444444442</v>
      </c>
      <c r="M895" t="s">
        <v>29</v>
      </c>
      <c r="N895" s="3">
        <v>186</v>
      </c>
      <c r="O895" t="s">
        <v>24</v>
      </c>
      <c r="P895" t="s">
        <v>25</v>
      </c>
      <c r="R895">
        <f>tblDailySchedule[[#This Row],[Capacity Approx]]*'[1]Load Factor Sheet June Acft  '!$B$5</f>
        <v>150.61772727272728</v>
      </c>
      <c r="S895">
        <f>tblDailySchedule[[#This Row],[Capacity Approx]]*'[1]Load Factor Sheet June Acft  '!$D$5</f>
        <v>163.08818181818182</v>
      </c>
      <c r="T895" s="22">
        <f>tblDailySchedule[[#This Row],[STD]]</f>
        <v>0.44444444444444442</v>
      </c>
    </row>
    <row r="896" spans="1:20" hidden="1" x14ac:dyDescent="0.35">
      <c r="A896" s="11">
        <v>46142</v>
      </c>
      <c r="B896" s="3">
        <v>4</v>
      </c>
      <c r="C896" t="s">
        <v>114</v>
      </c>
      <c r="D896" t="s">
        <v>18</v>
      </c>
      <c r="E896" s="3">
        <v>9</v>
      </c>
      <c r="F896" t="s">
        <v>19</v>
      </c>
      <c r="G896" t="s">
        <v>48</v>
      </c>
      <c r="H896" t="s">
        <v>49</v>
      </c>
      <c r="I896" s="12">
        <v>0.4375</v>
      </c>
      <c r="J896" t="s">
        <v>50</v>
      </c>
      <c r="K896" t="s">
        <v>49</v>
      </c>
      <c r="L896" s="12">
        <v>0.45833333333333331</v>
      </c>
      <c r="M896" t="s">
        <v>51</v>
      </c>
      <c r="N896" s="3">
        <v>78</v>
      </c>
      <c r="O896" t="s">
        <v>24</v>
      </c>
      <c r="P896" t="s">
        <v>25</v>
      </c>
      <c r="R896">
        <f>tblDailySchedule[[#This Row],[Capacity Approx]]*'[1]Load Factor Sheet June Acft  '!$B$5</f>
        <v>63.162272727272729</v>
      </c>
      <c r="S896">
        <f>tblDailySchedule[[#This Row],[Capacity Approx]]*'[1]Load Factor Sheet June Acft  '!$D$5</f>
        <v>68.391818181818181</v>
      </c>
      <c r="T896" s="22">
        <f>tblDailySchedule[[#This Row],[STD]]</f>
        <v>0.45833333333333331</v>
      </c>
    </row>
    <row r="897" spans="1:20" hidden="1" x14ac:dyDescent="0.35">
      <c r="A897" s="11">
        <v>46142</v>
      </c>
      <c r="B897" s="3">
        <v>4</v>
      </c>
      <c r="C897" t="s">
        <v>114</v>
      </c>
      <c r="D897" t="s">
        <v>18</v>
      </c>
      <c r="E897" s="3">
        <v>10</v>
      </c>
      <c r="F897" t="s">
        <v>19</v>
      </c>
      <c r="G897" t="s">
        <v>52</v>
      </c>
      <c r="H897" t="s">
        <v>27</v>
      </c>
      <c r="I897" s="12">
        <v>0.4826388888888889</v>
      </c>
      <c r="J897" t="s">
        <v>53</v>
      </c>
      <c r="K897" t="s">
        <v>27</v>
      </c>
      <c r="L897" s="12">
        <v>0.51041666666666663</v>
      </c>
      <c r="M897" t="s">
        <v>23</v>
      </c>
      <c r="N897" s="3">
        <v>186</v>
      </c>
      <c r="O897" t="s">
        <v>24</v>
      </c>
      <c r="P897" t="s">
        <v>25</v>
      </c>
      <c r="R897">
        <f>tblDailySchedule[[#This Row],[Capacity Approx]]*'[1]Load Factor Sheet June Acft  '!$B$5</f>
        <v>150.61772727272728</v>
      </c>
      <c r="S897">
        <f>tblDailySchedule[[#This Row],[Capacity Approx]]*'[1]Load Factor Sheet June Acft  '!$D$5</f>
        <v>163.08818181818182</v>
      </c>
      <c r="T897" s="22">
        <f>tblDailySchedule[[#This Row],[STD]]</f>
        <v>0.51041666666666663</v>
      </c>
    </row>
    <row r="898" spans="1:20" hidden="1" x14ac:dyDescent="0.35">
      <c r="A898" s="11">
        <v>46142</v>
      </c>
      <c r="B898" s="3">
        <v>4</v>
      </c>
      <c r="C898" t="s">
        <v>114</v>
      </c>
      <c r="D898" t="s">
        <v>18</v>
      </c>
      <c r="E898" s="3">
        <v>11</v>
      </c>
      <c r="F898" t="s">
        <v>19</v>
      </c>
      <c r="G898" t="s">
        <v>54</v>
      </c>
      <c r="H898" t="s">
        <v>31</v>
      </c>
      <c r="I898" s="12">
        <v>0.51388888888888884</v>
      </c>
      <c r="J898" t="s">
        <v>55</v>
      </c>
      <c r="K898" t="s">
        <v>31</v>
      </c>
      <c r="L898" s="12">
        <v>0.54166666666666663</v>
      </c>
      <c r="M898" t="s">
        <v>23</v>
      </c>
      <c r="N898" s="3">
        <v>186</v>
      </c>
      <c r="O898" t="s">
        <v>24</v>
      </c>
      <c r="P898" t="s">
        <v>56</v>
      </c>
      <c r="R898">
        <f>tblDailySchedule[[#This Row],[Capacity Approx]]*'[1]Load Factor Sheet June Acft  '!$B$5</f>
        <v>150.61772727272728</v>
      </c>
      <c r="S898">
        <f>tblDailySchedule[[#This Row],[Capacity Approx]]*'[1]Load Factor Sheet June Acft  '!$D$5</f>
        <v>163.08818181818182</v>
      </c>
      <c r="T898" s="22">
        <f>tblDailySchedule[[#This Row],[STD]]</f>
        <v>0.54166666666666663</v>
      </c>
    </row>
    <row r="899" spans="1:20" hidden="1" x14ac:dyDescent="0.35">
      <c r="A899" s="11">
        <v>46142</v>
      </c>
      <c r="B899" s="3">
        <v>4</v>
      </c>
      <c r="C899" t="s">
        <v>114</v>
      </c>
      <c r="D899" t="s">
        <v>18</v>
      </c>
      <c r="E899" s="3">
        <v>12</v>
      </c>
      <c r="F899" t="s">
        <v>109</v>
      </c>
      <c r="G899" t="s">
        <v>110</v>
      </c>
      <c r="H899" t="s">
        <v>111</v>
      </c>
      <c r="I899" s="12">
        <v>0.55555555555555558</v>
      </c>
      <c r="J899" t="s">
        <v>112</v>
      </c>
      <c r="K899" t="s">
        <v>111</v>
      </c>
      <c r="L899" s="12">
        <v>0.56944444444444442</v>
      </c>
      <c r="M899" t="s">
        <v>51</v>
      </c>
      <c r="N899" s="3">
        <v>78</v>
      </c>
      <c r="O899" t="s">
        <v>24</v>
      </c>
      <c r="P899" t="s">
        <v>56</v>
      </c>
      <c r="R899">
        <f>tblDailySchedule[[#This Row],[Capacity Approx]]*'[1]Load Factor Sheet June Acft  '!$B$5</f>
        <v>63.162272727272729</v>
      </c>
      <c r="S899">
        <f>tblDailySchedule[[#This Row],[Capacity Approx]]*'[1]Load Factor Sheet June Acft  '!$D$5</f>
        <v>68.391818181818181</v>
      </c>
      <c r="T899" s="22">
        <f>tblDailySchedule[[#This Row],[STD]]</f>
        <v>0.56944444444444442</v>
      </c>
    </row>
    <row r="900" spans="1:20" hidden="1" x14ac:dyDescent="0.35">
      <c r="A900" s="11">
        <v>46142</v>
      </c>
      <c r="B900" s="3">
        <v>4</v>
      </c>
      <c r="C900" t="s">
        <v>114</v>
      </c>
      <c r="D900" t="s">
        <v>18</v>
      </c>
      <c r="E900" s="3">
        <v>13</v>
      </c>
      <c r="F900" t="s">
        <v>19</v>
      </c>
      <c r="G900" t="s">
        <v>57</v>
      </c>
      <c r="H900" t="s">
        <v>58</v>
      </c>
      <c r="I900" s="12">
        <v>0.55902777777777779</v>
      </c>
      <c r="J900" t="s">
        <v>59</v>
      </c>
      <c r="K900" t="s">
        <v>58</v>
      </c>
      <c r="L900" s="12">
        <v>0.57638888888888884</v>
      </c>
      <c r="M900" t="s">
        <v>51</v>
      </c>
      <c r="N900" s="3">
        <v>78</v>
      </c>
      <c r="O900" t="s">
        <v>24</v>
      </c>
      <c r="P900" t="s">
        <v>56</v>
      </c>
      <c r="R900">
        <f>tblDailySchedule[[#This Row],[Capacity Approx]]*'[1]Load Factor Sheet June Acft  '!$B$5</f>
        <v>63.162272727272729</v>
      </c>
      <c r="S900">
        <f>tblDailySchedule[[#This Row],[Capacity Approx]]*'[1]Load Factor Sheet June Acft  '!$D$5</f>
        <v>68.391818181818181</v>
      </c>
      <c r="T900" s="22">
        <f>tblDailySchedule[[#This Row],[STD]]</f>
        <v>0.57638888888888884</v>
      </c>
    </row>
    <row r="901" spans="1:20" hidden="1" x14ac:dyDescent="0.35">
      <c r="A901" s="11">
        <v>46142</v>
      </c>
      <c r="B901" s="3">
        <v>4</v>
      </c>
      <c r="C901" t="s">
        <v>114</v>
      </c>
      <c r="D901" t="s">
        <v>18</v>
      </c>
      <c r="E901" s="3">
        <v>14</v>
      </c>
      <c r="F901" t="s">
        <v>19</v>
      </c>
      <c r="G901" t="s">
        <v>60</v>
      </c>
      <c r="H901" t="s">
        <v>61</v>
      </c>
      <c r="I901" s="12">
        <v>0.59027777777777779</v>
      </c>
      <c r="J901" t="s">
        <v>62</v>
      </c>
      <c r="K901" t="s">
        <v>61</v>
      </c>
      <c r="L901" s="12">
        <v>0.62152777777777779</v>
      </c>
      <c r="M901" t="s">
        <v>63</v>
      </c>
      <c r="N901" s="3">
        <v>232</v>
      </c>
      <c r="O901" t="s">
        <v>24</v>
      </c>
      <c r="P901" t="s">
        <v>56</v>
      </c>
      <c r="R901">
        <f>tblDailySchedule[[#This Row],[Capacity Approx]]*'[1]Load Factor Sheet June Acft  '!$B$5</f>
        <v>187.86727272727273</v>
      </c>
      <c r="S901">
        <f>tblDailySchedule[[#This Row],[Capacity Approx]]*'[1]Load Factor Sheet June Acft  '!$D$5</f>
        <v>203.4218181818182</v>
      </c>
      <c r="T901" s="22">
        <f>tblDailySchedule[[#This Row],[STD]]</f>
        <v>0.62152777777777779</v>
      </c>
    </row>
    <row r="902" spans="1:20" hidden="1" x14ac:dyDescent="0.35">
      <c r="A902" s="11">
        <v>46142</v>
      </c>
      <c r="B902" s="3">
        <v>4</v>
      </c>
      <c r="C902" t="s">
        <v>114</v>
      </c>
      <c r="D902" t="s">
        <v>18</v>
      </c>
      <c r="E902" s="3">
        <v>15</v>
      </c>
      <c r="F902" t="s">
        <v>19</v>
      </c>
      <c r="G902" t="s">
        <v>64</v>
      </c>
      <c r="H902" t="s">
        <v>31</v>
      </c>
      <c r="I902" s="12">
        <v>0.60069444444444442</v>
      </c>
      <c r="J902" t="s">
        <v>65</v>
      </c>
      <c r="K902" t="s">
        <v>66</v>
      </c>
      <c r="L902" s="12">
        <v>0.62847222222222221</v>
      </c>
      <c r="M902" t="s">
        <v>63</v>
      </c>
      <c r="N902" s="3">
        <v>232</v>
      </c>
      <c r="O902" t="s">
        <v>24</v>
      </c>
      <c r="P902" t="s">
        <v>56</v>
      </c>
      <c r="R902">
        <f>tblDailySchedule[[#This Row],[Capacity Approx]]*'[1]Load Factor Sheet June Acft  '!$B$5</f>
        <v>187.86727272727273</v>
      </c>
      <c r="S902">
        <f>tblDailySchedule[[#This Row],[Capacity Approx]]*'[1]Load Factor Sheet June Acft  '!$D$5</f>
        <v>203.4218181818182</v>
      </c>
      <c r="T902" s="22">
        <f>tblDailySchedule[[#This Row],[STD]]</f>
        <v>0.62847222222222221</v>
      </c>
    </row>
    <row r="903" spans="1:20" hidden="1" x14ac:dyDescent="0.35">
      <c r="A903" s="11">
        <v>46142</v>
      </c>
      <c r="B903" s="3">
        <v>4</v>
      </c>
      <c r="C903" t="s">
        <v>114</v>
      </c>
      <c r="D903" t="s">
        <v>18</v>
      </c>
      <c r="E903" s="3">
        <v>16</v>
      </c>
      <c r="F903" t="s">
        <v>19</v>
      </c>
      <c r="G903" t="s">
        <v>67</v>
      </c>
      <c r="H903" t="s">
        <v>31</v>
      </c>
      <c r="I903" s="12">
        <v>0.65625</v>
      </c>
      <c r="J903" t="s">
        <v>68</v>
      </c>
      <c r="K903" t="s">
        <v>31</v>
      </c>
      <c r="L903" s="12">
        <v>0.68402777777777779</v>
      </c>
      <c r="M903" t="s">
        <v>63</v>
      </c>
      <c r="N903" s="3">
        <v>232</v>
      </c>
      <c r="O903" t="s">
        <v>24</v>
      </c>
      <c r="P903" t="s">
        <v>56</v>
      </c>
      <c r="R903">
        <f>tblDailySchedule[[#This Row],[Capacity Approx]]*'[1]Load Factor Sheet June Acft  '!$B$5</f>
        <v>187.86727272727273</v>
      </c>
      <c r="S903">
        <f>tblDailySchedule[[#This Row],[Capacity Approx]]*'[1]Load Factor Sheet June Acft  '!$D$5</f>
        <v>203.4218181818182</v>
      </c>
      <c r="T903" s="22">
        <f>tblDailySchedule[[#This Row],[STD]]</f>
        <v>0.68402777777777779</v>
      </c>
    </row>
    <row r="904" spans="1:20" hidden="1" x14ac:dyDescent="0.35">
      <c r="A904" s="11">
        <v>46142</v>
      </c>
      <c r="B904" s="3">
        <v>4</v>
      </c>
      <c r="C904" t="s">
        <v>114</v>
      </c>
      <c r="D904" t="s">
        <v>18</v>
      </c>
      <c r="E904" s="3">
        <v>17</v>
      </c>
      <c r="F904" t="s">
        <v>19</v>
      </c>
      <c r="G904" t="s">
        <v>69</v>
      </c>
      <c r="H904" t="s">
        <v>31</v>
      </c>
      <c r="I904" s="12">
        <v>0.66319444444444442</v>
      </c>
      <c r="J904" t="s">
        <v>70</v>
      </c>
      <c r="K904" t="s">
        <v>31</v>
      </c>
      <c r="L904" s="12">
        <v>0.69097222222222221</v>
      </c>
      <c r="M904" t="s">
        <v>33</v>
      </c>
      <c r="N904" s="3">
        <v>189</v>
      </c>
      <c r="O904" t="s">
        <v>24</v>
      </c>
      <c r="P904" t="s">
        <v>56</v>
      </c>
      <c r="R904">
        <f>tblDailySchedule[[#This Row],[Capacity Approx]]*'[1]Load Factor Sheet June Acft  '!$B$5</f>
        <v>153.04704545454547</v>
      </c>
      <c r="S904">
        <f>tblDailySchedule[[#This Row],[Capacity Approx]]*'[1]Load Factor Sheet June Acft  '!$D$5</f>
        <v>165.71863636363636</v>
      </c>
      <c r="T904" s="22">
        <f>tblDailySchedule[[#This Row],[STD]]</f>
        <v>0.69097222222222221</v>
      </c>
    </row>
    <row r="905" spans="1:20" hidden="1" x14ac:dyDescent="0.35">
      <c r="A905" s="11">
        <v>46142</v>
      </c>
      <c r="B905" s="3">
        <v>4</v>
      </c>
      <c r="C905" t="s">
        <v>114</v>
      </c>
      <c r="D905" t="s">
        <v>18</v>
      </c>
      <c r="E905" s="3">
        <v>18</v>
      </c>
      <c r="F905" t="s">
        <v>19</v>
      </c>
      <c r="G905" t="s">
        <v>71</v>
      </c>
      <c r="H905" t="s">
        <v>21</v>
      </c>
      <c r="I905" s="12">
        <v>0.67013888888888884</v>
      </c>
      <c r="J905" t="s">
        <v>72</v>
      </c>
      <c r="K905" t="s">
        <v>21</v>
      </c>
      <c r="L905" s="12">
        <v>0.69791666666666663</v>
      </c>
      <c r="M905" t="s">
        <v>63</v>
      </c>
      <c r="N905" s="3">
        <v>232</v>
      </c>
      <c r="O905" t="s">
        <v>24</v>
      </c>
      <c r="P905" t="s">
        <v>56</v>
      </c>
      <c r="R905">
        <f>tblDailySchedule[[#This Row],[Capacity Approx]]*'[1]Load Factor Sheet June Acft  '!$B$5</f>
        <v>187.86727272727273</v>
      </c>
      <c r="S905">
        <f>tblDailySchedule[[#This Row],[Capacity Approx]]*'[1]Load Factor Sheet June Acft  '!$D$5</f>
        <v>203.4218181818182</v>
      </c>
      <c r="T905" s="22">
        <f>tblDailySchedule[[#This Row],[STD]]</f>
        <v>0.69791666666666663</v>
      </c>
    </row>
    <row r="906" spans="1:20" hidden="1" x14ac:dyDescent="0.35">
      <c r="A906" s="11">
        <v>46142</v>
      </c>
      <c r="B906" s="3">
        <v>4</v>
      </c>
      <c r="C906" t="s">
        <v>114</v>
      </c>
      <c r="D906" t="s">
        <v>18</v>
      </c>
      <c r="E906" s="3">
        <v>19</v>
      </c>
      <c r="F906" t="s">
        <v>19</v>
      </c>
      <c r="G906" t="s">
        <v>73</v>
      </c>
      <c r="H906" t="s">
        <v>27</v>
      </c>
      <c r="I906" s="12">
        <v>0.74652777777777779</v>
      </c>
      <c r="J906" t="s">
        <v>74</v>
      </c>
      <c r="K906" t="s">
        <v>27</v>
      </c>
      <c r="L906" s="12">
        <v>0.77430555555555558</v>
      </c>
      <c r="M906" t="s">
        <v>63</v>
      </c>
      <c r="N906" s="3">
        <v>232</v>
      </c>
      <c r="O906" t="s">
        <v>24</v>
      </c>
      <c r="P906" t="s">
        <v>56</v>
      </c>
      <c r="R906">
        <f>tblDailySchedule[[#This Row],[Capacity Approx]]*'[1]Load Factor Sheet June Acft  '!$B$5</f>
        <v>187.86727272727273</v>
      </c>
      <c r="S906">
        <f>tblDailySchedule[[#This Row],[Capacity Approx]]*'[1]Load Factor Sheet June Acft  '!$D$5</f>
        <v>203.4218181818182</v>
      </c>
      <c r="T906" s="22">
        <f>tblDailySchedule[[#This Row],[STD]]</f>
        <v>0.77430555555555558</v>
      </c>
    </row>
    <row r="907" spans="1:20" hidden="1" x14ac:dyDescent="0.35">
      <c r="A907" s="11">
        <v>46142</v>
      </c>
      <c r="B907" s="3">
        <v>4</v>
      </c>
      <c r="C907" t="s">
        <v>114</v>
      </c>
      <c r="D907" t="s">
        <v>18</v>
      </c>
      <c r="E907" s="3">
        <v>21</v>
      </c>
      <c r="F907" t="s">
        <v>19</v>
      </c>
      <c r="G907" t="s">
        <v>81</v>
      </c>
      <c r="H907" t="s">
        <v>61</v>
      </c>
      <c r="I907" s="12">
        <v>0.77083333333333337</v>
      </c>
      <c r="J907" t="s">
        <v>82</v>
      </c>
      <c r="K907" t="s">
        <v>49</v>
      </c>
      <c r="L907" s="12">
        <v>0.79166666666666663</v>
      </c>
      <c r="M907" t="s">
        <v>33</v>
      </c>
      <c r="N907" s="3">
        <v>189</v>
      </c>
      <c r="O907" t="s">
        <v>24</v>
      </c>
      <c r="P907" t="s">
        <v>79</v>
      </c>
      <c r="R907">
        <f>tblDailySchedule[[#This Row],[Capacity Approx]]*'[1]Load Factor Sheet June Acft  '!$B$5</f>
        <v>153.04704545454547</v>
      </c>
      <c r="S907">
        <f>tblDailySchedule[[#This Row],[Capacity Approx]]*'[1]Load Factor Sheet June Acft  '!$D$5</f>
        <v>165.71863636363636</v>
      </c>
      <c r="T907" s="22">
        <f>tblDailySchedule[[#This Row],[STD]]</f>
        <v>0.79166666666666663</v>
      </c>
    </row>
    <row r="908" spans="1:20" hidden="1" x14ac:dyDescent="0.35">
      <c r="A908" s="11">
        <v>46142</v>
      </c>
      <c r="B908" s="3">
        <v>4</v>
      </c>
      <c r="C908" t="s">
        <v>114</v>
      </c>
      <c r="D908" t="s">
        <v>18</v>
      </c>
      <c r="E908" s="3">
        <v>22</v>
      </c>
      <c r="F908" t="s">
        <v>19</v>
      </c>
      <c r="G908" t="s">
        <v>83</v>
      </c>
      <c r="H908" t="s">
        <v>31</v>
      </c>
      <c r="I908" s="12">
        <v>0.77777777777777779</v>
      </c>
      <c r="J908" t="s">
        <v>84</v>
      </c>
      <c r="K908" t="s">
        <v>31</v>
      </c>
      <c r="L908" s="12">
        <v>0.80555555555555558</v>
      </c>
      <c r="M908" t="s">
        <v>63</v>
      </c>
      <c r="N908" s="3">
        <v>232</v>
      </c>
      <c r="O908" t="s">
        <v>24</v>
      </c>
      <c r="P908" t="s">
        <v>79</v>
      </c>
      <c r="R908">
        <f>tblDailySchedule[[#This Row],[Capacity Approx]]*'[1]Load Factor Sheet June Acft  '!$B$5</f>
        <v>187.86727272727273</v>
      </c>
      <c r="S908">
        <f>tblDailySchedule[[#This Row],[Capacity Approx]]*'[1]Load Factor Sheet June Acft  '!$D$5</f>
        <v>203.4218181818182</v>
      </c>
      <c r="T908" s="22">
        <f>tblDailySchedule[[#This Row],[STD]]</f>
        <v>0.80555555555555558</v>
      </c>
    </row>
    <row r="909" spans="1:20" hidden="1" x14ac:dyDescent="0.35">
      <c r="A909" s="11">
        <v>46142</v>
      </c>
      <c r="B909" s="3">
        <v>4</v>
      </c>
      <c r="C909" t="s">
        <v>114</v>
      </c>
      <c r="D909" t="s">
        <v>18</v>
      </c>
      <c r="E909" s="3">
        <v>23</v>
      </c>
      <c r="F909" t="s">
        <v>19</v>
      </c>
      <c r="G909" t="s">
        <v>85</v>
      </c>
      <c r="H909" t="s">
        <v>86</v>
      </c>
      <c r="I909" s="12">
        <v>0.79861111111111116</v>
      </c>
      <c r="J909" t="s">
        <v>87</v>
      </c>
      <c r="K909" t="s">
        <v>86</v>
      </c>
      <c r="L909" s="12">
        <v>0.82638888888888884</v>
      </c>
      <c r="M909" t="s">
        <v>63</v>
      </c>
      <c r="N909" s="3">
        <v>232</v>
      </c>
      <c r="O909" t="s">
        <v>24</v>
      </c>
      <c r="P909" t="s">
        <v>79</v>
      </c>
      <c r="R909">
        <f>tblDailySchedule[[#This Row],[Capacity Approx]]*'[1]Load Factor Sheet June Acft  '!$B$5</f>
        <v>187.86727272727273</v>
      </c>
      <c r="S909">
        <f>tblDailySchedule[[#This Row],[Capacity Approx]]*'[1]Load Factor Sheet June Acft  '!$D$5</f>
        <v>203.4218181818182</v>
      </c>
      <c r="T909" s="22">
        <f>tblDailySchedule[[#This Row],[STD]]</f>
        <v>0.82638888888888884</v>
      </c>
    </row>
    <row r="910" spans="1:20" hidden="1" x14ac:dyDescent="0.35">
      <c r="A910" s="11">
        <v>46142</v>
      </c>
      <c r="B910" s="3">
        <v>4</v>
      </c>
      <c r="C910" t="s">
        <v>114</v>
      </c>
      <c r="D910" t="s">
        <v>18</v>
      </c>
      <c r="E910" s="3">
        <v>24</v>
      </c>
      <c r="F910" t="s">
        <v>19</v>
      </c>
      <c r="G910" t="s">
        <v>88</v>
      </c>
      <c r="H910" t="s">
        <v>89</v>
      </c>
      <c r="I910" s="12">
        <v>0.83333333333333337</v>
      </c>
      <c r="J910" t="s">
        <v>90</v>
      </c>
      <c r="K910" t="s">
        <v>31</v>
      </c>
      <c r="L910" s="12">
        <v>0.86111111111111116</v>
      </c>
      <c r="M910" t="s">
        <v>63</v>
      </c>
      <c r="N910" s="3">
        <v>232</v>
      </c>
      <c r="O910" t="s">
        <v>24</v>
      </c>
      <c r="P910" t="s">
        <v>79</v>
      </c>
      <c r="R910">
        <f>tblDailySchedule[[#This Row],[Capacity Approx]]*'[1]Load Factor Sheet June Acft  '!$B$5</f>
        <v>187.86727272727273</v>
      </c>
      <c r="S910">
        <f>tblDailySchedule[[#This Row],[Capacity Approx]]*'[1]Load Factor Sheet June Acft  '!$D$5</f>
        <v>203.4218181818182</v>
      </c>
      <c r="T910" s="22">
        <f>tblDailySchedule[[#This Row],[STD]]</f>
        <v>0.86111111111111116</v>
      </c>
    </row>
    <row r="911" spans="1:20" hidden="1" x14ac:dyDescent="0.35">
      <c r="A911" s="11">
        <v>46142</v>
      </c>
      <c r="B911" s="3">
        <v>4</v>
      </c>
      <c r="C911" t="s">
        <v>114</v>
      </c>
      <c r="D911" t="s">
        <v>18</v>
      </c>
      <c r="E911" s="3">
        <v>25</v>
      </c>
      <c r="F911" t="s">
        <v>19</v>
      </c>
      <c r="G911" t="s">
        <v>91</v>
      </c>
      <c r="H911" t="s">
        <v>61</v>
      </c>
      <c r="I911" s="12">
        <v>0.85416666666666663</v>
      </c>
      <c r="J911" t="s">
        <v>92</v>
      </c>
      <c r="K911" t="s">
        <v>61</v>
      </c>
      <c r="L911" s="12">
        <v>0.88194444444444442</v>
      </c>
      <c r="M911" t="s">
        <v>63</v>
      </c>
      <c r="N911" s="3">
        <v>232</v>
      </c>
      <c r="O911" t="s">
        <v>24</v>
      </c>
      <c r="P911" t="s">
        <v>79</v>
      </c>
      <c r="R911">
        <f>tblDailySchedule[[#This Row],[Capacity Approx]]*'[1]Load Factor Sheet June Acft  '!$B$5</f>
        <v>187.86727272727273</v>
      </c>
      <c r="S911">
        <f>tblDailySchedule[[#This Row],[Capacity Approx]]*'[1]Load Factor Sheet June Acft  '!$D$5</f>
        <v>203.4218181818182</v>
      </c>
      <c r="T911" s="22">
        <f>tblDailySchedule[[#This Row],[STD]]</f>
        <v>0.88194444444444442</v>
      </c>
    </row>
    <row r="912" spans="1:20" hidden="1" x14ac:dyDescent="0.35">
      <c r="A912" s="11">
        <v>46142</v>
      </c>
      <c r="B912" s="3">
        <v>4</v>
      </c>
      <c r="C912" t="s">
        <v>114</v>
      </c>
      <c r="D912" t="s">
        <v>18</v>
      </c>
      <c r="E912" s="3">
        <v>26</v>
      </c>
      <c r="F912" t="s">
        <v>19</v>
      </c>
      <c r="G912" t="s">
        <v>93</v>
      </c>
      <c r="H912" t="s">
        <v>31</v>
      </c>
      <c r="I912" s="12">
        <v>0.86111111111111116</v>
      </c>
      <c r="J912" t="s">
        <v>94</v>
      </c>
      <c r="K912" t="s">
        <v>31</v>
      </c>
      <c r="L912" s="12">
        <v>0.88888888888888884</v>
      </c>
      <c r="M912" t="s">
        <v>23</v>
      </c>
      <c r="N912" s="3">
        <v>186</v>
      </c>
      <c r="O912" t="s">
        <v>24</v>
      </c>
      <c r="P912" t="s">
        <v>79</v>
      </c>
      <c r="R912">
        <f>tblDailySchedule[[#This Row],[Capacity Approx]]*'[1]Load Factor Sheet June Acft  '!$B$5</f>
        <v>150.61772727272728</v>
      </c>
      <c r="S912">
        <f>tblDailySchedule[[#This Row],[Capacity Approx]]*'[1]Load Factor Sheet June Acft  '!$D$5</f>
        <v>163.08818181818182</v>
      </c>
      <c r="T912" s="22">
        <f>tblDailySchedule[[#This Row],[STD]]</f>
        <v>0.88888888888888884</v>
      </c>
    </row>
    <row r="913" spans="1:20" hidden="1" x14ac:dyDescent="0.35">
      <c r="A913" s="11">
        <v>46142</v>
      </c>
      <c r="B913" s="3">
        <v>4</v>
      </c>
      <c r="C913" t="s">
        <v>114</v>
      </c>
      <c r="D913" t="s">
        <v>18</v>
      </c>
      <c r="E913" s="3">
        <v>27</v>
      </c>
      <c r="F913" t="s">
        <v>19</v>
      </c>
      <c r="G913" t="s">
        <v>95</v>
      </c>
      <c r="H913" t="s">
        <v>21</v>
      </c>
      <c r="I913" s="12">
        <v>0.86805555555555558</v>
      </c>
      <c r="J913" t="s">
        <v>96</v>
      </c>
      <c r="K913" t="s">
        <v>21</v>
      </c>
      <c r="L913" s="12">
        <v>0.89583333333333337</v>
      </c>
      <c r="M913" t="s">
        <v>29</v>
      </c>
      <c r="N913" s="3">
        <v>186</v>
      </c>
      <c r="O913" t="s">
        <v>24</v>
      </c>
      <c r="P913" t="s">
        <v>79</v>
      </c>
      <c r="R913">
        <f>tblDailySchedule[[#This Row],[Capacity Approx]]*'[1]Load Factor Sheet June Acft  '!$B$5</f>
        <v>150.61772727272728</v>
      </c>
      <c r="S913">
        <f>tblDailySchedule[[#This Row],[Capacity Approx]]*'[1]Load Factor Sheet June Acft  '!$D$5</f>
        <v>163.08818181818182</v>
      </c>
      <c r="T913" s="22">
        <f>tblDailySchedule[[#This Row],[STD]]</f>
        <v>0.89583333333333337</v>
      </c>
    </row>
    <row r="914" spans="1:20" hidden="1" x14ac:dyDescent="0.35">
      <c r="A914" s="11">
        <v>46142</v>
      </c>
      <c r="B914" s="3">
        <v>4</v>
      </c>
      <c r="C914" t="s">
        <v>114</v>
      </c>
      <c r="D914" t="s">
        <v>18</v>
      </c>
      <c r="E914" s="3">
        <v>28</v>
      </c>
      <c r="F914" t="s">
        <v>19</v>
      </c>
      <c r="G914" t="s">
        <v>97</v>
      </c>
      <c r="H914" t="s">
        <v>49</v>
      </c>
      <c r="I914" s="12">
        <v>0.90277777777777779</v>
      </c>
      <c r="J914" t="s">
        <v>97</v>
      </c>
      <c r="K914" t="s">
        <v>61</v>
      </c>
      <c r="L914" s="12">
        <v>0.92361111111111116</v>
      </c>
      <c r="M914" t="s">
        <v>33</v>
      </c>
      <c r="N914" s="3">
        <v>189</v>
      </c>
      <c r="O914" t="s">
        <v>24</v>
      </c>
      <c r="P914" t="s">
        <v>79</v>
      </c>
      <c r="R914">
        <f>tblDailySchedule[[#This Row],[Capacity Approx]]*'[1]Load Factor Sheet June Acft  '!$B$5</f>
        <v>153.04704545454547</v>
      </c>
      <c r="S914">
        <f>tblDailySchedule[[#This Row],[Capacity Approx]]*'[1]Load Factor Sheet June Acft  '!$D$5</f>
        <v>165.71863636363636</v>
      </c>
      <c r="T914" s="22">
        <f>tblDailySchedule[[#This Row],[STD]]</f>
        <v>0.92361111111111116</v>
      </c>
    </row>
    <row r="915" spans="1:20" hidden="1" x14ac:dyDescent="0.35">
      <c r="A915" s="11">
        <v>46142</v>
      </c>
      <c r="B915" s="3">
        <v>4</v>
      </c>
      <c r="C915" t="s">
        <v>114</v>
      </c>
      <c r="D915" t="s">
        <v>18</v>
      </c>
      <c r="E915" s="3">
        <v>29</v>
      </c>
      <c r="F915" t="s">
        <v>19</v>
      </c>
      <c r="G915" t="s">
        <v>98</v>
      </c>
      <c r="H915" t="s">
        <v>21</v>
      </c>
      <c r="I915" s="12">
        <v>0.92013888888888884</v>
      </c>
      <c r="J915" t="s">
        <v>99</v>
      </c>
      <c r="K915" t="s">
        <v>21</v>
      </c>
      <c r="L915" s="12">
        <v>0.94791666666666663</v>
      </c>
      <c r="M915" t="s">
        <v>63</v>
      </c>
      <c r="N915" s="3">
        <v>232</v>
      </c>
      <c r="O915" t="s">
        <v>24</v>
      </c>
      <c r="P915" t="s">
        <v>79</v>
      </c>
      <c r="R915">
        <f>tblDailySchedule[[#This Row],[Capacity Approx]]*'[1]Load Factor Sheet June Acft  '!$B$5</f>
        <v>187.86727272727273</v>
      </c>
      <c r="S915">
        <f>tblDailySchedule[[#This Row],[Capacity Approx]]*'[1]Load Factor Sheet June Acft  '!$D$5</f>
        <v>203.4218181818182</v>
      </c>
      <c r="T915" s="22">
        <f>tblDailySchedule[[#This Row],[STD]]</f>
        <v>0.94791666666666663</v>
      </c>
    </row>
    <row r="916" spans="1:20" hidden="1" x14ac:dyDescent="0.35">
      <c r="A916" s="11">
        <v>46143</v>
      </c>
      <c r="B916" s="3">
        <v>5</v>
      </c>
      <c r="C916" t="s">
        <v>115</v>
      </c>
      <c r="D916" t="s">
        <v>18</v>
      </c>
      <c r="E916" s="3">
        <v>2</v>
      </c>
      <c r="F916" t="s">
        <v>19</v>
      </c>
      <c r="G916" t="s">
        <v>20</v>
      </c>
      <c r="H916" t="s">
        <v>21</v>
      </c>
      <c r="I916" s="12">
        <v>0.31944444444444442</v>
      </c>
      <c r="J916" t="s">
        <v>22</v>
      </c>
      <c r="K916" t="s">
        <v>21</v>
      </c>
      <c r="L916" s="12">
        <v>0.34722222222222221</v>
      </c>
      <c r="M916" t="s">
        <v>23</v>
      </c>
      <c r="N916" s="3">
        <v>186</v>
      </c>
      <c r="O916" t="s">
        <v>24</v>
      </c>
      <c r="P916" t="s">
        <v>25</v>
      </c>
      <c r="R916">
        <f>tblDailySchedule[[#This Row],[Capacity Approx]]*'[1]Load Factor Sheet June Acft  '!$B$5</f>
        <v>150.61772727272728</v>
      </c>
      <c r="S916">
        <f>tblDailySchedule[[#This Row],[Capacity Approx]]*'[1]Load Factor Sheet June Acft  '!$D$5</f>
        <v>163.08818181818182</v>
      </c>
      <c r="T916" s="22">
        <f>tblDailySchedule[[#This Row],[STD]]</f>
        <v>0.34722222222222221</v>
      </c>
    </row>
    <row r="917" spans="1:20" hidden="1" x14ac:dyDescent="0.35">
      <c r="A917" s="11">
        <v>46143</v>
      </c>
      <c r="B917" s="3">
        <v>5</v>
      </c>
      <c r="C917" t="s">
        <v>115</v>
      </c>
      <c r="D917" t="s">
        <v>18</v>
      </c>
      <c r="E917" s="3">
        <v>3</v>
      </c>
      <c r="F917" t="s">
        <v>19</v>
      </c>
      <c r="G917" t="s">
        <v>26</v>
      </c>
      <c r="H917" t="s">
        <v>27</v>
      </c>
      <c r="I917" s="12">
        <v>0.3263888888888889</v>
      </c>
      <c r="J917" t="s">
        <v>28</v>
      </c>
      <c r="K917" t="s">
        <v>27</v>
      </c>
      <c r="L917" s="12">
        <v>0.35416666666666669</v>
      </c>
      <c r="M917" t="s">
        <v>29</v>
      </c>
      <c r="N917" s="3">
        <v>186</v>
      </c>
      <c r="O917" t="s">
        <v>24</v>
      </c>
      <c r="P917" t="s">
        <v>25</v>
      </c>
      <c r="R917">
        <f>tblDailySchedule[[#This Row],[Capacity Approx]]*'[1]Load Factor Sheet June Acft  '!$B$5</f>
        <v>150.61772727272728</v>
      </c>
      <c r="S917">
        <f>tblDailySchedule[[#This Row],[Capacity Approx]]*'[1]Load Factor Sheet June Acft  '!$D$5</f>
        <v>163.08818181818182</v>
      </c>
      <c r="T917" s="22">
        <f>tblDailySchedule[[#This Row],[STD]]</f>
        <v>0.35416666666666669</v>
      </c>
    </row>
    <row r="918" spans="1:20" hidden="1" x14ac:dyDescent="0.35">
      <c r="A918" s="11">
        <v>46143</v>
      </c>
      <c r="B918" s="3">
        <v>5</v>
      </c>
      <c r="C918" t="s">
        <v>115</v>
      </c>
      <c r="D918" t="s">
        <v>18</v>
      </c>
      <c r="E918" s="3">
        <v>4</v>
      </c>
      <c r="F918" t="s">
        <v>19</v>
      </c>
      <c r="G918" t="s">
        <v>30</v>
      </c>
      <c r="H918" t="s">
        <v>31</v>
      </c>
      <c r="I918" s="12">
        <v>0.34722222222222221</v>
      </c>
      <c r="J918" t="s">
        <v>32</v>
      </c>
      <c r="K918" t="s">
        <v>31</v>
      </c>
      <c r="L918" s="12">
        <v>0.36805555555555558</v>
      </c>
      <c r="M918" t="s">
        <v>33</v>
      </c>
      <c r="N918" s="3">
        <v>189</v>
      </c>
      <c r="O918" t="s">
        <v>24</v>
      </c>
      <c r="P918" t="s">
        <v>25</v>
      </c>
      <c r="R918">
        <f>tblDailySchedule[[#This Row],[Capacity Approx]]*'[1]Load Factor Sheet June Acft  '!$B$5</f>
        <v>153.04704545454547</v>
      </c>
      <c r="S918">
        <f>tblDailySchedule[[#This Row],[Capacity Approx]]*'[1]Load Factor Sheet June Acft  '!$D$5</f>
        <v>165.71863636363636</v>
      </c>
      <c r="T918" s="22">
        <f>tblDailySchedule[[#This Row],[STD]]</f>
        <v>0.36805555555555558</v>
      </c>
    </row>
    <row r="919" spans="1:20" hidden="1" x14ac:dyDescent="0.35">
      <c r="A919" s="13">
        <v>46143</v>
      </c>
      <c r="B919" s="7">
        <v>5</v>
      </c>
      <c r="C919" s="14" t="s">
        <v>115</v>
      </c>
      <c r="D919" s="14" t="s">
        <v>18</v>
      </c>
      <c r="E919" s="7">
        <v>6</v>
      </c>
      <c r="F919" s="14" t="s">
        <v>34</v>
      </c>
      <c r="G919" s="14" t="s">
        <v>35</v>
      </c>
      <c r="H919" s="14" t="s">
        <v>36</v>
      </c>
      <c r="I919" s="15">
        <v>0.34722222222222221</v>
      </c>
      <c r="J919" s="14" t="s">
        <v>37</v>
      </c>
      <c r="K919" s="14" t="s">
        <v>36</v>
      </c>
      <c r="L919" s="15">
        <v>0.40972222222222221</v>
      </c>
      <c r="M919" s="14" t="s">
        <v>38</v>
      </c>
      <c r="N919" s="7">
        <v>186</v>
      </c>
      <c r="O919" s="14" t="s">
        <v>39</v>
      </c>
      <c r="P919" s="14" t="s">
        <v>25</v>
      </c>
      <c r="Q919" s="14" t="s">
        <v>39</v>
      </c>
      <c r="R919">
        <f>tblDailySchedule[[#This Row],[Capacity Approx]]*'[1]Load Factor Sheet June Acft  '!$B$5</f>
        <v>150.61772727272728</v>
      </c>
      <c r="S919">
        <f>tblDailySchedule[[#This Row],[Capacity Approx]]*'[1]Load Factor Sheet June Acft  '!$D$5</f>
        <v>163.08818181818182</v>
      </c>
      <c r="T919" s="22">
        <f>tblDailySchedule[[#This Row],[STD]]</f>
        <v>0.40972222222222221</v>
      </c>
    </row>
    <row r="920" spans="1:20" hidden="1" x14ac:dyDescent="0.35">
      <c r="A920" s="11">
        <v>46143</v>
      </c>
      <c r="B920" s="3">
        <v>5</v>
      </c>
      <c r="C920" t="s">
        <v>115</v>
      </c>
      <c r="D920" t="s">
        <v>18</v>
      </c>
      <c r="E920" s="3">
        <v>5</v>
      </c>
      <c r="F920" t="s">
        <v>19</v>
      </c>
      <c r="G920" t="s">
        <v>40</v>
      </c>
      <c r="H920" t="s">
        <v>31</v>
      </c>
      <c r="I920" s="12">
        <v>0.35069444444444442</v>
      </c>
      <c r="J920" t="s">
        <v>41</v>
      </c>
      <c r="K920" t="s">
        <v>31</v>
      </c>
      <c r="L920" s="12">
        <v>0.37152777777777779</v>
      </c>
      <c r="M920" t="s">
        <v>23</v>
      </c>
      <c r="N920" s="3">
        <v>186</v>
      </c>
      <c r="O920" t="s">
        <v>24</v>
      </c>
      <c r="P920" t="s">
        <v>25</v>
      </c>
      <c r="R920">
        <f>tblDailySchedule[[#This Row],[Capacity Approx]]*'[1]Load Factor Sheet June Acft  '!$B$5</f>
        <v>150.61772727272728</v>
      </c>
      <c r="S920">
        <f>tblDailySchedule[[#This Row],[Capacity Approx]]*'[1]Load Factor Sheet June Acft  '!$D$5</f>
        <v>163.08818181818182</v>
      </c>
      <c r="T920" s="22">
        <f>tblDailySchedule[[#This Row],[STD]]</f>
        <v>0.37152777777777779</v>
      </c>
    </row>
    <row r="921" spans="1:20" hidden="1" x14ac:dyDescent="0.35">
      <c r="A921" s="11">
        <v>46143</v>
      </c>
      <c r="B921" s="3">
        <v>5</v>
      </c>
      <c r="C921" t="s">
        <v>115</v>
      </c>
      <c r="D921" t="s">
        <v>18</v>
      </c>
      <c r="E921" s="3">
        <v>7</v>
      </c>
      <c r="F921" t="s">
        <v>19</v>
      </c>
      <c r="G921" t="s">
        <v>42</v>
      </c>
      <c r="H921" t="s">
        <v>43</v>
      </c>
      <c r="I921" s="12">
        <v>0.3923611111111111</v>
      </c>
      <c r="J921" t="s">
        <v>44</v>
      </c>
      <c r="K921" t="s">
        <v>43</v>
      </c>
      <c r="L921" s="12">
        <v>0.40277777777777779</v>
      </c>
      <c r="M921" t="s">
        <v>45</v>
      </c>
      <c r="N921" s="3">
        <v>9</v>
      </c>
      <c r="O921" t="s">
        <v>24</v>
      </c>
      <c r="P921" t="s">
        <v>25</v>
      </c>
      <c r="R921">
        <f>tblDailySchedule[[#This Row],[Capacity Approx]]*'[1]Load Factor Sheet June Acft  '!$B$5</f>
        <v>7.2879545454545456</v>
      </c>
      <c r="S921">
        <f>tblDailySchedule[[#This Row],[Capacity Approx]]*'[1]Load Factor Sheet June Acft  '!$D$5</f>
        <v>7.8913636363636366</v>
      </c>
      <c r="T921" s="22">
        <f>tblDailySchedule[[#This Row],[STD]]</f>
        <v>0.40277777777777779</v>
      </c>
    </row>
    <row r="922" spans="1:20" hidden="1" x14ac:dyDescent="0.35">
      <c r="A922" s="11">
        <v>46143</v>
      </c>
      <c r="B922" s="3">
        <v>5</v>
      </c>
      <c r="C922" t="s">
        <v>115</v>
      </c>
      <c r="D922" t="s">
        <v>18</v>
      </c>
      <c r="E922" s="3">
        <v>8</v>
      </c>
      <c r="F922" t="s">
        <v>19</v>
      </c>
      <c r="G922" t="s">
        <v>46</v>
      </c>
      <c r="H922" t="s">
        <v>31</v>
      </c>
      <c r="I922" s="12">
        <v>0.4201388888888889</v>
      </c>
      <c r="J922" t="s">
        <v>47</v>
      </c>
      <c r="K922" t="s">
        <v>31</v>
      </c>
      <c r="L922" s="12">
        <v>0.44444444444444442</v>
      </c>
      <c r="M922" t="s">
        <v>29</v>
      </c>
      <c r="N922" s="3">
        <v>186</v>
      </c>
      <c r="O922" t="s">
        <v>24</v>
      </c>
      <c r="P922" t="s">
        <v>25</v>
      </c>
      <c r="R922">
        <f>tblDailySchedule[[#This Row],[Capacity Approx]]*'[1]Load Factor Sheet June Acft  '!$B$5</f>
        <v>150.61772727272728</v>
      </c>
      <c r="S922">
        <f>tblDailySchedule[[#This Row],[Capacity Approx]]*'[1]Load Factor Sheet June Acft  '!$D$5</f>
        <v>163.08818181818182</v>
      </c>
      <c r="T922" s="22">
        <f>tblDailySchedule[[#This Row],[STD]]</f>
        <v>0.44444444444444442</v>
      </c>
    </row>
    <row r="923" spans="1:20" hidden="1" x14ac:dyDescent="0.35">
      <c r="A923" s="11">
        <v>46143</v>
      </c>
      <c r="B923" s="3">
        <v>5</v>
      </c>
      <c r="C923" t="s">
        <v>115</v>
      </c>
      <c r="D923" t="s">
        <v>18</v>
      </c>
      <c r="E923" s="3">
        <v>9</v>
      </c>
      <c r="F923" t="s">
        <v>19</v>
      </c>
      <c r="G923" t="s">
        <v>48</v>
      </c>
      <c r="H923" t="s">
        <v>49</v>
      </c>
      <c r="I923" s="12">
        <v>0.4375</v>
      </c>
      <c r="J923" t="s">
        <v>50</v>
      </c>
      <c r="K923" t="s">
        <v>49</v>
      </c>
      <c r="L923" s="12">
        <v>0.45833333333333331</v>
      </c>
      <c r="M923" t="s">
        <v>51</v>
      </c>
      <c r="N923" s="3">
        <v>78</v>
      </c>
      <c r="O923" t="s">
        <v>24</v>
      </c>
      <c r="P923" t="s">
        <v>25</v>
      </c>
      <c r="R923">
        <f>tblDailySchedule[[#This Row],[Capacity Approx]]*'[1]Load Factor Sheet June Acft  '!$B$5</f>
        <v>63.162272727272729</v>
      </c>
      <c r="S923">
        <f>tblDailySchedule[[#This Row],[Capacity Approx]]*'[1]Load Factor Sheet June Acft  '!$D$5</f>
        <v>68.391818181818181</v>
      </c>
      <c r="T923" s="22">
        <f>tblDailySchedule[[#This Row],[STD]]</f>
        <v>0.45833333333333331</v>
      </c>
    </row>
    <row r="924" spans="1:20" hidden="1" x14ac:dyDescent="0.35">
      <c r="A924" s="11">
        <v>46143</v>
      </c>
      <c r="B924" s="3">
        <v>5</v>
      </c>
      <c r="C924" t="s">
        <v>115</v>
      </c>
      <c r="D924" t="s">
        <v>18</v>
      </c>
      <c r="E924" s="3">
        <v>10</v>
      </c>
      <c r="F924" t="s">
        <v>19</v>
      </c>
      <c r="G924" t="s">
        <v>52</v>
      </c>
      <c r="H924" t="s">
        <v>27</v>
      </c>
      <c r="I924" s="12">
        <v>0.4826388888888889</v>
      </c>
      <c r="J924" t="s">
        <v>53</v>
      </c>
      <c r="K924" t="s">
        <v>27</v>
      </c>
      <c r="L924" s="12">
        <v>0.51041666666666663</v>
      </c>
      <c r="M924" t="s">
        <v>23</v>
      </c>
      <c r="N924" s="3">
        <v>186</v>
      </c>
      <c r="O924" t="s">
        <v>24</v>
      </c>
      <c r="P924" t="s">
        <v>25</v>
      </c>
      <c r="R924">
        <f>tblDailySchedule[[#This Row],[Capacity Approx]]*'[1]Load Factor Sheet June Acft  '!$B$5</f>
        <v>150.61772727272728</v>
      </c>
      <c r="S924">
        <f>tblDailySchedule[[#This Row],[Capacity Approx]]*'[1]Load Factor Sheet June Acft  '!$D$5</f>
        <v>163.08818181818182</v>
      </c>
      <c r="T924" s="22">
        <f>tblDailySchedule[[#This Row],[STD]]</f>
        <v>0.51041666666666663</v>
      </c>
    </row>
    <row r="925" spans="1:20" hidden="1" x14ac:dyDescent="0.35">
      <c r="A925" s="11">
        <v>46143</v>
      </c>
      <c r="B925" s="3">
        <v>5</v>
      </c>
      <c r="C925" t="s">
        <v>115</v>
      </c>
      <c r="D925" t="s">
        <v>18</v>
      </c>
      <c r="E925" s="3">
        <v>11</v>
      </c>
      <c r="F925" t="s">
        <v>19</v>
      </c>
      <c r="G925" t="s">
        <v>54</v>
      </c>
      <c r="H925" t="s">
        <v>31</v>
      </c>
      <c r="I925" s="12">
        <v>0.51388888888888884</v>
      </c>
      <c r="J925" t="s">
        <v>55</v>
      </c>
      <c r="K925" t="s">
        <v>31</v>
      </c>
      <c r="L925" s="12">
        <v>0.54166666666666663</v>
      </c>
      <c r="M925" t="s">
        <v>23</v>
      </c>
      <c r="N925" s="3">
        <v>186</v>
      </c>
      <c r="O925" t="s">
        <v>24</v>
      </c>
      <c r="P925" t="s">
        <v>56</v>
      </c>
      <c r="R925">
        <f>tblDailySchedule[[#This Row],[Capacity Approx]]*'[1]Load Factor Sheet June Acft  '!$B$5</f>
        <v>150.61772727272728</v>
      </c>
      <c r="S925">
        <f>tblDailySchedule[[#This Row],[Capacity Approx]]*'[1]Load Factor Sheet June Acft  '!$D$5</f>
        <v>163.08818181818182</v>
      </c>
      <c r="T925" s="22">
        <f>tblDailySchedule[[#This Row],[STD]]</f>
        <v>0.54166666666666663</v>
      </c>
    </row>
    <row r="926" spans="1:20" hidden="1" x14ac:dyDescent="0.35">
      <c r="A926" s="11">
        <v>46143</v>
      </c>
      <c r="B926" s="3">
        <v>5</v>
      </c>
      <c r="C926" t="s">
        <v>115</v>
      </c>
      <c r="D926" t="s">
        <v>18</v>
      </c>
      <c r="E926" s="3">
        <v>13</v>
      </c>
      <c r="F926" t="s">
        <v>19</v>
      </c>
      <c r="G926" t="s">
        <v>57</v>
      </c>
      <c r="H926" t="s">
        <v>58</v>
      </c>
      <c r="I926" s="12">
        <v>0.55902777777777779</v>
      </c>
      <c r="J926" t="s">
        <v>59</v>
      </c>
      <c r="K926" t="s">
        <v>58</v>
      </c>
      <c r="L926" s="12">
        <v>0.57638888888888884</v>
      </c>
      <c r="M926" t="s">
        <v>51</v>
      </c>
      <c r="N926" s="3">
        <v>78</v>
      </c>
      <c r="O926" t="s">
        <v>24</v>
      </c>
      <c r="P926" t="s">
        <v>56</v>
      </c>
      <c r="R926">
        <f>tblDailySchedule[[#This Row],[Capacity Approx]]*'[1]Load Factor Sheet June Acft  '!$B$5</f>
        <v>63.162272727272729</v>
      </c>
      <c r="S926">
        <f>tblDailySchedule[[#This Row],[Capacity Approx]]*'[1]Load Factor Sheet June Acft  '!$D$5</f>
        <v>68.391818181818181</v>
      </c>
      <c r="T926" s="22">
        <f>tblDailySchedule[[#This Row],[STD]]</f>
        <v>0.57638888888888884</v>
      </c>
    </row>
    <row r="927" spans="1:20" hidden="1" x14ac:dyDescent="0.35">
      <c r="A927" s="11">
        <v>46143</v>
      </c>
      <c r="B927" s="3">
        <v>5</v>
      </c>
      <c r="C927" t="s">
        <v>115</v>
      </c>
      <c r="D927" t="s">
        <v>18</v>
      </c>
      <c r="E927" s="3">
        <v>14</v>
      </c>
      <c r="F927" t="s">
        <v>19</v>
      </c>
      <c r="G927" t="s">
        <v>60</v>
      </c>
      <c r="H927" t="s">
        <v>61</v>
      </c>
      <c r="I927" s="12">
        <v>0.59027777777777779</v>
      </c>
      <c r="J927" t="s">
        <v>62</v>
      </c>
      <c r="K927" t="s">
        <v>61</v>
      </c>
      <c r="L927" s="12">
        <v>0.62152777777777779</v>
      </c>
      <c r="M927" t="s">
        <v>63</v>
      </c>
      <c r="N927" s="3">
        <v>232</v>
      </c>
      <c r="O927" t="s">
        <v>24</v>
      </c>
      <c r="P927" t="s">
        <v>56</v>
      </c>
      <c r="R927">
        <f>tblDailySchedule[[#This Row],[Capacity Approx]]*'[1]Load Factor Sheet June Acft  '!$B$5</f>
        <v>187.86727272727273</v>
      </c>
      <c r="S927">
        <f>tblDailySchedule[[#This Row],[Capacity Approx]]*'[1]Load Factor Sheet June Acft  '!$D$5</f>
        <v>203.4218181818182</v>
      </c>
      <c r="T927" s="22">
        <f>tblDailySchedule[[#This Row],[STD]]</f>
        <v>0.62152777777777779</v>
      </c>
    </row>
    <row r="928" spans="1:20" hidden="1" x14ac:dyDescent="0.35">
      <c r="A928" s="11">
        <v>46143</v>
      </c>
      <c r="B928" s="3">
        <v>5</v>
      </c>
      <c r="C928" t="s">
        <v>115</v>
      </c>
      <c r="D928" t="s">
        <v>18</v>
      </c>
      <c r="E928" s="3">
        <v>15</v>
      </c>
      <c r="F928" t="s">
        <v>19</v>
      </c>
      <c r="G928" t="s">
        <v>64</v>
      </c>
      <c r="H928" t="s">
        <v>31</v>
      </c>
      <c r="I928" s="12">
        <v>0.60069444444444442</v>
      </c>
      <c r="J928" t="s">
        <v>65</v>
      </c>
      <c r="K928" t="s">
        <v>66</v>
      </c>
      <c r="L928" s="12">
        <v>0.62847222222222221</v>
      </c>
      <c r="M928" t="s">
        <v>63</v>
      </c>
      <c r="N928" s="3">
        <v>232</v>
      </c>
      <c r="O928" t="s">
        <v>24</v>
      </c>
      <c r="P928" t="s">
        <v>56</v>
      </c>
      <c r="R928">
        <f>tblDailySchedule[[#This Row],[Capacity Approx]]*'[1]Load Factor Sheet June Acft  '!$B$5</f>
        <v>187.86727272727273</v>
      </c>
      <c r="S928">
        <f>tblDailySchedule[[#This Row],[Capacity Approx]]*'[1]Load Factor Sheet June Acft  '!$D$5</f>
        <v>203.4218181818182</v>
      </c>
      <c r="T928" s="22">
        <f>tblDailySchedule[[#This Row],[STD]]</f>
        <v>0.62847222222222221</v>
      </c>
    </row>
    <row r="929" spans="1:20" hidden="1" x14ac:dyDescent="0.35">
      <c r="A929" s="11">
        <v>46143</v>
      </c>
      <c r="B929" s="3">
        <v>5</v>
      </c>
      <c r="C929" t="s">
        <v>115</v>
      </c>
      <c r="D929" t="s">
        <v>18</v>
      </c>
      <c r="E929" s="3">
        <v>16</v>
      </c>
      <c r="F929" t="s">
        <v>19</v>
      </c>
      <c r="G929" t="s">
        <v>67</v>
      </c>
      <c r="H929" t="s">
        <v>31</v>
      </c>
      <c r="I929" s="12">
        <v>0.65625</v>
      </c>
      <c r="J929" t="s">
        <v>68</v>
      </c>
      <c r="K929" t="s">
        <v>31</v>
      </c>
      <c r="L929" s="12">
        <v>0.68402777777777779</v>
      </c>
      <c r="M929" t="s">
        <v>63</v>
      </c>
      <c r="N929" s="3">
        <v>232</v>
      </c>
      <c r="O929" t="s">
        <v>24</v>
      </c>
      <c r="P929" t="s">
        <v>56</v>
      </c>
      <c r="R929">
        <f>tblDailySchedule[[#This Row],[Capacity Approx]]*'[1]Load Factor Sheet June Acft  '!$B$5</f>
        <v>187.86727272727273</v>
      </c>
      <c r="S929">
        <f>tblDailySchedule[[#This Row],[Capacity Approx]]*'[1]Load Factor Sheet June Acft  '!$D$5</f>
        <v>203.4218181818182</v>
      </c>
      <c r="T929" s="22">
        <f>tblDailySchedule[[#This Row],[STD]]</f>
        <v>0.68402777777777779</v>
      </c>
    </row>
    <row r="930" spans="1:20" hidden="1" x14ac:dyDescent="0.35">
      <c r="A930" s="11">
        <v>46143</v>
      </c>
      <c r="B930" s="3">
        <v>5</v>
      </c>
      <c r="C930" t="s">
        <v>115</v>
      </c>
      <c r="D930" t="s">
        <v>18</v>
      </c>
      <c r="E930" s="3">
        <v>17</v>
      </c>
      <c r="F930" t="s">
        <v>19</v>
      </c>
      <c r="G930" t="s">
        <v>69</v>
      </c>
      <c r="H930" t="s">
        <v>31</v>
      </c>
      <c r="I930" s="12">
        <v>0.66319444444444442</v>
      </c>
      <c r="J930" t="s">
        <v>70</v>
      </c>
      <c r="K930" t="s">
        <v>31</v>
      </c>
      <c r="L930" s="12">
        <v>0.69097222222222221</v>
      </c>
      <c r="M930" t="s">
        <v>33</v>
      </c>
      <c r="N930" s="3">
        <v>189</v>
      </c>
      <c r="O930" t="s">
        <v>24</v>
      </c>
      <c r="P930" t="s">
        <v>56</v>
      </c>
      <c r="R930">
        <f>tblDailySchedule[[#This Row],[Capacity Approx]]*'[1]Load Factor Sheet June Acft  '!$B$5</f>
        <v>153.04704545454547</v>
      </c>
      <c r="S930">
        <f>tblDailySchedule[[#This Row],[Capacity Approx]]*'[1]Load Factor Sheet June Acft  '!$D$5</f>
        <v>165.71863636363636</v>
      </c>
      <c r="T930" s="22">
        <f>tblDailySchedule[[#This Row],[STD]]</f>
        <v>0.69097222222222221</v>
      </c>
    </row>
    <row r="931" spans="1:20" hidden="1" x14ac:dyDescent="0.35">
      <c r="A931" s="11">
        <v>46143</v>
      </c>
      <c r="B931" s="3">
        <v>5</v>
      </c>
      <c r="C931" t="s">
        <v>115</v>
      </c>
      <c r="D931" t="s">
        <v>18</v>
      </c>
      <c r="E931" s="3">
        <v>18</v>
      </c>
      <c r="F931" t="s">
        <v>19</v>
      </c>
      <c r="G931" t="s">
        <v>71</v>
      </c>
      <c r="H931" t="s">
        <v>21</v>
      </c>
      <c r="I931" s="12">
        <v>0.67013888888888884</v>
      </c>
      <c r="J931" t="s">
        <v>72</v>
      </c>
      <c r="K931" t="s">
        <v>21</v>
      </c>
      <c r="L931" s="12">
        <v>0.69791666666666663</v>
      </c>
      <c r="M931" t="s">
        <v>63</v>
      </c>
      <c r="N931" s="3">
        <v>232</v>
      </c>
      <c r="O931" t="s">
        <v>24</v>
      </c>
      <c r="P931" t="s">
        <v>56</v>
      </c>
      <c r="R931">
        <f>tblDailySchedule[[#This Row],[Capacity Approx]]*'[1]Load Factor Sheet June Acft  '!$B$5</f>
        <v>187.86727272727273</v>
      </c>
      <c r="S931">
        <f>tblDailySchedule[[#This Row],[Capacity Approx]]*'[1]Load Factor Sheet June Acft  '!$D$5</f>
        <v>203.4218181818182</v>
      </c>
      <c r="T931" s="22">
        <f>tblDailySchedule[[#This Row],[STD]]</f>
        <v>0.69791666666666663</v>
      </c>
    </row>
    <row r="932" spans="1:20" hidden="1" x14ac:dyDescent="0.35">
      <c r="A932" s="11">
        <v>46143</v>
      </c>
      <c r="B932" s="3">
        <v>5</v>
      </c>
      <c r="C932" t="s">
        <v>115</v>
      </c>
      <c r="D932" t="s">
        <v>18</v>
      </c>
      <c r="E932" s="3">
        <v>19</v>
      </c>
      <c r="F932" t="s">
        <v>19</v>
      </c>
      <c r="G932" t="s">
        <v>73</v>
      </c>
      <c r="H932" t="s">
        <v>27</v>
      </c>
      <c r="I932" s="12">
        <v>0.74652777777777779</v>
      </c>
      <c r="J932" t="s">
        <v>74</v>
      </c>
      <c r="K932" t="s">
        <v>27</v>
      </c>
      <c r="L932" s="12">
        <v>0.77430555555555558</v>
      </c>
      <c r="M932" t="s">
        <v>63</v>
      </c>
      <c r="N932" s="3">
        <v>232</v>
      </c>
      <c r="O932" t="s">
        <v>24</v>
      </c>
      <c r="P932" t="s">
        <v>56</v>
      </c>
      <c r="R932">
        <f>tblDailySchedule[[#This Row],[Capacity Approx]]*'[1]Load Factor Sheet June Acft  '!$B$5</f>
        <v>187.86727272727273</v>
      </c>
      <c r="S932">
        <f>tblDailySchedule[[#This Row],[Capacity Approx]]*'[1]Load Factor Sheet June Acft  '!$D$5</f>
        <v>203.4218181818182</v>
      </c>
      <c r="T932" s="22">
        <f>tblDailySchedule[[#This Row],[STD]]</f>
        <v>0.77430555555555558</v>
      </c>
    </row>
    <row r="933" spans="1:20" hidden="1" x14ac:dyDescent="0.35">
      <c r="A933" s="11">
        <v>46143</v>
      </c>
      <c r="B933" s="3">
        <v>5</v>
      </c>
      <c r="C933" t="s">
        <v>115</v>
      </c>
      <c r="D933" t="s">
        <v>18</v>
      </c>
      <c r="E933" s="3">
        <v>20</v>
      </c>
      <c r="F933" t="s">
        <v>34</v>
      </c>
      <c r="G933" t="s">
        <v>75</v>
      </c>
      <c r="H933" t="s">
        <v>76</v>
      </c>
      <c r="I933" s="12">
        <v>0.76388888888888884</v>
      </c>
      <c r="J933" t="s">
        <v>77</v>
      </c>
      <c r="K933" t="s">
        <v>78</v>
      </c>
      <c r="L933" s="12">
        <v>0.78472222222222221</v>
      </c>
      <c r="M933" t="s">
        <v>51</v>
      </c>
      <c r="N933" s="3">
        <v>78</v>
      </c>
      <c r="O933" t="s">
        <v>24</v>
      </c>
      <c r="P933" t="s">
        <v>79</v>
      </c>
      <c r="Q933" s="16" t="s">
        <v>80</v>
      </c>
      <c r="R933">
        <f>tblDailySchedule[[#This Row],[Capacity Approx]]*'[1]Load Factor Sheet June Acft  '!$B$5</f>
        <v>63.162272727272729</v>
      </c>
      <c r="S933">
        <f>tblDailySchedule[[#This Row],[Capacity Approx]]*'[1]Load Factor Sheet June Acft  '!$D$5</f>
        <v>68.391818181818181</v>
      </c>
      <c r="T933" s="22">
        <f>tblDailySchedule[[#This Row],[STD]]</f>
        <v>0.78472222222222221</v>
      </c>
    </row>
    <row r="934" spans="1:20" hidden="1" x14ac:dyDescent="0.35">
      <c r="A934" s="11">
        <v>46143</v>
      </c>
      <c r="B934" s="3">
        <v>5</v>
      </c>
      <c r="C934" t="s">
        <v>115</v>
      </c>
      <c r="D934" t="s">
        <v>18</v>
      </c>
      <c r="E934" s="3">
        <v>21</v>
      </c>
      <c r="F934" t="s">
        <v>19</v>
      </c>
      <c r="G934" t="s">
        <v>81</v>
      </c>
      <c r="H934" t="s">
        <v>61</v>
      </c>
      <c r="I934" s="12">
        <v>0.77083333333333337</v>
      </c>
      <c r="J934" t="s">
        <v>82</v>
      </c>
      <c r="K934" t="s">
        <v>49</v>
      </c>
      <c r="L934" s="12">
        <v>0.79166666666666663</v>
      </c>
      <c r="M934" t="s">
        <v>33</v>
      </c>
      <c r="N934" s="3">
        <v>189</v>
      </c>
      <c r="O934" t="s">
        <v>24</v>
      </c>
      <c r="P934" t="s">
        <v>79</v>
      </c>
      <c r="R934">
        <f>tblDailySchedule[[#This Row],[Capacity Approx]]*'[1]Load Factor Sheet June Acft  '!$B$5</f>
        <v>153.04704545454547</v>
      </c>
      <c r="S934">
        <f>tblDailySchedule[[#This Row],[Capacity Approx]]*'[1]Load Factor Sheet June Acft  '!$D$5</f>
        <v>165.71863636363636</v>
      </c>
      <c r="T934" s="22">
        <f>tblDailySchedule[[#This Row],[STD]]</f>
        <v>0.79166666666666663</v>
      </c>
    </row>
    <row r="935" spans="1:20" hidden="1" x14ac:dyDescent="0.35">
      <c r="A935" s="11">
        <v>46143</v>
      </c>
      <c r="B935" s="3">
        <v>5</v>
      </c>
      <c r="C935" t="s">
        <v>115</v>
      </c>
      <c r="D935" t="s">
        <v>18</v>
      </c>
      <c r="E935" s="3">
        <v>22</v>
      </c>
      <c r="F935" t="s">
        <v>19</v>
      </c>
      <c r="G935" t="s">
        <v>83</v>
      </c>
      <c r="H935" t="s">
        <v>31</v>
      </c>
      <c r="I935" s="12">
        <v>0.77777777777777779</v>
      </c>
      <c r="J935" t="s">
        <v>84</v>
      </c>
      <c r="K935" t="s">
        <v>31</v>
      </c>
      <c r="L935" s="12">
        <v>0.80555555555555558</v>
      </c>
      <c r="M935" t="s">
        <v>63</v>
      </c>
      <c r="N935" s="3">
        <v>232</v>
      </c>
      <c r="O935" t="s">
        <v>24</v>
      </c>
      <c r="P935" t="s">
        <v>79</v>
      </c>
      <c r="R935">
        <f>tblDailySchedule[[#This Row],[Capacity Approx]]*'[1]Load Factor Sheet June Acft  '!$B$5</f>
        <v>187.86727272727273</v>
      </c>
      <c r="S935">
        <f>tblDailySchedule[[#This Row],[Capacity Approx]]*'[1]Load Factor Sheet June Acft  '!$D$5</f>
        <v>203.4218181818182</v>
      </c>
      <c r="T935" s="22">
        <f>tblDailySchedule[[#This Row],[STD]]</f>
        <v>0.80555555555555558</v>
      </c>
    </row>
    <row r="936" spans="1:20" hidden="1" x14ac:dyDescent="0.35">
      <c r="A936" s="11">
        <v>46143</v>
      </c>
      <c r="B936" s="3">
        <v>5</v>
      </c>
      <c r="C936" t="s">
        <v>115</v>
      </c>
      <c r="D936" t="s">
        <v>18</v>
      </c>
      <c r="E936" s="3">
        <v>23</v>
      </c>
      <c r="F936" t="s">
        <v>19</v>
      </c>
      <c r="G936" t="s">
        <v>85</v>
      </c>
      <c r="H936" t="s">
        <v>86</v>
      </c>
      <c r="I936" s="12">
        <v>0.79861111111111116</v>
      </c>
      <c r="J936" t="s">
        <v>87</v>
      </c>
      <c r="K936" t="s">
        <v>86</v>
      </c>
      <c r="L936" s="12">
        <v>0.82638888888888884</v>
      </c>
      <c r="M936" t="s">
        <v>63</v>
      </c>
      <c r="N936" s="3">
        <v>232</v>
      </c>
      <c r="O936" t="s">
        <v>24</v>
      </c>
      <c r="P936" t="s">
        <v>79</v>
      </c>
      <c r="R936">
        <f>tblDailySchedule[[#This Row],[Capacity Approx]]*'[1]Load Factor Sheet June Acft  '!$B$5</f>
        <v>187.86727272727273</v>
      </c>
      <c r="S936">
        <f>tblDailySchedule[[#This Row],[Capacity Approx]]*'[1]Load Factor Sheet June Acft  '!$D$5</f>
        <v>203.4218181818182</v>
      </c>
      <c r="T936" s="22">
        <f>tblDailySchedule[[#This Row],[STD]]</f>
        <v>0.82638888888888884</v>
      </c>
    </row>
    <row r="937" spans="1:20" hidden="1" x14ac:dyDescent="0.35">
      <c r="A937" s="11">
        <v>46143</v>
      </c>
      <c r="B937" s="3">
        <v>5</v>
      </c>
      <c r="C937" t="s">
        <v>115</v>
      </c>
      <c r="D937" t="s">
        <v>18</v>
      </c>
      <c r="E937" s="3">
        <v>24</v>
      </c>
      <c r="F937" t="s">
        <v>19</v>
      </c>
      <c r="G937" t="s">
        <v>88</v>
      </c>
      <c r="H937" t="s">
        <v>89</v>
      </c>
      <c r="I937" s="12">
        <v>0.83333333333333337</v>
      </c>
      <c r="J937" t="s">
        <v>90</v>
      </c>
      <c r="K937" t="s">
        <v>31</v>
      </c>
      <c r="L937" s="12">
        <v>0.86111111111111116</v>
      </c>
      <c r="M937" t="s">
        <v>63</v>
      </c>
      <c r="N937" s="3">
        <v>232</v>
      </c>
      <c r="O937" t="s">
        <v>24</v>
      </c>
      <c r="P937" t="s">
        <v>79</v>
      </c>
      <c r="R937">
        <f>tblDailySchedule[[#This Row],[Capacity Approx]]*'[1]Load Factor Sheet June Acft  '!$B$5</f>
        <v>187.86727272727273</v>
      </c>
      <c r="S937">
        <f>tblDailySchedule[[#This Row],[Capacity Approx]]*'[1]Load Factor Sheet June Acft  '!$D$5</f>
        <v>203.4218181818182</v>
      </c>
      <c r="T937" s="22">
        <f>tblDailySchedule[[#This Row],[STD]]</f>
        <v>0.86111111111111116</v>
      </c>
    </row>
    <row r="938" spans="1:20" hidden="1" x14ac:dyDescent="0.35">
      <c r="A938" s="11">
        <v>46143</v>
      </c>
      <c r="B938" s="3">
        <v>5</v>
      </c>
      <c r="C938" t="s">
        <v>115</v>
      </c>
      <c r="D938" t="s">
        <v>18</v>
      </c>
      <c r="E938" s="3">
        <v>25</v>
      </c>
      <c r="F938" t="s">
        <v>19</v>
      </c>
      <c r="G938" t="s">
        <v>91</v>
      </c>
      <c r="H938" t="s">
        <v>61</v>
      </c>
      <c r="I938" s="12">
        <v>0.85416666666666663</v>
      </c>
      <c r="J938" t="s">
        <v>92</v>
      </c>
      <c r="K938" t="s">
        <v>61</v>
      </c>
      <c r="L938" s="12">
        <v>0.88194444444444442</v>
      </c>
      <c r="M938" t="s">
        <v>63</v>
      </c>
      <c r="N938" s="3">
        <v>232</v>
      </c>
      <c r="O938" t="s">
        <v>24</v>
      </c>
      <c r="P938" t="s">
        <v>79</v>
      </c>
      <c r="R938">
        <f>tblDailySchedule[[#This Row],[Capacity Approx]]*'[1]Load Factor Sheet June Acft  '!$B$5</f>
        <v>187.86727272727273</v>
      </c>
      <c r="S938">
        <f>tblDailySchedule[[#This Row],[Capacity Approx]]*'[1]Load Factor Sheet June Acft  '!$D$5</f>
        <v>203.4218181818182</v>
      </c>
      <c r="T938" s="22">
        <f>tblDailySchedule[[#This Row],[STD]]</f>
        <v>0.88194444444444442</v>
      </c>
    </row>
    <row r="939" spans="1:20" hidden="1" x14ac:dyDescent="0.35">
      <c r="A939" s="11">
        <v>46143</v>
      </c>
      <c r="B939" s="3">
        <v>5</v>
      </c>
      <c r="C939" t="s">
        <v>115</v>
      </c>
      <c r="D939" t="s">
        <v>18</v>
      </c>
      <c r="E939" s="3">
        <v>26</v>
      </c>
      <c r="F939" t="s">
        <v>19</v>
      </c>
      <c r="G939" t="s">
        <v>93</v>
      </c>
      <c r="H939" t="s">
        <v>31</v>
      </c>
      <c r="I939" s="12">
        <v>0.86111111111111116</v>
      </c>
      <c r="J939" t="s">
        <v>94</v>
      </c>
      <c r="K939" t="s">
        <v>31</v>
      </c>
      <c r="L939" s="12">
        <v>0.88888888888888884</v>
      </c>
      <c r="M939" t="s">
        <v>23</v>
      </c>
      <c r="N939" s="3">
        <v>186</v>
      </c>
      <c r="O939" t="s">
        <v>24</v>
      </c>
      <c r="P939" t="s">
        <v>79</v>
      </c>
      <c r="R939">
        <f>tblDailySchedule[[#This Row],[Capacity Approx]]*'[1]Load Factor Sheet June Acft  '!$B$5</f>
        <v>150.61772727272728</v>
      </c>
      <c r="S939">
        <f>tblDailySchedule[[#This Row],[Capacity Approx]]*'[1]Load Factor Sheet June Acft  '!$D$5</f>
        <v>163.08818181818182</v>
      </c>
      <c r="T939" s="22">
        <f>tblDailySchedule[[#This Row],[STD]]</f>
        <v>0.88888888888888884</v>
      </c>
    </row>
    <row r="940" spans="1:20" hidden="1" x14ac:dyDescent="0.35">
      <c r="A940" s="11">
        <v>46143</v>
      </c>
      <c r="B940" s="3">
        <v>5</v>
      </c>
      <c r="C940" t="s">
        <v>115</v>
      </c>
      <c r="D940" t="s">
        <v>18</v>
      </c>
      <c r="E940" s="3">
        <v>27</v>
      </c>
      <c r="F940" t="s">
        <v>19</v>
      </c>
      <c r="G940" t="s">
        <v>95</v>
      </c>
      <c r="H940" t="s">
        <v>21</v>
      </c>
      <c r="I940" s="12">
        <v>0.86805555555555558</v>
      </c>
      <c r="J940" t="s">
        <v>96</v>
      </c>
      <c r="K940" t="s">
        <v>21</v>
      </c>
      <c r="L940" s="12">
        <v>0.89583333333333337</v>
      </c>
      <c r="M940" t="s">
        <v>29</v>
      </c>
      <c r="N940" s="3">
        <v>186</v>
      </c>
      <c r="O940" t="s">
        <v>24</v>
      </c>
      <c r="P940" t="s">
        <v>79</v>
      </c>
      <c r="R940">
        <f>tblDailySchedule[[#This Row],[Capacity Approx]]*'[1]Load Factor Sheet June Acft  '!$B$5</f>
        <v>150.61772727272728</v>
      </c>
      <c r="S940">
        <f>tblDailySchedule[[#This Row],[Capacity Approx]]*'[1]Load Factor Sheet June Acft  '!$D$5</f>
        <v>163.08818181818182</v>
      </c>
      <c r="T940" s="22">
        <f>tblDailySchedule[[#This Row],[STD]]</f>
        <v>0.89583333333333337</v>
      </c>
    </row>
    <row r="941" spans="1:20" hidden="1" x14ac:dyDescent="0.35">
      <c r="A941" s="11">
        <v>46143</v>
      </c>
      <c r="B941" s="3">
        <v>5</v>
      </c>
      <c r="C941" t="s">
        <v>115</v>
      </c>
      <c r="D941" t="s">
        <v>18</v>
      </c>
      <c r="E941" s="3">
        <v>28</v>
      </c>
      <c r="F941" t="s">
        <v>19</v>
      </c>
      <c r="G941" t="s">
        <v>97</v>
      </c>
      <c r="H941" t="s">
        <v>49</v>
      </c>
      <c r="I941" s="12">
        <v>0.90277777777777779</v>
      </c>
      <c r="J941" t="s">
        <v>97</v>
      </c>
      <c r="K941" t="s">
        <v>61</v>
      </c>
      <c r="L941" s="12">
        <v>0.92361111111111116</v>
      </c>
      <c r="M941" t="s">
        <v>33</v>
      </c>
      <c r="N941" s="3">
        <v>189</v>
      </c>
      <c r="O941" t="s">
        <v>24</v>
      </c>
      <c r="P941" t="s">
        <v>79</v>
      </c>
      <c r="R941">
        <f>tblDailySchedule[[#This Row],[Capacity Approx]]*'[1]Load Factor Sheet June Acft  '!$B$5</f>
        <v>153.04704545454547</v>
      </c>
      <c r="S941">
        <f>tblDailySchedule[[#This Row],[Capacity Approx]]*'[1]Load Factor Sheet June Acft  '!$D$5</f>
        <v>165.71863636363636</v>
      </c>
      <c r="T941" s="22">
        <f>tblDailySchedule[[#This Row],[STD]]</f>
        <v>0.92361111111111116</v>
      </c>
    </row>
    <row r="942" spans="1:20" hidden="1" x14ac:dyDescent="0.35">
      <c r="A942" s="11">
        <v>46143</v>
      </c>
      <c r="B942" s="3">
        <v>5</v>
      </c>
      <c r="C942" t="s">
        <v>115</v>
      </c>
      <c r="D942" t="s">
        <v>18</v>
      </c>
      <c r="E942" s="3">
        <v>29</v>
      </c>
      <c r="F942" t="s">
        <v>19</v>
      </c>
      <c r="G942" t="s">
        <v>98</v>
      </c>
      <c r="H942" t="s">
        <v>21</v>
      </c>
      <c r="I942" s="12">
        <v>0.92013888888888884</v>
      </c>
      <c r="J942" t="s">
        <v>99</v>
      </c>
      <c r="K942" t="s">
        <v>21</v>
      </c>
      <c r="L942" s="12">
        <v>0.94791666666666663</v>
      </c>
      <c r="M942" t="s">
        <v>63</v>
      </c>
      <c r="N942" s="3">
        <v>232</v>
      </c>
      <c r="O942" t="s">
        <v>24</v>
      </c>
      <c r="P942" t="s">
        <v>79</v>
      </c>
      <c r="R942">
        <f>tblDailySchedule[[#This Row],[Capacity Approx]]*'[1]Load Factor Sheet June Acft  '!$B$5</f>
        <v>187.86727272727273</v>
      </c>
      <c r="S942">
        <f>tblDailySchedule[[#This Row],[Capacity Approx]]*'[1]Load Factor Sheet June Acft  '!$D$5</f>
        <v>203.4218181818182</v>
      </c>
      <c r="T942" s="22">
        <f>tblDailySchedule[[#This Row],[STD]]</f>
        <v>0.94791666666666663</v>
      </c>
    </row>
    <row r="943" spans="1:20" hidden="1" x14ac:dyDescent="0.35">
      <c r="A943" s="13">
        <v>46143</v>
      </c>
      <c r="B943" s="7">
        <v>5</v>
      </c>
      <c r="C943" s="14" t="s">
        <v>115</v>
      </c>
      <c r="D943" s="14" t="s">
        <v>18</v>
      </c>
      <c r="E943" s="7">
        <v>30</v>
      </c>
      <c r="F943" s="14" t="s">
        <v>104</v>
      </c>
      <c r="G943" s="14" t="s">
        <v>105</v>
      </c>
      <c r="H943" s="14" t="s">
        <v>106</v>
      </c>
      <c r="I943" s="15">
        <v>0.92708333333333337</v>
      </c>
      <c r="J943" s="14" t="s">
        <v>107</v>
      </c>
      <c r="K943" s="14" t="s">
        <v>106</v>
      </c>
      <c r="L943" s="15">
        <v>0.95833333333333337</v>
      </c>
      <c r="M943" s="14" t="s">
        <v>38</v>
      </c>
      <c r="N943" s="7">
        <v>186</v>
      </c>
      <c r="O943" s="14" t="s">
        <v>39</v>
      </c>
      <c r="P943" s="14" t="s">
        <v>79</v>
      </c>
      <c r="Q943" s="14" t="s">
        <v>39</v>
      </c>
      <c r="R943">
        <f>tblDailySchedule[[#This Row],[Capacity Approx]]*'[1]Load Factor Sheet June Acft  '!$B$5</f>
        <v>150.61772727272728</v>
      </c>
      <c r="S943">
        <f>tblDailySchedule[[#This Row],[Capacity Approx]]*'[1]Load Factor Sheet June Acft  '!$D$5</f>
        <v>163.08818181818182</v>
      </c>
      <c r="T943" s="22">
        <f>tblDailySchedule[[#This Row],[STD]]</f>
        <v>0.95833333333333337</v>
      </c>
    </row>
    <row r="944" spans="1:20" hidden="1" x14ac:dyDescent="0.35">
      <c r="A944" s="11">
        <v>46144</v>
      </c>
      <c r="B944" s="3">
        <v>6</v>
      </c>
      <c r="C944" t="s">
        <v>116</v>
      </c>
      <c r="D944" t="s">
        <v>18</v>
      </c>
      <c r="E944" s="3">
        <v>1</v>
      </c>
      <c r="F944" t="s">
        <v>101</v>
      </c>
      <c r="G944" t="s">
        <v>102</v>
      </c>
      <c r="H944" t="s">
        <v>61</v>
      </c>
      <c r="I944" s="12">
        <v>0.3125</v>
      </c>
      <c r="J944" t="s">
        <v>103</v>
      </c>
      <c r="K944" t="s">
        <v>61</v>
      </c>
      <c r="L944" s="12">
        <v>0.33333333333333331</v>
      </c>
      <c r="M944" t="s">
        <v>33</v>
      </c>
      <c r="N944" s="3">
        <v>189</v>
      </c>
      <c r="O944" t="s">
        <v>24</v>
      </c>
      <c r="P944" t="s">
        <v>25</v>
      </c>
      <c r="R944">
        <f>tblDailySchedule[[#This Row],[Capacity Approx]]*'[1]Load Factor Sheet June Acft  '!$B$5</f>
        <v>153.04704545454547</v>
      </c>
      <c r="S944">
        <f>tblDailySchedule[[#This Row],[Capacity Approx]]*'[1]Load Factor Sheet June Acft  '!$D$5</f>
        <v>165.71863636363636</v>
      </c>
      <c r="T944" s="22">
        <f>tblDailySchedule[[#This Row],[STD]]</f>
        <v>0.33333333333333331</v>
      </c>
    </row>
    <row r="945" spans="1:20" hidden="1" x14ac:dyDescent="0.35">
      <c r="A945" s="11">
        <v>46144</v>
      </c>
      <c r="B945" s="3">
        <v>6</v>
      </c>
      <c r="C945" t="s">
        <v>116</v>
      </c>
      <c r="D945" t="s">
        <v>18</v>
      </c>
      <c r="E945" s="3">
        <v>2</v>
      </c>
      <c r="F945" t="s">
        <v>19</v>
      </c>
      <c r="G945" t="s">
        <v>20</v>
      </c>
      <c r="H945" t="s">
        <v>21</v>
      </c>
      <c r="I945" s="12">
        <v>0.31944444444444442</v>
      </c>
      <c r="J945" t="s">
        <v>22</v>
      </c>
      <c r="K945" t="s">
        <v>21</v>
      </c>
      <c r="L945" s="12">
        <v>0.34722222222222221</v>
      </c>
      <c r="M945" t="s">
        <v>23</v>
      </c>
      <c r="N945" s="3">
        <v>186</v>
      </c>
      <c r="O945" t="s">
        <v>24</v>
      </c>
      <c r="P945" t="s">
        <v>25</v>
      </c>
      <c r="R945">
        <f>tblDailySchedule[[#This Row],[Capacity Approx]]*'[1]Load Factor Sheet June Acft  '!$B$5</f>
        <v>150.61772727272728</v>
      </c>
      <c r="S945">
        <f>tblDailySchedule[[#This Row],[Capacity Approx]]*'[1]Load Factor Sheet June Acft  '!$D$5</f>
        <v>163.08818181818182</v>
      </c>
      <c r="T945" s="22">
        <f>tblDailySchedule[[#This Row],[STD]]</f>
        <v>0.34722222222222221</v>
      </c>
    </row>
    <row r="946" spans="1:20" hidden="1" x14ac:dyDescent="0.35">
      <c r="A946" s="11">
        <v>46144</v>
      </c>
      <c r="B946" s="3">
        <v>6</v>
      </c>
      <c r="C946" t="s">
        <v>116</v>
      </c>
      <c r="D946" t="s">
        <v>18</v>
      </c>
      <c r="E946" s="3">
        <v>3</v>
      </c>
      <c r="F946" t="s">
        <v>19</v>
      </c>
      <c r="G946" t="s">
        <v>26</v>
      </c>
      <c r="H946" t="s">
        <v>27</v>
      </c>
      <c r="I946" s="12">
        <v>0.3263888888888889</v>
      </c>
      <c r="J946" t="s">
        <v>28</v>
      </c>
      <c r="K946" t="s">
        <v>27</v>
      </c>
      <c r="L946" s="12">
        <v>0.35416666666666669</v>
      </c>
      <c r="M946" t="s">
        <v>29</v>
      </c>
      <c r="N946" s="3">
        <v>186</v>
      </c>
      <c r="O946" t="s">
        <v>24</v>
      </c>
      <c r="P946" t="s">
        <v>25</v>
      </c>
      <c r="R946">
        <f>tblDailySchedule[[#This Row],[Capacity Approx]]*'[1]Load Factor Sheet June Acft  '!$B$5</f>
        <v>150.61772727272728</v>
      </c>
      <c r="S946">
        <f>tblDailySchedule[[#This Row],[Capacity Approx]]*'[1]Load Factor Sheet June Acft  '!$D$5</f>
        <v>163.08818181818182</v>
      </c>
      <c r="T946" s="22">
        <f>tblDailySchedule[[#This Row],[STD]]</f>
        <v>0.35416666666666669</v>
      </c>
    </row>
    <row r="947" spans="1:20" hidden="1" x14ac:dyDescent="0.35">
      <c r="A947" s="11">
        <v>46144</v>
      </c>
      <c r="B947" s="3">
        <v>6</v>
      </c>
      <c r="C947" t="s">
        <v>116</v>
      </c>
      <c r="D947" t="s">
        <v>18</v>
      </c>
      <c r="E947" s="3">
        <v>4</v>
      </c>
      <c r="F947" t="s">
        <v>19</v>
      </c>
      <c r="G947" t="s">
        <v>30</v>
      </c>
      <c r="H947" t="s">
        <v>31</v>
      </c>
      <c r="I947" s="12">
        <v>0.34722222222222221</v>
      </c>
      <c r="J947" t="s">
        <v>32</v>
      </c>
      <c r="K947" t="s">
        <v>31</v>
      </c>
      <c r="L947" s="12">
        <v>0.36805555555555558</v>
      </c>
      <c r="M947" t="s">
        <v>33</v>
      </c>
      <c r="N947" s="3">
        <v>189</v>
      </c>
      <c r="O947" t="s">
        <v>24</v>
      </c>
      <c r="P947" t="s">
        <v>25</v>
      </c>
      <c r="R947">
        <f>tblDailySchedule[[#This Row],[Capacity Approx]]*'[1]Load Factor Sheet June Acft  '!$B$5</f>
        <v>153.04704545454547</v>
      </c>
      <c r="S947">
        <f>tblDailySchedule[[#This Row],[Capacity Approx]]*'[1]Load Factor Sheet June Acft  '!$D$5</f>
        <v>165.71863636363636</v>
      </c>
      <c r="T947" s="22">
        <f>tblDailySchedule[[#This Row],[STD]]</f>
        <v>0.36805555555555558</v>
      </c>
    </row>
    <row r="948" spans="1:20" hidden="1" x14ac:dyDescent="0.35">
      <c r="A948" s="11">
        <v>46144</v>
      </c>
      <c r="B948" s="3">
        <v>6</v>
      </c>
      <c r="C948" t="s">
        <v>116</v>
      </c>
      <c r="D948" t="s">
        <v>18</v>
      </c>
      <c r="E948" s="3">
        <v>5</v>
      </c>
      <c r="F948" t="s">
        <v>19</v>
      </c>
      <c r="G948" t="s">
        <v>40</v>
      </c>
      <c r="H948" t="s">
        <v>31</v>
      </c>
      <c r="I948" s="12">
        <v>0.35069444444444442</v>
      </c>
      <c r="J948" t="s">
        <v>41</v>
      </c>
      <c r="K948" t="s">
        <v>31</v>
      </c>
      <c r="L948" s="12">
        <v>0.37152777777777779</v>
      </c>
      <c r="M948" t="s">
        <v>23</v>
      </c>
      <c r="N948" s="3">
        <v>186</v>
      </c>
      <c r="O948" t="s">
        <v>24</v>
      </c>
      <c r="P948" t="s">
        <v>25</v>
      </c>
      <c r="R948">
        <f>tblDailySchedule[[#This Row],[Capacity Approx]]*'[1]Load Factor Sheet June Acft  '!$B$5</f>
        <v>150.61772727272728</v>
      </c>
      <c r="S948">
        <f>tblDailySchedule[[#This Row],[Capacity Approx]]*'[1]Load Factor Sheet June Acft  '!$D$5</f>
        <v>163.08818181818182</v>
      </c>
      <c r="T948" s="22">
        <f>tblDailySchedule[[#This Row],[STD]]</f>
        <v>0.37152777777777779</v>
      </c>
    </row>
    <row r="949" spans="1:20" hidden="1" x14ac:dyDescent="0.35">
      <c r="A949" s="11">
        <v>46144</v>
      </c>
      <c r="B949" s="3">
        <v>6</v>
      </c>
      <c r="C949" t="s">
        <v>116</v>
      </c>
      <c r="D949" t="s">
        <v>18</v>
      </c>
      <c r="E949" s="3">
        <v>7</v>
      </c>
      <c r="F949" t="s">
        <v>19</v>
      </c>
      <c r="G949" t="s">
        <v>42</v>
      </c>
      <c r="H949" t="s">
        <v>43</v>
      </c>
      <c r="I949" s="12">
        <v>0.3923611111111111</v>
      </c>
      <c r="J949" t="s">
        <v>44</v>
      </c>
      <c r="K949" t="s">
        <v>43</v>
      </c>
      <c r="L949" s="12">
        <v>0.40277777777777779</v>
      </c>
      <c r="M949" t="s">
        <v>45</v>
      </c>
      <c r="N949" s="3">
        <v>9</v>
      </c>
      <c r="O949" t="s">
        <v>24</v>
      </c>
      <c r="P949" t="s">
        <v>25</v>
      </c>
      <c r="R949">
        <f>tblDailySchedule[[#This Row],[Capacity Approx]]*'[1]Load Factor Sheet June Acft  '!$B$5</f>
        <v>7.2879545454545456</v>
      </c>
      <c r="S949">
        <f>tblDailySchedule[[#This Row],[Capacity Approx]]*'[1]Load Factor Sheet June Acft  '!$D$5</f>
        <v>7.8913636363636366</v>
      </c>
      <c r="T949" s="22">
        <f>tblDailySchedule[[#This Row],[STD]]</f>
        <v>0.40277777777777779</v>
      </c>
    </row>
    <row r="950" spans="1:20" hidden="1" x14ac:dyDescent="0.35">
      <c r="A950" s="11">
        <v>46144</v>
      </c>
      <c r="B950" s="3">
        <v>6</v>
      </c>
      <c r="C950" t="s">
        <v>116</v>
      </c>
      <c r="D950" t="s">
        <v>18</v>
      </c>
      <c r="E950" s="3">
        <v>8</v>
      </c>
      <c r="F950" t="s">
        <v>19</v>
      </c>
      <c r="G950" t="s">
        <v>46</v>
      </c>
      <c r="H950" t="s">
        <v>31</v>
      </c>
      <c r="I950" s="12">
        <v>0.4201388888888889</v>
      </c>
      <c r="J950" t="s">
        <v>47</v>
      </c>
      <c r="K950" t="s">
        <v>31</v>
      </c>
      <c r="L950" s="12">
        <v>0.44444444444444442</v>
      </c>
      <c r="M950" t="s">
        <v>29</v>
      </c>
      <c r="N950" s="3">
        <v>186</v>
      </c>
      <c r="O950" t="s">
        <v>24</v>
      </c>
      <c r="P950" t="s">
        <v>25</v>
      </c>
      <c r="R950">
        <f>tblDailySchedule[[#This Row],[Capacity Approx]]*'[1]Load Factor Sheet June Acft  '!$B$5</f>
        <v>150.61772727272728</v>
      </c>
      <c r="S950">
        <f>tblDailySchedule[[#This Row],[Capacity Approx]]*'[1]Load Factor Sheet June Acft  '!$D$5</f>
        <v>163.08818181818182</v>
      </c>
      <c r="T950" s="22">
        <f>tblDailySchedule[[#This Row],[STD]]</f>
        <v>0.44444444444444442</v>
      </c>
    </row>
    <row r="951" spans="1:20" hidden="1" x14ac:dyDescent="0.35">
      <c r="A951" s="11">
        <v>46144</v>
      </c>
      <c r="B951" s="3">
        <v>6</v>
      </c>
      <c r="C951" t="s">
        <v>116</v>
      </c>
      <c r="D951" t="s">
        <v>18</v>
      </c>
      <c r="E951" s="3">
        <v>9</v>
      </c>
      <c r="F951" t="s">
        <v>19</v>
      </c>
      <c r="G951" t="s">
        <v>48</v>
      </c>
      <c r="H951" t="s">
        <v>49</v>
      </c>
      <c r="I951" s="12">
        <v>0.4375</v>
      </c>
      <c r="J951" t="s">
        <v>50</v>
      </c>
      <c r="K951" t="s">
        <v>49</v>
      </c>
      <c r="L951" s="12">
        <v>0.45833333333333331</v>
      </c>
      <c r="M951" t="s">
        <v>51</v>
      </c>
      <c r="N951" s="3">
        <v>78</v>
      </c>
      <c r="O951" t="s">
        <v>24</v>
      </c>
      <c r="P951" t="s">
        <v>25</v>
      </c>
      <c r="R951">
        <f>tblDailySchedule[[#This Row],[Capacity Approx]]*'[1]Load Factor Sheet June Acft  '!$B$5</f>
        <v>63.162272727272729</v>
      </c>
      <c r="S951">
        <f>tblDailySchedule[[#This Row],[Capacity Approx]]*'[1]Load Factor Sheet June Acft  '!$D$5</f>
        <v>68.391818181818181</v>
      </c>
      <c r="T951" s="22">
        <f>tblDailySchedule[[#This Row],[STD]]</f>
        <v>0.45833333333333331</v>
      </c>
    </row>
    <row r="952" spans="1:20" hidden="1" x14ac:dyDescent="0.35">
      <c r="A952" s="11">
        <v>46144</v>
      </c>
      <c r="B952" s="3">
        <v>6</v>
      </c>
      <c r="C952" t="s">
        <v>116</v>
      </c>
      <c r="D952" t="s">
        <v>18</v>
      </c>
      <c r="E952" s="3">
        <v>10</v>
      </c>
      <c r="F952" t="s">
        <v>19</v>
      </c>
      <c r="G952" t="s">
        <v>52</v>
      </c>
      <c r="H952" t="s">
        <v>27</v>
      </c>
      <c r="I952" s="12">
        <v>0.4826388888888889</v>
      </c>
      <c r="J952" t="s">
        <v>53</v>
      </c>
      <c r="K952" t="s">
        <v>27</v>
      </c>
      <c r="L952" s="12">
        <v>0.51041666666666663</v>
      </c>
      <c r="M952" t="s">
        <v>23</v>
      </c>
      <c r="N952" s="3">
        <v>186</v>
      </c>
      <c r="O952" t="s">
        <v>24</v>
      </c>
      <c r="P952" t="s">
        <v>25</v>
      </c>
      <c r="R952">
        <f>tblDailySchedule[[#This Row],[Capacity Approx]]*'[1]Load Factor Sheet June Acft  '!$B$5</f>
        <v>150.61772727272728</v>
      </c>
      <c r="S952">
        <f>tblDailySchedule[[#This Row],[Capacity Approx]]*'[1]Load Factor Sheet June Acft  '!$D$5</f>
        <v>163.08818181818182</v>
      </c>
      <c r="T952" s="22">
        <f>tblDailySchedule[[#This Row],[STD]]</f>
        <v>0.51041666666666663</v>
      </c>
    </row>
    <row r="953" spans="1:20" hidden="1" x14ac:dyDescent="0.35">
      <c r="A953" s="11">
        <v>46144</v>
      </c>
      <c r="B953" s="3">
        <v>6</v>
      </c>
      <c r="C953" t="s">
        <v>116</v>
      </c>
      <c r="D953" t="s">
        <v>18</v>
      </c>
      <c r="E953" s="3">
        <v>11</v>
      </c>
      <c r="F953" t="s">
        <v>19</v>
      </c>
      <c r="G953" t="s">
        <v>54</v>
      </c>
      <c r="H953" t="s">
        <v>31</v>
      </c>
      <c r="I953" s="12">
        <v>0.51388888888888884</v>
      </c>
      <c r="J953" t="s">
        <v>55</v>
      </c>
      <c r="K953" t="s">
        <v>31</v>
      </c>
      <c r="L953" s="12">
        <v>0.54166666666666663</v>
      </c>
      <c r="M953" t="s">
        <v>23</v>
      </c>
      <c r="N953" s="3">
        <v>186</v>
      </c>
      <c r="O953" t="s">
        <v>24</v>
      </c>
      <c r="P953" t="s">
        <v>56</v>
      </c>
      <c r="R953">
        <f>tblDailySchedule[[#This Row],[Capacity Approx]]*'[1]Load Factor Sheet June Acft  '!$B$5</f>
        <v>150.61772727272728</v>
      </c>
      <c r="S953">
        <f>tblDailySchedule[[#This Row],[Capacity Approx]]*'[1]Load Factor Sheet June Acft  '!$D$5</f>
        <v>163.08818181818182</v>
      </c>
      <c r="T953" s="22">
        <f>tblDailySchedule[[#This Row],[STD]]</f>
        <v>0.54166666666666663</v>
      </c>
    </row>
    <row r="954" spans="1:20" hidden="1" x14ac:dyDescent="0.35">
      <c r="A954" s="11">
        <v>46144</v>
      </c>
      <c r="B954" s="3">
        <v>6</v>
      </c>
      <c r="C954" t="s">
        <v>116</v>
      </c>
      <c r="D954" t="s">
        <v>18</v>
      </c>
      <c r="E954" s="3">
        <v>12</v>
      </c>
      <c r="F954" t="s">
        <v>109</v>
      </c>
      <c r="G954" t="s">
        <v>110</v>
      </c>
      <c r="H954" t="s">
        <v>111</v>
      </c>
      <c r="I954" s="12">
        <v>0.55555555555555558</v>
      </c>
      <c r="J954" t="s">
        <v>112</v>
      </c>
      <c r="K954" t="s">
        <v>111</v>
      </c>
      <c r="L954" s="12">
        <v>0.56944444444444442</v>
      </c>
      <c r="M954" t="s">
        <v>51</v>
      </c>
      <c r="N954" s="3">
        <v>78</v>
      </c>
      <c r="O954" t="s">
        <v>24</v>
      </c>
      <c r="P954" t="s">
        <v>56</v>
      </c>
      <c r="R954">
        <f>tblDailySchedule[[#This Row],[Capacity Approx]]*'[1]Load Factor Sheet June Acft  '!$B$5</f>
        <v>63.162272727272729</v>
      </c>
      <c r="S954">
        <f>tblDailySchedule[[#This Row],[Capacity Approx]]*'[1]Load Factor Sheet June Acft  '!$D$5</f>
        <v>68.391818181818181</v>
      </c>
      <c r="T954" s="22">
        <f>tblDailySchedule[[#This Row],[STD]]</f>
        <v>0.56944444444444442</v>
      </c>
    </row>
    <row r="955" spans="1:20" hidden="1" x14ac:dyDescent="0.35">
      <c r="A955" s="11">
        <v>46144</v>
      </c>
      <c r="B955" s="3">
        <v>6</v>
      </c>
      <c r="C955" t="s">
        <v>116</v>
      </c>
      <c r="D955" t="s">
        <v>18</v>
      </c>
      <c r="E955" s="3">
        <v>13</v>
      </c>
      <c r="F955" t="s">
        <v>19</v>
      </c>
      <c r="G955" t="s">
        <v>57</v>
      </c>
      <c r="H955" t="s">
        <v>58</v>
      </c>
      <c r="I955" s="12">
        <v>0.55902777777777779</v>
      </c>
      <c r="J955" t="s">
        <v>59</v>
      </c>
      <c r="K955" t="s">
        <v>58</v>
      </c>
      <c r="L955" s="12">
        <v>0.57638888888888884</v>
      </c>
      <c r="M955" t="s">
        <v>51</v>
      </c>
      <c r="N955" s="3">
        <v>78</v>
      </c>
      <c r="O955" t="s">
        <v>24</v>
      </c>
      <c r="P955" t="s">
        <v>56</v>
      </c>
      <c r="R955">
        <f>tblDailySchedule[[#This Row],[Capacity Approx]]*'[1]Load Factor Sheet June Acft  '!$B$5</f>
        <v>63.162272727272729</v>
      </c>
      <c r="S955">
        <f>tblDailySchedule[[#This Row],[Capacity Approx]]*'[1]Load Factor Sheet June Acft  '!$D$5</f>
        <v>68.391818181818181</v>
      </c>
      <c r="T955" s="22">
        <f>tblDailySchedule[[#This Row],[STD]]</f>
        <v>0.57638888888888884</v>
      </c>
    </row>
    <row r="956" spans="1:20" hidden="1" x14ac:dyDescent="0.35">
      <c r="A956" s="11">
        <v>46144</v>
      </c>
      <c r="B956" s="3">
        <v>6</v>
      </c>
      <c r="C956" t="s">
        <v>116</v>
      </c>
      <c r="D956" t="s">
        <v>18</v>
      </c>
      <c r="E956" s="3">
        <v>14</v>
      </c>
      <c r="F956" t="s">
        <v>19</v>
      </c>
      <c r="G956" t="s">
        <v>60</v>
      </c>
      <c r="H956" t="s">
        <v>61</v>
      </c>
      <c r="I956" s="12">
        <v>0.59027777777777779</v>
      </c>
      <c r="J956" t="s">
        <v>62</v>
      </c>
      <c r="K956" t="s">
        <v>61</v>
      </c>
      <c r="L956" s="12">
        <v>0.62152777777777779</v>
      </c>
      <c r="M956" t="s">
        <v>63</v>
      </c>
      <c r="N956" s="3">
        <v>232</v>
      </c>
      <c r="O956" t="s">
        <v>24</v>
      </c>
      <c r="P956" t="s">
        <v>56</v>
      </c>
      <c r="R956">
        <f>tblDailySchedule[[#This Row],[Capacity Approx]]*'[1]Load Factor Sheet June Acft  '!$B$5</f>
        <v>187.86727272727273</v>
      </c>
      <c r="S956">
        <f>tblDailySchedule[[#This Row],[Capacity Approx]]*'[1]Load Factor Sheet June Acft  '!$D$5</f>
        <v>203.4218181818182</v>
      </c>
      <c r="T956" s="22">
        <f>tblDailySchedule[[#This Row],[STD]]</f>
        <v>0.62152777777777779</v>
      </c>
    </row>
    <row r="957" spans="1:20" hidden="1" x14ac:dyDescent="0.35">
      <c r="A957" s="11">
        <v>46144</v>
      </c>
      <c r="B957" s="3">
        <v>6</v>
      </c>
      <c r="C957" t="s">
        <v>116</v>
      </c>
      <c r="D957" t="s">
        <v>18</v>
      </c>
      <c r="E957" s="3">
        <v>15</v>
      </c>
      <c r="F957" t="s">
        <v>19</v>
      </c>
      <c r="G957" t="s">
        <v>64</v>
      </c>
      <c r="H957" t="s">
        <v>31</v>
      </c>
      <c r="I957" s="12">
        <v>0.60069444444444442</v>
      </c>
      <c r="J957" t="s">
        <v>65</v>
      </c>
      <c r="K957" t="s">
        <v>66</v>
      </c>
      <c r="L957" s="12">
        <v>0.62847222222222221</v>
      </c>
      <c r="M957" t="s">
        <v>63</v>
      </c>
      <c r="N957" s="3">
        <v>232</v>
      </c>
      <c r="O957" t="s">
        <v>24</v>
      </c>
      <c r="P957" t="s">
        <v>56</v>
      </c>
      <c r="R957">
        <f>tblDailySchedule[[#This Row],[Capacity Approx]]*'[1]Load Factor Sheet June Acft  '!$B$5</f>
        <v>187.86727272727273</v>
      </c>
      <c r="S957">
        <f>tblDailySchedule[[#This Row],[Capacity Approx]]*'[1]Load Factor Sheet June Acft  '!$D$5</f>
        <v>203.4218181818182</v>
      </c>
      <c r="T957" s="22">
        <f>tblDailySchedule[[#This Row],[STD]]</f>
        <v>0.62847222222222221</v>
      </c>
    </row>
    <row r="958" spans="1:20" hidden="1" x14ac:dyDescent="0.35">
      <c r="A958" s="11">
        <v>46144</v>
      </c>
      <c r="B958" s="3">
        <v>6</v>
      </c>
      <c r="C958" t="s">
        <v>116</v>
      </c>
      <c r="D958" t="s">
        <v>18</v>
      </c>
      <c r="E958" s="3">
        <v>16</v>
      </c>
      <c r="F958" t="s">
        <v>19</v>
      </c>
      <c r="G958" t="s">
        <v>67</v>
      </c>
      <c r="H958" t="s">
        <v>31</v>
      </c>
      <c r="I958" s="12">
        <v>0.65625</v>
      </c>
      <c r="J958" t="s">
        <v>68</v>
      </c>
      <c r="K958" t="s">
        <v>31</v>
      </c>
      <c r="L958" s="12">
        <v>0.68402777777777779</v>
      </c>
      <c r="M958" t="s">
        <v>63</v>
      </c>
      <c r="N958" s="3">
        <v>232</v>
      </c>
      <c r="O958" t="s">
        <v>24</v>
      </c>
      <c r="P958" t="s">
        <v>56</v>
      </c>
      <c r="R958">
        <f>tblDailySchedule[[#This Row],[Capacity Approx]]*'[1]Load Factor Sheet June Acft  '!$B$5</f>
        <v>187.86727272727273</v>
      </c>
      <c r="S958">
        <f>tblDailySchedule[[#This Row],[Capacity Approx]]*'[1]Load Factor Sheet June Acft  '!$D$5</f>
        <v>203.4218181818182</v>
      </c>
      <c r="T958" s="22">
        <f>tblDailySchedule[[#This Row],[STD]]</f>
        <v>0.68402777777777779</v>
      </c>
    </row>
    <row r="959" spans="1:20" hidden="1" x14ac:dyDescent="0.35">
      <c r="A959" s="11">
        <v>46144</v>
      </c>
      <c r="B959" s="3">
        <v>6</v>
      </c>
      <c r="C959" t="s">
        <v>116</v>
      </c>
      <c r="D959" t="s">
        <v>18</v>
      </c>
      <c r="E959" s="3">
        <v>17</v>
      </c>
      <c r="F959" t="s">
        <v>19</v>
      </c>
      <c r="G959" t="s">
        <v>69</v>
      </c>
      <c r="H959" t="s">
        <v>31</v>
      </c>
      <c r="I959" s="12">
        <v>0.66319444444444442</v>
      </c>
      <c r="J959" t="s">
        <v>70</v>
      </c>
      <c r="K959" t="s">
        <v>31</v>
      </c>
      <c r="L959" s="12">
        <v>0.69097222222222221</v>
      </c>
      <c r="M959" t="s">
        <v>33</v>
      </c>
      <c r="N959" s="3">
        <v>189</v>
      </c>
      <c r="O959" t="s">
        <v>24</v>
      </c>
      <c r="P959" t="s">
        <v>56</v>
      </c>
      <c r="R959">
        <f>tblDailySchedule[[#This Row],[Capacity Approx]]*'[1]Load Factor Sheet June Acft  '!$B$5</f>
        <v>153.04704545454547</v>
      </c>
      <c r="S959">
        <f>tblDailySchedule[[#This Row],[Capacity Approx]]*'[1]Load Factor Sheet June Acft  '!$D$5</f>
        <v>165.71863636363636</v>
      </c>
      <c r="T959" s="22">
        <f>tblDailySchedule[[#This Row],[STD]]</f>
        <v>0.69097222222222221</v>
      </c>
    </row>
    <row r="960" spans="1:20" hidden="1" x14ac:dyDescent="0.35">
      <c r="A960" s="11">
        <v>46144</v>
      </c>
      <c r="B960" s="3">
        <v>6</v>
      </c>
      <c r="C960" t="s">
        <v>116</v>
      </c>
      <c r="D960" t="s">
        <v>18</v>
      </c>
      <c r="E960" s="3">
        <v>18</v>
      </c>
      <c r="F960" t="s">
        <v>19</v>
      </c>
      <c r="G960" t="s">
        <v>71</v>
      </c>
      <c r="H960" t="s">
        <v>21</v>
      </c>
      <c r="I960" s="12">
        <v>0.67013888888888884</v>
      </c>
      <c r="J960" t="s">
        <v>72</v>
      </c>
      <c r="K960" t="s">
        <v>21</v>
      </c>
      <c r="L960" s="12">
        <v>0.69791666666666663</v>
      </c>
      <c r="M960" t="s">
        <v>63</v>
      </c>
      <c r="N960" s="3">
        <v>232</v>
      </c>
      <c r="O960" t="s">
        <v>24</v>
      </c>
      <c r="P960" t="s">
        <v>56</v>
      </c>
      <c r="R960">
        <f>tblDailySchedule[[#This Row],[Capacity Approx]]*'[1]Load Factor Sheet June Acft  '!$B$5</f>
        <v>187.86727272727273</v>
      </c>
      <c r="S960">
        <f>tblDailySchedule[[#This Row],[Capacity Approx]]*'[1]Load Factor Sheet June Acft  '!$D$5</f>
        <v>203.4218181818182</v>
      </c>
      <c r="T960" s="22">
        <f>tblDailySchedule[[#This Row],[STD]]</f>
        <v>0.69791666666666663</v>
      </c>
    </row>
    <row r="961" spans="1:20" hidden="1" x14ac:dyDescent="0.35">
      <c r="A961" s="11">
        <v>46144</v>
      </c>
      <c r="B961" s="3">
        <v>6</v>
      </c>
      <c r="C961" t="s">
        <v>116</v>
      </c>
      <c r="D961" t="s">
        <v>18</v>
      </c>
      <c r="E961" s="3">
        <v>19</v>
      </c>
      <c r="F961" t="s">
        <v>19</v>
      </c>
      <c r="G961" t="s">
        <v>73</v>
      </c>
      <c r="H961" t="s">
        <v>27</v>
      </c>
      <c r="I961" s="12">
        <v>0.74652777777777779</v>
      </c>
      <c r="J961" t="s">
        <v>74</v>
      </c>
      <c r="K961" t="s">
        <v>27</v>
      </c>
      <c r="L961" s="12">
        <v>0.77430555555555558</v>
      </c>
      <c r="M961" t="s">
        <v>63</v>
      </c>
      <c r="N961" s="3">
        <v>232</v>
      </c>
      <c r="O961" t="s">
        <v>24</v>
      </c>
      <c r="P961" t="s">
        <v>56</v>
      </c>
      <c r="R961">
        <f>tblDailySchedule[[#This Row],[Capacity Approx]]*'[1]Load Factor Sheet June Acft  '!$B$5</f>
        <v>187.86727272727273</v>
      </c>
      <c r="S961">
        <f>tblDailySchedule[[#This Row],[Capacity Approx]]*'[1]Load Factor Sheet June Acft  '!$D$5</f>
        <v>203.4218181818182</v>
      </c>
      <c r="T961" s="22">
        <f>tblDailySchedule[[#This Row],[STD]]</f>
        <v>0.77430555555555558</v>
      </c>
    </row>
    <row r="962" spans="1:20" hidden="1" x14ac:dyDescent="0.35">
      <c r="A962" s="11">
        <v>46144</v>
      </c>
      <c r="B962" s="3">
        <v>6</v>
      </c>
      <c r="C962" t="s">
        <v>116</v>
      </c>
      <c r="D962" t="s">
        <v>18</v>
      </c>
      <c r="E962" s="3">
        <v>21</v>
      </c>
      <c r="F962" t="s">
        <v>19</v>
      </c>
      <c r="G962" t="s">
        <v>81</v>
      </c>
      <c r="H962" t="s">
        <v>61</v>
      </c>
      <c r="I962" s="12">
        <v>0.77083333333333337</v>
      </c>
      <c r="J962" t="s">
        <v>82</v>
      </c>
      <c r="K962" t="s">
        <v>49</v>
      </c>
      <c r="L962" s="12">
        <v>0.79166666666666663</v>
      </c>
      <c r="M962" t="s">
        <v>33</v>
      </c>
      <c r="N962" s="3">
        <v>189</v>
      </c>
      <c r="O962" t="s">
        <v>24</v>
      </c>
      <c r="P962" t="s">
        <v>79</v>
      </c>
      <c r="R962">
        <f>tblDailySchedule[[#This Row],[Capacity Approx]]*'[1]Load Factor Sheet June Acft  '!$B$5</f>
        <v>153.04704545454547</v>
      </c>
      <c r="S962">
        <f>tblDailySchedule[[#This Row],[Capacity Approx]]*'[1]Load Factor Sheet June Acft  '!$D$5</f>
        <v>165.71863636363636</v>
      </c>
      <c r="T962" s="22">
        <f>tblDailySchedule[[#This Row],[STD]]</f>
        <v>0.79166666666666663</v>
      </c>
    </row>
    <row r="963" spans="1:20" hidden="1" x14ac:dyDescent="0.35">
      <c r="A963" s="11">
        <v>46144</v>
      </c>
      <c r="B963" s="3">
        <v>6</v>
      </c>
      <c r="C963" t="s">
        <v>116</v>
      </c>
      <c r="D963" t="s">
        <v>18</v>
      </c>
      <c r="E963" s="3">
        <v>22</v>
      </c>
      <c r="F963" t="s">
        <v>19</v>
      </c>
      <c r="G963" t="s">
        <v>83</v>
      </c>
      <c r="H963" t="s">
        <v>31</v>
      </c>
      <c r="I963" s="12">
        <v>0.77777777777777779</v>
      </c>
      <c r="J963" t="s">
        <v>84</v>
      </c>
      <c r="K963" t="s">
        <v>31</v>
      </c>
      <c r="L963" s="12">
        <v>0.80555555555555558</v>
      </c>
      <c r="M963" t="s">
        <v>63</v>
      </c>
      <c r="N963" s="3">
        <v>232</v>
      </c>
      <c r="O963" t="s">
        <v>24</v>
      </c>
      <c r="P963" t="s">
        <v>79</v>
      </c>
      <c r="R963">
        <f>tblDailySchedule[[#This Row],[Capacity Approx]]*'[1]Load Factor Sheet June Acft  '!$B$5</f>
        <v>187.86727272727273</v>
      </c>
      <c r="S963">
        <f>tblDailySchedule[[#This Row],[Capacity Approx]]*'[1]Load Factor Sheet June Acft  '!$D$5</f>
        <v>203.4218181818182</v>
      </c>
      <c r="T963" s="22">
        <f>tblDailySchedule[[#This Row],[STD]]</f>
        <v>0.80555555555555558</v>
      </c>
    </row>
    <row r="964" spans="1:20" hidden="1" x14ac:dyDescent="0.35">
      <c r="A964" s="11">
        <v>46144</v>
      </c>
      <c r="B964" s="3">
        <v>6</v>
      </c>
      <c r="C964" t="s">
        <v>116</v>
      </c>
      <c r="D964" t="s">
        <v>18</v>
      </c>
      <c r="E964" s="3">
        <v>23</v>
      </c>
      <c r="F964" t="s">
        <v>19</v>
      </c>
      <c r="G964" t="s">
        <v>85</v>
      </c>
      <c r="H964" t="s">
        <v>86</v>
      </c>
      <c r="I964" s="12">
        <v>0.79861111111111116</v>
      </c>
      <c r="J964" t="s">
        <v>87</v>
      </c>
      <c r="K964" t="s">
        <v>86</v>
      </c>
      <c r="L964" s="12">
        <v>0.82638888888888884</v>
      </c>
      <c r="M964" t="s">
        <v>63</v>
      </c>
      <c r="N964" s="3">
        <v>232</v>
      </c>
      <c r="O964" t="s">
        <v>24</v>
      </c>
      <c r="P964" t="s">
        <v>79</v>
      </c>
      <c r="R964">
        <f>tblDailySchedule[[#This Row],[Capacity Approx]]*'[1]Load Factor Sheet June Acft  '!$B$5</f>
        <v>187.86727272727273</v>
      </c>
      <c r="S964">
        <f>tblDailySchedule[[#This Row],[Capacity Approx]]*'[1]Load Factor Sheet June Acft  '!$D$5</f>
        <v>203.4218181818182</v>
      </c>
      <c r="T964" s="22">
        <f>tblDailySchedule[[#This Row],[STD]]</f>
        <v>0.82638888888888884</v>
      </c>
    </row>
    <row r="965" spans="1:20" hidden="1" x14ac:dyDescent="0.35">
      <c r="A965" s="11">
        <v>46144</v>
      </c>
      <c r="B965" s="3">
        <v>6</v>
      </c>
      <c r="C965" t="s">
        <v>116</v>
      </c>
      <c r="D965" t="s">
        <v>18</v>
      </c>
      <c r="E965" s="3">
        <v>24</v>
      </c>
      <c r="F965" t="s">
        <v>19</v>
      </c>
      <c r="G965" t="s">
        <v>88</v>
      </c>
      <c r="H965" t="s">
        <v>89</v>
      </c>
      <c r="I965" s="12">
        <v>0.83333333333333337</v>
      </c>
      <c r="J965" t="s">
        <v>90</v>
      </c>
      <c r="K965" t="s">
        <v>31</v>
      </c>
      <c r="L965" s="12">
        <v>0.86111111111111116</v>
      </c>
      <c r="M965" t="s">
        <v>63</v>
      </c>
      <c r="N965" s="3">
        <v>232</v>
      </c>
      <c r="O965" t="s">
        <v>24</v>
      </c>
      <c r="P965" t="s">
        <v>79</v>
      </c>
      <c r="R965">
        <f>tblDailySchedule[[#This Row],[Capacity Approx]]*'[1]Load Factor Sheet June Acft  '!$B$5</f>
        <v>187.86727272727273</v>
      </c>
      <c r="S965">
        <f>tblDailySchedule[[#This Row],[Capacity Approx]]*'[1]Load Factor Sheet June Acft  '!$D$5</f>
        <v>203.4218181818182</v>
      </c>
      <c r="T965" s="22">
        <f>tblDailySchedule[[#This Row],[STD]]</f>
        <v>0.86111111111111116</v>
      </c>
    </row>
    <row r="966" spans="1:20" hidden="1" x14ac:dyDescent="0.35">
      <c r="A966" s="11">
        <v>46144</v>
      </c>
      <c r="B966" s="3">
        <v>6</v>
      </c>
      <c r="C966" t="s">
        <v>116</v>
      </c>
      <c r="D966" t="s">
        <v>18</v>
      </c>
      <c r="E966" s="3">
        <v>25</v>
      </c>
      <c r="F966" t="s">
        <v>19</v>
      </c>
      <c r="G966" t="s">
        <v>91</v>
      </c>
      <c r="H966" t="s">
        <v>61</v>
      </c>
      <c r="I966" s="12">
        <v>0.85416666666666663</v>
      </c>
      <c r="J966" t="s">
        <v>92</v>
      </c>
      <c r="K966" t="s">
        <v>61</v>
      </c>
      <c r="L966" s="12">
        <v>0.88194444444444442</v>
      </c>
      <c r="M966" t="s">
        <v>63</v>
      </c>
      <c r="N966" s="3">
        <v>232</v>
      </c>
      <c r="O966" t="s">
        <v>24</v>
      </c>
      <c r="P966" t="s">
        <v>79</v>
      </c>
      <c r="R966">
        <f>tblDailySchedule[[#This Row],[Capacity Approx]]*'[1]Load Factor Sheet June Acft  '!$B$5</f>
        <v>187.86727272727273</v>
      </c>
      <c r="S966">
        <f>tblDailySchedule[[#This Row],[Capacity Approx]]*'[1]Load Factor Sheet June Acft  '!$D$5</f>
        <v>203.4218181818182</v>
      </c>
      <c r="T966" s="22">
        <f>tblDailySchedule[[#This Row],[STD]]</f>
        <v>0.88194444444444442</v>
      </c>
    </row>
    <row r="967" spans="1:20" hidden="1" x14ac:dyDescent="0.35">
      <c r="A967" s="11">
        <v>46144</v>
      </c>
      <c r="B967" s="3">
        <v>6</v>
      </c>
      <c r="C967" t="s">
        <v>116</v>
      </c>
      <c r="D967" t="s">
        <v>18</v>
      </c>
      <c r="E967" s="3">
        <v>26</v>
      </c>
      <c r="F967" t="s">
        <v>19</v>
      </c>
      <c r="G967" t="s">
        <v>93</v>
      </c>
      <c r="H967" t="s">
        <v>31</v>
      </c>
      <c r="I967" s="12">
        <v>0.86111111111111116</v>
      </c>
      <c r="J967" t="s">
        <v>94</v>
      </c>
      <c r="K967" t="s">
        <v>31</v>
      </c>
      <c r="L967" s="12">
        <v>0.88888888888888884</v>
      </c>
      <c r="M967" t="s">
        <v>23</v>
      </c>
      <c r="N967" s="3">
        <v>186</v>
      </c>
      <c r="O967" t="s">
        <v>24</v>
      </c>
      <c r="P967" t="s">
        <v>79</v>
      </c>
      <c r="R967">
        <f>tblDailySchedule[[#This Row],[Capacity Approx]]*'[1]Load Factor Sheet June Acft  '!$B$5</f>
        <v>150.61772727272728</v>
      </c>
      <c r="S967">
        <f>tblDailySchedule[[#This Row],[Capacity Approx]]*'[1]Load Factor Sheet June Acft  '!$D$5</f>
        <v>163.08818181818182</v>
      </c>
      <c r="T967" s="22">
        <f>tblDailySchedule[[#This Row],[STD]]</f>
        <v>0.88888888888888884</v>
      </c>
    </row>
    <row r="968" spans="1:20" hidden="1" x14ac:dyDescent="0.35">
      <c r="A968" s="11">
        <v>46144</v>
      </c>
      <c r="B968" s="3">
        <v>6</v>
      </c>
      <c r="C968" t="s">
        <v>116</v>
      </c>
      <c r="D968" t="s">
        <v>18</v>
      </c>
      <c r="E968" s="3">
        <v>27</v>
      </c>
      <c r="F968" t="s">
        <v>19</v>
      </c>
      <c r="G968" t="s">
        <v>95</v>
      </c>
      <c r="H968" t="s">
        <v>21</v>
      </c>
      <c r="I968" s="12">
        <v>0.86805555555555558</v>
      </c>
      <c r="J968" t="s">
        <v>96</v>
      </c>
      <c r="K968" t="s">
        <v>21</v>
      </c>
      <c r="L968" s="12">
        <v>0.89583333333333337</v>
      </c>
      <c r="M968" t="s">
        <v>29</v>
      </c>
      <c r="N968" s="3">
        <v>186</v>
      </c>
      <c r="O968" t="s">
        <v>24</v>
      </c>
      <c r="P968" t="s">
        <v>79</v>
      </c>
      <c r="R968">
        <f>tblDailySchedule[[#This Row],[Capacity Approx]]*'[1]Load Factor Sheet June Acft  '!$B$5</f>
        <v>150.61772727272728</v>
      </c>
      <c r="S968">
        <f>tblDailySchedule[[#This Row],[Capacity Approx]]*'[1]Load Factor Sheet June Acft  '!$D$5</f>
        <v>163.08818181818182</v>
      </c>
      <c r="T968" s="22">
        <f>tblDailySchedule[[#This Row],[STD]]</f>
        <v>0.89583333333333337</v>
      </c>
    </row>
    <row r="969" spans="1:20" hidden="1" x14ac:dyDescent="0.35">
      <c r="A969" s="11">
        <v>46144</v>
      </c>
      <c r="B969" s="3">
        <v>6</v>
      </c>
      <c r="C969" t="s">
        <v>116</v>
      </c>
      <c r="D969" t="s">
        <v>18</v>
      </c>
      <c r="E969" s="3">
        <v>28</v>
      </c>
      <c r="F969" t="s">
        <v>19</v>
      </c>
      <c r="G969" t="s">
        <v>97</v>
      </c>
      <c r="H969" t="s">
        <v>49</v>
      </c>
      <c r="I969" s="12">
        <v>0.90277777777777779</v>
      </c>
      <c r="J969" t="s">
        <v>97</v>
      </c>
      <c r="K969" t="s">
        <v>61</v>
      </c>
      <c r="L969" s="12">
        <v>0.92361111111111116</v>
      </c>
      <c r="M969" t="s">
        <v>33</v>
      </c>
      <c r="N969" s="3">
        <v>189</v>
      </c>
      <c r="O969" t="s">
        <v>24</v>
      </c>
      <c r="P969" t="s">
        <v>79</v>
      </c>
      <c r="R969">
        <f>tblDailySchedule[[#This Row],[Capacity Approx]]*'[1]Load Factor Sheet June Acft  '!$B$5</f>
        <v>153.04704545454547</v>
      </c>
      <c r="S969">
        <f>tblDailySchedule[[#This Row],[Capacity Approx]]*'[1]Load Factor Sheet June Acft  '!$D$5</f>
        <v>165.71863636363636</v>
      </c>
      <c r="T969" s="22">
        <f>tblDailySchedule[[#This Row],[STD]]</f>
        <v>0.92361111111111116</v>
      </c>
    </row>
    <row r="970" spans="1:20" hidden="1" x14ac:dyDescent="0.35">
      <c r="A970" s="11">
        <v>46144</v>
      </c>
      <c r="B970" s="3">
        <v>6</v>
      </c>
      <c r="C970" t="s">
        <v>116</v>
      </c>
      <c r="D970" t="s">
        <v>18</v>
      </c>
      <c r="E970" s="3">
        <v>29</v>
      </c>
      <c r="F970" t="s">
        <v>19</v>
      </c>
      <c r="G970" t="s">
        <v>98</v>
      </c>
      <c r="H970" t="s">
        <v>21</v>
      </c>
      <c r="I970" s="12">
        <v>0.92013888888888884</v>
      </c>
      <c r="J970" t="s">
        <v>99</v>
      </c>
      <c r="K970" t="s">
        <v>21</v>
      </c>
      <c r="L970" s="12">
        <v>0.94791666666666663</v>
      </c>
      <c r="M970" t="s">
        <v>63</v>
      </c>
      <c r="N970" s="3">
        <v>232</v>
      </c>
      <c r="O970" t="s">
        <v>24</v>
      </c>
      <c r="P970" t="s">
        <v>79</v>
      </c>
      <c r="R970">
        <f>tblDailySchedule[[#This Row],[Capacity Approx]]*'[1]Load Factor Sheet June Acft  '!$B$5</f>
        <v>187.86727272727273</v>
      </c>
      <c r="S970">
        <f>tblDailySchedule[[#This Row],[Capacity Approx]]*'[1]Load Factor Sheet June Acft  '!$D$5</f>
        <v>203.4218181818182</v>
      </c>
      <c r="T970" s="22">
        <f>tblDailySchedule[[#This Row],[STD]]</f>
        <v>0.94791666666666663</v>
      </c>
    </row>
    <row r="971" spans="1:20" hidden="1" x14ac:dyDescent="0.35">
      <c r="A971" s="13">
        <v>46144</v>
      </c>
      <c r="B971" s="7">
        <v>6</v>
      </c>
      <c r="C971" s="14" t="s">
        <v>116</v>
      </c>
      <c r="D971" s="14" t="s">
        <v>18</v>
      </c>
      <c r="E971" s="7">
        <v>30</v>
      </c>
      <c r="F971" s="14" t="s">
        <v>104</v>
      </c>
      <c r="G971" s="14" t="s">
        <v>105</v>
      </c>
      <c r="H971" s="14" t="s">
        <v>106</v>
      </c>
      <c r="I971" s="15">
        <v>0.92708333333333337</v>
      </c>
      <c r="J971" s="14" t="s">
        <v>107</v>
      </c>
      <c r="K971" s="14" t="s">
        <v>106</v>
      </c>
      <c r="L971" s="15">
        <v>0.95833333333333337</v>
      </c>
      <c r="M971" s="14" t="s">
        <v>38</v>
      </c>
      <c r="N971" s="7">
        <v>186</v>
      </c>
      <c r="O971" s="14" t="s">
        <v>39</v>
      </c>
      <c r="P971" s="14" t="s">
        <v>79</v>
      </c>
      <c r="Q971" s="14" t="s">
        <v>39</v>
      </c>
      <c r="R971">
        <f>tblDailySchedule[[#This Row],[Capacity Approx]]*'[1]Load Factor Sheet June Acft  '!$B$5</f>
        <v>150.61772727272728</v>
      </c>
      <c r="S971">
        <f>tblDailySchedule[[#This Row],[Capacity Approx]]*'[1]Load Factor Sheet June Acft  '!$D$5</f>
        <v>163.08818181818182</v>
      </c>
      <c r="T971" s="22">
        <f>tblDailySchedule[[#This Row],[STD]]</f>
        <v>0.95833333333333337</v>
      </c>
    </row>
    <row r="972" spans="1:20" hidden="1" x14ac:dyDescent="0.35">
      <c r="A972" s="11">
        <v>46145</v>
      </c>
      <c r="B972" s="3">
        <v>7</v>
      </c>
      <c r="C972" t="s">
        <v>17</v>
      </c>
      <c r="D972" t="s">
        <v>18</v>
      </c>
      <c r="E972" s="3">
        <v>2</v>
      </c>
      <c r="F972" t="s">
        <v>19</v>
      </c>
      <c r="G972" t="s">
        <v>20</v>
      </c>
      <c r="H972" t="s">
        <v>21</v>
      </c>
      <c r="I972" s="12">
        <v>0.31944444444444442</v>
      </c>
      <c r="J972" t="s">
        <v>22</v>
      </c>
      <c r="K972" t="s">
        <v>21</v>
      </c>
      <c r="L972" s="12">
        <v>0.34722222222222221</v>
      </c>
      <c r="M972" t="s">
        <v>23</v>
      </c>
      <c r="N972" s="3">
        <v>186</v>
      </c>
      <c r="O972" t="s">
        <v>24</v>
      </c>
      <c r="P972" t="s">
        <v>25</v>
      </c>
      <c r="R972">
        <f>tblDailySchedule[[#This Row],[Capacity Approx]]*'[1]Load Factor Sheet June Acft  '!$B$5</f>
        <v>150.61772727272728</v>
      </c>
      <c r="S972">
        <f>tblDailySchedule[[#This Row],[Capacity Approx]]*'[1]Load Factor Sheet June Acft  '!$D$5</f>
        <v>163.08818181818182</v>
      </c>
      <c r="T972" s="22">
        <f>tblDailySchedule[[#This Row],[STD]]</f>
        <v>0.34722222222222221</v>
      </c>
    </row>
    <row r="973" spans="1:20" hidden="1" x14ac:dyDescent="0.35">
      <c r="A973" s="11">
        <v>46145</v>
      </c>
      <c r="B973" s="3">
        <v>7</v>
      </c>
      <c r="C973" t="s">
        <v>17</v>
      </c>
      <c r="D973" t="s">
        <v>18</v>
      </c>
      <c r="E973" s="3">
        <v>3</v>
      </c>
      <c r="F973" t="s">
        <v>19</v>
      </c>
      <c r="G973" t="s">
        <v>26</v>
      </c>
      <c r="H973" t="s">
        <v>27</v>
      </c>
      <c r="I973" s="12">
        <v>0.3263888888888889</v>
      </c>
      <c r="J973" t="s">
        <v>28</v>
      </c>
      <c r="K973" t="s">
        <v>27</v>
      </c>
      <c r="L973" s="12">
        <v>0.35416666666666669</v>
      </c>
      <c r="M973" t="s">
        <v>29</v>
      </c>
      <c r="N973" s="3">
        <v>186</v>
      </c>
      <c r="O973" t="s">
        <v>24</v>
      </c>
      <c r="P973" t="s">
        <v>25</v>
      </c>
      <c r="R973">
        <f>tblDailySchedule[[#This Row],[Capacity Approx]]*'[1]Load Factor Sheet June Acft  '!$B$5</f>
        <v>150.61772727272728</v>
      </c>
      <c r="S973">
        <f>tblDailySchedule[[#This Row],[Capacity Approx]]*'[1]Load Factor Sheet June Acft  '!$D$5</f>
        <v>163.08818181818182</v>
      </c>
      <c r="T973" s="22">
        <f>tblDailySchedule[[#This Row],[STD]]</f>
        <v>0.35416666666666669</v>
      </c>
    </row>
    <row r="974" spans="1:20" hidden="1" x14ac:dyDescent="0.35">
      <c r="A974" s="11">
        <v>46145</v>
      </c>
      <c r="B974" s="3">
        <v>7</v>
      </c>
      <c r="C974" t="s">
        <v>17</v>
      </c>
      <c r="D974" t="s">
        <v>18</v>
      </c>
      <c r="E974" s="3">
        <v>4</v>
      </c>
      <c r="F974" t="s">
        <v>19</v>
      </c>
      <c r="G974" t="s">
        <v>30</v>
      </c>
      <c r="H974" t="s">
        <v>31</v>
      </c>
      <c r="I974" s="12">
        <v>0.34722222222222221</v>
      </c>
      <c r="J974" t="s">
        <v>32</v>
      </c>
      <c r="K974" t="s">
        <v>31</v>
      </c>
      <c r="L974" s="12">
        <v>0.36805555555555558</v>
      </c>
      <c r="M974" t="s">
        <v>33</v>
      </c>
      <c r="N974" s="3">
        <v>189</v>
      </c>
      <c r="O974" t="s">
        <v>24</v>
      </c>
      <c r="P974" t="s">
        <v>25</v>
      </c>
      <c r="R974">
        <f>tblDailySchedule[[#This Row],[Capacity Approx]]*'[1]Load Factor Sheet June Acft  '!$B$5</f>
        <v>153.04704545454547</v>
      </c>
      <c r="S974">
        <f>tblDailySchedule[[#This Row],[Capacity Approx]]*'[1]Load Factor Sheet June Acft  '!$D$5</f>
        <v>165.71863636363636</v>
      </c>
      <c r="T974" s="22">
        <f>tblDailySchedule[[#This Row],[STD]]</f>
        <v>0.36805555555555558</v>
      </c>
    </row>
    <row r="975" spans="1:20" hidden="1" x14ac:dyDescent="0.35">
      <c r="A975" s="13">
        <v>46145</v>
      </c>
      <c r="B975" s="7">
        <v>7</v>
      </c>
      <c r="C975" s="14" t="s">
        <v>17</v>
      </c>
      <c r="D975" s="14" t="s">
        <v>18</v>
      </c>
      <c r="E975" s="7">
        <v>6</v>
      </c>
      <c r="F975" s="14" t="s">
        <v>34</v>
      </c>
      <c r="G975" s="14" t="s">
        <v>35</v>
      </c>
      <c r="H975" s="14" t="s">
        <v>36</v>
      </c>
      <c r="I975" s="15">
        <v>0.34722222222222221</v>
      </c>
      <c r="J975" s="14" t="s">
        <v>37</v>
      </c>
      <c r="K975" s="14" t="s">
        <v>36</v>
      </c>
      <c r="L975" s="15">
        <v>0.40972222222222221</v>
      </c>
      <c r="M975" s="14" t="s">
        <v>38</v>
      </c>
      <c r="N975" s="7">
        <v>186</v>
      </c>
      <c r="O975" s="14" t="s">
        <v>39</v>
      </c>
      <c r="P975" s="14" t="s">
        <v>25</v>
      </c>
      <c r="Q975" s="14" t="s">
        <v>39</v>
      </c>
      <c r="R975">
        <f>tblDailySchedule[[#This Row],[Capacity Approx]]*'[1]Load Factor Sheet June Acft  '!$B$5</f>
        <v>150.61772727272728</v>
      </c>
      <c r="S975">
        <f>tblDailySchedule[[#This Row],[Capacity Approx]]*'[1]Load Factor Sheet June Acft  '!$D$5</f>
        <v>163.08818181818182</v>
      </c>
      <c r="T975" s="22">
        <f>tblDailySchedule[[#This Row],[STD]]</f>
        <v>0.40972222222222221</v>
      </c>
    </row>
    <row r="976" spans="1:20" hidden="1" x14ac:dyDescent="0.35">
      <c r="A976" s="11">
        <v>46145</v>
      </c>
      <c r="B976" s="3">
        <v>7</v>
      </c>
      <c r="C976" t="s">
        <v>17</v>
      </c>
      <c r="D976" t="s">
        <v>18</v>
      </c>
      <c r="E976" s="3">
        <v>5</v>
      </c>
      <c r="F976" t="s">
        <v>19</v>
      </c>
      <c r="G976" t="s">
        <v>40</v>
      </c>
      <c r="H976" t="s">
        <v>31</v>
      </c>
      <c r="I976" s="12">
        <v>0.35069444444444442</v>
      </c>
      <c r="J976" t="s">
        <v>41</v>
      </c>
      <c r="K976" t="s">
        <v>31</v>
      </c>
      <c r="L976" s="12">
        <v>0.37152777777777779</v>
      </c>
      <c r="M976" t="s">
        <v>23</v>
      </c>
      <c r="N976" s="3">
        <v>186</v>
      </c>
      <c r="O976" t="s">
        <v>24</v>
      </c>
      <c r="P976" t="s">
        <v>25</v>
      </c>
      <c r="R976">
        <f>tblDailySchedule[[#This Row],[Capacity Approx]]*'[1]Load Factor Sheet June Acft  '!$B$5</f>
        <v>150.61772727272728</v>
      </c>
      <c r="S976">
        <f>tblDailySchedule[[#This Row],[Capacity Approx]]*'[1]Load Factor Sheet June Acft  '!$D$5</f>
        <v>163.08818181818182</v>
      </c>
      <c r="T976" s="22">
        <f>tblDailySchedule[[#This Row],[STD]]</f>
        <v>0.37152777777777779</v>
      </c>
    </row>
    <row r="977" spans="1:20" hidden="1" x14ac:dyDescent="0.35">
      <c r="A977" s="11">
        <v>46145</v>
      </c>
      <c r="B977" s="3">
        <v>7</v>
      </c>
      <c r="C977" t="s">
        <v>17</v>
      </c>
      <c r="D977" t="s">
        <v>18</v>
      </c>
      <c r="E977" s="3">
        <v>7</v>
      </c>
      <c r="F977" t="s">
        <v>19</v>
      </c>
      <c r="G977" t="s">
        <v>42</v>
      </c>
      <c r="H977" t="s">
        <v>43</v>
      </c>
      <c r="I977" s="12">
        <v>0.3923611111111111</v>
      </c>
      <c r="J977" t="s">
        <v>44</v>
      </c>
      <c r="K977" t="s">
        <v>43</v>
      </c>
      <c r="L977" s="12">
        <v>0.40277777777777779</v>
      </c>
      <c r="M977" t="s">
        <v>45</v>
      </c>
      <c r="N977" s="3">
        <v>9</v>
      </c>
      <c r="O977" t="s">
        <v>24</v>
      </c>
      <c r="P977" t="s">
        <v>25</v>
      </c>
      <c r="R977">
        <f>tblDailySchedule[[#This Row],[Capacity Approx]]*'[1]Load Factor Sheet June Acft  '!$B$5</f>
        <v>7.2879545454545456</v>
      </c>
      <c r="S977">
        <f>tblDailySchedule[[#This Row],[Capacity Approx]]*'[1]Load Factor Sheet June Acft  '!$D$5</f>
        <v>7.8913636363636366</v>
      </c>
      <c r="T977" s="22">
        <f>tblDailySchedule[[#This Row],[STD]]</f>
        <v>0.40277777777777779</v>
      </c>
    </row>
    <row r="978" spans="1:20" hidden="1" x14ac:dyDescent="0.35">
      <c r="A978" s="11">
        <v>46145</v>
      </c>
      <c r="B978" s="3">
        <v>7</v>
      </c>
      <c r="C978" t="s">
        <v>17</v>
      </c>
      <c r="D978" t="s">
        <v>18</v>
      </c>
      <c r="E978" s="3">
        <v>8</v>
      </c>
      <c r="F978" t="s">
        <v>19</v>
      </c>
      <c r="G978" t="s">
        <v>46</v>
      </c>
      <c r="H978" t="s">
        <v>31</v>
      </c>
      <c r="I978" s="12">
        <v>0.4201388888888889</v>
      </c>
      <c r="J978" t="s">
        <v>47</v>
      </c>
      <c r="K978" t="s">
        <v>31</v>
      </c>
      <c r="L978" s="12">
        <v>0.44444444444444442</v>
      </c>
      <c r="M978" t="s">
        <v>29</v>
      </c>
      <c r="N978" s="3">
        <v>186</v>
      </c>
      <c r="O978" t="s">
        <v>24</v>
      </c>
      <c r="P978" t="s">
        <v>25</v>
      </c>
      <c r="R978">
        <f>tblDailySchedule[[#This Row],[Capacity Approx]]*'[1]Load Factor Sheet June Acft  '!$B$5</f>
        <v>150.61772727272728</v>
      </c>
      <c r="S978">
        <f>tblDailySchedule[[#This Row],[Capacity Approx]]*'[1]Load Factor Sheet June Acft  '!$D$5</f>
        <v>163.08818181818182</v>
      </c>
      <c r="T978" s="22">
        <f>tblDailySchedule[[#This Row],[STD]]</f>
        <v>0.44444444444444442</v>
      </c>
    </row>
    <row r="979" spans="1:20" hidden="1" x14ac:dyDescent="0.35">
      <c r="A979" s="11">
        <v>46145</v>
      </c>
      <c r="B979" s="3">
        <v>7</v>
      </c>
      <c r="C979" t="s">
        <v>17</v>
      </c>
      <c r="D979" t="s">
        <v>18</v>
      </c>
      <c r="E979" s="3">
        <v>9</v>
      </c>
      <c r="F979" t="s">
        <v>19</v>
      </c>
      <c r="G979" t="s">
        <v>48</v>
      </c>
      <c r="H979" t="s">
        <v>49</v>
      </c>
      <c r="I979" s="12">
        <v>0.4375</v>
      </c>
      <c r="J979" t="s">
        <v>50</v>
      </c>
      <c r="K979" t="s">
        <v>49</v>
      </c>
      <c r="L979" s="12">
        <v>0.45833333333333331</v>
      </c>
      <c r="M979" t="s">
        <v>51</v>
      </c>
      <c r="N979" s="3">
        <v>78</v>
      </c>
      <c r="O979" t="s">
        <v>24</v>
      </c>
      <c r="P979" t="s">
        <v>25</v>
      </c>
      <c r="R979">
        <f>tblDailySchedule[[#This Row],[Capacity Approx]]*'[1]Load Factor Sheet June Acft  '!$B$5</f>
        <v>63.162272727272729</v>
      </c>
      <c r="S979">
        <f>tblDailySchedule[[#This Row],[Capacity Approx]]*'[1]Load Factor Sheet June Acft  '!$D$5</f>
        <v>68.391818181818181</v>
      </c>
      <c r="T979" s="22">
        <f>tblDailySchedule[[#This Row],[STD]]</f>
        <v>0.45833333333333331</v>
      </c>
    </row>
    <row r="980" spans="1:20" hidden="1" x14ac:dyDescent="0.35">
      <c r="A980" s="11">
        <v>46145</v>
      </c>
      <c r="B980" s="3">
        <v>7</v>
      </c>
      <c r="C980" t="s">
        <v>17</v>
      </c>
      <c r="D980" t="s">
        <v>18</v>
      </c>
      <c r="E980" s="3">
        <v>10</v>
      </c>
      <c r="F980" t="s">
        <v>19</v>
      </c>
      <c r="G980" t="s">
        <v>52</v>
      </c>
      <c r="H980" t="s">
        <v>27</v>
      </c>
      <c r="I980" s="12">
        <v>0.4826388888888889</v>
      </c>
      <c r="J980" t="s">
        <v>53</v>
      </c>
      <c r="K980" t="s">
        <v>27</v>
      </c>
      <c r="L980" s="12">
        <v>0.51041666666666663</v>
      </c>
      <c r="M980" t="s">
        <v>23</v>
      </c>
      <c r="N980" s="3">
        <v>186</v>
      </c>
      <c r="O980" t="s">
        <v>24</v>
      </c>
      <c r="P980" t="s">
        <v>25</v>
      </c>
      <c r="R980">
        <f>tblDailySchedule[[#This Row],[Capacity Approx]]*'[1]Load Factor Sheet June Acft  '!$B$5</f>
        <v>150.61772727272728</v>
      </c>
      <c r="S980">
        <f>tblDailySchedule[[#This Row],[Capacity Approx]]*'[1]Load Factor Sheet June Acft  '!$D$5</f>
        <v>163.08818181818182</v>
      </c>
      <c r="T980" s="22">
        <f>tblDailySchedule[[#This Row],[STD]]</f>
        <v>0.51041666666666663</v>
      </c>
    </row>
    <row r="981" spans="1:20" hidden="1" x14ac:dyDescent="0.35">
      <c r="A981" s="11">
        <v>46145</v>
      </c>
      <c r="B981" s="3">
        <v>7</v>
      </c>
      <c r="C981" t="s">
        <v>17</v>
      </c>
      <c r="D981" t="s">
        <v>18</v>
      </c>
      <c r="E981" s="3">
        <v>11</v>
      </c>
      <c r="F981" t="s">
        <v>19</v>
      </c>
      <c r="G981" t="s">
        <v>54</v>
      </c>
      <c r="H981" t="s">
        <v>31</v>
      </c>
      <c r="I981" s="12">
        <v>0.51388888888888884</v>
      </c>
      <c r="J981" t="s">
        <v>55</v>
      </c>
      <c r="K981" t="s">
        <v>31</v>
      </c>
      <c r="L981" s="12">
        <v>0.54166666666666663</v>
      </c>
      <c r="M981" t="s">
        <v>23</v>
      </c>
      <c r="N981" s="3">
        <v>186</v>
      </c>
      <c r="O981" t="s">
        <v>24</v>
      </c>
      <c r="P981" t="s">
        <v>56</v>
      </c>
      <c r="R981">
        <f>tblDailySchedule[[#This Row],[Capacity Approx]]*'[1]Load Factor Sheet June Acft  '!$B$5</f>
        <v>150.61772727272728</v>
      </c>
      <c r="S981">
        <f>tblDailySchedule[[#This Row],[Capacity Approx]]*'[1]Load Factor Sheet June Acft  '!$D$5</f>
        <v>163.08818181818182</v>
      </c>
      <c r="T981" s="22">
        <f>tblDailySchedule[[#This Row],[STD]]</f>
        <v>0.54166666666666663</v>
      </c>
    </row>
    <row r="982" spans="1:20" hidden="1" x14ac:dyDescent="0.35">
      <c r="A982" s="11">
        <v>46145</v>
      </c>
      <c r="B982" s="3">
        <v>7</v>
      </c>
      <c r="C982" t="s">
        <v>17</v>
      </c>
      <c r="D982" t="s">
        <v>18</v>
      </c>
      <c r="E982" s="3">
        <v>13</v>
      </c>
      <c r="F982" t="s">
        <v>19</v>
      </c>
      <c r="G982" t="s">
        <v>57</v>
      </c>
      <c r="H982" t="s">
        <v>58</v>
      </c>
      <c r="I982" s="12">
        <v>0.55902777777777779</v>
      </c>
      <c r="J982" t="s">
        <v>59</v>
      </c>
      <c r="K982" t="s">
        <v>58</v>
      </c>
      <c r="L982" s="12">
        <v>0.57638888888888884</v>
      </c>
      <c r="M982" t="s">
        <v>51</v>
      </c>
      <c r="N982" s="3">
        <v>78</v>
      </c>
      <c r="O982" t="s">
        <v>24</v>
      </c>
      <c r="P982" t="s">
        <v>56</v>
      </c>
      <c r="R982">
        <f>tblDailySchedule[[#This Row],[Capacity Approx]]*'[1]Load Factor Sheet June Acft  '!$B$5</f>
        <v>63.162272727272729</v>
      </c>
      <c r="S982">
        <f>tblDailySchedule[[#This Row],[Capacity Approx]]*'[1]Load Factor Sheet June Acft  '!$D$5</f>
        <v>68.391818181818181</v>
      </c>
      <c r="T982" s="22">
        <f>tblDailySchedule[[#This Row],[STD]]</f>
        <v>0.57638888888888884</v>
      </c>
    </row>
    <row r="983" spans="1:20" hidden="1" x14ac:dyDescent="0.35">
      <c r="A983" s="11">
        <v>46145</v>
      </c>
      <c r="B983" s="3">
        <v>7</v>
      </c>
      <c r="C983" t="s">
        <v>17</v>
      </c>
      <c r="D983" t="s">
        <v>18</v>
      </c>
      <c r="E983" s="3">
        <v>14</v>
      </c>
      <c r="F983" t="s">
        <v>19</v>
      </c>
      <c r="G983" t="s">
        <v>60</v>
      </c>
      <c r="H983" t="s">
        <v>61</v>
      </c>
      <c r="I983" s="12">
        <v>0.59027777777777779</v>
      </c>
      <c r="J983" t="s">
        <v>62</v>
      </c>
      <c r="K983" t="s">
        <v>61</v>
      </c>
      <c r="L983" s="12">
        <v>0.62152777777777779</v>
      </c>
      <c r="M983" t="s">
        <v>63</v>
      </c>
      <c r="N983" s="3">
        <v>232</v>
      </c>
      <c r="O983" t="s">
        <v>24</v>
      </c>
      <c r="P983" t="s">
        <v>56</v>
      </c>
      <c r="R983">
        <f>tblDailySchedule[[#This Row],[Capacity Approx]]*'[1]Load Factor Sheet June Acft  '!$B$5</f>
        <v>187.86727272727273</v>
      </c>
      <c r="S983">
        <f>tblDailySchedule[[#This Row],[Capacity Approx]]*'[1]Load Factor Sheet June Acft  '!$D$5</f>
        <v>203.4218181818182</v>
      </c>
      <c r="T983" s="22">
        <f>tblDailySchedule[[#This Row],[STD]]</f>
        <v>0.62152777777777779</v>
      </c>
    </row>
    <row r="984" spans="1:20" hidden="1" x14ac:dyDescent="0.35">
      <c r="A984" s="11">
        <v>46145</v>
      </c>
      <c r="B984" s="3">
        <v>7</v>
      </c>
      <c r="C984" t="s">
        <v>17</v>
      </c>
      <c r="D984" t="s">
        <v>18</v>
      </c>
      <c r="E984" s="3">
        <v>15</v>
      </c>
      <c r="F984" t="s">
        <v>19</v>
      </c>
      <c r="G984" t="s">
        <v>64</v>
      </c>
      <c r="H984" t="s">
        <v>31</v>
      </c>
      <c r="I984" s="12">
        <v>0.60069444444444442</v>
      </c>
      <c r="J984" t="s">
        <v>65</v>
      </c>
      <c r="K984" t="s">
        <v>66</v>
      </c>
      <c r="L984" s="12">
        <v>0.62847222222222221</v>
      </c>
      <c r="M984" t="s">
        <v>63</v>
      </c>
      <c r="N984" s="3">
        <v>232</v>
      </c>
      <c r="O984" t="s">
        <v>24</v>
      </c>
      <c r="P984" t="s">
        <v>56</v>
      </c>
      <c r="R984">
        <f>tblDailySchedule[[#This Row],[Capacity Approx]]*'[1]Load Factor Sheet June Acft  '!$B$5</f>
        <v>187.86727272727273</v>
      </c>
      <c r="S984">
        <f>tblDailySchedule[[#This Row],[Capacity Approx]]*'[1]Load Factor Sheet June Acft  '!$D$5</f>
        <v>203.4218181818182</v>
      </c>
      <c r="T984" s="22">
        <f>tblDailySchedule[[#This Row],[STD]]</f>
        <v>0.62847222222222221</v>
      </c>
    </row>
    <row r="985" spans="1:20" hidden="1" x14ac:dyDescent="0.35">
      <c r="A985" s="11">
        <v>46145</v>
      </c>
      <c r="B985" s="3">
        <v>7</v>
      </c>
      <c r="C985" t="s">
        <v>17</v>
      </c>
      <c r="D985" t="s">
        <v>18</v>
      </c>
      <c r="E985" s="3">
        <v>16</v>
      </c>
      <c r="F985" t="s">
        <v>19</v>
      </c>
      <c r="G985" t="s">
        <v>67</v>
      </c>
      <c r="H985" t="s">
        <v>31</v>
      </c>
      <c r="I985" s="12">
        <v>0.65625</v>
      </c>
      <c r="J985" t="s">
        <v>68</v>
      </c>
      <c r="K985" t="s">
        <v>31</v>
      </c>
      <c r="L985" s="12">
        <v>0.68402777777777779</v>
      </c>
      <c r="M985" t="s">
        <v>63</v>
      </c>
      <c r="N985" s="3">
        <v>232</v>
      </c>
      <c r="O985" t="s">
        <v>24</v>
      </c>
      <c r="P985" t="s">
        <v>56</v>
      </c>
      <c r="R985">
        <f>tblDailySchedule[[#This Row],[Capacity Approx]]*'[1]Load Factor Sheet June Acft  '!$B$5</f>
        <v>187.86727272727273</v>
      </c>
      <c r="S985">
        <f>tblDailySchedule[[#This Row],[Capacity Approx]]*'[1]Load Factor Sheet June Acft  '!$D$5</f>
        <v>203.4218181818182</v>
      </c>
      <c r="T985" s="22">
        <f>tblDailySchedule[[#This Row],[STD]]</f>
        <v>0.68402777777777779</v>
      </c>
    </row>
    <row r="986" spans="1:20" hidden="1" x14ac:dyDescent="0.35">
      <c r="A986" s="11">
        <v>46145</v>
      </c>
      <c r="B986" s="3">
        <v>7</v>
      </c>
      <c r="C986" t="s">
        <v>17</v>
      </c>
      <c r="D986" t="s">
        <v>18</v>
      </c>
      <c r="E986" s="3">
        <v>17</v>
      </c>
      <c r="F986" t="s">
        <v>19</v>
      </c>
      <c r="G986" t="s">
        <v>69</v>
      </c>
      <c r="H986" t="s">
        <v>31</v>
      </c>
      <c r="I986" s="12">
        <v>0.66319444444444442</v>
      </c>
      <c r="J986" t="s">
        <v>70</v>
      </c>
      <c r="K986" t="s">
        <v>31</v>
      </c>
      <c r="L986" s="12">
        <v>0.69097222222222221</v>
      </c>
      <c r="M986" t="s">
        <v>33</v>
      </c>
      <c r="N986" s="3">
        <v>189</v>
      </c>
      <c r="O986" t="s">
        <v>24</v>
      </c>
      <c r="P986" t="s">
        <v>56</v>
      </c>
      <c r="R986">
        <f>tblDailySchedule[[#This Row],[Capacity Approx]]*'[1]Load Factor Sheet June Acft  '!$B$5</f>
        <v>153.04704545454547</v>
      </c>
      <c r="S986">
        <f>tblDailySchedule[[#This Row],[Capacity Approx]]*'[1]Load Factor Sheet June Acft  '!$D$5</f>
        <v>165.71863636363636</v>
      </c>
      <c r="T986" s="22">
        <f>tblDailySchedule[[#This Row],[STD]]</f>
        <v>0.69097222222222221</v>
      </c>
    </row>
    <row r="987" spans="1:20" hidden="1" x14ac:dyDescent="0.35">
      <c r="A987" s="11">
        <v>46145</v>
      </c>
      <c r="B987" s="3">
        <v>7</v>
      </c>
      <c r="C987" t="s">
        <v>17</v>
      </c>
      <c r="D987" t="s">
        <v>18</v>
      </c>
      <c r="E987" s="3">
        <v>18</v>
      </c>
      <c r="F987" t="s">
        <v>19</v>
      </c>
      <c r="G987" t="s">
        <v>71</v>
      </c>
      <c r="H987" t="s">
        <v>21</v>
      </c>
      <c r="I987" s="12">
        <v>0.67013888888888884</v>
      </c>
      <c r="J987" t="s">
        <v>72</v>
      </c>
      <c r="K987" t="s">
        <v>21</v>
      </c>
      <c r="L987" s="12">
        <v>0.69791666666666663</v>
      </c>
      <c r="M987" t="s">
        <v>63</v>
      </c>
      <c r="N987" s="3">
        <v>232</v>
      </c>
      <c r="O987" t="s">
        <v>24</v>
      </c>
      <c r="P987" t="s">
        <v>56</v>
      </c>
      <c r="R987">
        <f>tblDailySchedule[[#This Row],[Capacity Approx]]*'[1]Load Factor Sheet June Acft  '!$B$5</f>
        <v>187.86727272727273</v>
      </c>
      <c r="S987">
        <f>tblDailySchedule[[#This Row],[Capacity Approx]]*'[1]Load Factor Sheet June Acft  '!$D$5</f>
        <v>203.4218181818182</v>
      </c>
      <c r="T987" s="22">
        <f>tblDailySchedule[[#This Row],[STD]]</f>
        <v>0.69791666666666663</v>
      </c>
    </row>
    <row r="988" spans="1:20" hidden="1" x14ac:dyDescent="0.35">
      <c r="A988" s="11">
        <v>46145</v>
      </c>
      <c r="B988" s="3">
        <v>7</v>
      </c>
      <c r="C988" t="s">
        <v>17</v>
      </c>
      <c r="D988" t="s">
        <v>18</v>
      </c>
      <c r="E988" s="3">
        <v>19</v>
      </c>
      <c r="F988" t="s">
        <v>19</v>
      </c>
      <c r="G988" t="s">
        <v>73</v>
      </c>
      <c r="H988" t="s">
        <v>27</v>
      </c>
      <c r="I988" s="12">
        <v>0.74652777777777779</v>
      </c>
      <c r="J988" t="s">
        <v>74</v>
      </c>
      <c r="K988" t="s">
        <v>27</v>
      </c>
      <c r="L988" s="12">
        <v>0.77430555555555558</v>
      </c>
      <c r="M988" t="s">
        <v>63</v>
      </c>
      <c r="N988" s="3">
        <v>232</v>
      </c>
      <c r="O988" t="s">
        <v>24</v>
      </c>
      <c r="P988" t="s">
        <v>56</v>
      </c>
      <c r="R988">
        <f>tblDailySchedule[[#This Row],[Capacity Approx]]*'[1]Load Factor Sheet June Acft  '!$B$5</f>
        <v>187.86727272727273</v>
      </c>
      <c r="S988">
        <f>tblDailySchedule[[#This Row],[Capacity Approx]]*'[1]Load Factor Sheet June Acft  '!$D$5</f>
        <v>203.4218181818182</v>
      </c>
      <c r="T988" s="22">
        <f>tblDailySchedule[[#This Row],[STD]]</f>
        <v>0.77430555555555558</v>
      </c>
    </row>
    <row r="989" spans="1:20" hidden="1" x14ac:dyDescent="0.35">
      <c r="A989" s="11">
        <v>46145</v>
      </c>
      <c r="B989" s="3">
        <v>7</v>
      </c>
      <c r="C989" t="s">
        <v>17</v>
      </c>
      <c r="D989" t="s">
        <v>18</v>
      </c>
      <c r="E989" s="3">
        <v>20</v>
      </c>
      <c r="F989" t="s">
        <v>34</v>
      </c>
      <c r="G989" t="s">
        <v>75</v>
      </c>
      <c r="H989" t="s">
        <v>76</v>
      </c>
      <c r="I989" s="12">
        <v>0.76388888888888884</v>
      </c>
      <c r="J989" t="s">
        <v>77</v>
      </c>
      <c r="K989" t="s">
        <v>78</v>
      </c>
      <c r="L989" s="12">
        <v>0.78472222222222221</v>
      </c>
      <c r="M989" t="s">
        <v>51</v>
      </c>
      <c r="N989" s="3">
        <v>78</v>
      </c>
      <c r="O989" t="s">
        <v>24</v>
      </c>
      <c r="P989" t="s">
        <v>79</v>
      </c>
      <c r="Q989" s="16" t="s">
        <v>80</v>
      </c>
      <c r="R989">
        <f>tblDailySchedule[[#This Row],[Capacity Approx]]*'[1]Load Factor Sheet June Acft  '!$B$5</f>
        <v>63.162272727272729</v>
      </c>
      <c r="S989">
        <f>tblDailySchedule[[#This Row],[Capacity Approx]]*'[1]Load Factor Sheet June Acft  '!$D$5</f>
        <v>68.391818181818181</v>
      </c>
      <c r="T989" s="22">
        <f>tblDailySchedule[[#This Row],[STD]]</f>
        <v>0.78472222222222221</v>
      </c>
    </row>
    <row r="990" spans="1:20" hidden="1" x14ac:dyDescent="0.35">
      <c r="A990" s="11">
        <v>46145</v>
      </c>
      <c r="B990" s="3">
        <v>7</v>
      </c>
      <c r="C990" t="s">
        <v>17</v>
      </c>
      <c r="D990" t="s">
        <v>18</v>
      </c>
      <c r="E990" s="3">
        <v>21</v>
      </c>
      <c r="F990" t="s">
        <v>19</v>
      </c>
      <c r="G990" t="s">
        <v>81</v>
      </c>
      <c r="H990" t="s">
        <v>61</v>
      </c>
      <c r="I990" s="12">
        <v>0.77083333333333337</v>
      </c>
      <c r="J990" t="s">
        <v>82</v>
      </c>
      <c r="K990" t="s">
        <v>49</v>
      </c>
      <c r="L990" s="12">
        <v>0.79166666666666663</v>
      </c>
      <c r="M990" t="s">
        <v>33</v>
      </c>
      <c r="N990" s="3">
        <v>189</v>
      </c>
      <c r="O990" t="s">
        <v>24</v>
      </c>
      <c r="P990" t="s">
        <v>79</v>
      </c>
      <c r="R990">
        <f>tblDailySchedule[[#This Row],[Capacity Approx]]*'[1]Load Factor Sheet June Acft  '!$B$5</f>
        <v>153.04704545454547</v>
      </c>
      <c r="S990">
        <f>tblDailySchedule[[#This Row],[Capacity Approx]]*'[1]Load Factor Sheet June Acft  '!$D$5</f>
        <v>165.71863636363636</v>
      </c>
      <c r="T990" s="22">
        <f>tblDailySchedule[[#This Row],[STD]]</f>
        <v>0.79166666666666663</v>
      </c>
    </row>
    <row r="991" spans="1:20" hidden="1" x14ac:dyDescent="0.35">
      <c r="A991" s="11">
        <v>46145</v>
      </c>
      <c r="B991" s="3">
        <v>7</v>
      </c>
      <c r="C991" t="s">
        <v>17</v>
      </c>
      <c r="D991" t="s">
        <v>18</v>
      </c>
      <c r="E991" s="3">
        <v>22</v>
      </c>
      <c r="F991" t="s">
        <v>19</v>
      </c>
      <c r="G991" t="s">
        <v>83</v>
      </c>
      <c r="H991" t="s">
        <v>31</v>
      </c>
      <c r="I991" s="12">
        <v>0.77777777777777779</v>
      </c>
      <c r="J991" t="s">
        <v>84</v>
      </c>
      <c r="K991" t="s">
        <v>31</v>
      </c>
      <c r="L991" s="12">
        <v>0.80555555555555558</v>
      </c>
      <c r="M991" t="s">
        <v>63</v>
      </c>
      <c r="N991" s="3">
        <v>232</v>
      </c>
      <c r="O991" t="s">
        <v>24</v>
      </c>
      <c r="P991" t="s">
        <v>79</v>
      </c>
      <c r="R991">
        <f>tblDailySchedule[[#This Row],[Capacity Approx]]*'[1]Load Factor Sheet June Acft  '!$B$5</f>
        <v>187.86727272727273</v>
      </c>
      <c r="S991">
        <f>tblDailySchedule[[#This Row],[Capacity Approx]]*'[1]Load Factor Sheet June Acft  '!$D$5</f>
        <v>203.4218181818182</v>
      </c>
      <c r="T991" s="22">
        <f>tblDailySchedule[[#This Row],[STD]]</f>
        <v>0.80555555555555558</v>
      </c>
    </row>
    <row r="992" spans="1:20" hidden="1" x14ac:dyDescent="0.35">
      <c r="A992" s="11">
        <v>46145</v>
      </c>
      <c r="B992" s="3">
        <v>7</v>
      </c>
      <c r="C992" t="s">
        <v>17</v>
      </c>
      <c r="D992" t="s">
        <v>18</v>
      </c>
      <c r="E992" s="3">
        <v>23</v>
      </c>
      <c r="F992" t="s">
        <v>19</v>
      </c>
      <c r="G992" t="s">
        <v>85</v>
      </c>
      <c r="H992" t="s">
        <v>86</v>
      </c>
      <c r="I992" s="12">
        <v>0.79861111111111116</v>
      </c>
      <c r="J992" t="s">
        <v>87</v>
      </c>
      <c r="K992" t="s">
        <v>86</v>
      </c>
      <c r="L992" s="12">
        <v>0.82638888888888884</v>
      </c>
      <c r="M992" t="s">
        <v>63</v>
      </c>
      <c r="N992" s="3">
        <v>232</v>
      </c>
      <c r="O992" t="s">
        <v>24</v>
      </c>
      <c r="P992" t="s">
        <v>79</v>
      </c>
      <c r="R992">
        <f>tblDailySchedule[[#This Row],[Capacity Approx]]*'[1]Load Factor Sheet June Acft  '!$B$5</f>
        <v>187.86727272727273</v>
      </c>
      <c r="S992">
        <f>tblDailySchedule[[#This Row],[Capacity Approx]]*'[1]Load Factor Sheet June Acft  '!$D$5</f>
        <v>203.4218181818182</v>
      </c>
      <c r="T992" s="22">
        <f>tblDailySchedule[[#This Row],[STD]]</f>
        <v>0.82638888888888884</v>
      </c>
    </row>
    <row r="993" spans="1:20" hidden="1" x14ac:dyDescent="0.35">
      <c r="A993" s="11">
        <v>46145</v>
      </c>
      <c r="B993" s="3">
        <v>7</v>
      </c>
      <c r="C993" t="s">
        <v>17</v>
      </c>
      <c r="D993" t="s">
        <v>18</v>
      </c>
      <c r="E993" s="3">
        <v>24</v>
      </c>
      <c r="F993" t="s">
        <v>19</v>
      </c>
      <c r="G993" t="s">
        <v>88</v>
      </c>
      <c r="H993" t="s">
        <v>89</v>
      </c>
      <c r="I993" s="12">
        <v>0.83333333333333337</v>
      </c>
      <c r="J993" t="s">
        <v>90</v>
      </c>
      <c r="K993" t="s">
        <v>31</v>
      </c>
      <c r="L993" s="12">
        <v>0.86111111111111116</v>
      </c>
      <c r="M993" t="s">
        <v>63</v>
      </c>
      <c r="N993" s="3">
        <v>232</v>
      </c>
      <c r="O993" t="s">
        <v>24</v>
      </c>
      <c r="P993" t="s">
        <v>79</v>
      </c>
      <c r="R993">
        <f>tblDailySchedule[[#This Row],[Capacity Approx]]*'[1]Load Factor Sheet June Acft  '!$B$5</f>
        <v>187.86727272727273</v>
      </c>
      <c r="S993">
        <f>tblDailySchedule[[#This Row],[Capacity Approx]]*'[1]Load Factor Sheet June Acft  '!$D$5</f>
        <v>203.4218181818182</v>
      </c>
      <c r="T993" s="22">
        <f>tblDailySchedule[[#This Row],[STD]]</f>
        <v>0.86111111111111116</v>
      </c>
    </row>
    <row r="994" spans="1:20" hidden="1" x14ac:dyDescent="0.35">
      <c r="A994" s="11">
        <v>46145</v>
      </c>
      <c r="B994" s="3">
        <v>7</v>
      </c>
      <c r="C994" t="s">
        <v>17</v>
      </c>
      <c r="D994" t="s">
        <v>18</v>
      </c>
      <c r="E994" s="3">
        <v>25</v>
      </c>
      <c r="F994" t="s">
        <v>19</v>
      </c>
      <c r="G994" t="s">
        <v>91</v>
      </c>
      <c r="H994" t="s">
        <v>61</v>
      </c>
      <c r="I994" s="12">
        <v>0.85416666666666663</v>
      </c>
      <c r="J994" t="s">
        <v>92</v>
      </c>
      <c r="K994" t="s">
        <v>61</v>
      </c>
      <c r="L994" s="12">
        <v>0.88194444444444442</v>
      </c>
      <c r="M994" t="s">
        <v>63</v>
      </c>
      <c r="N994" s="3">
        <v>232</v>
      </c>
      <c r="O994" t="s">
        <v>24</v>
      </c>
      <c r="P994" t="s">
        <v>79</v>
      </c>
      <c r="R994">
        <f>tblDailySchedule[[#This Row],[Capacity Approx]]*'[1]Load Factor Sheet June Acft  '!$B$5</f>
        <v>187.86727272727273</v>
      </c>
      <c r="S994">
        <f>tblDailySchedule[[#This Row],[Capacity Approx]]*'[1]Load Factor Sheet June Acft  '!$D$5</f>
        <v>203.4218181818182</v>
      </c>
      <c r="T994" s="22">
        <f>tblDailySchedule[[#This Row],[STD]]</f>
        <v>0.88194444444444442</v>
      </c>
    </row>
    <row r="995" spans="1:20" hidden="1" x14ac:dyDescent="0.35">
      <c r="A995" s="11">
        <v>46145</v>
      </c>
      <c r="B995" s="3">
        <v>7</v>
      </c>
      <c r="C995" t="s">
        <v>17</v>
      </c>
      <c r="D995" t="s">
        <v>18</v>
      </c>
      <c r="E995" s="3">
        <v>26</v>
      </c>
      <c r="F995" t="s">
        <v>19</v>
      </c>
      <c r="G995" t="s">
        <v>93</v>
      </c>
      <c r="H995" t="s">
        <v>31</v>
      </c>
      <c r="I995" s="12">
        <v>0.86111111111111116</v>
      </c>
      <c r="J995" t="s">
        <v>94</v>
      </c>
      <c r="K995" t="s">
        <v>31</v>
      </c>
      <c r="L995" s="12">
        <v>0.88888888888888884</v>
      </c>
      <c r="M995" t="s">
        <v>23</v>
      </c>
      <c r="N995" s="3">
        <v>186</v>
      </c>
      <c r="O995" t="s">
        <v>24</v>
      </c>
      <c r="P995" t="s">
        <v>79</v>
      </c>
      <c r="R995">
        <f>tblDailySchedule[[#This Row],[Capacity Approx]]*'[1]Load Factor Sheet June Acft  '!$B$5</f>
        <v>150.61772727272728</v>
      </c>
      <c r="S995">
        <f>tblDailySchedule[[#This Row],[Capacity Approx]]*'[1]Load Factor Sheet June Acft  '!$D$5</f>
        <v>163.08818181818182</v>
      </c>
      <c r="T995" s="22">
        <f>tblDailySchedule[[#This Row],[STD]]</f>
        <v>0.88888888888888884</v>
      </c>
    </row>
    <row r="996" spans="1:20" hidden="1" x14ac:dyDescent="0.35">
      <c r="A996" s="11">
        <v>46145</v>
      </c>
      <c r="B996" s="3">
        <v>7</v>
      </c>
      <c r="C996" t="s">
        <v>17</v>
      </c>
      <c r="D996" t="s">
        <v>18</v>
      </c>
      <c r="E996" s="3">
        <v>27</v>
      </c>
      <c r="F996" t="s">
        <v>19</v>
      </c>
      <c r="G996" t="s">
        <v>95</v>
      </c>
      <c r="H996" t="s">
        <v>21</v>
      </c>
      <c r="I996" s="12">
        <v>0.86805555555555558</v>
      </c>
      <c r="J996" t="s">
        <v>96</v>
      </c>
      <c r="K996" t="s">
        <v>21</v>
      </c>
      <c r="L996" s="12">
        <v>0.89583333333333337</v>
      </c>
      <c r="M996" t="s">
        <v>29</v>
      </c>
      <c r="N996" s="3">
        <v>186</v>
      </c>
      <c r="O996" t="s">
        <v>24</v>
      </c>
      <c r="P996" t="s">
        <v>79</v>
      </c>
      <c r="R996">
        <f>tblDailySchedule[[#This Row],[Capacity Approx]]*'[1]Load Factor Sheet June Acft  '!$B$5</f>
        <v>150.61772727272728</v>
      </c>
      <c r="S996">
        <f>tblDailySchedule[[#This Row],[Capacity Approx]]*'[1]Load Factor Sheet June Acft  '!$D$5</f>
        <v>163.08818181818182</v>
      </c>
      <c r="T996" s="22">
        <f>tblDailySchedule[[#This Row],[STD]]</f>
        <v>0.89583333333333337</v>
      </c>
    </row>
    <row r="997" spans="1:20" hidden="1" x14ac:dyDescent="0.35">
      <c r="A997" s="11">
        <v>46145</v>
      </c>
      <c r="B997" s="3">
        <v>7</v>
      </c>
      <c r="C997" t="s">
        <v>17</v>
      </c>
      <c r="D997" t="s">
        <v>18</v>
      </c>
      <c r="E997" s="3">
        <v>28</v>
      </c>
      <c r="F997" t="s">
        <v>19</v>
      </c>
      <c r="G997" t="s">
        <v>97</v>
      </c>
      <c r="H997" t="s">
        <v>49</v>
      </c>
      <c r="I997" s="12">
        <v>0.90277777777777779</v>
      </c>
      <c r="J997" t="s">
        <v>97</v>
      </c>
      <c r="K997" t="s">
        <v>61</v>
      </c>
      <c r="L997" s="12">
        <v>0.92361111111111116</v>
      </c>
      <c r="M997" t="s">
        <v>33</v>
      </c>
      <c r="N997" s="3">
        <v>189</v>
      </c>
      <c r="O997" t="s">
        <v>24</v>
      </c>
      <c r="P997" t="s">
        <v>79</v>
      </c>
      <c r="R997">
        <f>tblDailySchedule[[#This Row],[Capacity Approx]]*'[1]Load Factor Sheet June Acft  '!$B$5</f>
        <v>153.04704545454547</v>
      </c>
      <c r="S997">
        <f>tblDailySchedule[[#This Row],[Capacity Approx]]*'[1]Load Factor Sheet June Acft  '!$D$5</f>
        <v>165.71863636363636</v>
      </c>
      <c r="T997" s="22">
        <f>tblDailySchedule[[#This Row],[STD]]</f>
        <v>0.92361111111111116</v>
      </c>
    </row>
    <row r="998" spans="1:20" hidden="1" x14ac:dyDescent="0.35">
      <c r="A998" s="11">
        <v>46145</v>
      </c>
      <c r="B998" s="3">
        <v>7</v>
      </c>
      <c r="C998" t="s">
        <v>17</v>
      </c>
      <c r="D998" t="s">
        <v>18</v>
      </c>
      <c r="E998" s="3">
        <v>29</v>
      </c>
      <c r="F998" t="s">
        <v>19</v>
      </c>
      <c r="G998" t="s">
        <v>98</v>
      </c>
      <c r="H998" t="s">
        <v>21</v>
      </c>
      <c r="I998" s="12">
        <v>0.92013888888888884</v>
      </c>
      <c r="J998" t="s">
        <v>99</v>
      </c>
      <c r="K998" t="s">
        <v>21</v>
      </c>
      <c r="L998" s="12">
        <v>0.94791666666666663</v>
      </c>
      <c r="M998" t="s">
        <v>63</v>
      </c>
      <c r="N998" s="3">
        <v>232</v>
      </c>
      <c r="O998" t="s">
        <v>24</v>
      </c>
      <c r="P998" t="s">
        <v>79</v>
      </c>
      <c r="R998">
        <f>tblDailySchedule[[#This Row],[Capacity Approx]]*'[1]Load Factor Sheet June Acft  '!$B$5</f>
        <v>187.86727272727273</v>
      </c>
      <c r="S998">
        <f>tblDailySchedule[[#This Row],[Capacity Approx]]*'[1]Load Factor Sheet June Acft  '!$D$5</f>
        <v>203.4218181818182</v>
      </c>
      <c r="T998" s="22">
        <f>tblDailySchedule[[#This Row],[STD]]</f>
        <v>0.94791666666666663</v>
      </c>
    </row>
    <row r="999" spans="1:20" hidden="1" x14ac:dyDescent="0.35">
      <c r="A999" s="11">
        <v>46146</v>
      </c>
      <c r="B999" s="3">
        <v>1</v>
      </c>
      <c r="C999" t="s">
        <v>100</v>
      </c>
      <c r="D999" t="s">
        <v>18</v>
      </c>
      <c r="E999" s="3">
        <v>1</v>
      </c>
      <c r="F999" t="s">
        <v>101</v>
      </c>
      <c r="G999" t="s">
        <v>102</v>
      </c>
      <c r="H999" t="s">
        <v>61</v>
      </c>
      <c r="I999" s="12">
        <v>0.3125</v>
      </c>
      <c r="J999" t="s">
        <v>103</v>
      </c>
      <c r="K999" t="s">
        <v>61</v>
      </c>
      <c r="L999" s="12">
        <v>0.33333333333333331</v>
      </c>
      <c r="M999" t="s">
        <v>33</v>
      </c>
      <c r="N999" s="3">
        <v>189</v>
      </c>
      <c r="O999" t="s">
        <v>24</v>
      </c>
      <c r="P999" t="s">
        <v>25</v>
      </c>
      <c r="R999">
        <f>tblDailySchedule[[#This Row],[Capacity Approx]]*'[1]Load Factor Sheet June Acft  '!$B$5</f>
        <v>153.04704545454547</v>
      </c>
      <c r="S999">
        <f>tblDailySchedule[[#This Row],[Capacity Approx]]*'[1]Load Factor Sheet June Acft  '!$D$5</f>
        <v>165.71863636363636</v>
      </c>
      <c r="T999" s="22">
        <f>tblDailySchedule[[#This Row],[STD]]</f>
        <v>0.33333333333333331</v>
      </c>
    </row>
    <row r="1000" spans="1:20" hidden="1" x14ac:dyDescent="0.35">
      <c r="A1000" s="11">
        <v>46146</v>
      </c>
      <c r="B1000" s="3">
        <v>1</v>
      </c>
      <c r="C1000" t="s">
        <v>100</v>
      </c>
      <c r="D1000" t="s">
        <v>18</v>
      </c>
      <c r="E1000" s="3">
        <v>2</v>
      </c>
      <c r="F1000" t="s">
        <v>19</v>
      </c>
      <c r="G1000" t="s">
        <v>20</v>
      </c>
      <c r="H1000" t="s">
        <v>21</v>
      </c>
      <c r="I1000" s="12">
        <v>0.31944444444444442</v>
      </c>
      <c r="J1000" t="s">
        <v>22</v>
      </c>
      <c r="K1000" t="s">
        <v>21</v>
      </c>
      <c r="L1000" s="12">
        <v>0.34722222222222221</v>
      </c>
      <c r="M1000" t="s">
        <v>23</v>
      </c>
      <c r="N1000" s="3">
        <v>186</v>
      </c>
      <c r="O1000" t="s">
        <v>24</v>
      </c>
      <c r="P1000" t="s">
        <v>25</v>
      </c>
      <c r="R1000">
        <f>tblDailySchedule[[#This Row],[Capacity Approx]]*'[1]Load Factor Sheet June Acft  '!$B$5</f>
        <v>150.61772727272728</v>
      </c>
      <c r="S1000">
        <f>tblDailySchedule[[#This Row],[Capacity Approx]]*'[1]Load Factor Sheet June Acft  '!$D$5</f>
        <v>163.08818181818182</v>
      </c>
      <c r="T1000" s="22">
        <f>tblDailySchedule[[#This Row],[STD]]</f>
        <v>0.34722222222222221</v>
      </c>
    </row>
    <row r="1001" spans="1:20" hidden="1" x14ac:dyDescent="0.35">
      <c r="A1001" s="11">
        <v>46146</v>
      </c>
      <c r="B1001" s="3">
        <v>1</v>
      </c>
      <c r="C1001" t="s">
        <v>100</v>
      </c>
      <c r="D1001" t="s">
        <v>18</v>
      </c>
      <c r="E1001" s="3">
        <v>3</v>
      </c>
      <c r="F1001" t="s">
        <v>19</v>
      </c>
      <c r="G1001" t="s">
        <v>26</v>
      </c>
      <c r="H1001" t="s">
        <v>27</v>
      </c>
      <c r="I1001" s="12">
        <v>0.3263888888888889</v>
      </c>
      <c r="J1001" t="s">
        <v>28</v>
      </c>
      <c r="K1001" t="s">
        <v>27</v>
      </c>
      <c r="L1001" s="12">
        <v>0.35416666666666669</v>
      </c>
      <c r="M1001" t="s">
        <v>29</v>
      </c>
      <c r="N1001" s="3">
        <v>186</v>
      </c>
      <c r="O1001" t="s">
        <v>24</v>
      </c>
      <c r="P1001" t="s">
        <v>25</v>
      </c>
      <c r="R1001">
        <f>tblDailySchedule[[#This Row],[Capacity Approx]]*'[1]Load Factor Sheet June Acft  '!$B$5</f>
        <v>150.61772727272728</v>
      </c>
      <c r="S1001">
        <f>tblDailySchedule[[#This Row],[Capacity Approx]]*'[1]Load Factor Sheet June Acft  '!$D$5</f>
        <v>163.08818181818182</v>
      </c>
      <c r="T1001" s="22">
        <f>tblDailySchedule[[#This Row],[STD]]</f>
        <v>0.35416666666666669</v>
      </c>
    </row>
    <row r="1002" spans="1:20" hidden="1" x14ac:dyDescent="0.35">
      <c r="A1002" s="11">
        <v>46146</v>
      </c>
      <c r="B1002" s="3">
        <v>1</v>
      </c>
      <c r="C1002" t="s">
        <v>100</v>
      </c>
      <c r="D1002" t="s">
        <v>18</v>
      </c>
      <c r="E1002" s="3">
        <v>4</v>
      </c>
      <c r="F1002" t="s">
        <v>19</v>
      </c>
      <c r="G1002" t="s">
        <v>30</v>
      </c>
      <c r="H1002" t="s">
        <v>31</v>
      </c>
      <c r="I1002" s="12">
        <v>0.34722222222222221</v>
      </c>
      <c r="J1002" t="s">
        <v>32</v>
      </c>
      <c r="K1002" t="s">
        <v>31</v>
      </c>
      <c r="L1002" s="12">
        <v>0.36805555555555558</v>
      </c>
      <c r="M1002" t="s">
        <v>33</v>
      </c>
      <c r="N1002" s="3">
        <v>189</v>
      </c>
      <c r="O1002" t="s">
        <v>24</v>
      </c>
      <c r="P1002" t="s">
        <v>25</v>
      </c>
      <c r="R1002">
        <f>tblDailySchedule[[#This Row],[Capacity Approx]]*'[1]Load Factor Sheet June Acft  '!$B$5</f>
        <v>153.04704545454547</v>
      </c>
      <c r="S1002">
        <f>tblDailySchedule[[#This Row],[Capacity Approx]]*'[1]Load Factor Sheet June Acft  '!$D$5</f>
        <v>165.71863636363636</v>
      </c>
      <c r="T1002" s="22">
        <f>tblDailySchedule[[#This Row],[STD]]</f>
        <v>0.36805555555555558</v>
      </c>
    </row>
    <row r="1003" spans="1:20" hidden="1" x14ac:dyDescent="0.35">
      <c r="A1003" s="13">
        <v>46146</v>
      </c>
      <c r="B1003" s="7">
        <v>1</v>
      </c>
      <c r="C1003" s="14" t="s">
        <v>100</v>
      </c>
      <c r="D1003" s="14" t="s">
        <v>18</v>
      </c>
      <c r="E1003" s="7">
        <v>6</v>
      </c>
      <c r="F1003" s="14" t="s">
        <v>34</v>
      </c>
      <c r="G1003" s="14" t="s">
        <v>35</v>
      </c>
      <c r="H1003" s="14" t="s">
        <v>36</v>
      </c>
      <c r="I1003" s="15">
        <v>0.34722222222222221</v>
      </c>
      <c r="J1003" s="14" t="s">
        <v>37</v>
      </c>
      <c r="K1003" s="14" t="s">
        <v>36</v>
      </c>
      <c r="L1003" s="15">
        <v>0.40972222222222221</v>
      </c>
      <c r="M1003" s="14" t="s">
        <v>38</v>
      </c>
      <c r="N1003" s="7">
        <v>186</v>
      </c>
      <c r="O1003" s="14" t="s">
        <v>39</v>
      </c>
      <c r="P1003" s="14" t="s">
        <v>25</v>
      </c>
      <c r="Q1003" s="14" t="s">
        <v>39</v>
      </c>
      <c r="R1003">
        <f>tblDailySchedule[[#This Row],[Capacity Approx]]*'[1]Load Factor Sheet June Acft  '!$B$5</f>
        <v>150.61772727272728</v>
      </c>
      <c r="S1003">
        <f>tblDailySchedule[[#This Row],[Capacity Approx]]*'[1]Load Factor Sheet June Acft  '!$D$5</f>
        <v>163.08818181818182</v>
      </c>
      <c r="T1003" s="22">
        <f>tblDailySchedule[[#This Row],[STD]]</f>
        <v>0.40972222222222221</v>
      </c>
    </row>
    <row r="1004" spans="1:20" hidden="1" x14ac:dyDescent="0.35">
      <c r="A1004" s="11">
        <v>46146</v>
      </c>
      <c r="B1004" s="3">
        <v>1</v>
      </c>
      <c r="C1004" t="s">
        <v>100</v>
      </c>
      <c r="D1004" t="s">
        <v>18</v>
      </c>
      <c r="E1004" s="3">
        <v>5</v>
      </c>
      <c r="F1004" t="s">
        <v>19</v>
      </c>
      <c r="G1004" t="s">
        <v>40</v>
      </c>
      <c r="H1004" t="s">
        <v>31</v>
      </c>
      <c r="I1004" s="12">
        <v>0.35069444444444442</v>
      </c>
      <c r="J1004" t="s">
        <v>41</v>
      </c>
      <c r="K1004" t="s">
        <v>31</v>
      </c>
      <c r="L1004" s="12">
        <v>0.37152777777777779</v>
      </c>
      <c r="M1004" t="s">
        <v>23</v>
      </c>
      <c r="N1004" s="3">
        <v>186</v>
      </c>
      <c r="O1004" t="s">
        <v>24</v>
      </c>
      <c r="P1004" t="s">
        <v>25</v>
      </c>
      <c r="R1004">
        <f>tblDailySchedule[[#This Row],[Capacity Approx]]*'[1]Load Factor Sheet June Acft  '!$B$5</f>
        <v>150.61772727272728</v>
      </c>
      <c r="S1004">
        <f>tblDailySchedule[[#This Row],[Capacity Approx]]*'[1]Load Factor Sheet June Acft  '!$D$5</f>
        <v>163.08818181818182</v>
      </c>
      <c r="T1004" s="22">
        <f>tblDailySchedule[[#This Row],[STD]]</f>
        <v>0.37152777777777779</v>
      </c>
    </row>
    <row r="1005" spans="1:20" hidden="1" x14ac:dyDescent="0.35">
      <c r="A1005" s="11">
        <v>46146</v>
      </c>
      <c r="B1005" s="3">
        <v>1</v>
      </c>
      <c r="C1005" t="s">
        <v>100</v>
      </c>
      <c r="D1005" t="s">
        <v>18</v>
      </c>
      <c r="E1005" s="3">
        <v>7</v>
      </c>
      <c r="F1005" t="s">
        <v>19</v>
      </c>
      <c r="G1005" t="s">
        <v>42</v>
      </c>
      <c r="H1005" t="s">
        <v>43</v>
      </c>
      <c r="I1005" s="12">
        <v>0.3923611111111111</v>
      </c>
      <c r="J1005" t="s">
        <v>44</v>
      </c>
      <c r="K1005" t="s">
        <v>43</v>
      </c>
      <c r="L1005" s="12">
        <v>0.40277777777777779</v>
      </c>
      <c r="M1005" t="s">
        <v>45</v>
      </c>
      <c r="N1005" s="3">
        <v>9</v>
      </c>
      <c r="O1005" t="s">
        <v>24</v>
      </c>
      <c r="P1005" t="s">
        <v>25</v>
      </c>
      <c r="R1005">
        <f>tblDailySchedule[[#This Row],[Capacity Approx]]*'[1]Load Factor Sheet June Acft  '!$B$5</f>
        <v>7.2879545454545456</v>
      </c>
      <c r="S1005">
        <f>tblDailySchedule[[#This Row],[Capacity Approx]]*'[1]Load Factor Sheet June Acft  '!$D$5</f>
        <v>7.8913636363636366</v>
      </c>
      <c r="T1005" s="22">
        <f>tblDailySchedule[[#This Row],[STD]]</f>
        <v>0.40277777777777779</v>
      </c>
    </row>
    <row r="1006" spans="1:20" hidden="1" x14ac:dyDescent="0.35">
      <c r="A1006" s="11">
        <v>46146</v>
      </c>
      <c r="B1006" s="3">
        <v>1</v>
      </c>
      <c r="C1006" t="s">
        <v>100</v>
      </c>
      <c r="D1006" t="s">
        <v>18</v>
      </c>
      <c r="E1006" s="3">
        <v>8</v>
      </c>
      <c r="F1006" t="s">
        <v>19</v>
      </c>
      <c r="G1006" t="s">
        <v>46</v>
      </c>
      <c r="H1006" t="s">
        <v>31</v>
      </c>
      <c r="I1006" s="12">
        <v>0.4201388888888889</v>
      </c>
      <c r="J1006" t="s">
        <v>47</v>
      </c>
      <c r="K1006" t="s">
        <v>31</v>
      </c>
      <c r="L1006" s="12">
        <v>0.44444444444444442</v>
      </c>
      <c r="M1006" t="s">
        <v>29</v>
      </c>
      <c r="N1006" s="3">
        <v>186</v>
      </c>
      <c r="O1006" t="s">
        <v>24</v>
      </c>
      <c r="P1006" t="s">
        <v>25</v>
      </c>
      <c r="R1006">
        <f>tblDailySchedule[[#This Row],[Capacity Approx]]*'[1]Load Factor Sheet June Acft  '!$B$5</f>
        <v>150.61772727272728</v>
      </c>
      <c r="S1006">
        <f>tblDailySchedule[[#This Row],[Capacity Approx]]*'[1]Load Factor Sheet June Acft  '!$D$5</f>
        <v>163.08818181818182</v>
      </c>
      <c r="T1006" s="22">
        <f>tblDailySchedule[[#This Row],[STD]]</f>
        <v>0.44444444444444442</v>
      </c>
    </row>
    <row r="1007" spans="1:20" hidden="1" x14ac:dyDescent="0.35">
      <c r="A1007" s="11">
        <v>46146</v>
      </c>
      <c r="B1007" s="3">
        <v>1</v>
      </c>
      <c r="C1007" t="s">
        <v>100</v>
      </c>
      <c r="D1007" t="s">
        <v>18</v>
      </c>
      <c r="E1007" s="3">
        <v>9</v>
      </c>
      <c r="F1007" t="s">
        <v>19</v>
      </c>
      <c r="G1007" t="s">
        <v>48</v>
      </c>
      <c r="H1007" t="s">
        <v>49</v>
      </c>
      <c r="I1007" s="12">
        <v>0.4375</v>
      </c>
      <c r="J1007" t="s">
        <v>50</v>
      </c>
      <c r="K1007" t="s">
        <v>49</v>
      </c>
      <c r="L1007" s="12">
        <v>0.45833333333333331</v>
      </c>
      <c r="M1007" t="s">
        <v>51</v>
      </c>
      <c r="N1007" s="3">
        <v>78</v>
      </c>
      <c r="O1007" t="s">
        <v>24</v>
      </c>
      <c r="P1007" t="s">
        <v>25</v>
      </c>
      <c r="R1007">
        <f>tblDailySchedule[[#This Row],[Capacity Approx]]*'[1]Load Factor Sheet June Acft  '!$B$5</f>
        <v>63.162272727272729</v>
      </c>
      <c r="S1007">
        <f>tblDailySchedule[[#This Row],[Capacity Approx]]*'[1]Load Factor Sheet June Acft  '!$D$5</f>
        <v>68.391818181818181</v>
      </c>
      <c r="T1007" s="22">
        <f>tblDailySchedule[[#This Row],[STD]]</f>
        <v>0.45833333333333331</v>
      </c>
    </row>
    <row r="1008" spans="1:20" hidden="1" x14ac:dyDescent="0.35">
      <c r="A1008" s="11">
        <v>46146</v>
      </c>
      <c r="B1008" s="3">
        <v>1</v>
      </c>
      <c r="C1008" t="s">
        <v>100</v>
      </c>
      <c r="D1008" t="s">
        <v>18</v>
      </c>
      <c r="E1008" s="3">
        <v>10</v>
      </c>
      <c r="F1008" t="s">
        <v>19</v>
      </c>
      <c r="G1008" t="s">
        <v>52</v>
      </c>
      <c r="H1008" t="s">
        <v>27</v>
      </c>
      <c r="I1008" s="12">
        <v>0.4826388888888889</v>
      </c>
      <c r="J1008" t="s">
        <v>53</v>
      </c>
      <c r="K1008" t="s">
        <v>27</v>
      </c>
      <c r="L1008" s="12">
        <v>0.51041666666666663</v>
      </c>
      <c r="M1008" t="s">
        <v>23</v>
      </c>
      <c r="N1008" s="3">
        <v>186</v>
      </c>
      <c r="O1008" t="s">
        <v>24</v>
      </c>
      <c r="P1008" t="s">
        <v>25</v>
      </c>
      <c r="R1008">
        <f>tblDailySchedule[[#This Row],[Capacity Approx]]*'[1]Load Factor Sheet June Acft  '!$B$5</f>
        <v>150.61772727272728</v>
      </c>
      <c r="S1008">
        <f>tblDailySchedule[[#This Row],[Capacity Approx]]*'[1]Load Factor Sheet June Acft  '!$D$5</f>
        <v>163.08818181818182</v>
      </c>
      <c r="T1008" s="22">
        <f>tblDailySchedule[[#This Row],[STD]]</f>
        <v>0.51041666666666663</v>
      </c>
    </row>
    <row r="1009" spans="1:20" hidden="1" x14ac:dyDescent="0.35">
      <c r="A1009" s="11">
        <v>46146</v>
      </c>
      <c r="B1009" s="3">
        <v>1</v>
      </c>
      <c r="C1009" t="s">
        <v>100</v>
      </c>
      <c r="D1009" t="s">
        <v>18</v>
      </c>
      <c r="E1009" s="3">
        <v>11</v>
      </c>
      <c r="F1009" t="s">
        <v>19</v>
      </c>
      <c r="G1009" t="s">
        <v>54</v>
      </c>
      <c r="H1009" t="s">
        <v>31</v>
      </c>
      <c r="I1009" s="12">
        <v>0.51388888888888884</v>
      </c>
      <c r="J1009" t="s">
        <v>55</v>
      </c>
      <c r="K1009" t="s">
        <v>31</v>
      </c>
      <c r="L1009" s="12">
        <v>0.54166666666666663</v>
      </c>
      <c r="M1009" t="s">
        <v>23</v>
      </c>
      <c r="N1009" s="3">
        <v>186</v>
      </c>
      <c r="O1009" t="s">
        <v>24</v>
      </c>
      <c r="P1009" t="s">
        <v>56</v>
      </c>
      <c r="R1009">
        <f>tblDailySchedule[[#This Row],[Capacity Approx]]*'[1]Load Factor Sheet June Acft  '!$B$5</f>
        <v>150.61772727272728</v>
      </c>
      <c r="S1009">
        <f>tblDailySchedule[[#This Row],[Capacity Approx]]*'[1]Load Factor Sheet June Acft  '!$D$5</f>
        <v>163.08818181818182</v>
      </c>
      <c r="T1009" s="22">
        <f>tblDailySchedule[[#This Row],[STD]]</f>
        <v>0.54166666666666663</v>
      </c>
    </row>
    <row r="1010" spans="1:20" hidden="1" x14ac:dyDescent="0.35">
      <c r="A1010" s="11">
        <v>46146</v>
      </c>
      <c r="B1010" s="3">
        <v>1</v>
      </c>
      <c r="C1010" t="s">
        <v>100</v>
      </c>
      <c r="D1010" t="s">
        <v>18</v>
      </c>
      <c r="E1010" s="3">
        <v>13</v>
      </c>
      <c r="F1010" t="s">
        <v>19</v>
      </c>
      <c r="G1010" t="s">
        <v>57</v>
      </c>
      <c r="H1010" t="s">
        <v>58</v>
      </c>
      <c r="I1010" s="12">
        <v>0.55902777777777779</v>
      </c>
      <c r="J1010" t="s">
        <v>59</v>
      </c>
      <c r="K1010" t="s">
        <v>58</v>
      </c>
      <c r="L1010" s="12">
        <v>0.57638888888888884</v>
      </c>
      <c r="M1010" t="s">
        <v>51</v>
      </c>
      <c r="N1010" s="3">
        <v>78</v>
      </c>
      <c r="O1010" t="s">
        <v>24</v>
      </c>
      <c r="P1010" t="s">
        <v>56</v>
      </c>
      <c r="R1010">
        <f>tblDailySchedule[[#This Row],[Capacity Approx]]*'[1]Load Factor Sheet June Acft  '!$B$5</f>
        <v>63.162272727272729</v>
      </c>
      <c r="S1010">
        <f>tblDailySchedule[[#This Row],[Capacity Approx]]*'[1]Load Factor Sheet June Acft  '!$D$5</f>
        <v>68.391818181818181</v>
      </c>
      <c r="T1010" s="22">
        <f>tblDailySchedule[[#This Row],[STD]]</f>
        <v>0.57638888888888884</v>
      </c>
    </row>
    <row r="1011" spans="1:20" hidden="1" x14ac:dyDescent="0.35">
      <c r="A1011" s="11">
        <v>46146</v>
      </c>
      <c r="B1011" s="3">
        <v>1</v>
      </c>
      <c r="C1011" t="s">
        <v>100</v>
      </c>
      <c r="D1011" t="s">
        <v>18</v>
      </c>
      <c r="E1011" s="3">
        <v>14</v>
      </c>
      <c r="F1011" t="s">
        <v>19</v>
      </c>
      <c r="G1011" t="s">
        <v>60</v>
      </c>
      <c r="H1011" t="s">
        <v>61</v>
      </c>
      <c r="I1011" s="12">
        <v>0.59027777777777779</v>
      </c>
      <c r="J1011" t="s">
        <v>62</v>
      </c>
      <c r="K1011" t="s">
        <v>61</v>
      </c>
      <c r="L1011" s="12">
        <v>0.62152777777777779</v>
      </c>
      <c r="M1011" t="s">
        <v>63</v>
      </c>
      <c r="N1011" s="3">
        <v>232</v>
      </c>
      <c r="O1011" t="s">
        <v>24</v>
      </c>
      <c r="P1011" t="s">
        <v>56</v>
      </c>
      <c r="R1011">
        <f>tblDailySchedule[[#This Row],[Capacity Approx]]*'[1]Load Factor Sheet June Acft  '!$B$5</f>
        <v>187.86727272727273</v>
      </c>
      <c r="S1011">
        <f>tblDailySchedule[[#This Row],[Capacity Approx]]*'[1]Load Factor Sheet June Acft  '!$D$5</f>
        <v>203.4218181818182</v>
      </c>
      <c r="T1011" s="22">
        <f>tblDailySchedule[[#This Row],[STD]]</f>
        <v>0.62152777777777779</v>
      </c>
    </row>
    <row r="1012" spans="1:20" hidden="1" x14ac:dyDescent="0.35">
      <c r="A1012" s="11">
        <v>46146</v>
      </c>
      <c r="B1012" s="3">
        <v>1</v>
      </c>
      <c r="C1012" t="s">
        <v>100</v>
      </c>
      <c r="D1012" t="s">
        <v>18</v>
      </c>
      <c r="E1012" s="3">
        <v>15</v>
      </c>
      <c r="F1012" t="s">
        <v>19</v>
      </c>
      <c r="G1012" t="s">
        <v>64</v>
      </c>
      <c r="H1012" t="s">
        <v>31</v>
      </c>
      <c r="I1012" s="12">
        <v>0.60069444444444442</v>
      </c>
      <c r="J1012" t="s">
        <v>65</v>
      </c>
      <c r="K1012" t="s">
        <v>66</v>
      </c>
      <c r="L1012" s="12">
        <v>0.62847222222222221</v>
      </c>
      <c r="M1012" t="s">
        <v>63</v>
      </c>
      <c r="N1012" s="3">
        <v>232</v>
      </c>
      <c r="O1012" t="s">
        <v>24</v>
      </c>
      <c r="P1012" t="s">
        <v>56</v>
      </c>
      <c r="R1012">
        <f>tblDailySchedule[[#This Row],[Capacity Approx]]*'[1]Load Factor Sheet June Acft  '!$B$5</f>
        <v>187.86727272727273</v>
      </c>
      <c r="S1012">
        <f>tblDailySchedule[[#This Row],[Capacity Approx]]*'[1]Load Factor Sheet June Acft  '!$D$5</f>
        <v>203.4218181818182</v>
      </c>
      <c r="T1012" s="22">
        <f>tblDailySchedule[[#This Row],[STD]]</f>
        <v>0.62847222222222221</v>
      </c>
    </row>
    <row r="1013" spans="1:20" hidden="1" x14ac:dyDescent="0.35">
      <c r="A1013" s="11">
        <v>46146</v>
      </c>
      <c r="B1013" s="3">
        <v>1</v>
      </c>
      <c r="C1013" t="s">
        <v>100</v>
      </c>
      <c r="D1013" t="s">
        <v>18</v>
      </c>
      <c r="E1013" s="3">
        <v>16</v>
      </c>
      <c r="F1013" t="s">
        <v>19</v>
      </c>
      <c r="G1013" t="s">
        <v>67</v>
      </c>
      <c r="H1013" t="s">
        <v>31</v>
      </c>
      <c r="I1013" s="12">
        <v>0.65625</v>
      </c>
      <c r="J1013" t="s">
        <v>68</v>
      </c>
      <c r="K1013" t="s">
        <v>31</v>
      </c>
      <c r="L1013" s="12">
        <v>0.68402777777777779</v>
      </c>
      <c r="M1013" t="s">
        <v>63</v>
      </c>
      <c r="N1013" s="3">
        <v>232</v>
      </c>
      <c r="O1013" t="s">
        <v>24</v>
      </c>
      <c r="P1013" t="s">
        <v>56</v>
      </c>
      <c r="R1013">
        <f>tblDailySchedule[[#This Row],[Capacity Approx]]*'[1]Load Factor Sheet June Acft  '!$B$5</f>
        <v>187.86727272727273</v>
      </c>
      <c r="S1013">
        <f>tblDailySchedule[[#This Row],[Capacity Approx]]*'[1]Load Factor Sheet June Acft  '!$D$5</f>
        <v>203.4218181818182</v>
      </c>
      <c r="T1013" s="22">
        <f>tblDailySchedule[[#This Row],[STD]]</f>
        <v>0.68402777777777779</v>
      </c>
    </row>
    <row r="1014" spans="1:20" hidden="1" x14ac:dyDescent="0.35">
      <c r="A1014" s="11">
        <v>46146</v>
      </c>
      <c r="B1014" s="3">
        <v>1</v>
      </c>
      <c r="C1014" t="s">
        <v>100</v>
      </c>
      <c r="D1014" t="s">
        <v>18</v>
      </c>
      <c r="E1014" s="3">
        <v>17</v>
      </c>
      <c r="F1014" t="s">
        <v>19</v>
      </c>
      <c r="G1014" t="s">
        <v>69</v>
      </c>
      <c r="H1014" t="s">
        <v>31</v>
      </c>
      <c r="I1014" s="12">
        <v>0.66319444444444442</v>
      </c>
      <c r="J1014" t="s">
        <v>70</v>
      </c>
      <c r="K1014" t="s">
        <v>31</v>
      </c>
      <c r="L1014" s="12">
        <v>0.69097222222222221</v>
      </c>
      <c r="M1014" t="s">
        <v>33</v>
      </c>
      <c r="N1014" s="3">
        <v>189</v>
      </c>
      <c r="O1014" t="s">
        <v>24</v>
      </c>
      <c r="P1014" t="s">
        <v>56</v>
      </c>
      <c r="R1014">
        <f>tblDailySchedule[[#This Row],[Capacity Approx]]*'[1]Load Factor Sheet June Acft  '!$B$5</f>
        <v>153.04704545454547</v>
      </c>
      <c r="S1014">
        <f>tblDailySchedule[[#This Row],[Capacity Approx]]*'[1]Load Factor Sheet June Acft  '!$D$5</f>
        <v>165.71863636363636</v>
      </c>
      <c r="T1014" s="22">
        <f>tblDailySchedule[[#This Row],[STD]]</f>
        <v>0.69097222222222221</v>
      </c>
    </row>
    <row r="1015" spans="1:20" hidden="1" x14ac:dyDescent="0.35">
      <c r="A1015" s="11">
        <v>46146</v>
      </c>
      <c r="B1015" s="3">
        <v>1</v>
      </c>
      <c r="C1015" t="s">
        <v>100</v>
      </c>
      <c r="D1015" t="s">
        <v>18</v>
      </c>
      <c r="E1015" s="3">
        <v>18</v>
      </c>
      <c r="F1015" t="s">
        <v>19</v>
      </c>
      <c r="G1015" t="s">
        <v>71</v>
      </c>
      <c r="H1015" t="s">
        <v>21</v>
      </c>
      <c r="I1015" s="12">
        <v>0.67013888888888884</v>
      </c>
      <c r="J1015" t="s">
        <v>72</v>
      </c>
      <c r="K1015" t="s">
        <v>21</v>
      </c>
      <c r="L1015" s="12">
        <v>0.69791666666666663</v>
      </c>
      <c r="M1015" t="s">
        <v>63</v>
      </c>
      <c r="N1015" s="3">
        <v>232</v>
      </c>
      <c r="O1015" t="s">
        <v>24</v>
      </c>
      <c r="P1015" t="s">
        <v>56</v>
      </c>
      <c r="R1015">
        <f>tblDailySchedule[[#This Row],[Capacity Approx]]*'[1]Load Factor Sheet June Acft  '!$B$5</f>
        <v>187.86727272727273</v>
      </c>
      <c r="S1015">
        <f>tblDailySchedule[[#This Row],[Capacity Approx]]*'[1]Load Factor Sheet June Acft  '!$D$5</f>
        <v>203.4218181818182</v>
      </c>
      <c r="T1015" s="22">
        <f>tblDailySchedule[[#This Row],[STD]]</f>
        <v>0.69791666666666663</v>
      </c>
    </row>
    <row r="1016" spans="1:20" hidden="1" x14ac:dyDescent="0.35">
      <c r="A1016" s="11">
        <v>46146</v>
      </c>
      <c r="B1016" s="3">
        <v>1</v>
      </c>
      <c r="C1016" t="s">
        <v>100</v>
      </c>
      <c r="D1016" t="s">
        <v>18</v>
      </c>
      <c r="E1016" s="3">
        <v>19</v>
      </c>
      <c r="F1016" t="s">
        <v>19</v>
      </c>
      <c r="G1016" t="s">
        <v>73</v>
      </c>
      <c r="H1016" t="s">
        <v>27</v>
      </c>
      <c r="I1016" s="12">
        <v>0.74652777777777779</v>
      </c>
      <c r="J1016" t="s">
        <v>74</v>
      </c>
      <c r="K1016" t="s">
        <v>27</v>
      </c>
      <c r="L1016" s="12">
        <v>0.77430555555555558</v>
      </c>
      <c r="M1016" t="s">
        <v>63</v>
      </c>
      <c r="N1016" s="3">
        <v>232</v>
      </c>
      <c r="O1016" t="s">
        <v>24</v>
      </c>
      <c r="P1016" t="s">
        <v>56</v>
      </c>
      <c r="R1016">
        <f>tblDailySchedule[[#This Row],[Capacity Approx]]*'[1]Load Factor Sheet June Acft  '!$B$5</f>
        <v>187.86727272727273</v>
      </c>
      <c r="S1016">
        <f>tblDailySchedule[[#This Row],[Capacity Approx]]*'[1]Load Factor Sheet June Acft  '!$D$5</f>
        <v>203.4218181818182</v>
      </c>
      <c r="T1016" s="22">
        <f>tblDailySchedule[[#This Row],[STD]]</f>
        <v>0.77430555555555558</v>
      </c>
    </row>
    <row r="1017" spans="1:20" hidden="1" x14ac:dyDescent="0.35">
      <c r="A1017" s="11">
        <v>46146</v>
      </c>
      <c r="B1017" s="3">
        <v>1</v>
      </c>
      <c r="C1017" t="s">
        <v>100</v>
      </c>
      <c r="D1017" t="s">
        <v>18</v>
      </c>
      <c r="E1017" s="3">
        <v>20</v>
      </c>
      <c r="F1017" t="s">
        <v>34</v>
      </c>
      <c r="G1017" t="s">
        <v>75</v>
      </c>
      <c r="H1017" t="s">
        <v>76</v>
      </c>
      <c r="I1017" s="12">
        <v>0.76388888888888884</v>
      </c>
      <c r="J1017" t="s">
        <v>77</v>
      </c>
      <c r="K1017" t="s">
        <v>78</v>
      </c>
      <c r="L1017" s="12">
        <v>0.78472222222222221</v>
      </c>
      <c r="M1017" t="s">
        <v>51</v>
      </c>
      <c r="N1017" s="3">
        <v>78</v>
      </c>
      <c r="O1017" t="s">
        <v>24</v>
      </c>
      <c r="P1017" t="s">
        <v>79</v>
      </c>
      <c r="Q1017" s="16" t="s">
        <v>80</v>
      </c>
      <c r="R1017">
        <f>tblDailySchedule[[#This Row],[Capacity Approx]]*'[1]Load Factor Sheet June Acft  '!$B$5</f>
        <v>63.162272727272729</v>
      </c>
      <c r="S1017">
        <f>tblDailySchedule[[#This Row],[Capacity Approx]]*'[1]Load Factor Sheet June Acft  '!$D$5</f>
        <v>68.391818181818181</v>
      </c>
      <c r="T1017" s="22">
        <f>tblDailySchedule[[#This Row],[STD]]</f>
        <v>0.78472222222222221</v>
      </c>
    </row>
    <row r="1018" spans="1:20" hidden="1" x14ac:dyDescent="0.35">
      <c r="A1018" s="11">
        <v>46146</v>
      </c>
      <c r="B1018" s="3">
        <v>1</v>
      </c>
      <c r="C1018" t="s">
        <v>100</v>
      </c>
      <c r="D1018" t="s">
        <v>18</v>
      </c>
      <c r="E1018" s="3">
        <v>21</v>
      </c>
      <c r="F1018" t="s">
        <v>19</v>
      </c>
      <c r="G1018" t="s">
        <v>81</v>
      </c>
      <c r="H1018" t="s">
        <v>61</v>
      </c>
      <c r="I1018" s="12">
        <v>0.77083333333333337</v>
      </c>
      <c r="J1018" t="s">
        <v>82</v>
      </c>
      <c r="K1018" t="s">
        <v>49</v>
      </c>
      <c r="L1018" s="12">
        <v>0.79166666666666663</v>
      </c>
      <c r="M1018" t="s">
        <v>33</v>
      </c>
      <c r="N1018" s="3">
        <v>189</v>
      </c>
      <c r="O1018" t="s">
        <v>24</v>
      </c>
      <c r="P1018" t="s">
        <v>79</v>
      </c>
      <c r="R1018">
        <f>tblDailySchedule[[#This Row],[Capacity Approx]]*'[1]Load Factor Sheet June Acft  '!$B$5</f>
        <v>153.04704545454547</v>
      </c>
      <c r="S1018">
        <f>tblDailySchedule[[#This Row],[Capacity Approx]]*'[1]Load Factor Sheet June Acft  '!$D$5</f>
        <v>165.71863636363636</v>
      </c>
      <c r="T1018" s="22">
        <f>tblDailySchedule[[#This Row],[STD]]</f>
        <v>0.79166666666666663</v>
      </c>
    </row>
    <row r="1019" spans="1:20" hidden="1" x14ac:dyDescent="0.35">
      <c r="A1019" s="11">
        <v>46146</v>
      </c>
      <c r="B1019" s="3">
        <v>1</v>
      </c>
      <c r="C1019" t="s">
        <v>100</v>
      </c>
      <c r="D1019" t="s">
        <v>18</v>
      </c>
      <c r="E1019" s="3">
        <v>22</v>
      </c>
      <c r="F1019" t="s">
        <v>19</v>
      </c>
      <c r="G1019" t="s">
        <v>83</v>
      </c>
      <c r="H1019" t="s">
        <v>31</v>
      </c>
      <c r="I1019" s="12">
        <v>0.77777777777777779</v>
      </c>
      <c r="J1019" t="s">
        <v>84</v>
      </c>
      <c r="K1019" t="s">
        <v>31</v>
      </c>
      <c r="L1019" s="12">
        <v>0.80555555555555558</v>
      </c>
      <c r="M1019" t="s">
        <v>63</v>
      </c>
      <c r="N1019" s="3">
        <v>232</v>
      </c>
      <c r="O1019" t="s">
        <v>24</v>
      </c>
      <c r="P1019" t="s">
        <v>79</v>
      </c>
      <c r="R1019">
        <f>tblDailySchedule[[#This Row],[Capacity Approx]]*'[1]Load Factor Sheet June Acft  '!$B$5</f>
        <v>187.86727272727273</v>
      </c>
      <c r="S1019">
        <f>tblDailySchedule[[#This Row],[Capacity Approx]]*'[1]Load Factor Sheet June Acft  '!$D$5</f>
        <v>203.4218181818182</v>
      </c>
      <c r="T1019" s="22">
        <f>tblDailySchedule[[#This Row],[STD]]</f>
        <v>0.80555555555555558</v>
      </c>
    </row>
    <row r="1020" spans="1:20" hidden="1" x14ac:dyDescent="0.35">
      <c r="A1020" s="11">
        <v>46146</v>
      </c>
      <c r="B1020" s="3">
        <v>1</v>
      </c>
      <c r="C1020" t="s">
        <v>100</v>
      </c>
      <c r="D1020" t="s">
        <v>18</v>
      </c>
      <c r="E1020" s="3">
        <v>23</v>
      </c>
      <c r="F1020" t="s">
        <v>19</v>
      </c>
      <c r="G1020" t="s">
        <v>85</v>
      </c>
      <c r="H1020" t="s">
        <v>86</v>
      </c>
      <c r="I1020" s="12">
        <v>0.79861111111111116</v>
      </c>
      <c r="J1020" t="s">
        <v>87</v>
      </c>
      <c r="K1020" t="s">
        <v>86</v>
      </c>
      <c r="L1020" s="12">
        <v>0.82638888888888884</v>
      </c>
      <c r="M1020" t="s">
        <v>63</v>
      </c>
      <c r="N1020" s="3">
        <v>232</v>
      </c>
      <c r="O1020" t="s">
        <v>24</v>
      </c>
      <c r="P1020" t="s">
        <v>79</v>
      </c>
      <c r="R1020">
        <f>tblDailySchedule[[#This Row],[Capacity Approx]]*'[1]Load Factor Sheet June Acft  '!$B$5</f>
        <v>187.86727272727273</v>
      </c>
      <c r="S1020">
        <f>tblDailySchedule[[#This Row],[Capacity Approx]]*'[1]Load Factor Sheet June Acft  '!$D$5</f>
        <v>203.4218181818182</v>
      </c>
      <c r="T1020" s="22">
        <f>tblDailySchedule[[#This Row],[STD]]</f>
        <v>0.82638888888888884</v>
      </c>
    </row>
    <row r="1021" spans="1:20" hidden="1" x14ac:dyDescent="0.35">
      <c r="A1021" s="11">
        <v>46146</v>
      </c>
      <c r="B1021" s="3">
        <v>1</v>
      </c>
      <c r="C1021" t="s">
        <v>100</v>
      </c>
      <c r="D1021" t="s">
        <v>18</v>
      </c>
      <c r="E1021" s="3">
        <v>24</v>
      </c>
      <c r="F1021" t="s">
        <v>19</v>
      </c>
      <c r="G1021" t="s">
        <v>88</v>
      </c>
      <c r="H1021" t="s">
        <v>89</v>
      </c>
      <c r="I1021" s="12">
        <v>0.83333333333333337</v>
      </c>
      <c r="J1021" t="s">
        <v>90</v>
      </c>
      <c r="K1021" t="s">
        <v>31</v>
      </c>
      <c r="L1021" s="12">
        <v>0.86111111111111116</v>
      </c>
      <c r="M1021" t="s">
        <v>63</v>
      </c>
      <c r="N1021" s="3">
        <v>232</v>
      </c>
      <c r="O1021" t="s">
        <v>24</v>
      </c>
      <c r="P1021" t="s">
        <v>79</v>
      </c>
      <c r="R1021">
        <f>tblDailySchedule[[#This Row],[Capacity Approx]]*'[1]Load Factor Sheet June Acft  '!$B$5</f>
        <v>187.86727272727273</v>
      </c>
      <c r="S1021">
        <f>tblDailySchedule[[#This Row],[Capacity Approx]]*'[1]Load Factor Sheet June Acft  '!$D$5</f>
        <v>203.4218181818182</v>
      </c>
      <c r="T1021" s="22">
        <f>tblDailySchedule[[#This Row],[STD]]</f>
        <v>0.86111111111111116</v>
      </c>
    </row>
    <row r="1022" spans="1:20" hidden="1" x14ac:dyDescent="0.35">
      <c r="A1022" s="11">
        <v>46146</v>
      </c>
      <c r="B1022" s="3">
        <v>1</v>
      </c>
      <c r="C1022" t="s">
        <v>100</v>
      </c>
      <c r="D1022" t="s">
        <v>18</v>
      </c>
      <c r="E1022" s="3">
        <v>25</v>
      </c>
      <c r="F1022" t="s">
        <v>19</v>
      </c>
      <c r="G1022" t="s">
        <v>91</v>
      </c>
      <c r="H1022" t="s">
        <v>61</v>
      </c>
      <c r="I1022" s="12">
        <v>0.85416666666666663</v>
      </c>
      <c r="J1022" t="s">
        <v>92</v>
      </c>
      <c r="K1022" t="s">
        <v>61</v>
      </c>
      <c r="L1022" s="12">
        <v>0.88194444444444442</v>
      </c>
      <c r="M1022" t="s">
        <v>63</v>
      </c>
      <c r="N1022" s="3">
        <v>232</v>
      </c>
      <c r="O1022" t="s">
        <v>24</v>
      </c>
      <c r="P1022" t="s">
        <v>79</v>
      </c>
      <c r="R1022">
        <f>tblDailySchedule[[#This Row],[Capacity Approx]]*'[1]Load Factor Sheet June Acft  '!$B$5</f>
        <v>187.86727272727273</v>
      </c>
      <c r="S1022">
        <f>tblDailySchedule[[#This Row],[Capacity Approx]]*'[1]Load Factor Sheet June Acft  '!$D$5</f>
        <v>203.4218181818182</v>
      </c>
      <c r="T1022" s="22">
        <f>tblDailySchedule[[#This Row],[STD]]</f>
        <v>0.88194444444444442</v>
      </c>
    </row>
    <row r="1023" spans="1:20" hidden="1" x14ac:dyDescent="0.35">
      <c r="A1023" s="11">
        <v>46146</v>
      </c>
      <c r="B1023" s="3">
        <v>1</v>
      </c>
      <c r="C1023" t="s">
        <v>100</v>
      </c>
      <c r="D1023" t="s">
        <v>18</v>
      </c>
      <c r="E1023" s="3">
        <v>26</v>
      </c>
      <c r="F1023" t="s">
        <v>19</v>
      </c>
      <c r="G1023" t="s">
        <v>93</v>
      </c>
      <c r="H1023" t="s">
        <v>31</v>
      </c>
      <c r="I1023" s="12">
        <v>0.86111111111111116</v>
      </c>
      <c r="J1023" t="s">
        <v>94</v>
      </c>
      <c r="K1023" t="s">
        <v>31</v>
      </c>
      <c r="L1023" s="12">
        <v>0.88888888888888884</v>
      </c>
      <c r="M1023" t="s">
        <v>23</v>
      </c>
      <c r="N1023" s="3">
        <v>186</v>
      </c>
      <c r="O1023" t="s">
        <v>24</v>
      </c>
      <c r="P1023" t="s">
        <v>79</v>
      </c>
      <c r="R1023">
        <f>tblDailySchedule[[#This Row],[Capacity Approx]]*'[1]Load Factor Sheet June Acft  '!$B$5</f>
        <v>150.61772727272728</v>
      </c>
      <c r="S1023">
        <f>tblDailySchedule[[#This Row],[Capacity Approx]]*'[1]Load Factor Sheet June Acft  '!$D$5</f>
        <v>163.08818181818182</v>
      </c>
      <c r="T1023" s="22">
        <f>tblDailySchedule[[#This Row],[STD]]</f>
        <v>0.88888888888888884</v>
      </c>
    </row>
    <row r="1024" spans="1:20" hidden="1" x14ac:dyDescent="0.35">
      <c r="A1024" s="11">
        <v>46146</v>
      </c>
      <c r="B1024" s="3">
        <v>1</v>
      </c>
      <c r="C1024" t="s">
        <v>100</v>
      </c>
      <c r="D1024" t="s">
        <v>18</v>
      </c>
      <c r="E1024" s="3">
        <v>27</v>
      </c>
      <c r="F1024" t="s">
        <v>19</v>
      </c>
      <c r="G1024" t="s">
        <v>95</v>
      </c>
      <c r="H1024" t="s">
        <v>21</v>
      </c>
      <c r="I1024" s="12">
        <v>0.86805555555555558</v>
      </c>
      <c r="J1024" t="s">
        <v>96</v>
      </c>
      <c r="K1024" t="s">
        <v>21</v>
      </c>
      <c r="L1024" s="12">
        <v>0.89583333333333337</v>
      </c>
      <c r="M1024" t="s">
        <v>29</v>
      </c>
      <c r="N1024" s="3">
        <v>186</v>
      </c>
      <c r="O1024" t="s">
        <v>24</v>
      </c>
      <c r="P1024" t="s">
        <v>79</v>
      </c>
      <c r="R1024">
        <f>tblDailySchedule[[#This Row],[Capacity Approx]]*'[1]Load Factor Sheet June Acft  '!$B$5</f>
        <v>150.61772727272728</v>
      </c>
      <c r="S1024">
        <f>tblDailySchedule[[#This Row],[Capacity Approx]]*'[1]Load Factor Sheet June Acft  '!$D$5</f>
        <v>163.08818181818182</v>
      </c>
      <c r="T1024" s="22">
        <f>tblDailySchedule[[#This Row],[STD]]</f>
        <v>0.89583333333333337</v>
      </c>
    </row>
    <row r="1025" spans="1:20" hidden="1" x14ac:dyDescent="0.35">
      <c r="A1025" s="11">
        <v>46146</v>
      </c>
      <c r="B1025" s="3">
        <v>1</v>
      </c>
      <c r="C1025" t="s">
        <v>100</v>
      </c>
      <c r="D1025" t="s">
        <v>18</v>
      </c>
      <c r="E1025" s="3">
        <v>28</v>
      </c>
      <c r="F1025" t="s">
        <v>19</v>
      </c>
      <c r="G1025" t="s">
        <v>97</v>
      </c>
      <c r="H1025" t="s">
        <v>49</v>
      </c>
      <c r="I1025" s="12">
        <v>0.90277777777777779</v>
      </c>
      <c r="J1025" t="s">
        <v>97</v>
      </c>
      <c r="K1025" t="s">
        <v>61</v>
      </c>
      <c r="L1025" s="12">
        <v>0.92361111111111116</v>
      </c>
      <c r="M1025" t="s">
        <v>33</v>
      </c>
      <c r="N1025" s="3">
        <v>189</v>
      </c>
      <c r="O1025" t="s">
        <v>24</v>
      </c>
      <c r="P1025" t="s">
        <v>79</v>
      </c>
      <c r="R1025">
        <f>tblDailySchedule[[#This Row],[Capacity Approx]]*'[1]Load Factor Sheet June Acft  '!$B$5</f>
        <v>153.04704545454547</v>
      </c>
      <c r="S1025">
        <f>tblDailySchedule[[#This Row],[Capacity Approx]]*'[1]Load Factor Sheet June Acft  '!$D$5</f>
        <v>165.71863636363636</v>
      </c>
      <c r="T1025" s="22">
        <f>tblDailySchedule[[#This Row],[STD]]</f>
        <v>0.92361111111111116</v>
      </c>
    </row>
    <row r="1026" spans="1:20" hidden="1" x14ac:dyDescent="0.35">
      <c r="A1026" s="11">
        <v>46146</v>
      </c>
      <c r="B1026" s="3">
        <v>1</v>
      </c>
      <c r="C1026" t="s">
        <v>100</v>
      </c>
      <c r="D1026" t="s">
        <v>18</v>
      </c>
      <c r="E1026" s="3">
        <v>29</v>
      </c>
      <c r="F1026" t="s">
        <v>19</v>
      </c>
      <c r="G1026" t="s">
        <v>98</v>
      </c>
      <c r="H1026" t="s">
        <v>21</v>
      </c>
      <c r="I1026" s="12">
        <v>0.92013888888888884</v>
      </c>
      <c r="J1026" t="s">
        <v>99</v>
      </c>
      <c r="K1026" t="s">
        <v>21</v>
      </c>
      <c r="L1026" s="12">
        <v>0.94791666666666663</v>
      </c>
      <c r="M1026" t="s">
        <v>63</v>
      </c>
      <c r="N1026" s="3">
        <v>232</v>
      </c>
      <c r="O1026" t="s">
        <v>24</v>
      </c>
      <c r="P1026" t="s">
        <v>79</v>
      </c>
      <c r="R1026">
        <f>tblDailySchedule[[#This Row],[Capacity Approx]]*'[1]Load Factor Sheet June Acft  '!$B$5</f>
        <v>187.86727272727273</v>
      </c>
      <c r="S1026">
        <f>tblDailySchedule[[#This Row],[Capacity Approx]]*'[1]Load Factor Sheet June Acft  '!$D$5</f>
        <v>203.4218181818182</v>
      </c>
      <c r="T1026" s="22">
        <f>tblDailySchedule[[#This Row],[STD]]</f>
        <v>0.94791666666666663</v>
      </c>
    </row>
    <row r="1027" spans="1:20" hidden="1" x14ac:dyDescent="0.35">
      <c r="A1027" s="13">
        <v>46146</v>
      </c>
      <c r="B1027" s="7">
        <v>1</v>
      </c>
      <c r="C1027" s="14" t="s">
        <v>100</v>
      </c>
      <c r="D1027" s="14" t="s">
        <v>18</v>
      </c>
      <c r="E1027" s="7">
        <v>30</v>
      </c>
      <c r="F1027" s="14" t="s">
        <v>104</v>
      </c>
      <c r="G1027" s="14" t="s">
        <v>105</v>
      </c>
      <c r="H1027" s="14" t="s">
        <v>106</v>
      </c>
      <c r="I1027" s="15">
        <v>0.92708333333333337</v>
      </c>
      <c r="J1027" s="14" t="s">
        <v>107</v>
      </c>
      <c r="K1027" s="14" t="s">
        <v>106</v>
      </c>
      <c r="L1027" s="15">
        <v>0.95833333333333337</v>
      </c>
      <c r="M1027" s="14" t="s">
        <v>38</v>
      </c>
      <c r="N1027" s="7">
        <v>186</v>
      </c>
      <c r="O1027" s="14" t="s">
        <v>39</v>
      </c>
      <c r="P1027" s="14" t="s">
        <v>79</v>
      </c>
      <c r="Q1027" s="14" t="s">
        <v>39</v>
      </c>
      <c r="R1027">
        <f>tblDailySchedule[[#This Row],[Capacity Approx]]*'[1]Load Factor Sheet June Acft  '!$B$5</f>
        <v>150.61772727272728</v>
      </c>
      <c r="S1027">
        <f>tblDailySchedule[[#This Row],[Capacity Approx]]*'[1]Load Factor Sheet June Acft  '!$D$5</f>
        <v>163.08818181818182</v>
      </c>
      <c r="T1027" s="22">
        <f>tblDailySchedule[[#This Row],[STD]]</f>
        <v>0.95833333333333337</v>
      </c>
    </row>
    <row r="1028" spans="1:20" hidden="1" x14ac:dyDescent="0.35">
      <c r="A1028" s="11">
        <v>46147</v>
      </c>
      <c r="B1028" s="3">
        <v>2</v>
      </c>
      <c r="C1028" t="s">
        <v>108</v>
      </c>
      <c r="D1028" t="s">
        <v>18</v>
      </c>
      <c r="E1028" s="3">
        <v>1</v>
      </c>
      <c r="F1028" t="s">
        <v>101</v>
      </c>
      <c r="G1028" t="s">
        <v>102</v>
      </c>
      <c r="H1028" t="s">
        <v>61</v>
      </c>
      <c r="I1028" s="12">
        <v>0.3125</v>
      </c>
      <c r="J1028" t="s">
        <v>103</v>
      </c>
      <c r="K1028" t="s">
        <v>61</v>
      </c>
      <c r="L1028" s="12">
        <v>0.33333333333333331</v>
      </c>
      <c r="M1028" t="s">
        <v>33</v>
      </c>
      <c r="N1028" s="3">
        <v>189</v>
      </c>
      <c r="O1028" t="s">
        <v>24</v>
      </c>
      <c r="P1028" t="s">
        <v>25</v>
      </c>
      <c r="R1028">
        <f>tblDailySchedule[[#This Row],[Capacity Approx]]*'[1]Load Factor Sheet June Acft  '!$B$5</f>
        <v>153.04704545454547</v>
      </c>
      <c r="S1028">
        <f>tblDailySchedule[[#This Row],[Capacity Approx]]*'[1]Load Factor Sheet June Acft  '!$D$5</f>
        <v>165.71863636363636</v>
      </c>
      <c r="T1028" s="22">
        <f>tblDailySchedule[[#This Row],[STD]]</f>
        <v>0.33333333333333331</v>
      </c>
    </row>
    <row r="1029" spans="1:20" hidden="1" x14ac:dyDescent="0.35">
      <c r="A1029" s="11">
        <v>46147</v>
      </c>
      <c r="B1029" s="3">
        <v>2</v>
      </c>
      <c r="C1029" t="s">
        <v>108</v>
      </c>
      <c r="D1029" t="s">
        <v>18</v>
      </c>
      <c r="E1029" s="3">
        <v>2</v>
      </c>
      <c r="F1029" t="s">
        <v>19</v>
      </c>
      <c r="G1029" t="s">
        <v>20</v>
      </c>
      <c r="H1029" t="s">
        <v>21</v>
      </c>
      <c r="I1029" s="12">
        <v>0.31944444444444442</v>
      </c>
      <c r="J1029" t="s">
        <v>22</v>
      </c>
      <c r="K1029" t="s">
        <v>21</v>
      </c>
      <c r="L1029" s="12">
        <v>0.34722222222222221</v>
      </c>
      <c r="M1029" t="s">
        <v>23</v>
      </c>
      <c r="N1029" s="3">
        <v>186</v>
      </c>
      <c r="O1029" t="s">
        <v>24</v>
      </c>
      <c r="P1029" t="s">
        <v>25</v>
      </c>
      <c r="R1029">
        <f>tblDailySchedule[[#This Row],[Capacity Approx]]*'[1]Load Factor Sheet June Acft  '!$B$5</f>
        <v>150.61772727272728</v>
      </c>
      <c r="S1029">
        <f>tblDailySchedule[[#This Row],[Capacity Approx]]*'[1]Load Factor Sheet June Acft  '!$D$5</f>
        <v>163.08818181818182</v>
      </c>
      <c r="T1029" s="22">
        <f>tblDailySchedule[[#This Row],[STD]]</f>
        <v>0.34722222222222221</v>
      </c>
    </row>
    <row r="1030" spans="1:20" hidden="1" x14ac:dyDescent="0.35">
      <c r="A1030" s="11">
        <v>46147</v>
      </c>
      <c r="B1030" s="3">
        <v>2</v>
      </c>
      <c r="C1030" t="s">
        <v>108</v>
      </c>
      <c r="D1030" t="s">
        <v>18</v>
      </c>
      <c r="E1030" s="3">
        <v>3</v>
      </c>
      <c r="F1030" t="s">
        <v>19</v>
      </c>
      <c r="G1030" t="s">
        <v>26</v>
      </c>
      <c r="H1030" t="s">
        <v>27</v>
      </c>
      <c r="I1030" s="12">
        <v>0.3263888888888889</v>
      </c>
      <c r="J1030" t="s">
        <v>28</v>
      </c>
      <c r="K1030" t="s">
        <v>27</v>
      </c>
      <c r="L1030" s="12">
        <v>0.35416666666666669</v>
      </c>
      <c r="M1030" t="s">
        <v>29</v>
      </c>
      <c r="N1030" s="3">
        <v>186</v>
      </c>
      <c r="O1030" t="s">
        <v>24</v>
      </c>
      <c r="P1030" t="s">
        <v>25</v>
      </c>
      <c r="R1030">
        <f>tblDailySchedule[[#This Row],[Capacity Approx]]*'[1]Load Factor Sheet June Acft  '!$B$5</f>
        <v>150.61772727272728</v>
      </c>
      <c r="S1030">
        <f>tblDailySchedule[[#This Row],[Capacity Approx]]*'[1]Load Factor Sheet June Acft  '!$D$5</f>
        <v>163.08818181818182</v>
      </c>
      <c r="T1030" s="22">
        <f>tblDailySchedule[[#This Row],[STD]]</f>
        <v>0.35416666666666669</v>
      </c>
    </row>
    <row r="1031" spans="1:20" hidden="1" x14ac:dyDescent="0.35">
      <c r="A1031" s="11">
        <v>46147</v>
      </c>
      <c r="B1031" s="3">
        <v>2</v>
      </c>
      <c r="C1031" t="s">
        <v>108</v>
      </c>
      <c r="D1031" t="s">
        <v>18</v>
      </c>
      <c r="E1031" s="3">
        <v>4</v>
      </c>
      <c r="F1031" t="s">
        <v>19</v>
      </c>
      <c r="G1031" t="s">
        <v>30</v>
      </c>
      <c r="H1031" t="s">
        <v>31</v>
      </c>
      <c r="I1031" s="12">
        <v>0.34722222222222221</v>
      </c>
      <c r="J1031" t="s">
        <v>32</v>
      </c>
      <c r="K1031" t="s">
        <v>31</v>
      </c>
      <c r="L1031" s="12">
        <v>0.36805555555555558</v>
      </c>
      <c r="M1031" t="s">
        <v>33</v>
      </c>
      <c r="N1031" s="3">
        <v>189</v>
      </c>
      <c r="O1031" t="s">
        <v>24</v>
      </c>
      <c r="P1031" t="s">
        <v>25</v>
      </c>
      <c r="R1031">
        <f>tblDailySchedule[[#This Row],[Capacity Approx]]*'[1]Load Factor Sheet June Acft  '!$B$5</f>
        <v>153.04704545454547</v>
      </c>
      <c r="S1031">
        <f>tblDailySchedule[[#This Row],[Capacity Approx]]*'[1]Load Factor Sheet June Acft  '!$D$5</f>
        <v>165.71863636363636</v>
      </c>
      <c r="T1031" s="22">
        <f>tblDailySchedule[[#This Row],[STD]]</f>
        <v>0.36805555555555558</v>
      </c>
    </row>
    <row r="1032" spans="1:20" hidden="1" x14ac:dyDescent="0.35">
      <c r="A1032" s="11">
        <v>46147</v>
      </c>
      <c r="B1032" s="3">
        <v>2</v>
      </c>
      <c r="C1032" t="s">
        <v>108</v>
      </c>
      <c r="D1032" t="s">
        <v>18</v>
      </c>
      <c r="E1032" s="3">
        <v>5</v>
      </c>
      <c r="F1032" t="s">
        <v>19</v>
      </c>
      <c r="G1032" t="s">
        <v>40</v>
      </c>
      <c r="H1032" t="s">
        <v>31</v>
      </c>
      <c r="I1032" s="12">
        <v>0.35069444444444442</v>
      </c>
      <c r="J1032" t="s">
        <v>41</v>
      </c>
      <c r="K1032" t="s">
        <v>31</v>
      </c>
      <c r="L1032" s="12">
        <v>0.37152777777777779</v>
      </c>
      <c r="M1032" t="s">
        <v>23</v>
      </c>
      <c r="N1032" s="3">
        <v>186</v>
      </c>
      <c r="O1032" t="s">
        <v>24</v>
      </c>
      <c r="P1032" t="s">
        <v>25</v>
      </c>
      <c r="R1032">
        <f>tblDailySchedule[[#This Row],[Capacity Approx]]*'[1]Load Factor Sheet June Acft  '!$B$5</f>
        <v>150.61772727272728</v>
      </c>
      <c r="S1032">
        <f>tblDailySchedule[[#This Row],[Capacity Approx]]*'[1]Load Factor Sheet June Acft  '!$D$5</f>
        <v>163.08818181818182</v>
      </c>
      <c r="T1032" s="22">
        <f>tblDailySchedule[[#This Row],[STD]]</f>
        <v>0.37152777777777779</v>
      </c>
    </row>
    <row r="1033" spans="1:20" hidden="1" x14ac:dyDescent="0.35">
      <c r="A1033" s="11">
        <v>46147</v>
      </c>
      <c r="B1033" s="3">
        <v>2</v>
      </c>
      <c r="C1033" t="s">
        <v>108</v>
      </c>
      <c r="D1033" t="s">
        <v>18</v>
      </c>
      <c r="E1033" s="3">
        <v>7</v>
      </c>
      <c r="F1033" t="s">
        <v>19</v>
      </c>
      <c r="G1033" t="s">
        <v>42</v>
      </c>
      <c r="H1033" t="s">
        <v>43</v>
      </c>
      <c r="I1033" s="12">
        <v>0.3923611111111111</v>
      </c>
      <c r="J1033" t="s">
        <v>44</v>
      </c>
      <c r="K1033" t="s">
        <v>43</v>
      </c>
      <c r="L1033" s="12">
        <v>0.40277777777777779</v>
      </c>
      <c r="M1033" t="s">
        <v>45</v>
      </c>
      <c r="N1033" s="3">
        <v>9</v>
      </c>
      <c r="O1033" t="s">
        <v>24</v>
      </c>
      <c r="P1033" t="s">
        <v>25</v>
      </c>
      <c r="R1033">
        <f>tblDailySchedule[[#This Row],[Capacity Approx]]*'[1]Load Factor Sheet June Acft  '!$B$5</f>
        <v>7.2879545454545456</v>
      </c>
      <c r="S1033">
        <f>tblDailySchedule[[#This Row],[Capacity Approx]]*'[1]Load Factor Sheet June Acft  '!$D$5</f>
        <v>7.8913636363636366</v>
      </c>
      <c r="T1033" s="22">
        <f>tblDailySchedule[[#This Row],[STD]]</f>
        <v>0.40277777777777779</v>
      </c>
    </row>
    <row r="1034" spans="1:20" hidden="1" x14ac:dyDescent="0.35">
      <c r="A1034" s="11">
        <v>46147</v>
      </c>
      <c r="B1034" s="3">
        <v>2</v>
      </c>
      <c r="C1034" t="s">
        <v>108</v>
      </c>
      <c r="D1034" t="s">
        <v>18</v>
      </c>
      <c r="E1034" s="3">
        <v>8</v>
      </c>
      <c r="F1034" t="s">
        <v>19</v>
      </c>
      <c r="G1034" t="s">
        <v>46</v>
      </c>
      <c r="H1034" t="s">
        <v>31</v>
      </c>
      <c r="I1034" s="12">
        <v>0.4201388888888889</v>
      </c>
      <c r="J1034" t="s">
        <v>47</v>
      </c>
      <c r="K1034" t="s">
        <v>31</v>
      </c>
      <c r="L1034" s="12">
        <v>0.44444444444444442</v>
      </c>
      <c r="M1034" t="s">
        <v>29</v>
      </c>
      <c r="N1034" s="3">
        <v>186</v>
      </c>
      <c r="O1034" t="s">
        <v>24</v>
      </c>
      <c r="P1034" t="s">
        <v>25</v>
      </c>
      <c r="R1034">
        <f>tblDailySchedule[[#This Row],[Capacity Approx]]*'[1]Load Factor Sheet June Acft  '!$B$5</f>
        <v>150.61772727272728</v>
      </c>
      <c r="S1034">
        <f>tblDailySchedule[[#This Row],[Capacity Approx]]*'[1]Load Factor Sheet June Acft  '!$D$5</f>
        <v>163.08818181818182</v>
      </c>
      <c r="T1034" s="22">
        <f>tblDailySchedule[[#This Row],[STD]]</f>
        <v>0.44444444444444442</v>
      </c>
    </row>
    <row r="1035" spans="1:20" hidden="1" x14ac:dyDescent="0.35">
      <c r="A1035" s="11">
        <v>46147</v>
      </c>
      <c r="B1035" s="3">
        <v>2</v>
      </c>
      <c r="C1035" t="s">
        <v>108</v>
      </c>
      <c r="D1035" t="s">
        <v>18</v>
      </c>
      <c r="E1035" s="3">
        <v>9</v>
      </c>
      <c r="F1035" t="s">
        <v>19</v>
      </c>
      <c r="G1035" t="s">
        <v>48</v>
      </c>
      <c r="H1035" t="s">
        <v>49</v>
      </c>
      <c r="I1035" s="12">
        <v>0.4375</v>
      </c>
      <c r="J1035" t="s">
        <v>50</v>
      </c>
      <c r="K1035" t="s">
        <v>49</v>
      </c>
      <c r="L1035" s="12">
        <v>0.45833333333333331</v>
      </c>
      <c r="M1035" t="s">
        <v>51</v>
      </c>
      <c r="N1035" s="3">
        <v>78</v>
      </c>
      <c r="O1035" t="s">
        <v>24</v>
      </c>
      <c r="P1035" t="s">
        <v>25</v>
      </c>
      <c r="R1035">
        <f>tblDailySchedule[[#This Row],[Capacity Approx]]*'[1]Load Factor Sheet June Acft  '!$B$5</f>
        <v>63.162272727272729</v>
      </c>
      <c r="S1035">
        <f>tblDailySchedule[[#This Row],[Capacity Approx]]*'[1]Load Factor Sheet June Acft  '!$D$5</f>
        <v>68.391818181818181</v>
      </c>
      <c r="T1035" s="22">
        <f>tblDailySchedule[[#This Row],[STD]]</f>
        <v>0.45833333333333331</v>
      </c>
    </row>
    <row r="1036" spans="1:20" hidden="1" x14ac:dyDescent="0.35">
      <c r="A1036" s="11">
        <v>46147</v>
      </c>
      <c r="B1036" s="3">
        <v>2</v>
      </c>
      <c r="C1036" t="s">
        <v>108</v>
      </c>
      <c r="D1036" t="s">
        <v>18</v>
      </c>
      <c r="E1036" s="3">
        <v>10</v>
      </c>
      <c r="F1036" t="s">
        <v>19</v>
      </c>
      <c r="G1036" t="s">
        <v>52</v>
      </c>
      <c r="H1036" t="s">
        <v>27</v>
      </c>
      <c r="I1036" s="12">
        <v>0.4826388888888889</v>
      </c>
      <c r="J1036" t="s">
        <v>53</v>
      </c>
      <c r="K1036" t="s">
        <v>27</v>
      </c>
      <c r="L1036" s="12">
        <v>0.51041666666666663</v>
      </c>
      <c r="M1036" t="s">
        <v>23</v>
      </c>
      <c r="N1036" s="3">
        <v>186</v>
      </c>
      <c r="O1036" t="s">
        <v>24</v>
      </c>
      <c r="P1036" t="s">
        <v>25</v>
      </c>
      <c r="R1036">
        <f>tblDailySchedule[[#This Row],[Capacity Approx]]*'[1]Load Factor Sheet June Acft  '!$B$5</f>
        <v>150.61772727272728</v>
      </c>
      <c r="S1036">
        <f>tblDailySchedule[[#This Row],[Capacity Approx]]*'[1]Load Factor Sheet June Acft  '!$D$5</f>
        <v>163.08818181818182</v>
      </c>
      <c r="T1036" s="22">
        <f>tblDailySchedule[[#This Row],[STD]]</f>
        <v>0.51041666666666663</v>
      </c>
    </row>
    <row r="1037" spans="1:20" hidden="1" x14ac:dyDescent="0.35">
      <c r="A1037" s="11">
        <v>46147</v>
      </c>
      <c r="B1037" s="3">
        <v>2</v>
      </c>
      <c r="C1037" t="s">
        <v>108</v>
      </c>
      <c r="D1037" t="s">
        <v>18</v>
      </c>
      <c r="E1037" s="3">
        <v>11</v>
      </c>
      <c r="F1037" t="s">
        <v>19</v>
      </c>
      <c r="G1037" t="s">
        <v>54</v>
      </c>
      <c r="H1037" t="s">
        <v>31</v>
      </c>
      <c r="I1037" s="12">
        <v>0.51388888888888884</v>
      </c>
      <c r="J1037" t="s">
        <v>55</v>
      </c>
      <c r="K1037" t="s">
        <v>31</v>
      </c>
      <c r="L1037" s="12">
        <v>0.54166666666666663</v>
      </c>
      <c r="M1037" t="s">
        <v>23</v>
      </c>
      <c r="N1037" s="3">
        <v>186</v>
      </c>
      <c r="O1037" t="s">
        <v>24</v>
      </c>
      <c r="P1037" t="s">
        <v>56</v>
      </c>
      <c r="R1037">
        <f>tblDailySchedule[[#This Row],[Capacity Approx]]*'[1]Load Factor Sheet June Acft  '!$B$5</f>
        <v>150.61772727272728</v>
      </c>
      <c r="S1037">
        <f>tblDailySchedule[[#This Row],[Capacity Approx]]*'[1]Load Factor Sheet June Acft  '!$D$5</f>
        <v>163.08818181818182</v>
      </c>
      <c r="T1037" s="22">
        <f>tblDailySchedule[[#This Row],[STD]]</f>
        <v>0.54166666666666663</v>
      </c>
    </row>
    <row r="1038" spans="1:20" hidden="1" x14ac:dyDescent="0.35">
      <c r="A1038" s="11">
        <v>46147</v>
      </c>
      <c r="B1038" s="3">
        <v>2</v>
      </c>
      <c r="C1038" t="s">
        <v>108</v>
      </c>
      <c r="D1038" t="s">
        <v>18</v>
      </c>
      <c r="E1038" s="3">
        <v>12</v>
      </c>
      <c r="F1038" t="s">
        <v>109</v>
      </c>
      <c r="G1038" t="s">
        <v>110</v>
      </c>
      <c r="H1038" t="s">
        <v>111</v>
      </c>
      <c r="I1038" s="12">
        <v>0.55555555555555558</v>
      </c>
      <c r="J1038" t="s">
        <v>112</v>
      </c>
      <c r="K1038" t="s">
        <v>111</v>
      </c>
      <c r="L1038" s="12">
        <v>0.56944444444444442</v>
      </c>
      <c r="M1038" t="s">
        <v>51</v>
      </c>
      <c r="N1038" s="3">
        <v>78</v>
      </c>
      <c r="O1038" t="s">
        <v>24</v>
      </c>
      <c r="P1038" t="s">
        <v>56</v>
      </c>
      <c r="R1038">
        <f>tblDailySchedule[[#This Row],[Capacity Approx]]*'[1]Load Factor Sheet June Acft  '!$B$5</f>
        <v>63.162272727272729</v>
      </c>
      <c r="S1038">
        <f>tblDailySchedule[[#This Row],[Capacity Approx]]*'[1]Load Factor Sheet June Acft  '!$D$5</f>
        <v>68.391818181818181</v>
      </c>
      <c r="T1038" s="22">
        <f>tblDailySchedule[[#This Row],[STD]]</f>
        <v>0.56944444444444442</v>
      </c>
    </row>
    <row r="1039" spans="1:20" hidden="1" x14ac:dyDescent="0.35">
      <c r="A1039" s="11">
        <v>46147</v>
      </c>
      <c r="B1039" s="3">
        <v>2</v>
      </c>
      <c r="C1039" t="s">
        <v>108</v>
      </c>
      <c r="D1039" t="s">
        <v>18</v>
      </c>
      <c r="E1039" s="3">
        <v>13</v>
      </c>
      <c r="F1039" t="s">
        <v>19</v>
      </c>
      <c r="G1039" t="s">
        <v>57</v>
      </c>
      <c r="H1039" t="s">
        <v>58</v>
      </c>
      <c r="I1039" s="12">
        <v>0.55902777777777779</v>
      </c>
      <c r="J1039" t="s">
        <v>59</v>
      </c>
      <c r="K1039" t="s">
        <v>58</v>
      </c>
      <c r="L1039" s="12">
        <v>0.57638888888888884</v>
      </c>
      <c r="M1039" t="s">
        <v>51</v>
      </c>
      <c r="N1039" s="3">
        <v>78</v>
      </c>
      <c r="O1039" t="s">
        <v>24</v>
      </c>
      <c r="P1039" t="s">
        <v>56</v>
      </c>
      <c r="R1039">
        <f>tblDailySchedule[[#This Row],[Capacity Approx]]*'[1]Load Factor Sheet June Acft  '!$B$5</f>
        <v>63.162272727272729</v>
      </c>
      <c r="S1039">
        <f>tblDailySchedule[[#This Row],[Capacity Approx]]*'[1]Load Factor Sheet June Acft  '!$D$5</f>
        <v>68.391818181818181</v>
      </c>
      <c r="T1039" s="22">
        <f>tblDailySchedule[[#This Row],[STD]]</f>
        <v>0.57638888888888884</v>
      </c>
    </row>
    <row r="1040" spans="1:20" hidden="1" x14ac:dyDescent="0.35">
      <c r="A1040" s="11">
        <v>46147</v>
      </c>
      <c r="B1040" s="3">
        <v>2</v>
      </c>
      <c r="C1040" t="s">
        <v>108</v>
      </c>
      <c r="D1040" t="s">
        <v>18</v>
      </c>
      <c r="E1040" s="3">
        <v>14</v>
      </c>
      <c r="F1040" t="s">
        <v>19</v>
      </c>
      <c r="G1040" t="s">
        <v>60</v>
      </c>
      <c r="H1040" t="s">
        <v>61</v>
      </c>
      <c r="I1040" s="12">
        <v>0.59027777777777779</v>
      </c>
      <c r="J1040" t="s">
        <v>62</v>
      </c>
      <c r="K1040" t="s">
        <v>61</v>
      </c>
      <c r="L1040" s="12">
        <v>0.62152777777777779</v>
      </c>
      <c r="M1040" t="s">
        <v>63</v>
      </c>
      <c r="N1040" s="3">
        <v>232</v>
      </c>
      <c r="O1040" t="s">
        <v>24</v>
      </c>
      <c r="P1040" t="s">
        <v>56</v>
      </c>
      <c r="R1040">
        <f>tblDailySchedule[[#This Row],[Capacity Approx]]*'[1]Load Factor Sheet June Acft  '!$B$5</f>
        <v>187.86727272727273</v>
      </c>
      <c r="S1040">
        <f>tblDailySchedule[[#This Row],[Capacity Approx]]*'[1]Load Factor Sheet June Acft  '!$D$5</f>
        <v>203.4218181818182</v>
      </c>
      <c r="T1040" s="22">
        <f>tblDailySchedule[[#This Row],[STD]]</f>
        <v>0.62152777777777779</v>
      </c>
    </row>
    <row r="1041" spans="1:20" hidden="1" x14ac:dyDescent="0.35">
      <c r="A1041" s="11">
        <v>46147</v>
      </c>
      <c r="B1041" s="3">
        <v>2</v>
      </c>
      <c r="C1041" t="s">
        <v>108</v>
      </c>
      <c r="D1041" t="s">
        <v>18</v>
      </c>
      <c r="E1041" s="3">
        <v>15</v>
      </c>
      <c r="F1041" t="s">
        <v>19</v>
      </c>
      <c r="G1041" t="s">
        <v>64</v>
      </c>
      <c r="H1041" t="s">
        <v>31</v>
      </c>
      <c r="I1041" s="12">
        <v>0.60069444444444442</v>
      </c>
      <c r="J1041" t="s">
        <v>65</v>
      </c>
      <c r="K1041" t="s">
        <v>66</v>
      </c>
      <c r="L1041" s="12">
        <v>0.62847222222222221</v>
      </c>
      <c r="M1041" t="s">
        <v>63</v>
      </c>
      <c r="N1041" s="3">
        <v>232</v>
      </c>
      <c r="O1041" t="s">
        <v>24</v>
      </c>
      <c r="P1041" t="s">
        <v>56</v>
      </c>
      <c r="R1041">
        <f>tblDailySchedule[[#This Row],[Capacity Approx]]*'[1]Load Factor Sheet June Acft  '!$B$5</f>
        <v>187.86727272727273</v>
      </c>
      <c r="S1041">
        <f>tblDailySchedule[[#This Row],[Capacity Approx]]*'[1]Load Factor Sheet June Acft  '!$D$5</f>
        <v>203.4218181818182</v>
      </c>
      <c r="T1041" s="22">
        <f>tblDailySchedule[[#This Row],[STD]]</f>
        <v>0.62847222222222221</v>
      </c>
    </row>
    <row r="1042" spans="1:20" hidden="1" x14ac:dyDescent="0.35">
      <c r="A1042" s="11">
        <v>46147</v>
      </c>
      <c r="B1042" s="3">
        <v>2</v>
      </c>
      <c r="C1042" t="s">
        <v>108</v>
      </c>
      <c r="D1042" t="s">
        <v>18</v>
      </c>
      <c r="E1042" s="3">
        <v>16</v>
      </c>
      <c r="F1042" t="s">
        <v>19</v>
      </c>
      <c r="G1042" t="s">
        <v>67</v>
      </c>
      <c r="H1042" t="s">
        <v>31</v>
      </c>
      <c r="I1042" s="12">
        <v>0.65625</v>
      </c>
      <c r="J1042" t="s">
        <v>68</v>
      </c>
      <c r="K1042" t="s">
        <v>31</v>
      </c>
      <c r="L1042" s="12">
        <v>0.68402777777777779</v>
      </c>
      <c r="M1042" t="s">
        <v>63</v>
      </c>
      <c r="N1042" s="3">
        <v>232</v>
      </c>
      <c r="O1042" t="s">
        <v>24</v>
      </c>
      <c r="P1042" t="s">
        <v>56</v>
      </c>
      <c r="R1042">
        <f>tblDailySchedule[[#This Row],[Capacity Approx]]*'[1]Load Factor Sheet June Acft  '!$B$5</f>
        <v>187.86727272727273</v>
      </c>
      <c r="S1042">
        <f>tblDailySchedule[[#This Row],[Capacity Approx]]*'[1]Load Factor Sheet June Acft  '!$D$5</f>
        <v>203.4218181818182</v>
      </c>
      <c r="T1042" s="22">
        <f>tblDailySchedule[[#This Row],[STD]]</f>
        <v>0.68402777777777779</v>
      </c>
    </row>
    <row r="1043" spans="1:20" hidden="1" x14ac:dyDescent="0.35">
      <c r="A1043" s="11">
        <v>46147</v>
      </c>
      <c r="B1043" s="3">
        <v>2</v>
      </c>
      <c r="C1043" t="s">
        <v>108</v>
      </c>
      <c r="D1043" t="s">
        <v>18</v>
      </c>
      <c r="E1043" s="3">
        <v>17</v>
      </c>
      <c r="F1043" t="s">
        <v>19</v>
      </c>
      <c r="G1043" t="s">
        <v>69</v>
      </c>
      <c r="H1043" t="s">
        <v>31</v>
      </c>
      <c r="I1043" s="12">
        <v>0.66319444444444442</v>
      </c>
      <c r="J1043" t="s">
        <v>70</v>
      </c>
      <c r="K1043" t="s">
        <v>31</v>
      </c>
      <c r="L1043" s="12">
        <v>0.69097222222222221</v>
      </c>
      <c r="M1043" t="s">
        <v>33</v>
      </c>
      <c r="N1043" s="3">
        <v>189</v>
      </c>
      <c r="O1043" t="s">
        <v>24</v>
      </c>
      <c r="P1043" t="s">
        <v>56</v>
      </c>
      <c r="R1043">
        <f>tblDailySchedule[[#This Row],[Capacity Approx]]*'[1]Load Factor Sheet June Acft  '!$B$5</f>
        <v>153.04704545454547</v>
      </c>
      <c r="S1043">
        <f>tblDailySchedule[[#This Row],[Capacity Approx]]*'[1]Load Factor Sheet June Acft  '!$D$5</f>
        <v>165.71863636363636</v>
      </c>
      <c r="T1043" s="22">
        <f>tblDailySchedule[[#This Row],[STD]]</f>
        <v>0.69097222222222221</v>
      </c>
    </row>
    <row r="1044" spans="1:20" hidden="1" x14ac:dyDescent="0.35">
      <c r="A1044" s="11">
        <v>46147</v>
      </c>
      <c r="B1044" s="3">
        <v>2</v>
      </c>
      <c r="C1044" t="s">
        <v>108</v>
      </c>
      <c r="D1044" t="s">
        <v>18</v>
      </c>
      <c r="E1044" s="3">
        <v>18</v>
      </c>
      <c r="F1044" t="s">
        <v>19</v>
      </c>
      <c r="G1044" t="s">
        <v>71</v>
      </c>
      <c r="H1044" t="s">
        <v>21</v>
      </c>
      <c r="I1044" s="12">
        <v>0.67013888888888884</v>
      </c>
      <c r="J1044" t="s">
        <v>72</v>
      </c>
      <c r="K1044" t="s">
        <v>21</v>
      </c>
      <c r="L1044" s="12">
        <v>0.69791666666666663</v>
      </c>
      <c r="M1044" t="s">
        <v>63</v>
      </c>
      <c r="N1044" s="3">
        <v>232</v>
      </c>
      <c r="O1044" t="s">
        <v>24</v>
      </c>
      <c r="P1044" t="s">
        <v>56</v>
      </c>
      <c r="R1044">
        <f>tblDailySchedule[[#This Row],[Capacity Approx]]*'[1]Load Factor Sheet June Acft  '!$B$5</f>
        <v>187.86727272727273</v>
      </c>
      <c r="S1044">
        <f>tblDailySchedule[[#This Row],[Capacity Approx]]*'[1]Load Factor Sheet June Acft  '!$D$5</f>
        <v>203.4218181818182</v>
      </c>
      <c r="T1044" s="22">
        <f>tblDailySchedule[[#This Row],[STD]]</f>
        <v>0.69791666666666663</v>
      </c>
    </row>
    <row r="1045" spans="1:20" hidden="1" x14ac:dyDescent="0.35">
      <c r="A1045" s="11">
        <v>46147</v>
      </c>
      <c r="B1045" s="3">
        <v>2</v>
      </c>
      <c r="C1045" t="s">
        <v>108</v>
      </c>
      <c r="D1045" t="s">
        <v>18</v>
      </c>
      <c r="E1045" s="3">
        <v>19</v>
      </c>
      <c r="F1045" t="s">
        <v>19</v>
      </c>
      <c r="G1045" t="s">
        <v>73</v>
      </c>
      <c r="H1045" t="s">
        <v>27</v>
      </c>
      <c r="I1045" s="12">
        <v>0.74652777777777779</v>
      </c>
      <c r="J1045" t="s">
        <v>74</v>
      </c>
      <c r="K1045" t="s">
        <v>27</v>
      </c>
      <c r="L1045" s="12">
        <v>0.77430555555555558</v>
      </c>
      <c r="M1045" t="s">
        <v>63</v>
      </c>
      <c r="N1045" s="3">
        <v>232</v>
      </c>
      <c r="O1045" t="s">
        <v>24</v>
      </c>
      <c r="P1045" t="s">
        <v>56</v>
      </c>
      <c r="R1045">
        <f>tblDailySchedule[[#This Row],[Capacity Approx]]*'[1]Load Factor Sheet June Acft  '!$B$5</f>
        <v>187.86727272727273</v>
      </c>
      <c r="S1045">
        <f>tblDailySchedule[[#This Row],[Capacity Approx]]*'[1]Load Factor Sheet June Acft  '!$D$5</f>
        <v>203.4218181818182</v>
      </c>
      <c r="T1045" s="22">
        <f>tblDailySchedule[[#This Row],[STD]]</f>
        <v>0.77430555555555558</v>
      </c>
    </row>
    <row r="1046" spans="1:20" hidden="1" x14ac:dyDescent="0.35">
      <c r="A1046" s="11">
        <v>46147</v>
      </c>
      <c r="B1046" s="3">
        <v>2</v>
      </c>
      <c r="C1046" t="s">
        <v>108</v>
      </c>
      <c r="D1046" t="s">
        <v>18</v>
      </c>
      <c r="E1046" s="3">
        <v>21</v>
      </c>
      <c r="F1046" t="s">
        <v>19</v>
      </c>
      <c r="G1046" t="s">
        <v>81</v>
      </c>
      <c r="H1046" t="s">
        <v>61</v>
      </c>
      <c r="I1046" s="12">
        <v>0.77083333333333337</v>
      </c>
      <c r="J1046" t="s">
        <v>82</v>
      </c>
      <c r="K1046" t="s">
        <v>49</v>
      </c>
      <c r="L1046" s="12">
        <v>0.79166666666666663</v>
      </c>
      <c r="M1046" t="s">
        <v>33</v>
      </c>
      <c r="N1046" s="3">
        <v>189</v>
      </c>
      <c r="O1046" t="s">
        <v>24</v>
      </c>
      <c r="P1046" t="s">
        <v>79</v>
      </c>
      <c r="R1046">
        <f>tblDailySchedule[[#This Row],[Capacity Approx]]*'[1]Load Factor Sheet June Acft  '!$B$5</f>
        <v>153.04704545454547</v>
      </c>
      <c r="S1046">
        <f>tblDailySchedule[[#This Row],[Capacity Approx]]*'[1]Load Factor Sheet June Acft  '!$D$5</f>
        <v>165.71863636363636</v>
      </c>
      <c r="T1046" s="22">
        <f>tblDailySchedule[[#This Row],[STD]]</f>
        <v>0.79166666666666663</v>
      </c>
    </row>
    <row r="1047" spans="1:20" hidden="1" x14ac:dyDescent="0.35">
      <c r="A1047" s="11">
        <v>46147</v>
      </c>
      <c r="B1047" s="3">
        <v>2</v>
      </c>
      <c r="C1047" t="s">
        <v>108</v>
      </c>
      <c r="D1047" t="s">
        <v>18</v>
      </c>
      <c r="E1047" s="3">
        <v>22</v>
      </c>
      <c r="F1047" t="s">
        <v>19</v>
      </c>
      <c r="G1047" t="s">
        <v>83</v>
      </c>
      <c r="H1047" t="s">
        <v>31</v>
      </c>
      <c r="I1047" s="12">
        <v>0.77777777777777779</v>
      </c>
      <c r="J1047" t="s">
        <v>84</v>
      </c>
      <c r="K1047" t="s">
        <v>31</v>
      </c>
      <c r="L1047" s="12">
        <v>0.80555555555555558</v>
      </c>
      <c r="M1047" t="s">
        <v>63</v>
      </c>
      <c r="N1047" s="3">
        <v>232</v>
      </c>
      <c r="O1047" t="s">
        <v>24</v>
      </c>
      <c r="P1047" t="s">
        <v>79</v>
      </c>
      <c r="R1047">
        <f>tblDailySchedule[[#This Row],[Capacity Approx]]*'[1]Load Factor Sheet June Acft  '!$B$5</f>
        <v>187.86727272727273</v>
      </c>
      <c r="S1047">
        <f>tblDailySchedule[[#This Row],[Capacity Approx]]*'[1]Load Factor Sheet June Acft  '!$D$5</f>
        <v>203.4218181818182</v>
      </c>
      <c r="T1047" s="22">
        <f>tblDailySchedule[[#This Row],[STD]]</f>
        <v>0.80555555555555558</v>
      </c>
    </row>
    <row r="1048" spans="1:20" hidden="1" x14ac:dyDescent="0.35">
      <c r="A1048" s="11">
        <v>46147</v>
      </c>
      <c r="B1048" s="3">
        <v>2</v>
      </c>
      <c r="C1048" t="s">
        <v>108</v>
      </c>
      <c r="D1048" t="s">
        <v>18</v>
      </c>
      <c r="E1048" s="3">
        <v>23</v>
      </c>
      <c r="F1048" t="s">
        <v>19</v>
      </c>
      <c r="G1048" t="s">
        <v>85</v>
      </c>
      <c r="H1048" t="s">
        <v>86</v>
      </c>
      <c r="I1048" s="12">
        <v>0.79861111111111116</v>
      </c>
      <c r="J1048" t="s">
        <v>87</v>
      </c>
      <c r="K1048" t="s">
        <v>86</v>
      </c>
      <c r="L1048" s="12">
        <v>0.82638888888888884</v>
      </c>
      <c r="M1048" t="s">
        <v>63</v>
      </c>
      <c r="N1048" s="3">
        <v>232</v>
      </c>
      <c r="O1048" t="s">
        <v>24</v>
      </c>
      <c r="P1048" t="s">
        <v>79</v>
      </c>
      <c r="R1048">
        <f>tblDailySchedule[[#This Row],[Capacity Approx]]*'[1]Load Factor Sheet June Acft  '!$B$5</f>
        <v>187.86727272727273</v>
      </c>
      <c r="S1048">
        <f>tblDailySchedule[[#This Row],[Capacity Approx]]*'[1]Load Factor Sheet June Acft  '!$D$5</f>
        <v>203.4218181818182</v>
      </c>
      <c r="T1048" s="22">
        <f>tblDailySchedule[[#This Row],[STD]]</f>
        <v>0.82638888888888884</v>
      </c>
    </row>
    <row r="1049" spans="1:20" hidden="1" x14ac:dyDescent="0.35">
      <c r="A1049" s="11">
        <v>46147</v>
      </c>
      <c r="B1049" s="3">
        <v>2</v>
      </c>
      <c r="C1049" t="s">
        <v>108</v>
      </c>
      <c r="D1049" t="s">
        <v>18</v>
      </c>
      <c r="E1049" s="3">
        <v>24</v>
      </c>
      <c r="F1049" t="s">
        <v>19</v>
      </c>
      <c r="G1049" t="s">
        <v>88</v>
      </c>
      <c r="H1049" t="s">
        <v>89</v>
      </c>
      <c r="I1049" s="12">
        <v>0.83333333333333337</v>
      </c>
      <c r="J1049" t="s">
        <v>90</v>
      </c>
      <c r="K1049" t="s">
        <v>31</v>
      </c>
      <c r="L1049" s="12">
        <v>0.86111111111111116</v>
      </c>
      <c r="M1049" t="s">
        <v>63</v>
      </c>
      <c r="N1049" s="3">
        <v>232</v>
      </c>
      <c r="O1049" t="s">
        <v>24</v>
      </c>
      <c r="P1049" t="s">
        <v>79</v>
      </c>
      <c r="R1049">
        <f>tblDailySchedule[[#This Row],[Capacity Approx]]*'[1]Load Factor Sheet June Acft  '!$B$5</f>
        <v>187.86727272727273</v>
      </c>
      <c r="S1049">
        <f>tblDailySchedule[[#This Row],[Capacity Approx]]*'[1]Load Factor Sheet June Acft  '!$D$5</f>
        <v>203.4218181818182</v>
      </c>
      <c r="T1049" s="22">
        <f>tblDailySchedule[[#This Row],[STD]]</f>
        <v>0.86111111111111116</v>
      </c>
    </row>
    <row r="1050" spans="1:20" hidden="1" x14ac:dyDescent="0.35">
      <c r="A1050" s="11">
        <v>46147</v>
      </c>
      <c r="B1050" s="3">
        <v>2</v>
      </c>
      <c r="C1050" t="s">
        <v>108</v>
      </c>
      <c r="D1050" t="s">
        <v>18</v>
      </c>
      <c r="E1050" s="3">
        <v>25</v>
      </c>
      <c r="F1050" t="s">
        <v>19</v>
      </c>
      <c r="G1050" t="s">
        <v>91</v>
      </c>
      <c r="H1050" t="s">
        <v>61</v>
      </c>
      <c r="I1050" s="12">
        <v>0.85416666666666663</v>
      </c>
      <c r="J1050" t="s">
        <v>92</v>
      </c>
      <c r="K1050" t="s">
        <v>61</v>
      </c>
      <c r="L1050" s="12">
        <v>0.88194444444444442</v>
      </c>
      <c r="M1050" t="s">
        <v>63</v>
      </c>
      <c r="N1050" s="3">
        <v>232</v>
      </c>
      <c r="O1050" t="s">
        <v>24</v>
      </c>
      <c r="P1050" t="s">
        <v>79</v>
      </c>
      <c r="R1050">
        <f>tblDailySchedule[[#This Row],[Capacity Approx]]*'[1]Load Factor Sheet June Acft  '!$B$5</f>
        <v>187.86727272727273</v>
      </c>
      <c r="S1050">
        <f>tblDailySchedule[[#This Row],[Capacity Approx]]*'[1]Load Factor Sheet June Acft  '!$D$5</f>
        <v>203.4218181818182</v>
      </c>
      <c r="T1050" s="22">
        <f>tblDailySchedule[[#This Row],[STD]]</f>
        <v>0.88194444444444442</v>
      </c>
    </row>
    <row r="1051" spans="1:20" hidden="1" x14ac:dyDescent="0.35">
      <c r="A1051" s="11">
        <v>46147</v>
      </c>
      <c r="B1051" s="3">
        <v>2</v>
      </c>
      <c r="C1051" t="s">
        <v>108</v>
      </c>
      <c r="D1051" t="s">
        <v>18</v>
      </c>
      <c r="E1051" s="3">
        <v>26</v>
      </c>
      <c r="F1051" t="s">
        <v>19</v>
      </c>
      <c r="G1051" t="s">
        <v>93</v>
      </c>
      <c r="H1051" t="s">
        <v>31</v>
      </c>
      <c r="I1051" s="12">
        <v>0.86111111111111116</v>
      </c>
      <c r="J1051" t="s">
        <v>94</v>
      </c>
      <c r="K1051" t="s">
        <v>31</v>
      </c>
      <c r="L1051" s="12">
        <v>0.88888888888888884</v>
      </c>
      <c r="M1051" t="s">
        <v>23</v>
      </c>
      <c r="N1051" s="3">
        <v>186</v>
      </c>
      <c r="O1051" t="s">
        <v>24</v>
      </c>
      <c r="P1051" t="s">
        <v>79</v>
      </c>
      <c r="R1051">
        <f>tblDailySchedule[[#This Row],[Capacity Approx]]*'[1]Load Factor Sheet June Acft  '!$B$5</f>
        <v>150.61772727272728</v>
      </c>
      <c r="S1051">
        <f>tblDailySchedule[[#This Row],[Capacity Approx]]*'[1]Load Factor Sheet June Acft  '!$D$5</f>
        <v>163.08818181818182</v>
      </c>
      <c r="T1051" s="22">
        <f>tblDailySchedule[[#This Row],[STD]]</f>
        <v>0.88888888888888884</v>
      </c>
    </row>
    <row r="1052" spans="1:20" hidden="1" x14ac:dyDescent="0.35">
      <c r="A1052" s="11">
        <v>46147</v>
      </c>
      <c r="B1052" s="3">
        <v>2</v>
      </c>
      <c r="C1052" t="s">
        <v>108</v>
      </c>
      <c r="D1052" t="s">
        <v>18</v>
      </c>
      <c r="E1052" s="3">
        <v>27</v>
      </c>
      <c r="F1052" t="s">
        <v>19</v>
      </c>
      <c r="G1052" t="s">
        <v>95</v>
      </c>
      <c r="H1052" t="s">
        <v>21</v>
      </c>
      <c r="I1052" s="12">
        <v>0.86805555555555558</v>
      </c>
      <c r="J1052" t="s">
        <v>96</v>
      </c>
      <c r="K1052" t="s">
        <v>21</v>
      </c>
      <c r="L1052" s="12">
        <v>0.89583333333333337</v>
      </c>
      <c r="M1052" t="s">
        <v>29</v>
      </c>
      <c r="N1052" s="3">
        <v>186</v>
      </c>
      <c r="O1052" t="s">
        <v>24</v>
      </c>
      <c r="P1052" t="s">
        <v>79</v>
      </c>
      <c r="R1052">
        <f>tblDailySchedule[[#This Row],[Capacity Approx]]*'[1]Load Factor Sheet June Acft  '!$B$5</f>
        <v>150.61772727272728</v>
      </c>
      <c r="S1052">
        <f>tblDailySchedule[[#This Row],[Capacity Approx]]*'[1]Load Factor Sheet June Acft  '!$D$5</f>
        <v>163.08818181818182</v>
      </c>
      <c r="T1052" s="22">
        <f>tblDailySchedule[[#This Row],[STD]]</f>
        <v>0.89583333333333337</v>
      </c>
    </row>
    <row r="1053" spans="1:20" hidden="1" x14ac:dyDescent="0.35">
      <c r="A1053" s="11">
        <v>46147</v>
      </c>
      <c r="B1053" s="3">
        <v>2</v>
      </c>
      <c r="C1053" t="s">
        <v>108</v>
      </c>
      <c r="D1053" t="s">
        <v>18</v>
      </c>
      <c r="E1053" s="3">
        <v>28</v>
      </c>
      <c r="F1053" t="s">
        <v>19</v>
      </c>
      <c r="G1053" t="s">
        <v>97</v>
      </c>
      <c r="H1053" t="s">
        <v>49</v>
      </c>
      <c r="I1053" s="12">
        <v>0.90277777777777779</v>
      </c>
      <c r="J1053" t="s">
        <v>97</v>
      </c>
      <c r="K1053" t="s">
        <v>61</v>
      </c>
      <c r="L1053" s="12">
        <v>0.92361111111111116</v>
      </c>
      <c r="M1053" t="s">
        <v>33</v>
      </c>
      <c r="N1053" s="3">
        <v>189</v>
      </c>
      <c r="O1053" t="s">
        <v>24</v>
      </c>
      <c r="P1053" t="s">
        <v>79</v>
      </c>
      <c r="R1053">
        <f>tblDailySchedule[[#This Row],[Capacity Approx]]*'[1]Load Factor Sheet June Acft  '!$B$5</f>
        <v>153.04704545454547</v>
      </c>
      <c r="S1053">
        <f>tblDailySchedule[[#This Row],[Capacity Approx]]*'[1]Load Factor Sheet June Acft  '!$D$5</f>
        <v>165.71863636363636</v>
      </c>
      <c r="T1053" s="22">
        <f>tblDailySchedule[[#This Row],[STD]]</f>
        <v>0.92361111111111116</v>
      </c>
    </row>
    <row r="1054" spans="1:20" hidden="1" x14ac:dyDescent="0.35">
      <c r="A1054" s="11">
        <v>46147</v>
      </c>
      <c r="B1054" s="3">
        <v>2</v>
      </c>
      <c r="C1054" t="s">
        <v>108</v>
      </c>
      <c r="D1054" t="s">
        <v>18</v>
      </c>
      <c r="E1054" s="3">
        <v>29</v>
      </c>
      <c r="F1054" t="s">
        <v>19</v>
      </c>
      <c r="G1054" t="s">
        <v>98</v>
      </c>
      <c r="H1054" t="s">
        <v>21</v>
      </c>
      <c r="I1054" s="12">
        <v>0.92013888888888884</v>
      </c>
      <c r="J1054" t="s">
        <v>99</v>
      </c>
      <c r="K1054" t="s">
        <v>21</v>
      </c>
      <c r="L1054" s="12">
        <v>0.94791666666666663</v>
      </c>
      <c r="M1054" t="s">
        <v>63</v>
      </c>
      <c r="N1054" s="3">
        <v>232</v>
      </c>
      <c r="O1054" t="s">
        <v>24</v>
      </c>
      <c r="P1054" t="s">
        <v>79</v>
      </c>
      <c r="R1054">
        <f>tblDailySchedule[[#This Row],[Capacity Approx]]*'[1]Load Factor Sheet June Acft  '!$B$5</f>
        <v>187.86727272727273</v>
      </c>
      <c r="S1054">
        <f>tblDailySchedule[[#This Row],[Capacity Approx]]*'[1]Load Factor Sheet June Acft  '!$D$5</f>
        <v>203.4218181818182</v>
      </c>
      <c r="T1054" s="22">
        <f>tblDailySchedule[[#This Row],[STD]]</f>
        <v>0.94791666666666663</v>
      </c>
    </row>
    <row r="1055" spans="1:20" hidden="1" x14ac:dyDescent="0.35">
      <c r="A1055" s="11">
        <v>46148</v>
      </c>
      <c r="B1055" s="3">
        <v>3</v>
      </c>
      <c r="C1055" t="s">
        <v>113</v>
      </c>
      <c r="D1055" t="s">
        <v>18</v>
      </c>
      <c r="E1055" s="3">
        <v>2</v>
      </c>
      <c r="F1055" t="s">
        <v>19</v>
      </c>
      <c r="G1055" t="s">
        <v>20</v>
      </c>
      <c r="H1055" t="s">
        <v>21</v>
      </c>
      <c r="I1055" s="12">
        <v>0.31944444444444442</v>
      </c>
      <c r="J1055" t="s">
        <v>22</v>
      </c>
      <c r="K1055" t="s">
        <v>21</v>
      </c>
      <c r="L1055" s="12">
        <v>0.34722222222222221</v>
      </c>
      <c r="M1055" t="s">
        <v>23</v>
      </c>
      <c r="N1055" s="3">
        <v>186</v>
      </c>
      <c r="O1055" t="s">
        <v>24</v>
      </c>
      <c r="P1055" t="s">
        <v>25</v>
      </c>
      <c r="R1055">
        <f>tblDailySchedule[[#This Row],[Capacity Approx]]*'[1]Load Factor Sheet June Acft  '!$B$5</f>
        <v>150.61772727272728</v>
      </c>
      <c r="S1055">
        <f>tblDailySchedule[[#This Row],[Capacity Approx]]*'[1]Load Factor Sheet June Acft  '!$D$5</f>
        <v>163.08818181818182</v>
      </c>
      <c r="T1055" s="22">
        <f>tblDailySchedule[[#This Row],[STD]]</f>
        <v>0.34722222222222221</v>
      </c>
    </row>
    <row r="1056" spans="1:20" hidden="1" x14ac:dyDescent="0.35">
      <c r="A1056" s="11">
        <v>46148</v>
      </c>
      <c r="B1056" s="3">
        <v>3</v>
      </c>
      <c r="C1056" t="s">
        <v>113</v>
      </c>
      <c r="D1056" t="s">
        <v>18</v>
      </c>
      <c r="E1056" s="3">
        <v>3</v>
      </c>
      <c r="F1056" t="s">
        <v>19</v>
      </c>
      <c r="G1056" t="s">
        <v>26</v>
      </c>
      <c r="H1056" t="s">
        <v>27</v>
      </c>
      <c r="I1056" s="12">
        <v>0.3263888888888889</v>
      </c>
      <c r="J1056" t="s">
        <v>28</v>
      </c>
      <c r="K1056" t="s">
        <v>27</v>
      </c>
      <c r="L1056" s="12">
        <v>0.35416666666666669</v>
      </c>
      <c r="M1056" t="s">
        <v>29</v>
      </c>
      <c r="N1056" s="3">
        <v>186</v>
      </c>
      <c r="O1056" t="s">
        <v>24</v>
      </c>
      <c r="P1056" t="s">
        <v>25</v>
      </c>
      <c r="R1056">
        <f>tblDailySchedule[[#This Row],[Capacity Approx]]*'[1]Load Factor Sheet June Acft  '!$B$5</f>
        <v>150.61772727272728</v>
      </c>
      <c r="S1056">
        <f>tblDailySchedule[[#This Row],[Capacity Approx]]*'[1]Load Factor Sheet June Acft  '!$D$5</f>
        <v>163.08818181818182</v>
      </c>
      <c r="T1056" s="22">
        <f>tblDailySchedule[[#This Row],[STD]]</f>
        <v>0.35416666666666669</v>
      </c>
    </row>
    <row r="1057" spans="1:20" hidden="1" x14ac:dyDescent="0.35">
      <c r="A1057" s="11">
        <v>46148</v>
      </c>
      <c r="B1057" s="3">
        <v>3</v>
      </c>
      <c r="C1057" t="s">
        <v>113</v>
      </c>
      <c r="D1057" t="s">
        <v>18</v>
      </c>
      <c r="E1057" s="3">
        <v>4</v>
      </c>
      <c r="F1057" t="s">
        <v>19</v>
      </c>
      <c r="G1057" t="s">
        <v>30</v>
      </c>
      <c r="H1057" t="s">
        <v>31</v>
      </c>
      <c r="I1057" s="12">
        <v>0.34722222222222221</v>
      </c>
      <c r="J1057" t="s">
        <v>32</v>
      </c>
      <c r="K1057" t="s">
        <v>31</v>
      </c>
      <c r="L1057" s="12">
        <v>0.36805555555555558</v>
      </c>
      <c r="M1057" t="s">
        <v>33</v>
      </c>
      <c r="N1057" s="3">
        <v>189</v>
      </c>
      <c r="O1057" t="s">
        <v>24</v>
      </c>
      <c r="P1057" t="s">
        <v>25</v>
      </c>
      <c r="R1057">
        <f>tblDailySchedule[[#This Row],[Capacity Approx]]*'[1]Load Factor Sheet June Acft  '!$B$5</f>
        <v>153.04704545454547</v>
      </c>
      <c r="S1057">
        <f>tblDailySchedule[[#This Row],[Capacity Approx]]*'[1]Load Factor Sheet June Acft  '!$D$5</f>
        <v>165.71863636363636</v>
      </c>
      <c r="T1057" s="22">
        <f>tblDailySchedule[[#This Row],[STD]]</f>
        <v>0.36805555555555558</v>
      </c>
    </row>
    <row r="1058" spans="1:20" hidden="1" x14ac:dyDescent="0.35">
      <c r="A1058" s="13">
        <v>46148</v>
      </c>
      <c r="B1058" s="7">
        <v>3</v>
      </c>
      <c r="C1058" s="14" t="s">
        <v>113</v>
      </c>
      <c r="D1058" s="14" t="s">
        <v>18</v>
      </c>
      <c r="E1058" s="7">
        <v>6</v>
      </c>
      <c r="F1058" s="14" t="s">
        <v>34</v>
      </c>
      <c r="G1058" s="14" t="s">
        <v>35</v>
      </c>
      <c r="H1058" s="14" t="s">
        <v>36</v>
      </c>
      <c r="I1058" s="15">
        <v>0.34722222222222221</v>
      </c>
      <c r="J1058" s="14" t="s">
        <v>37</v>
      </c>
      <c r="K1058" s="14" t="s">
        <v>36</v>
      </c>
      <c r="L1058" s="15">
        <v>0.40972222222222221</v>
      </c>
      <c r="M1058" s="14" t="s">
        <v>38</v>
      </c>
      <c r="N1058" s="7">
        <v>186</v>
      </c>
      <c r="O1058" s="14" t="s">
        <v>39</v>
      </c>
      <c r="P1058" s="14" t="s">
        <v>25</v>
      </c>
      <c r="Q1058" s="14" t="s">
        <v>39</v>
      </c>
      <c r="R1058">
        <f>tblDailySchedule[[#This Row],[Capacity Approx]]*'[1]Load Factor Sheet June Acft  '!$B$5</f>
        <v>150.61772727272728</v>
      </c>
      <c r="S1058">
        <f>tblDailySchedule[[#This Row],[Capacity Approx]]*'[1]Load Factor Sheet June Acft  '!$D$5</f>
        <v>163.08818181818182</v>
      </c>
      <c r="T1058" s="22">
        <f>tblDailySchedule[[#This Row],[STD]]</f>
        <v>0.40972222222222221</v>
      </c>
    </row>
    <row r="1059" spans="1:20" hidden="1" x14ac:dyDescent="0.35">
      <c r="A1059" s="11">
        <v>46148</v>
      </c>
      <c r="B1059" s="3">
        <v>3</v>
      </c>
      <c r="C1059" t="s">
        <v>113</v>
      </c>
      <c r="D1059" t="s">
        <v>18</v>
      </c>
      <c r="E1059" s="3">
        <v>5</v>
      </c>
      <c r="F1059" t="s">
        <v>19</v>
      </c>
      <c r="G1059" t="s">
        <v>40</v>
      </c>
      <c r="H1059" t="s">
        <v>31</v>
      </c>
      <c r="I1059" s="12">
        <v>0.35069444444444442</v>
      </c>
      <c r="J1059" t="s">
        <v>41</v>
      </c>
      <c r="K1059" t="s">
        <v>31</v>
      </c>
      <c r="L1059" s="12">
        <v>0.37152777777777779</v>
      </c>
      <c r="M1059" t="s">
        <v>23</v>
      </c>
      <c r="N1059" s="3">
        <v>186</v>
      </c>
      <c r="O1059" t="s">
        <v>24</v>
      </c>
      <c r="P1059" t="s">
        <v>25</v>
      </c>
      <c r="R1059">
        <f>tblDailySchedule[[#This Row],[Capacity Approx]]*'[1]Load Factor Sheet June Acft  '!$B$5</f>
        <v>150.61772727272728</v>
      </c>
      <c r="S1059">
        <f>tblDailySchedule[[#This Row],[Capacity Approx]]*'[1]Load Factor Sheet June Acft  '!$D$5</f>
        <v>163.08818181818182</v>
      </c>
      <c r="T1059" s="22">
        <f>tblDailySchedule[[#This Row],[STD]]</f>
        <v>0.37152777777777779</v>
      </c>
    </row>
    <row r="1060" spans="1:20" hidden="1" x14ac:dyDescent="0.35">
      <c r="A1060" s="11">
        <v>46148</v>
      </c>
      <c r="B1060" s="3">
        <v>3</v>
      </c>
      <c r="C1060" t="s">
        <v>113</v>
      </c>
      <c r="D1060" t="s">
        <v>18</v>
      </c>
      <c r="E1060" s="3">
        <v>7</v>
      </c>
      <c r="F1060" t="s">
        <v>19</v>
      </c>
      <c r="G1060" t="s">
        <v>42</v>
      </c>
      <c r="H1060" t="s">
        <v>43</v>
      </c>
      <c r="I1060" s="12">
        <v>0.3923611111111111</v>
      </c>
      <c r="J1060" t="s">
        <v>44</v>
      </c>
      <c r="K1060" t="s">
        <v>43</v>
      </c>
      <c r="L1060" s="12">
        <v>0.40277777777777779</v>
      </c>
      <c r="M1060" t="s">
        <v>45</v>
      </c>
      <c r="N1060" s="3">
        <v>9</v>
      </c>
      <c r="O1060" t="s">
        <v>24</v>
      </c>
      <c r="P1060" t="s">
        <v>25</v>
      </c>
      <c r="R1060">
        <f>tblDailySchedule[[#This Row],[Capacity Approx]]*'[1]Load Factor Sheet June Acft  '!$B$5</f>
        <v>7.2879545454545456</v>
      </c>
      <c r="S1060">
        <f>tblDailySchedule[[#This Row],[Capacity Approx]]*'[1]Load Factor Sheet June Acft  '!$D$5</f>
        <v>7.8913636363636366</v>
      </c>
      <c r="T1060" s="22">
        <f>tblDailySchedule[[#This Row],[STD]]</f>
        <v>0.40277777777777779</v>
      </c>
    </row>
    <row r="1061" spans="1:20" hidden="1" x14ac:dyDescent="0.35">
      <c r="A1061" s="11">
        <v>46148</v>
      </c>
      <c r="B1061" s="3">
        <v>3</v>
      </c>
      <c r="C1061" t="s">
        <v>113</v>
      </c>
      <c r="D1061" t="s">
        <v>18</v>
      </c>
      <c r="E1061" s="3">
        <v>8</v>
      </c>
      <c r="F1061" t="s">
        <v>19</v>
      </c>
      <c r="G1061" t="s">
        <v>46</v>
      </c>
      <c r="H1061" t="s">
        <v>31</v>
      </c>
      <c r="I1061" s="12">
        <v>0.4201388888888889</v>
      </c>
      <c r="J1061" t="s">
        <v>47</v>
      </c>
      <c r="K1061" t="s">
        <v>31</v>
      </c>
      <c r="L1061" s="12">
        <v>0.44444444444444442</v>
      </c>
      <c r="M1061" t="s">
        <v>29</v>
      </c>
      <c r="N1061" s="3">
        <v>186</v>
      </c>
      <c r="O1061" t="s">
        <v>24</v>
      </c>
      <c r="P1061" t="s">
        <v>25</v>
      </c>
      <c r="R1061">
        <f>tblDailySchedule[[#This Row],[Capacity Approx]]*'[1]Load Factor Sheet June Acft  '!$B$5</f>
        <v>150.61772727272728</v>
      </c>
      <c r="S1061">
        <f>tblDailySchedule[[#This Row],[Capacity Approx]]*'[1]Load Factor Sheet June Acft  '!$D$5</f>
        <v>163.08818181818182</v>
      </c>
      <c r="T1061" s="22">
        <f>tblDailySchedule[[#This Row],[STD]]</f>
        <v>0.44444444444444442</v>
      </c>
    </row>
    <row r="1062" spans="1:20" hidden="1" x14ac:dyDescent="0.35">
      <c r="A1062" s="11">
        <v>46148</v>
      </c>
      <c r="B1062" s="3">
        <v>3</v>
      </c>
      <c r="C1062" t="s">
        <v>113</v>
      </c>
      <c r="D1062" t="s">
        <v>18</v>
      </c>
      <c r="E1062" s="3">
        <v>9</v>
      </c>
      <c r="F1062" t="s">
        <v>19</v>
      </c>
      <c r="G1062" t="s">
        <v>48</v>
      </c>
      <c r="H1062" t="s">
        <v>49</v>
      </c>
      <c r="I1062" s="12">
        <v>0.4375</v>
      </c>
      <c r="J1062" t="s">
        <v>50</v>
      </c>
      <c r="K1062" t="s">
        <v>49</v>
      </c>
      <c r="L1062" s="12">
        <v>0.45833333333333331</v>
      </c>
      <c r="M1062" t="s">
        <v>51</v>
      </c>
      <c r="N1062" s="3">
        <v>78</v>
      </c>
      <c r="O1062" t="s">
        <v>24</v>
      </c>
      <c r="P1062" t="s">
        <v>25</v>
      </c>
      <c r="R1062">
        <f>tblDailySchedule[[#This Row],[Capacity Approx]]*'[1]Load Factor Sheet June Acft  '!$B$5</f>
        <v>63.162272727272729</v>
      </c>
      <c r="S1062">
        <f>tblDailySchedule[[#This Row],[Capacity Approx]]*'[1]Load Factor Sheet June Acft  '!$D$5</f>
        <v>68.391818181818181</v>
      </c>
      <c r="T1062" s="22">
        <f>tblDailySchedule[[#This Row],[STD]]</f>
        <v>0.45833333333333331</v>
      </c>
    </row>
    <row r="1063" spans="1:20" hidden="1" x14ac:dyDescent="0.35">
      <c r="A1063" s="11">
        <v>46148</v>
      </c>
      <c r="B1063" s="3">
        <v>3</v>
      </c>
      <c r="C1063" t="s">
        <v>113</v>
      </c>
      <c r="D1063" t="s">
        <v>18</v>
      </c>
      <c r="E1063" s="3">
        <v>10</v>
      </c>
      <c r="F1063" t="s">
        <v>19</v>
      </c>
      <c r="G1063" t="s">
        <v>52</v>
      </c>
      <c r="H1063" t="s">
        <v>27</v>
      </c>
      <c r="I1063" s="12">
        <v>0.4826388888888889</v>
      </c>
      <c r="J1063" t="s">
        <v>53</v>
      </c>
      <c r="K1063" t="s">
        <v>27</v>
      </c>
      <c r="L1063" s="12">
        <v>0.51041666666666663</v>
      </c>
      <c r="M1063" t="s">
        <v>23</v>
      </c>
      <c r="N1063" s="3">
        <v>186</v>
      </c>
      <c r="O1063" t="s">
        <v>24</v>
      </c>
      <c r="P1063" t="s">
        <v>25</v>
      </c>
      <c r="R1063">
        <f>tblDailySchedule[[#This Row],[Capacity Approx]]*'[1]Load Factor Sheet June Acft  '!$B$5</f>
        <v>150.61772727272728</v>
      </c>
      <c r="S1063">
        <f>tblDailySchedule[[#This Row],[Capacity Approx]]*'[1]Load Factor Sheet June Acft  '!$D$5</f>
        <v>163.08818181818182</v>
      </c>
      <c r="T1063" s="22">
        <f>tblDailySchedule[[#This Row],[STD]]</f>
        <v>0.51041666666666663</v>
      </c>
    </row>
    <row r="1064" spans="1:20" hidden="1" x14ac:dyDescent="0.35">
      <c r="A1064" s="11">
        <v>46148</v>
      </c>
      <c r="B1064" s="3">
        <v>3</v>
      </c>
      <c r="C1064" t="s">
        <v>113</v>
      </c>
      <c r="D1064" t="s">
        <v>18</v>
      </c>
      <c r="E1064" s="3">
        <v>11</v>
      </c>
      <c r="F1064" t="s">
        <v>19</v>
      </c>
      <c r="G1064" t="s">
        <v>54</v>
      </c>
      <c r="H1064" t="s">
        <v>31</v>
      </c>
      <c r="I1064" s="12">
        <v>0.51388888888888884</v>
      </c>
      <c r="J1064" t="s">
        <v>55</v>
      </c>
      <c r="K1064" t="s">
        <v>31</v>
      </c>
      <c r="L1064" s="12">
        <v>0.54166666666666663</v>
      </c>
      <c r="M1064" t="s">
        <v>23</v>
      </c>
      <c r="N1064" s="3">
        <v>186</v>
      </c>
      <c r="O1064" t="s">
        <v>24</v>
      </c>
      <c r="P1064" t="s">
        <v>56</v>
      </c>
      <c r="R1064">
        <f>tblDailySchedule[[#This Row],[Capacity Approx]]*'[1]Load Factor Sheet June Acft  '!$B$5</f>
        <v>150.61772727272728</v>
      </c>
      <c r="S1064">
        <f>tblDailySchedule[[#This Row],[Capacity Approx]]*'[1]Load Factor Sheet June Acft  '!$D$5</f>
        <v>163.08818181818182</v>
      </c>
      <c r="T1064" s="22">
        <f>tblDailySchedule[[#This Row],[STD]]</f>
        <v>0.54166666666666663</v>
      </c>
    </row>
    <row r="1065" spans="1:20" hidden="1" x14ac:dyDescent="0.35">
      <c r="A1065" s="11">
        <v>46148</v>
      </c>
      <c r="B1065" s="3">
        <v>3</v>
      </c>
      <c r="C1065" t="s">
        <v>113</v>
      </c>
      <c r="D1065" t="s">
        <v>18</v>
      </c>
      <c r="E1065" s="3">
        <v>13</v>
      </c>
      <c r="F1065" t="s">
        <v>19</v>
      </c>
      <c r="G1065" t="s">
        <v>57</v>
      </c>
      <c r="H1065" t="s">
        <v>58</v>
      </c>
      <c r="I1065" s="12">
        <v>0.55902777777777779</v>
      </c>
      <c r="J1065" t="s">
        <v>59</v>
      </c>
      <c r="K1065" t="s">
        <v>58</v>
      </c>
      <c r="L1065" s="12">
        <v>0.57638888888888884</v>
      </c>
      <c r="M1065" t="s">
        <v>51</v>
      </c>
      <c r="N1065" s="3">
        <v>78</v>
      </c>
      <c r="O1065" t="s">
        <v>24</v>
      </c>
      <c r="P1065" t="s">
        <v>56</v>
      </c>
      <c r="R1065">
        <f>tblDailySchedule[[#This Row],[Capacity Approx]]*'[1]Load Factor Sheet June Acft  '!$B$5</f>
        <v>63.162272727272729</v>
      </c>
      <c r="S1065">
        <f>tblDailySchedule[[#This Row],[Capacity Approx]]*'[1]Load Factor Sheet June Acft  '!$D$5</f>
        <v>68.391818181818181</v>
      </c>
      <c r="T1065" s="22">
        <f>tblDailySchedule[[#This Row],[STD]]</f>
        <v>0.57638888888888884</v>
      </c>
    </row>
    <row r="1066" spans="1:20" hidden="1" x14ac:dyDescent="0.35">
      <c r="A1066" s="11">
        <v>46148</v>
      </c>
      <c r="B1066" s="3">
        <v>3</v>
      </c>
      <c r="C1066" t="s">
        <v>113</v>
      </c>
      <c r="D1066" t="s">
        <v>18</v>
      </c>
      <c r="E1066" s="3">
        <v>14</v>
      </c>
      <c r="F1066" t="s">
        <v>19</v>
      </c>
      <c r="G1066" t="s">
        <v>60</v>
      </c>
      <c r="H1066" t="s">
        <v>61</v>
      </c>
      <c r="I1066" s="12">
        <v>0.59027777777777779</v>
      </c>
      <c r="J1066" t="s">
        <v>62</v>
      </c>
      <c r="K1066" t="s">
        <v>61</v>
      </c>
      <c r="L1066" s="12">
        <v>0.62152777777777779</v>
      </c>
      <c r="M1066" t="s">
        <v>63</v>
      </c>
      <c r="N1066" s="3">
        <v>232</v>
      </c>
      <c r="O1066" t="s">
        <v>24</v>
      </c>
      <c r="P1066" t="s">
        <v>56</v>
      </c>
      <c r="R1066">
        <f>tblDailySchedule[[#This Row],[Capacity Approx]]*'[1]Load Factor Sheet June Acft  '!$B$5</f>
        <v>187.86727272727273</v>
      </c>
      <c r="S1066">
        <f>tblDailySchedule[[#This Row],[Capacity Approx]]*'[1]Load Factor Sheet June Acft  '!$D$5</f>
        <v>203.4218181818182</v>
      </c>
      <c r="T1066" s="22">
        <f>tblDailySchedule[[#This Row],[STD]]</f>
        <v>0.62152777777777779</v>
      </c>
    </row>
    <row r="1067" spans="1:20" hidden="1" x14ac:dyDescent="0.35">
      <c r="A1067" s="11">
        <v>46148</v>
      </c>
      <c r="B1067" s="3">
        <v>3</v>
      </c>
      <c r="C1067" t="s">
        <v>113</v>
      </c>
      <c r="D1067" t="s">
        <v>18</v>
      </c>
      <c r="E1067" s="3">
        <v>15</v>
      </c>
      <c r="F1067" t="s">
        <v>19</v>
      </c>
      <c r="G1067" t="s">
        <v>64</v>
      </c>
      <c r="H1067" t="s">
        <v>31</v>
      </c>
      <c r="I1067" s="12">
        <v>0.60069444444444442</v>
      </c>
      <c r="J1067" t="s">
        <v>65</v>
      </c>
      <c r="K1067" t="s">
        <v>66</v>
      </c>
      <c r="L1067" s="12">
        <v>0.62847222222222221</v>
      </c>
      <c r="M1067" t="s">
        <v>63</v>
      </c>
      <c r="N1067" s="3">
        <v>232</v>
      </c>
      <c r="O1067" t="s">
        <v>24</v>
      </c>
      <c r="P1067" t="s">
        <v>56</v>
      </c>
      <c r="R1067">
        <f>tblDailySchedule[[#This Row],[Capacity Approx]]*'[1]Load Factor Sheet June Acft  '!$B$5</f>
        <v>187.86727272727273</v>
      </c>
      <c r="S1067">
        <f>tblDailySchedule[[#This Row],[Capacity Approx]]*'[1]Load Factor Sheet June Acft  '!$D$5</f>
        <v>203.4218181818182</v>
      </c>
      <c r="T1067" s="22">
        <f>tblDailySchedule[[#This Row],[STD]]</f>
        <v>0.62847222222222221</v>
      </c>
    </row>
    <row r="1068" spans="1:20" hidden="1" x14ac:dyDescent="0.35">
      <c r="A1068" s="11">
        <v>46148</v>
      </c>
      <c r="B1068" s="3">
        <v>3</v>
      </c>
      <c r="C1068" t="s">
        <v>113</v>
      </c>
      <c r="D1068" t="s">
        <v>18</v>
      </c>
      <c r="E1068" s="3">
        <v>16</v>
      </c>
      <c r="F1068" t="s">
        <v>19</v>
      </c>
      <c r="G1068" t="s">
        <v>67</v>
      </c>
      <c r="H1068" t="s">
        <v>31</v>
      </c>
      <c r="I1068" s="12">
        <v>0.65625</v>
      </c>
      <c r="J1068" t="s">
        <v>68</v>
      </c>
      <c r="K1068" t="s">
        <v>31</v>
      </c>
      <c r="L1068" s="12">
        <v>0.68402777777777779</v>
      </c>
      <c r="M1068" t="s">
        <v>63</v>
      </c>
      <c r="N1068" s="3">
        <v>232</v>
      </c>
      <c r="O1068" t="s">
        <v>24</v>
      </c>
      <c r="P1068" t="s">
        <v>56</v>
      </c>
      <c r="R1068">
        <f>tblDailySchedule[[#This Row],[Capacity Approx]]*'[1]Load Factor Sheet June Acft  '!$B$5</f>
        <v>187.86727272727273</v>
      </c>
      <c r="S1068">
        <f>tblDailySchedule[[#This Row],[Capacity Approx]]*'[1]Load Factor Sheet June Acft  '!$D$5</f>
        <v>203.4218181818182</v>
      </c>
      <c r="T1068" s="22">
        <f>tblDailySchedule[[#This Row],[STD]]</f>
        <v>0.68402777777777779</v>
      </c>
    </row>
    <row r="1069" spans="1:20" hidden="1" x14ac:dyDescent="0.35">
      <c r="A1069" s="11">
        <v>46148</v>
      </c>
      <c r="B1069" s="3">
        <v>3</v>
      </c>
      <c r="C1069" t="s">
        <v>113</v>
      </c>
      <c r="D1069" t="s">
        <v>18</v>
      </c>
      <c r="E1069" s="3">
        <v>17</v>
      </c>
      <c r="F1069" t="s">
        <v>19</v>
      </c>
      <c r="G1069" t="s">
        <v>69</v>
      </c>
      <c r="H1069" t="s">
        <v>31</v>
      </c>
      <c r="I1069" s="12">
        <v>0.66319444444444442</v>
      </c>
      <c r="J1069" t="s">
        <v>70</v>
      </c>
      <c r="K1069" t="s">
        <v>31</v>
      </c>
      <c r="L1069" s="12">
        <v>0.69097222222222221</v>
      </c>
      <c r="M1069" t="s">
        <v>33</v>
      </c>
      <c r="N1069" s="3">
        <v>189</v>
      </c>
      <c r="O1069" t="s">
        <v>24</v>
      </c>
      <c r="P1069" t="s">
        <v>56</v>
      </c>
      <c r="R1069">
        <f>tblDailySchedule[[#This Row],[Capacity Approx]]*'[1]Load Factor Sheet June Acft  '!$B$5</f>
        <v>153.04704545454547</v>
      </c>
      <c r="S1069">
        <f>tblDailySchedule[[#This Row],[Capacity Approx]]*'[1]Load Factor Sheet June Acft  '!$D$5</f>
        <v>165.71863636363636</v>
      </c>
      <c r="T1069" s="22">
        <f>tblDailySchedule[[#This Row],[STD]]</f>
        <v>0.69097222222222221</v>
      </c>
    </row>
    <row r="1070" spans="1:20" hidden="1" x14ac:dyDescent="0.35">
      <c r="A1070" s="11">
        <v>46148</v>
      </c>
      <c r="B1070" s="3">
        <v>3</v>
      </c>
      <c r="C1070" t="s">
        <v>113</v>
      </c>
      <c r="D1070" t="s">
        <v>18</v>
      </c>
      <c r="E1070" s="3">
        <v>18</v>
      </c>
      <c r="F1070" t="s">
        <v>19</v>
      </c>
      <c r="G1070" t="s">
        <v>71</v>
      </c>
      <c r="H1070" t="s">
        <v>21</v>
      </c>
      <c r="I1070" s="12">
        <v>0.67013888888888884</v>
      </c>
      <c r="J1070" t="s">
        <v>72</v>
      </c>
      <c r="K1070" t="s">
        <v>21</v>
      </c>
      <c r="L1070" s="12">
        <v>0.69791666666666663</v>
      </c>
      <c r="M1070" t="s">
        <v>63</v>
      </c>
      <c r="N1070" s="3">
        <v>232</v>
      </c>
      <c r="O1070" t="s">
        <v>24</v>
      </c>
      <c r="P1070" t="s">
        <v>56</v>
      </c>
      <c r="R1070">
        <f>tblDailySchedule[[#This Row],[Capacity Approx]]*'[1]Load Factor Sheet June Acft  '!$B$5</f>
        <v>187.86727272727273</v>
      </c>
      <c r="S1070">
        <f>tblDailySchedule[[#This Row],[Capacity Approx]]*'[1]Load Factor Sheet June Acft  '!$D$5</f>
        <v>203.4218181818182</v>
      </c>
      <c r="T1070" s="22">
        <f>tblDailySchedule[[#This Row],[STD]]</f>
        <v>0.69791666666666663</v>
      </c>
    </row>
    <row r="1071" spans="1:20" hidden="1" x14ac:dyDescent="0.35">
      <c r="A1071" s="11">
        <v>46148</v>
      </c>
      <c r="B1071" s="3">
        <v>3</v>
      </c>
      <c r="C1071" t="s">
        <v>113</v>
      </c>
      <c r="D1071" t="s">
        <v>18</v>
      </c>
      <c r="E1071" s="3">
        <v>19</v>
      </c>
      <c r="F1071" t="s">
        <v>19</v>
      </c>
      <c r="G1071" t="s">
        <v>73</v>
      </c>
      <c r="H1071" t="s">
        <v>27</v>
      </c>
      <c r="I1071" s="12">
        <v>0.74652777777777779</v>
      </c>
      <c r="J1071" t="s">
        <v>74</v>
      </c>
      <c r="K1071" t="s">
        <v>27</v>
      </c>
      <c r="L1071" s="12">
        <v>0.77430555555555558</v>
      </c>
      <c r="M1071" t="s">
        <v>63</v>
      </c>
      <c r="N1071" s="3">
        <v>232</v>
      </c>
      <c r="O1071" t="s">
        <v>24</v>
      </c>
      <c r="P1071" t="s">
        <v>56</v>
      </c>
      <c r="R1071">
        <f>tblDailySchedule[[#This Row],[Capacity Approx]]*'[1]Load Factor Sheet June Acft  '!$B$5</f>
        <v>187.86727272727273</v>
      </c>
      <c r="S1071">
        <f>tblDailySchedule[[#This Row],[Capacity Approx]]*'[1]Load Factor Sheet June Acft  '!$D$5</f>
        <v>203.4218181818182</v>
      </c>
      <c r="T1071" s="22">
        <f>tblDailySchedule[[#This Row],[STD]]</f>
        <v>0.77430555555555558</v>
      </c>
    </row>
    <row r="1072" spans="1:20" hidden="1" x14ac:dyDescent="0.35">
      <c r="A1072" s="11">
        <v>46148</v>
      </c>
      <c r="B1072" s="3">
        <v>3</v>
      </c>
      <c r="C1072" t="s">
        <v>113</v>
      </c>
      <c r="D1072" t="s">
        <v>18</v>
      </c>
      <c r="E1072" s="3">
        <v>20</v>
      </c>
      <c r="F1072" t="s">
        <v>34</v>
      </c>
      <c r="G1072" t="s">
        <v>75</v>
      </c>
      <c r="H1072" t="s">
        <v>76</v>
      </c>
      <c r="I1072" s="12">
        <v>0.76388888888888884</v>
      </c>
      <c r="J1072" t="s">
        <v>77</v>
      </c>
      <c r="K1072" t="s">
        <v>78</v>
      </c>
      <c r="L1072" s="12">
        <v>0.78472222222222221</v>
      </c>
      <c r="M1072" t="s">
        <v>51</v>
      </c>
      <c r="N1072" s="3">
        <v>78</v>
      </c>
      <c r="O1072" t="s">
        <v>24</v>
      </c>
      <c r="P1072" t="s">
        <v>79</v>
      </c>
      <c r="Q1072" s="16" t="s">
        <v>80</v>
      </c>
      <c r="R1072">
        <f>tblDailySchedule[[#This Row],[Capacity Approx]]*'[1]Load Factor Sheet June Acft  '!$B$5</f>
        <v>63.162272727272729</v>
      </c>
      <c r="S1072">
        <f>tblDailySchedule[[#This Row],[Capacity Approx]]*'[1]Load Factor Sheet June Acft  '!$D$5</f>
        <v>68.391818181818181</v>
      </c>
      <c r="T1072" s="22">
        <f>tblDailySchedule[[#This Row],[STD]]</f>
        <v>0.78472222222222221</v>
      </c>
    </row>
    <row r="1073" spans="1:20" hidden="1" x14ac:dyDescent="0.35">
      <c r="A1073" s="11">
        <v>46148</v>
      </c>
      <c r="B1073" s="3">
        <v>3</v>
      </c>
      <c r="C1073" t="s">
        <v>113</v>
      </c>
      <c r="D1073" t="s">
        <v>18</v>
      </c>
      <c r="E1073" s="3">
        <v>21</v>
      </c>
      <c r="F1073" t="s">
        <v>19</v>
      </c>
      <c r="G1073" t="s">
        <v>81</v>
      </c>
      <c r="H1073" t="s">
        <v>61</v>
      </c>
      <c r="I1073" s="12">
        <v>0.77083333333333337</v>
      </c>
      <c r="J1073" t="s">
        <v>82</v>
      </c>
      <c r="K1073" t="s">
        <v>49</v>
      </c>
      <c r="L1073" s="12">
        <v>0.79166666666666663</v>
      </c>
      <c r="M1073" t="s">
        <v>33</v>
      </c>
      <c r="N1073" s="3">
        <v>189</v>
      </c>
      <c r="O1073" t="s">
        <v>24</v>
      </c>
      <c r="P1073" t="s">
        <v>79</v>
      </c>
      <c r="R1073">
        <f>tblDailySchedule[[#This Row],[Capacity Approx]]*'[1]Load Factor Sheet June Acft  '!$B$5</f>
        <v>153.04704545454547</v>
      </c>
      <c r="S1073">
        <f>tblDailySchedule[[#This Row],[Capacity Approx]]*'[1]Load Factor Sheet June Acft  '!$D$5</f>
        <v>165.71863636363636</v>
      </c>
      <c r="T1073" s="22">
        <f>tblDailySchedule[[#This Row],[STD]]</f>
        <v>0.79166666666666663</v>
      </c>
    </row>
    <row r="1074" spans="1:20" hidden="1" x14ac:dyDescent="0.35">
      <c r="A1074" s="11">
        <v>46148</v>
      </c>
      <c r="B1074" s="3">
        <v>3</v>
      </c>
      <c r="C1074" t="s">
        <v>113</v>
      </c>
      <c r="D1074" t="s">
        <v>18</v>
      </c>
      <c r="E1074" s="3">
        <v>22</v>
      </c>
      <c r="F1074" t="s">
        <v>19</v>
      </c>
      <c r="G1074" t="s">
        <v>83</v>
      </c>
      <c r="H1074" t="s">
        <v>31</v>
      </c>
      <c r="I1074" s="12">
        <v>0.77777777777777779</v>
      </c>
      <c r="J1074" t="s">
        <v>84</v>
      </c>
      <c r="K1074" t="s">
        <v>31</v>
      </c>
      <c r="L1074" s="12">
        <v>0.80555555555555558</v>
      </c>
      <c r="M1074" t="s">
        <v>63</v>
      </c>
      <c r="N1074" s="3">
        <v>232</v>
      </c>
      <c r="O1074" t="s">
        <v>24</v>
      </c>
      <c r="P1074" t="s">
        <v>79</v>
      </c>
      <c r="R1074">
        <f>tblDailySchedule[[#This Row],[Capacity Approx]]*'[1]Load Factor Sheet June Acft  '!$B$5</f>
        <v>187.86727272727273</v>
      </c>
      <c r="S1074">
        <f>tblDailySchedule[[#This Row],[Capacity Approx]]*'[1]Load Factor Sheet June Acft  '!$D$5</f>
        <v>203.4218181818182</v>
      </c>
      <c r="T1074" s="22">
        <f>tblDailySchedule[[#This Row],[STD]]</f>
        <v>0.80555555555555558</v>
      </c>
    </row>
    <row r="1075" spans="1:20" hidden="1" x14ac:dyDescent="0.35">
      <c r="A1075" s="11">
        <v>46148</v>
      </c>
      <c r="B1075" s="3">
        <v>3</v>
      </c>
      <c r="C1075" t="s">
        <v>113</v>
      </c>
      <c r="D1075" t="s">
        <v>18</v>
      </c>
      <c r="E1075" s="3">
        <v>23</v>
      </c>
      <c r="F1075" t="s">
        <v>19</v>
      </c>
      <c r="G1075" t="s">
        <v>85</v>
      </c>
      <c r="H1075" t="s">
        <v>86</v>
      </c>
      <c r="I1075" s="12">
        <v>0.79861111111111116</v>
      </c>
      <c r="J1075" t="s">
        <v>87</v>
      </c>
      <c r="K1075" t="s">
        <v>86</v>
      </c>
      <c r="L1075" s="12">
        <v>0.82638888888888884</v>
      </c>
      <c r="M1075" t="s">
        <v>63</v>
      </c>
      <c r="N1075" s="3">
        <v>232</v>
      </c>
      <c r="O1075" t="s">
        <v>24</v>
      </c>
      <c r="P1075" t="s">
        <v>79</v>
      </c>
      <c r="R1075">
        <f>tblDailySchedule[[#This Row],[Capacity Approx]]*'[1]Load Factor Sheet June Acft  '!$B$5</f>
        <v>187.86727272727273</v>
      </c>
      <c r="S1075">
        <f>tblDailySchedule[[#This Row],[Capacity Approx]]*'[1]Load Factor Sheet June Acft  '!$D$5</f>
        <v>203.4218181818182</v>
      </c>
      <c r="T1075" s="22">
        <f>tblDailySchedule[[#This Row],[STD]]</f>
        <v>0.82638888888888884</v>
      </c>
    </row>
    <row r="1076" spans="1:20" hidden="1" x14ac:dyDescent="0.35">
      <c r="A1076" s="11">
        <v>46148</v>
      </c>
      <c r="B1076" s="3">
        <v>3</v>
      </c>
      <c r="C1076" t="s">
        <v>113</v>
      </c>
      <c r="D1076" t="s">
        <v>18</v>
      </c>
      <c r="E1076" s="3">
        <v>24</v>
      </c>
      <c r="F1076" t="s">
        <v>19</v>
      </c>
      <c r="G1076" t="s">
        <v>88</v>
      </c>
      <c r="H1076" t="s">
        <v>89</v>
      </c>
      <c r="I1076" s="12">
        <v>0.83333333333333337</v>
      </c>
      <c r="J1076" t="s">
        <v>90</v>
      </c>
      <c r="K1076" t="s">
        <v>31</v>
      </c>
      <c r="L1076" s="12">
        <v>0.86111111111111116</v>
      </c>
      <c r="M1076" t="s">
        <v>63</v>
      </c>
      <c r="N1076" s="3">
        <v>232</v>
      </c>
      <c r="O1076" t="s">
        <v>24</v>
      </c>
      <c r="P1076" t="s">
        <v>79</v>
      </c>
      <c r="R1076">
        <f>tblDailySchedule[[#This Row],[Capacity Approx]]*'[1]Load Factor Sheet June Acft  '!$B$5</f>
        <v>187.86727272727273</v>
      </c>
      <c r="S1076">
        <f>tblDailySchedule[[#This Row],[Capacity Approx]]*'[1]Load Factor Sheet June Acft  '!$D$5</f>
        <v>203.4218181818182</v>
      </c>
      <c r="T1076" s="22">
        <f>tblDailySchedule[[#This Row],[STD]]</f>
        <v>0.86111111111111116</v>
      </c>
    </row>
    <row r="1077" spans="1:20" hidden="1" x14ac:dyDescent="0.35">
      <c r="A1077" s="11">
        <v>46148</v>
      </c>
      <c r="B1077" s="3">
        <v>3</v>
      </c>
      <c r="C1077" t="s">
        <v>113</v>
      </c>
      <c r="D1077" t="s">
        <v>18</v>
      </c>
      <c r="E1077" s="3">
        <v>25</v>
      </c>
      <c r="F1077" t="s">
        <v>19</v>
      </c>
      <c r="G1077" t="s">
        <v>91</v>
      </c>
      <c r="H1077" t="s">
        <v>61</v>
      </c>
      <c r="I1077" s="12">
        <v>0.85416666666666663</v>
      </c>
      <c r="J1077" t="s">
        <v>92</v>
      </c>
      <c r="K1077" t="s">
        <v>61</v>
      </c>
      <c r="L1077" s="12">
        <v>0.88194444444444442</v>
      </c>
      <c r="M1077" t="s">
        <v>63</v>
      </c>
      <c r="N1077" s="3">
        <v>232</v>
      </c>
      <c r="O1077" t="s">
        <v>24</v>
      </c>
      <c r="P1077" t="s">
        <v>79</v>
      </c>
      <c r="R1077">
        <f>tblDailySchedule[[#This Row],[Capacity Approx]]*'[1]Load Factor Sheet June Acft  '!$B$5</f>
        <v>187.86727272727273</v>
      </c>
      <c r="S1077">
        <f>tblDailySchedule[[#This Row],[Capacity Approx]]*'[1]Load Factor Sheet June Acft  '!$D$5</f>
        <v>203.4218181818182</v>
      </c>
      <c r="T1077" s="22">
        <f>tblDailySchedule[[#This Row],[STD]]</f>
        <v>0.88194444444444442</v>
      </c>
    </row>
    <row r="1078" spans="1:20" hidden="1" x14ac:dyDescent="0.35">
      <c r="A1078" s="11">
        <v>46148</v>
      </c>
      <c r="B1078" s="3">
        <v>3</v>
      </c>
      <c r="C1078" t="s">
        <v>113</v>
      </c>
      <c r="D1078" t="s">
        <v>18</v>
      </c>
      <c r="E1078" s="3">
        <v>26</v>
      </c>
      <c r="F1078" t="s">
        <v>19</v>
      </c>
      <c r="G1078" t="s">
        <v>93</v>
      </c>
      <c r="H1078" t="s">
        <v>31</v>
      </c>
      <c r="I1078" s="12">
        <v>0.86111111111111116</v>
      </c>
      <c r="J1078" t="s">
        <v>94</v>
      </c>
      <c r="K1078" t="s">
        <v>31</v>
      </c>
      <c r="L1078" s="12">
        <v>0.88888888888888884</v>
      </c>
      <c r="M1078" t="s">
        <v>23</v>
      </c>
      <c r="N1078" s="3">
        <v>186</v>
      </c>
      <c r="O1078" t="s">
        <v>24</v>
      </c>
      <c r="P1078" t="s">
        <v>79</v>
      </c>
      <c r="R1078">
        <f>tblDailySchedule[[#This Row],[Capacity Approx]]*'[1]Load Factor Sheet June Acft  '!$B$5</f>
        <v>150.61772727272728</v>
      </c>
      <c r="S1078">
        <f>tblDailySchedule[[#This Row],[Capacity Approx]]*'[1]Load Factor Sheet June Acft  '!$D$5</f>
        <v>163.08818181818182</v>
      </c>
      <c r="T1078" s="22">
        <f>tblDailySchedule[[#This Row],[STD]]</f>
        <v>0.88888888888888884</v>
      </c>
    </row>
    <row r="1079" spans="1:20" hidden="1" x14ac:dyDescent="0.35">
      <c r="A1079" s="11">
        <v>46148</v>
      </c>
      <c r="B1079" s="3">
        <v>3</v>
      </c>
      <c r="C1079" t="s">
        <v>113</v>
      </c>
      <c r="D1079" t="s">
        <v>18</v>
      </c>
      <c r="E1079" s="3">
        <v>27</v>
      </c>
      <c r="F1079" t="s">
        <v>19</v>
      </c>
      <c r="G1079" t="s">
        <v>95</v>
      </c>
      <c r="H1079" t="s">
        <v>21</v>
      </c>
      <c r="I1079" s="12">
        <v>0.86805555555555558</v>
      </c>
      <c r="J1079" t="s">
        <v>96</v>
      </c>
      <c r="K1079" t="s">
        <v>21</v>
      </c>
      <c r="L1079" s="12">
        <v>0.89583333333333337</v>
      </c>
      <c r="M1079" t="s">
        <v>29</v>
      </c>
      <c r="N1079" s="3">
        <v>186</v>
      </c>
      <c r="O1079" t="s">
        <v>24</v>
      </c>
      <c r="P1079" t="s">
        <v>79</v>
      </c>
      <c r="R1079">
        <f>tblDailySchedule[[#This Row],[Capacity Approx]]*'[1]Load Factor Sheet June Acft  '!$B$5</f>
        <v>150.61772727272728</v>
      </c>
      <c r="S1079">
        <f>tblDailySchedule[[#This Row],[Capacity Approx]]*'[1]Load Factor Sheet June Acft  '!$D$5</f>
        <v>163.08818181818182</v>
      </c>
      <c r="T1079" s="22">
        <f>tblDailySchedule[[#This Row],[STD]]</f>
        <v>0.89583333333333337</v>
      </c>
    </row>
    <row r="1080" spans="1:20" hidden="1" x14ac:dyDescent="0.35">
      <c r="A1080" s="11">
        <v>46148</v>
      </c>
      <c r="B1080" s="3">
        <v>3</v>
      </c>
      <c r="C1080" t="s">
        <v>113</v>
      </c>
      <c r="D1080" t="s">
        <v>18</v>
      </c>
      <c r="E1080" s="3">
        <v>28</v>
      </c>
      <c r="F1080" t="s">
        <v>19</v>
      </c>
      <c r="G1080" t="s">
        <v>97</v>
      </c>
      <c r="H1080" t="s">
        <v>49</v>
      </c>
      <c r="I1080" s="12">
        <v>0.90277777777777779</v>
      </c>
      <c r="J1080" t="s">
        <v>97</v>
      </c>
      <c r="K1080" t="s">
        <v>61</v>
      </c>
      <c r="L1080" s="12">
        <v>0.92361111111111116</v>
      </c>
      <c r="M1080" t="s">
        <v>33</v>
      </c>
      <c r="N1080" s="3">
        <v>189</v>
      </c>
      <c r="O1080" t="s">
        <v>24</v>
      </c>
      <c r="P1080" t="s">
        <v>79</v>
      </c>
      <c r="R1080">
        <f>tblDailySchedule[[#This Row],[Capacity Approx]]*'[1]Load Factor Sheet June Acft  '!$B$5</f>
        <v>153.04704545454547</v>
      </c>
      <c r="S1080">
        <f>tblDailySchedule[[#This Row],[Capacity Approx]]*'[1]Load Factor Sheet June Acft  '!$D$5</f>
        <v>165.71863636363636</v>
      </c>
      <c r="T1080" s="22">
        <f>tblDailySchedule[[#This Row],[STD]]</f>
        <v>0.92361111111111116</v>
      </c>
    </row>
    <row r="1081" spans="1:20" hidden="1" x14ac:dyDescent="0.35">
      <c r="A1081" s="11">
        <v>46148</v>
      </c>
      <c r="B1081" s="3">
        <v>3</v>
      </c>
      <c r="C1081" t="s">
        <v>113</v>
      </c>
      <c r="D1081" t="s">
        <v>18</v>
      </c>
      <c r="E1081" s="3">
        <v>29</v>
      </c>
      <c r="F1081" t="s">
        <v>19</v>
      </c>
      <c r="G1081" t="s">
        <v>98</v>
      </c>
      <c r="H1081" t="s">
        <v>21</v>
      </c>
      <c r="I1081" s="12">
        <v>0.92013888888888884</v>
      </c>
      <c r="J1081" t="s">
        <v>99</v>
      </c>
      <c r="K1081" t="s">
        <v>21</v>
      </c>
      <c r="L1081" s="12">
        <v>0.94791666666666663</v>
      </c>
      <c r="M1081" t="s">
        <v>63</v>
      </c>
      <c r="N1081" s="3">
        <v>232</v>
      </c>
      <c r="O1081" t="s">
        <v>24</v>
      </c>
      <c r="P1081" t="s">
        <v>79</v>
      </c>
      <c r="R1081">
        <f>tblDailySchedule[[#This Row],[Capacity Approx]]*'[1]Load Factor Sheet June Acft  '!$B$5</f>
        <v>187.86727272727273</v>
      </c>
      <c r="S1081">
        <f>tblDailySchedule[[#This Row],[Capacity Approx]]*'[1]Load Factor Sheet June Acft  '!$D$5</f>
        <v>203.4218181818182</v>
      </c>
      <c r="T1081" s="22">
        <f>tblDailySchedule[[#This Row],[STD]]</f>
        <v>0.94791666666666663</v>
      </c>
    </row>
    <row r="1082" spans="1:20" hidden="1" x14ac:dyDescent="0.35">
      <c r="A1082" s="13">
        <v>46148</v>
      </c>
      <c r="B1082" s="7">
        <v>3</v>
      </c>
      <c r="C1082" s="14" t="s">
        <v>113</v>
      </c>
      <c r="D1082" s="14" t="s">
        <v>18</v>
      </c>
      <c r="E1082" s="7">
        <v>30</v>
      </c>
      <c r="F1082" s="14" t="s">
        <v>104</v>
      </c>
      <c r="G1082" s="14" t="s">
        <v>105</v>
      </c>
      <c r="H1082" s="14" t="s">
        <v>106</v>
      </c>
      <c r="I1082" s="15">
        <v>0.92708333333333337</v>
      </c>
      <c r="J1082" s="14" t="s">
        <v>107</v>
      </c>
      <c r="K1082" s="14" t="s">
        <v>106</v>
      </c>
      <c r="L1082" s="15">
        <v>0.95833333333333337</v>
      </c>
      <c r="M1082" s="14" t="s">
        <v>38</v>
      </c>
      <c r="N1082" s="7">
        <v>186</v>
      </c>
      <c r="O1082" s="14" t="s">
        <v>39</v>
      </c>
      <c r="P1082" s="14" t="s">
        <v>79</v>
      </c>
      <c r="Q1082" s="14" t="s">
        <v>39</v>
      </c>
      <c r="R1082">
        <f>tblDailySchedule[[#This Row],[Capacity Approx]]*'[1]Load Factor Sheet June Acft  '!$B$5</f>
        <v>150.61772727272728</v>
      </c>
      <c r="S1082">
        <f>tblDailySchedule[[#This Row],[Capacity Approx]]*'[1]Load Factor Sheet June Acft  '!$D$5</f>
        <v>163.08818181818182</v>
      </c>
      <c r="T1082" s="22">
        <f>tblDailySchedule[[#This Row],[STD]]</f>
        <v>0.95833333333333337</v>
      </c>
    </row>
    <row r="1083" spans="1:20" hidden="1" x14ac:dyDescent="0.35">
      <c r="A1083" s="11">
        <v>46149</v>
      </c>
      <c r="B1083" s="3">
        <v>4</v>
      </c>
      <c r="C1083" t="s">
        <v>114</v>
      </c>
      <c r="D1083" t="s">
        <v>18</v>
      </c>
      <c r="E1083" s="3">
        <v>1</v>
      </c>
      <c r="F1083" t="s">
        <v>101</v>
      </c>
      <c r="G1083" t="s">
        <v>102</v>
      </c>
      <c r="H1083" t="s">
        <v>61</v>
      </c>
      <c r="I1083" s="12">
        <v>0.3125</v>
      </c>
      <c r="J1083" t="s">
        <v>103</v>
      </c>
      <c r="K1083" t="s">
        <v>61</v>
      </c>
      <c r="L1083" s="12">
        <v>0.33333333333333331</v>
      </c>
      <c r="M1083" t="s">
        <v>33</v>
      </c>
      <c r="N1083" s="3">
        <v>189</v>
      </c>
      <c r="O1083" t="s">
        <v>24</v>
      </c>
      <c r="P1083" t="s">
        <v>25</v>
      </c>
      <c r="R1083">
        <f>tblDailySchedule[[#This Row],[Capacity Approx]]*'[1]Load Factor Sheet June Acft  '!$B$5</f>
        <v>153.04704545454547</v>
      </c>
      <c r="S1083">
        <f>tblDailySchedule[[#This Row],[Capacity Approx]]*'[1]Load Factor Sheet June Acft  '!$D$5</f>
        <v>165.71863636363636</v>
      </c>
      <c r="T1083" s="22">
        <f>tblDailySchedule[[#This Row],[STD]]</f>
        <v>0.33333333333333331</v>
      </c>
    </row>
    <row r="1084" spans="1:20" hidden="1" x14ac:dyDescent="0.35">
      <c r="A1084" s="11">
        <v>46149</v>
      </c>
      <c r="B1084" s="3">
        <v>4</v>
      </c>
      <c r="C1084" t="s">
        <v>114</v>
      </c>
      <c r="D1084" t="s">
        <v>18</v>
      </c>
      <c r="E1084" s="3">
        <v>2</v>
      </c>
      <c r="F1084" t="s">
        <v>19</v>
      </c>
      <c r="G1084" t="s">
        <v>20</v>
      </c>
      <c r="H1084" t="s">
        <v>21</v>
      </c>
      <c r="I1084" s="12">
        <v>0.31944444444444442</v>
      </c>
      <c r="J1084" t="s">
        <v>22</v>
      </c>
      <c r="K1084" t="s">
        <v>21</v>
      </c>
      <c r="L1084" s="12">
        <v>0.34722222222222221</v>
      </c>
      <c r="M1084" t="s">
        <v>23</v>
      </c>
      <c r="N1084" s="3">
        <v>186</v>
      </c>
      <c r="O1084" t="s">
        <v>24</v>
      </c>
      <c r="P1084" t="s">
        <v>25</v>
      </c>
      <c r="R1084">
        <f>tblDailySchedule[[#This Row],[Capacity Approx]]*'[1]Load Factor Sheet June Acft  '!$B$5</f>
        <v>150.61772727272728</v>
      </c>
      <c r="S1084">
        <f>tblDailySchedule[[#This Row],[Capacity Approx]]*'[1]Load Factor Sheet June Acft  '!$D$5</f>
        <v>163.08818181818182</v>
      </c>
      <c r="T1084" s="22">
        <f>tblDailySchedule[[#This Row],[STD]]</f>
        <v>0.34722222222222221</v>
      </c>
    </row>
    <row r="1085" spans="1:20" hidden="1" x14ac:dyDescent="0.35">
      <c r="A1085" s="11">
        <v>46149</v>
      </c>
      <c r="B1085" s="3">
        <v>4</v>
      </c>
      <c r="C1085" t="s">
        <v>114</v>
      </c>
      <c r="D1085" t="s">
        <v>18</v>
      </c>
      <c r="E1085" s="3">
        <v>3</v>
      </c>
      <c r="F1085" t="s">
        <v>19</v>
      </c>
      <c r="G1085" t="s">
        <v>26</v>
      </c>
      <c r="H1085" t="s">
        <v>27</v>
      </c>
      <c r="I1085" s="12">
        <v>0.3263888888888889</v>
      </c>
      <c r="J1085" t="s">
        <v>28</v>
      </c>
      <c r="K1085" t="s">
        <v>27</v>
      </c>
      <c r="L1085" s="12">
        <v>0.35416666666666669</v>
      </c>
      <c r="M1085" t="s">
        <v>29</v>
      </c>
      <c r="N1085" s="3">
        <v>186</v>
      </c>
      <c r="O1085" t="s">
        <v>24</v>
      </c>
      <c r="P1085" t="s">
        <v>25</v>
      </c>
      <c r="R1085">
        <f>tblDailySchedule[[#This Row],[Capacity Approx]]*'[1]Load Factor Sheet June Acft  '!$B$5</f>
        <v>150.61772727272728</v>
      </c>
      <c r="S1085">
        <f>tblDailySchedule[[#This Row],[Capacity Approx]]*'[1]Load Factor Sheet June Acft  '!$D$5</f>
        <v>163.08818181818182</v>
      </c>
      <c r="T1085" s="22">
        <f>tblDailySchedule[[#This Row],[STD]]</f>
        <v>0.35416666666666669</v>
      </c>
    </row>
    <row r="1086" spans="1:20" hidden="1" x14ac:dyDescent="0.35">
      <c r="A1086" s="11">
        <v>46149</v>
      </c>
      <c r="B1086" s="3">
        <v>4</v>
      </c>
      <c r="C1086" t="s">
        <v>114</v>
      </c>
      <c r="D1086" t="s">
        <v>18</v>
      </c>
      <c r="E1086" s="3">
        <v>4</v>
      </c>
      <c r="F1086" t="s">
        <v>19</v>
      </c>
      <c r="G1086" t="s">
        <v>30</v>
      </c>
      <c r="H1086" t="s">
        <v>31</v>
      </c>
      <c r="I1086" s="12">
        <v>0.34722222222222221</v>
      </c>
      <c r="J1086" t="s">
        <v>32</v>
      </c>
      <c r="K1086" t="s">
        <v>31</v>
      </c>
      <c r="L1086" s="12">
        <v>0.36805555555555558</v>
      </c>
      <c r="M1086" t="s">
        <v>33</v>
      </c>
      <c r="N1086" s="3">
        <v>189</v>
      </c>
      <c r="O1086" t="s">
        <v>24</v>
      </c>
      <c r="P1086" t="s">
        <v>25</v>
      </c>
      <c r="R1086">
        <f>tblDailySchedule[[#This Row],[Capacity Approx]]*'[1]Load Factor Sheet June Acft  '!$B$5</f>
        <v>153.04704545454547</v>
      </c>
      <c r="S1086">
        <f>tblDailySchedule[[#This Row],[Capacity Approx]]*'[1]Load Factor Sheet June Acft  '!$D$5</f>
        <v>165.71863636363636</v>
      </c>
      <c r="T1086" s="22">
        <f>tblDailySchedule[[#This Row],[STD]]</f>
        <v>0.36805555555555558</v>
      </c>
    </row>
    <row r="1087" spans="1:20" hidden="1" x14ac:dyDescent="0.35">
      <c r="A1087" s="11">
        <v>46149</v>
      </c>
      <c r="B1087" s="3">
        <v>4</v>
      </c>
      <c r="C1087" t="s">
        <v>114</v>
      </c>
      <c r="D1087" t="s">
        <v>18</v>
      </c>
      <c r="E1087" s="3">
        <v>5</v>
      </c>
      <c r="F1087" t="s">
        <v>19</v>
      </c>
      <c r="G1087" t="s">
        <v>40</v>
      </c>
      <c r="H1087" t="s">
        <v>31</v>
      </c>
      <c r="I1087" s="12">
        <v>0.35069444444444442</v>
      </c>
      <c r="J1087" t="s">
        <v>41</v>
      </c>
      <c r="K1087" t="s">
        <v>31</v>
      </c>
      <c r="L1087" s="12">
        <v>0.37152777777777779</v>
      </c>
      <c r="M1087" t="s">
        <v>23</v>
      </c>
      <c r="N1087" s="3">
        <v>186</v>
      </c>
      <c r="O1087" t="s">
        <v>24</v>
      </c>
      <c r="P1087" t="s">
        <v>25</v>
      </c>
      <c r="R1087">
        <f>tblDailySchedule[[#This Row],[Capacity Approx]]*'[1]Load Factor Sheet June Acft  '!$B$5</f>
        <v>150.61772727272728</v>
      </c>
      <c r="S1087">
        <f>tblDailySchedule[[#This Row],[Capacity Approx]]*'[1]Load Factor Sheet June Acft  '!$D$5</f>
        <v>163.08818181818182</v>
      </c>
      <c r="T1087" s="22">
        <f>tblDailySchedule[[#This Row],[STD]]</f>
        <v>0.37152777777777779</v>
      </c>
    </row>
    <row r="1088" spans="1:20" hidden="1" x14ac:dyDescent="0.35">
      <c r="A1088" s="11">
        <v>46149</v>
      </c>
      <c r="B1088" s="3">
        <v>4</v>
      </c>
      <c r="C1088" t="s">
        <v>114</v>
      </c>
      <c r="D1088" t="s">
        <v>18</v>
      </c>
      <c r="E1088" s="3">
        <v>7</v>
      </c>
      <c r="F1088" t="s">
        <v>19</v>
      </c>
      <c r="G1088" t="s">
        <v>42</v>
      </c>
      <c r="H1088" t="s">
        <v>43</v>
      </c>
      <c r="I1088" s="12">
        <v>0.3923611111111111</v>
      </c>
      <c r="J1088" t="s">
        <v>44</v>
      </c>
      <c r="K1088" t="s">
        <v>43</v>
      </c>
      <c r="L1088" s="12">
        <v>0.40277777777777779</v>
      </c>
      <c r="M1088" t="s">
        <v>45</v>
      </c>
      <c r="N1088" s="3">
        <v>9</v>
      </c>
      <c r="O1088" t="s">
        <v>24</v>
      </c>
      <c r="P1088" t="s">
        <v>25</v>
      </c>
      <c r="R1088">
        <f>tblDailySchedule[[#This Row],[Capacity Approx]]*'[1]Load Factor Sheet June Acft  '!$B$5</f>
        <v>7.2879545454545456</v>
      </c>
      <c r="S1088">
        <f>tblDailySchedule[[#This Row],[Capacity Approx]]*'[1]Load Factor Sheet June Acft  '!$D$5</f>
        <v>7.8913636363636366</v>
      </c>
      <c r="T1088" s="22">
        <f>tblDailySchedule[[#This Row],[STD]]</f>
        <v>0.40277777777777779</v>
      </c>
    </row>
    <row r="1089" spans="1:20" hidden="1" x14ac:dyDescent="0.35">
      <c r="A1089" s="11">
        <v>46149</v>
      </c>
      <c r="B1089" s="3">
        <v>4</v>
      </c>
      <c r="C1089" t="s">
        <v>114</v>
      </c>
      <c r="D1089" t="s">
        <v>18</v>
      </c>
      <c r="E1089" s="3">
        <v>8</v>
      </c>
      <c r="F1089" t="s">
        <v>19</v>
      </c>
      <c r="G1089" t="s">
        <v>46</v>
      </c>
      <c r="H1089" t="s">
        <v>31</v>
      </c>
      <c r="I1089" s="12">
        <v>0.4201388888888889</v>
      </c>
      <c r="J1089" t="s">
        <v>47</v>
      </c>
      <c r="K1089" t="s">
        <v>31</v>
      </c>
      <c r="L1089" s="12">
        <v>0.44444444444444442</v>
      </c>
      <c r="M1089" t="s">
        <v>29</v>
      </c>
      <c r="N1089" s="3">
        <v>186</v>
      </c>
      <c r="O1089" t="s">
        <v>24</v>
      </c>
      <c r="P1089" t="s">
        <v>25</v>
      </c>
      <c r="R1089">
        <f>tblDailySchedule[[#This Row],[Capacity Approx]]*'[1]Load Factor Sheet June Acft  '!$B$5</f>
        <v>150.61772727272728</v>
      </c>
      <c r="S1089">
        <f>tblDailySchedule[[#This Row],[Capacity Approx]]*'[1]Load Factor Sheet June Acft  '!$D$5</f>
        <v>163.08818181818182</v>
      </c>
      <c r="T1089" s="22">
        <f>tblDailySchedule[[#This Row],[STD]]</f>
        <v>0.44444444444444442</v>
      </c>
    </row>
    <row r="1090" spans="1:20" hidden="1" x14ac:dyDescent="0.35">
      <c r="A1090" s="11">
        <v>46149</v>
      </c>
      <c r="B1090" s="3">
        <v>4</v>
      </c>
      <c r="C1090" t="s">
        <v>114</v>
      </c>
      <c r="D1090" t="s">
        <v>18</v>
      </c>
      <c r="E1090" s="3">
        <v>9</v>
      </c>
      <c r="F1090" t="s">
        <v>19</v>
      </c>
      <c r="G1090" t="s">
        <v>48</v>
      </c>
      <c r="H1090" t="s">
        <v>49</v>
      </c>
      <c r="I1090" s="12">
        <v>0.4375</v>
      </c>
      <c r="J1090" t="s">
        <v>50</v>
      </c>
      <c r="K1090" t="s">
        <v>49</v>
      </c>
      <c r="L1090" s="12">
        <v>0.45833333333333331</v>
      </c>
      <c r="M1090" t="s">
        <v>51</v>
      </c>
      <c r="N1090" s="3">
        <v>78</v>
      </c>
      <c r="O1090" t="s">
        <v>24</v>
      </c>
      <c r="P1090" t="s">
        <v>25</v>
      </c>
      <c r="R1090">
        <f>tblDailySchedule[[#This Row],[Capacity Approx]]*'[1]Load Factor Sheet June Acft  '!$B$5</f>
        <v>63.162272727272729</v>
      </c>
      <c r="S1090">
        <f>tblDailySchedule[[#This Row],[Capacity Approx]]*'[1]Load Factor Sheet June Acft  '!$D$5</f>
        <v>68.391818181818181</v>
      </c>
      <c r="T1090" s="22">
        <f>tblDailySchedule[[#This Row],[STD]]</f>
        <v>0.45833333333333331</v>
      </c>
    </row>
    <row r="1091" spans="1:20" hidden="1" x14ac:dyDescent="0.35">
      <c r="A1091" s="11">
        <v>46149</v>
      </c>
      <c r="B1091" s="3">
        <v>4</v>
      </c>
      <c r="C1091" t="s">
        <v>114</v>
      </c>
      <c r="D1091" t="s">
        <v>18</v>
      </c>
      <c r="E1091" s="3">
        <v>10</v>
      </c>
      <c r="F1091" t="s">
        <v>19</v>
      </c>
      <c r="G1091" t="s">
        <v>52</v>
      </c>
      <c r="H1091" t="s">
        <v>27</v>
      </c>
      <c r="I1091" s="12">
        <v>0.4826388888888889</v>
      </c>
      <c r="J1091" t="s">
        <v>53</v>
      </c>
      <c r="K1091" t="s">
        <v>27</v>
      </c>
      <c r="L1091" s="12">
        <v>0.51041666666666663</v>
      </c>
      <c r="M1091" t="s">
        <v>23</v>
      </c>
      <c r="N1091" s="3">
        <v>186</v>
      </c>
      <c r="O1091" t="s">
        <v>24</v>
      </c>
      <c r="P1091" t="s">
        <v>25</v>
      </c>
      <c r="R1091">
        <f>tblDailySchedule[[#This Row],[Capacity Approx]]*'[1]Load Factor Sheet June Acft  '!$B$5</f>
        <v>150.61772727272728</v>
      </c>
      <c r="S1091">
        <f>tblDailySchedule[[#This Row],[Capacity Approx]]*'[1]Load Factor Sheet June Acft  '!$D$5</f>
        <v>163.08818181818182</v>
      </c>
      <c r="T1091" s="22">
        <f>tblDailySchedule[[#This Row],[STD]]</f>
        <v>0.51041666666666663</v>
      </c>
    </row>
    <row r="1092" spans="1:20" hidden="1" x14ac:dyDescent="0.35">
      <c r="A1092" s="11">
        <v>46149</v>
      </c>
      <c r="B1092" s="3">
        <v>4</v>
      </c>
      <c r="C1092" t="s">
        <v>114</v>
      </c>
      <c r="D1092" t="s">
        <v>18</v>
      </c>
      <c r="E1092" s="3">
        <v>11</v>
      </c>
      <c r="F1092" t="s">
        <v>19</v>
      </c>
      <c r="G1092" t="s">
        <v>54</v>
      </c>
      <c r="H1092" t="s">
        <v>31</v>
      </c>
      <c r="I1092" s="12">
        <v>0.51388888888888884</v>
      </c>
      <c r="J1092" t="s">
        <v>55</v>
      </c>
      <c r="K1092" t="s">
        <v>31</v>
      </c>
      <c r="L1092" s="12">
        <v>0.54166666666666663</v>
      </c>
      <c r="M1092" t="s">
        <v>23</v>
      </c>
      <c r="N1092" s="3">
        <v>186</v>
      </c>
      <c r="O1092" t="s">
        <v>24</v>
      </c>
      <c r="P1092" t="s">
        <v>56</v>
      </c>
      <c r="R1092">
        <f>tblDailySchedule[[#This Row],[Capacity Approx]]*'[1]Load Factor Sheet June Acft  '!$B$5</f>
        <v>150.61772727272728</v>
      </c>
      <c r="S1092">
        <f>tblDailySchedule[[#This Row],[Capacity Approx]]*'[1]Load Factor Sheet June Acft  '!$D$5</f>
        <v>163.08818181818182</v>
      </c>
      <c r="T1092" s="22">
        <f>tblDailySchedule[[#This Row],[STD]]</f>
        <v>0.54166666666666663</v>
      </c>
    </row>
    <row r="1093" spans="1:20" hidden="1" x14ac:dyDescent="0.35">
      <c r="A1093" s="11">
        <v>46149</v>
      </c>
      <c r="B1093" s="3">
        <v>4</v>
      </c>
      <c r="C1093" t="s">
        <v>114</v>
      </c>
      <c r="D1093" t="s">
        <v>18</v>
      </c>
      <c r="E1093" s="3">
        <v>12</v>
      </c>
      <c r="F1093" t="s">
        <v>109</v>
      </c>
      <c r="G1093" t="s">
        <v>110</v>
      </c>
      <c r="H1093" t="s">
        <v>111</v>
      </c>
      <c r="I1093" s="12">
        <v>0.55555555555555558</v>
      </c>
      <c r="J1093" t="s">
        <v>112</v>
      </c>
      <c r="K1093" t="s">
        <v>111</v>
      </c>
      <c r="L1093" s="12">
        <v>0.56944444444444442</v>
      </c>
      <c r="M1093" t="s">
        <v>51</v>
      </c>
      <c r="N1093" s="3">
        <v>78</v>
      </c>
      <c r="O1093" t="s">
        <v>24</v>
      </c>
      <c r="P1093" t="s">
        <v>56</v>
      </c>
      <c r="R1093">
        <f>tblDailySchedule[[#This Row],[Capacity Approx]]*'[1]Load Factor Sheet June Acft  '!$B$5</f>
        <v>63.162272727272729</v>
      </c>
      <c r="S1093">
        <f>tblDailySchedule[[#This Row],[Capacity Approx]]*'[1]Load Factor Sheet June Acft  '!$D$5</f>
        <v>68.391818181818181</v>
      </c>
      <c r="T1093" s="22">
        <f>tblDailySchedule[[#This Row],[STD]]</f>
        <v>0.56944444444444442</v>
      </c>
    </row>
    <row r="1094" spans="1:20" hidden="1" x14ac:dyDescent="0.35">
      <c r="A1094" s="11">
        <v>46149</v>
      </c>
      <c r="B1094" s="3">
        <v>4</v>
      </c>
      <c r="C1094" t="s">
        <v>114</v>
      </c>
      <c r="D1094" t="s">
        <v>18</v>
      </c>
      <c r="E1094" s="3">
        <v>13</v>
      </c>
      <c r="F1094" t="s">
        <v>19</v>
      </c>
      <c r="G1094" t="s">
        <v>57</v>
      </c>
      <c r="H1094" t="s">
        <v>58</v>
      </c>
      <c r="I1094" s="12">
        <v>0.55902777777777779</v>
      </c>
      <c r="J1094" t="s">
        <v>59</v>
      </c>
      <c r="K1094" t="s">
        <v>58</v>
      </c>
      <c r="L1094" s="12">
        <v>0.57638888888888884</v>
      </c>
      <c r="M1094" t="s">
        <v>51</v>
      </c>
      <c r="N1094" s="3">
        <v>78</v>
      </c>
      <c r="O1094" t="s">
        <v>24</v>
      </c>
      <c r="P1094" t="s">
        <v>56</v>
      </c>
      <c r="R1094">
        <f>tblDailySchedule[[#This Row],[Capacity Approx]]*'[1]Load Factor Sheet June Acft  '!$B$5</f>
        <v>63.162272727272729</v>
      </c>
      <c r="S1094">
        <f>tblDailySchedule[[#This Row],[Capacity Approx]]*'[1]Load Factor Sheet June Acft  '!$D$5</f>
        <v>68.391818181818181</v>
      </c>
      <c r="T1094" s="22">
        <f>tblDailySchedule[[#This Row],[STD]]</f>
        <v>0.57638888888888884</v>
      </c>
    </row>
    <row r="1095" spans="1:20" hidden="1" x14ac:dyDescent="0.35">
      <c r="A1095" s="11">
        <v>46149</v>
      </c>
      <c r="B1095" s="3">
        <v>4</v>
      </c>
      <c r="C1095" t="s">
        <v>114</v>
      </c>
      <c r="D1095" t="s">
        <v>18</v>
      </c>
      <c r="E1095" s="3">
        <v>14</v>
      </c>
      <c r="F1095" t="s">
        <v>19</v>
      </c>
      <c r="G1095" t="s">
        <v>60</v>
      </c>
      <c r="H1095" t="s">
        <v>61</v>
      </c>
      <c r="I1095" s="12">
        <v>0.59027777777777779</v>
      </c>
      <c r="J1095" t="s">
        <v>62</v>
      </c>
      <c r="K1095" t="s">
        <v>61</v>
      </c>
      <c r="L1095" s="12">
        <v>0.62152777777777779</v>
      </c>
      <c r="M1095" t="s">
        <v>63</v>
      </c>
      <c r="N1095" s="3">
        <v>232</v>
      </c>
      <c r="O1095" t="s">
        <v>24</v>
      </c>
      <c r="P1095" t="s">
        <v>56</v>
      </c>
      <c r="R1095">
        <f>tblDailySchedule[[#This Row],[Capacity Approx]]*'[1]Load Factor Sheet June Acft  '!$B$5</f>
        <v>187.86727272727273</v>
      </c>
      <c r="S1095">
        <f>tblDailySchedule[[#This Row],[Capacity Approx]]*'[1]Load Factor Sheet June Acft  '!$D$5</f>
        <v>203.4218181818182</v>
      </c>
      <c r="T1095" s="22">
        <f>tblDailySchedule[[#This Row],[STD]]</f>
        <v>0.62152777777777779</v>
      </c>
    </row>
    <row r="1096" spans="1:20" hidden="1" x14ac:dyDescent="0.35">
      <c r="A1096" s="11">
        <v>46149</v>
      </c>
      <c r="B1096" s="3">
        <v>4</v>
      </c>
      <c r="C1096" t="s">
        <v>114</v>
      </c>
      <c r="D1096" t="s">
        <v>18</v>
      </c>
      <c r="E1096" s="3">
        <v>15</v>
      </c>
      <c r="F1096" t="s">
        <v>19</v>
      </c>
      <c r="G1096" t="s">
        <v>64</v>
      </c>
      <c r="H1096" t="s">
        <v>31</v>
      </c>
      <c r="I1096" s="12">
        <v>0.60069444444444442</v>
      </c>
      <c r="J1096" t="s">
        <v>65</v>
      </c>
      <c r="K1096" t="s">
        <v>66</v>
      </c>
      <c r="L1096" s="12">
        <v>0.62847222222222221</v>
      </c>
      <c r="M1096" t="s">
        <v>63</v>
      </c>
      <c r="N1096" s="3">
        <v>232</v>
      </c>
      <c r="O1096" t="s">
        <v>24</v>
      </c>
      <c r="P1096" t="s">
        <v>56</v>
      </c>
      <c r="R1096">
        <f>tblDailySchedule[[#This Row],[Capacity Approx]]*'[1]Load Factor Sheet June Acft  '!$B$5</f>
        <v>187.86727272727273</v>
      </c>
      <c r="S1096">
        <f>tblDailySchedule[[#This Row],[Capacity Approx]]*'[1]Load Factor Sheet June Acft  '!$D$5</f>
        <v>203.4218181818182</v>
      </c>
      <c r="T1096" s="22">
        <f>tblDailySchedule[[#This Row],[STD]]</f>
        <v>0.62847222222222221</v>
      </c>
    </row>
    <row r="1097" spans="1:20" hidden="1" x14ac:dyDescent="0.35">
      <c r="A1097" s="11">
        <v>46149</v>
      </c>
      <c r="B1097" s="3">
        <v>4</v>
      </c>
      <c r="C1097" t="s">
        <v>114</v>
      </c>
      <c r="D1097" t="s">
        <v>18</v>
      </c>
      <c r="E1097" s="3">
        <v>16</v>
      </c>
      <c r="F1097" t="s">
        <v>19</v>
      </c>
      <c r="G1097" t="s">
        <v>67</v>
      </c>
      <c r="H1097" t="s">
        <v>31</v>
      </c>
      <c r="I1097" s="12">
        <v>0.65625</v>
      </c>
      <c r="J1097" t="s">
        <v>68</v>
      </c>
      <c r="K1097" t="s">
        <v>31</v>
      </c>
      <c r="L1097" s="12">
        <v>0.68402777777777779</v>
      </c>
      <c r="M1097" t="s">
        <v>63</v>
      </c>
      <c r="N1097" s="3">
        <v>232</v>
      </c>
      <c r="O1097" t="s">
        <v>24</v>
      </c>
      <c r="P1097" t="s">
        <v>56</v>
      </c>
      <c r="R1097">
        <f>tblDailySchedule[[#This Row],[Capacity Approx]]*'[1]Load Factor Sheet June Acft  '!$B$5</f>
        <v>187.86727272727273</v>
      </c>
      <c r="S1097">
        <f>tblDailySchedule[[#This Row],[Capacity Approx]]*'[1]Load Factor Sheet June Acft  '!$D$5</f>
        <v>203.4218181818182</v>
      </c>
      <c r="T1097" s="22">
        <f>tblDailySchedule[[#This Row],[STD]]</f>
        <v>0.68402777777777779</v>
      </c>
    </row>
    <row r="1098" spans="1:20" hidden="1" x14ac:dyDescent="0.35">
      <c r="A1098" s="11">
        <v>46149</v>
      </c>
      <c r="B1098" s="3">
        <v>4</v>
      </c>
      <c r="C1098" t="s">
        <v>114</v>
      </c>
      <c r="D1098" t="s">
        <v>18</v>
      </c>
      <c r="E1098" s="3">
        <v>17</v>
      </c>
      <c r="F1098" t="s">
        <v>19</v>
      </c>
      <c r="G1098" t="s">
        <v>69</v>
      </c>
      <c r="H1098" t="s">
        <v>31</v>
      </c>
      <c r="I1098" s="12">
        <v>0.66319444444444442</v>
      </c>
      <c r="J1098" t="s">
        <v>70</v>
      </c>
      <c r="K1098" t="s">
        <v>31</v>
      </c>
      <c r="L1098" s="12">
        <v>0.69097222222222221</v>
      </c>
      <c r="M1098" t="s">
        <v>33</v>
      </c>
      <c r="N1098" s="3">
        <v>189</v>
      </c>
      <c r="O1098" t="s">
        <v>24</v>
      </c>
      <c r="P1098" t="s">
        <v>56</v>
      </c>
      <c r="R1098">
        <f>tblDailySchedule[[#This Row],[Capacity Approx]]*'[1]Load Factor Sheet June Acft  '!$B$5</f>
        <v>153.04704545454547</v>
      </c>
      <c r="S1098">
        <f>tblDailySchedule[[#This Row],[Capacity Approx]]*'[1]Load Factor Sheet June Acft  '!$D$5</f>
        <v>165.71863636363636</v>
      </c>
      <c r="T1098" s="22">
        <f>tblDailySchedule[[#This Row],[STD]]</f>
        <v>0.69097222222222221</v>
      </c>
    </row>
    <row r="1099" spans="1:20" hidden="1" x14ac:dyDescent="0.35">
      <c r="A1099" s="11">
        <v>46149</v>
      </c>
      <c r="B1099" s="3">
        <v>4</v>
      </c>
      <c r="C1099" t="s">
        <v>114</v>
      </c>
      <c r="D1099" t="s">
        <v>18</v>
      </c>
      <c r="E1099" s="3">
        <v>18</v>
      </c>
      <c r="F1099" t="s">
        <v>19</v>
      </c>
      <c r="G1099" t="s">
        <v>71</v>
      </c>
      <c r="H1099" t="s">
        <v>21</v>
      </c>
      <c r="I1099" s="12">
        <v>0.67013888888888884</v>
      </c>
      <c r="J1099" t="s">
        <v>72</v>
      </c>
      <c r="K1099" t="s">
        <v>21</v>
      </c>
      <c r="L1099" s="12">
        <v>0.69791666666666663</v>
      </c>
      <c r="M1099" t="s">
        <v>63</v>
      </c>
      <c r="N1099" s="3">
        <v>232</v>
      </c>
      <c r="O1099" t="s">
        <v>24</v>
      </c>
      <c r="P1099" t="s">
        <v>56</v>
      </c>
      <c r="R1099">
        <f>tblDailySchedule[[#This Row],[Capacity Approx]]*'[1]Load Factor Sheet June Acft  '!$B$5</f>
        <v>187.86727272727273</v>
      </c>
      <c r="S1099">
        <f>tblDailySchedule[[#This Row],[Capacity Approx]]*'[1]Load Factor Sheet June Acft  '!$D$5</f>
        <v>203.4218181818182</v>
      </c>
      <c r="T1099" s="22">
        <f>tblDailySchedule[[#This Row],[STD]]</f>
        <v>0.69791666666666663</v>
      </c>
    </row>
    <row r="1100" spans="1:20" hidden="1" x14ac:dyDescent="0.35">
      <c r="A1100" s="11">
        <v>46149</v>
      </c>
      <c r="B1100" s="3">
        <v>4</v>
      </c>
      <c r="C1100" t="s">
        <v>114</v>
      </c>
      <c r="D1100" t="s">
        <v>18</v>
      </c>
      <c r="E1100" s="3">
        <v>19</v>
      </c>
      <c r="F1100" t="s">
        <v>19</v>
      </c>
      <c r="G1100" t="s">
        <v>73</v>
      </c>
      <c r="H1100" t="s">
        <v>27</v>
      </c>
      <c r="I1100" s="12">
        <v>0.74652777777777779</v>
      </c>
      <c r="J1100" t="s">
        <v>74</v>
      </c>
      <c r="K1100" t="s">
        <v>27</v>
      </c>
      <c r="L1100" s="12">
        <v>0.77430555555555558</v>
      </c>
      <c r="M1100" t="s">
        <v>63</v>
      </c>
      <c r="N1100" s="3">
        <v>232</v>
      </c>
      <c r="O1100" t="s">
        <v>24</v>
      </c>
      <c r="P1100" t="s">
        <v>56</v>
      </c>
      <c r="R1100">
        <f>tblDailySchedule[[#This Row],[Capacity Approx]]*'[1]Load Factor Sheet June Acft  '!$B$5</f>
        <v>187.86727272727273</v>
      </c>
      <c r="S1100">
        <f>tblDailySchedule[[#This Row],[Capacity Approx]]*'[1]Load Factor Sheet June Acft  '!$D$5</f>
        <v>203.4218181818182</v>
      </c>
      <c r="T1100" s="22">
        <f>tblDailySchedule[[#This Row],[STD]]</f>
        <v>0.77430555555555558</v>
      </c>
    </row>
    <row r="1101" spans="1:20" hidden="1" x14ac:dyDescent="0.35">
      <c r="A1101" s="11">
        <v>46149</v>
      </c>
      <c r="B1101" s="3">
        <v>4</v>
      </c>
      <c r="C1101" t="s">
        <v>114</v>
      </c>
      <c r="D1101" t="s">
        <v>18</v>
      </c>
      <c r="E1101" s="3">
        <v>21</v>
      </c>
      <c r="F1101" t="s">
        <v>19</v>
      </c>
      <c r="G1101" t="s">
        <v>81</v>
      </c>
      <c r="H1101" t="s">
        <v>61</v>
      </c>
      <c r="I1101" s="12">
        <v>0.77083333333333337</v>
      </c>
      <c r="J1101" t="s">
        <v>82</v>
      </c>
      <c r="K1101" t="s">
        <v>49</v>
      </c>
      <c r="L1101" s="12">
        <v>0.79166666666666663</v>
      </c>
      <c r="M1101" t="s">
        <v>33</v>
      </c>
      <c r="N1101" s="3">
        <v>189</v>
      </c>
      <c r="O1101" t="s">
        <v>24</v>
      </c>
      <c r="P1101" t="s">
        <v>79</v>
      </c>
      <c r="R1101">
        <f>tblDailySchedule[[#This Row],[Capacity Approx]]*'[1]Load Factor Sheet June Acft  '!$B$5</f>
        <v>153.04704545454547</v>
      </c>
      <c r="S1101">
        <f>tblDailySchedule[[#This Row],[Capacity Approx]]*'[1]Load Factor Sheet June Acft  '!$D$5</f>
        <v>165.71863636363636</v>
      </c>
      <c r="T1101" s="22">
        <f>tblDailySchedule[[#This Row],[STD]]</f>
        <v>0.79166666666666663</v>
      </c>
    </row>
    <row r="1102" spans="1:20" hidden="1" x14ac:dyDescent="0.35">
      <c r="A1102" s="11">
        <v>46149</v>
      </c>
      <c r="B1102" s="3">
        <v>4</v>
      </c>
      <c r="C1102" t="s">
        <v>114</v>
      </c>
      <c r="D1102" t="s">
        <v>18</v>
      </c>
      <c r="E1102" s="3">
        <v>22</v>
      </c>
      <c r="F1102" t="s">
        <v>19</v>
      </c>
      <c r="G1102" t="s">
        <v>83</v>
      </c>
      <c r="H1102" t="s">
        <v>31</v>
      </c>
      <c r="I1102" s="12">
        <v>0.77777777777777779</v>
      </c>
      <c r="J1102" t="s">
        <v>84</v>
      </c>
      <c r="K1102" t="s">
        <v>31</v>
      </c>
      <c r="L1102" s="12">
        <v>0.80555555555555558</v>
      </c>
      <c r="M1102" t="s">
        <v>63</v>
      </c>
      <c r="N1102" s="3">
        <v>232</v>
      </c>
      <c r="O1102" t="s">
        <v>24</v>
      </c>
      <c r="P1102" t="s">
        <v>79</v>
      </c>
      <c r="R1102">
        <f>tblDailySchedule[[#This Row],[Capacity Approx]]*'[1]Load Factor Sheet June Acft  '!$B$5</f>
        <v>187.86727272727273</v>
      </c>
      <c r="S1102">
        <f>tblDailySchedule[[#This Row],[Capacity Approx]]*'[1]Load Factor Sheet June Acft  '!$D$5</f>
        <v>203.4218181818182</v>
      </c>
      <c r="T1102" s="22">
        <f>tblDailySchedule[[#This Row],[STD]]</f>
        <v>0.80555555555555558</v>
      </c>
    </row>
    <row r="1103" spans="1:20" hidden="1" x14ac:dyDescent="0.35">
      <c r="A1103" s="11">
        <v>46149</v>
      </c>
      <c r="B1103" s="3">
        <v>4</v>
      </c>
      <c r="C1103" t="s">
        <v>114</v>
      </c>
      <c r="D1103" t="s">
        <v>18</v>
      </c>
      <c r="E1103" s="3">
        <v>23</v>
      </c>
      <c r="F1103" t="s">
        <v>19</v>
      </c>
      <c r="G1103" t="s">
        <v>85</v>
      </c>
      <c r="H1103" t="s">
        <v>86</v>
      </c>
      <c r="I1103" s="12">
        <v>0.79861111111111116</v>
      </c>
      <c r="J1103" t="s">
        <v>87</v>
      </c>
      <c r="K1103" t="s">
        <v>86</v>
      </c>
      <c r="L1103" s="12">
        <v>0.82638888888888884</v>
      </c>
      <c r="M1103" t="s">
        <v>63</v>
      </c>
      <c r="N1103" s="3">
        <v>232</v>
      </c>
      <c r="O1103" t="s">
        <v>24</v>
      </c>
      <c r="P1103" t="s">
        <v>79</v>
      </c>
      <c r="R1103">
        <f>tblDailySchedule[[#This Row],[Capacity Approx]]*'[1]Load Factor Sheet June Acft  '!$B$5</f>
        <v>187.86727272727273</v>
      </c>
      <c r="S1103">
        <f>tblDailySchedule[[#This Row],[Capacity Approx]]*'[1]Load Factor Sheet June Acft  '!$D$5</f>
        <v>203.4218181818182</v>
      </c>
      <c r="T1103" s="22">
        <f>tblDailySchedule[[#This Row],[STD]]</f>
        <v>0.82638888888888884</v>
      </c>
    </row>
    <row r="1104" spans="1:20" hidden="1" x14ac:dyDescent="0.35">
      <c r="A1104" s="11">
        <v>46149</v>
      </c>
      <c r="B1104" s="3">
        <v>4</v>
      </c>
      <c r="C1104" t="s">
        <v>114</v>
      </c>
      <c r="D1104" t="s">
        <v>18</v>
      </c>
      <c r="E1104" s="3">
        <v>24</v>
      </c>
      <c r="F1104" t="s">
        <v>19</v>
      </c>
      <c r="G1104" t="s">
        <v>88</v>
      </c>
      <c r="H1104" t="s">
        <v>89</v>
      </c>
      <c r="I1104" s="12">
        <v>0.83333333333333337</v>
      </c>
      <c r="J1104" t="s">
        <v>90</v>
      </c>
      <c r="K1104" t="s">
        <v>31</v>
      </c>
      <c r="L1104" s="12">
        <v>0.86111111111111116</v>
      </c>
      <c r="M1104" t="s">
        <v>63</v>
      </c>
      <c r="N1104" s="3">
        <v>232</v>
      </c>
      <c r="O1104" t="s">
        <v>24</v>
      </c>
      <c r="P1104" t="s">
        <v>79</v>
      </c>
      <c r="R1104">
        <f>tblDailySchedule[[#This Row],[Capacity Approx]]*'[1]Load Factor Sheet June Acft  '!$B$5</f>
        <v>187.86727272727273</v>
      </c>
      <c r="S1104">
        <f>tblDailySchedule[[#This Row],[Capacity Approx]]*'[1]Load Factor Sheet June Acft  '!$D$5</f>
        <v>203.4218181818182</v>
      </c>
      <c r="T1104" s="22">
        <f>tblDailySchedule[[#This Row],[STD]]</f>
        <v>0.86111111111111116</v>
      </c>
    </row>
    <row r="1105" spans="1:20" hidden="1" x14ac:dyDescent="0.35">
      <c r="A1105" s="11">
        <v>46149</v>
      </c>
      <c r="B1105" s="3">
        <v>4</v>
      </c>
      <c r="C1105" t="s">
        <v>114</v>
      </c>
      <c r="D1105" t="s">
        <v>18</v>
      </c>
      <c r="E1105" s="3">
        <v>25</v>
      </c>
      <c r="F1105" t="s">
        <v>19</v>
      </c>
      <c r="G1105" t="s">
        <v>91</v>
      </c>
      <c r="H1105" t="s">
        <v>61</v>
      </c>
      <c r="I1105" s="12">
        <v>0.85416666666666663</v>
      </c>
      <c r="J1105" t="s">
        <v>92</v>
      </c>
      <c r="K1105" t="s">
        <v>61</v>
      </c>
      <c r="L1105" s="12">
        <v>0.88194444444444442</v>
      </c>
      <c r="M1105" t="s">
        <v>63</v>
      </c>
      <c r="N1105" s="3">
        <v>232</v>
      </c>
      <c r="O1105" t="s">
        <v>24</v>
      </c>
      <c r="P1105" t="s">
        <v>79</v>
      </c>
      <c r="R1105">
        <f>tblDailySchedule[[#This Row],[Capacity Approx]]*'[1]Load Factor Sheet June Acft  '!$B$5</f>
        <v>187.86727272727273</v>
      </c>
      <c r="S1105">
        <f>tblDailySchedule[[#This Row],[Capacity Approx]]*'[1]Load Factor Sheet June Acft  '!$D$5</f>
        <v>203.4218181818182</v>
      </c>
      <c r="T1105" s="22">
        <f>tblDailySchedule[[#This Row],[STD]]</f>
        <v>0.88194444444444442</v>
      </c>
    </row>
    <row r="1106" spans="1:20" hidden="1" x14ac:dyDescent="0.35">
      <c r="A1106" s="11">
        <v>46149</v>
      </c>
      <c r="B1106" s="3">
        <v>4</v>
      </c>
      <c r="C1106" t="s">
        <v>114</v>
      </c>
      <c r="D1106" t="s">
        <v>18</v>
      </c>
      <c r="E1106" s="3">
        <v>26</v>
      </c>
      <c r="F1106" t="s">
        <v>19</v>
      </c>
      <c r="G1106" t="s">
        <v>93</v>
      </c>
      <c r="H1106" t="s">
        <v>31</v>
      </c>
      <c r="I1106" s="12">
        <v>0.86111111111111116</v>
      </c>
      <c r="J1106" t="s">
        <v>94</v>
      </c>
      <c r="K1106" t="s">
        <v>31</v>
      </c>
      <c r="L1106" s="12">
        <v>0.88888888888888884</v>
      </c>
      <c r="M1106" t="s">
        <v>23</v>
      </c>
      <c r="N1106" s="3">
        <v>186</v>
      </c>
      <c r="O1106" t="s">
        <v>24</v>
      </c>
      <c r="P1106" t="s">
        <v>79</v>
      </c>
      <c r="R1106">
        <f>tblDailySchedule[[#This Row],[Capacity Approx]]*'[1]Load Factor Sheet June Acft  '!$B$5</f>
        <v>150.61772727272728</v>
      </c>
      <c r="S1106">
        <f>tblDailySchedule[[#This Row],[Capacity Approx]]*'[1]Load Factor Sheet June Acft  '!$D$5</f>
        <v>163.08818181818182</v>
      </c>
      <c r="T1106" s="22">
        <f>tblDailySchedule[[#This Row],[STD]]</f>
        <v>0.88888888888888884</v>
      </c>
    </row>
    <row r="1107" spans="1:20" hidden="1" x14ac:dyDescent="0.35">
      <c r="A1107" s="11">
        <v>46149</v>
      </c>
      <c r="B1107" s="3">
        <v>4</v>
      </c>
      <c r="C1107" t="s">
        <v>114</v>
      </c>
      <c r="D1107" t="s">
        <v>18</v>
      </c>
      <c r="E1107" s="3">
        <v>27</v>
      </c>
      <c r="F1107" t="s">
        <v>19</v>
      </c>
      <c r="G1107" t="s">
        <v>95</v>
      </c>
      <c r="H1107" t="s">
        <v>21</v>
      </c>
      <c r="I1107" s="12">
        <v>0.86805555555555558</v>
      </c>
      <c r="J1107" t="s">
        <v>96</v>
      </c>
      <c r="K1107" t="s">
        <v>21</v>
      </c>
      <c r="L1107" s="12">
        <v>0.89583333333333337</v>
      </c>
      <c r="M1107" t="s">
        <v>29</v>
      </c>
      <c r="N1107" s="3">
        <v>186</v>
      </c>
      <c r="O1107" t="s">
        <v>24</v>
      </c>
      <c r="P1107" t="s">
        <v>79</v>
      </c>
      <c r="R1107">
        <f>tblDailySchedule[[#This Row],[Capacity Approx]]*'[1]Load Factor Sheet June Acft  '!$B$5</f>
        <v>150.61772727272728</v>
      </c>
      <c r="S1107">
        <f>tblDailySchedule[[#This Row],[Capacity Approx]]*'[1]Load Factor Sheet June Acft  '!$D$5</f>
        <v>163.08818181818182</v>
      </c>
      <c r="T1107" s="22">
        <f>tblDailySchedule[[#This Row],[STD]]</f>
        <v>0.89583333333333337</v>
      </c>
    </row>
    <row r="1108" spans="1:20" hidden="1" x14ac:dyDescent="0.35">
      <c r="A1108" s="11">
        <v>46149</v>
      </c>
      <c r="B1108" s="3">
        <v>4</v>
      </c>
      <c r="C1108" t="s">
        <v>114</v>
      </c>
      <c r="D1108" t="s">
        <v>18</v>
      </c>
      <c r="E1108" s="3">
        <v>28</v>
      </c>
      <c r="F1108" t="s">
        <v>19</v>
      </c>
      <c r="G1108" t="s">
        <v>97</v>
      </c>
      <c r="H1108" t="s">
        <v>49</v>
      </c>
      <c r="I1108" s="12">
        <v>0.90277777777777779</v>
      </c>
      <c r="J1108" t="s">
        <v>97</v>
      </c>
      <c r="K1108" t="s">
        <v>61</v>
      </c>
      <c r="L1108" s="12">
        <v>0.92361111111111116</v>
      </c>
      <c r="M1108" t="s">
        <v>33</v>
      </c>
      <c r="N1108" s="3">
        <v>189</v>
      </c>
      <c r="O1108" t="s">
        <v>24</v>
      </c>
      <c r="P1108" t="s">
        <v>79</v>
      </c>
      <c r="R1108">
        <f>tblDailySchedule[[#This Row],[Capacity Approx]]*'[1]Load Factor Sheet June Acft  '!$B$5</f>
        <v>153.04704545454547</v>
      </c>
      <c r="S1108">
        <f>tblDailySchedule[[#This Row],[Capacity Approx]]*'[1]Load Factor Sheet June Acft  '!$D$5</f>
        <v>165.71863636363636</v>
      </c>
      <c r="T1108" s="22">
        <f>tblDailySchedule[[#This Row],[STD]]</f>
        <v>0.92361111111111116</v>
      </c>
    </row>
    <row r="1109" spans="1:20" hidden="1" x14ac:dyDescent="0.35">
      <c r="A1109" s="11">
        <v>46149</v>
      </c>
      <c r="B1109" s="3">
        <v>4</v>
      </c>
      <c r="C1109" t="s">
        <v>114</v>
      </c>
      <c r="D1109" t="s">
        <v>18</v>
      </c>
      <c r="E1109" s="3">
        <v>29</v>
      </c>
      <c r="F1109" t="s">
        <v>19</v>
      </c>
      <c r="G1109" t="s">
        <v>98</v>
      </c>
      <c r="H1109" t="s">
        <v>21</v>
      </c>
      <c r="I1109" s="12">
        <v>0.92013888888888884</v>
      </c>
      <c r="J1109" t="s">
        <v>99</v>
      </c>
      <c r="K1109" t="s">
        <v>21</v>
      </c>
      <c r="L1109" s="12">
        <v>0.94791666666666663</v>
      </c>
      <c r="M1109" t="s">
        <v>63</v>
      </c>
      <c r="N1109" s="3">
        <v>232</v>
      </c>
      <c r="O1109" t="s">
        <v>24</v>
      </c>
      <c r="P1109" t="s">
        <v>79</v>
      </c>
      <c r="R1109">
        <f>tblDailySchedule[[#This Row],[Capacity Approx]]*'[1]Load Factor Sheet June Acft  '!$B$5</f>
        <v>187.86727272727273</v>
      </c>
      <c r="S1109">
        <f>tblDailySchedule[[#This Row],[Capacity Approx]]*'[1]Load Factor Sheet June Acft  '!$D$5</f>
        <v>203.4218181818182</v>
      </c>
      <c r="T1109" s="22">
        <f>tblDailySchedule[[#This Row],[STD]]</f>
        <v>0.94791666666666663</v>
      </c>
    </row>
    <row r="1110" spans="1:20" hidden="1" x14ac:dyDescent="0.35">
      <c r="A1110" s="11">
        <v>46150</v>
      </c>
      <c r="B1110" s="3">
        <v>5</v>
      </c>
      <c r="C1110" t="s">
        <v>115</v>
      </c>
      <c r="D1110" t="s">
        <v>18</v>
      </c>
      <c r="E1110" s="3">
        <v>2</v>
      </c>
      <c r="F1110" t="s">
        <v>19</v>
      </c>
      <c r="G1110" t="s">
        <v>20</v>
      </c>
      <c r="H1110" t="s">
        <v>21</v>
      </c>
      <c r="I1110" s="12">
        <v>0.31944444444444442</v>
      </c>
      <c r="J1110" t="s">
        <v>22</v>
      </c>
      <c r="K1110" t="s">
        <v>21</v>
      </c>
      <c r="L1110" s="12">
        <v>0.34722222222222221</v>
      </c>
      <c r="M1110" t="s">
        <v>23</v>
      </c>
      <c r="N1110" s="3">
        <v>186</v>
      </c>
      <c r="O1110" t="s">
        <v>24</v>
      </c>
      <c r="P1110" t="s">
        <v>25</v>
      </c>
      <c r="R1110">
        <f>tblDailySchedule[[#This Row],[Capacity Approx]]*'[1]Load Factor Sheet June Acft  '!$B$5</f>
        <v>150.61772727272728</v>
      </c>
      <c r="S1110">
        <f>tblDailySchedule[[#This Row],[Capacity Approx]]*'[1]Load Factor Sheet June Acft  '!$D$5</f>
        <v>163.08818181818182</v>
      </c>
      <c r="T1110" s="22">
        <f>tblDailySchedule[[#This Row],[STD]]</f>
        <v>0.34722222222222221</v>
      </c>
    </row>
    <row r="1111" spans="1:20" hidden="1" x14ac:dyDescent="0.35">
      <c r="A1111" s="11">
        <v>46150</v>
      </c>
      <c r="B1111" s="3">
        <v>5</v>
      </c>
      <c r="C1111" t="s">
        <v>115</v>
      </c>
      <c r="D1111" t="s">
        <v>18</v>
      </c>
      <c r="E1111" s="3">
        <v>3</v>
      </c>
      <c r="F1111" t="s">
        <v>19</v>
      </c>
      <c r="G1111" t="s">
        <v>26</v>
      </c>
      <c r="H1111" t="s">
        <v>27</v>
      </c>
      <c r="I1111" s="12">
        <v>0.3263888888888889</v>
      </c>
      <c r="J1111" t="s">
        <v>28</v>
      </c>
      <c r="K1111" t="s">
        <v>27</v>
      </c>
      <c r="L1111" s="12">
        <v>0.35416666666666669</v>
      </c>
      <c r="M1111" t="s">
        <v>29</v>
      </c>
      <c r="N1111" s="3">
        <v>186</v>
      </c>
      <c r="O1111" t="s">
        <v>24</v>
      </c>
      <c r="P1111" t="s">
        <v>25</v>
      </c>
      <c r="R1111">
        <f>tblDailySchedule[[#This Row],[Capacity Approx]]*'[1]Load Factor Sheet June Acft  '!$B$5</f>
        <v>150.61772727272728</v>
      </c>
      <c r="S1111">
        <f>tblDailySchedule[[#This Row],[Capacity Approx]]*'[1]Load Factor Sheet June Acft  '!$D$5</f>
        <v>163.08818181818182</v>
      </c>
      <c r="T1111" s="22">
        <f>tblDailySchedule[[#This Row],[STD]]</f>
        <v>0.35416666666666669</v>
      </c>
    </row>
    <row r="1112" spans="1:20" hidden="1" x14ac:dyDescent="0.35">
      <c r="A1112" s="11">
        <v>46150</v>
      </c>
      <c r="B1112" s="3">
        <v>5</v>
      </c>
      <c r="C1112" t="s">
        <v>115</v>
      </c>
      <c r="D1112" t="s">
        <v>18</v>
      </c>
      <c r="E1112" s="3">
        <v>4</v>
      </c>
      <c r="F1112" t="s">
        <v>19</v>
      </c>
      <c r="G1112" t="s">
        <v>30</v>
      </c>
      <c r="H1112" t="s">
        <v>31</v>
      </c>
      <c r="I1112" s="12">
        <v>0.34722222222222221</v>
      </c>
      <c r="J1112" t="s">
        <v>32</v>
      </c>
      <c r="K1112" t="s">
        <v>31</v>
      </c>
      <c r="L1112" s="12">
        <v>0.36805555555555558</v>
      </c>
      <c r="M1112" t="s">
        <v>33</v>
      </c>
      <c r="N1112" s="3">
        <v>189</v>
      </c>
      <c r="O1112" t="s">
        <v>24</v>
      </c>
      <c r="P1112" t="s">
        <v>25</v>
      </c>
      <c r="R1112">
        <f>tblDailySchedule[[#This Row],[Capacity Approx]]*'[1]Load Factor Sheet June Acft  '!$B$5</f>
        <v>153.04704545454547</v>
      </c>
      <c r="S1112">
        <f>tblDailySchedule[[#This Row],[Capacity Approx]]*'[1]Load Factor Sheet June Acft  '!$D$5</f>
        <v>165.71863636363636</v>
      </c>
      <c r="T1112" s="22">
        <f>tblDailySchedule[[#This Row],[STD]]</f>
        <v>0.36805555555555558</v>
      </c>
    </row>
    <row r="1113" spans="1:20" hidden="1" x14ac:dyDescent="0.35">
      <c r="A1113" s="13">
        <v>46150</v>
      </c>
      <c r="B1113" s="7">
        <v>5</v>
      </c>
      <c r="C1113" s="14" t="s">
        <v>115</v>
      </c>
      <c r="D1113" s="14" t="s">
        <v>18</v>
      </c>
      <c r="E1113" s="7">
        <v>6</v>
      </c>
      <c r="F1113" s="14" t="s">
        <v>34</v>
      </c>
      <c r="G1113" s="14" t="s">
        <v>35</v>
      </c>
      <c r="H1113" s="14" t="s">
        <v>36</v>
      </c>
      <c r="I1113" s="15">
        <v>0.34722222222222221</v>
      </c>
      <c r="J1113" s="14" t="s">
        <v>37</v>
      </c>
      <c r="K1113" s="14" t="s">
        <v>36</v>
      </c>
      <c r="L1113" s="15">
        <v>0.40972222222222221</v>
      </c>
      <c r="M1113" s="14" t="s">
        <v>38</v>
      </c>
      <c r="N1113" s="7">
        <v>186</v>
      </c>
      <c r="O1113" s="14" t="s">
        <v>39</v>
      </c>
      <c r="P1113" s="14" t="s">
        <v>25</v>
      </c>
      <c r="Q1113" s="14" t="s">
        <v>39</v>
      </c>
      <c r="R1113">
        <f>tblDailySchedule[[#This Row],[Capacity Approx]]*'[1]Load Factor Sheet June Acft  '!$B$5</f>
        <v>150.61772727272728</v>
      </c>
      <c r="S1113">
        <f>tblDailySchedule[[#This Row],[Capacity Approx]]*'[1]Load Factor Sheet June Acft  '!$D$5</f>
        <v>163.08818181818182</v>
      </c>
      <c r="T1113" s="22">
        <f>tblDailySchedule[[#This Row],[STD]]</f>
        <v>0.40972222222222221</v>
      </c>
    </row>
    <row r="1114" spans="1:20" hidden="1" x14ac:dyDescent="0.35">
      <c r="A1114" s="11">
        <v>46150</v>
      </c>
      <c r="B1114" s="3">
        <v>5</v>
      </c>
      <c r="C1114" t="s">
        <v>115</v>
      </c>
      <c r="D1114" t="s">
        <v>18</v>
      </c>
      <c r="E1114" s="3">
        <v>5</v>
      </c>
      <c r="F1114" t="s">
        <v>19</v>
      </c>
      <c r="G1114" t="s">
        <v>40</v>
      </c>
      <c r="H1114" t="s">
        <v>31</v>
      </c>
      <c r="I1114" s="12">
        <v>0.35069444444444442</v>
      </c>
      <c r="J1114" t="s">
        <v>41</v>
      </c>
      <c r="K1114" t="s">
        <v>31</v>
      </c>
      <c r="L1114" s="12">
        <v>0.37152777777777779</v>
      </c>
      <c r="M1114" t="s">
        <v>23</v>
      </c>
      <c r="N1114" s="3">
        <v>186</v>
      </c>
      <c r="O1114" t="s">
        <v>24</v>
      </c>
      <c r="P1114" t="s">
        <v>25</v>
      </c>
      <c r="R1114">
        <f>tblDailySchedule[[#This Row],[Capacity Approx]]*'[1]Load Factor Sheet June Acft  '!$B$5</f>
        <v>150.61772727272728</v>
      </c>
      <c r="S1114">
        <f>tblDailySchedule[[#This Row],[Capacity Approx]]*'[1]Load Factor Sheet June Acft  '!$D$5</f>
        <v>163.08818181818182</v>
      </c>
      <c r="T1114" s="22">
        <f>tblDailySchedule[[#This Row],[STD]]</f>
        <v>0.37152777777777779</v>
      </c>
    </row>
    <row r="1115" spans="1:20" hidden="1" x14ac:dyDescent="0.35">
      <c r="A1115" s="11">
        <v>46150</v>
      </c>
      <c r="B1115" s="3">
        <v>5</v>
      </c>
      <c r="C1115" t="s">
        <v>115</v>
      </c>
      <c r="D1115" t="s">
        <v>18</v>
      </c>
      <c r="E1115" s="3">
        <v>7</v>
      </c>
      <c r="F1115" t="s">
        <v>19</v>
      </c>
      <c r="G1115" t="s">
        <v>42</v>
      </c>
      <c r="H1115" t="s">
        <v>43</v>
      </c>
      <c r="I1115" s="12">
        <v>0.3923611111111111</v>
      </c>
      <c r="J1115" t="s">
        <v>44</v>
      </c>
      <c r="K1115" t="s">
        <v>43</v>
      </c>
      <c r="L1115" s="12">
        <v>0.40277777777777779</v>
      </c>
      <c r="M1115" t="s">
        <v>45</v>
      </c>
      <c r="N1115" s="3">
        <v>9</v>
      </c>
      <c r="O1115" t="s">
        <v>24</v>
      </c>
      <c r="P1115" t="s">
        <v>25</v>
      </c>
      <c r="R1115">
        <f>tblDailySchedule[[#This Row],[Capacity Approx]]*'[1]Load Factor Sheet June Acft  '!$B$5</f>
        <v>7.2879545454545456</v>
      </c>
      <c r="S1115">
        <f>tblDailySchedule[[#This Row],[Capacity Approx]]*'[1]Load Factor Sheet June Acft  '!$D$5</f>
        <v>7.8913636363636366</v>
      </c>
      <c r="T1115" s="22">
        <f>tblDailySchedule[[#This Row],[STD]]</f>
        <v>0.40277777777777779</v>
      </c>
    </row>
    <row r="1116" spans="1:20" hidden="1" x14ac:dyDescent="0.35">
      <c r="A1116" s="11">
        <v>46150</v>
      </c>
      <c r="B1116" s="3">
        <v>5</v>
      </c>
      <c r="C1116" t="s">
        <v>115</v>
      </c>
      <c r="D1116" t="s">
        <v>18</v>
      </c>
      <c r="E1116" s="3">
        <v>8</v>
      </c>
      <c r="F1116" t="s">
        <v>19</v>
      </c>
      <c r="G1116" t="s">
        <v>46</v>
      </c>
      <c r="H1116" t="s">
        <v>31</v>
      </c>
      <c r="I1116" s="12">
        <v>0.4201388888888889</v>
      </c>
      <c r="J1116" t="s">
        <v>47</v>
      </c>
      <c r="K1116" t="s">
        <v>31</v>
      </c>
      <c r="L1116" s="12">
        <v>0.44444444444444442</v>
      </c>
      <c r="M1116" t="s">
        <v>29</v>
      </c>
      <c r="N1116" s="3">
        <v>186</v>
      </c>
      <c r="O1116" t="s">
        <v>24</v>
      </c>
      <c r="P1116" t="s">
        <v>25</v>
      </c>
      <c r="R1116">
        <f>tblDailySchedule[[#This Row],[Capacity Approx]]*'[1]Load Factor Sheet June Acft  '!$B$5</f>
        <v>150.61772727272728</v>
      </c>
      <c r="S1116">
        <f>tblDailySchedule[[#This Row],[Capacity Approx]]*'[1]Load Factor Sheet June Acft  '!$D$5</f>
        <v>163.08818181818182</v>
      </c>
      <c r="T1116" s="22">
        <f>tblDailySchedule[[#This Row],[STD]]</f>
        <v>0.44444444444444442</v>
      </c>
    </row>
    <row r="1117" spans="1:20" hidden="1" x14ac:dyDescent="0.35">
      <c r="A1117" s="11">
        <v>46150</v>
      </c>
      <c r="B1117" s="3">
        <v>5</v>
      </c>
      <c r="C1117" t="s">
        <v>115</v>
      </c>
      <c r="D1117" t="s">
        <v>18</v>
      </c>
      <c r="E1117" s="3">
        <v>9</v>
      </c>
      <c r="F1117" t="s">
        <v>19</v>
      </c>
      <c r="G1117" t="s">
        <v>48</v>
      </c>
      <c r="H1117" t="s">
        <v>49</v>
      </c>
      <c r="I1117" s="12">
        <v>0.4375</v>
      </c>
      <c r="J1117" t="s">
        <v>50</v>
      </c>
      <c r="K1117" t="s">
        <v>49</v>
      </c>
      <c r="L1117" s="12">
        <v>0.45833333333333331</v>
      </c>
      <c r="M1117" t="s">
        <v>51</v>
      </c>
      <c r="N1117" s="3">
        <v>78</v>
      </c>
      <c r="O1117" t="s">
        <v>24</v>
      </c>
      <c r="P1117" t="s">
        <v>25</v>
      </c>
      <c r="R1117">
        <f>tblDailySchedule[[#This Row],[Capacity Approx]]*'[1]Load Factor Sheet June Acft  '!$B$5</f>
        <v>63.162272727272729</v>
      </c>
      <c r="S1117">
        <f>tblDailySchedule[[#This Row],[Capacity Approx]]*'[1]Load Factor Sheet June Acft  '!$D$5</f>
        <v>68.391818181818181</v>
      </c>
      <c r="T1117" s="22">
        <f>tblDailySchedule[[#This Row],[STD]]</f>
        <v>0.45833333333333331</v>
      </c>
    </row>
    <row r="1118" spans="1:20" hidden="1" x14ac:dyDescent="0.35">
      <c r="A1118" s="11">
        <v>46150</v>
      </c>
      <c r="B1118" s="3">
        <v>5</v>
      </c>
      <c r="C1118" t="s">
        <v>115</v>
      </c>
      <c r="D1118" t="s">
        <v>18</v>
      </c>
      <c r="E1118" s="3">
        <v>10</v>
      </c>
      <c r="F1118" t="s">
        <v>19</v>
      </c>
      <c r="G1118" t="s">
        <v>52</v>
      </c>
      <c r="H1118" t="s">
        <v>27</v>
      </c>
      <c r="I1118" s="12">
        <v>0.4826388888888889</v>
      </c>
      <c r="J1118" t="s">
        <v>53</v>
      </c>
      <c r="K1118" t="s">
        <v>27</v>
      </c>
      <c r="L1118" s="12">
        <v>0.51041666666666663</v>
      </c>
      <c r="M1118" t="s">
        <v>23</v>
      </c>
      <c r="N1118" s="3">
        <v>186</v>
      </c>
      <c r="O1118" t="s">
        <v>24</v>
      </c>
      <c r="P1118" t="s">
        <v>25</v>
      </c>
      <c r="R1118">
        <f>tblDailySchedule[[#This Row],[Capacity Approx]]*'[1]Load Factor Sheet June Acft  '!$B$5</f>
        <v>150.61772727272728</v>
      </c>
      <c r="S1118">
        <f>tblDailySchedule[[#This Row],[Capacity Approx]]*'[1]Load Factor Sheet June Acft  '!$D$5</f>
        <v>163.08818181818182</v>
      </c>
      <c r="T1118" s="22">
        <f>tblDailySchedule[[#This Row],[STD]]</f>
        <v>0.51041666666666663</v>
      </c>
    </row>
    <row r="1119" spans="1:20" hidden="1" x14ac:dyDescent="0.35">
      <c r="A1119" s="11">
        <v>46150</v>
      </c>
      <c r="B1119" s="3">
        <v>5</v>
      </c>
      <c r="C1119" t="s">
        <v>115</v>
      </c>
      <c r="D1119" t="s">
        <v>18</v>
      </c>
      <c r="E1119" s="3">
        <v>11</v>
      </c>
      <c r="F1119" t="s">
        <v>19</v>
      </c>
      <c r="G1119" t="s">
        <v>54</v>
      </c>
      <c r="H1119" t="s">
        <v>31</v>
      </c>
      <c r="I1119" s="12">
        <v>0.51388888888888884</v>
      </c>
      <c r="J1119" t="s">
        <v>55</v>
      </c>
      <c r="K1119" t="s">
        <v>31</v>
      </c>
      <c r="L1119" s="12">
        <v>0.54166666666666663</v>
      </c>
      <c r="M1119" t="s">
        <v>23</v>
      </c>
      <c r="N1119" s="3">
        <v>186</v>
      </c>
      <c r="O1119" t="s">
        <v>24</v>
      </c>
      <c r="P1119" t="s">
        <v>56</v>
      </c>
      <c r="R1119">
        <f>tblDailySchedule[[#This Row],[Capacity Approx]]*'[1]Load Factor Sheet June Acft  '!$B$5</f>
        <v>150.61772727272728</v>
      </c>
      <c r="S1119">
        <f>tblDailySchedule[[#This Row],[Capacity Approx]]*'[1]Load Factor Sheet June Acft  '!$D$5</f>
        <v>163.08818181818182</v>
      </c>
      <c r="T1119" s="22">
        <f>tblDailySchedule[[#This Row],[STD]]</f>
        <v>0.54166666666666663</v>
      </c>
    </row>
    <row r="1120" spans="1:20" hidden="1" x14ac:dyDescent="0.35">
      <c r="A1120" s="11">
        <v>46150</v>
      </c>
      <c r="B1120" s="3">
        <v>5</v>
      </c>
      <c r="C1120" t="s">
        <v>115</v>
      </c>
      <c r="D1120" t="s">
        <v>18</v>
      </c>
      <c r="E1120" s="3">
        <v>13</v>
      </c>
      <c r="F1120" t="s">
        <v>19</v>
      </c>
      <c r="G1120" t="s">
        <v>57</v>
      </c>
      <c r="H1120" t="s">
        <v>58</v>
      </c>
      <c r="I1120" s="12">
        <v>0.55902777777777779</v>
      </c>
      <c r="J1120" t="s">
        <v>59</v>
      </c>
      <c r="K1120" t="s">
        <v>58</v>
      </c>
      <c r="L1120" s="12">
        <v>0.57638888888888884</v>
      </c>
      <c r="M1120" t="s">
        <v>51</v>
      </c>
      <c r="N1120" s="3">
        <v>78</v>
      </c>
      <c r="O1120" t="s">
        <v>24</v>
      </c>
      <c r="P1120" t="s">
        <v>56</v>
      </c>
      <c r="R1120">
        <f>tblDailySchedule[[#This Row],[Capacity Approx]]*'[1]Load Factor Sheet June Acft  '!$B$5</f>
        <v>63.162272727272729</v>
      </c>
      <c r="S1120">
        <f>tblDailySchedule[[#This Row],[Capacity Approx]]*'[1]Load Factor Sheet June Acft  '!$D$5</f>
        <v>68.391818181818181</v>
      </c>
      <c r="T1120" s="22">
        <f>tblDailySchedule[[#This Row],[STD]]</f>
        <v>0.57638888888888884</v>
      </c>
    </row>
    <row r="1121" spans="1:20" hidden="1" x14ac:dyDescent="0.35">
      <c r="A1121" s="11">
        <v>46150</v>
      </c>
      <c r="B1121" s="3">
        <v>5</v>
      </c>
      <c r="C1121" t="s">
        <v>115</v>
      </c>
      <c r="D1121" t="s">
        <v>18</v>
      </c>
      <c r="E1121" s="3">
        <v>14</v>
      </c>
      <c r="F1121" t="s">
        <v>19</v>
      </c>
      <c r="G1121" t="s">
        <v>60</v>
      </c>
      <c r="H1121" t="s">
        <v>61</v>
      </c>
      <c r="I1121" s="12">
        <v>0.59027777777777779</v>
      </c>
      <c r="J1121" t="s">
        <v>62</v>
      </c>
      <c r="K1121" t="s">
        <v>61</v>
      </c>
      <c r="L1121" s="12">
        <v>0.62152777777777779</v>
      </c>
      <c r="M1121" t="s">
        <v>63</v>
      </c>
      <c r="N1121" s="3">
        <v>232</v>
      </c>
      <c r="O1121" t="s">
        <v>24</v>
      </c>
      <c r="P1121" t="s">
        <v>56</v>
      </c>
      <c r="R1121">
        <f>tblDailySchedule[[#This Row],[Capacity Approx]]*'[1]Load Factor Sheet June Acft  '!$B$5</f>
        <v>187.86727272727273</v>
      </c>
      <c r="S1121">
        <f>tblDailySchedule[[#This Row],[Capacity Approx]]*'[1]Load Factor Sheet June Acft  '!$D$5</f>
        <v>203.4218181818182</v>
      </c>
      <c r="T1121" s="22">
        <f>tblDailySchedule[[#This Row],[STD]]</f>
        <v>0.62152777777777779</v>
      </c>
    </row>
    <row r="1122" spans="1:20" hidden="1" x14ac:dyDescent="0.35">
      <c r="A1122" s="11">
        <v>46150</v>
      </c>
      <c r="B1122" s="3">
        <v>5</v>
      </c>
      <c r="C1122" t="s">
        <v>115</v>
      </c>
      <c r="D1122" t="s">
        <v>18</v>
      </c>
      <c r="E1122" s="3">
        <v>15</v>
      </c>
      <c r="F1122" t="s">
        <v>19</v>
      </c>
      <c r="G1122" t="s">
        <v>64</v>
      </c>
      <c r="H1122" t="s">
        <v>31</v>
      </c>
      <c r="I1122" s="12">
        <v>0.60069444444444442</v>
      </c>
      <c r="J1122" t="s">
        <v>65</v>
      </c>
      <c r="K1122" t="s">
        <v>66</v>
      </c>
      <c r="L1122" s="12">
        <v>0.62847222222222221</v>
      </c>
      <c r="M1122" t="s">
        <v>63</v>
      </c>
      <c r="N1122" s="3">
        <v>232</v>
      </c>
      <c r="O1122" t="s">
        <v>24</v>
      </c>
      <c r="P1122" t="s">
        <v>56</v>
      </c>
      <c r="R1122">
        <f>tblDailySchedule[[#This Row],[Capacity Approx]]*'[1]Load Factor Sheet June Acft  '!$B$5</f>
        <v>187.86727272727273</v>
      </c>
      <c r="S1122">
        <f>tblDailySchedule[[#This Row],[Capacity Approx]]*'[1]Load Factor Sheet June Acft  '!$D$5</f>
        <v>203.4218181818182</v>
      </c>
      <c r="T1122" s="22">
        <f>tblDailySchedule[[#This Row],[STD]]</f>
        <v>0.62847222222222221</v>
      </c>
    </row>
    <row r="1123" spans="1:20" hidden="1" x14ac:dyDescent="0.35">
      <c r="A1123" s="11">
        <v>46150</v>
      </c>
      <c r="B1123" s="3">
        <v>5</v>
      </c>
      <c r="C1123" t="s">
        <v>115</v>
      </c>
      <c r="D1123" t="s">
        <v>18</v>
      </c>
      <c r="E1123" s="3">
        <v>16</v>
      </c>
      <c r="F1123" t="s">
        <v>19</v>
      </c>
      <c r="G1123" t="s">
        <v>67</v>
      </c>
      <c r="H1123" t="s">
        <v>31</v>
      </c>
      <c r="I1123" s="12">
        <v>0.65625</v>
      </c>
      <c r="J1123" t="s">
        <v>68</v>
      </c>
      <c r="K1123" t="s">
        <v>31</v>
      </c>
      <c r="L1123" s="12">
        <v>0.68402777777777779</v>
      </c>
      <c r="M1123" t="s">
        <v>63</v>
      </c>
      <c r="N1123" s="3">
        <v>232</v>
      </c>
      <c r="O1123" t="s">
        <v>24</v>
      </c>
      <c r="P1123" t="s">
        <v>56</v>
      </c>
      <c r="R1123">
        <f>tblDailySchedule[[#This Row],[Capacity Approx]]*'[1]Load Factor Sheet June Acft  '!$B$5</f>
        <v>187.86727272727273</v>
      </c>
      <c r="S1123">
        <f>tblDailySchedule[[#This Row],[Capacity Approx]]*'[1]Load Factor Sheet June Acft  '!$D$5</f>
        <v>203.4218181818182</v>
      </c>
      <c r="T1123" s="22">
        <f>tblDailySchedule[[#This Row],[STD]]</f>
        <v>0.68402777777777779</v>
      </c>
    </row>
    <row r="1124" spans="1:20" hidden="1" x14ac:dyDescent="0.35">
      <c r="A1124" s="11">
        <v>46150</v>
      </c>
      <c r="B1124" s="3">
        <v>5</v>
      </c>
      <c r="C1124" t="s">
        <v>115</v>
      </c>
      <c r="D1124" t="s">
        <v>18</v>
      </c>
      <c r="E1124" s="3">
        <v>17</v>
      </c>
      <c r="F1124" t="s">
        <v>19</v>
      </c>
      <c r="G1124" t="s">
        <v>69</v>
      </c>
      <c r="H1124" t="s">
        <v>31</v>
      </c>
      <c r="I1124" s="12">
        <v>0.66319444444444442</v>
      </c>
      <c r="J1124" t="s">
        <v>70</v>
      </c>
      <c r="K1124" t="s">
        <v>31</v>
      </c>
      <c r="L1124" s="12">
        <v>0.69097222222222221</v>
      </c>
      <c r="M1124" t="s">
        <v>33</v>
      </c>
      <c r="N1124" s="3">
        <v>189</v>
      </c>
      <c r="O1124" t="s">
        <v>24</v>
      </c>
      <c r="P1124" t="s">
        <v>56</v>
      </c>
      <c r="R1124">
        <f>tblDailySchedule[[#This Row],[Capacity Approx]]*'[1]Load Factor Sheet June Acft  '!$B$5</f>
        <v>153.04704545454547</v>
      </c>
      <c r="S1124">
        <f>tblDailySchedule[[#This Row],[Capacity Approx]]*'[1]Load Factor Sheet June Acft  '!$D$5</f>
        <v>165.71863636363636</v>
      </c>
      <c r="T1124" s="22">
        <f>tblDailySchedule[[#This Row],[STD]]</f>
        <v>0.69097222222222221</v>
      </c>
    </row>
    <row r="1125" spans="1:20" hidden="1" x14ac:dyDescent="0.35">
      <c r="A1125" s="11">
        <v>46150</v>
      </c>
      <c r="B1125" s="3">
        <v>5</v>
      </c>
      <c r="C1125" t="s">
        <v>115</v>
      </c>
      <c r="D1125" t="s">
        <v>18</v>
      </c>
      <c r="E1125" s="3">
        <v>18</v>
      </c>
      <c r="F1125" t="s">
        <v>19</v>
      </c>
      <c r="G1125" t="s">
        <v>71</v>
      </c>
      <c r="H1125" t="s">
        <v>21</v>
      </c>
      <c r="I1125" s="12">
        <v>0.67013888888888884</v>
      </c>
      <c r="J1125" t="s">
        <v>72</v>
      </c>
      <c r="K1125" t="s">
        <v>21</v>
      </c>
      <c r="L1125" s="12">
        <v>0.69791666666666663</v>
      </c>
      <c r="M1125" t="s">
        <v>63</v>
      </c>
      <c r="N1125" s="3">
        <v>232</v>
      </c>
      <c r="O1125" t="s">
        <v>24</v>
      </c>
      <c r="P1125" t="s">
        <v>56</v>
      </c>
      <c r="R1125">
        <f>tblDailySchedule[[#This Row],[Capacity Approx]]*'[1]Load Factor Sheet June Acft  '!$B$5</f>
        <v>187.86727272727273</v>
      </c>
      <c r="S1125">
        <f>tblDailySchedule[[#This Row],[Capacity Approx]]*'[1]Load Factor Sheet June Acft  '!$D$5</f>
        <v>203.4218181818182</v>
      </c>
      <c r="T1125" s="22">
        <f>tblDailySchedule[[#This Row],[STD]]</f>
        <v>0.69791666666666663</v>
      </c>
    </row>
    <row r="1126" spans="1:20" hidden="1" x14ac:dyDescent="0.35">
      <c r="A1126" s="11">
        <v>46150</v>
      </c>
      <c r="B1126" s="3">
        <v>5</v>
      </c>
      <c r="C1126" t="s">
        <v>115</v>
      </c>
      <c r="D1126" t="s">
        <v>18</v>
      </c>
      <c r="E1126" s="3">
        <v>19</v>
      </c>
      <c r="F1126" t="s">
        <v>19</v>
      </c>
      <c r="G1126" t="s">
        <v>73</v>
      </c>
      <c r="H1126" t="s">
        <v>27</v>
      </c>
      <c r="I1126" s="12">
        <v>0.74652777777777779</v>
      </c>
      <c r="J1126" t="s">
        <v>74</v>
      </c>
      <c r="K1126" t="s">
        <v>27</v>
      </c>
      <c r="L1126" s="12">
        <v>0.77430555555555558</v>
      </c>
      <c r="M1126" t="s">
        <v>63</v>
      </c>
      <c r="N1126" s="3">
        <v>232</v>
      </c>
      <c r="O1126" t="s">
        <v>24</v>
      </c>
      <c r="P1126" t="s">
        <v>56</v>
      </c>
      <c r="R1126">
        <f>tblDailySchedule[[#This Row],[Capacity Approx]]*'[1]Load Factor Sheet June Acft  '!$B$5</f>
        <v>187.86727272727273</v>
      </c>
      <c r="S1126">
        <f>tblDailySchedule[[#This Row],[Capacity Approx]]*'[1]Load Factor Sheet June Acft  '!$D$5</f>
        <v>203.4218181818182</v>
      </c>
      <c r="T1126" s="22">
        <f>tblDailySchedule[[#This Row],[STD]]</f>
        <v>0.77430555555555558</v>
      </c>
    </row>
    <row r="1127" spans="1:20" hidden="1" x14ac:dyDescent="0.35">
      <c r="A1127" s="11">
        <v>46150</v>
      </c>
      <c r="B1127" s="3">
        <v>5</v>
      </c>
      <c r="C1127" t="s">
        <v>115</v>
      </c>
      <c r="D1127" t="s">
        <v>18</v>
      </c>
      <c r="E1127" s="3">
        <v>20</v>
      </c>
      <c r="F1127" t="s">
        <v>34</v>
      </c>
      <c r="G1127" t="s">
        <v>75</v>
      </c>
      <c r="H1127" t="s">
        <v>76</v>
      </c>
      <c r="I1127" s="12">
        <v>0.76388888888888884</v>
      </c>
      <c r="J1127" t="s">
        <v>77</v>
      </c>
      <c r="K1127" t="s">
        <v>78</v>
      </c>
      <c r="L1127" s="12">
        <v>0.78472222222222221</v>
      </c>
      <c r="M1127" t="s">
        <v>51</v>
      </c>
      <c r="N1127" s="3">
        <v>78</v>
      </c>
      <c r="O1127" t="s">
        <v>24</v>
      </c>
      <c r="P1127" t="s">
        <v>79</v>
      </c>
      <c r="Q1127" s="16" t="s">
        <v>80</v>
      </c>
      <c r="R1127">
        <f>tblDailySchedule[[#This Row],[Capacity Approx]]*'[1]Load Factor Sheet June Acft  '!$B$5</f>
        <v>63.162272727272729</v>
      </c>
      <c r="S1127">
        <f>tblDailySchedule[[#This Row],[Capacity Approx]]*'[1]Load Factor Sheet June Acft  '!$D$5</f>
        <v>68.391818181818181</v>
      </c>
      <c r="T1127" s="22">
        <f>tblDailySchedule[[#This Row],[STD]]</f>
        <v>0.78472222222222221</v>
      </c>
    </row>
    <row r="1128" spans="1:20" hidden="1" x14ac:dyDescent="0.35">
      <c r="A1128" s="11">
        <v>46150</v>
      </c>
      <c r="B1128" s="3">
        <v>5</v>
      </c>
      <c r="C1128" t="s">
        <v>115</v>
      </c>
      <c r="D1128" t="s">
        <v>18</v>
      </c>
      <c r="E1128" s="3">
        <v>21</v>
      </c>
      <c r="F1128" t="s">
        <v>19</v>
      </c>
      <c r="G1128" t="s">
        <v>81</v>
      </c>
      <c r="H1128" t="s">
        <v>61</v>
      </c>
      <c r="I1128" s="12">
        <v>0.77083333333333337</v>
      </c>
      <c r="J1128" t="s">
        <v>82</v>
      </c>
      <c r="K1128" t="s">
        <v>49</v>
      </c>
      <c r="L1128" s="12">
        <v>0.79166666666666663</v>
      </c>
      <c r="M1128" t="s">
        <v>33</v>
      </c>
      <c r="N1128" s="3">
        <v>189</v>
      </c>
      <c r="O1128" t="s">
        <v>24</v>
      </c>
      <c r="P1128" t="s">
        <v>79</v>
      </c>
      <c r="R1128">
        <f>tblDailySchedule[[#This Row],[Capacity Approx]]*'[1]Load Factor Sheet June Acft  '!$B$5</f>
        <v>153.04704545454547</v>
      </c>
      <c r="S1128">
        <f>tblDailySchedule[[#This Row],[Capacity Approx]]*'[1]Load Factor Sheet June Acft  '!$D$5</f>
        <v>165.71863636363636</v>
      </c>
      <c r="T1128" s="22">
        <f>tblDailySchedule[[#This Row],[STD]]</f>
        <v>0.79166666666666663</v>
      </c>
    </row>
    <row r="1129" spans="1:20" hidden="1" x14ac:dyDescent="0.35">
      <c r="A1129" s="11">
        <v>46150</v>
      </c>
      <c r="B1129" s="3">
        <v>5</v>
      </c>
      <c r="C1129" t="s">
        <v>115</v>
      </c>
      <c r="D1129" t="s">
        <v>18</v>
      </c>
      <c r="E1129" s="3">
        <v>22</v>
      </c>
      <c r="F1129" t="s">
        <v>19</v>
      </c>
      <c r="G1129" t="s">
        <v>83</v>
      </c>
      <c r="H1129" t="s">
        <v>31</v>
      </c>
      <c r="I1129" s="12">
        <v>0.77777777777777779</v>
      </c>
      <c r="J1129" t="s">
        <v>84</v>
      </c>
      <c r="K1129" t="s">
        <v>31</v>
      </c>
      <c r="L1129" s="12">
        <v>0.80555555555555558</v>
      </c>
      <c r="M1129" t="s">
        <v>63</v>
      </c>
      <c r="N1129" s="3">
        <v>232</v>
      </c>
      <c r="O1129" t="s">
        <v>24</v>
      </c>
      <c r="P1129" t="s">
        <v>79</v>
      </c>
      <c r="R1129">
        <f>tblDailySchedule[[#This Row],[Capacity Approx]]*'[1]Load Factor Sheet June Acft  '!$B$5</f>
        <v>187.86727272727273</v>
      </c>
      <c r="S1129">
        <f>tblDailySchedule[[#This Row],[Capacity Approx]]*'[1]Load Factor Sheet June Acft  '!$D$5</f>
        <v>203.4218181818182</v>
      </c>
      <c r="T1129" s="22">
        <f>tblDailySchedule[[#This Row],[STD]]</f>
        <v>0.80555555555555558</v>
      </c>
    </row>
    <row r="1130" spans="1:20" hidden="1" x14ac:dyDescent="0.35">
      <c r="A1130" s="11">
        <v>46150</v>
      </c>
      <c r="B1130" s="3">
        <v>5</v>
      </c>
      <c r="C1130" t="s">
        <v>115</v>
      </c>
      <c r="D1130" t="s">
        <v>18</v>
      </c>
      <c r="E1130" s="3">
        <v>23</v>
      </c>
      <c r="F1130" t="s">
        <v>19</v>
      </c>
      <c r="G1130" t="s">
        <v>85</v>
      </c>
      <c r="H1130" t="s">
        <v>86</v>
      </c>
      <c r="I1130" s="12">
        <v>0.79861111111111116</v>
      </c>
      <c r="J1130" t="s">
        <v>87</v>
      </c>
      <c r="K1130" t="s">
        <v>86</v>
      </c>
      <c r="L1130" s="12">
        <v>0.82638888888888884</v>
      </c>
      <c r="M1130" t="s">
        <v>63</v>
      </c>
      <c r="N1130" s="3">
        <v>232</v>
      </c>
      <c r="O1130" t="s">
        <v>24</v>
      </c>
      <c r="P1130" t="s">
        <v>79</v>
      </c>
      <c r="R1130">
        <f>tblDailySchedule[[#This Row],[Capacity Approx]]*'[1]Load Factor Sheet June Acft  '!$B$5</f>
        <v>187.86727272727273</v>
      </c>
      <c r="S1130">
        <f>tblDailySchedule[[#This Row],[Capacity Approx]]*'[1]Load Factor Sheet June Acft  '!$D$5</f>
        <v>203.4218181818182</v>
      </c>
      <c r="T1130" s="22">
        <f>tblDailySchedule[[#This Row],[STD]]</f>
        <v>0.82638888888888884</v>
      </c>
    </row>
    <row r="1131" spans="1:20" hidden="1" x14ac:dyDescent="0.35">
      <c r="A1131" s="11">
        <v>46150</v>
      </c>
      <c r="B1131" s="3">
        <v>5</v>
      </c>
      <c r="C1131" t="s">
        <v>115</v>
      </c>
      <c r="D1131" t="s">
        <v>18</v>
      </c>
      <c r="E1131" s="3">
        <v>24</v>
      </c>
      <c r="F1131" t="s">
        <v>19</v>
      </c>
      <c r="G1131" t="s">
        <v>88</v>
      </c>
      <c r="H1131" t="s">
        <v>89</v>
      </c>
      <c r="I1131" s="12">
        <v>0.83333333333333337</v>
      </c>
      <c r="J1131" t="s">
        <v>90</v>
      </c>
      <c r="K1131" t="s">
        <v>31</v>
      </c>
      <c r="L1131" s="12">
        <v>0.86111111111111116</v>
      </c>
      <c r="M1131" t="s">
        <v>63</v>
      </c>
      <c r="N1131" s="3">
        <v>232</v>
      </c>
      <c r="O1131" t="s">
        <v>24</v>
      </c>
      <c r="P1131" t="s">
        <v>79</v>
      </c>
      <c r="R1131">
        <f>tblDailySchedule[[#This Row],[Capacity Approx]]*'[1]Load Factor Sheet June Acft  '!$B$5</f>
        <v>187.86727272727273</v>
      </c>
      <c r="S1131">
        <f>tblDailySchedule[[#This Row],[Capacity Approx]]*'[1]Load Factor Sheet June Acft  '!$D$5</f>
        <v>203.4218181818182</v>
      </c>
      <c r="T1131" s="22">
        <f>tblDailySchedule[[#This Row],[STD]]</f>
        <v>0.86111111111111116</v>
      </c>
    </row>
    <row r="1132" spans="1:20" hidden="1" x14ac:dyDescent="0.35">
      <c r="A1132" s="11">
        <v>46150</v>
      </c>
      <c r="B1132" s="3">
        <v>5</v>
      </c>
      <c r="C1132" t="s">
        <v>115</v>
      </c>
      <c r="D1132" t="s">
        <v>18</v>
      </c>
      <c r="E1132" s="3">
        <v>25</v>
      </c>
      <c r="F1132" t="s">
        <v>19</v>
      </c>
      <c r="G1132" t="s">
        <v>91</v>
      </c>
      <c r="H1132" t="s">
        <v>61</v>
      </c>
      <c r="I1132" s="12">
        <v>0.85416666666666663</v>
      </c>
      <c r="J1132" t="s">
        <v>92</v>
      </c>
      <c r="K1132" t="s">
        <v>61</v>
      </c>
      <c r="L1132" s="12">
        <v>0.88194444444444442</v>
      </c>
      <c r="M1132" t="s">
        <v>63</v>
      </c>
      <c r="N1132" s="3">
        <v>232</v>
      </c>
      <c r="O1132" t="s">
        <v>24</v>
      </c>
      <c r="P1132" t="s">
        <v>79</v>
      </c>
      <c r="R1132">
        <f>tblDailySchedule[[#This Row],[Capacity Approx]]*'[1]Load Factor Sheet June Acft  '!$B$5</f>
        <v>187.86727272727273</v>
      </c>
      <c r="S1132">
        <f>tblDailySchedule[[#This Row],[Capacity Approx]]*'[1]Load Factor Sheet June Acft  '!$D$5</f>
        <v>203.4218181818182</v>
      </c>
      <c r="T1132" s="22">
        <f>tblDailySchedule[[#This Row],[STD]]</f>
        <v>0.88194444444444442</v>
      </c>
    </row>
    <row r="1133" spans="1:20" hidden="1" x14ac:dyDescent="0.35">
      <c r="A1133" s="11">
        <v>46150</v>
      </c>
      <c r="B1133" s="3">
        <v>5</v>
      </c>
      <c r="C1133" t="s">
        <v>115</v>
      </c>
      <c r="D1133" t="s">
        <v>18</v>
      </c>
      <c r="E1133" s="3">
        <v>26</v>
      </c>
      <c r="F1133" t="s">
        <v>19</v>
      </c>
      <c r="G1133" t="s">
        <v>93</v>
      </c>
      <c r="H1133" t="s">
        <v>31</v>
      </c>
      <c r="I1133" s="12">
        <v>0.86111111111111116</v>
      </c>
      <c r="J1133" t="s">
        <v>94</v>
      </c>
      <c r="K1133" t="s">
        <v>31</v>
      </c>
      <c r="L1133" s="12">
        <v>0.88888888888888884</v>
      </c>
      <c r="M1133" t="s">
        <v>23</v>
      </c>
      <c r="N1133" s="3">
        <v>186</v>
      </c>
      <c r="O1133" t="s">
        <v>24</v>
      </c>
      <c r="P1133" t="s">
        <v>79</v>
      </c>
      <c r="R1133">
        <f>tblDailySchedule[[#This Row],[Capacity Approx]]*'[1]Load Factor Sheet June Acft  '!$B$5</f>
        <v>150.61772727272728</v>
      </c>
      <c r="S1133">
        <f>tblDailySchedule[[#This Row],[Capacity Approx]]*'[1]Load Factor Sheet June Acft  '!$D$5</f>
        <v>163.08818181818182</v>
      </c>
      <c r="T1133" s="22">
        <f>tblDailySchedule[[#This Row],[STD]]</f>
        <v>0.88888888888888884</v>
      </c>
    </row>
    <row r="1134" spans="1:20" hidden="1" x14ac:dyDescent="0.35">
      <c r="A1134" s="11">
        <v>46150</v>
      </c>
      <c r="B1134" s="3">
        <v>5</v>
      </c>
      <c r="C1134" t="s">
        <v>115</v>
      </c>
      <c r="D1134" t="s">
        <v>18</v>
      </c>
      <c r="E1134" s="3">
        <v>27</v>
      </c>
      <c r="F1134" t="s">
        <v>19</v>
      </c>
      <c r="G1134" t="s">
        <v>95</v>
      </c>
      <c r="H1134" t="s">
        <v>21</v>
      </c>
      <c r="I1134" s="12">
        <v>0.86805555555555558</v>
      </c>
      <c r="J1134" t="s">
        <v>96</v>
      </c>
      <c r="K1134" t="s">
        <v>21</v>
      </c>
      <c r="L1134" s="12">
        <v>0.89583333333333337</v>
      </c>
      <c r="M1134" t="s">
        <v>29</v>
      </c>
      <c r="N1134" s="3">
        <v>186</v>
      </c>
      <c r="O1134" t="s">
        <v>24</v>
      </c>
      <c r="P1134" t="s">
        <v>79</v>
      </c>
      <c r="R1134">
        <f>tblDailySchedule[[#This Row],[Capacity Approx]]*'[1]Load Factor Sheet June Acft  '!$B$5</f>
        <v>150.61772727272728</v>
      </c>
      <c r="S1134">
        <f>tblDailySchedule[[#This Row],[Capacity Approx]]*'[1]Load Factor Sheet June Acft  '!$D$5</f>
        <v>163.08818181818182</v>
      </c>
      <c r="T1134" s="22">
        <f>tblDailySchedule[[#This Row],[STD]]</f>
        <v>0.89583333333333337</v>
      </c>
    </row>
    <row r="1135" spans="1:20" hidden="1" x14ac:dyDescent="0.35">
      <c r="A1135" s="11">
        <v>46150</v>
      </c>
      <c r="B1135" s="3">
        <v>5</v>
      </c>
      <c r="C1135" t="s">
        <v>115</v>
      </c>
      <c r="D1135" t="s">
        <v>18</v>
      </c>
      <c r="E1135" s="3">
        <v>28</v>
      </c>
      <c r="F1135" t="s">
        <v>19</v>
      </c>
      <c r="G1135" t="s">
        <v>97</v>
      </c>
      <c r="H1135" t="s">
        <v>49</v>
      </c>
      <c r="I1135" s="12">
        <v>0.90277777777777779</v>
      </c>
      <c r="J1135" t="s">
        <v>97</v>
      </c>
      <c r="K1135" t="s">
        <v>61</v>
      </c>
      <c r="L1135" s="12">
        <v>0.92361111111111116</v>
      </c>
      <c r="M1135" t="s">
        <v>33</v>
      </c>
      <c r="N1135" s="3">
        <v>189</v>
      </c>
      <c r="O1135" t="s">
        <v>24</v>
      </c>
      <c r="P1135" t="s">
        <v>79</v>
      </c>
      <c r="R1135">
        <f>tblDailySchedule[[#This Row],[Capacity Approx]]*'[1]Load Factor Sheet June Acft  '!$B$5</f>
        <v>153.04704545454547</v>
      </c>
      <c r="S1135">
        <f>tblDailySchedule[[#This Row],[Capacity Approx]]*'[1]Load Factor Sheet June Acft  '!$D$5</f>
        <v>165.71863636363636</v>
      </c>
      <c r="T1135" s="22">
        <f>tblDailySchedule[[#This Row],[STD]]</f>
        <v>0.92361111111111116</v>
      </c>
    </row>
    <row r="1136" spans="1:20" hidden="1" x14ac:dyDescent="0.35">
      <c r="A1136" s="11">
        <v>46150</v>
      </c>
      <c r="B1136" s="3">
        <v>5</v>
      </c>
      <c r="C1136" t="s">
        <v>115</v>
      </c>
      <c r="D1136" t="s">
        <v>18</v>
      </c>
      <c r="E1136" s="3">
        <v>29</v>
      </c>
      <c r="F1136" t="s">
        <v>19</v>
      </c>
      <c r="G1136" t="s">
        <v>98</v>
      </c>
      <c r="H1136" t="s">
        <v>21</v>
      </c>
      <c r="I1136" s="12">
        <v>0.92013888888888884</v>
      </c>
      <c r="J1136" t="s">
        <v>99</v>
      </c>
      <c r="K1136" t="s">
        <v>21</v>
      </c>
      <c r="L1136" s="12">
        <v>0.94791666666666663</v>
      </c>
      <c r="M1136" t="s">
        <v>63</v>
      </c>
      <c r="N1136" s="3">
        <v>232</v>
      </c>
      <c r="O1136" t="s">
        <v>24</v>
      </c>
      <c r="P1136" t="s">
        <v>79</v>
      </c>
      <c r="R1136">
        <f>tblDailySchedule[[#This Row],[Capacity Approx]]*'[1]Load Factor Sheet June Acft  '!$B$5</f>
        <v>187.86727272727273</v>
      </c>
      <c r="S1136">
        <f>tblDailySchedule[[#This Row],[Capacity Approx]]*'[1]Load Factor Sheet June Acft  '!$D$5</f>
        <v>203.4218181818182</v>
      </c>
      <c r="T1136" s="22">
        <f>tblDailySchedule[[#This Row],[STD]]</f>
        <v>0.94791666666666663</v>
      </c>
    </row>
    <row r="1137" spans="1:20" hidden="1" x14ac:dyDescent="0.35">
      <c r="A1137" s="13">
        <v>46150</v>
      </c>
      <c r="B1137" s="7">
        <v>5</v>
      </c>
      <c r="C1137" s="14" t="s">
        <v>115</v>
      </c>
      <c r="D1137" s="14" t="s">
        <v>18</v>
      </c>
      <c r="E1137" s="7">
        <v>30</v>
      </c>
      <c r="F1137" s="14" t="s">
        <v>104</v>
      </c>
      <c r="G1137" s="14" t="s">
        <v>105</v>
      </c>
      <c r="H1137" s="14" t="s">
        <v>106</v>
      </c>
      <c r="I1137" s="15">
        <v>0.92708333333333337</v>
      </c>
      <c r="J1137" s="14" t="s">
        <v>107</v>
      </c>
      <c r="K1137" s="14" t="s">
        <v>106</v>
      </c>
      <c r="L1137" s="15">
        <v>0.95833333333333337</v>
      </c>
      <c r="M1137" s="14" t="s">
        <v>38</v>
      </c>
      <c r="N1137" s="7">
        <v>186</v>
      </c>
      <c r="O1137" s="14" t="s">
        <v>39</v>
      </c>
      <c r="P1137" s="14" t="s">
        <v>79</v>
      </c>
      <c r="Q1137" s="14" t="s">
        <v>39</v>
      </c>
      <c r="R1137">
        <f>tblDailySchedule[[#This Row],[Capacity Approx]]*'[1]Load Factor Sheet June Acft  '!$B$5</f>
        <v>150.61772727272728</v>
      </c>
      <c r="S1137">
        <f>tblDailySchedule[[#This Row],[Capacity Approx]]*'[1]Load Factor Sheet June Acft  '!$D$5</f>
        <v>163.08818181818182</v>
      </c>
      <c r="T1137" s="22">
        <f>tblDailySchedule[[#This Row],[STD]]</f>
        <v>0.95833333333333337</v>
      </c>
    </row>
    <row r="1138" spans="1:20" hidden="1" x14ac:dyDescent="0.35">
      <c r="A1138" s="11">
        <v>46151</v>
      </c>
      <c r="B1138" s="3">
        <v>6</v>
      </c>
      <c r="C1138" t="s">
        <v>116</v>
      </c>
      <c r="D1138" t="s">
        <v>18</v>
      </c>
      <c r="E1138" s="3">
        <v>1</v>
      </c>
      <c r="F1138" t="s">
        <v>101</v>
      </c>
      <c r="G1138" t="s">
        <v>102</v>
      </c>
      <c r="H1138" t="s">
        <v>61</v>
      </c>
      <c r="I1138" s="12">
        <v>0.3125</v>
      </c>
      <c r="J1138" t="s">
        <v>103</v>
      </c>
      <c r="K1138" t="s">
        <v>61</v>
      </c>
      <c r="L1138" s="12">
        <v>0.33333333333333331</v>
      </c>
      <c r="M1138" t="s">
        <v>33</v>
      </c>
      <c r="N1138" s="3">
        <v>189</v>
      </c>
      <c r="O1138" t="s">
        <v>24</v>
      </c>
      <c r="P1138" t="s">
        <v>25</v>
      </c>
      <c r="R1138">
        <f>tblDailySchedule[[#This Row],[Capacity Approx]]*'[1]Load Factor Sheet June Acft  '!$B$5</f>
        <v>153.04704545454547</v>
      </c>
      <c r="S1138">
        <f>tblDailySchedule[[#This Row],[Capacity Approx]]*'[1]Load Factor Sheet June Acft  '!$D$5</f>
        <v>165.71863636363636</v>
      </c>
      <c r="T1138" s="22">
        <f>tblDailySchedule[[#This Row],[STD]]</f>
        <v>0.33333333333333331</v>
      </c>
    </row>
    <row r="1139" spans="1:20" hidden="1" x14ac:dyDescent="0.35">
      <c r="A1139" s="11">
        <v>46151</v>
      </c>
      <c r="B1139" s="3">
        <v>6</v>
      </c>
      <c r="C1139" t="s">
        <v>116</v>
      </c>
      <c r="D1139" t="s">
        <v>18</v>
      </c>
      <c r="E1139" s="3">
        <v>2</v>
      </c>
      <c r="F1139" t="s">
        <v>19</v>
      </c>
      <c r="G1139" t="s">
        <v>20</v>
      </c>
      <c r="H1139" t="s">
        <v>21</v>
      </c>
      <c r="I1139" s="12">
        <v>0.31944444444444442</v>
      </c>
      <c r="J1139" t="s">
        <v>22</v>
      </c>
      <c r="K1139" t="s">
        <v>21</v>
      </c>
      <c r="L1139" s="12">
        <v>0.34722222222222221</v>
      </c>
      <c r="M1139" t="s">
        <v>23</v>
      </c>
      <c r="N1139" s="3">
        <v>186</v>
      </c>
      <c r="O1139" t="s">
        <v>24</v>
      </c>
      <c r="P1139" t="s">
        <v>25</v>
      </c>
      <c r="R1139">
        <f>tblDailySchedule[[#This Row],[Capacity Approx]]*'[1]Load Factor Sheet June Acft  '!$B$5</f>
        <v>150.61772727272728</v>
      </c>
      <c r="S1139">
        <f>tblDailySchedule[[#This Row],[Capacity Approx]]*'[1]Load Factor Sheet June Acft  '!$D$5</f>
        <v>163.08818181818182</v>
      </c>
      <c r="T1139" s="22">
        <f>tblDailySchedule[[#This Row],[STD]]</f>
        <v>0.34722222222222221</v>
      </c>
    </row>
    <row r="1140" spans="1:20" hidden="1" x14ac:dyDescent="0.35">
      <c r="A1140" s="11">
        <v>46151</v>
      </c>
      <c r="B1140" s="3">
        <v>6</v>
      </c>
      <c r="C1140" t="s">
        <v>116</v>
      </c>
      <c r="D1140" t="s">
        <v>18</v>
      </c>
      <c r="E1140" s="3">
        <v>3</v>
      </c>
      <c r="F1140" t="s">
        <v>19</v>
      </c>
      <c r="G1140" t="s">
        <v>26</v>
      </c>
      <c r="H1140" t="s">
        <v>27</v>
      </c>
      <c r="I1140" s="12">
        <v>0.3263888888888889</v>
      </c>
      <c r="J1140" t="s">
        <v>28</v>
      </c>
      <c r="K1140" t="s">
        <v>27</v>
      </c>
      <c r="L1140" s="12">
        <v>0.35416666666666669</v>
      </c>
      <c r="M1140" t="s">
        <v>29</v>
      </c>
      <c r="N1140" s="3">
        <v>186</v>
      </c>
      <c r="O1140" t="s">
        <v>24</v>
      </c>
      <c r="P1140" t="s">
        <v>25</v>
      </c>
      <c r="R1140">
        <f>tblDailySchedule[[#This Row],[Capacity Approx]]*'[1]Load Factor Sheet June Acft  '!$B$5</f>
        <v>150.61772727272728</v>
      </c>
      <c r="S1140">
        <f>tblDailySchedule[[#This Row],[Capacity Approx]]*'[1]Load Factor Sheet June Acft  '!$D$5</f>
        <v>163.08818181818182</v>
      </c>
      <c r="T1140" s="22">
        <f>tblDailySchedule[[#This Row],[STD]]</f>
        <v>0.35416666666666669</v>
      </c>
    </row>
    <row r="1141" spans="1:20" hidden="1" x14ac:dyDescent="0.35">
      <c r="A1141" s="11">
        <v>46151</v>
      </c>
      <c r="B1141" s="3">
        <v>6</v>
      </c>
      <c r="C1141" t="s">
        <v>116</v>
      </c>
      <c r="D1141" t="s">
        <v>18</v>
      </c>
      <c r="E1141" s="3">
        <v>4</v>
      </c>
      <c r="F1141" t="s">
        <v>19</v>
      </c>
      <c r="G1141" t="s">
        <v>30</v>
      </c>
      <c r="H1141" t="s">
        <v>31</v>
      </c>
      <c r="I1141" s="12">
        <v>0.34722222222222221</v>
      </c>
      <c r="J1141" t="s">
        <v>32</v>
      </c>
      <c r="K1141" t="s">
        <v>31</v>
      </c>
      <c r="L1141" s="12">
        <v>0.36805555555555558</v>
      </c>
      <c r="M1141" t="s">
        <v>33</v>
      </c>
      <c r="N1141" s="3">
        <v>189</v>
      </c>
      <c r="O1141" t="s">
        <v>24</v>
      </c>
      <c r="P1141" t="s">
        <v>25</v>
      </c>
      <c r="R1141">
        <f>tblDailySchedule[[#This Row],[Capacity Approx]]*'[1]Load Factor Sheet June Acft  '!$B$5</f>
        <v>153.04704545454547</v>
      </c>
      <c r="S1141">
        <f>tblDailySchedule[[#This Row],[Capacity Approx]]*'[1]Load Factor Sheet June Acft  '!$D$5</f>
        <v>165.71863636363636</v>
      </c>
      <c r="T1141" s="22">
        <f>tblDailySchedule[[#This Row],[STD]]</f>
        <v>0.36805555555555558</v>
      </c>
    </row>
    <row r="1142" spans="1:20" hidden="1" x14ac:dyDescent="0.35">
      <c r="A1142" s="11">
        <v>46151</v>
      </c>
      <c r="B1142" s="3">
        <v>6</v>
      </c>
      <c r="C1142" t="s">
        <v>116</v>
      </c>
      <c r="D1142" t="s">
        <v>18</v>
      </c>
      <c r="E1142" s="3">
        <v>5</v>
      </c>
      <c r="F1142" t="s">
        <v>19</v>
      </c>
      <c r="G1142" t="s">
        <v>40</v>
      </c>
      <c r="H1142" t="s">
        <v>31</v>
      </c>
      <c r="I1142" s="12">
        <v>0.35069444444444442</v>
      </c>
      <c r="J1142" t="s">
        <v>41</v>
      </c>
      <c r="K1142" t="s">
        <v>31</v>
      </c>
      <c r="L1142" s="12">
        <v>0.37152777777777779</v>
      </c>
      <c r="M1142" t="s">
        <v>23</v>
      </c>
      <c r="N1142" s="3">
        <v>186</v>
      </c>
      <c r="O1142" t="s">
        <v>24</v>
      </c>
      <c r="P1142" t="s">
        <v>25</v>
      </c>
      <c r="R1142">
        <f>tblDailySchedule[[#This Row],[Capacity Approx]]*'[1]Load Factor Sheet June Acft  '!$B$5</f>
        <v>150.61772727272728</v>
      </c>
      <c r="S1142">
        <f>tblDailySchedule[[#This Row],[Capacity Approx]]*'[1]Load Factor Sheet June Acft  '!$D$5</f>
        <v>163.08818181818182</v>
      </c>
      <c r="T1142" s="22">
        <f>tblDailySchedule[[#This Row],[STD]]</f>
        <v>0.37152777777777779</v>
      </c>
    </row>
    <row r="1143" spans="1:20" hidden="1" x14ac:dyDescent="0.35">
      <c r="A1143" s="11">
        <v>46151</v>
      </c>
      <c r="B1143" s="3">
        <v>6</v>
      </c>
      <c r="C1143" t="s">
        <v>116</v>
      </c>
      <c r="D1143" t="s">
        <v>18</v>
      </c>
      <c r="E1143" s="3">
        <v>7</v>
      </c>
      <c r="F1143" t="s">
        <v>19</v>
      </c>
      <c r="G1143" t="s">
        <v>42</v>
      </c>
      <c r="H1143" t="s">
        <v>43</v>
      </c>
      <c r="I1143" s="12">
        <v>0.3923611111111111</v>
      </c>
      <c r="J1143" t="s">
        <v>44</v>
      </c>
      <c r="K1143" t="s">
        <v>43</v>
      </c>
      <c r="L1143" s="12">
        <v>0.40277777777777779</v>
      </c>
      <c r="M1143" t="s">
        <v>45</v>
      </c>
      <c r="N1143" s="3">
        <v>9</v>
      </c>
      <c r="O1143" t="s">
        <v>24</v>
      </c>
      <c r="P1143" t="s">
        <v>25</v>
      </c>
      <c r="R1143">
        <f>tblDailySchedule[[#This Row],[Capacity Approx]]*'[1]Load Factor Sheet June Acft  '!$B$5</f>
        <v>7.2879545454545456</v>
      </c>
      <c r="S1143">
        <f>tblDailySchedule[[#This Row],[Capacity Approx]]*'[1]Load Factor Sheet June Acft  '!$D$5</f>
        <v>7.8913636363636366</v>
      </c>
      <c r="T1143" s="22">
        <f>tblDailySchedule[[#This Row],[STD]]</f>
        <v>0.40277777777777779</v>
      </c>
    </row>
    <row r="1144" spans="1:20" hidden="1" x14ac:dyDescent="0.35">
      <c r="A1144" s="11">
        <v>46151</v>
      </c>
      <c r="B1144" s="3">
        <v>6</v>
      </c>
      <c r="C1144" t="s">
        <v>116</v>
      </c>
      <c r="D1144" t="s">
        <v>18</v>
      </c>
      <c r="E1144" s="3">
        <v>8</v>
      </c>
      <c r="F1144" t="s">
        <v>19</v>
      </c>
      <c r="G1144" t="s">
        <v>46</v>
      </c>
      <c r="H1144" t="s">
        <v>31</v>
      </c>
      <c r="I1144" s="12">
        <v>0.4201388888888889</v>
      </c>
      <c r="J1144" t="s">
        <v>47</v>
      </c>
      <c r="K1144" t="s">
        <v>31</v>
      </c>
      <c r="L1144" s="12">
        <v>0.44444444444444442</v>
      </c>
      <c r="M1144" t="s">
        <v>29</v>
      </c>
      <c r="N1144" s="3">
        <v>186</v>
      </c>
      <c r="O1144" t="s">
        <v>24</v>
      </c>
      <c r="P1144" t="s">
        <v>25</v>
      </c>
      <c r="R1144">
        <f>tblDailySchedule[[#This Row],[Capacity Approx]]*'[1]Load Factor Sheet June Acft  '!$B$5</f>
        <v>150.61772727272728</v>
      </c>
      <c r="S1144">
        <f>tblDailySchedule[[#This Row],[Capacity Approx]]*'[1]Load Factor Sheet June Acft  '!$D$5</f>
        <v>163.08818181818182</v>
      </c>
      <c r="T1144" s="22">
        <f>tblDailySchedule[[#This Row],[STD]]</f>
        <v>0.44444444444444442</v>
      </c>
    </row>
    <row r="1145" spans="1:20" hidden="1" x14ac:dyDescent="0.35">
      <c r="A1145" s="11">
        <v>46151</v>
      </c>
      <c r="B1145" s="3">
        <v>6</v>
      </c>
      <c r="C1145" t="s">
        <v>116</v>
      </c>
      <c r="D1145" t="s">
        <v>18</v>
      </c>
      <c r="E1145" s="3">
        <v>9</v>
      </c>
      <c r="F1145" t="s">
        <v>19</v>
      </c>
      <c r="G1145" t="s">
        <v>48</v>
      </c>
      <c r="H1145" t="s">
        <v>49</v>
      </c>
      <c r="I1145" s="12">
        <v>0.4375</v>
      </c>
      <c r="J1145" t="s">
        <v>50</v>
      </c>
      <c r="K1145" t="s">
        <v>49</v>
      </c>
      <c r="L1145" s="12">
        <v>0.45833333333333331</v>
      </c>
      <c r="M1145" t="s">
        <v>51</v>
      </c>
      <c r="N1145" s="3">
        <v>78</v>
      </c>
      <c r="O1145" t="s">
        <v>24</v>
      </c>
      <c r="P1145" t="s">
        <v>25</v>
      </c>
      <c r="R1145">
        <f>tblDailySchedule[[#This Row],[Capacity Approx]]*'[1]Load Factor Sheet June Acft  '!$B$5</f>
        <v>63.162272727272729</v>
      </c>
      <c r="S1145">
        <f>tblDailySchedule[[#This Row],[Capacity Approx]]*'[1]Load Factor Sheet June Acft  '!$D$5</f>
        <v>68.391818181818181</v>
      </c>
      <c r="T1145" s="22">
        <f>tblDailySchedule[[#This Row],[STD]]</f>
        <v>0.45833333333333331</v>
      </c>
    </row>
    <row r="1146" spans="1:20" hidden="1" x14ac:dyDescent="0.35">
      <c r="A1146" s="11">
        <v>46151</v>
      </c>
      <c r="B1146" s="3">
        <v>6</v>
      </c>
      <c r="C1146" t="s">
        <v>116</v>
      </c>
      <c r="D1146" t="s">
        <v>18</v>
      </c>
      <c r="E1146" s="3">
        <v>10</v>
      </c>
      <c r="F1146" t="s">
        <v>19</v>
      </c>
      <c r="G1146" t="s">
        <v>52</v>
      </c>
      <c r="H1146" t="s">
        <v>27</v>
      </c>
      <c r="I1146" s="12">
        <v>0.4826388888888889</v>
      </c>
      <c r="J1146" t="s">
        <v>53</v>
      </c>
      <c r="K1146" t="s">
        <v>27</v>
      </c>
      <c r="L1146" s="12">
        <v>0.51041666666666663</v>
      </c>
      <c r="M1146" t="s">
        <v>23</v>
      </c>
      <c r="N1146" s="3">
        <v>186</v>
      </c>
      <c r="O1146" t="s">
        <v>24</v>
      </c>
      <c r="P1146" t="s">
        <v>25</v>
      </c>
      <c r="R1146">
        <f>tblDailySchedule[[#This Row],[Capacity Approx]]*'[1]Load Factor Sheet June Acft  '!$B$5</f>
        <v>150.61772727272728</v>
      </c>
      <c r="S1146">
        <f>tblDailySchedule[[#This Row],[Capacity Approx]]*'[1]Load Factor Sheet June Acft  '!$D$5</f>
        <v>163.08818181818182</v>
      </c>
      <c r="T1146" s="22">
        <f>tblDailySchedule[[#This Row],[STD]]</f>
        <v>0.51041666666666663</v>
      </c>
    </row>
    <row r="1147" spans="1:20" hidden="1" x14ac:dyDescent="0.35">
      <c r="A1147" s="11">
        <v>46151</v>
      </c>
      <c r="B1147" s="3">
        <v>6</v>
      </c>
      <c r="C1147" t="s">
        <v>116</v>
      </c>
      <c r="D1147" t="s">
        <v>18</v>
      </c>
      <c r="E1147" s="3">
        <v>11</v>
      </c>
      <c r="F1147" t="s">
        <v>19</v>
      </c>
      <c r="G1147" t="s">
        <v>54</v>
      </c>
      <c r="H1147" t="s">
        <v>31</v>
      </c>
      <c r="I1147" s="12">
        <v>0.51388888888888884</v>
      </c>
      <c r="J1147" t="s">
        <v>55</v>
      </c>
      <c r="K1147" t="s">
        <v>31</v>
      </c>
      <c r="L1147" s="12">
        <v>0.54166666666666663</v>
      </c>
      <c r="M1147" t="s">
        <v>23</v>
      </c>
      <c r="N1147" s="3">
        <v>186</v>
      </c>
      <c r="O1147" t="s">
        <v>24</v>
      </c>
      <c r="P1147" t="s">
        <v>56</v>
      </c>
      <c r="R1147">
        <f>tblDailySchedule[[#This Row],[Capacity Approx]]*'[1]Load Factor Sheet June Acft  '!$B$5</f>
        <v>150.61772727272728</v>
      </c>
      <c r="S1147">
        <f>tblDailySchedule[[#This Row],[Capacity Approx]]*'[1]Load Factor Sheet June Acft  '!$D$5</f>
        <v>163.08818181818182</v>
      </c>
      <c r="T1147" s="22">
        <f>tblDailySchedule[[#This Row],[STD]]</f>
        <v>0.54166666666666663</v>
      </c>
    </row>
    <row r="1148" spans="1:20" hidden="1" x14ac:dyDescent="0.35">
      <c r="A1148" s="11">
        <v>46151</v>
      </c>
      <c r="B1148" s="3">
        <v>6</v>
      </c>
      <c r="C1148" t="s">
        <v>116</v>
      </c>
      <c r="D1148" t="s">
        <v>18</v>
      </c>
      <c r="E1148" s="3">
        <v>12</v>
      </c>
      <c r="F1148" t="s">
        <v>109</v>
      </c>
      <c r="G1148" t="s">
        <v>110</v>
      </c>
      <c r="H1148" t="s">
        <v>111</v>
      </c>
      <c r="I1148" s="12">
        <v>0.55555555555555558</v>
      </c>
      <c r="J1148" t="s">
        <v>112</v>
      </c>
      <c r="K1148" t="s">
        <v>111</v>
      </c>
      <c r="L1148" s="12">
        <v>0.56944444444444442</v>
      </c>
      <c r="M1148" t="s">
        <v>51</v>
      </c>
      <c r="N1148" s="3">
        <v>78</v>
      </c>
      <c r="O1148" t="s">
        <v>24</v>
      </c>
      <c r="P1148" t="s">
        <v>56</v>
      </c>
      <c r="R1148">
        <f>tblDailySchedule[[#This Row],[Capacity Approx]]*'[1]Load Factor Sheet June Acft  '!$B$5</f>
        <v>63.162272727272729</v>
      </c>
      <c r="S1148">
        <f>tblDailySchedule[[#This Row],[Capacity Approx]]*'[1]Load Factor Sheet June Acft  '!$D$5</f>
        <v>68.391818181818181</v>
      </c>
      <c r="T1148" s="22">
        <f>tblDailySchedule[[#This Row],[STD]]</f>
        <v>0.56944444444444442</v>
      </c>
    </row>
    <row r="1149" spans="1:20" hidden="1" x14ac:dyDescent="0.35">
      <c r="A1149" s="11">
        <v>46151</v>
      </c>
      <c r="B1149" s="3">
        <v>6</v>
      </c>
      <c r="C1149" t="s">
        <v>116</v>
      </c>
      <c r="D1149" t="s">
        <v>18</v>
      </c>
      <c r="E1149" s="3">
        <v>13</v>
      </c>
      <c r="F1149" t="s">
        <v>19</v>
      </c>
      <c r="G1149" t="s">
        <v>57</v>
      </c>
      <c r="H1149" t="s">
        <v>58</v>
      </c>
      <c r="I1149" s="12">
        <v>0.55902777777777779</v>
      </c>
      <c r="J1149" t="s">
        <v>59</v>
      </c>
      <c r="K1149" t="s">
        <v>58</v>
      </c>
      <c r="L1149" s="12">
        <v>0.57638888888888884</v>
      </c>
      <c r="M1149" t="s">
        <v>51</v>
      </c>
      <c r="N1149" s="3">
        <v>78</v>
      </c>
      <c r="O1149" t="s">
        <v>24</v>
      </c>
      <c r="P1149" t="s">
        <v>56</v>
      </c>
      <c r="R1149">
        <f>tblDailySchedule[[#This Row],[Capacity Approx]]*'[1]Load Factor Sheet June Acft  '!$B$5</f>
        <v>63.162272727272729</v>
      </c>
      <c r="S1149">
        <f>tblDailySchedule[[#This Row],[Capacity Approx]]*'[1]Load Factor Sheet June Acft  '!$D$5</f>
        <v>68.391818181818181</v>
      </c>
      <c r="T1149" s="22">
        <f>tblDailySchedule[[#This Row],[STD]]</f>
        <v>0.57638888888888884</v>
      </c>
    </row>
    <row r="1150" spans="1:20" hidden="1" x14ac:dyDescent="0.35">
      <c r="A1150" s="11">
        <v>46151</v>
      </c>
      <c r="B1150" s="3">
        <v>6</v>
      </c>
      <c r="C1150" t="s">
        <v>116</v>
      </c>
      <c r="D1150" t="s">
        <v>18</v>
      </c>
      <c r="E1150" s="3">
        <v>14</v>
      </c>
      <c r="F1150" t="s">
        <v>19</v>
      </c>
      <c r="G1150" t="s">
        <v>60</v>
      </c>
      <c r="H1150" t="s">
        <v>61</v>
      </c>
      <c r="I1150" s="12">
        <v>0.59027777777777779</v>
      </c>
      <c r="J1150" t="s">
        <v>62</v>
      </c>
      <c r="K1150" t="s">
        <v>61</v>
      </c>
      <c r="L1150" s="12">
        <v>0.62152777777777779</v>
      </c>
      <c r="M1150" t="s">
        <v>63</v>
      </c>
      <c r="N1150" s="3">
        <v>232</v>
      </c>
      <c r="O1150" t="s">
        <v>24</v>
      </c>
      <c r="P1150" t="s">
        <v>56</v>
      </c>
      <c r="R1150">
        <f>tblDailySchedule[[#This Row],[Capacity Approx]]*'[1]Load Factor Sheet June Acft  '!$B$5</f>
        <v>187.86727272727273</v>
      </c>
      <c r="S1150">
        <f>tblDailySchedule[[#This Row],[Capacity Approx]]*'[1]Load Factor Sheet June Acft  '!$D$5</f>
        <v>203.4218181818182</v>
      </c>
      <c r="T1150" s="22">
        <f>tblDailySchedule[[#This Row],[STD]]</f>
        <v>0.62152777777777779</v>
      </c>
    </row>
    <row r="1151" spans="1:20" hidden="1" x14ac:dyDescent="0.35">
      <c r="A1151" s="11">
        <v>46151</v>
      </c>
      <c r="B1151" s="3">
        <v>6</v>
      </c>
      <c r="C1151" t="s">
        <v>116</v>
      </c>
      <c r="D1151" t="s">
        <v>18</v>
      </c>
      <c r="E1151" s="3">
        <v>15</v>
      </c>
      <c r="F1151" t="s">
        <v>19</v>
      </c>
      <c r="G1151" t="s">
        <v>64</v>
      </c>
      <c r="H1151" t="s">
        <v>31</v>
      </c>
      <c r="I1151" s="12">
        <v>0.60069444444444442</v>
      </c>
      <c r="J1151" t="s">
        <v>65</v>
      </c>
      <c r="K1151" t="s">
        <v>66</v>
      </c>
      <c r="L1151" s="12">
        <v>0.62847222222222221</v>
      </c>
      <c r="M1151" t="s">
        <v>63</v>
      </c>
      <c r="N1151" s="3">
        <v>232</v>
      </c>
      <c r="O1151" t="s">
        <v>24</v>
      </c>
      <c r="P1151" t="s">
        <v>56</v>
      </c>
      <c r="R1151">
        <f>tblDailySchedule[[#This Row],[Capacity Approx]]*'[1]Load Factor Sheet June Acft  '!$B$5</f>
        <v>187.86727272727273</v>
      </c>
      <c r="S1151">
        <f>tblDailySchedule[[#This Row],[Capacity Approx]]*'[1]Load Factor Sheet June Acft  '!$D$5</f>
        <v>203.4218181818182</v>
      </c>
      <c r="T1151" s="22">
        <f>tblDailySchedule[[#This Row],[STD]]</f>
        <v>0.62847222222222221</v>
      </c>
    </row>
    <row r="1152" spans="1:20" hidden="1" x14ac:dyDescent="0.35">
      <c r="A1152" s="11">
        <v>46151</v>
      </c>
      <c r="B1152" s="3">
        <v>6</v>
      </c>
      <c r="C1152" t="s">
        <v>116</v>
      </c>
      <c r="D1152" t="s">
        <v>18</v>
      </c>
      <c r="E1152" s="3">
        <v>16</v>
      </c>
      <c r="F1152" t="s">
        <v>19</v>
      </c>
      <c r="G1152" t="s">
        <v>67</v>
      </c>
      <c r="H1152" t="s">
        <v>31</v>
      </c>
      <c r="I1152" s="12">
        <v>0.65625</v>
      </c>
      <c r="J1152" t="s">
        <v>68</v>
      </c>
      <c r="K1152" t="s">
        <v>31</v>
      </c>
      <c r="L1152" s="12">
        <v>0.68402777777777779</v>
      </c>
      <c r="M1152" t="s">
        <v>63</v>
      </c>
      <c r="N1152" s="3">
        <v>232</v>
      </c>
      <c r="O1152" t="s">
        <v>24</v>
      </c>
      <c r="P1152" t="s">
        <v>56</v>
      </c>
      <c r="R1152">
        <f>tblDailySchedule[[#This Row],[Capacity Approx]]*'[1]Load Factor Sheet June Acft  '!$B$5</f>
        <v>187.86727272727273</v>
      </c>
      <c r="S1152">
        <f>tblDailySchedule[[#This Row],[Capacity Approx]]*'[1]Load Factor Sheet June Acft  '!$D$5</f>
        <v>203.4218181818182</v>
      </c>
      <c r="T1152" s="22">
        <f>tblDailySchedule[[#This Row],[STD]]</f>
        <v>0.68402777777777779</v>
      </c>
    </row>
    <row r="1153" spans="1:20" hidden="1" x14ac:dyDescent="0.35">
      <c r="A1153" s="11">
        <v>46151</v>
      </c>
      <c r="B1153" s="3">
        <v>6</v>
      </c>
      <c r="C1153" t="s">
        <v>116</v>
      </c>
      <c r="D1153" t="s">
        <v>18</v>
      </c>
      <c r="E1153" s="3">
        <v>17</v>
      </c>
      <c r="F1153" t="s">
        <v>19</v>
      </c>
      <c r="G1153" t="s">
        <v>69</v>
      </c>
      <c r="H1153" t="s">
        <v>31</v>
      </c>
      <c r="I1153" s="12">
        <v>0.66319444444444442</v>
      </c>
      <c r="J1153" t="s">
        <v>70</v>
      </c>
      <c r="K1153" t="s">
        <v>31</v>
      </c>
      <c r="L1153" s="12">
        <v>0.69097222222222221</v>
      </c>
      <c r="M1153" t="s">
        <v>33</v>
      </c>
      <c r="N1153" s="3">
        <v>189</v>
      </c>
      <c r="O1153" t="s">
        <v>24</v>
      </c>
      <c r="P1153" t="s">
        <v>56</v>
      </c>
      <c r="R1153">
        <f>tblDailySchedule[[#This Row],[Capacity Approx]]*'[1]Load Factor Sheet June Acft  '!$B$5</f>
        <v>153.04704545454547</v>
      </c>
      <c r="S1153">
        <f>tblDailySchedule[[#This Row],[Capacity Approx]]*'[1]Load Factor Sheet June Acft  '!$D$5</f>
        <v>165.71863636363636</v>
      </c>
      <c r="T1153" s="22">
        <f>tblDailySchedule[[#This Row],[STD]]</f>
        <v>0.69097222222222221</v>
      </c>
    </row>
    <row r="1154" spans="1:20" hidden="1" x14ac:dyDescent="0.35">
      <c r="A1154" s="11">
        <v>46151</v>
      </c>
      <c r="B1154" s="3">
        <v>6</v>
      </c>
      <c r="C1154" t="s">
        <v>116</v>
      </c>
      <c r="D1154" t="s">
        <v>18</v>
      </c>
      <c r="E1154" s="3">
        <v>18</v>
      </c>
      <c r="F1154" t="s">
        <v>19</v>
      </c>
      <c r="G1154" t="s">
        <v>71</v>
      </c>
      <c r="H1154" t="s">
        <v>21</v>
      </c>
      <c r="I1154" s="12">
        <v>0.67013888888888884</v>
      </c>
      <c r="J1154" t="s">
        <v>72</v>
      </c>
      <c r="K1154" t="s">
        <v>21</v>
      </c>
      <c r="L1154" s="12">
        <v>0.69791666666666663</v>
      </c>
      <c r="M1154" t="s">
        <v>63</v>
      </c>
      <c r="N1154" s="3">
        <v>232</v>
      </c>
      <c r="O1154" t="s">
        <v>24</v>
      </c>
      <c r="P1154" t="s">
        <v>56</v>
      </c>
      <c r="R1154">
        <f>tblDailySchedule[[#This Row],[Capacity Approx]]*'[1]Load Factor Sheet June Acft  '!$B$5</f>
        <v>187.86727272727273</v>
      </c>
      <c r="S1154">
        <f>tblDailySchedule[[#This Row],[Capacity Approx]]*'[1]Load Factor Sheet June Acft  '!$D$5</f>
        <v>203.4218181818182</v>
      </c>
      <c r="T1154" s="22">
        <f>tblDailySchedule[[#This Row],[STD]]</f>
        <v>0.69791666666666663</v>
      </c>
    </row>
    <row r="1155" spans="1:20" hidden="1" x14ac:dyDescent="0.35">
      <c r="A1155" s="11">
        <v>46151</v>
      </c>
      <c r="B1155" s="3">
        <v>6</v>
      </c>
      <c r="C1155" t="s">
        <v>116</v>
      </c>
      <c r="D1155" t="s">
        <v>18</v>
      </c>
      <c r="E1155" s="3">
        <v>19</v>
      </c>
      <c r="F1155" t="s">
        <v>19</v>
      </c>
      <c r="G1155" t="s">
        <v>73</v>
      </c>
      <c r="H1155" t="s">
        <v>27</v>
      </c>
      <c r="I1155" s="12">
        <v>0.74652777777777779</v>
      </c>
      <c r="J1155" t="s">
        <v>74</v>
      </c>
      <c r="K1155" t="s">
        <v>27</v>
      </c>
      <c r="L1155" s="12">
        <v>0.77430555555555558</v>
      </c>
      <c r="M1155" t="s">
        <v>63</v>
      </c>
      <c r="N1155" s="3">
        <v>232</v>
      </c>
      <c r="O1155" t="s">
        <v>24</v>
      </c>
      <c r="P1155" t="s">
        <v>56</v>
      </c>
      <c r="R1155">
        <f>tblDailySchedule[[#This Row],[Capacity Approx]]*'[1]Load Factor Sheet June Acft  '!$B$5</f>
        <v>187.86727272727273</v>
      </c>
      <c r="S1155">
        <f>tblDailySchedule[[#This Row],[Capacity Approx]]*'[1]Load Factor Sheet June Acft  '!$D$5</f>
        <v>203.4218181818182</v>
      </c>
      <c r="T1155" s="22">
        <f>tblDailySchedule[[#This Row],[STD]]</f>
        <v>0.77430555555555558</v>
      </c>
    </row>
    <row r="1156" spans="1:20" hidden="1" x14ac:dyDescent="0.35">
      <c r="A1156" s="11">
        <v>46151</v>
      </c>
      <c r="B1156" s="3">
        <v>6</v>
      </c>
      <c r="C1156" t="s">
        <v>116</v>
      </c>
      <c r="D1156" t="s">
        <v>18</v>
      </c>
      <c r="E1156" s="3">
        <v>21</v>
      </c>
      <c r="F1156" t="s">
        <v>19</v>
      </c>
      <c r="G1156" t="s">
        <v>81</v>
      </c>
      <c r="H1156" t="s">
        <v>61</v>
      </c>
      <c r="I1156" s="12">
        <v>0.77083333333333337</v>
      </c>
      <c r="J1156" t="s">
        <v>82</v>
      </c>
      <c r="K1156" t="s">
        <v>49</v>
      </c>
      <c r="L1156" s="12">
        <v>0.79166666666666663</v>
      </c>
      <c r="M1156" t="s">
        <v>33</v>
      </c>
      <c r="N1156" s="3">
        <v>189</v>
      </c>
      <c r="O1156" t="s">
        <v>24</v>
      </c>
      <c r="P1156" t="s">
        <v>79</v>
      </c>
      <c r="R1156">
        <f>tblDailySchedule[[#This Row],[Capacity Approx]]*'[1]Load Factor Sheet June Acft  '!$B$5</f>
        <v>153.04704545454547</v>
      </c>
      <c r="S1156">
        <f>tblDailySchedule[[#This Row],[Capacity Approx]]*'[1]Load Factor Sheet June Acft  '!$D$5</f>
        <v>165.71863636363636</v>
      </c>
      <c r="T1156" s="22">
        <f>tblDailySchedule[[#This Row],[STD]]</f>
        <v>0.79166666666666663</v>
      </c>
    </row>
    <row r="1157" spans="1:20" hidden="1" x14ac:dyDescent="0.35">
      <c r="A1157" s="11">
        <v>46151</v>
      </c>
      <c r="B1157" s="3">
        <v>6</v>
      </c>
      <c r="C1157" t="s">
        <v>116</v>
      </c>
      <c r="D1157" t="s">
        <v>18</v>
      </c>
      <c r="E1157" s="3">
        <v>22</v>
      </c>
      <c r="F1157" t="s">
        <v>19</v>
      </c>
      <c r="G1157" t="s">
        <v>83</v>
      </c>
      <c r="H1157" t="s">
        <v>31</v>
      </c>
      <c r="I1157" s="12">
        <v>0.77777777777777779</v>
      </c>
      <c r="J1157" t="s">
        <v>84</v>
      </c>
      <c r="K1157" t="s">
        <v>31</v>
      </c>
      <c r="L1157" s="12">
        <v>0.80555555555555558</v>
      </c>
      <c r="M1157" t="s">
        <v>63</v>
      </c>
      <c r="N1157" s="3">
        <v>232</v>
      </c>
      <c r="O1157" t="s">
        <v>24</v>
      </c>
      <c r="P1157" t="s">
        <v>79</v>
      </c>
      <c r="R1157">
        <f>tblDailySchedule[[#This Row],[Capacity Approx]]*'[1]Load Factor Sheet June Acft  '!$B$5</f>
        <v>187.86727272727273</v>
      </c>
      <c r="S1157">
        <f>tblDailySchedule[[#This Row],[Capacity Approx]]*'[1]Load Factor Sheet June Acft  '!$D$5</f>
        <v>203.4218181818182</v>
      </c>
      <c r="T1157" s="22">
        <f>tblDailySchedule[[#This Row],[STD]]</f>
        <v>0.80555555555555558</v>
      </c>
    </row>
    <row r="1158" spans="1:20" hidden="1" x14ac:dyDescent="0.35">
      <c r="A1158" s="11">
        <v>46151</v>
      </c>
      <c r="B1158" s="3">
        <v>6</v>
      </c>
      <c r="C1158" t="s">
        <v>116</v>
      </c>
      <c r="D1158" t="s">
        <v>18</v>
      </c>
      <c r="E1158" s="3">
        <v>23</v>
      </c>
      <c r="F1158" t="s">
        <v>19</v>
      </c>
      <c r="G1158" t="s">
        <v>85</v>
      </c>
      <c r="H1158" t="s">
        <v>86</v>
      </c>
      <c r="I1158" s="12">
        <v>0.79861111111111116</v>
      </c>
      <c r="J1158" t="s">
        <v>87</v>
      </c>
      <c r="K1158" t="s">
        <v>86</v>
      </c>
      <c r="L1158" s="12">
        <v>0.82638888888888884</v>
      </c>
      <c r="M1158" t="s">
        <v>63</v>
      </c>
      <c r="N1158" s="3">
        <v>232</v>
      </c>
      <c r="O1158" t="s">
        <v>24</v>
      </c>
      <c r="P1158" t="s">
        <v>79</v>
      </c>
      <c r="R1158">
        <f>tblDailySchedule[[#This Row],[Capacity Approx]]*'[1]Load Factor Sheet June Acft  '!$B$5</f>
        <v>187.86727272727273</v>
      </c>
      <c r="S1158">
        <f>tblDailySchedule[[#This Row],[Capacity Approx]]*'[1]Load Factor Sheet June Acft  '!$D$5</f>
        <v>203.4218181818182</v>
      </c>
      <c r="T1158" s="22">
        <f>tblDailySchedule[[#This Row],[STD]]</f>
        <v>0.82638888888888884</v>
      </c>
    </row>
    <row r="1159" spans="1:20" hidden="1" x14ac:dyDescent="0.35">
      <c r="A1159" s="11">
        <v>46151</v>
      </c>
      <c r="B1159" s="3">
        <v>6</v>
      </c>
      <c r="C1159" t="s">
        <v>116</v>
      </c>
      <c r="D1159" t="s">
        <v>18</v>
      </c>
      <c r="E1159" s="3">
        <v>24</v>
      </c>
      <c r="F1159" t="s">
        <v>19</v>
      </c>
      <c r="G1159" t="s">
        <v>88</v>
      </c>
      <c r="H1159" t="s">
        <v>89</v>
      </c>
      <c r="I1159" s="12">
        <v>0.83333333333333337</v>
      </c>
      <c r="J1159" t="s">
        <v>90</v>
      </c>
      <c r="K1159" t="s">
        <v>31</v>
      </c>
      <c r="L1159" s="12">
        <v>0.86111111111111116</v>
      </c>
      <c r="M1159" t="s">
        <v>63</v>
      </c>
      <c r="N1159" s="3">
        <v>232</v>
      </c>
      <c r="O1159" t="s">
        <v>24</v>
      </c>
      <c r="P1159" t="s">
        <v>79</v>
      </c>
      <c r="R1159">
        <f>tblDailySchedule[[#This Row],[Capacity Approx]]*'[1]Load Factor Sheet June Acft  '!$B$5</f>
        <v>187.86727272727273</v>
      </c>
      <c r="S1159">
        <f>tblDailySchedule[[#This Row],[Capacity Approx]]*'[1]Load Factor Sheet June Acft  '!$D$5</f>
        <v>203.4218181818182</v>
      </c>
      <c r="T1159" s="22">
        <f>tblDailySchedule[[#This Row],[STD]]</f>
        <v>0.86111111111111116</v>
      </c>
    </row>
    <row r="1160" spans="1:20" hidden="1" x14ac:dyDescent="0.35">
      <c r="A1160" s="11">
        <v>46151</v>
      </c>
      <c r="B1160" s="3">
        <v>6</v>
      </c>
      <c r="C1160" t="s">
        <v>116</v>
      </c>
      <c r="D1160" t="s">
        <v>18</v>
      </c>
      <c r="E1160" s="3">
        <v>25</v>
      </c>
      <c r="F1160" t="s">
        <v>19</v>
      </c>
      <c r="G1160" t="s">
        <v>91</v>
      </c>
      <c r="H1160" t="s">
        <v>61</v>
      </c>
      <c r="I1160" s="12">
        <v>0.85416666666666663</v>
      </c>
      <c r="J1160" t="s">
        <v>92</v>
      </c>
      <c r="K1160" t="s">
        <v>61</v>
      </c>
      <c r="L1160" s="12">
        <v>0.88194444444444442</v>
      </c>
      <c r="M1160" t="s">
        <v>63</v>
      </c>
      <c r="N1160" s="3">
        <v>232</v>
      </c>
      <c r="O1160" t="s">
        <v>24</v>
      </c>
      <c r="P1160" t="s">
        <v>79</v>
      </c>
      <c r="R1160">
        <f>tblDailySchedule[[#This Row],[Capacity Approx]]*'[1]Load Factor Sheet June Acft  '!$B$5</f>
        <v>187.86727272727273</v>
      </c>
      <c r="S1160">
        <f>tblDailySchedule[[#This Row],[Capacity Approx]]*'[1]Load Factor Sheet June Acft  '!$D$5</f>
        <v>203.4218181818182</v>
      </c>
      <c r="T1160" s="22">
        <f>tblDailySchedule[[#This Row],[STD]]</f>
        <v>0.88194444444444442</v>
      </c>
    </row>
    <row r="1161" spans="1:20" hidden="1" x14ac:dyDescent="0.35">
      <c r="A1161" s="11">
        <v>46151</v>
      </c>
      <c r="B1161" s="3">
        <v>6</v>
      </c>
      <c r="C1161" t="s">
        <v>116</v>
      </c>
      <c r="D1161" t="s">
        <v>18</v>
      </c>
      <c r="E1161" s="3">
        <v>26</v>
      </c>
      <c r="F1161" t="s">
        <v>19</v>
      </c>
      <c r="G1161" t="s">
        <v>93</v>
      </c>
      <c r="H1161" t="s">
        <v>31</v>
      </c>
      <c r="I1161" s="12">
        <v>0.86111111111111116</v>
      </c>
      <c r="J1161" t="s">
        <v>94</v>
      </c>
      <c r="K1161" t="s">
        <v>31</v>
      </c>
      <c r="L1161" s="12">
        <v>0.88888888888888884</v>
      </c>
      <c r="M1161" t="s">
        <v>23</v>
      </c>
      <c r="N1161" s="3">
        <v>186</v>
      </c>
      <c r="O1161" t="s">
        <v>24</v>
      </c>
      <c r="P1161" t="s">
        <v>79</v>
      </c>
      <c r="R1161">
        <f>tblDailySchedule[[#This Row],[Capacity Approx]]*'[1]Load Factor Sheet June Acft  '!$B$5</f>
        <v>150.61772727272728</v>
      </c>
      <c r="S1161">
        <f>tblDailySchedule[[#This Row],[Capacity Approx]]*'[1]Load Factor Sheet June Acft  '!$D$5</f>
        <v>163.08818181818182</v>
      </c>
      <c r="T1161" s="22">
        <f>tblDailySchedule[[#This Row],[STD]]</f>
        <v>0.88888888888888884</v>
      </c>
    </row>
    <row r="1162" spans="1:20" hidden="1" x14ac:dyDescent="0.35">
      <c r="A1162" s="11">
        <v>46151</v>
      </c>
      <c r="B1162" s="3">
        <v>6</v>
      </c>
      <c r="C1162" t="s">
        <v>116</v>
      </c>
      <c r="D1162" t="s">
        <v>18</v>
      </c>
      <c r="E1162" s="3">
        <v>27</v>
      </c>
      <c r="F1162" t="s">
        <v>19</v>
      </c>
      <c r="G1162" t="s">
        <v>95</v>
      </c>
      <c r="H1162" t="s">
        <v>21</v>
      </c>
      <c r="I1162" s="12">
        <v>0.86805555555555558</v>
      </c>
      <c r="J1162" t="s">
        <v>96</v>
      </c>
      <c r="K1162" t="s">
        <v>21</v>
      </c>
      <c r="L1162" s="12">
        <v>0.89583333333333337</v>
      </c>
      <c r="M1162" t="s">
        <v>29</v>
      </c>
      <c r="N1162" s="3">
        <v>186</v>
      </c>
      <c r="O1162" t="s">
        <v>24</v>
      </c>
      <c r="P1162" t="s">
        <v>79</v>
      </c>
      <c r="R1162">
        <f>tblDailySchedule[[#This Row],[Capacity Approx]]*'[1]Load Factor Sheet June Acft  '!$B$5</f>
        <v>150.61772727272728</v>
      </c>
      <c r="S1162">
        <f>tblDailySchedule[[#This Row],[Capacity Approx]]*'[1]Load Factor Sheet June Acft  '!$D$5</f>
        <v>163.08818181818182</v>
      </c>
      <c r="T1162" s="22">
        <f>tblDailySchedule[[#This Row],[STD]]</f>
        <v>0.89583333333333337</v>
      </c>
    </row>
    <row r="1163" spans="1:20" hidden="1" x14ac:dyDescent="0.35">
      <c r="A1163" s="11">
        <v>46151</v>
      </c>
      <c r="B1163" s="3">
        <v>6</v>
      </c>
      <c r="C1163" t="s">
        <v>116</v>
      </c>
      <c r="D1163" t="s">
        <v>18</v>
      </c>
      <c r="E1163" s="3">
        <v>28</v>
      </c>
      <c r="F1163" t="s">
        <v>19</v>
      </c>
      <c r="G1163" t="s">
        <v>97</v>
      </c>
      <c r="H1163" t="s">
        <v>49</v>
      </c>
      <c r="I1163" s="12">
        <v>0.90277777777777779</v>
      </c>
      <c r="J1163" t="s">
        <v>97</v>
      </c>
      <c r="K1163" t="s">
        <v>61</v>
      </c>
      <c r="L1163" s="12">
        <v>0.92361111111111116</v>
      </c>
      <c r="M1163" t="s">
        <v>33</v>
      </c>
      <c r="N1163" s="3">
        <v>189</v>
      </c>
      <c r="O1163" t="s">
        <v>24</v>
      </c>
      <c r="P1163" t="s">
        <v>79</v>
      </c>
      <c r="R1163">
        <f>tblDailySchedule[[#This Row],[Capacity Approx]]*'[1]Load Factor Sheet June Acft  '!$B$5</f>
        <v>153.04704545454547</v>
      </c>
      <c r="S1163">
        <f>tblDailySchedule[[#This Row],[Capacity Approx]]*'[1]Load Factor Sheet June Acft  '!$D$5</f>
        <v>165.71863636363636</v>
      </c>
      <c r="T1163" s="22">
        <f>tblDailySchedule[[#This Row],[STD]]</f>
        <v>0.92361111111111116</v>
      </c>
    </row>
    <row r="1164" spans="1:20" hidden="1" x14ac:dyDescent="0.35">
      <c r="A1164" s="11">
        <v>46151</v>
      </c>
      <c r="B1164" s="3">
        <v>6</v>
      </c>
      <c r="C1164" t="s">
        <v>116</v>
      </c>
      <c r="D1164" t="s">
        <v>18</v>
      </c>
      <c r="E1164" s="3">
        <v>29</v>
      </c>
      <c r="F1164" t="s">
        <v>19</v>
      </c>
      <c r="G1164" t="s">
        <v>98</v>
      </c>
      <c r="H1164" t="s">
        <v>21</v>
      </c>
      <c r="I1164" s="12">
        <v>0.92013888888888884</v>
      </c>
      <c r="J1164" t="s">
        <v>99</v>
      </c>
      <c r="K1164" t="s">
        <v>21</v>
      </c>
      <c r="L1164" s="12">
        <v>0.94791666666666663</v>
      </c>
      <c r="M1164" t="s">
        <v>63</v>
      </c>
      <c r="N1164" s="3">
        <v>232</v>
      </c>
      <c r="O1164" t="s">
        <v>24</v>
      </c>
      <c r="P1164" t="s">
        <v>79</v>
      </c>
      <c r="R1164">
        <f>tblDailySchedule[[#This Row],[Capacity Approx]]*'[1]Load Factor Sheet June Acft  '!$B$5</f>
        <v>187.86727272727273</v>
      </c>
      <c r="S1164">
        <f>tblDailySchedule[[#This Row],[Capacity Approx]]*'[1]Load Factor Sheet June Acft  '!$D$5</f>
        <v>203.4218181818182</v>
      </c>
      <c r="T1164" s="22">
        <f>tblDailySchedule[[#This Row],[STD]]</f>
        <v>0.94791666666666663</v>
      </c>
    </row>
    <row r="1165" spans="1:20" hidden="1" x14ac:dyDescent="0.35">
      <c r="A1165" s="13">
        <v>46151</v>
      </c>
      <c r="B1165" s="7">
        <v>6</v>
      </c>
      <c r="C1165" s="14" t="s">
        <v>116</v>
      </c>
      <c r="D1165" s="14" t="s">
        <v>18</v>
      </c>
      <c r="E1165" s="7">
        <v>30</v>
      </c>
      <c r="F1165" s="14" t="s">
        <v>104</v>
      </c>
      <c r="G1165" s="14" t="s">
        <v>105</v>
      </c>
      <c r="H1165" s="14" t="s">
        <v>106</v>
      </c>
      <c r="I1165" s="15">
        <v>0.92708333333333337</v>
      </c>
      <c r="J1165" s="14" t="s">
        <v>107</v>
      </c>
      <c r="K1165" s="14" t="s">
        <v>106</v>
      </c>
      <c r="L1165" s="15">
        <v>0.95833333333333337</v>
      </c>
      <c r="M1165" s="14" t="s">
        <v>38</v>
      </c>
      <c r="N1165" s="7">
        <v>186</v>
      </c>
      <c r="O1165" s="14" t="s">
        <v>39</v>
      </c>
      <c r="P1165" s="14" t="s">
        <v>79</v>
      </c>
      <c r="Q1165" s="14" t="s">
        <v>39</v>
      </c>
      <c r="R1165">
        <f>tblDailySchedule[[#This Row],[Capacity Approx]]*'[1]Load Factor Sheet June Acft  '!$B$5</f>
        <v>150.61772727272728</v>
      </c>
      <c r="S1165">
        <f>tblDailySchedule[[#This Row],[Capacity Approx]]*'[1]Load Factor Sheet June Acft  '!$D$5</f>
        <v>163.08818181818182</v>
      </c>
      <c r="T1165" s="22">
        <f>tblDailySchedule[[#This Row],[STD]]</f>
        <v>0.95833333333333337</v>
      </c>
    </row>
    <row r="1166" spans="1:20" hidden="1" x14ac:dyDescent="0.35">
      <c r="A1166" s="11">
        <v>46152</v>
      </c>
      <c r="B1166" s="3">
        <v>7</v>
      </c>
      <c r="C1166" t="s">
        <v>17</v>
      </c>
      <c r="D1166" t="s">
        <v>18</v>
      </c>
      <c r="E1166" s="3">
        <v>2</v>
      </c>
      <c r="F1166" t="s">
        <v>19</v>
      </c>
      <c r="G1166" t="s">
        <v>20</v>
      </c>
      <c r="H1166" t="s">
        <v>21</v>
      </c>
      <c r="I1166" s="12">
        <v>0.31944444444444442</v>
      </c>
      <c r="J1166" t="s">
        <v>22</v>
      </c>
      <c r="K1166" t="s">
        <v>21</v>
      </c>
      <c r="L1166" s="12">
        <v>0.34722222222222221</v>
      </c>
      <c r="M1166" t="s">
        <v>23</v>
      </c>
      <c r="N1166" s="3">
        <v>186</v>
      </c>
      <c r="O1166" t="s">
        <v>24</v>
      </c>
      <c r="P1166" t="s">
        <v>25</v>
      </c>
      <c r="R1166">
        <f>tblDailySchedule[[#This Row],[Capacity Approx]]*'[1]Load Factor Sheet June Acft  '!$B$5</f>
        <v>150.61772727272728</v>
      </c>
      <c r="S1166">
        <f>tblDailySchedule[[#This Row],[Capacity Approx]]*'[1]Load Factor Sheet June Acft  '!$D$5</f>
        <v>163.08818181818182</v>
      </c>
      <c r="T1166" s="22">
        <f>tblDailySchedule[[#This Row],[STD]]</f>
        <v>0.34722222222222221</v>
      </c>
    </row>
    <row r="1167" spans="1:20" hidden="1" x14ac:dyDescent="0.35">
      <c r="A1167" s="11">
        <v>46152</v>
      </c>
      <c r="B1167" s="3">
        <v>7</v>
      </c>
      <c r="C1167" t="s">
        <v>17</v>
      </c>
      <c r="D1167" t="s">
        <v>18</v>
      </c>
      <c r="E1167" s="3">
        <v>3</v>
      </c>
      <c r="F1167" t="s">
        <v>19</v>
      </c>
      <c r="G1167" t="s">
        <v>26</v>
      </c>
      <c r="H1167" t="s">
        <v>27</v>
      </c>
      <c r="I1167" s="12">
        <v>0.3263888888888889</v>
      </c>
      <c r="J1167" t="s">
        <v>28</v>
      </c>
      <c r="K1167" t="s">
        <v>27</v>
      </c>
      <c r="L1167" s="12">
        <v>0.35416666666666669</v>
      </c>
      <c r="M1167" t="s">
        <v>29</v>
      </c>
      <c r="N1167" s="3">
        <v>186</v>
      </c>
      <c r="O1167" t="s">
        <v>24</v>
      </c>
      <c r="P1167" t="s">
        <v>25</v>
      </c>
      <c r="R1167">
        <f>tblDailySchedule[[#This Row],[Capacity Approx]]*'[1]Load Factor Sheet June Acft  '!$B$5</f>
        <v>150.61772727272728</v>
      </c>
      <c r="S1167">
        <f>tblDailySchedule[[#This Row],[Capacity Approx]]*'[1]Load Factor Sheet June Acft  '!$D$5</f>
        <v>163.08818181818182</v>
      </c>
      <c r="T1167" s="22">
        <f>tblDailySchedule[[#This Row],[STD]]</f>
        <v>0.35416666666666669</v>
      </c>
    </row>
    <row r="1168" spans="1:20" hidden="1" x14ac:dyDescent="0.35">
      <c r="A1168" s="11">
        <v>46152</v>
      </c>
      <c r="B1168" s="3">
        <v>7</v>
      </c>
      <c r="C1168" t="s">
        <v>17</v>
      </c>
      <c r="D1168" t="s">
        <v>18</v>
      </c>
      <c r="E1168" s="3">
        <v>4</v>
      </c>
      <c r="F1168" t="s">
        <v>19</v>
      </c>
      <c r="G1168" t="s">
        <v>30</v>
      </c>
      <c r="H1168" t="s">
        <v>31</v>
      </c>
      <c r="I1168" s="12">
        <v>0.34722222222222221</v>
      </c>
      <c r="J1168" t="s">
        <v>32</v>
      </c>
      <c r="K1168" t="s">
        <v>31</v>
      </c>
      <c r="L1168" s="12">
        <v>0.36805555555555558</v>
      </c>
      <c r="M1168" t="s">
        <v>33</v>
      </c>
      <c r="N1168" s="3">
        <v>189</v>
      </c>
      <c r="O1168" t="s">
        <v>24</v>
      </c>
      <c r="P1168" t="s">
        <v>25</v>
      </c>
      <c r="R1168">
        <f>tblDailySchedule[[#This Row],[Capacity Approx]]*'[1]Load Factor Sheet June Acft  '!$B$5</f>
        <v>153.04704545454547</v>
      </c>
      <c r="S1168">
        <f>tblDailySchedule[[#This Row],[Capacity Approx]]*'[1]Load Factor Sheet June Acft  '!$D$5</f>
        <v>165.71863636363636</v>
      </c>
      <c r="T1168" s="22">
        <f>tblDailySchedule[[#This Row],[STD]]</f>
        <v>0.36805555555555558</v>
      </c>
    </row>
    <row r="1169" spans="1:20" hidden="1" x14ac:dyDescent="0.35">
      <c r="A1169" s="13">
        <v>46152</v>
      </c>
      <c r="B1169" s="7">
        <v>7</v>
      </c>
      <c r="C1169" s="14" t="s">
        <v>17</v>
      </c>
      <c r="D1169" s="14" t="s">
        <v>18</v>
      </c>
      <c r="E1169" s="7">
        <v>6</v>
      </c>
      <c r="F1169" s="14" t="s">
        <v>34</v>
      </c>
      <c r="G1169" s="14" t="s">
        <v>35</v>
      </c>
      <c r="H1169" s="14" t="s">
        <v>36</v>
      </c>
      <c r="I1169" s="15">
        <v>0.34722222222222221</v>
      </c>
      <c r="J1169" s="14" t="s">
        <v>37</v>
      </c>
      <c r="K1169" s="14" t="s">
        <v>36</v>
      </c>
      <c r="L1169" s="15">
        <v>0.40972222222222221</v>
      </c>
      <c r="M1169" s="14" t="s">
        <v>38</v>
      </c>
      <c r="N1169" s="7">
        <v>186</v>
      </c>
      <c r="O1169" s="14" t="s">
        <v>39</v>
      </c>
      <c r="P1169" s="14" t="s">
        <v>25</v>
      </c>
      <c r="Q1169" s="14" t="s">
        <v>39</v>
      </c>
      <c r="R1169">
        <f>tblDailySchedule[[#This Row],[Capacity Approx]]*'[1]Load Factor Sheet June Acft  '!$B$5</f>
        <v>150.61772727272728</v>
      </c>
      <c r="S1169">
        <f>tblDailySchedule[[#This Row],[Capacity Approx]]*'[1]Load Factor Sheet June Acft  '!$D$5</f>
        <v>163.08818181818182</v>
      </c>
      <c r="T1169" s="22">
        <f>tblDailySchedule[[#This Row],[STD]]</f>
        <v>0.40972222222222221</v>
      </c>
    </row>
    <row r="1170" spans="1:20" hidden="1" x14ac:dyDescent="0.35">
      <c r="A1170" s="11">
        <v>46152</v>
      </c>
      <c r="B1170" s="3">
        <v>7</v>
      </c>
      <c r="C1170" t="s">
        <v>17</v>
      </c>
      <c r="D1170" t="s">
        <v>18</v>
      </c>
      <c r="E1170" s="3">
        <v>5</v>
      </c>
      <c r="F1170" t="s">
        <v>19</v>
      </c>
      <c r="G1170" t="s">
        <v>40</v>
      </c>
      <c r="H1170" t="s">
        <v>31</v>
      </c>
      <c r="I1170" s="12">
        <v>0.35069444444444442</v>
      </c>
      <c r="J1170" t="s">
        <v>41</v>
      </c>
      <c r="K1170" t="s">
        <v>31</v>
      </c>
      <c r="L1170" s="12">
        <v>0.37152777777777779</v>
      </c>
      <c r="M1170" t="s">
        <v>23</v>
      </c>
      <c r="N1170" s="3">
        <v>186</v>
      </c>
      <c r="O1170" t="s">
        <v>24</v>
      </c>
      <c r="P1170" t="s">
        <v>25</v>
      </c>
      <c r="R1170">
        <f>tblDailySchedule[[#This Row],[Capacity Approx]]*'[1]Load Factor Sheet June Acft  '!$B$5</f>
        <v>150.61772727272728</v>
      </c>
      <c r="S1170">
        <f>tblDailySchedule[[#This Row],[Capacity Approx]]*'[1]Load Factor Sheet June Acft  '!$D$5</f>
        <v>163.08818181818182</v>
      </c>
      <c r="T1170" s="22">
        <f>tblDailySchedule[[#This Row],[STD]]</f>
        <v>0.37152777777777779</v>
      </c>
    </row>
    <row r="1171" spans="1:20" hidden="1" x14ac:dyDescent="0.35">
      <c r="A1171" s="11">
        <v>46152</v>
      </c>
      <c r="B1171" s="3">
        <v>7</v>
      </c>
      <c r="C1171" t="s">
        <v>17</v>
      </c>
      <c r="D1171" t="s">
        <v>18</v>
      </c>
      <c r="E1171" s="3">
        <v>7</v>
      </c>
      <c r="F1171" t="s">
        <v>19</v>
      </c>
      <c r="G1171" t="s">
        <v>42</v>
      </c>
      <c r="H1171" t="s">
        <v>43</v>
      </c>
      <c r="I1171" s="12">
        <v>0.3923611111111111</v>
      </c>
      <c r="J1171" t="s">
        <v>44</v>
      </c>
      <c r="K1171" t="s">
        <v>43</v>
      </c>
      <c r="L1171" s="12">
        <v>0.40277777777777779</v>
      </c>
      <c r="M1171" t="s">
        <v>45</v>
      </c>
      <c r="N1171" s="3">
        <v>9</v>
      </c>
      <c r="O1171" t="s">
        <v>24</v>
      </c>
      <c r="P1171" t="s">
        <v>25</v>
      </c>
      <c r="R1171">
        <f>tblDailySchedule[[#This Row],[Capacity Approx]]*'[1]Load Factor Sheet June Acft  '!$B$5</f>
        <v>7.2879545454545456</v>
      </c>
      <c r="S1171">
        <f>tblDailySchedule[[#This Row],[Capacity Approx]]*'[1]Load Factor Sheet June Acft  '!$D$5</f>
        <v>7.8913636363636366</v>
      </c>
      <c r="T1171" s="22">
        <f>tblDailySchedule[[#This Row],[STD]]</f>
        <v>0.40277777777777779</v>
      </c>
    </row>
    <row r="1172" spans="1:20" hidden="1" x14ac:dyDescent="0.35">
      <c r="A1172" s="11">
        <v>46152</v>
      </c>
      <c r="B1172" s="3">
        <v>7</v>
      </c>
      <c r="C1172" t="s">
        <v>17</v>
      </c>
      <c r="D1172" t="s">
        <v>18</v>
      </c>
      <c r="E1172" s="3">
        <v>8</v>
      </c>
      <c r="F1172" t="s">
        <v>19</v>
      </c>
      <c r="G1172" t="s">
        <v>46</v>
      </c>
      <c r="H1172" t="s">
        <v>31</v>
      </c>
      <c r="I1172" s="12">
        <v>0.4201388888888889</v>
      </c>
      <c r="J1172" t="s">
        <v>47</v>
      </c>
      <c r="K1172" t="s">
        <v>31</v>
      </c>
      <c r="L1172" s="12">
        <v>0.44444444444444442</v>
      </c>
      <c r="M1172" t="s">
        <v>29</v>
      </c>
      <c r="N1172" s="3">
        <v>186</v>
      </c>
      <c r="O1172" t="s">
        <v>24</v>
      </c>
      <c r="P1172" t="s">
        <v>25</v>
      </c>
      <c r="R1172">
        <f>tblDailySchedule[[#This Row],[Capacity Approx]]*'[1]Load Factor Sheet June Acft  '!$B$5</f>
        <v>150.61772727272728</v>
      </c>
      <c r="S1172">
        <f>tblDailySchedule[[#This Row],[Capacity Approx]]*'[1]Load Factor Sheet June Acft  '!$D$5</f>
        <v>163.08818181818182</v>
      </c>
      <c r="T1172" s="22">
        <f>tblDailySchedule[[#This Row],[STD]]</f>
        <v>0.44444444444444442</v>
      </c>
    </row>
    <row r="1173" spans="1:20" hidden="1" x14ac:dyDescent="0.35">
      <c r="A1173" s="11">
        <v>46152</v>
      </c>
      <c r="B1173" s="3">
        <v>7</v>
      </c>
      <c r="C1173" t="s">
        <v>17</v>
      </c>
      <c r="D1173" t="s">
        <v>18</v>
      </c>
      <c r="E1173" s="3">
        <v>9</v>
      </c>
      <c r="F1173" t="s">
        <v>19</v>
      </c>
      <c r="G1173" t="s">
        <v>48</v>
      </c>
      <c r="H1173" t="s">
        <v>49</v>
      </c>
      <c r="I1173" s="12">
        <v>0.4375</v>
      </c>
      <c r="J1173" t="s">
        <v>50</v>
      </c>
      <c r="K1173" t="s">
        <v>49</v>
      </c>
      <c r="L1173" s="12">
        <v>0.45833333333333331</v>
      </c>
      <c r="M1173" t="s">
        <v>51</v>
      </c>
      <c r="N1173" s="3">
        <v>78</v>
      </c>
      <c r="O1173" t="s">
        <v>24</v>
      </c>
      <c r="P1173" t="s">
        <v>25</v>
      </c>
      <c r="R1173">
        <f>tblDailySchedule[[#This Row],[Capacity Approx]]*'[1]Load Factor Sheet June Acft  '!$B$5</f>
        <v>63.162272727272729</v>
      </c>
      <c r="S1173">
        <f>tblDailySchedule[[#This Row],[Capacity Approx]]*'[1]Load Factor Sheet June Acft  '!$D$5</f>
        <v>68.391818181818181</v>
      </c>
      <c r="T1173" s="22">
        <f>tblDailySchedule[[#This Row],[STD]]</f>
        <v>0.45833333333333331</v>
      </c>
    </row>
    <row r="1174" spans="1:20" hidden="1" x14ac:dyDescent="0.35">
      <c r="A1174" s="11">
        <v>46152</v>
      </c>
      <c r="B1174" s="3">
        <v>7</v>
      </c>
      <c r="C1174" t="s">
        <v>17</v>
      </c>
      <c r="D1174" t="s">
        <v>18</v>
      </c>
      <c r="E1174" s="3">
        <v>10</v>
      </c>
      <c r="F1174" t="s">
        <v>19</v>
      </c>
      <c r="G1174" t="s">
        <v>52</v>
      </c>
      <c r="H1174" t="s">
        <v>27</v>
      </c>
      <c r="I1174" s="12">
        <v>0.4826388888888889</v>
      </c>
      <c r="J1174" t="s">
        <v>53</v>
      </c>
      <c r="K1174" t="s">
        <v>27</v>
      </c>
      <c r="L1174" s="12">
        <v>0.51041666666666663</v>
      </c>
      <c r="M1174" t="s">
        <v>23</v>
      </c>
      <c r="N1174" s="3">
        <v>186</v>
      </c>
      <c r="O1174" t="s">
        <v>24</v>
      </c>
      <c r="P1174" t="s">
        <v>25</v>
      </c>
      <c r="R1174">
        <f>tblDailySchedule[[#This Row],[Capacity Approx]]*'[1]Load Factor Sheet June Acft  '!$B$5</f>
        <v>150.61772727272728</v>
      </c>
      <c r="S1174">
        <f>tblDailySchedule[[#This Row],[Capacity Approx]]*'[1]Load Factor Sheet June Acft  '!$D$5</f>
        <v>163.08818181818182</v>
      </c>
      <c r="T1174" s="22">
        <f>tblDailySchedule[[#This Row],[STD]]</f>
        <v>0.51041666666666663</v>
      </c>
    </row>
    <row r="1175" spans="1:20" hidden="1" x14ac:dyDescent="0.35">
      <c r="A1175" s="11">
        <v>46152</v>
      </c>
      <c r="B1175" s="3">
        <v>7</v>
      </c>
      <c r="C1175" t="s">
        <v>17</v>
      </c>
      <c r="D1175" t="s">
        <v>18</v>
      </c>
      <c r="E1175" s="3">
        <v>11</v>
      </c>
      <c r="F1175" t="s">
        <v>19</v>
      </c>
      <c r="G1175" t="s">
        <v>54</v>
      </c>
      <c r="H1175" t="s">
        <v>31</v>
      </c>
      <c r="I1175" s="12">
        <v>0.51388888888888884</v>
      </c>
      <c r="J1175" t="s">
        <v>55</v>
      </c>
      <c r="K1175" t="s">
        <v>31</v>
      </c>
      <c r="L1175" s="12">
        <v>0.54166666666666663</v>
      </c>
      <c r="M1175" t="s">
        <v>23</v>
      </c>
      <c r="N1175" s="3">
        <v>186</v>
      </c>
      <c r="O1175" t="s">
        <v>24</v>
      </c>
      <c r="P1175" t="s">
        <v>56</v>
      </c>
      <c r="R1175">
        <f>tblDailySchedule[[#This Row],[Capacity Approx]]*'[1]Load Factor Sheet June Acft  '!$B$5</f>
        <v>150.61772727272728</v>
      </c>
      <c r="S1175">
        <f>tblDailySchedule[[#This Row],[Capacity Approx]]*'[1]Load Factor Sheet June Acft  '!$D$5</f>
        <v>163.08818181818182</v>
      </c>
      <c r="T1175" s="22">
        <f>tblDailySchedule[[#This Row],[STD]]</f>
        <v>0.54166666666666663</v>
      </c>
    </row>
    <row r="1176" spans="1:20" hidden="1" x14ac:dyDescent="0.35">
      <c r="A1176" s="11">
        <v>46152</v>
      </c>
      <c r="B1176" s="3">
        <v>7</v>
      </c>
      <c r="C1176" t="s">
        <v>17</v>
      </c>
      <c r="D1176" t="s">
        <v>18</v>
      </c>
      <c r="E1176" s="3">
        <v>13</v>
      </c>
      <c r="F1176" t="s">
        <v>19</v>
      </c>
      <c r="G1176" t="s">
        <v>57</v>
      </c>
      <c r="H1176" t="s">
        <v>58</v>
      </c>
      <c r="I1176" s="12">
        <v>0.55902777777777779</v>
      </c>
      <c r="J1176" t="s">
        <v>59</v>
      </c>
      <c r="K1176" t="s">
        <v>58</v>
      </c>
      <c r="L1176" s="12">
        <v>0.57638888888888884</v>
      </c>
      <c r="M1176" t="s">
        <v>51</v>
      </c>
      <c r="N1176" s="3">
        <v>78</v>
      </c>
      <c r="O1176" t="s">
        <v>24</v>
      </c>
      <c r="P1176" t="s">
        <v>56</v>
      </c>
      <c r="R1176">
        <f>tblDailySchedule[[#This Row],[Capacity Approx]]*'[1]Load Factor Sheet June Acft  '!$B$5</f>
        <v>63.162272727272729</v>
      </c>
      <c r="S1176">
        <f>tblDailySchedule[[#This Row],[Capacity Approx]]*'[1]Load Factor Sheet June Acft  '!$D$5</f>
        <v>68.391818181818181</v>
      </c>
      <c r="T1176" s="22">
        <f>tblDailySchedule[[#This Row],[STD]]</f>
        <v>0.57638888888888884</v>
      </c>
    </row>
    <row r="1177" spans="1:20" hidden="1" x14ac:dyDescent="0.35">
      <c r="A1177" s="11">
        <v>46152</v>
      </c>
      <c r="B1177" s="3">
        <v>7</v>
      </c>
      <c r="C1177" t="s">
        <v>17</v>
      </c>
      <c r="D1177" t="s">
        <v>18</v>
      </c>
      <c r="E1177" s="3">
        <v>14</v>
      </c>
      <c r="F1177" t="s">
        <v>19</v>
      </c>
      <c r="G1177" t="s">
        <v>60</v>
      </c>
      <c r="H1177" t="s">
        <v>61</v>
      </c>
      <c r="I1177" s="12">
        <v>0.59027777777777779</v>
      </c>
      <c r="J1177" t="s">
        <v>62</v>
      </c>
      <c r="K1177" t="s">
        <v>61</v>
      </c>
      <c r="L1177" s="12">
        <v>0.62152777777777779</v>
      </c>
      <c r="M1177" t="s">
        <v>63</v>
      </c>
      <c r="N1177" s="3">
        <v>232</v>
      </c>
      <c r="O1177" t="s">
        <v>24</v>
      </c>
      <c r="P1177" t="s">
        <v>56</v>
      </c>
      <c r="R1177">
        <f>tblDailySchedule[[#This Row],[Capacity Approx]]*'[1]Load Factor Sheet June Acft  '!$B$5</f>
        <v>187.86727272727273</v>
      </c>
      <c r="S1177">
        <f>tblDailySchedule[[#This Row],[Capacity Approx]]*'[1]Load Factor Sheet June Acft  '!$D$5</f>
        <v>203.4218181818182</v>
      </c>
      <c r="T1177" s="22">
        <f>tblDailySchedule[[#This Row],[STD]]</f>
        <v>0.62152777777777779</v>
      </c>
    </row>
    <row r="1178" spans="1:20" hidden="1" x14ac:dyDescent="0.35">
      <c r="A1178" s="11">
        <v>46152</v>
      </c>
      <c r="B1178" s="3">
        <v>7</v>
      </c>
      <c r="C1178" t="s">
        <v>17</v>
      </c>
      <c r="D1178" t="s">
        <v>18</v>
      </c>
      <c r="E1178" s="3">
        <v>15</v>
      </c>
      <c r="F1178" t="s">
        <v>19</v>
      </c>
      <c r="G1178" t="s">
        <v>64</v>
      </c>
      <c r="H1178" t="s">
        <v>31</v>
      </c>
      <c r="I1178" s="12">
        <v>0.60069444444444442</v>
      </c>
      <c r="J1178" t="s">
        <v>65</v>
      </c>
      <c r="K1178" t="s">
        <v>66</v>
      </c>
      <c r="L1178" s="12">
        <v>0.62847222222222221</v>
      </c>
      <c r="M1178" t="s">
        <v>63</v>
      </c>
      <c r="N1178" s="3">
        <v>232</v>
      </c>
      <c r="O1178" t="s">
        <v>24</v>
      </c>
      <c r="P1178" t="s">
        <v>56</v>
      </c>
      <c r="R1178">
        <f>tblDailySchedule[[#This Row],[Capacity Approx]]*'[1]Load Factor Sheet June Acft  '!$B$5</f>
        <v>187.86727272727273</v>
      </c>
      <c r="S1178">
        <f>tblDailySchedule[[#This Row],[Capacity Approx]]*'[1]Load Factor Sheet June Acft  '!$D$5</f>
        <v>203.4218181818182</v>
      </c>
      <c r="T1178" s="22">
        <f>tblDailySchedule[[#This Row],[STD]]</f>
        <v>0.62847222222222221</v>
      </c>
    </row>
    <row r="1179" spans="1:20" hidden="1" x14ac:dyDescent="0.35">
      <c r="A1179" s="11">
        <v>46152</v>
      </c>
      <c r="B1179" s="3">
        <v>7</v>
      </c>
      <c r="C1179" t="s">
        <v>17</v>
      </c>
      <c r="D1179" t="s">
        <v>18</v>
      </c>
      <c r="E1179" s="3">
        <v>16</v>
      </c>
      <c r="F1179" t="s">
        <v>19</v>
      </c>
      <c r="G1179" t="s">
        <v>67</v>
      </c>
      <c r="H1179" t="s">
        <v>31</v>
      </c>
      <c r="I1179" s="12">
        <v>0.65625</v>
      </c>
      <c r="J1179" t="s">
        <v>68</v>
      </c>
      <c r="K1179" t="s">
        <v>31</v>
      </c>
      <c r="L1179" s="12">
        <v>0.68402777777777779</v>
      </c>
      <c r="M1179" t="s">
        <v>63</v>
      </c>
      <c r="N1179" s="3">
        <v>232</v>
      </c>
      <c r="O1179" t="s">
        <v>24</v>
      </c>
      <c r="P1179" t="s">
        <v>56</v>
      </c>
      <c r="R1179">
        <f>tblDailySchedule[[#This Row],[Capacity Approx]]*'[1]Load Factor Sheet June Acft  '!$B$5</f>
        <v>187.86727272727273</v>
      </c>
      <c r="S1179">
        <f>tblDailySchedule[[#This Row],[Capacity Approx]]*'[1]Load Factor Sheet June Acft  '!$D$5</f>
        <v>203.4218181818182</v>
      </c>
      <c r="T1179" s="22">
        <f>tblDailySchedule[[#This Row],[STD]]</f>
        <v>0.68402777777777779</v>
      </c>
    </row>
    <row r="1180" spans="1:20" hidden="1" x14ac:dyDescent="0.35">
      <c r="A1180" s="11">
        <v>46152</v>
      </c>
      <c r="B1180" s="3">
        <v>7</v>
      </c>
      <c r="C1180" t="s">
        <v>17</v>
      </c>
      <c r="D1180" t="s">
        <v>18</v>
      </c>
      <c r="E1180" s="3">
        <v>17</v>
      </c>
      <c r="F1180" t="s">
        <v>19</v>
      </c>
      <c r="G1180" t="s">
        <v>69</v>
      </c>
      <c r="H1180" t="s">
        <v>31</v>
      </c>
      <c r="I1180" s="12">
        <v>0.66319444444444442</v>
      </c>
      <c r="J1180" t="s">
        <v>70</v>
      </c>
      <c r="K1180" t="s">
        <v>31</v>
      </c>
      <c r="L1180" s="12">
        <v>0.69097222222222221</v>
      </c>
      <c r="M1180" t="s">
        <v>33</v>
      </c>
      <c r="N1180" s="3">
        <v>189</v>
      </c>
      <c r="O1180" t="s">
        <v>24</v>
      </c>
      <c r="P1180" t="s">
        <v>56</v>
      </c>
      <c r="R1180">
        <f>tblDailySchedule[[#This Row],[Capacity Approx]]*'[1]Load Factor Sheet June Acft  '!$B$5</f>
        <v>153.04704545454547</v>
      </c>
      <c r="S1180">
        <f>tblDailySchedule[[#This Row],[Capacity Approx]]*'[1]Load Factor Sheet June Acft  '!$D$5</f>
        <v>165.71863636363636</v>
      </c>
      <c r="T1180" s="22">
        <f>tblDailySchedule[[#This Row],[STD]]</f>
        <v>0.69097222222222221</v>
      </c>
    </row>
    <row r="1181" spans="1:20" hidden="1" x14ac:dyDescent="0.35">
      <c r="A1181" s="11">
        <v>46152</v>
      </c>
      <c r="B1181" s="3">
        <v>7</v>
      </c>
      <c r="C1181" t="s">
        <v>17</v>
      </c>
      <c r="D1181" t="s">
        <v>18</v>
      </c>
      <c r="E1181" s="3">
        <v>18</v>
      </c>
      <c r="F1181" t="s">
        <v>19</v>
      </c>
      <c r="G1181" t="s">
        <v>71</v>
      </c>
      <c r="H1181" t="s">
        <v>21</v>
      </c>
      <c r="I1181" s="12">
        <v>0.67013888888888884</v>
      </c>
      <c r="J1181" t="s">
        <v>72</v>
      </c>
      <c r="K1181" t="s">
        <v>21</v>
      </c>
      <c r="L1181" s="12">
        <v>0.69791666666666663</v>
      </c>
      <c r="M1181" t="s">
        <v>63</v>
      </c>
      <c r="N1181" s="3">
        <v>232</v>
      </c>
      <c r="O1181" t="s">
        <v>24</v>
      </c>
      <c r="P1181" t="s">
        <v>56</v>
      </c>
      <c r="R1181">
        <f>tblDailySchedule[[#This Row],[Capacity Approx]]*'[1]Load Factor Sheet June Acft  '!$B$5</f>
        <v>187.86727272727273</v>
      </c>
      <c r="S1181">
        <f>tblDailySchedule[[#This Row],[Capacity Approx]]*'[1]Load Factor Sheet June Acft  '!$D$5</f>
        <v>203.4218181818182</v>
      </c>
      <c r="T1181" s="22">
        <f>tblDailySchedule[[#This Row],[STD]]</f>
        <v>0.69791666666666663</v>
      </c>
    </row>
    <row r="1182" spans="1:20" hidden="1" x14ac:dyDescent="0.35">
      <c r="A1182" s="11">
        <v>46152</v>
      </c>
      <c r="B1182" s="3">
        <v>7</v>
      </c>
      <c r="C1182" t="s">
        <v>17</v>
      </c>
      <c r="D1182" t="s">
        <v>18</v>
      </c>
      <c r="E1182" s="3">
        <v>19</v>
      </c>
      <c r="F1182" t="s">
        <v>19</v>
      </c>
      <c r="G1182" t="s">
        <v>73</v>
      </c>
      <c r="H1182" t="s">
        <v>27</v>
      </c>
      <c r="I1182" s="12">
        <v>0.74652777777777779</v>
      </c>
      <c r="J1182" t="s">
        <v>74</v>
      </c>
      <c r="K1182" t="s">
        <v>27</v>
      </c>
      <c r="L1182" s="12">
        <v>0.77430555555555558</v>
      </c>
      <c r="M1182" t="s">
        <v>63</v>
      </c>
      <c r="N1182" s="3">
        <v>232</v>
      </c>
      <c r="O1182" t="s">
        <v>24</v>
      </c>
      <c r="P1182" t="s">
        <v>56</v>
      </c>
      <c r="R1182">
        <f>tblDailySchedule[[#This Row],[Capacity Approx]]*'[1]Load Factor Sheet June Acft  '!$B$5</f>
        <v>187.86727272727273</v>
      </c>
      <c r="S1182">
        <f>tblDailySchedule[[#This Row],[Capacity Approx]]*'[1]Load Factor Sheet June Acft  '!$D$5</f>
        <v>203.4218181818182</v>
      </c>
      <c r="T1182" s="22">
        <f>tblDailySchedule[[#This Row],[STD]]</f>
        <v>0.77430555555555558</v>
      </c>
    </row>
    <row r="1183" spans="1:20" hidden="1" x14ac:dyDescent="0.35">
      <c r="A1183" s="11">
        <v>46152</v>
      </c>
      <c r="B1183" s="3">
        <v>7</v>
      </c>
      <c r="C1183" t="s">
        <v>17</v>
      </c>
      <c r="D1183" t="s">
        <v>18</v>
      </c>
      <c r="E1183" s="3">
        <v>20</v>
      </c>
      <c r="F1183" t="s">
        <v>34</v>
      </c>
      <c r="G1183" t="s">
        <v>75</v>
      </c>
      <c r="H1183" t="s">
        <v>76</v>
      </c>
      <c r="I1183" s="12">
        <v>0.76388888888888884</v>
      </c>
      <c r="J1183" t="s">
        <v>77</v>
      </c>
      <c r="K1183" t="s">
        <v>78</v>
      </c>
      <c r="L1183" s="12">
        <v>0.78472222222222221</v>
      </c>
      <c r="M1183" t="s">
        <v>51</v>
      </c>
      <c r="N1183" s="3">
        <v>78</v>
      </c>
      <c r="O1183" t="s">
        <v>24</v>
      </c>
      <c r="P1183" t="s">
        <v>79</v>
      </c>
      <c r="Q1183" s="16" t="s">
        <v>80</v>
      </c>
      <c r="R1183">
        <f>tblDailySchedule[[#This Row],[Capacity Approx]]*'[1]Load Factor Sheet June Acft  '!$B$5</f>
        <v>63.162272727272729</v>
      </c>
      <c r="S1183">
        <f>tblDailySchedule[[#This Row],[Capacity Approx]]*'[1]Load Factor Sheet June Acft  '!$D$5</f>
        <v>68.391818181818181</v>
      </c>
      <c r="T1183" s="22">
        <f>tblDailySchedule[[#This Row],[STD]]</f>
        <v>0.78472222222222221</v>
      </c>
    </row>
    <row r="1184" spans="1:20" hidden="1" x14ac:dyDescent="0.35">
      <c r="A1184" s="11">
        <v>46152</v>
      </c>
      <c r="B1184" s="3">
        <v>7</v>
      </c>
      <c r="C1184" t="s">
        <v>17</v>
      </c>
      <c r="D1184" t="s">
        <v>18</v>
      </c>
      <c r="E1184" s="3">
        <v>21</v>
      </c>
      <c r="F1184" t="s">
        <v>19</v>
      </c>
      <c r="G1184" t="s">
        <v>81</v>
      </c>
      <c r="H1184" t="s">
        <v>61</v>
      </c>
      <c r="I1184" s="12">
        <v>0.77083333333333337</v>
      </c>
      <c r="J1184" t="s">
        <v>82</v>
      </c>
      <c r="K1184" t="s">
        <v>49</v>
      </c>
      <c r="L1184" s="12">
        <v>0.79166666666666663</v>
      </c>
      <c r="M1184" t="s">
        <v>33</v>
      </c>
      <c r="N1184" s="3">
        <v>189</v>
      </c>
      <c r="O1184" t="s">
        <v>24</v>
      </c>
      <c r="P1184" t="s">
        <v>79</v>
      </c>
      <c r="R1184">
        <f>tblDailySchedule[[#This Row],[Capacity Approx]]*'[1]Load Factor Sheet June Acft  '!$B$5</f>
        <v>153.04704545454547</v>
      </c>
      <c r="S1184">
        <f>tblDailySchedule[[#This Row],[Capacity Approx]]*'[1]Load Factor Sheet June Acft  '!$D$5</f>
        <v>165.71863636363636</v>
      </c>
      <c r="T1184" s="22">
        <f>tblDailySchedule[[#This Row],[STD]]</f>
        <v>0.79166666666666663</v>
      </c>
    </row>
    <row r="1185" spans="1:20" hidden="1" x14ac:dyDescent="0.35">
      <c r="A1185" s="11">
        <v>46152</v>
      </c>
      <c r="B1185" s="3">
        <v>7</v>
      </c>
      <c r="C1185" t="s">
        <v>17</v>
      </c>
      <c r="D1185" t="s">
        <v>18</v>
      </c>
      <c r="E1185" s="3">
        <v>22</v>
      </c>
      <c r="F1185" t="s">
        <v>19</v>
      </c>
      <c r="G1185" t="s">
        <v>83</v>
      </c>
      <c r="H1185" t="s">
        <v>31</v>
      </c>
      <c r="I1185" s="12">
        <v>0.77777777777777779</v>
      </c>
      <c r="J1185" t="s">
        <v>84</v>
      </c>
      <c r="K1185" t="s">
        <v>31</v>
      </c>
      <c r="L1185" s="12">
        <v>0.80555555555555558</v>
      </c>
      <c r="M1185" t="s">
        <v>63</v>
      </c>
      <c r="N1185" s="3">
        <v>232</v>
      </c>
      <c r="O1185" t="s">
        <v>24</v>
      </c>
      <c r="P1185" t="s">
        <v>79</v>
      </c>
      <c r="R1185">
        <f>tblDailySchedule[[#This Row],[Capacity Approx]]*'[1]Load Factor Sheet June Acft  '!$B$5</f>
        <v>187.86727272727273</v>
      </c>
      <c r="S1185">
        <f>tblDailySchedule[[#This Row],[Capacity Approx]]*'[1]Load Factor Sheet June Acft  '!$D$5</f>
        <v>203.4218181818182</v>
      </c>
      <c r="T1185" s="22">
        <f>tblDailySchedule[[#This Row],[STD]]</f>
        <v>0.80555555555555558</v>
      </c>
    </row>
    <row r="1186" spans="1:20" hidden="1" x14ac:dyDescent="0.35">
      <c r="A1186" s="11">
        <v>46152</v>
      </c>
      <c r="B1186" s="3">
        <v>7</v>
      </c>
      <c r="C1186" t="s">
        <v>17</v>
      </c>
      <c r="D1186" t="s">
        <v>18</v>
      </c>
      <c r="E1186" s="3">
        <v>23</v>
      </c>
      <c r="F1186" t="s">
        <v>19</v>
      </c>
      <c r="G1186" t="s">
        <v>85</v>
      </c>
      <c r="H1186" t="s">
        <v>86</v>
      </c>
      <c r="I1186" s="12">
        <v>0.79861111111111116</v>
      </c>
      <c r="J1186" t="s">
        <v>87</v>
      </c>
      <c r="K1186" t="s">
        <v>86</v>
      </c>
      <c r="L1186" s="12">
        <v>0.82638888888888884</v>
      </c>
      <c r="M1186" t="s">
        <v>63</v>
      </c>
      <c r="N1186" s="3">
        <v>232</v>
      </c>
      <c r="O1186" t="s">
        <v>24</v>
      </c>
      <c r="P1186" t="s">
        <v>79</v>
      </c>
      <c r="R1186">
        <f>tblDailySchedule[[#This Row],[Capacity Approx]]*'[1]Load Factor Sheet June Acft  '!$B$5</f>
        <v>187.86727272727273</v>
      </c>
      <c r="S1186">
        <f>tblDailySchedule[[#This Row],[Capacity Approx]]*'[1]Load Factor Sheet June Acft  '!$D$5</f>
        <v>203.4218181818182</v>
      </c>
      <c r="T1186" s="22">
        <f>tblDailySchedule[[#This Row],[STD]]</f>
        <v>0.82638888888888884</v>
      </c>
    </row>
    <row r="1187" spans="1:20" hidden="1" x14ac:dyDescent="0.35">
      <c r="A1187" s="11">
        <v>46152</v>
      </c>
      <c r="B1187" s="3">
        <v>7</v>
      </c>
      <c r="C1187" t="s">
        <v>17</v>
      </c>
      <c r="D1187" t="s">
        <v>18</v>
      </c>
      <c r="E1187" s="3">
        <v>24</v>
      </c>
      <c r="F1187" t="s">
        <v>19</v>
      </c>
      <c r="G1187" t="s">
        <v>88</v>
      </c>
      <c r="H1187" t="s">
        <v>89</v>
      </c>
      <c r="I1187" s="12">
        <v>0.83333333333333337</v>
      </c>
      <c r="J1187" t="s">
        <v>90</v>
      </c>
      <c r="K1187" t="s">
        <v>31</v>
      </c>
      <c r="L1187" s="12">
        <v>0.86111111111111116</v>
      </c>
      <c r="M1187" t="s">
        <v>63</v>
      </c>
      <c r="N1187" s="3">
        <v>232</v>
      </c>
      <c r="O1187" t="s">
        <v>24</v>
      </c>
      <c r="P1187" t="s">
        <v>79</v>
      </c>
      <c r="R1187">
        <f>tblDailySchedule[[#This Row],[Capacity Approx]]*'[1]Load Factor Sheet June Acft  '!$B$5</f>
        <v>187.86727272727273</v>
      </c>
      <c r="S1187">
        <f>tblDailySchedule[[#This Row],[Capacity Approx]]*'[1]Load Factor Sheet June Acft  '!$D$5</f>
        <v>203.4218181818182</v>
      </c>
      <c r="T1187" s="22">
        <f>tblDailySchedule[[#This Row],[STD]]</f>
        <v>0.86111111111111116</v>
      </c>
    </row>
    <row r="1188" spans="1:20" hidden="1" x14ac:dyDescent="0.35">
      <c r="A1188" s="11">
        <v>46152</v>
      </c>
      <c r="B1188" s="3">
        <v>7</v>
      </c>
      <c r="C1188" t="s">
        <v>17</v>
      </c>
      <c r="D1188" t="s">
        <v>18</v>
      </c>
      <c r="E1188" s="3">
        <v>25</v>
      </c>
      <c r="F1188" t="s">
        <v>19</v>
      </c>
      <c r="G1188" t="s">
        <v>91</v>
      </c>
      <c r="H1188" t="s">
        <v>61</v>
      </c>
      <c r="I1188" s="12">
        <v>0.85416666666666663</v>
      </c>
      <c r="J1188" t="s">
        <v>92</v>
      </c>
      <c r="K1188" t="s">
        <v>61</v>
      </c>
      <c r="L1188" s="12">
        <v>0.88194444444444442</v>
      </c>
      <c r="M1188" t="s">
        <v>63</v>
      </c>
      <c r="N1188" s="3">
        <v>232</v>
      </c>
      <c r="O1188" t="s">
        <v>24</v>
      </c>
      <c r="P1188" t="s">
        <v>79</v>
      </c>
      <c r="R1188">
        <f>tblDailySchedule[[#This Row],[Capacity Approx]]*'[1]Load Factor Sheet June Acft  '!$B$5</f>
        <v>187.86727272727273</v>
      </c>
      <c r="S1188">
        <f>tblDailySchedule[[#This Row],[Capacity Approx]]*'[1]Load Factor Sheet June Acft  '!$D$5</f>
        <v>203.4218181818182</v>
      </c>
      <c r="T1188" s="22">
        <f>tblDailySchedule[[#This Row],[STD]]</f>
        <v>0.88194444444444442</v>
      </c>
    </row>
    <row r="1189" spans="1:20" hidden="1" x14ac:dyDescent="0.35">
      <c r="A1189" s="11">
        <v>46152</v>
      </c>
      <c r="B1189" s="3">
        <v>7</v>
      </c>
      <c r="C1189" t="s">
        <v>17</v>
      </c>
      <c r="D1189" t="s">
        <v>18</v>
      </c>
      <c r="E1189" s="3">
        <v>26</v>
      </c>
      <c r="F1189" t="s">
        <v>19</v>
      </c>
      <c r="G1189" t="s">
        <v>93</v>
      </c>
      <c r="H1189" t="s">
        <v>31</v>
      </c>
      <c r="I1189" s="12">
        <v>0.86111111111111116</v>
      </c>
      <c r="J1189" t="s">
        <v>94</v>
      </c>
      <c r="K1189" t="s">
        <v>31</v>
      </c>
      <c r="L1189" s="12">
        <v>0.88888888888888884</v>
      </c>
      <c r="M1189" t="s">
        <v>23</v>
      </c>
      <c r="N1189" s="3">
        <v>186</v>
      </c>
      <c r="O1189" t="s">
        <v>24</v>
      </c>
      <c r="P1189" t="s">
        <v>79</v>
      </c>
      <c r="R1189">
        <f>tblDailySchedule[[#This Row],[Capacity Approx]]*'[1]Load Factor Sheet June Acft  '!$B$5</f>
        <v>150.61772727272728</v>
      </c>
      <c r="S1189">
        <f>tblDailySchedule[[#This Row],[Capacity Approx]]*'[1]Load Factor Sheet June Acft  '!$D$5</f>
        <v>163.08818181818182</v>
      </c>
      <c r="T1189" s="22">
        <f>tblDailySchedule[[#This Row],[STD]]</f>
        <v>0.88888888888888884</v>
      </c>
    </row>
    <row r="1190" spans="1:20" hidden="1" x14ac:dyDescent="0.35">
      <c r="A1190" s="11">
        <v>46152</v>
      </c>
      <c r="B1190" s="3">
        <v>7</v>
      </c>
      <c r="C1190" t="s">
        <v>17</v>
      </c>
      <c r="D1190" t="s">
        <v>18</v>
      </c>
      <c r="E1190" s="3">
        <v>27</v>
      </c>
      <c r="F1190" t="s">
        <v>19</v>
      </c>
      <c r="G1190" t="s">
        <v>95</v>
      </c>
      <c r="H1190" t="s">
        <v>21</v>
      </c>
      <c r="I1190" s="12">
        <v>0.86805555555555558</v>
      </c>
      <c r="J1190" t="s">
        <v>96</v>
      </c>
      <c r="K1190" t="s">
        <v>21</v>
      </c>
      <c r="L1190" s="12">
        <v>0.89583333333333337</v>
      </c>
      <c r="M1190" t="s">
        <v>29</v>
      </c>
      <c r="N1190" s="3">
        <v>186</v>
      </c>
      <c r="O1190" t="s">
        <v>24</v>
      </c>
      <c r="P1190" t="s">
        <v>79</v>
      </c>
      <c r="R1190">
        <f>tblDailySchedule[[#This Row],[Capacity Approx]]*'[1]Load Factor Sheet June Acft  '!$B$5</f>
        <v>150.61772727272728</v>
      </c>
      <c r="S1190">
        <f>tblDailySchedule[[#This Row],[Capacity Approx]]*'[1]Load Factor Sheet June Acft  '!$D$5</f>
        <v>163.08818181818182</v>
      </c>
      <c r="T1190" s="22">
        <f>tblDailySchedule[[#This Row],[STD]]</f>
        <v>0.89583333333333337</v>
      </c>
    </row>
    <row r="1191" spans="1:20" hidden="1" x14ac:dyDescent="0.35">
      <c r="A1191" s="11">
        <v>46152</v>
      </c>
      <c r="B1191" s="3">
        <v>7</v>
      </c>
      <c r="C1191" t="s">
        <v>17</v>
      </c>
      <c r="D1191" t="s">
        <v>18</v>
      </c>
      <c r="E1191" s="3">
        <v>28</v>
      </c>
      <c r="F1191" t="s">
        <v>19</v>
      </c>
      <c r="G1191" t="s">
        <v>97</v>
      </c>
      <c r="H1191" t="s">
        <v>49</v>
      </c>
      <c r="I1191" s="12">
        <v>0.90277777777777779</v>
      </c>
      <c r="J1191" t="s">
        <v>97</v>
      </c>
      <c r="K1191" t="s">
        <v>61</v>
      </c>
      <c r="L1191" s="12">
        <v>0.92361111111111116</v>
      </c>
      <c r="M1191" t="s">
        <v>33</v>
      </c>
      <c r="N1191" s="3">
        <v>189</v>
      </c>
      <c r="O1191" t="s">
        <v>24</v>
      </c>
      <c r="P1191" t="s">
        <v>79</v>
      </c>
      <c r="R1191">
        <f>tblDailySchedule[[#This Row],[Capacity Approx]]*'[1]Load Factor Sheet June Acft  '!$B$5</f>
        <v>153.04704545454547</v>
      </c>
      <c r="S1191">
        <f>tblDailySchedule[[#This Row],[Capacity Approx]]*'[1]Load Factor Sheet June Acft  '!$D$5</f>
        <v>165.71863636363636</v>
      </c>
      <c r="T1191" s="22">
        <f>tblDailySchedule[[#This Row],[STD]]</f>
        <v>0.92361111111111116</v>
      </c>
    </row>
    <row r="1192" spans="1:20" hidden="1" x14ac:dyDescent="0.35">
      <c r="A1192" s="11">
        <v>46152</v>
      </c>
      <c r="B1192" s="3">
        <v>7</v>
      </c>
      <c r="C1192" t="s">
        <v>17</v>
      </c>
      <c r="D1192" t="s">
        <v>18</v>
      </c>
      <c r="E1192" s="3">
        <v>29</v>
      </c>
      <c r="F1192" t="s">
        <v>19</v>
      </c>
      <c r="G1192" t="s">
        <v>98</v>
      </c>
      <c r="H1192" t="s">
        <v>21</v>
      </c>
      <c r="I1192" s="12">
        <v>0.92013888888888884</v>
      </c>
      <c r="J1192" t="s">
        <v>99</v>
      </c>
      <c r="K1192" t="s">
        <v>21</v>
      </c>
      <c r="L1192" s="12">
        <v>0.94791666666666663</v>
      </c>
      <c r="M1192" t="s">
        <v>63</v>
      </c>
      <c r="N1192" s="3">
        <v>232</v>
      </c>
      <c r="O1192" t="s">
        <v>24</v>
      </c>
      <c r="P1192" t="s">
        <v>79</v>
      </c>
      <c r="R1192">
        <f>tblDailySchedule[[#This Row],[Capacity Approx]]*'[1]Load Factor Sheet June Acft  '!$B$5</f>
        <v>187.86727272727273</v>
      </c>
      <c r="S1192">
        <f>tblDailySchedule[[#This Row],[Capacity Approx]]*'[1]Load Factor Sheet June Acft  '!$D$5</f>
        <v>203.4218181818182</v>
      </c>
      <c r="T1192" s="22">
        <f>tblDailySchedule[[#This Row],[STD]]</f>
        <v>0.94791666666666663</v>
      </c>
    </row>
    <row r="1193" spans="1:20" hidden="1" x14ac:dyDescent="0.35">
      <c r="A1193" s="11">
        <v>46153</v>
      </c>
      <c r="B1193" s="3">
        <v>1</v>
      </c>
      <c r="C1193" t="s">
        <v>100</v>
      </c>
      <c r="D1193" t="s">
        <v>18</v>
      </c>
      <c r="E1193" s="3">
        <v>1</v>
      </c>
      <c r="F1193" t="s">
        <v>101</v>
      </c>
      <c r="G1193" t="s">
        <v>102</v>
      </c>
      <c r="H1193" t="s">
        <v>61</v>
      </c>
      <c r="I1193" s="12">
        <v>0.3125</v>
      </c>
      <c r="J1193" t="s">
        <v>103</v>
      </c>
      <c r="K1193" t="s">
        <v>61</v>
      </c>
      <c r="L1193" s="12">
        <v>0.33333333333333331</v>
      </c>
      <c r="M1193" t="s">
        <v>33</v>
      </c>
      <c r="N1193" s="3">
        <v>189</v>
      </c>
      <c r="O1193" t="s">
        <v>24</v>
      </c>
      <c r="P1193" t="s">
        <v>25</v>
      </c>
      <c r="R1193">
        <f>tblDailySchedule[[#This Row],[Capacity Approx]]*'[1]Load Factor Sheet June Acft  '!$B$5</f>
        <v>153.04704545454547</v>
      </c>
      <c r="S1193">
        <f>tblDailySchedule[[#This Row],[Capacity Approx]]*'[1]Load Factor Sheet June Acft  '!$D$5</f>
        <v>165.71863636363636</v>
      </c>
      <c r="T1193" s="22">
        <f>tblDailySchedule[[#This Row],[STD]]</f>
        <v>0.33333333333333331</v>
      </c>
    </row>
    <row r="1194" spans="1:20" hidden="1" x14ac:dyDescent="0.35">
      <c r="A1194" s="11">
        <v>46153</v>
      </c>
      <c r="B1194" s="3">
        <v>1</v>
      </c>
      <c r="C1194" t="s">
        <v>100</v>
      </c>
      <c r="D1194" t="s">
        <v>18</v>
      </c>
      <c r="E1194" s="3">
        <v>2</v>
      </c>
      <c r="F1194" t="s">
        <v>19</v>
      </c>
      <c r="G1194" t="s">
        <v>20</v>
      </c>
      <c r="H1194" t="s">
        <v>21</v>
      </c>
      <c r="I1194" s="12">
        <v>0.31944444444444442</v>
      </c>
      <c r="J1194" t="s">
        <v>22</v>
      </c>
      <c r="K1194" t="s">
        <v>21</v>
      </c>
      <c r="L1194" s="12">
        <v>0.34722222222222221</v>
      </c>
      <c r="M1194" t="s">
        <v>23</v>
      </c>
      <c r="N1194" s="3">
        <v>186</v>
      </c>
      <c r="O1194" t="s">
        <v>24</v>
      </c>
      <c r="P1194" t="s">
        <v>25</v>
      </c>
      <c r="R1194">
        <f>tblDailySchedule[[#This Row],[Capacity Approx]]*'[1]Load Factor Sheet June Acft  '!$B$5</f>
        <v>150.61772727272728</v>
      </c>
      <c r="S1194">
        <f>tblDailySchedule[[#This Row],[Capacity Approx]]*'[1]Load Factor Sheet June Acft  '!$D$5</f>
        <v>163.08818181818182</v>
      </c>
      <c r="T1194" s="22">
        <f>tblDailySchedule[[#This Row],[STD]]</f>
        <v>0.34722222222222221</v>
      </c>
    </row>
    <row r="1195" spans="1:20" hidden="1" x14ac:dyDescent="0.35">
      <c r="A1195" s="11">
        <v>46153</v>
      </c>
      <c r="B1195" s="3">
        <v>1</v>
      </c>
      <c r="C1195" t="s">
        <v>100</v>
      </c>
      <c r="D1195" t="s">
        <v>18</v>
      </c>
      <c r="E1195" s="3">
        <v>3</v>
      </c>
      <c r="F1195" t="s">
        <v>19</v>
      </c>
      <c r="G1195" t="s">
        <v>26</v>
      </c>
      <c r="H1195" t="s">
        <v>27</v>
      </c>
      <c r="I1195" s="12">
        <v>0.3263888888888889</v>
      </c>
      <c r="J1195" t="s">
        <v>28</v>
      </c>
      <c r="K1195" t="s">
        <v>27</v>
      </c>
      <c r="L1195" s="12">
        <v>0.35416666666666669</v>
      </c>
      <c r="M1195" t="s">
        <v>29</v>
      </c>
      <c r="N1195" s="3">
        <v>186</v>
      </c>
      <c r="O1195" t="s">
        <v>24</v>
      </c>
      <c r="P1195" t="s">
        <v>25</v>
      </c>
      <c r="R1195">
        <f>tblDailySchedule[[#This Row],[Capacity Approx]]*'[1]Load Factor Sheet June Acft  '!$B$5</f>
        <v>150.61772727272728</v>
      </c>
      <c r="S1195">
        <f>tblDailySchedule[[#This Row],[Capacity Approx]]*'[1]Load Factor Sheet June Acft  '!$D$5</f>
        <v>163.08818181818182</v>
      </c>
      <c r="T1195" s="22">
        <f>tblDailySchedule[[#This Row],[STD]]</f>
        <v>0.35416666666666669</v>
      </c>
    </row>
    <row r="1196" spans="1:20" hidden="1" x14ac:dyDescent="0.35">
      <c r="A1196" s="11">
        <v>46153</v>
      </c>
      <c r="B1196" s="3">
        <v>1</v>
      </c>
      <c r="C1196" t="s">
        <v>100</v>
      </c>
      <c r="D1196" t="s">
        <v>18</v>
      </c>
      <c r="E1196" s="3">
        <v>4</v>
      </c>
      <c r="F1196" t="s">
        <v>19</v>
      </c>
      <c r="G1196" t="s">
        <v>30</v>
      </c>
      <c r="H1196" t="s">
        <v>31</v>
      </c>
      <c r="I1196" s="12">
        <v>0.34722222222222221</v>
      </c>
      <c r="J1196" t="s">
        <v>32</v>
      </c>
      <c r="K1196" t="s">
        <v>31</v>
      </c>
      <c r="L1196" s="12">
        <v>0.36805555555555558</v>
      </c>
      <c r="M1196" t="s">
        <v>33</v>
      </c>
      <c r="N1196" s="3">
        <v>189</v>
      </c>
      <c r="O1196" t="s">
        <v>24</v>
      </c>
      <c r="P1196" t="s">
        <v>25</v>
      </c>
      <c r="R1196">
        <f>tblDailySchedule[[#This Row],[Capacity Approx]]*'[1]Load Factor Sheet June Acft  '!$B$5</f>
        <v>153.04704545454547</v>
      </c>
      <c r="S1196">
        <f>tblDailySchedule[[#This Row],[Capacity Approx]]*'[1]Load Factor Sheet June Acft  '!$D$5</f>
        <v>165.71863636363636</v>
      </c>
      <c r="T1196" s="22">
        <f>tblDailySchedule[[#This Row],[STD]]</f>
        <v>0.36805555555555558</v>
      </c>
    </row>
    <row r="1197" spans="1:20" hidden="1" x14ac:dyDescent="0.35">
      <c r="A1197" s="13">
        <v>46153</v>
      </c>
      <c r="B1197" s="7">
        <v>1</v>
      </c>
      <c r="C1197" s="14" t="s">
        <v>100</v>
      </c>
      <c r="D1197" s="14" t="s">
        <v>18</v>
      </c>
      <c r="E1197" s="7">
        <v>6</v>
      </c>
      <c r="F1197" s="14" t="s">
        <v>34</v>
      </c>
      <c r="G1197" s="14" t="s">
        <v>35</v>
      </c>
      <c r="H1197" s="14" t="s">
        <v>36</v>
      </c>
      <c r="I1197" s="15">
        <v>0.34722222222222221</v>
      </c>
      <c r="J1197" s="14" t="s">
        <v>37</v>
      </c>
      <c r="K1197" s="14" t="s">
        <v>36</v>
      </c>
      <c r="L1197" s="15">
        <v>0.40972222222222221</v>
      </c>
      <c r="M1197" s="14" t="s">
        <v>38</v>
      </c>
      <c r="N1197" s="7">
        <v>186</v>
      </c>
      <c r="O1197" s="14" t="s">
        <v>39</v>
      </c>
      <c r="P1197" s="14" t="s">
        <v>25</v>
      </c>
      <c r="Q1197" s="14" t="s">
        <v>39</v>
      </c>
      <c r="R1197">
        <f>tblDailySchedule[[#This Row],[Capacity Approx]]*'[1]Load Factor Sheet June Acft  '!$B$5</f>
        <v>150.61772727272728</v>
      </c>
      <c r="S1197">
        <f>tblDailySchedule[[#This Row],[Capacity Approx]]*'[1]Load Factor Sheet June Acft  '!$D$5</f>
        <v>163.08818181818182</v>
      </c>
      <c r="T1197" s="22">
        <f>tblDailySchedule[[#This Row],[STD]]</f>
        <v>0.40972222222222221</v>
      </c>
    </row>
    <row r="1198" spans="1:20" hidden="1" x14ac:dyDescent="0.35">
      <c r="A1198" s="11">
        <v>46153</v>
      </c>
      <c r="B1198" s="3">
        <v>1</v>
      </c>
      <c r="C1198" t="s">
        <v>100</v>
      </c>
      <c r="D1198" t="s">
        <v>18</v>
      </c>
      <c r="E1198" s="3">
        <v>5</v>
      </c>
      <c r="F1198" t="s">
        <v>19</v>
      </c>
      <c r="G1198" t="s">
        <v>40</v>
      </c>
      <c r="H1198" t="s">
        <v>31</v>
      </c>
      <c r="I1198" s="12">
        <v>0.35069444444444442</v>
      </c>
      <c r="J1198" t="s">
        <v>41</v>
      </c>
      <c r="K1198" t="s">
        <v>31</v>
      </c>
      <c r="L1198" s="12">
        <v>0.37152777777777779</v>
      </c>
      <c r="M1198" t="s">
        <v>23</v>
      </c>
      <c r="N1198" s="3">
        <v>186</v>
      </c>
      <c r="O1198" t="s">
        <v>24</v>
      </c>
      <c r="P1198" t="s">
        <v>25</v>
      </c>
      <c r="R1198">
        <f>tblDailySchedule[[#This Row],[Capacity Approx]]*'[1]Load Factor Sheet June Acft  '!$B$5</f>
        <v>150.61772727272728</v>
      </c>
      <c r="S1198">
        <f>tblDailySchedule[[#This Row],[Capacity Approx]]*'[1]Load Factor Sheet June Acft  '!$D$5</f>
        <v>163.08818181818182</v>
      </c>
      <c r="T1198" s="22">
        <f>tblDailySchedule[[#This Row],[STD]]</f>
        <v>0.37152777777777779</v>
      </c>
    </row>
    <row r="1199" spans="1:20" hidden="1" x14ac:dyDescent="0.35">
      <c r="A1199" s="11">
        <v>46153</v>
      </c>
      <c r="B1199" s="3">
        <v>1</v>
      </c>
      <c r="C1199" t="s">
        <v>100</v>
      </c>
      <c r="D1199" t="s">
        <v>18</v>
      </c>
      <c r="E1199" s="3">
        <v>7</v>
      </c>
      <c r="F1199" t="s">
        <v>19</v>
      </c>
      <c r="G1199" t="s">
        <v>42</v>
      </c>
      <c r="H1199" t="s">
        <v>43</v>
      </c>
      <c r="I1199" s="12">
        <v>0.3923611111111111</v>
      </c>
      <c r="J1199" t="s">
        <v>44</v>
      </c>
      <c r="K1199" t="s">
        <v>43</v>
      </c>
      <c r="L1199" s="12">
        <v>0.40277777777777779</v>
      </c>
      <c r="M1199" t="s">
        <v>45</v>
      </c>
      <c r="N1199" s="3">
        <v>9</v>
      </c>
      <c r="O1199" t="s">
        <v>24</v>
      </c>
      <c r="P1199" t="s">
        <v>25</v>
      </c>
      <c r="R1199">
        <f>tblDailySchedule[[#This Row],[Capacity Approx]]*'[1]Load Factor Sheet June Acft  '!$B$5</f>
        <v>7.2879545454545456</v>
      </c>
      <c r="S1199">
        <f>tblDailySchedule[[#This Row],[Capacity Approx]]*'[1]Load Factor Sheet June Acft  '!$D$5</f>
        <v>7.8913636363636366</v>
      </c>
      <c r="T1199" s="22">
        <f>tblDailySchedule[[#This Row],[STD]]</f>
        <v>0.40277777777777779</v>
      </c>
    </row>
    <row r="1200" spans="1:20" hidden="1" x14ac:dyDescent="0.35">
      <c r="A1200" s="11">
        <v>46153</v>
      </c>
      <c r="B1200" s="3">
        <v>1</v>
      </c>
      <c r="C1200" t="s">
        <v>100</v>
      </c>
      <c r="D1200" t="s">
        <v>18</v>
      </c>
      <c r="E1200" s="3">
        <v>8</v>
      </c>
      <c r="F1200" t="s">
        <v>19</v>
      </c>
      <c r="G1200" t="s">
        <v>46</v>
      </c>
      <c r="H1200" t="s">
        <v>31</v>
      </c>
      <c r="I1200" s="12">
        <v>0.4201388888888889</v>
      </c>
      <c r="J1200" t="s">
        <v>47</v>
      </c>
      <c r="K1200" t="s">
        <v>31</v>
      </c>
      <c r="L1200" s="12">
        <v>0.44444444444444442</v>
      </c>
      <c r="M1200" t="s">
        <v>29</v>
      </c>
      <c r="N1200" s="3">
        <v>186</v>
      </c>
      <c r="O1200" t="s">
        <v>24</v>
      </c>
      <c r="P1200" t="s">
        <v>25</v>
      </c>
      <c r="R1200">
        <f>tblDailySchedule[[#This Row],[Capacity Approx]]*'[1]Load Factor Sheet June Acft  '!$B$5</f>
        <v>150.61772727272728</v>
      </c>
      <c r="S1200">
        <f>tblDailySchedule[[#This Row],[Capacity Approx]]*'[1]Load Factor Sheet June Acft  '!$D$5</f>
        <v>163.08818181818182</v>
      </c>
      <c r="T1200" s="22">
        <f>tblDailySchedule[[#This Row],[STD]]</f>
        <v>0.44444444444444442</v>
      </c>
    </row>
    <row r="1201" spans="1:20" hidden="1" x14ac:dyDescent="0.35">
      <c r="A1201" s="11">
        <v>46153</v>
      </c>
      <c r="B1201" s="3">
        <v>1</v>
      </c>
      <c r="C1201" t="s">
        <v>100</v>
      </c>
      <c r="D1201" t="s">
        <v>18</v>
      </c>
      <c r="E1201" s="3">
        <v>9</v>
      </c>
      <c r="F1201" t="s">
        <v>19</v>
      </c>
      <c r="G1201" t="s">
        <v>48</v>
      </c>
      <c r="H1201" t="s">
        <v>49</v>
      </c>
      <c r="I1201" s="12">
        <v>0.4375</v>
      </c>
      <c r="J1201" t="s">
        <v>50</v>
      </c>
      <c r="K1201" t="s">
        <v>49</v>
      </c>
      <c r="L1201" s="12">
        <v>0.45833333333333331</v>
      </c>
      <c r="M1201" t="s">
        <v>51</v>
      </c>
      <c r="N1201" s="3">
        <v>78</v>
      </c>
      <c r="O1201" t="s">
        <v>24</v>
      </c>
      <c r="P1201" t="s">
        <v>25</v>
      </c>
      <c r="R1201">
        <f>tblDailySchedule[[#This Row],[Capacity Approx]]*'[1]Load Factor Sheet June Acft  '!$B$5</f>
        <v>63.162272727272729</v>
      </c>
      <c r="S1201">
        <f>tblDailySchedule[[#This Row],[Capacity Approx]]*'[1]Load Factor Sheet June Acft  '!$D$5</f>
        <v>68.391818181818181</v>
      </c>
      <c r="T1201" s="22">
        <f>tblDailySchedule[[#This Row],[STD]]</f>
        <v>0.45833333333333331</v>
      </c>
    </row>
    <row r="1202" spans="1:20" hidden="1" x14ac:dyDescent="0.35">
      <c r="A1202" s="11">
        <v>46153</v>
      </c>
      <c r="B1202" s="3">
        <v>1</v>
      </c>
      <c r="C1202" t="s">
        <v>100</v>
      </c>
      <c r="D1202" t="s">
        <v>18</v>
      </c>
      <c r="E1202" s="3">
        <v>10</v>
      </c>
      <c r="F1202" t="s">
        <v>19</v>
      </c>
      <c r="G1202" t="s">
        <v>52</v>
      </c>
      <c r="H1202" t="s">
        <v>27</v>
      </c>
      <c r="I1202" s="12">
        <v>0.4826388888888889</v>
      </c>
      <c r="J1202" t="s">
        <v>53</v>
      </c>
      <c r="K1202" t="s">
        <v>27</v>
      </c>
      <c r="L1202" s="12">
        <v>0.51041666666666663</v>
      </c>
      <c r="M1202" t="s">
        <v>23</v>
      </c>
      <c r="N1202" s="3">
        <v>186</v>
      </c>
      <c r="O1202" t="s">
        <v>24</v>
      </c>
      <c r="P1202" t="s">
        <v>25</v>
      </c>
      <c r="R1202">
        <f>tblDailySchedule[[#This Row],[Capacity Approx]]*'[1]Load Factor Sheet June Acft  '!$B$5</f>
        <v>150.61772727272728</v>
      </c>
      <c r="S1202">
        <f>tblDailySchedule[[#This Row],[Capacity Approx]]*'[1]Load Factor Sheet June Acft  '!$D$5</f>
        <v>163.08818181818182</v>
      </c>
      <c r="T1202" s="22">
        <f>tblDailySchedule[[#This Row],[STD]]</f>
        <v>0.51041666666666663</v>
      </c>
    </row>
    <row r="1203" spans="1:20" hidden="1" x14ac:dyDescent="0.35">
      <c r="A1203" s="11">
        <v>46153</v>
      </c>
      <c r="B1203" s="3">
        <v>1</v>
      </c>
      <c r="C1203" t="s">
        <v>100</v>
      </c>
      <c r="D1203" t="s">
        <v>18</v>
      </c>
      <c r="E1203" s="3">
        <v>11</v>
      </c>
      <c r="F1203" t="s">
        <v>19</v>
      </c>
      <c r="G1203" t="s">
        <v>54</v>
      </c>
      <c r="H1203" t="s">
        <v>31</v>
      </c>
      <c r="I1203" s="12">
        <v>0.51388888888888884</v>
      </c>
      <c r="J1203" t="s">
        <v>55</v>
      </c>
      <c r="K1203" t="s">
        <v>31</v>
      </c>
      <c r="L1203" s="12">
        <v>0.54166666666666663</v>
      </c>
      <c r="M1203" t="s">
        <v>23</v>
      </c>
      <c r="N1203" s="3">
        <v>186</v>
      </c>
      <c r="O1203" t="s">
        <v>24</v>
      </c>
      <c r="P1203" t="s">
        <v>56</v>
      </c>
      <c r="R1203">
        <f>tblDailySchedule[[#This Row],[Capacity Approx]]*'[1]Load Factor Sheet June Acft  '!$B$5</f>
        <v>150.61772727272728</v>
      </c>
      <c r="S1203">
        <f>tblDailySchedule[[#This Row],[Capacity Approx]]*'[1]Load Factor Sheet June Acft  '!$D$5</f>
        <v>163.08818181818182</v>
      </c>
      <c r="T1203" s="22">
        <f>tblDailySchedule[[#This Row],[STD]]</f>
        <v>0.54166666666666663</v>
      </c>
    </row>
    <row r="1204" spans="1:20" hidden="1" x14ac:dyDescent="0.35">
      <c r="A1204" s="11">
        <v>46153</v>
      </c>
      <c r="B1204" s="3">
        <v>1</v>
      </c>
      <c r="C1204" t="s">
        <v>100</v>
      </c>
      <c r="D1204" t="s">
        <v>18</v>
      </c>
      <c r="E1204" s="3">
        <v>13</v>
      </c>
      <c r="F1204" t="s">
        <v>19</v>
      </c>
      <c r="G1204" t="s">
        <v>57</v>
      </c>
      <c r="H1204" t="s">
        <v>58</v>
      </c>
      <c r="I1204" s="12">
        <v>0.55902777777777779</v>
      </c>
      <c r="J1204" t="s">
        <v>59</v>
      </c>
      <c r="K1204" t="s">
        <v>58</v>
      </c>
      <c r="L1204" s="12">
        <v>0.57638888888888884</v>
      </c>
      <c r="M1204" t="s">
        <v>51</v>
      </c>
      <c r="N1204" s="3">
        <v>78</v>
      </c>
      <c r="O1204" t="s">
        <v>24</v>
      </c>
      <c r="P1204" t="s">
        <v>56</v>
      </c>
      <c r="R1204">
        <f>tblDailySchedule[[#This Row],[Capacity Approx]]*'[1]Load Factor Sheet June Acft  '!$B$5</f>
        <v>63.162272727272729</v>
      </c>
      <c r="S1204">
        <f>tblDailySchedule[[#This Row],[Capacity Approx]]*'[1]Load Factor Sheet June Acft  '!$D$5</f>
        <v>68.391818181818181</v>
      </c>
      <c r="T1204" s="22">
        <f>tblDailySchedule[[#This Row],[STD]]</f>
        <v>0.57638888888888884</v>
      </c>
    </row>
    <row r="1205" spans="1:20" hidden="1" x14ac:dyDescent="0.35">
      <c r="A1205" s="11">
        <v>46153</v>
      </c>
      <c r="B1205" s="3">
        <v>1</v>
      </c>
      <c r="C1205" t="s">
        <v>100</v>
      </c>
      <c r="D1205" t="s">
        <v>18</v>
      </c>
      <c r="E1205" s="3">
        <v>14</v>
      </c>
      <c r="F1205" t="s">
        <v>19</v>
      </c>
      <c r="G1205" t="s">
        <v>60</v>
      </c>
      <c r="H1205" t="s">
        <v>61</v>
      </c>
      <c r="I1205" s="12">
        <v>0.59027777777777779</v>
      </c>
      <c r="J1205" t="s">
        <v>62</v>
      </c>
      <c r="K1205" t="s">
        <v>61</v>
      </c>
      <c r="L1205" s="12">
        <v>0.62152777777777779</v>
      </c>
      <c r="M1205" t="s">
        <v>63</v>
      </c>
      <c r="N1205" s="3">
        <v>232</v>
      </c>
      <c r="O1205" t="s">
        <v>24</v>
      </c>
      <c r="P1205" t="s">
        <v>56</v>
      </c>
      <c r="R1205">
        <f>tblDailySchedule[[#This Row],[Capacity Approx]]*'[1]Load Factor Sheet June Acft  '!$B$5</f>
        <v>187.86727272727273</v>
      </c>
      <c r="S1205">
        <f>tblDailySchedule[[#This Row],[Capacity Approx]]*'[1]Load Factor Sheet June Acft  '!$D$5</f>
        <v>203.4218181818182</v>
      </c>
      <c r="T1205" s="22">
        <f>tblDailySchedule[[#This Row],[STD]]</f>
        <v>0.62152777777777779</v>
      </c>
    </row>
    <row r="1206" spans="1:20" hidden="1" x14ac:dyDescent="0.35">
      <c r="A1206" s="11">
        <v>46153</v>
      </c>
      <c r="B1206" s="3">
        <v>1</v>
      </c>
      <c r="C1206" t="s">
        <v>100</v>
      </c>
      <c r="D1206" t="s">
        <v>18</v>
      </c>
      <c r="E1206" s="3">
        <v>15</v>
      </c>
      <c r="F1206" t="s">
        <v>19</v>
      </c>
      <c r="G1206" t="s">
        <v>64</v>
      </c>
      <c r="H1206" t="s">
        <v>31</v>
      </c>
      <c r="I1206" s="12">
        <v>0.60069444444444442</v>
      </c>
      <c r="J1206" t="s">
        <v>65</v>
      </c>
      <c r="K1206" t="s">
        <v>66</v>
      </c>
      <c r="L1206" s="12">
        <v>0.62847222222222221</v>
      </c>
      <c r="M1206" t="s">
        <v>63</v>
      </c>
      <c r="N1206" s="3">
        <v>232</v>
      </c>
      <c r="O1206" t="s">
        <v>24</v>
      </c>
      <c r="P1206" t="s">
        <v>56</v>
      </c>
      <c r="R1206">
        <f>tblDailySchedule[[#This Row],[Capacity Approx]]*'[1]Load Factor Sheet June Acft  '!$B$5</f>
        <v>187.86727272727273</v>
      </c>
      <c r="S1206">
        <f>tblDailySchedule[[#This Row],[Capacity Approx]]*'[1]Load Factor Sheet June Acft  '!$D$5</f>
        <v>203.4218181818182</v>
      </c>
      <c r="T1206" s="22">
        <f>tblDailySchedule[[#This Row],[STD]]</f>
        <v>0.62847222222222221</v>
      </c>
    </row>
    <row r="1207" spans="1:20" hidden="1" x14ac:dyDescent="0.35">
      <c r="A1207" s="11">
        <v>46153</v>
      </c>
      <c r="B1207" s="3">
        <v>1</v>
      </c>
      <c r="C1207" t="s">
        <v>100</v>
      </c>
      <c r="D1207" t="s">
        <v>18</v>
      </c>
      <c r="E1207" s="3">
        <v>16</v>
      </c>
      <c r="F1207" t="s">
        <v>19</v>
      </c>
      <c r="G1207" t="s">
        <v>67</v>
      </c>
      <c r="H1207" t="s">
        <v>31</v>
      </c>
      <c r="I1207" s="12">
        <v>0.65625</v>
      </c>
      <c r="J1207" t="s">
        <v>68</v>
      </c>
      <c r="K1207" t="s">
        <v>31</v>
      </c>
      <c r="L1207" s="12">
        <v>0.68402777777777779</v>
      </c>
      <c r="M1207" t="s">
        <v>63</v>
      </c>
      <c r="N1207" s="3">
        <v>232</v>
      </c>
      <c r="O1207" t="s">
        <v>24</v>
      </c>
      <c r="P1207" t="s">
        <v>56</v>
      </c>
      <c r="R1207">
        <f>tblDailySchedule[[#This Row],[Capacity Approx]]*'[1]Load Factor Sheet June Acft  '!$B$5</f>
        <v>187.86727272727273</v>
      </c>
      <c r="S1207">
        <f>tblDailySchedule[[#This Row],[Capacity Approx]]*'[1]Load Factor Sheet June Acft  '!$D$5</f>
        <v>203.4218181818182</v>
      </c>
      <c r="T1207" s="22">
        <f>tblDailySchedule[[#This Row],[STD]]</f>
        <v>0.68402777777777779</v>
      </c>
    </row>
    <row r="1208" spans="1:20" hidden="1" x14ac:dyDescent="0.35">
      <c r="A1208" s="11">
        <v>46153</v>
      </c>
      <c r="B1208" s="3">
        <v>1</v>
      </c>
      <c r="C1208" t="s">
        <v>100</v>
      </c>
      <c r="D1208" t="s">
        <v>18</v>
      </c>
      <c r="E1208" s="3">
        <v>17</v>
      </c>
      <c r="F1208" t="s">
        <v>19</v>
      </c>
      <c r="G1208" t="s">
        <v>69</v>
      </c>
      <c r="H1208" t="s">
        <v>31</v>
      </c>
      <c r="I1208" s="12">
        <v>0.66319444444444442</v>
      </c>
      <c r="J1208" t="s">
        <v>70</v>
      </c>
      <c r="K1208" t="s">
        <v>31</v>
      </c>
      <c r="L1208" s="12">
        <v>0.69097222222222221</v>
      </c>
      <c r="M1208" t="s">
        <v>33</v>
      </c>
      <c r="N1208" s="3">
        <v>189</v>
      </c>
      <c r="O1208" t="s">
        <v>24</v>
      </c>
      <c r="P1208" t="s">
        <v>56</v>
      </c>
      <c r="R1208">
        <f>tblDailySchedule[[#This Row],[Capacity Approx]]*'[1]Load Factor Sheet June Acft  '!$B$5</f>
        <v>153.04704545454547</v>
      </c>
      <c r="S1208">
        <f>tblDailySchedule[[#This Row],[Capacity Approx]]*'[1]Load Factor Sheet June Acft  '!$D$5</f>
        <v>165.71863636363636</v>
      </c>
      <c r="T1208" s="22">
        <f>tblDailySchedule[[#This Row],[STD]]</f>
        <v>0.69097222222222221</v>
      </c>
    </row>
    <row r="1209" spans="1:20" hidden="1" x14ac:dyDescent="0.35">
      <c r="A1209" s="11">
        <v>46153</v>
      </c>
      <c r="B1209" s="3">
        <v>1</v>
      </c>
      <c r="C1209" t="s">
        <v>100</v>
      </c>
      <c r="D1209" t="s">
        <v>18</v>
      </c>
      <c r="E1209" s="3">
        <v>18</v>
      </c>
      <c r="F1209" t="s">
        <v>19</v>
      </c>
      <c r="G1209" t="s">
        <v>71</v>
      </c>
      <c r="H1209" t="s">
        <v>21</v>
      </c>
      <c r="I1209" s="12">
        <v>0.67013888888888884</v>
      </c>
      <c r="J1209" t="s">
        <v>72</v>
      </c>
      <c r="K1209" t="s">
        <v>21</v>
      </c>
      <c r="L1209" s="12">
        <v>0.69791666666666663</v>
      </c>
      <c r="M1209" t="s">
        <v>63</v>
      </c>
      <c r="N1209" s="3">
        <v>232</v>
      </c>
      <c r="O1209" t="s">
        <v>24</v>
      </c>
      <c r="P1209" t="s">
        <v>56</v>
      </c>
      <c r="R1209">
        <f>tblDailySchedule[[#This Row],[Capacity Approx]]*'[1]Load Factor Sheet June Acft  '!$B$5</f>
        <v>187.86727272727273</v>
      </c>
      <c r="S1209">
        <f>tblDailySchedule[[#This Row],[Capacity Approx]]*'[1]Load Factor Sheet June Acft  '!$D$5</f>
        <v>203.4218181818182</v>
      </c>
      <c r="T1209" s="22">
        <f>tblDailySchedule[[#This Row],[STD]]</f>
        <v>0.69791666666666663</v>
      </c>
    </row>
    <row r="1210" spans="1:20" hidden="1" x14ac:dyDescent="0.35">
      <c r="A1210" s="11">
        <v>46153</v>
      </c>
      <c r="B1210" s="3">
        <v>1</v>
      </c>
      <c r="C1210" t="s">
        <v>100</v>
      </c>
      <c r="D1210" t="s">
        <v>18</v>
      </c>
      <c r="E1210" s="3">
        <v>19</v>
      </c>
      <c r="F1210" t="s">
        <v>19</v>
      </c>
      <c r="G1210" t="s">
        <v>73</v>
      </c>
      <c r="H1210" t="s">
        <v>27</v>
      </c>
      <c r="I1210" s="12">
        <v>0.74652777777777779</v>
      </c>
      <c r="J1210" t="s">
        <v>74</v>
      </c>
      <c r="K1210" t="s">
        <v>27</v>
      </c>
      <c r="L1210" s="12">
        <v>0.77430555555555558</v>
      </c>
      <c r="M1210" t="s">
        <v>63</v>
      </c>
      <c r="N1210" s="3">
        <v>232</v>
      </c>
      <c r="O1210" t="s">
        <v>24</v>
      </c>
      <c r="P1210" t="s">
        <v>56</v>
      </c>
      <c r="R1210">
        <f>tblDailySchedule[[#This Row],[Capacity Approx]]*'[1]Load Factor Sheet June Acft  '!$B$5</f>
        <v>187.86727272727273</v>
      </c>
      <c r="S1210">
        <f>tblDailySchedule[[#This Row],[Capacity Approx]]*'[1]Load Factor Sheet June Acft  '!$D$5</f>
        <v>203.4218181818182</v>
      </c>
      <c r="T1210" s="22">
        <f>tblDailySchedule[[#This Row],[STD]]</f>
        <v>0.77430555555555558</v>
      </c>
    </row>
    <row r="1211" spans="1:20" hidden="1" x14ac:dyDescent="0.35">
      <c r="A1211" s="11">
        <v>46153</v>
      </c>
      <c r="B1211" s="3">
        <v>1</v>
      </c>
      <c r="C1211" t="s">
        <v>100</v>
      </c>
      <c r="D1211" t="s">
        <v>18</v>
      </c>
      <c r="E1211" s="3">
        <v>20</v>
      </c>
      <c r="F1211" t="s">
        <v>34</v>
      </c>
      <c r="G1211" t="s">
        <v>75</v>
      </c>
      <c r="H1211" t="s">
        <v>76</v>
      </c>
      <c r="I1211" s="12">
        <v>0.76388888888888884</v>
      </c>
      <c r="J1211" t="s">
        <v>77</v>
      </c>
      <c r="K1211" t="s">
        <v>78</v>
      </c>
      <c r="L1211" s="12">
        <v>0.78472222222222221</v>
      </c>
      <c r="M1211" t="s">
        <v>51</v>
      </c>
      <c r="N1211" s="3">
        <v>78</v>
      </c>
      <c r="O1211" t="s">
        <v>24</v>
      </c>
      <c r="P1211" t="s">
        <v>79</v>
      </c>
      <c r="Q1211" s="16" t="s">
        <v>80</v>
      </c>
      <c r="R1211">
        <f>tblDailySchedule[[#This Row],[Capacity Approx]]*'[1]Load Factor Sheet June Acft  '!$B$5</f>
        <v>63.162272727272729</v>
      </c>
      <c r="S1211">
        <f>tblDailySchedule[[#This Row],[Capacity Approx]]*'[1]Load Factor Sheet June Acft  '!$D$5</f>
        <v>68.391818181818181</v>
      </c>
      <c r="T1211" s="22">
        <f>tblDailySchedule[[#This Row],[STD]]</f>
        <v>0.78472222222222221</v>
      </c>
    </row>
    <row r="1212" spans="1:20" hidden="1" x14ac:dyDescent="0.35">
      <c r="A1212" s="11">
        <v>46153</v>
      </c>
      <c r="B1212" s="3">
        <v>1</v>
      </c>
      <c r="C1212" t="s">
        <v>100</v>
      </c>
      <c r="D1212" t="s">
        <v>18</v>
      </c>
      <c r="E1212" s="3">
        <v>21</v>
      </c>
      <c r="F1212" t="s">
        <v>19</v>
      </c>
      <c r="G1212" t="s">
        <v>81</v>
      </c>
      <c r="H1212" t="s">
        <v>61</v>
      </c>
      <c r="I1212" s="12">
        <v>0.77083333333333337</v>
      </c>
      <c r="J1212" t="s">
        <v>82</v>
      </c>
      <c r="K1212" t="s">
        <v>49</v>
      </c>
      <c r="L1212" s="12">
        <v>0.79166666666666663</v>
      </c>
      <c r="M1212" t="s">
        <v>33</v>
      </c>
      <c r="N1212" s="3">
        <v>189</v>
      </c>
      <c r="O1212" t="s">
        <v>24</v>
      </c>
      <c r="P1212" t="s">
        <v>79</v>
      </c>
      <c r="R1212">
        <f>tblDailySchedule[[#This Row],[Capacity Approx]]*'[1]Load Factor Sheet June Acft  '!$B$5</f>
        <v>153.04704545454547</v>
      </c>
      <c r="S1212">
        <f>tblDailySchedule[[#This Row],[Capacity Approx]]*'[1]Load Factor Sheet June Acft  '!$D$5</f>
        <v>165.71863636363636</v>
      </c>
      <c r="T1212" s="22">
        <f>tblDailySchedule[[#This Row],[STD]]</f>
        <v>0.79166666666666663</v>
      </c>
    </row>
    <row r="1213" spans="1:20" hidden="1" x14ac:dyDescent="0.35">
      <c r="A1213" s="11">
        <v>46153</v>
      </c>
      <c r="B1213" s="3">
        <v>1</v>
      </c>
      <c r="C1213" t="s">
        <v>100</v>
      </c>
      <c r="D1213" t="s">
        <v>18</v>
      </c>
      <c r="E1213" s="3">
        <v>22</v>
      </c>
      <c r="F1213" t="s">
        <v>19</v>
      </c>
      <c r="G1213" t="s">
        <v>83</v>
      </c>
      <c r="H1213" t="s">
        <v>31</v>
      </c>
      <c r="I1213" s="12">
        <v>0.77777777777777779</v>
      </c>
      <c r="J1213" t="s">
        <v>84</v>
      </c>
      <c r="K1213" t="s">
        <v>31</v>
      </c>
      <c r="L1213" s="12">
        <v>0.80555555555555558</v>
      </c>
      <c r="M1213" t="s">
        <v>63</v>
      </c>
      <c r="N1213" s="3">
        <v>232</v>
      </c>
      <c r="O1213" t="s">
        <v>24</v>
      </c>
      <c r="P1213" t="s">
        <v>79</v>
      </c>
      <c r="R1213">
        <f>tblDailySchedule[[#This Row],[Capacity Approx]]*'[1]Load Factor Sheet June Acft  '!$B$5</f>
        <v>187.86727272727273</v>
      </c>
      <c r="S1213">
        <f>tblDailySchedule[[#This Row],[Capacity Approx]]*'[1]Load Factor Sheet June Acft  '!$D$5</f>
        <v>203.4218181818182</v>
      </c>
      <c r="T1213" s="22">
        <f>tblDailySchedule[[#This Row],[STD]]</f>
        <v>0.80555555555555558</v>
      </c>
    </row>
    <row r="1214" spans="1:20" hidden="1" x14ac:dyDescent="0.35">
      <c r="A1214" s="11">
        <v>46153</v>
      </c>
      <c r="B1214" s="3">
        <v>1</v>
      </c>
      <c r="C1214" t="s">
        <v>100</v>
      </c>
      <c r="D1214" t="s">
        <v>18</v>
      </c>
      <c r="E1214" s="3">
        <v>23</v>
      </c>
      <c r="F1214" t="s">
        <v>19</v>
      </c>
      <c r="G1214" t="s">
        <v>85</v>
      </c>
      <c r="H1214" t="s">
        <v>86</v>
      </c>
      <c r="I1214" s="12">
        <v>0.79861111111111116</v>
      </c>
      <c r="J1214" t="s">
        <v>87</v>
      </c>
      <c r="K1214" t="s">
        <v>86</v>
      </c>
      <c r="L1214" s="12">
        <v>0.82638888888888884</v>
      </c>
      <c r="M1214" t="s">
        <v>63</v>
      </c>
      <c r="N1214" s="3">
        <v>232</v>
      </c>
      <c r="O1214" t="s">
        <v>24</v>
      </c>
      <c r="P1214" t="s">
        <v>79</v>
      </c>
      <c r="R1214">
        <f>tblDailySchedule[[#This Row],[Capacity Approx]]*'[1]Load Factor Sheet June Acft  '!$B$5</f>
        <v>187.86727272727273</v>
      </c>
      <c r="S1214">
        <f>tblDailySchedule[[#This Row],[Capacity Approx]]*'[1]Load Factor Sheet June Acft  '!$D$5</f>
        <v>203.4218181818182</v>
      </c>
      <c r="T1214" s="22">
        <f>tblDailySchedule[[#This Row],[STD]]</f>
        <v>0.82638888888888884</v>
      </c>
    </row>
    <row r="1215" spans="1:20" hidden="1" x14ac:dyDescent="0.35">
      <c r="A1215" s="11">
        <v>46153</v>
      </c>
      <c r="B1215" s="3">
        <v>1</v>
      </c>
      <c r="C1215" t="s">
        <v>100</v>
      </c>
      <c r="D1215" t="s">
        <v>18</v>
      </c>
      <c r="E1215" s="3">
        <v>24</v>
      </c>
      <c r="F1215" t="s">
        <v>19</v>
      </c>
      <c r="G1215" t="s">
        <v>88</v>
      </c>
      <c r="H1215" t="s">
        <v>89</v>
      </c>
      <c r="I1215" s="12">
        <v>0.83333333333333337</v>
      </c>
      <c r="J1215" t="s">
        <v>90</v>
      </c>
      <c r="K1215" t="s">
        <v>31</v>
      </c>
      <c r="L1215" s="12">
        <v>0.86111111111111116</v>
      </c>
      <c r="M1215" t="s">
        <v>63</v>
      </c>
      <c r="N1215" s="3">
        <v>232</v>
      </c>
      <c r="O1215" t="s">
        <v>24</v>
      </c>
      <c r="P1215" t="s">
        <v>79</v>
      </c>
      <c r="R1215">
        <f>tblDailySchedule[[#This Row],[Capacity Approx]]*'[1]Load Factor Sheet June Acft  '!$B$5</f>
        <v>187.86727272727273</v>
      </c>
      <c r="S1215">
        <f>tblDailySchedule[[#This Row],[Capacity Approx]]*'[1]Load Factor Sheet June Acft  '!$D$5</f>
        <v>203.4218181818182</v>
      </c>
      <c r="T1215" s="22">
        <f>tblDailySchedule[[#This Row],[STD]]</f>
        <v>0.86111111111111116</v>
      </c>
    </row>
    <row r="1216" spans="1:20" hidden="1" x14ac:dyDescent="0.35">
      <c r="A1216" s="11">
        <v>46153</v>
      </c>
      <c r="B1216" s="3">
        <v>1</v>
      </c>
      <c r="C1216" t="s">
        <v>100</v>
      </c>
      <c r="D1216" t="s">
        <v>18</v>
      </c>
      <c r="E1216" s="3">
        <v>25</v>
      </c>
      <c r="F1216" t="s">
        <v>19</v>
      </c>
      <c r="G1216" t="s">
        <v>91</v>
      </c>
      <c r="H1216" t="s">
        <v>61</v>
      </c>
      <c r="I1216" s="12">
        <v>0.85416666666666663</v>
      </c>
      <c r="J1216" t="s">
        <v>92</v>
      </c>
      <c r="K1216" t="s">
        <v>61</v>
      </c>
      <c r="L1216" s="12">
        <v>0.88194444444444442</v>
      </c>
      <c r="M1216" t="s">
        <v>63</v>
      </c>
      <c r="N1216" s="3">
        <v>232</v>
      </c>
      <c r="O1216" t="s">
        <v>24</v>
      </c>
      <c r="P1216" t="s">
        <v>79</v>
      </c>
      <c r="R1216">
        <f>tblDailySchedule[[#This Row],[Capacity Approx]]*'[1]Load Factor Sheet June Acft  '!$B$5</f>
        <v>187.86727272727273</v>
      </c>
      <c r="S1216">
        <f>tblDailySchedule[[#This Row],[Capacity Approx]]*'[1]Load Factor Sheet June Acft  '!$D$5</f>
        <v>203.4218181818182</v>
      </c>
      <c r="T1216" s="22">
        <f>tblDailySchedule[[#This Row],[STD]]</f>
        <v>0.88194444444444442</v>
      </c>
    </row>
    <row r="1217" spans="1:20" hidden="1" x14ac:dyDescent="0.35">
      <c r="A1217" s="11">
        <v>46153</v>
      </c>
      <c r="B1217" s="3">
        <v>1</v>
      </c>
      <c r="C1217" t="s">
        <v>100</v>
      </c>
      <c r="D1217" t="s">
        <v>18</v>
      </c>
      <c r="E1217" s="3">
        <v>26</v>
      </c>
      <c r="F1217" t="s">
        <v>19</v>
      </c>
      <c r="G1217" t="s">
        <v>93</v>
      </c>
      <c r="H1217" t="s">
        <v>31</v>
      </c>
      <c r="I1217" s="12">
        <v>0.86111111111111116</v>
      </c>
      <c r="J1217" t="s">
        <v>94</v>
      </c>
      <c r="K1217" t="s">
        <v>31</v>
      </c>
      <c r="L1217" s="12">
        <v>0.88888888888888884</v>
      </c>
      <c r="M1217" t="s">
        <v>23</v>
      </c>
      <c r="N1217" s="3">
        <v>186</v>
      </c>
      <c r="O1217" t="s">
        <v>24</v>
      </c>
      <c r="P1217" t="s">
        <v>79</v>
      </c>
      <c r="R1217">
        <f>tblDailySchedule[[#This Row],[Capacity Approx]]*'[1]Load Factor Sheet June Acft  '!$B$5</f>
        <v>150.61772727272728</v>
      </c>
      <c r="S1217">
        <f>tblDailySchedule[[#This Row],[Capacity Approx]]*'[1]Load Factor Sheet June Acft  '!$D$5</f>
        <v>163.08818181818182</v>
      </c>
      <c r="T1217" s="22">
        <f>tblDailySchedule[[#This Row],[STD]]</f>
        <v>0.88888888888888884</v>
      </c>
    </row>
    <row r="1218" spans="1:20" hidden="1" x14ac:dyDescent="0.35">
      <c r="A1218" s="11">
        <v>46153</v>
      </c>
      <c r="B1218" s="3">
        <v>1</v>
      </c>
      <c r="C1218" t="s">
        <v>100</v>
      </c>
      <c r="D1218" t="s">
        <v>18</v>
      </c>
      <c r="E1218" s="3">
        <v>27</v>
      </c>
      <c r="F1218" t="s">
        <v>19</v>
      </c>
      <c r="G1218" t="s">
        <v>95</v>
      </c>
      <c r="H1218" t="s">
        <v>21</v>
      </c>
      <c r="I1218" s="12">
        <v>0.86805555555555558</v>
      </c>
      <c r="J1218" t="s">
        <v>96</v>
      </c>
      <c r="K1218" t="s">
        <v>21</v>
      </c>
      <c r="L1218" s="12">
        <v>0.89583333333333337</v>
      </c>
      <c r="M1218" t="s">
        <v>29</v>
      </c>
      <c r="N1218" s="3">
        <v>186</v>
      </c>
      <c r="O1218" t="s">
        <v>24</v>
      </c>
      <c r="P1218" t="s">
        <v>79</v>
      </c>
      <c r="R1218">
        <f>tblDailySchedule[[#This Row],[Capacity Approx]]*'[1]Load Factor Sheet June Acft  '!$B$5</f>
        <v>150.61772727272728</v>
      </c>
      <c r="S1218">
        <f>tblDailySchedule[[#This Row],[Capacity Approx]]*'[1]Load Factor Sheet June Acft  '!$D$5</f>
        <v>163.08818181818182</v>
      </c>
      <c r="T1218" s="22">
        <f>tblDailySchedule[[#This Row],[STD]]</f>
        <v>0.89583333333333337</v>
      </c>
    </row>
    <row r="1219" spans="1:20" hidden="1" x14ac:dyDescent="0.35">
      <c r="A1219" s="11">
        <v>46153</v>
      </c>
      <c r="B1219" s="3">
        <v>1</v>
      </c>
      <c r="C1219" t="s">
        <v>100</v>
      </c>
      <c r="D1219" t="s">
        <v>18</v>
      </c>
      <c r="E1219" s="3">
        <v>28</v>
      </c>
      <c r="F1219" t="s">
        <v>19</v>
      </c>
      <c r="G1219" t="s">
        <v>97</v>
      </c>
      <c r="H1219" t="s">
        <v>49</v>
      </c>
      <c r="I1219" s="12">
        <v>0.90277777777777779</v>
      </c>
      <c r="J1219" t="s">
        <v>97</v>
      </c>
      <c r="K1219" t="s">
        <v>61</v>
      </c>
      <c r="L1219" s="12">
        <v>0.92361111111111116</v>
      </c>
      <c r="M1219" t="s">
        <v>33</v>
      </c>
      <c r="N1219" s="3">
        <v>189</v>
      </c>
      <c r="O1219" t="s">
        <v>24</v>
      </c>
      <c r="P1219" t="s">
        <v>79</v>
      </c>
      <c r="R1219">
        <f>tblDailySchedule[[#This Row],[Capacity Approx]]*'[1]Load Factor Sheet June Acft  '!$B$5</f>
        <v>153.04704545454547</v>
      </c>
      <c r="S1219">
        <f>tblDailySchedule[[#This Row],[Capacity Approx]]*'[1]Load Factor Sheet June Acft  '!$D$5</f>
        <v>165.71863636363636</v>
      </c>
      <c r="T1219" s="22">
        <f>tblDailySchedule[[#This Row],[STD]]</f>
        <v>0.92361111111111116</v>
      </c>
    </row>
    <row r="1220" spans="1:20" hidden="1" x14ac:dyDescent="0.35">
      <c r="A1220" s="11">
        <v>46153</v>
      </c>
      <c r="B1220" s="3">
        <v>1</v>
      </c>
      <c r="C1220" t="s">
        <v>100</v>
      </c>
      <c r="D1220" t="s">
        <v>18</v>
      </c>
      <c r="E1220" s="3">
        <v>29</v>
      </c>
      <c r="F1220" t="s">
        <v>19</v>
      </c>
      <c r="G1220" t="s">
        <v>98</v>
      </c>
      <c r="H1220" t="s">
        <v>21</v>
      </c>
      <c r="I1220" s="12">
        <v>0.92013888888888884</v>
      </c>
      <c r="J1220" t="s">
        <v>99</v>
      </c>
      <c r="K1220" t="s">
        <v>21</v>
      </c>
      <c r="L1220" s="12">
        <v>0.94791666666666663</v>
      </c>
      <c r="M1220" t="s">
        <v>63</v>
      </c>
      <c r="N1220" s="3">
        <v>232</v>
      </c>
      <c r="O1220" t="s">
        <v>24</v>
      </c>
      <c r="P1220" t="s">
        <v>79</v>
      </c>
      <c r="R1220">
        <f>tblDailySchedule[[#This Row],[Capacity Approx]]*'[1]Load Factor Sheet June Acft  '!$B$5</f>
        <v>187.86727272727273</v>
      </c>
      <c r="S1220">
        <f>tblDailySchedule[[#This Row],[Capacity Approx]]*'[1]Load Factor Sheet June Acft  '!$D$5</f>
        <v>203.4218181818182</v>
      </c>
      <c r="T1220" s="22">
        <f>tblDailySchedule[[#This Row],[STD]]</f>
        <v>0.94791666666666663</v>
      </c>
    </row>
    <row r="1221" spans="1:20" hidden="1" x14ac:dyDescent="0.35">
      <c r="A1221" s="13">
        <v>46153</v>
      </c>
      <c r="B1221" s="7">
        <v>1</v>
      </c>
      <c r="C1221" s="14" t="s">
        <v>100</v>
      </c>
      <c r="D1221" s="14" t="s">
        <v>18</v>
      </c>
      <c r="E1221" s="7">
        <v>30</v>
      </c>
      <c r="F1221" s="14" t="s">
        <v>104</v>
      </c>
      <c r="G1221" s="14" t="s">
        <v>105</v>
      </c>
      <c r="H1221" s="14" t="s">
        <v>106</v>
      </c>
      <c r="I1221" s="15">
        <v>0.92708333333333337</v>
      </c>
      <c r="J1221" s="14" t="s">
        <v>107</v>
      </c>
      <c r="K1221" s="14" t="s">
        <v>106</v>
      </c>
      <c r="L1221" s="15">
        <v>0.95833333333333337</v>
      </c>
      <c r="M1221" s="14" t="s">
        <v>38</v>
      </c>
      <c r="N1221" s="7">
        <v>186</v>
      </c>
      <c r="O1221" s="14" t="s">
        <v>39</v>
      </c>
      <c r="P1221" s="14" t="s">
        <v>79</v>
      </c>
      <c r="Q1221" s="14" t="s">
        <v>39</v>
      </c>
      <c r="R1221">
        <f>tblDailySchedule[[#This Row],[Capacity Approx]]*'[1]Load Factor Sheet June Acft  '!$B$5</f>
        <v>150.61772727272728</v>
      </c>
      <c r="S1221">
        <f>tblDailySchedule[[#This Row],[Capacity Approx]]*'[1]Load Factor Sheet June Acft  '!$D$5</f>
        <v>163.08818181818182</v>
      </c>
      <c r="T1221" s="22">
        <f>tblDailySchedule[[#This Row],[STD]]</f>
        <v>0.95833333333333337</v>
      </c>
    </row>
    <row r="1222" spans="1:20" hidden="1" x14ac:dyDescent="0.35">
      <c r="A1222" s="11">
        <v>46154</v>
      </c>
      <c r="B1222" s="3">
        <v>2</v>
      </c>
      <c r="C1222" t="s">
        <v>108</v>
      </c>
      <c r="D1222" t="s">
        <v>18</v>
      </c>
      <c r="E1222" s="3">
        <v>1</v>
      </c>
      <c r="F1222" t="s">
        <v>101</v>
      </c>
      <c r="G1222" t="s">
        <v>102</v>
      </c>
      <c r="H1222" t="s">
        <v>61</v>
      </c>
      <c r="I1222" s="12">
        <v>0.3125</v>
      </c>
      <c r="J1222" t="s">
        <v>103</v>
      </c>
      <c r="K1222" t="s">
        <v>61</v>
      </c>
      <c r="L1222" s="12">
        <v>0.33333333333333331</v>
      </c>
      <c r="M1222" t="s">
        <v>33</v>
      </c>
      <c r="N1222" s="3">
        <v>189</v>
      </c>
      <c r="O1222" t="s">
        <v>24</v>
      </c>
      <c r="P1222" t="s">
        <v>25</v>
      </c>
      <c r="R1222">
        <f>tblDailySchedule[[#This Row],[Capacity Approx]]*'[1]Load Factor Sheet June Acft  '!$B$5</f>
        <v>153.04704545454547</v>
      </c>
      <c r="S1222">
        <f>tblDailySchedule[[#This Row],[Capacity Approx]]*'[1]Load Factor Sheet June Acft  '!$D$5</f>
        <v>165.71863636363636</v>
      </c>
      <c r="T1222" s="22">
        <f>tblDailySchedule[[#This Row],[STD]]</f>
        <v>0.33333333333333331</v>
      </c>
    </row>
    <row r="1223" spans="1:20" hidden="1" x14ac:dyDescent="0.35">
      <c r="A1223" s="11">
        <v>46154</v>
      </c>
      <c r="B1223" s="3">
        <v>2</v>
      </c>
      <c r="C1223" t="s">
        <v>108</v>
      </c>
      <c r="D1223" t="s">
        <v>18</v>
      </c>
      <c r="E1223" s="3">
        <v>2</v>
      </c>
      <c r="F1223" t="s">
        <v>19</v>
      </c>
      <c r="G1223" t="s">
        <v>20</v>
      </c>
      <c r="H1223" t="s">
        <v>21</v>
      </c>
      <c r="I1223" s="12">
        <v>0.31944444444444442</v>
      </c>
      <c r="J1223" t="s">
        <v>22</v>
      </c>
      <c r="K1223" t="s">
        <v>21</v>
      </c>
      <c r="L1223" s="12">
        <v>0.34722222222222221</v>
      </c>
      <c r="M1223" t="s">
        <v>23</v>
      </c>
      <c r="N1223" s="3">
        <v>186</v>
      </c>
      <c r="O1223" t="s">
        <v>24</v>
      </c>
      <c r="P1223" t="s">
        <v>25</v>
      </c>
      <c r="R1223">
        <f>tblDailySchedule[[#This Row],[Capacity Approx]]*'[1]Load Factor Sheet June Acft  '!$B$5</f>
        <v>150.61772727272728</v>
      </c>
      <c r="S1223">
        <f>tblDailySchedule[[#This Row],[Capacity Approx]]*'[1]Load Factor Sheet June Acft  '!$D$5</f>
        <v>163.08818181818182</v>
      </c>
      <c r="T1223" s="22">
        <f>tblDailySchedule[[#This Row],[STD]]</f>
        <v>0.34722222222222221</v>
      </c>
    </row>
    <row r="1224" spans="1:20" hidden="1" x14ac:dyDescent="0.35">
      <c r="A1224" s="11">
        <v>46154</v>
      </c>
      <c r="B1224" s="3">
        <v>2</v>
      </c>
      <c r="C1224" t="s">
        <v>108</v>
      </c>
      <c r="D1224" t="s">
        <v>18</v>
      </c>
      <c r="E1224" s="3">
        <v>3</v>
      </c>
      <c r="F1224" t="s">
        <v>19</v>
      </c>
      <c r="G1224" t="s">
        <v>26</v>
      </c>
      <c r="H1224" t="s">
        <v>27</v>
      </c>
      <c r="I1224" s="12">
        <v>0.3263888888888889</v>
      </c>
      <c r="J1224" t="s">
        <v>28</v>
      </c>
      <c r="K1224" t="s">
        <v>27</v>
      </c>
      <c r="L1224" s="12">
        <v>0.35416666666666669</v>
      </c>
      <c r="M1224" t="s">
        <v>29</v>
      </c>
      <c r="N1224" s="3">
        <v>186</v>
      </c>
      <c r="O1224" t="s">
        <v>24</v>
      </c>
      <c r="P1224" t="s">
        <v>25</v>
      </c>
      <c r="R1224">
        <f>tblDailySchedule[[#This Row],[Capacity Approx]]*'[1]Load Factor Sheet June Acft  '!$B$5</f>
        <v>150.61772727272728</v>
      </c>
      <c r="S1224">
        <f>tblDailySchedule[[#This Row],[Capacity Approx]]*'[1]Load Factor Sheet June Acft  '!$D$5</f>
        <v>163.08818181818182</v>
      </c>
      <c r="T1224" s="22">
        <f>tblDailySchedule[[#This Row],[STD]]</f>
        <v>0.35416666666666669</v>
      </c>
    </row>
    <row r="1225" spans="1:20" hidden="1" x14ac:dyDescent="0.35">
      <c r="A1225" s="11">
        <v>46154</v>
      </c>
      <c r="B1225" s="3">
        <v>2</v>
      </c>
      <c r="C1225" t="s">
        <v>108</v>
      </c>
      <c r="D1225" t="s">
        <v>18</v>
      </c>
      <c r="E1225" s="3">
        <v>4</v>
      </c>
      <c r="F1225" t="s">
        <v>19</v>
      </c>
      <c r="G1225" t="s">
        <v>30</v>
      </c>
      <c r="H1225" t="s">
        <v>31</v>
      </c>
      <c r="I1225" s="12">
        <v>0.34722222222222221</v>
      </c>
      <c r="J1225" t="s">
        <v>32</v>
      </c>
      <c r="K1225" t="s">
        <v>31</v>
      </c>
      <c r="L1225" s="12">
        <v>0.36805555555555558</v>
      </c>
      <c r="M1225" t="s">
        <v>33</v>
      </c>
      <c r="N1225" s="3">
        <v>189</v>
      </c>
      <c r="O1225" t="s">
        <v>24</v>
      </c>
      <c r="P1225" t="s">
        <v>25</v>
      </c>
      <c r="R1225">
        <f>tblDailySchedule[[#This Row],[Capacity Approx]]*'[1]Load Factor Sheet June Acft  '!$B$5</f>
        <v>153.04704545454547</v>
      </c>
      <c r="S1225">
        <f>tblDailySchedule[[#This Row],[Capacity Approx]]*'[1]Load Factor Sheet June Acft  '!$D$5</f>
        <v>165.71863636363636</v>
      </c>
      <c r="T1225" s="22">
        <f>tblDailySchedule[[#This Row],[STD]]</f>
        <v>0.36805555555555558</v>
      </c>
    </row>
    <row r="1226" spans="1:20" hidden="1" x14ac:dyDescent="0.35">
      <c r="A1226" s="11">
        <v>46154</v>
      </c>
      <c r="B1226" s="3">
        <v>2</v>
      </c>
      <c r="C1226" t="s">
        <v>108</v>
      </c>
      <c r="D1226" t="s">
        <v>18</v>
      </c>
      <c r="E1226" s="3">
        <v>5</v>
      </c>
      <c r="F1226" t="s">
        <v>19</v>
      </c>
      <c r="G1226" t="s">
        <v>40</v>
      </c>
      <c r="H1226" t="s">
        <v>31</v>
      </c>
      <c r="I1226" s="12">
        <v>0.35069444444444442</v>
      </c>
      <c r="J1226" t="s">
        <v>41</v>
      </c>
      <c r="K1226" t="s">
        <v>31</v>
      </c>
      <c r="L1226" s="12">
        <v>0.37152777777777779</v>
      </c>
      <c r="M1226" t="s">
        <v>23</v>
      </c>
      <c r="N1226" s="3">
        <v>186</v>
      </c>
      <c r="O1226" t="s">
        <v>24</v>
      </c>
      <c r="P1226" t="s">
        <v>25</v>
      </c>
      <c r="R1226">
        <f>tblDailySchedule[[#This Row],[Capacity Approx]]*'[1]Load Factor Sheet June Acft  '!$B$5</f>
        <v>150.61772727272728</v>
      </c>
      <c r="S1226">
        <f>tblDailySchedule[[#This Row],[Capacity Approx]]*'[1]Load Factor Sheet June Acft  '!$D$5</f>
        <v>163.08818181818182</v>
      </c>
      <c r="T1226" s="22">
        <f>tblDailySchedule[[#This Row],[STD]]</f>
        <v>0.37152777777777779</v>
      </c>
    </row>
    <row r="1227" spans="1:20" hidden="1" x14ac:dyDescent="0.35">
      <c r="A1227" s="11">
        <v>46154</v>
      </c>
      <c r="B1227" s="3">
        <v>2</v>
      </c>
      <c r="C1227" t="s">
        <v>108</v>
      </c>
      <c r="D1227" t="s">
        <v>18</v>
      </c>
      <c r="E1227" s="3">
        <v>7</v>
      </c>
      <c r="F1227" t="s">
        <v>19</v>
      </c>
      <c r="G1227" t="s">
        <v>42</v>
      </c>
      <c r="H1227" t="s">
        <v>43</v>
      </c>
      <c r="I1227" s="12">
        <v>0.3923611111111111</v>
      </c>
      <c r="J1227" t="s">
        <v>44</v>
      </c>
      <c r="K1227" t="s">
        <v>43</v>
      </c>
      <c r="L1227" s="12">
        <v>0.40277777777777779</v>
      </c>
      <c r="M1227" t="s">
        <v>45</v>
      </c>
      <c r="N1227" s="3">
        <v>9</v>
      </c>
      <c r="O1227" t="s">
        <v>24</v>
      </c>
      <c r="P1227" t="s">
        <v>25</v>
      </c>
      <c r="R1227">
        <f>tblDailySchedule[[#This Row],[Capacity Approx]]*'[1]Load Factor Sheet June Acft  '!$B$5</f>
        <v>7.2879545454545456</v>
      </c>
      <c r="S1227">
        <f>tblDailySchedule[[#This Row],[Capacity Approx]]*'[1]Load Factor Sheet June Acft  '!$D$5</f>
        <v>7.8913636363636366</v>
      </c>
      <c r="T1227" s="22">
        <f>tblDailySchedule[[#This Row],[STD]]</f>
        <v>0.40277777777777779</v>
      </c>
    </row>
    <row r="1228" spans="1:20" hidden="1" x14ac:dyDescent="0.35">
      <c r="A1228" s="11">
        <v>46154</v>
      </c>
      <c r="B1228" s="3">
        <v>2</v>
      </c>
      <c r="C1228" t="s">
        <v>108</v>
      </c>
      <c r="D1228" t="s">
        <v>18</v>
      </c>
      <c r="E1228" s="3">
        <v>8</v>
      </c>
      <c r="F1228" t="s">
        <v>19</v>
      </c>
      <c r="G1228" t="s">
        <v>46</v>
      </c>
      <c r="H1228" t="s">
        <v>31</v>
      </c>
      <c r="I1228" s="12">
        <v>0.4201388888888889</v>
      </c>
      <c r="J1228" t="s">
        <v>47</v>
      </c>
      <c r="K1228" t="s">
        <v>31</v>
      </c>
      <c r="L1228" s="12">
        <v>0.44444444444444442</v>
      </c>
      <c r="M1228" t="s">
        <v>29</v>
      </c>
      <c r="N1228" s="3">
        <v>186</v>
      </c>
      <c r="O1228" t="s">
        <v>24</v>
      </c>
      <c r="P1228" t="s">
        <v>25</v>
      </c>
      <c r="R1228">
        <f>tblDailySchedule[[#This Row],[Capacity Approx]]*'[1]Load Factor Sheet June Acft  '!$B$5</f>
        <v>150.61772727272728</v>
      </c>
      <c r="S1228">
        <f>tblDailySchedule[[#This Row],[Capacity Approx]]*'[1]Load Factor Sheet June Acft  '!$D$5</f>
        <v>163.08818181818182</v>
      </c>
      <c r="T1228" s="22">
        <f>tblDailySchedule[[#This Row],[STD]]</f>
        <v>0.44444444444444442</v>
      </c>
    </row>
    <row r="1229" spans="1:20" hidden="1" x14ac:dyDescent="0.35">
      <c r="A1229" s="11">
        <v>46154</v>
      </c>
      <c r="B1229" s="3">
        <v>2</v>
      </c>
      <c r="C1229" t="s">
        <v>108</v>
      </c>
      <c r="D1229" t="s">
        <v>18</v>
      </c>
      <c r="E1229" s="3">
        <v>9</v>
      </c>
      <c r="F1229" t="s">
        <v>19</v>
      </c>
      <c r="G1229" t="s">
        <v>48</v>
      </c>
      <c r="H1229" t="s">
        <v>49</v>
      </c>
      <c r="I1229" s="12">
        <v>0.4375</v>
      </c>
      <c r="J1229" t="s">
        <v>50</v>
      </c>
      <c r="K1229" t="s">
        <v>49</v>
      </c>
      <c r="L1229" s="12">
        <v>0.45833333333333331</v>
      </c>
      <c r="M1229" t="s">
        <v>51</v>
      </c>
      <c r="N1229" s="3">
        <v>78</v>
      </c>
      <c r="O1229" t="s">
        <v>24</v>
      </c>
      <c r="P1229" t="s">
        <v>25</v>
      </c>
      <c r="R1229">
        <f>tblDailySchedule[[#This Row],[Capacity Approx]]*'[1]Load Factor Sheet June Acft  '!$B$5</f>
        <v>63.162272727272729</v>
      </c>
      <c r="S1229">
        <f>tblDailySchedule[[#This Row],[Capacity Approx]]*'[1]Load Factor Sheet June Acft  '!$D$5</f>
        <v>68.391818181818181</v>
      </c>
      <c r="T1229" s="22">
        <f>tblDailySchedule[[#This Row],[STD]]</f>
        <v>0.45833333333333331</v>
      </c>
    </row>
    <row r="1230" spans="1:20" hidden="1" x14ac:dyDescent="0.35">
      <c r="A1230" s="11">
        <v>46154</v>
      </c>
      <c r="B1230" s="3">
        <v>2</v>
      </c>
      <c r="C1230" t="s">
        <v>108</v>
      </c>
      <c r="D1230" t="s">
        <v>18</v>
      </c>
      <c r="E1230" s="3">
        <v>10</v>
      </c>
      <c r="F1230" t="s">
        <v>19</v>
      </c>
      <c r="G1230" t="s">
        <v>52</v>
      </c>
      <c r="H1230" t="s">
        <v>27</v>
      </c>
      <c r="I1230" s="12">
        <v>0.4826388888888889</v>
      </c>
      <c r="J1230" t="s">
        <v>53</v>
      </c>
      <c r="K1230" t="s">
        <v>27</v>
      </c>
      <c r="L1230" s="12">
        <v>0.51041666666666663</v>
      </c>
      <c r="M1230" t="s">
        <v>23</v>
      </c>
      <c r="N1230" s="3">
        <v>186</v>
      </c>
      <c r="O1230" t="s">
        <v>24</v>
      </c>
      <c r="P1230" t="s">
        <v>25</v>
      </c>
      <c r="R1230">
        <f>tblDailySchedule[[#This Row],[Capacity Approx]]*'[1]Load Factor Sheet June Acft  '!$B$5</f>
        <v>150.61772727272728</v>
      </c>
      <c r="S1230">
        <f>tblDailySchedule[[#This Row],[Capacity Approx]]*'[1]Load Factor Sheet June Acft  '!$D$5</f>
        <v>163.08818181818182</v>
      </c>
      <c r="T1230" s="22">
        <f>tblDailySchedule[[#This Row],[STD]]</f>
        <v>0.51041666666666663</v>
      </c>
    </row>
    <row r="1231" spans="1:20" hidden="1" x14ac:dyDescent="0.35">
      <c r="A1231" s="11">
        <v>46154</v>
      </c>
      <c r="B1231" s="3">
        <v>2</v>
      </c>
      <c r="C1231" t="s">
        <v>108</v>
      </c>
      <c r="D1231" t="s">
        <v>18</v>
      </c>
      <c r="E1231" s="3">
        <v>11</v>
      </c>
      <c r="F1231" t="s">
        <v>19</v>
      </c>
      <c r="G1231" t="s">
        <v>54</v>
      </c>
      <c r="H1231" t="s">
        <v>31</v>
      </c>
      <c r="I1231" s="12">
        <v>0.51388888888888884</v>
      </c>
      <c r="J1231" t="s">
        <v>55</v>
      </c>
      <c r="K1231" t="s">
        <v>31</v>
      </c>
      <c r="L1231" s="12">
        <v>0.54166666666666663</v>
      </c>
      <c r="M1231" t="s">
        <v>23</v>
      </c>
      <c r="N1231" s="3">
        <v>186</v>
      </c>
      <c r="O1231" t="s">
        <v>24</v>
      </c>
      <c r="P1231" t="s">
        <v>56</v>
      </c>
      <c r="R1231">
        <f>tblDailySchedule[[#This Row],[Capacity Approx]]*'[1]Load Factor Sheet June Acft  '!$B$5</f>
        <v>150.61772727272728</v>
      </c>
      <c r="S1231">
        <f>tblDailySchedule[[#This Row],[Capacity Approx]]*'[1]Load Factor Sheet June Acft  '!$D$5</f>
        <v>163.08818181818182</v>
      </c>
      <c r="T1231" s="22">
        <f>tblDailySchedule[[#This Row],[STD]]</f>
        <v>0.54166666666666663</v>
      </c>
    </row>
    <row r="1232" spans="1:20" hidden="1" x14ac:dyDescent="0.35">
      <c r="A1232" s="11">
        <v>46154</v>
      </c>
      <c r="B1232" s="3">
        <v>2</v>
      </c>
      <c r="C1232" t="s">
        <v>108</v>
      </c>
      <c r="D1232" t="s">
        <v>18</v>
      </c>
      <c r="E1232" s="3">
        <v>12</v>
      </c>
      <c r="F1232" t="s">
        <v>109</v>
      </c>
      <c r="G1232" t="s">
        <v>110</v>
      </c>
      <c r="H1232" t="s">
        <v>111</v>
      </c>
      <c r="I1232" s="12">
        <v>0.55555555555555558</v>
      </c>
      <c r="J1232" t="s">
        <v>112</v>
      </c>
      <c r="K1232" t="s">
        <v>111</v>
      </c>
      <c r="L1232" s="12">
        <v>0.56944444444444442</v>
      </c>
      <c r="M1232" t="s">
        <v>51</v>
      </c>
      <c r="N1232" s="3">
        <v>78</v>
      </c>
      <c r="O1232" t="s">
        <v>24</v>
      </c>
      <c r="P1232" t="s">
        <v>56</v>
      </c>
      <c r="R1232">
        <f>tblDailySchedule[[#This Row],[Capacity Approx]]*'[1]Load Factor Sheet June Acft  '!$B$5</f>
        <v>63.162272727272729</v>
      </c>
      <c r="S1232">
        <f>tblDailySchedule[[#This Row],[Capacity Approx]]*'[1]Load Factor Sheet June Acft  '!$D$5</f>
        <v>68.391818181818181</v>
      </c>
      <c r="T1232" s="22">
        <f>tblDailySchedule[[#This Row],[STD]]</f>
        <v>0.56944444444444442</v>
      </c>
    </row>
    <row r="1233" spans="1:20" hidden="1" x14ac:dyDescent="0.35">
      <c r="A1233" s="11">
        <v>46154</v>
      </c>
      <c r="B1233" s="3">
        <v>2</v>
      </c>
      <c r="C1233" t="s">
        <v>108</v>
      </c>
      <c r="D1233" t="s">
        <v>18</v>
      </c>
      <c r="E1233" s="3">
        <v>13</v>
      </c>
      <c r="F1233" t="s">
        <v>19</v>
      </c>
      <c r="G1233" t="s">
        <v>57</v>
      </c>
      <c r="H1233" t="s">
        <v>58</v>
      </c>
      <c r="I1233" s="12">
        <v>0.55902777777777779</v>
      </c>
      <c r="J1233" t="s">
        <v>59</v>
      </c>
      <c r="K1233" t="s">
        <v>58</v>
      </c>
      <c r="L1233" s="12">
        <v>0.57638888888888884</v>
      </c>
      <c r="M1233" t="s">
        <v>51</v>
      </c>
      <c r="N1233" s="3">
        <v>78</v>
      </c>
      <c r="O1233" t="s">
        <v>24</v>
      </c>
      <c r="P1233" t="s">
        <v>56</v>
      </c>
      <c r="R1233">
        <f>tblDailySchedule[[#This Row],[Capacity Approx]]*'[1]Load Factor Sheet June Acft  '!$B$5</f>
        <v>63.162272727272729</v>
      </c>
      <c r="S1233">
        <f>tblDailySchedule[[#This Row],[Capacity Approx]]*'[1]Load Factor Sheet June Acft  '!$D$5</f>
        <v>68.391818181818181</v>
      </c>
      <c r="T1233" s="22">
        <f>tblDailySchedule[[#This Row],[STD]]</f>
        <v>0.57638888888888884</v>
      </c>
    </row>
    <row r="1234" spans="1:20" hidden="1" x14ac:dyDescent="0.35">
      <c r="A1234" s="11">
        <v>46154</v>
      </c>
      <c r="B1234" s="3">
        <v>2</v>
      </c>
      <c r="C1234" t="s">
        <v>108</v>
      </c>
      <c r="D1234" t="s">
        <v>18</v>
      </c>
      <c r="E1234" s="3">
        <v>14</v>
      </c>
      <c r="F1234" t="s">
        <v>19</v>
      </c>
      <c r="G1234" t="s">
        <v>60</v>
      </c>
      <c r="H1234" t="s">
        <v>61</v>
      </c>
      <c r="I1234" s="12">
        <v>0.59027777777777779</v>
      </c>
      <c r="J1234" t="s">
        <v>62</v>
      </c>
      <c r="K1234" t="s">
        <v>61</v>
      </c>
      <c r="L1234" s="12">
        <v>0.62152777777777779</v>
      </c>
      <c r="M1234" t="s">
        <v>63</v>
      </c>
      <c r="N1234" s="3">
        <v>232</v>
      </c>
      <c r="O1234" t="s">
        <v>24</v>
      </c>
      <c r="P1234" t="s">
        <v>56</v>
      </c>
      <c r="R1234">
        <f>tblDailySchedule[[#This Row],[Capacity Approx]]*'[1]Load Factor Sheet June Acft  '!$B$5</f>
        <v>187.86727272727273</v>
      </c>
      <c r="S1234">
        <f>tblDailySchedule[[#This Row],[Capacity Approx]]*'[1]Load Factor Sheet June Acft  '!$D$5</f>
        <v>203.4218181818182</v>
      </c>
      <c r="T1234" s="22">
        <f>tblDailySchedule[[#This Row],[STD]]</f>
        <v>0.62152777777777779</v>
      </c>
    </row>
    <row r="1235" spans="1:20" hidden="1" x14ac:dyDescent="0.35">
      <c r="A1235" s="11">
        <v>46154</v>
      </c>
      <c r="B1235" s="3">
        <v>2</v>
      </c>
      <c r="C1235" t="s">
        <v>108</v>
      </c>
      <c r="D1235" t="s">
        <v>18</v>
      </c>
      <c r="E1235" s="3">
        <v>15</v>
      </c>
      <c r="F1235" t="s">
        <v>19</v>
      </c>
      <c r="G1235" t="s">
        <v>64</v>
      </c>
      <c r="H1235" t="s">
        <v>31</v>
      </c>
      <c r="I1235" s="12">
        <v>0.60069444444444442</v>
      </c>
      <c r="J1235" t="s">
        <v>65</v>
      </c>
      <c r="K1235" t="s">
        <v>66</v>
      </c>
      <c r="L1235" s="12">
        <v>0.62847222222222221</v>
      </c>
      <c r="M1235" t="s">
        <v>63</v>
      </c>
      <c r="N1235" s="3">
        <v>232</v>
      </c>
      <c r="O1235" t="s">
        <v>24</v>
      </c>
      <c r="P1235" t="s">
        <v>56</v>
      </c>
      <c r="R1235">
        <f>tblDailySchedule[[#This Row],[Capacity Approx]]*'[1]Load Factor Sheet June Acft  '!$B$5</f>
        <v>187.86727272727273</v>
      </c>
      <c r="S1235">
        <f>tblDailySchedule[[#This Row],[Capacity Approx]]*'[1]Load Factor Sheet June Acft  '!$D$5</f>
        <v>203.4218181818182</v>
      </c>
      <c r="T1235" s="22">
        <f>tblDailySchedule[[#This Row],[STD]]</f>
        <v>0.62847222222222221</v>
      </c>
    </row>
    <row r="1236" spans="1:20" hidden="1" x14ac:dyDescent="0.35">
      <c r="A1236" s="11">
        <v>46154</v>
      </c>
      <c r="B1236" s="3">
        <v>2</v>
      </c>
      <c r="C1236" t="s">
        <v>108</v>
      </c>
      <c r="D1236" t="s">
        <v>18</v>
      </c>
      <c r="E1236" s="3">
        <v>16</v>
      </c>
      <c r="F1236" t="s">
        <v>19</v>
      </c>
      <c r="G1236" t="s">
        <v>67</v>
      </c>
      <c r="H1236" t="s">
        <v>31</v>
      </c>
      <c r="I1236" s="12">
        <v>0.65625</v>
      </c>
      <c r="J1236" t="s">
        <v>68</v>
      </c>
      <c r="K1236" t="s">
        <v>31</v>
      </c>
      <c r="L1236" s="12">
        <v>0.68402777777777779</v>
      </c>
      <c r="M1236" t="s">
        <v>63</v>
      </c>
      <c r="N1236" s="3">
        <v>232</v>
      </c>
      <c r="O1236" t="s">
        <v>24</v>
      </c>
      <c r="P1236" t="s">
        <v>56</v>
      </c>
      <c r="R1236">
        <f>tblDailySchedule[[#This Row],[Capacity Approx]]*'[1]Load Factor Sheet June Acft  '!$B$5</f>
        <v>187.86727272727273</v>
      </c>
      <c r="S1236">
        <f>tblDailySchedule[[#This Row],[Capacity Approx]]*'[1]Load Factor Sheet June Acft  '!$D$5</f>
        <v>203.4218181818182</v>
      </c>
      <c r="T1236" s="22">
        <f>tblDailySchedule[[#This Row],[STD]]</f>
        <v>0.68402777777777779</v>
      </c>
    </row>
    <row r="1237" spans="1:20" hidden="1" x14ac:dyDescent="0.35">
      <c r="A1237" s="11">
        <v>46154</v>
      </c>
      <c r="B1237" s="3">
        <v>2</v>
      </c>
      <c r="C1237" t="s">
        <v>108</v>
      </c>
      <c r="D1237" t="s">
        <v>18</v>
      </c>
      <c r="E1237" s="3">
        <v>17</v>
      </c>
      <c r="F1237" t="s">
        <v>19</v>
      </c>
      <c r="G1237" t="s">
        <v>69</v>
      </c>
      <c r="H1237" t="s">
        <v>31</v>
      </c>
      <c r="I1237" s="12">
        <v>0.66319444444444442</v>
      </c>
      <c r="J1237" t="s">
        <v>70</v>
      </c>
      <c r="K1237" t="s">
        <v>31</v>
      </c>
      <c r="L1237" s="12">
        <v>0.69097222222222221</v>
      </c>
      <c r="M1237" t="s">
        <v>33</v>
      </c>
      <c r="N1237" s="3">
        <v>189</v>
      </c>
      <c r="O1237" t="s">
        <v>24</v>
      </c>
      <c r="P1237" t="s">
        <v>56</v>
      </c>
      <c r="R1237">
        <f>tblDailySchedule[[#This Row],[Capacity Approx]]*'[1]Load Factor Sheet June Acft  '!$B$5</f>
        <v>153.04704545454547</v>
      </c>
      <c r="S1237">
        <f>tblDailySchedule[[#This Row],[Capacity Approx]]*'[1]Load Factor Sheet June Acft  '!$D$5</f>
        <v>165.71863636363636</v>
      </c>
      <c r="T1237" s="22">
        <f>tblDailySchedule[[#This Row],[STD]]</f>
        <v>0.69097222222222221</v>
      </c>
    </row>
    <row r="1238" spans="1:20" hidden="1" x14ac:dyDescent="0.35">
      <c r="A1238" s="11">
        <v>46154</v>
      </c>
      <c r="B1238" s="3">
        <v>2</v>
      </c>
      <c r="C1238" t="s">
        <v>108</v>
      </c>
      <c r="D1238" t="s">
        <v>18</v>
      </c>
      <c r="E1238" s="3">
        <v>18</v>
      </c>
      <c r="F1238" t="s">
        <v>19</v>
      </c>
      <c r="G1238" t="s">
        <v>71</v>
      </c>
      <c r="H1238" t="s">
        <v>21</v>
      </c>
      <c r="I1238" s="12">
        <v>0.67013888888888884</v>
      </c>
      <c r="J1238" t="s">
        <v>72</v>
      </c>
      <c r="K1238" t="s">
        <v>21</v>
      </c>
      <c r="L1238" s="12">
        <v>0.69791666666666663</v>
      </c>
      <c r="M1238" t="s">
        <v>63</v>
      </c>
      <c r="N1238" s="3">
        <v>232</v>
      </c>
      <c r="O1238" t="s">
        <v>24</v>
      </c>
      <c r="P1238" t="s">
        <v>56</v>
      </c>
      <c r="R1238">
        <f>tblDailySchedule[[#This Row],[Capacity Approx]]*'[1]Load Factor Sheet June Acft  '!$B$5</f>
        <v>187.86727272727273</v>
      </c>
      <c r="S1238">
        <f>tblDailySchedule[[#This Row],[Capacity Approx]]*'[1]Load Factor Sheet June Acft  '!$D$5</f>
        <v>203.4218181818182</v>
      </c>
      <c r="T1238" s="22">
        <f>tblDailySchedule[[#This Row],[STD]]</f>
        <v>0.69791666666666663</v>
      </c>
    </row>
    <row r="1239" spans="1:20" hidden="1" x14ac:dyDescent="0.35">
      <c r="A1239" s="11">
        <v>46154</v>
      </c>
      <c r="B1239" s="3">
        <v>2</v>
      </c>
      <c r="C1239" t="s">
        <v>108</v>
      </c>
      <c r="D1239" t="s">
        <v>18</v>
      </c>
      <c r="E1239" s="3">
        <v>19</v>
      </c>
      <c r="F1239" t="s">
        <v>19</v>
      </c>
      <c r="G1239" t="s">
        <v>73</v>
      </c>
      <c r="H1239" t="s">
        <v>27</v>
      </c>
      <c r="I1239" s="12">
        <v>0.74652777777777779</v>
      </c>
      <c r="J1239" t="s">
        <v>74</v>
      </c>
      <c r="K1239" t="s">
        <v>27</v>
      </c>
      <c r="L1239" s="12">
        <v>0.77430555555555558</v>
      </c>
      <c r="M1239" t="s">
        <v>63</v>
      </c>
      <c r="N1239" s="3">
        <v>232</v>
      </c>
      <c r="O1239" t="s">
        <v>24</v>
      </c>
      <c r="P1239" t="s">
        <v>56</v>
      </c>
      <c r="R1239">
        <f>tblDailySchedule[[#This Row],[Capacity Approx]]*'[1]Load Factor Sheet June Acft  '!$B$5</f>
        <v>187.86727272727273</v>
      </c>
      <c r="S1239">
        <f>tblDailySchedule[[#This Row],[Capacity Approx]]*'[1]Load Factor Sheet June Acft  '!$D$5</f>
        <v>203.4218181818182</v>
      </c>
      <c r="T1239" s="22">
        <f>tblDailySchedule[[#This Row],[STD]]</f>
        <v>0.77430555555555558</v>
      </c>
    </row>
    <row r="1240" spans="1:20" hidden="1" x14ac:dyDescent="0.35">
      <c r="A1240" s="11">
        <v>46154</v>
      </c>
      <c r="B1240" s="3">
        <v>2</v>
      </c>
      <c r="C1240" t="s">
        <v>108</v>
      </c>
      <c r="D1240" t="s">
        <v>18</v>
      </c>
      <c r="E1240" s="3">
        <v>21</v>
      </c>
      <c r="F1240" t="s">
        <v>19</v>
      </c>
      <c r="G1240" t="s">
        <v>81</v>
      </c>
      <c r="H1240" t="s">
        <v>61</v>
      </c>
      <c r="I1240" s="12">
        <v>0.77083333333333337</v>
      </c>
      <c r="J1240" t="s">
        <v>82</v>
      </c>
      <c r="K1240" t="s">
        <v>49</v>
      </c>
      <c r="L1240" s="12">
        <v>0.79166666666666663</v>
      </c>
      <c r="M1240" t="s">
        <v>33</v>
      </c>
      <c r="N1240" s="3">
        <v>189</v>
      </c>
      <c r="O1240" t="s">
        <v>24</v>
      </c>
      <c r="P1240" t="s">
        <v>79</v>
      </c>
      <c r="R1240">
        <f>tblDailySchedule[[#This Row],[Capacity Approx]]*'[1]Load Factor Sheet June Acft  '!$B$5</f>
        <v>153.04704545454547</v>
      </c>
      <c r="S1240">
        <f>tblDailySchedule[[#This Row],[Capacity Approx]]*'[1]Load Factor Sheet June Acft  '!$D$5</f>
        <v>165.71863636363636</v>
      </c>
      <c r="T1240" s="22">
        <f>tblDailySchedule[[#This Row],[STD]]</f>
        <v>0.79166666666666663</v>
      </c>
    </row>
    <row r="1241" spans="1:20" hidden="1" x14ac:dyDescent="0.35">
      <c r="A1241" s="11">
        <v>46154</v>
      </c>
      <c r="B1241" s="3">
        <v>2</v>
      </c>
      <c r="C1241" t="s">
        <v>108</v>
      </c>
      <c r="D1241" t="s">
        <v>18</v>
      </c>
      <c r="E1241" s="3">
        <v>22</v>
      </c>
      <c r="F1241" t="s">
        <v>19</v>
      </c>
      <c r="G1241" t="s">
        <v>83</v>
      </c>
      <c r="H1241" t="s">
        <v>31</v>
      </c>
      <c r="I1241" s="12">
        <v>0.77777777777777779</v>
      </c>
      <c r="J1241" t="s">
        <v>84</v>
      </c>
      <c r="K1241" t="s">
        <v>31</v>
      </c>
      <c r="L1241" s="12">
        <v>0.80555555555555558</v>
      </c>
      <c r="M1241" t="s">
        <v>63</v>
      </c>
      <c r="N1241" s="3">
        <v>232</v>
      </c>
      <c r="O1241" t="s">
        <v>24</v>
      </c>
      <c r="P1241" t="s">
        <v>79</v>
      </c>
      <c r="R1241">
        <f>tblDailySchedule[[#This Row],[Capacity Approx]]*'[1]Load Factor Sheet June Acft  '!$B$5</f>
        <v>187.86727272727273</v>
      </c>
      <c r="S1241">
        <f>tblDailySchedule[[#This Row],[Capacity Approx]]*'[1]Load Factor Sheet June Acft  '!$D$5</f>
        <v>203.4218181818182</v>
      </c>
      <c r="T1241" s="22">
        <f>tblDailySchedule[[#This Row],[STD]]</f>
        <v>0.80555555555555558</v>
      </c>
    </row>
    <row r="1242" spans="1:20" hidden="1" x14ac:dyDescent="0.35">
      <c r="A1242" s="11">
        <v>46154</v>
      </c>
      <c r="B1242" s="3">
        <v>2</v>
      </c>
      <c r="C1242" t="s">
        <v>108</v>
      </c>
      <c r="D1242" t="s">
        <v>18</v>
      </c>
      <c r="E1242" s="3">
        <v>23</v>
      </c>
      <c r="F1242" t="s">
        <v>19</v>
      </c>
      <c r="G1242" t="s">
        <v>85</v>
      </c>
      <c r="H1242" t="s">
        <v>86</v>
      </c>
      <c r="I1242" s="12">
        <v>0.79861111111111116</v>
      </c>
      <c r="J1242" t="s">
        <v>87</v>
      </c>
      <c r="K1242" t="s">
        <v>86</v>
      </c>
      <c r="L1242" s="12">
        <v>0.82638888888888884</v>
      </c>
      <c r="M1242" t="s">
        <v>63</v>
      </c>
      <c r="N1242" s="3">
        <v>232</v>
      </c>
      <c r="O1242" t="s">
        <v>24</v>
      </c>
      <c r="P1242" t="s">
        <v>79</v>
      </c>
      <c r="R1242">
        <f>tblDailySchedule[[#This Row],[Capacity Approx]]*'[1]Load Factor Sheet June Acft  '!$B$5</f>
        <v>187.86727272727273</v>
      </c>
      <c r="S1242">
        <f>tblDailySchedule[[#This Row],[Capacity Approx]]*'[1]Load Factor Sheet June Acft  '!$D$5</f>
        <v>203.4218181818182</v>
      </c>
      <c r="T1242" s="22">
        <f>tblDailySchedule[[#This Row],[STD]]</f>
        <v>0.82638888888888884</v>
      </c>
    </row>
    <row r="1243" spans="1:20" hidden="1" x14ac:dyDescent="0.35">
      <c r="A1243" s="11">
        <v>46154</v>
      </c>
      <c r="B1243" s="3">
        <v>2</v>
      </c>
      <c r="C1243" t="s">
        <v>108</v>
      </c>
      <c r="D1243" t="s">
        <v>18</v>
      </c>
      <c r="E1243" s="3">
        <v>24</v>
      </c>
      <c r="F1243" t="s">
        <v>19</v>
      </c>
      <c r="G1243" t="s">
        <v>88</v>
      </c>
      <c r="H1243" t="s">
        <v>89</v>
      </c>
      <c r="I1243" s="12">
        <v>0.83333333333333337</v>
      </c>
      <c r="J1243" t="s">
        <v>90</v>
      </c>
      <c r="K1243" t="s">
        <v>31</v>
      </c>
      <c r="L1243" s="12">
        <v>0.86111111111111116</v>
      </c>
      <c r="M1243" t="s">
        <v>63</v>
      </c>
      <c r="N1243" s="3">
        <v>232</v>
      </c>
      <c r="O1243" t="s">
        <v>24</v>
      </c>
      <c r="P1243" t="s">
        <v>79</v>
      </c>
      <c r="R1243">
        <f>tblDailySchedule[[#This Row],[Capacity Approx]]*'[1]Load Factor Sheet June Acft  '!$B$5</f>
        <v>187.86727272727273</v>
      </c>
      <c r="S1243">
        <f>tblDailySchedule[[#This Row],[Capacity Approx]]*'[1]Load Factor Sheet June Acft  '!$D$5</f>
        <v>203.4218181818182</v>
      </c>
      <c r="T1243" s="22">
        <f>tblDailySchedule[[#This Row],[STD]]</f>
        <v>0.86111111111111116</v>
      </c>
    </row>
    <row r="1244" spans="1:20" hidden="1" x14ac:dyDescent="0.35">
      <c r="A1244" s="11">
        <v>46154</v>
      </c>
      <c r="B1244" s="3">
        <v>2</v>
      </c>
      <c r="C1244" t="s">
        <v>108</v>
      </c>
      <c r="D1244" t="s">
        <v>18</v>
      </c>
      <c r="E1244" s="3">
        <v>25</v>
      </c>
      <c r="F1244" t="s">
        <v>19</v>
      </c>
      <c r="G1244" t="s">
        <v>91</v>
      </c>
      <c r="H1244" t="s">
        <v>61</v>
      </c>
      <c r="I1244" s="12">
        <v>0.85416666666666663</v>
      </c>
      <c r="J1244" t="s">
        <v>92</v>
      </c>
      <c r="K1244" t="s">
        <v>61</v>
      </c>
      <c r="L1244" s="12">
        <v>0.88194444444444442</v>
      </c>
      <c r="M1244" t="s">
        <v>63</v>
      </c>
      <c r="N1244" s="3">
        <v>232</v>
      </c>
      <c r="O1244" t="s">
        <v>24</v>
      </c>
      <c r="P1244" t="s">
        <v>79</v>
      </c>
      <c r="R1244">
        <f>tblDailySchedule[[#This Row],[Capacity Approx]]*'[1]Load Factor Sheet June Acft  '!$B$5</f>
        <v>187.86727272727273</v>
      </c>
      <c r="S1244">
        <f>tblDailySchedule[[#This Row],[Capacity Approx]]*'[1]Load Factor Sheet June Acft  '!$D$5</f>
        <v>203.4218181818182</v>
      </c>
      <c r="T1244" s="22">
        <f>tblDailySchedule[[#This Row],[STD]]</f>
        <v>0.88194444444444442</v>
      </c>
    </row>
    <row r="1245" spans="1:20" hidden="1" x14ac:dyDescent="0.35">
      <c r="A1245" s="11">
        <v>46154</v>
      </c>
      <c r="B1245" s="3">
        <v>2</v>
      </c>
      <c r="C1245" t="s">
        <v>108</v>
      </c>
      <c r="D1245" t="s">
        <v>18</v>
      </c>
      <c r="E1245" s="3">
        <v>26</v>
      </c>
      <c r="F1245" t="s">
        <v>19</v>
      </c>
      <c r="G1245" t="s">
        <v>93</v>
      </c>
      <c r="H1245" t="s">
        <v>31</v>
      </c>
      <c r="I1245" s="12">
        <v>0.86111111111111116</v>
      </c>
      <c r="J1245" t="s">
        <v>94</v>
      </c>
      <c r="K1245" t="s">
        <v>31</v>
      </c>
      <c r="L1245" s="12">
        <v>0.88888888888888884</v>
      </c>
      <c r="M1245" t="s">
        <v>23</v>
      </c>
      <c r="N1245" s="3">
        <v>186</v>
      </c>
      <c r="O1245" t="s">
        <v>24</v>
      </c>
      <c r="P1245" t="s">
        <v>79</v>
      </c>
      <c r="R1245">
        <f>tblDailySchedule[[#This Row],[Capacity Approx]]*'[1]Load Factor Sheet June Acft  '!$B$5</f>
        <v>150.61772727272728</v>
      </c>
      <c r="S1245">
        <f>tblDailySchedule[[#This Row],[Capacity Approx]]*'[1]Load Factor Sheet June Acft  '!$D$5</f>
        <v>163.08818181818182</v>
      </c>
      <c r="T1245" s="22">
        <f>tblDailySchedule[[#This Row],[STD]]</f>
        <v>0.88888888888888884</v>
      </c>
    </row>
    <row r="1246" spans="1:20" hidden="1" x14ac:dyDescent="0.35">
      <c r="A1246" s="11">
        <v>46154</v>
      </c>
      <c r="B1246" s="3">
        <v>2</v>
      </c>
      <c r="C1246" t="s">
        <v>108</v>
      </c>
      <c r="D1246" t="s">
        <v>18</v>
      </c>
      <c r="E1246" s="3">
        <v>27</v>
      </c>
      <c r="F1246" t="s">
        <v>19</v>
      </c>
      <c r="G1246" t="s">
        <v>95</v>
      </c>
      <c r="H1246" t="s">
        <v>21</v>
      </c>
      <c r="I1246" s="12">
        <v>0.86805555555555558</v>
      </c>
      <c r="J1246" t="s">
        <v>96</v>
      </c>
      <c r="K1246" t="s">
        <v>21</v>
      </c>
      <c r="L1246" s="12">
        <v>0.89583333333333337</v>
      </c>
      <c r="M1246" t="s">
        <v>29</v>
      </c>
      <c r="N1246" s="3">
        <v>186</v>
      </c>
      <c r="O1246" t="s">
        <v>24</v>
      </c>
      <c r="P1246" t="s">
        <v>79</v>
      </c>
      <c r="R1246">
        <f>tblDailySchedule[[#This Row],[Capacity Approx]]*'[1]Load Factor Sheet June Acft  '!$B$5</f>
        <v>150.61772727272728</v>
      </c>
      <c r="S1246">
        <f>tblDailySchedule[[#This Row],[Capacity Approx]]*'[1]Load Factor Sheet June Acft  '!$D$5</f>
        <v>163.08818181818182</v>
      </c>
      <c r="T1246" s="22">
        <f>tblDailySchedule[[#This Row],[STD]]</f>
        <v>0.89583333333333337</v>
      </c>
    </row>
    <row r="1247" spans="1:20" hidden="1" x14ac:dyDescent="0.35">
      <c r="A1247" s="11">
        <v>46154</v>
      </c>
      <c r="B1247" s="3">
        <v>2</v>
      </c>
      <c r="C1247" t="s">
        <v>108</v>
      </c>
      <c r="D1247" t="s">
        <v>18</v>
      </c>
      <c r="E1247" s="3">
        <v>28</v>
      </c>
      <c r="F1247" t="s">
        <v>19</v>
      </c>
      <c r="G1247" t="s">
        <v>97</v>
      </c>
      <c r="H1247" t="s">
        <v>49</v>
      </c>
      <c r="I1247" s="12">
        <v>0.90277777777777779</v>
      </c>
      <c r="J1247" t="s">
        <v>97</v>
      </c>
      <c r="K1247" t="s">
        <v>61</v>
      </c>
      <c r="L1247" s="12">
        <v>0.92361111111111116</v>
      </c>
      <c r="M1247" t="s">
        <v>33</v>
      </c>
      <c r="N1247" s="3">
        <v>189</v>
      </c>
      <c r="O1247" t="s">
        <v>24</v>
      </c>
      <c r="P1247" t="s">
        <v>79</v>
      </c>
      <c r="R1247">
        <f>tblDailySchedule[[#This Row],[Capacity Approx]]*'[1]Load Factor Sheet June Acft  '!$B$5</f>
        <v>153.04704545454547</v>
      </c>
      <c r="S1247">
        <f>tblDailySchedule[[#This Row],[Capacity Approx]]*'[1]Load Factor Sheet June Acft  '!$D$5</f>
        <v>165.71863636363636</v>
      </c>
      <c r="T1247" s="22">
        <f>tblDailySchedule[[#This Row],[STD]]</f>
        <v>0.92361111111111116</v>
      </c>
    </row>
    <row r="1248" spans="1:20" hidden="1" x14ac:dyDescent="0.35">
      <c r="A1248" s="11">
        <v>46154</v>
      </c>
      <c r="B1248" s="3">
        <v>2</v>
      </c>
      <c r="C1248" t="s">
        <v>108</v>
      </c>
      <c r="D1248" t="s">
        <v>18</v>
      </c>
      <c r="E1248" s="3">
        <v>29</v>
      </c>
      <c r="F1248" t="s">
        <v>19</v>
      </c>
      <c r="G1248" t="s">
        <v>98</v>
      </c>
      <c r="H1248" t="s">
        <v>21</v>
      </c>
      <c r="I1248" s="12">
        <v>0.92013888888888884</v>
      </c>
      <c r="J1248" t="s">
        <v>99</v>
      </c>
      <c r="K1248" t="s">
        <v>21</v>
      </c>
      <c r="L1248" s="12">
        <v>0.94791666666666663</v>
      </c>
      <c r="M1248" t="s">
        <v>63</v>
      </c>
      <c r="N1248" s="3">
        <v>232</v>
      </c>
      <c r="O1248" t="s">
        <v>24</v>
      </c>
      <c r="P1248" t="s">
        <v>79</v>
      </c>
      <c r="R1248">
        <f>tblDailySchedule[[#This Row],[Capacity Approx]]*'[1]Load Factor Sheet June Acft  '!$B$5</f>
        <v>187.86727272727273</v>
      </c>
      <c r="S1248">
        <f>tblDailySchedule[[#This Row],[Capacity Approx]]*'[1]Load Factor Sheet June Acft  '!$D$5</f>
        <v>203.4218181818182</v>
      </c>
      <c r="T1248" s="22">
        <f>tblDailySchedule[[#This Row],[STD]]</f>
        <v>0.94791666666666663</v>
      </c>
    </row>
    <row r="1249" spans="1:20" hidden="1" x14ac:dyDescent="0.35">
      <c r="A1249" s="11">
        <v>46155</v>
      </c>
      <c r="B1249" s="3">
        <v>3</v>
      </c>
      <c r="C1249" t="s">
        <v>113</v>
      </c>
      <c r="D1249" t="s">
        <v>18</v>
      </c>
      <c r="E1249" s="3">
        <v>2</v>
      </c>
      <c r="F1249" t="s">
        <v>19</v>
      </c>
      <c r="G1249" t="s">
        <v>20</v>
      </c>
      <c r="H1249" t="s">
        <v>21</v>
      </c>
      <c r="I1249" s="12">
        <v>0.31944444444444442</v>
      </c>
      <c r="J1249" t="s">
        <v>22</v>
      </c>
      <c r="K1249" t="s">
        <v>21</v>
      </c>
      <c r="L1249" s="12">
        <v>0.34722222222222221</v>
      </c>
      <c r="M1249" t="s">
        <v>23</v>
      </c>
      <c r="N1249" s="3">
        <v>186</v>
      </c>
      <c r="O1249" t="s">
        <v>24</v>
      </c>
      <c r="P1249" t="s">
        <v>25</v>
      </c>
      <c r="R1249">
        <f>tblDailySchedule[[#This Row],[Capacity Approx]]*'[1]Load Factor Sheet June Acft  '!$B$5</f>
        <v>150.61772727272728</v>
      </c>
      <c r="S1249">
        <f>tblDailySchedule[[#This Row],[Capacity Approx]]*'[1]Load Factor Sheet June Acft  '!$D$5</f>
        <v>163.08818181818182</v>
      </c>
      <c r="T1249" s="22">
        <f>tblDailySchedule[[#This Row],[STD]]</f>
        <v>0.34722222222222221</v>
      </c>
    </row>
    <row r="1250" spans="1:20" hidden="1" x14ac:dyDescent="0.35">
      <c r="A1250" s="11">
        <v>46155</v>
      </c>
      <c r="B1250" s="3">
        <v>3</v>
      </c>
      <c r="C1250" t="s">
        <v>113</v>
      </c>
      <c r="D1250" t="s">
        <v>18</v>
      </c>
      <c r="E1250" s="3">
        <v>3</v>
      </c>
      <c r="F1250" t="s">
        <v>19</v>
      </c>
      <c r="G1250" t="s">
        <v>26</v>
      </c>
      <c r="H1250" t="s">
        <v>27</v>
      </c>
      <c r="I1250" s="12">
        <v>0.3263888888888889</v>
      </c>
      <c r="J1250" t="s">
        <v>28</v>
      </c>
      <c r="K1250" t="s">
        <v>27</v>
      </c>
      <c r="L1250" s="12">
        <v>0.35416666666666669</v>
      </c>
      <c r="M1250" t="s">
        <v>29</v>
      </c>
      <c r="N1250" s="3">
        <v>186</v>
      </c>
      <c r="O1250" t="s">
        <v>24</v>
      </c>
      <c r="P1250" t="s">
        <v>25</v>
      </c>
      <c r="R1250">
        <f>tblDailySchedule[[#This Row],[Capacity Approx]]*'[1]Load Factor Sheet June Acft  '!$B$5</f>
        <v>150.61772727272728</v>
      </c>
      <c r="S1250">
        <f>tblDailySchedule[[#This Row],[Capacity Approx]]*'[1]Load Factor Sheet June Acft  '!$D$5</f>
        <v>163.08818181818182</v>
      </c>
      <c r="T1250" s="22">
        <f>tblDailySchedule[[#This Row],[STD]]</f>
        <v>0.35416666666666669</v>
      </c>
    </row>
    <row r="1251" spans="1:20" hidden="1" x14ac:dyDescent="0.35">
      <c r="A1251" s="11">
        <v>46155</v>
      </c>
      <c r="B1251" s="3">
        <v>3</v>
      </c>
      <c r="C1251" t="s">
        <v>113</v>
      </c>
      <c r="D1251" t="s">
        <v>18</v>
      </c>
      <c r="E1251" s="3">
        <v>4</v>
      </c>
      <c r="F1251" t="s">
        <v>19</v>
      </c>
      <c r="G1251" t="s">
        <v>30</v>
      </c>
      <c r="H1251" t="s">
        <v>31</v>
      </c>
      <c r="I1251" s="12">
        <v>0.34722222222222221</v>
      </c>
      <c r="J1251" t="s">
        <v>32</v>
      </c>
      <c r="K1251" t="s">
        <v>31</v>
      </c>
      <c r="L1251" s="12">
        <v>0.36805555555555558</v>
      </c>
      <c r="M1251" t="s">
        <v>33</v>
      </c>
      <c r="N1251" s="3">
        <v>189</v>
      </c>
      <c r="O1251" t="s">
        <v>24</v>
      </c>
      <c r="P1251" t="s">
        <v>25</v>
      </c>
      <c r="R1251">
        <f>tblDailySchedule[[#This Row],[Capacity Approx]]*'[1]Load Factor Sheet June Acft  '!$B$5</f>
        <v>153.04704545454547</v>
      </c>
      <c r="S1251">
        <f>tblDailySchedule[[#This Row],[Capacity Approx]]*'[1]Load Factor Sheet June Acft  '!$D$5</f>
        <v>165.71863636363636</v>
      </c>
      <c r="T1251" s="22">
        <f>tblDailySchedule[[#This Row],[STD]]</f>
        <v>0.36805555555555558</v>
      </c>
    </row>
    <row r="1252" spans="1:20" hidden="1" x14ac:dyDescent="0.35">
      <c r="A1252" s="13">
        <v>46155</v>
      </c>
      <c r="B1252" s="7">
        <v>3</v>
      </c>
      <c r="C1252" s="14" t="s">
        <v>113</v>
      </c>
      <c r="D1252" s="14" t="s">
        <v>18</v>
      </c>
      <c r="E1252" s="7">
        <v>6</v>
      </c>
      <c r="F1252" s="14" t="s">
        <v>34</v>
      </c>
      <c r="G1252" s="14" t="s">
        <v>35</v>
      </c>
      <c r="H1252" s="14" t="s">
        <v>36</v>
      </c>
      <c r="I1252" s="15">
        <v>0.34722222222222221</v>
      </c>
      <c r="J1252" s="14" t="s">
        <v>37</v>
      </c>
      <c r="K1252" s="14" t="s">
        <v>36</v>
      </c>
      <c r="L1252" s="15">
        <v>0.40972222222222221</v>
      </c>
      <c r="M1252" s="14" t="s">
        <v>38</v>
      </c>
      <c r="N1252" s="7">
        <v>186</v>
      </c>
      <c r="O1252" s="14" t="s">
        <v>39</v>
      </c>
      <c r="P1252" s="14" t="s">
        <v>25</v>
      </c>
      <c r="Q1252" s="14" t="s">
        <v>39</v>
      </c>
      <c r="R1252">
        <f>tblDailySchedule[[#This Row],[Capacity Approx]]*'[1]Load Factor Sheet June Acft  '!$B$5</f>
        <v>150.61772727272728</v>
      </c>
      <c r="S1252">
        <f>tblDailySchedule[[#This Row],[Capacity Approx]]*'[1]Load Factor Sheet June Acft  '!$D$5</f>
        <v>163.08818181818182</v>
      </c>
      <c r="T1252" s="22">
        <f>tblDailySchedule[[#This Row],[STD]]</f>
        <v>0.40972222222222221</v>
      </c>
    </row>
    <row r="1253" spans="1:20" hidden="1" x14ac:dyDescent="0.35">
      <c r="A1253" s="11">
        <v>46155</v>
      </c>
      <c r="B1253" s="3">
        <v>3</v>
      </c>
      <c r="C1253" t="s">
        <v>113</v>
      </c>
      <c r="D1253" t="s">
        <v>18</v>
      </c>
      <c r="E1253" s="3">
        <v>5</v>
      </c>
      <c r="F1253" t="s">
        <v>19</v>
      </c>
      <c r="G1253" t="s">
        <v>40</v>
      </c>
      <c r="H1253" t="s">
        <v>31</v>
      </c>
      <c r="I1253" s="12">
        <v>0.35069444444444442</v>
      </c>
      <c r="J1253" t="s">
        <v>41</v>
      </c>
      <c r="K1253" t="s">
        <v>31</v>
      </c>
      <c r="L1253" s="12">
        <v>0.37152777777777779</v>
      </c>
      <c r="M1253" t="s">
        <v>23</v>
      </c>
      <c r="N1253" s="3">
        <v>186</v>
      </c>
      <c r="O1253" t="s">
        <v>24</v>
      </c>
      <c r="P1253" t="s">
        <v>25</v>
      </c>
      <c r="R1253">
        <f>tblDailySchedule[[#This Row],[Capacity Approx]]*'[1]Load Factor Sheet June Acft  '!$B$5</f>
        <v>150.61772727272728</v>
      </c>
      <c r="S1253">
        <f>tblDailySchedule[[#This Row],[Capacity Approx]]*'[1]Load Factor Sheet June Acft  '!$D$5</f>
        <v>163.08818181818182</v>
      </c>
      <c r="T1253" s="22">
        <f>tblDailySchedule[[#This Row],[STD]]</f>
        <v>0.37152777777777779</v>
      </c>
    </row>
    <row r="1254" spans="1:20" hidden="1" x14ac:dyDescent="0.35">
      <c r="A1254" s="11">
        <v>46155</v>
      </c>
      <c r="B1254" s="3">
        <v>3</v>
      </c>
      <c r="C1254" t="s">
        <v>113</v>
      </c>
      <c r="D1254" t="s">
        <v>18</v>
      </c>
      <c r="E1254" s="3">
        <v>7</v>
      </c>
      <c r="F1254" t="s">
        <v>19</v>
      </c>
      <c r="G1254" t="s">
        <v>42</v>
      </c>
      <c r="H1254" t="s">
        <v>43</v>
      </c>
      <c r="I1254" s="12">
        <v>0.3923611111111111</v>
      </c>
      <c r="J1254" t="s">
        <v>44</v>
      </c>
      <c r="K1254" t="s">
        <v>43</v>
      </c>
      <c r="L1254" s="12">
        <v>0.40277777777777779</v>
      </c>
      <c r="M1254" t="s">
        <v>45</v>
      </c>
      <c r="N1254" s="3">
        <v>9</v>
      </c>
      <c r="O1254" t="s">
        <v>24</v>
      </c>
      <c r="P1254" t="s">
        <v>25</v>
      </c>
      <c r="R1254">
        <f>tblDailySchedule[[#This Row],[Capacity Approx]]*'[1]Load Factor Sheet June Acft  '!$B$5</f>
        <v>7.2879545454545456</v>
      </c>
      <c r="S1254">
        <f>tblDailySchedule[[#This Row],[Capacity Approx]]*'[1]Load Factor Sheet June Acft  '!$D$5</f>
        <v>7.8913636363636366</v>
      </c>
      <c r="T1254" s="22">
        <f>tblDailySchedule[[#This Row],[STD]]</f>
        <v>0.40277777777777779</v>
      </c>
    </row>
    <row r="1255" spans="1:20" hidden="1" x14ac:dyDescent="0.35">
      <c r="A1255" s="11">
        <v>46155</v>
      </c>
      <c r="B1255" s="3">
        <v>3</v>
      </c>
      <c r="C1255" t="s">
        <v>113</v>
      </c>
      <c r="D1255" t="s">
        <v>18</v>
      </c>
      <c r="E1255" s="3">
        <v>8</v>
      </c>
      <c r="F1255" t="s">
        <v>19</v>
      </c>
      <c r="G1255" t="s">
        <v>46</v>
      </c>
      <c r="H1255" t="s">
        <v>31</v>
      </c>
      <c r="I1255" s="12">
        <v>0.4201388888888889</v>
      </c>
      <c r="J1255" t="s">
        <v>47</v>
      </c>
      <c r="K1255" t="s">
        <v>31</v>
      </c>
      <c r="L1255" s="12">
        <v>0.44444444444444442</v>
      </c>
      <c r="M1255" t="s">
        <v>29</v>
      </c>
      <c r="N1255" s="3">
        <v>186</v>
      </c>
      <c r="O1255" t="s">
        <v>24</v>
      </c>
      <c r="P1255" t="s">
        <v>25</v>
      </c>
      <c r="R1255">
        <f>tblDailySchedule[[#This Row],[Capacity Approx]]*'[1]Load Factor Sheet June Acft  '!$B$5</f>
        <v>150.61772727272728</v>
      </c>
      <c r="S1255">
        <f>tblDailySchedule[[#This Row],[Capacity Approx]]*'[1]Load Factor Sheet June Acft  '!$D$5</f>
        <v>163.08818181818182</v>
      </c>
      <c r="T1255" s="22">
        <f>tblDailySchedule[[#This Row],[STD]]</f>
        <v>0.44444444444444442</v>
      </c>
    </row>
    <row r="1256" spans="1:20" hidden="1" x14ac:dyDescent="0.35">
      <c r="A1256" s="11">
        <v>46155</v>
      </c>
      <c r="B1256" s="3">
        <v>3</v>
      </c>
      <c r="C1256" t="s">
        <v>113</v>
      </c>
      <c r="D1256" t="s">
        <v>18</v>
      </c>
      <c r="E1256" s="3">
        <v>9</v>
      </c>
      <c r="F1256" t="s">
        <v>19</v>
      </c>
      <c r="G1256" t="s">
        <v>48</v>
      </c>
      <c r="H1256" t="s">
        <v>49</v>
      </c>
      <c r="I1256" s="12">
        <v>0.4375</v>
      </c>
      <c r="J1256" t="s">
        <v>50</v>
      </c>
      <c r="K1256" t="s">
        <v>49</v>
      </c>
      <c r="L1256" s="12">
        <v>0.45833333333333331</v>
      </c>
      <c r="M1256" t="s">
        <v>51</v>
      </c>
      <c r="N1256" s="3">
        <v>78</v>
      </c>
      <c r="O1256" t="s">
        <v>24</v>
      </c>
      <c r="P1256" t="s">
        <v>25</v>
      </c>
      <c r="R1256">
        <f>tblDailySchedule[[#This Row],[Capacity Approx]]*'[1]Load Factor Sheet June Acft  '!$B$5</f>
        <v>63.162272727272729</v>
      </c>
      <c r="S1256">
        <f>tblDailySchedule[[#This Row],[Capacity Approx]]*'[1]Load Factor Sheet June Acft  '!$D$5</f>
        <v>68.391818181818181</v>
      </c>
      <c r="T1256" s="22">
        <f>tblDailySchedule[[#This Row],[STD]]</f>
        <v>0.45833333333333331</v>
      </c>
    </row>
    <row r="1257" spans="1:20" hidden="1" x14ac:dyDescent="0.35">
      <c r="A1257" s="11">
        <v>46155</v>
      </c>
      <c r="B1257" s="3">
        <v>3</v>
      </c>
      <c r="C1257" t="s">
        <v>113</v>
      </c>
      <c r="D1257" t="s">
        <v>18</v>
      </c>
      <c r="E1257" s="3">
        <v>10</v>
      </c>
      <c r="F1257" t="s">
        <v>19</v>
      </c>
      <c r="G1257" t="s">
        <v>52</v>
      </c>
      <c r="H1257" t="s">
        <v>27</v>
      </c>
      <c r="I1257" s="12">
        <v>0.4826388888888889</v>
      </c>
      <c r="J1257" t="s">
        <v>53</v>
      </c>
      <c r="K1257" t="s">
        <v>27</v>
      </c>
      <c r="L1257" s="12">
        <v>0.51041666666666663</v>
      </c>
      <c r="M1257" t="s">
        <v>23</v>
      </c>
      <c r="N1257" s="3">
        <v>186</v>
      </c>
      <c r="O1257" t="s">
        <v>24</v>
      </c>
      <c r="P1257" t="s">
        <v>25</v>
      </c>
      <c r="R1257">
        <f>tblDailySchedule[[#This Row],[Capacity Approx]]*'[1]Load Factor Sheet June Acft  '!$B$5</f>
        <v>150.61772727272728</v>
      </c>
      <c r="S1257">
        <f>tblDailySchedule[[#This Row],[Capacity Approx]]*'[1]Load Factor Sheet June Acft  '!$D$5</f>
        <v>163.08818181818182</v>
      </c>
      <c r="T1257" s="22">
        <f>tblDailySchedule[[#This Row],[STD]]</f>
        <v>0.51041666666666663</v>
      </c>
    </row>
    <row r="1258" spans="1:20" hidden="1" x14ac:dyDescent="0.35">
      <c r="A1258" s="11">
        <v>46155</v>
      </c>
      <c r="B1258" s="3">
        <v>3</v>
      </c>
      <c r="C1258" t="s">
        <v>113</v>
      </c>
      <c r="D1258" t="s">
        <v>18</v>
      </c>
      <c r="E1258" s="3">
        <v>11</v>
      </c>
      <c r="F1258" t="s">
        <v>19</v>
      </c>
      <c r="G1258" t="s">
        <v>54</v>
      </c>
      <c r="H1258" t="s">
        <v>31</v>
      </c>
      <c r="I1258" s="12">
        <v>0.51388888888888884</v>
      </c>
      <c r="J1258" t="s">
        <v>55</v>
      </c>
      <c r="K1258" t="s">
        <v>31</v>
      </c>
      <c r="L1258" s="12">
        <v>0.54166666666666663</v>
      </c>
      <c r="M1258" t="s">
        <v>23</v>
      </c>
      <c r="N1258" s="3">
        <v>186</v>
      </c>
      <c r="O1258" t="s">
        <v>24</v>
      </c>
      <c r="P1258" t="s">
        <v>56</v>
      </c>
      <c r="R1258">
        <f>tblDailySchedule[[#This Row],[Capacity Approx]]*'[1]Load Factor Sheet June Acft  '!$B$5</f>
        <v>150.61772727272728</v>
      </c>
      <c r="S1258">
        <f>tblDailySchedule[[#This Row],[Capacity Approx]]*'[1]Load Factor Sheet June Acft  '!$D$5</f>
        <v>163.08818181818182</v>
      </c>
      <c r="T1258" s="22">
        <f>tblDailySchedule[[#This Row],[STD]]</f>
        <v>0.54166666666666663</v>
      </c>
    </row>
    <row r="1259" spans="1:20" hidden="1" x14ac:dyDescent="0.35">
      <c r="A1259" s="11">
        <v>46155</v>
      </c>
      <c r="B1259" s="3">
        <v>3</v>
      </c>
      <c r="C1259" t="s">
        <v>113</v>
      </c>
      <c r="D1259" t="s">
        <v>18</v>
      </c>
      <c r="E1259" s="3">
        <v>13</v>
      </c>
      <c r="F1259" t="s">
        <v>19</v>
      </c>
      <c r="G1259" t="s">
        <v>57</v>
      </c>
      <c r="H1259" t="s">
        <v>58</v>
      </c>
      <c r="I1259" s="12">
        <v>0.55902777777777779</v>
      </c>
      <c r="J1259" t="s">
        <v>59</v>
      </c>
      <c r="K1259" t="s">
        <v>58</v>
      </c>
      <c r="L1259" s="12">
        <v>0.57638888888888884</v>
      </c>
      <c r="M1259" t="s">
        <v>51</v>
      </c>
      <c r="N1259" s="3">
        <v>78</v>
      </c>
      <c r="O1259" t="s">
        <v>24</v>
      </c>
      <c r="P1259" t="s">
        <v>56</v>
      </c>
      <c r="R1259">
        <f>tblDailySchedule[[#This Row],[Capacity Approx]]*'[1]Load Factor Sheet June Acft  '!$B$5</f>
        <v>63.162272727272729</v>
      </c>
      <c r="S1259">
        <f>tblDailySchedule[[#This Row],[Capacity Approx]]*'[1]Load Factor Sheet June Acft  '!$D$5</f>
        <v>68.391818181818181</v>
      </c>
      <c r="T1259" s="22">
        <f>tblDailySchedule[[#This Row],[STD]]</f>
        <v>0.57638888888888884</v>
      </c>
    </row>
    <row r="1260" spans="1:20" hidden="1" x14ac:dyDescent="0.35">
      <c r="A1260" s="11">
        <v>46155</v>
      </c>
      <c r="B1260" s="3">
        <v>3</v>
      </c>
      <c r="C1260" t="s">
        <v>113</v>
      </c>
      <c r="D1260" t="s">
        <v>18</v>
      </c>
      <c r="E1260" s="3">
        <v>14</v>
      </c>
      <c r="F1260" t="s">
        <v>19</v>
      </c>
      <c r="G1260" t="s">
        <v>60</v>
      </c>
      <c r="H1260" t="s">
        <v>61</v>
      </c>
      <c r="I1260" s="12">
        <v>0.59027777777777779</v>
      </c>
      <c r="J1260" t="s">
        <v>62</v>
      </c>
      <c r="K1260" t="s">
        <v>61</v>
      </c>
      <c r="L1260" s="12">
        <v>0.62152777777777779</v>
      </c>
      <c r="M1260" t="s">
        <v>63</v>
      </c>
      <c r="N1260" s="3">
        <v>232</v>
      </c>
      <c r="O1260" t="s">
        <v>24</v>
      </c>
      <c r="P1260" t="s">
        <v>56</v>
      </c>
      <c r="R1260">
        <f>tblDailySchedule[[#This Row],[Capacity Approx]]*'[1]Load Factor Sheet June Acft  '!$B$5</f>
        <v>187.86727272727273</v>
      </c>
      <c r="S1260">
        <f>tblDailySchedule[[#This Row],[Capacity Approx]]*'[1]Load Factor Sheet June Acft  '!$D$5</f>
        <v>203.4218181818182</v>
      </c>
      <c r="T1260" s="22">
        <f>tblDailySchedule[[#This Row],[STD]]</f>
        <v>0.62152777777777779</v>
      </c>
    </row>
    <row r="1261" spans="1:20" hidden="1" x14ac:dyDescent="0.35">
      <c r="A1261" s="11">
        <v>46155</v>
      </c>
      <c r="B1261" s="3">
        <v>3</v>
      </c>
      <c r="C1261" t="s">
        <v>113</v>
      </c>
      <c r="D1261" t="s">
        <v>18</v>
      </c>
      <c r="E1261" s="3">
        <v>15</v>
      </c>
      <c r="F1261" t="s">
        <v>19</v>
      </c>
      <c r="G1261" t="s">
        <v>64</v>
      </c>
      <c r="H1261" t="s">
        <v>31</v>
      </c>
      <c r="I1261" s="12">
        <v>0.60069444444444442</v>
      </c>
      <c r="J1261" t="s">
        <v>65</v>
      </c>
      <c r="K1261" t="s">
        <v>66</v>
      </c>
      <c r="L1261" s="12">
        <v>0.62847222222222221</v>
      </c>
      <c r="M1261" t="s">
        <v>63</v>
      </c>
      <c r="N1261" s="3">
        <v>232</v>
      </c>
      <c r="O1261" t="s">
        <v>24</v>
      </c>
      <c r="P1261" t="s">
        <v>56</v>
      </c>
      <c r="R1261">
        <f>tblDailySchedule[[#This Row],[Capacity Approx]]*'[1]Load Factor Sheet June Acft  '!$B$5</f>
        <v>187.86727272727273</v>
      </c>
      <c r="S1261">
        <f>tblDailySchedule[[#This Row],[Capacity Approx]]*'[1]Load Factor Sheet June Acft  '!$D$5</f>
        <v>203.4218181818182</v>
      </c>
      <c r="T1261" s="22">
        <f>tblDailySchedule[[#This Row],[STD]]</f>
        <v>0.62847222222222221</v>
      </c>
    </row>
    <row r="1262" spans="1:20" hidden="1" x14ac:dyDescent="0.35">
      <c r="A1262" s="11">
        <v>46155</v>
      </c>
      <c r="B1262" s="3">
        <v>3</v>
      </c>
      <c r="C1262" t="s">
        <v>113</v>
      </c>
      <c r="D1262" t="s">
        <v>18</v>
      </c>
      <c r="E1262" s="3">
        <v>16</v>
      </c>
      <c r="F1262" t="s">
        <v>19</v>
      </c>
      <c r="G1262" t="s">
        <v>67</v>
      </c>
      <c r="H1262" t="s">
        <v>31</v>
      </c>
      <c r="I1262" s="12">
        <v>0.65625</v>
      </c>
      <c r="J1262" t="s">
        <v>68</v>
      </c>
      <c r="K1262" t="s">
        <v>31</v>
      </c>
      <c r="L1262" s="12">
        <v>0.68402777777777779</v>
      </c>
      <c r="M1262" t="s">
        <v>63</v>
      </c>
      <c r="N1262" s="3">
        <v>232</v>
      </c>
      <c r="O1262" t="s">
        <v>24</v>
      </c>
      <c r="P1262" t="s">
        <v>56</v>
      </c>
      <c r="R1262">
        <f>tblDailySchedule[[#This Row],[Capacity Approx]]*'[1]Load Factor Sheet June Acft  '!$B$5</f>
        <v>187.86727272727273</v>
      </c>
      <c r="S1262">
        <f>tblDailySchedule[[#This Row],[Capacity Approx]]*'[1]Load Factor Sheet June Acft  '!$D$5</f>
        <v>203.4218181818182</v>
      </c>
      <c r="T1262" s="22">
        <f>tblDailySchedule[[#This Row],[STD]]</f>
        <v>0.68402777777777779</v>
      </c>
    </row>
    <row r="1263" spans="1:20" hidden="1" x14ac:dyDescent="0.35">
      <c r="A1263" s="11">
        <v>46155</v>
      </c>
      <c r="B1263" s="3">
        <v>3</v>
      </c>
      <c r="C1263" t="s">
        <v>113</v>
      </c>
      <c r="D1263" t="s">
        <v>18</v>
      </c>
      <c r="E1263" s="3">
        <v>17</v>
      </c>
      <c r="F1263" t="s">
        <v>19</v>
      </c>
      <c r="G1263" t="s">
        <v>69</v>
      </c>
      <c r="H1263" t="s">
        <v>31</v>
      </c>
      <c r="I1263" s="12">
        <v>0.66319444444444442</v>
      </c>
      <c r="J1263" t="s">
        <v>70</v>
      </c>
      <c r="K1263" t="s">
        <v>31</v>
      </c>
      <c r="L1263" s="12">
        <v>0.69097222222222221</v>
      </c>
      <c r="M1263" t="s">
        <v>33</v>
      </c>
      <c r="N1263" s="3">
        <v>189</v>
      </c>
      <c r="O1263" t="s">
        <v>24</v>
      </c>
      <c r="P1263" t="s">
        <v>56</v>
      </c>
      <c r="R1263">
        <f>tblDailySchedule[[#This Row],[Capacity Approx]]*'[1]Load Factor Sheet June Acft  '!$B$5</f>
        <v>153.04704545454547</v>
      </c>
      <c r="S1263">
        <f>tblDailySchedule[[#This Row],[Capacity Approx]]*'[1]Load Factor Sheet June Acft  '!$D$5</f>
        <v>165.71863636363636</v>
      </c>
      <c r="T1263" s="22">
        <f>tblDailySchedule[[#This Row],[STD]]</f>
        <v>0.69097222222222221</v>
      </c>
    </row>
    <row r="1264" spans="1:20" hidden="1" x14ac:dyDescent="0.35">
      <c r="A1264" s="11">
        <v>46155</v>
      </c>
      <c r="B1264" s="3">
        <v>3</v>
      </c>
      <c r="C1264" t="s">
        <v>113</v>
      </c>
      <c r="D1264" t="s">
        <v>18</v>
      </c>
      <c r="E1264" s="3">
        <v>18</v>
      </c>
      <c r="F1264" t="s">
        <v>19</v>
      </c>
      <c r="G1264" t="s">
        <v>71</v>
      </c>
      <c r="H1264" t="s">
        <v>21</v>
      </c>
      <c r="I1264" s="12">
        <v>0.67013888888888884</v>
      </c>
      <c r="J1264" t="s">
        <v>72</v>
      </c>
      <c r="K1264" t="s">
        <v>21</v>
      </c>
      <c r="L1264" s="12">
        <v>0.69791666666666663</v>
      </c>
      <c r="M1264" t="s">
        <v>63</v>
      </c>
      <c r="N1264" s="3">
        <v>232</v>
      </c>
      <c r="O1264" t="s">
        <v>24</v>
      </c>
      <c r="P1264" t="s">
        <v>56</v>
      </c>
      <c r="R1264">
        <f>tblDailySchedule[[#This Row],[Capacity Approx]]*'[1]Load Factor Sheet June Acft  '!$B$5</f>
        <v>187.86727272727273</v>
      </c>
      <c r="S1264">
        <f>tblDailySchedule[[#This Row],[Capacity Approx]]*'[1]Load Factor Sheet June Acft  '!$D$5</f>
        <v>203.4218181818182</v>
      </c>
      <c r="T1264" s="22">
        <f>tblDailySchedule[[#This Row],[STD]]</f>
        <v>0.69791666666666663</v>
      </c>
    </row>
    <row r="1265" spans="1:20" hidden="1" x14ac:dyDescent="0.35">
      <c r="A1265" s="11">
        <v>46155</v>
      </c>
      <c r="B1265" s="3">
        <v>3</v>
      </c>
      <c r="C1265" t="s">
        <v>113</v>
      </c>
      <c r="D1265" t="s">
        <v>18</v>
      </c>
      <c r="E1265" s="3">
        <v>19</v>
      </c>
      <c r="F1265" t="s">
        <v>19</v>
      </c>
      <c r="G1265" t="s">
        <v>73</v>
      </c>
      <c r="H1265" t="s">
        <v>27</v>
      </c>
      <c r="I1265" s="12">
        <v>0.74652777777777779</v>
      </c>
      <c r="J1265" t="s">
        <v>74</v>
      </c>
      <c r="K1265" t="s">
        <v>27</v>
      </c>
      <c r="L1265" s="12">
        <v>0.77430555555555558</v>
      </c>
      <c r="M1265" t="s">
        <v>63</v>
      </c>
      <c r="N1265" s="3">
        <v>232</v>
      </c>
      <c r="O1265" t="s">
        <v>24</v>
      </c>
      <c r="P1265" t="s">
        <v>56</v>
      </c>
      <c r="R1265">
        <f>tblDailySchedule[[#This Row],[Capacity Approx]]*'[1]Load Factor Sheet June Acft  '!$B$5</f>
        <v>187.86727272727273</v>
      </c>
      <c r="S1265">
        <f>tblDailySchedule[[#This Row],[Capacity Approx]]*'[1]Load Factor Sheet June Acft  '!$D$5</f>
        <v>203.4218181818182</v>
      </c>
      <c r="T1265" s="22">
        <f>tblDailySchedule[[#This Row],[STD]]</f>
        <v>0.77430555555555558</v>
      </c>
    </row>
    <row r="1266" spans="1:20" hidden="1" x14ac:dyDescent="0.35">
      <c r="A1266" s="11">
        <v>46155</v>
      </c>
      <c r="B1266" s="3">
        <v>3</v>
      </c>
      <c r="C1266" t="s">
        <v>113</v>
      </c>
      <c r="D1266" t="s">
        <v>18</v>
      </c>
      <c r="E1266" s="3">
        <v>20</v>
      </c>
      <c r="F1266" t="s">
        <v>34</v>
      </c>
      <c r="G1266" t="s">
        <v>75</v>
      </c>
      <c r="H1266" t="s">
        <v>76</v>
      </c>
      <c r="I1266" s="12">
        <v>0.76388888888888884</v>
      </c>
      <c r="J1266" t="s">
        <v>77</v>
      </c>
      <c r="K1266" t="s">
        <v>78</v>
      </c>
      <c r="L1266" s="12">
        <v>0.78472222222222221</v>
      </c>
      <c r="M1266" t="s">
        <v>51</v>
      </c>
      <c r="N1266" s="3">
        <v>78</v>
      </c>
      <c r="O1266" t="s">
        <v>24</v>
      </c>
      <c r="P1266" t="s">
        <v>79</v>
      </c>
      <c r="Q1266" s="16" t="s">
        <v>80</v>
      </c>
      <c r="R1266">
        <f>tblDailySchedule[[#This Row],[Capacity Approx]]*'[1]Load Factor Sheet June Acft  '!$B$5</f>
        <v>63.162272727272729</v>
      </c>
      <c r="S1266">
        <f>tblDailySchedule[[#This Row],[Capacity Approx]]*'[1]Load Factor Sheet June Acft  '!$D$5</f>
        <v>68.391818181818181</v>
      </c>
      <c r="T1266" s="22">
        <f>tblDailySchedule[[#This Row],[STD]]</f>
        <v>0.78472222222222221</v>
      </c>
    </row>
    <row r="1267" spans="1:20" hidden="1" x14ac:dyDescent="0.35">
      <c r="A1267" s="11">
        <v>46155</v>
      </c>
      <c r="B1267" s="3">
        <v>3</v>
      </c>
      <c r="C1267" t="s">
        <v>113</v>
      </c>
      <c r="D1267" t="s">
        <v>18</v>
      </c>
      <c r="E1267" s="3">
        <v>21</v>
      </c>
      <c r="F1267" t="s">
        <v>19</v>
      </c>
      <c r="G1267" t="s">
        <v>81</v>
      </c>
      <c r="H1267" t="s">
        <v>61</v>
      </c>
      <c r="I1267" s="12">
        <v>0.77083333333333337</v>
      </c>
      <c r="J1267" t="s">
        <v>82</v>
      </c>
      <c r="K1267" t="s">
        <v>49</v>
      </c>
      <c r="L1267" s="12">
        <v>0.79166666666666663</v>
      </c>
      <c r="M1267" t="s">
        <v>33</v>
      </c>
      <c r="N1267" s="3">
        <v>189</v>
      </c>
      <c r="O1267" t="s">
        <v>24</v>
      </c>
      <c r="P1267" t="s">
        <v>79</v>
      </c>
      <c r="R1267">
        <f>tblDailySchedule[[#This Row],[Capacity Approx]]*'[1]Load Factor Sheet June Acft  '!$B$5</f>
        <v>153.04704545454547</v>
      </c>
      <c r="S1267">
        <f>tblDailySchedule[[#This Row],[Capacity Approx]]*'[1]Load Factor Sheet June Acft  '!$D$5</f>
        <v>165.71863636363636</v>
      </c>
      <c r="T1267" s="22">
        <f>tblDailySchedule[[#This Row],[STD]]</f>
        <v>0.79166666666666663</v>
      </c>
    </row>
    <row r="1268" spans="1:20" hidden="1" x14ac:dyDescent="0.35">
      <c r="A1268" s="11">
        <v>46155</v>
      </c>
      <c r="B1268" s="3">
        <v>3</v>
      </c>
      <c r="C1268" t="s">
        <v>113</v>
      </c>
      <c r="D1268" t="s">
        <v>18</v>
      </c>
      <c r="E1268" s="3">
        <v>22</v>
      </c>
      <c r="F1268" t="s">
        <v>19</v>
      </c>
      <c r="G1268" t="s">
        <v>83</v>
      </c>
      <c r="H1268" t="s">
        <v>31</v>
      </c>
      <c r="I1268" s="12">
        <v>0.77777777777777779</v>
      </c>
      <c r="J1268" t="s">
        <v>84</v>
      </c>
      <c r="K1268" t="s">
        <v>31</v>
      </c>
      <c r="L1268" s="12">
        <v>0.80555555555555558</v>
      </c>
      <c r="M1268" t="s">
        <v>63</v>
      </c>
      <c r="N1268" s="3">
        <v>232</v>
      </c>
      <c r="O1268" t="s">
        <v>24</v>
      </c>
      <c r="P1268" t="s">
        <v>79</v>
      </c>
      <c r="R1268">
        <f>tblDailySchedule[[#This Row],[Capacity Approx]]*'[1]Load Factor Sheet June Acft  '!$B$5</f>
        <v>187.86727272727273</v>
      </c>
      <c r="S1268">
        <f>tblDailySchedule[[#This Row],[Capacity Approx]]*'[1]Load Factor Sheet June Acft  '!$D$5</f>
        <v>203.4218181818182</v>
      </c>
      <c r="T1268" s="22">
        <f>tblDailySchedule[[#This Row],[STD]]</f>
        <v>0.80555555555555558</v>
      </c>
    </row>
    <row r="1269" spans="1:20" hidden="1" x14ac:dyDescent="0.35">
      <c r="A1269" s="11">
        <v>46155</v>
      </c>
      <c r="B1269" s="3">
        <v>3</v>
      </c>
      <c r="C1269" t="s">
        <v>113</v>
      </c>
      <c r="D1269" t="s">
        <v>18</v>
      </c>
      <c r="E1269" s="3">
        <v>23</v>
      </c>
      <c r="F1269" t="s">
        <v>19</v>
      </c>
      <c r="G1269" t="s">
        <v>85</v>
      </c>
      <c r="H1269" t="s">
        <v>86</v>
      </c>
      <c r="I1269" s="12">
        <v>0.79861111111111116</v>
      </c>
      <c r="J1269" t="s">
        <v>87</v>
      </c>
      <c r="K1269" t="s">
        <v>86</v>
      </c>
      <c r="L1269" s="12">
        <v>0.82638888888888884</v>
      </c>
      <c r="M1269" t="s">
        <v>63</v>
      </c>
      <c r="N1269" s="3">
        <v>232</v>
      </c>
      <c r="O1269" t="s">
        <v>24</v>
      </c>
      <c r="P1269" t="s">
        <v>79</v>
      </c>
      <c r="R1269">
        <f>tblDailySchedule[[#This Row],[Capacity Approx]]*'[1]Load Factor Sheet June Acft  '!$B$5</f>
        <v>187.86727272727273</v>
      </c>
      <c r="S1269">
        <f>tblDailySchedule[[#This Row],[Capacity Approx]]*'[1]Load Factor Sheet June Acft  '!$D$5</f>
        <v>203.4218181818182</v>
      </c>
      <c r="T1269" s="22">
        <f>tblDailySchedule[[#This Row],[STD]]</f>
        <v>0.82638888888888884</v>
      </c>
    </row>
    <row r="1270" spans="1:20" hidden="1" x14ac:dyDescent="0.35">
      <c r="A1270" s="11">
        <v>46155</v>
      </c>
      <c r="B1270" s="3">
        <v>3</v>
      </c>
      <c r="C1270" t="s">
        <v>113</v>
      </c>
      <c r="D1270" t="s">
        <v>18</v>
      </c>
      <c r="E1270" s="3">
        <v>24</v>
      </c>
      <c r="F1270" t="s">
        <v>19</v>
      </c>
      <c r="G1270" t="s">
        <v>88</v>
      </c>
      <c r="H1270" t="s">
        <v>89</v>
      </c>
      <c r="I1270" s="12">
        <v>0.83333333333333337</v>
      </c>
      <c r="J1270" t="s">
        <v>90</v>
      </c>
      <c r="K1270" t="s">
        <v>31</v>
      </c>
      <c r="L1270" s="12">
        <v>0.86111111111111116</v>
      </c>
      <c r="M1270" t="s">
        <v>63</v>
      </c>
      <c r="N1270" s="3">
        <v>232</v>
      </c>
      <c r="O1270" t="s">
        <v>24</v>
      </c>
      <c r="P1270" t="s">
        <v>79</v>
      </c>
      <c r="R1270">
        <f>tblDailySchedule[[#This Row],[Capacity Approx]]*'[1]Load Factor Sheet June Acft  '!$B$5</f>
        <v>187.86727272727273</v>
      </c>
      <c r="S1270">
        <f>tblDailySchedule[[#This Row],[Capacity Approx]]*'[1]Load Factor Sheet June Acft  '!$D$5</f>
        <v>203.4218181818182</v>
      </c>
      <c r="T1270" s="22">
        <f>tblDailySchedule[[#This Row],[STD]]</f>
        <v>0.86111111111111116</v>
      </c>
    </row>
    <row r="1271" spans="1:20" hidden="1" x14ac:dyDescent="0.35">
      <c r="A1271" s="11">
        <v>46155</v>
      </c>
      <c r="B1271" s="3">
        <v>3</v>
      </c>
      <c r="C1271" t="s">
        <v>113</v>
      </c>
      <c r="D1271" t="s">
        <v>18</v>
      </c>
      <c r="E1271" s="3">
        <v>25</v>
      </c>
      <c r="F1271" t="s">
        <v>19</v>
      </c>
      <c r="G1271" t="s">
        <v>91</v>
      </c>
      <c r="H1271" t="s">
        <v>61</v>
      </c>
      <c r="I1271" s="12">
        <v>0.85416666666666663</v>
      </c>
      <c r="J1271" t="s">
        <v>92</v>
      </c>
      <c r="K1271" t="s">
        <v>61</v>
      </c>
      <c r="L1271" s="12">
        <v>0.88194444444444442</v>
      </c>
      <c r="M1271" t="s">
        <v>63</v>
      </c>
      <c r="N1271" s="3">
        <v>232</v>
      </c>
      <c r="O1271" t="s">
        <v>24</v>
      </c>
      <c r="P1271" t="s">
        <v>79</v>
      </c>
      <c r="R1271">
        <f>tblDailySchedule[[#This Row],[Capacity Approx]]*'[1]Load Factor Sheet June Acft  '!$B$5</f>
        <v>187.86727272727273</v>
      </c>
      <c r="S1271">
        <f>tblDailySchedule[[#This Row],[Capacity Approx]]*'[1]Load Factor Sheet June Acft  '!$D$5</f>
        <v>203.4218181818182</v>
      </c>
      <c r="T1271" s="22">
        <f>tblDailySchedule[[#This Row],[STD]]</f>
        <v>0.88194444444444442</v>
      </c>
    </row>
    <row r="1272" spans="1:20" hidden="1" x14ac:dyDescent="0.35">
      <c r="A1272" s="11">
        <v>46155</v>
      </c>
      <c r="B1272" s="3">
        <v>3</v>
      </c>
      <c r="C1272" t="s">
        <v>113</v>
      </c>
      <c r="D1272" t="s">
        <v>18</v>
      </c>
      <c r="E1272" s="3">
        <v>26</v>
      </c>
      <c r="F1272" t="s">
        <v>19</v>
      </c>
      <c r="G1272" t="s">
        <v>93</v>
      </c>
      <c r="H1272" t="s">
        <v>31</v>
      </c>
      <c r="I1272" s="12">
        <v>0.86111111111111116</v>
      </c>
      <c r="J1272" t="s">
        <v>94</v>
      </c>
      <c r="K1272" t="s">
        <v>31</v>
      </c>
      <c r="L1272" s="12">
        <v>0.88888888888888884</v>
      </c>
      <c r="M1272" t="s">
        <v>23</v>
      </c>
      <c r="N1272" s="3">
        <v>186</v>
      </c>
      <c r="O1272" t="s">
        <v>24</v>
      </c>
      <c r="P1272" t="s">
        <v>79</v>
      </c>
      <c r="R1272">
        <f>tblDailySchedule[[#This Row],[Capacity Approx]]*'[1]Load Factor Sheet June Acft  '!$B$5</f>
        <v>150.61772727272728</v>
      </c>
      <c r="S1272">
        <f>tblDailySchedule[[#This Row],[Capacity Approx]]*'[1]Load Factor Sheet June Acft  '!$D$5</f>
        <v>163.08818181818182</v>
      </c>
      <c r="T1272" s="22">
        <f>tblDailySchedule[[#This Row],[STD]]</f>
        <v>0.88888888888888884</v>
      </c>
    </row>
    <row r="1273" spans="1:20" hidden="1" x14ac:dyDescent="0.35">
      <c r="A1273" s="11">
        <v>46155</v>
      </c>
      <c r="B1273" s="3">
        <v>3</v>
      </c>
      <c r="C1273" t="s">
        <v>113</v>
      </c>
      <c r="D1273" t="s">
        <v>18</v>
      </c>
      <c r="E1273" s="3">
        <v>27</v>
      </c>
      <c r="F1273" t="s">
        <v>19</v>
      </c>
      <c r="G1273" t="s">
        <v>95</v>
      </c>
      <c r="H1273" t="s">
        <v>21</v>
      </c>
      <c r="I1273" s="12">
        <v>0.86805555555555558</v>
      </c>
      <c r="J1273" t="s">
        <v>96</v>
      </c>
      <c r="K1273" t="s">
        <v>21</v>
      </c>
      <c r="L1273" s="12">
        <v>0.89583333333333337</v>
      </c>
      <c r="M1273" t="s">
        <v>29</v>
      </c>
      <c r="N1273" s="3">
        <v>186</v>
      </c>
      <c r="O1273" t="s">
        <v>24</v>
      </c>
      <c r="P1273" t="s">
        <v>79</v>
      </c>
      <c r="R1273">
        <f>tblDailySchedule[[#This Row],[Capacity Approx]]*'[1]Load Factor Sheet June Acft  '!$B$5</f>
        <v>150.61772727272728</v>
      </c>
      <c r="S1273">
        <f>tblDailySchedule[[#This Row],[Capacity Approx]]*'[1]Load Factor Sheet June Acft  '!$D$5</f>
        <v>163.08818181818182</v>
      </c>
      <c r="T1273" s="22">
        <f>tblDailySchedule[[#This Row],[STD]]</f>
        <v>0.89583333333333337</v>
      </c>
    </row>
    <row r="1274" spans="1:20" hidden="1" x14ac:dyDescent="0.35">
      <c r="A1274" s="11">
        <v>46155</v>
      </c>
      <c r="B1274" s="3">
        <v>3</v>
      </c>
      <c r="C1274" t="s">
        <v>113</v>
      </c>
      <c r="D1274" t="s">
        <v>18</v>
      </c>
      <c r="E1274" s="3">
        <v>28</v>
      </c>
      <c r="F1274" t="s">
        <v>19</v>
      </c>
      <c r="G1274" t="s">
        <v>97</v>
      </c>
      <c r="H1274" t="s">
        <v>49</v>
      </c>
      <c r="I1274" s="12">
        <v>0.90277777777777779</v>
      </c>
      <c r="J1274" t="s">
        <v>97</v>
      </c>
      <c r="K1274" t="s">
        <v>61</v>
      </c>
      <c r="L1274" s="12">
        <v>0.92361111111111116</v>
      </c>
      <c r="M1274" t="s">
        <v>33</v>
      </c>
      <c r="N1274" s="3">
        <v>189</v>
      </c>
      <c r="O1274" t="s">
        <v>24</v>
      </c>
      <c r="P1274" t="s">
        <v>79</v>
      </c>
      <c r="R1274">
        <f>tblDailySchedule[[#This Row],[Capacity Approx]]*'[1]Load Factor Sheet June Acft  '!$B$5</f>
        <v>153.04704545454547</v>
      </c>
      <c r="S1274">
        <f>tblDailySchedule[[#This Row],[Capacity Approx]]*'[1]Load Factor Sheet June Acft  '!$D$5</f>
        <v>165.71863636363636</v>
      </c>
      <c r="T1274" s="22">
        <f>tblDailySchedule[[#This Row],[STD]]</f>
        <v>0.92361111111111116</v>
      </c>
    </row>
    <row r="1275" spans="1:20" hidden="1" x14ac:dyDescent="0.35">
      <c r="A1275" s="11">
        <v>46155</v>
      </c>
      <c r="B1275" s="3">
        <v>3</v>
      </c>
      <c r="C1275" t="s">
        <v>113</v>
      </c>
      <c r="D1275" t="s">
        <v>18</v>
      </c>
      <c r="E1275" s="3">
        <v>29</v>
      </c>
      <c r="F1275" t="s">
        <v>19</v>
      </c>
      <c r="G1275" t="s">
        <v>98</v>
      </c>
      <c r="H1275" t="s">
        <v>21</v>
      </c>
      <c r="I1275" s="12">
        <v>0.92013888888888884</v>
      </c>
      <c r="J1275" t="s">
        <v>99</v>
      </c>
      <c r="K1275" t="s">
        <v>21</v>
      </c>
      <c r="L1275" s="12">
        <v>0.94791666666666663</v>
      </c>
      <c r="M1275" t="s">
        <v>63</v>
      </c>
      <c r="N1275" s="3">
        <v>232</v>
      </c>
      <c r="O1275" t="s">
        <v>24</v>
      </c>
      <c r="P1275" t="s">
        <v>79</v>
      </c>
      <c r="R1275">
        <f>tblDailySchedule[[#This Row],[Capacity Approx]]*'[1]Load Factor Sheet June Acft  '!$B$5</f>
        <v>187.86727272727273</v>
      </c>
      <c r="S1275">
        <f>tblDailySchedule[[#This Row],[Capacity Approx]]*'[1]Load Factor Sheet June Acft  '!$D$5</f>
        <v>203.4218181818182</v>
      </c>
      <c r="T1275" s="22">
        <f>tblDailySchedule[[#This Row],[STD]]</f>
        <v>0.94791666666666663</v>
      </c>
    </row>
    <row r="1276" spans="1:20" hidden="1" x14ac:dyDescent="0.35">
      <c r="A1276" s="13">
        <v>46155</v>
      </c>
      <c r="B1276" s="7">
        <v>3</v>
      </c>
      <c r="C1276" s="14" t="s">
        <v>113</v>
      </c>
      <c r="D1276" s="14" t="s">
        <v>18</v>
      </c>
      <c r="E1276" s="7">
        <v>30</v>
      </c>
      <c r="F1276" s="14" t="s">
        <v>104</v>
      </c>
      <c r="G1276" s="14" t="s">
        <v>105</v>
      </c>
      <c r="H1276" s="14" t="s">
        <v>106</v>
      </c>
      <c r="I1276" s="15">
        <v>0.92708333333333337</v>
      </c>
      <c r="J1276" s="14" t="s">
        <v>107</v>
      </c>
      <c r="K1276" s="14" t="s">
        <v>106</v>
      </c>
      <c r="L1276" s="15">
        <v>0.95833333333333337</v>
      </c>
      <c r="M1276" s="14" t="s">
        <v>38</v>
      </c>
      <c r="N1276" s="7">
        <v>186</v>
      </c>
      <c r="O1276" s="14" t="s">
        <v>39</v>
      </c>
      <c r="P1276" s="14" t="s">
        <v>79</v>
      </c>
      <c r="Q1276" s="14" t="s">
        <v>39</v>
      </c>
      <c r="R1276">
        <f>tblDailySchedule[[#This Row],[Capacity Approx]]*'[1]Load Factor Sheet June Acft  '!$B$5</f>
        <v>150.61772727272728</v>
      </c>
      <c r="S1276">
        <f>tblDailySchedule[[#This Row],[Capacity Approx]]*'[1]Load Factor Sheet June Acft  '!$D$5</f>
        <v>163.08818181818182</v>
      </c>
      <c r="T1276" s="22">
        <f>tblDailySchedule[[#This Row],[STD]]</f>
        <v>0.95833333333333337</v>
      </c>
    </row>
    <row r="1277" spans="1:20" hidden="1" x14ac:dyDescent="0.35">
      <c r="A1277" s="11">
        <v>46156</v>
      </c>
      <c r="B1277" s="3">
        <v>4</v>
      </c>
      <c r="C1277" t="s">
        <v>114</v>
      </c>
      <c r="D1277" t="s">
        <v>18</v>
      </c>
      <c r="E1277" s="3">
        <v>1</v>
      </c>
      <c r="F1277" t="s">
        <v>101</v>
      </c>
      <c r="G1277" t="s">
        <v>102</v>
      </c>
      <c r="H1277" t="s">
        <v>61</v>
      </c>
      <c r="I1277" s="12">
        <v>0.3125</v>
      </c>
      <c r="J1277" t="s">
        <v>103</v>
      </c>
      <c r="K1277" t="s">
        <v>61</v>
      </c>
      <c r="L1277" s="12">
        <v>0.33333333333333331</v>
      </c>
      <c r="M1277" t="s">
        <v>33</v>
      </c>
      <c r="N1277" s="3">
        <v>189</v>
      </c>
      <c r="O1277" t="s">
        <v>24</v>
      </c>
      <c r="P1277" t="s">
        <v>25</v>
      </c>
      <c r="R1277">
        <f>tblDailySchedule[[#This Row],[Capacity Approx]]*'[1]Load Factor Sheet June Acft  '!$B$5</f>
        <v>153.04704545454547</v>
      </c>
      <c r="S1277">
        <f>tblDailySchedule[[#This Row],[Capacity Approx]]*'[1]Load Factor Sheet June Acft  '!$D$5</f>
        <v>165.71863636363636</v>
      </c>
      <c r="T1277" s="22">
        <f>tblDailySchedule[[#This Row],[STD]]</f>
        <v>0.33333333333333331</v>
      </c>
    </row>
    <row r="1278" spans="1:20" hidden="1" x14ac:dyDescent="0.35">
      <c r="A1278" s="11">
        <v>46156</v>
      </c>
      <c r="B1278" s="3">
        <v>4</v>
      </c>
      <c r="C1278" t="s">
        <v>114</v>
      </c>
      <c r="D1278" t="s">
        <v>18</v>
      </c>
      <c r="E1278" s="3">
        <v>2</v>
      </c>
      <c r="F1278" t="s">
        <v>19</v>
      </c>
      <c r="G1278" t="s">
        <v>20</v>
      </c>
      <c r="H1278" t="s">
        <v>21</v>
      </c>
      <c r="I1278" s="12">
        <v>0.31944444444444442</v>
      </c>
      <c r="J1278" t="s">
        <v>22</v>
      </c>
      <c r="K1278" t="s">
        <v>21</v>
      </c>
      <c r="L1278" s="12">
        <v>0.34722222222222221</v>
      </c>
      <c r="M1278" t="s">
        <v>23</v>
      </c>
      <c r="N1278" s="3">
        <v>186</v>
      </c>
      <c r="O1278" t="s">
        <v>24</v>
      </c>
      <c r="P1278" t="s">
        <v>25</v>
      </c>
      <c r="R1278">
        <f>tblDailySchedule[[#This Row],[Capacity Approx]]*'[1]Load Factor Sheet June Acft  '!$B$5</f>
        <v>150.61772727272728</v>
      </c>
      <c r="S1278">
        <f>tblDailySchedule[[#This Row],[Capacity Approx]]*'[1]Load Factor Sheet June Acft  '!$D$5</f>
        <v>163.08818181818182</v>
      </c>
      <c r="T1278" s="22">
        <f>tblDailySchedule[[#This Row],[STD]]</f>
        <v>0.34722222222222221</v>
      </c>
    </row>
    <row r="1279" spans="1:20" hidden="1" x14ac:dyDescent="0.35">
      <c r="A1279" s="11">
        <v>46156</v>
      </c>
      <c r="B1279" s="3">
        <v>4</v>
      </c>
      <c r="C1279" t="s">
        <v>114</v>
      </c>
      <c r="D1279" t="s">
        <v>18</v>
      </c>
      <c r="E1279" s="3">
        <v>3</v>
      </c>
      <c r="F1279" t="s">
        <v>19</v>
      </c>
      <c r="G1279" t="s">
        <v>26</v>
      </c>
      <c r="H1279" t="s">
        <v>27</v>
      </c>
      <c r="I1279" s="12">
        <v>0.3263888888888889</v>
      </c>
      <c r="J1279" t="s">
        <v>28</v>
      </c>
      <c r="K1279" t="s">
        <v>27</v>
      </c>
      <c r="L1279" s="12">
        <v>0.35416666666666669</v>
      </c>
      <c r="M1279" t="s">
        <v>29</v>
      </c>
      <c r="N1279" s="3">
        <v>186</v>
      </c>
      <c r="O1279" t="s">
        <v>24</v>
      </c>
      <c r="P1279" t="s">
        <v>25</v>
      </c>
      <c r="R1279">
        <f>tblDailySchedule[[#This Row],[Capacity Approx]]*'[1]Load Factor Sheet June Acft  '!$B$5</f>
        <v>150.61772727272728</v>
      </c>
      <c r="S1279">
        <f>tblDailySchedule[[#This Row],[Capacity Approx]]*'[1]Load Factor Sheet June Acft  '!$D$5</f>
        <v>163.08818181818182</v>
      </c>
      <c r="T1279" s="22">
        <f>tblDailySchedule[[#This Row],[STD]]</f>
        <v>0.35416666666666669</v>
      </c>
    </row>
    <row r="1280" spans="1:20" hidden="1" x14ac:dyDescent="0.35">
      <c r="A1280" s="11">
        <v>46156</v>
      </c>
      <c r="B1280" s="3">
        <v>4</v>
      </c>
      <c r="C1280" t="s">
        <v>114</v>
      </c>
      <c r="D1280" t="s">
        <v>18</v>
      </c>
      <c r="E1280" s="3">
        <v>4</v>
      </c>
      <c r="F1280" t="s">
        <v>19</v>
      </c>
      <c r="G1280" t="s">
        <v>30</v>
      </c>
      <c r="H1280" t="s">
        <v>31</v>
      </c>
      <c r="I1280" s="12">
        <v>0.34722222222222221</v>
      </c>
      <c r="J1280" t="s">
        <v>32</v>
      </c>
      <c r="K1280" t="s">
        <v>31</v>
      </c>
      <c r="L1280" s="12">
        <v>0.36805555555555558</v>
      </c>
      <c r="M1280" t="s">
        <v>33</v>
      </c>
      <c r="N1280" s="3">
        <v>189</v>
      </c>
      <c r="O1280" t="s">
        <v>24</v>
      </c>
      <c r="P1280" t="s">
        <v>25</v>
      </c>
      <c r="R1280">
        <f>tblDailySchedule[[#This Row],[Capacity Approx]]*'[1]Load Factor Sheet June Acft  '!$B$5</f>
        <v>153.04704545454547</v>
      </c>
      <c r="S1280">
        <f>tblDailySchedule[[#This Row],[Capacity Approx]]*'[1]Load Factor Sheet June Acft  '!$D$5</f>
        <v>165.71863636363636</v>
      </c>
      <c r="T1280" s="22">
        <f>tblDailySchedule[[#This Row],[STD]]</f>
        <v>0.36805555555555558</v>
      </c>
    </row>
    <row r="1281" spans="1:20" hidden="1" x14ac:dyDescent="0.35">
      <c r="A1281" s="11">
        <v>46156</v>
      </c>
      <c r="B1281" s="3">
        <v>4</v>
      </c>
      <c r="C1281" t="s">
        <v>114</v>
      </c>
      <c r="D1281" t="s">
        <v>18</v>
      </c>
      <c r="E1281" s="3">
        <v>5</v>
      </c>
      <c r="F1281" t="s">
        <v>19</v>
      </c>
      <c r="G1281" t="s">
        <v>40</v>
      </c>
      <c r="H1281" t="s">
        <v>31</v>
      </c>
      <c r="I1281" s="12">
        <v>0.35069444444444442</v>
      </c>
      <c r="J1281" t="s">
        <v>41</v>
      </c>
      <c r="K1281" t="s">
        <v>31</v>
      </c>
      <c r="L1281" s="12">
        <v>0.37152777777777779</v>
      </c>
      <c r="M1281" t="s">
        <v>23</v>
      </c>
      <c r="N1281" s="3">
        <v>186</v>
      </c>
      <c r="O1281" t="s">
        <v>24</v>
      </c>
      <c r="P1281" t="s">
        <v>25</v>
      </c>
      <c r="R1281">
        <f>tblDailySchedule[[#This Row],[Capacity Approx]]*'[1]Load Factor Sheet June Acft  '!$B$5</f>
        <v>150.61772727272728</v>
      </c>
      <c r="S1281">
        <f>tblDailySchedule[[#This Row],[Capacity Approx]]*'[1]Load Factor Sheet June Acft  '!$D$5</f>
        <v>163.08818181818182</v>
      </c>
      <c r="T1281" s="22">
        <f>tblDailySchedule[[#This Row],[STD]]</f>
        <v>0.37152777777777779</v>
      </c>
    </row>
    <row r="1282" spans="1:20" hidden="1" x14ac:dyDescent="0.35">
      <c r="A1282" s="11">
        <v>46156</v>
      </c>
      <c r="B1282" s="3">
        <v>4</v>
      </c>
      <c r="C1282" t="s">
        <v>114</v>
      </c>
      <c r="D1282" t="s">
        <v>18</v>
      </c>
      <c r="E1282" s="3">
        <v>7</v>
      </c>
      <c r="F1282" t="s">
        <v>19</v>
      </c>
      <c r="G1282" t="s">
        <v>42</v>
      </c>
      <c r="H1282" t="s">
        <v>43</v>
      </c>
      <c r="I1282" s="12">
        <v>0.3923611111111111</v>
      </c>
      <c r="J1282" t="s">
        <v>44</v>
      </c>
      <c r="K1282" t="s">
        <v>43</v>
      </c>
      <c r="L1282" s="12">
        <v>0.40277777777777779</v>
      </c>
      <c r="M1282" t="s">
        <v>45</v>
      </c>
      <c r="N1282" s="3">
        <v>9</v>
      </c>
      <c r="O1282" t="s">
        <v>24</v>
      </c>
      <c r="P1282" t="s">
        <v>25</v>
      </c>
      <c r="R1282">
        <f>tblDailySchedule[[#This Row],[Capacity Approx]]*'[1]Load Factor Sheet June Acft  '!$B$5</f>
        <v>7.2879545454545456</v>
      </c>
      <c r="S1282">
        <f>tblDailySchedule[[#This Row],[Capacity Approx]]*'[1]Load Factor Sheet June Acft  '!$D$5</f>
        <v>7.8913636363636366</v>
      </c>
      <c r="T1282" s="22">
        <f>tblDailySchedule[[#This Row],[STD]]</f>
        <v>0.40277777777777779</v>
      </c>
    </row>
    <row r="1283" spans="1:20" hidden="1" x14ac:dyDescent="0.35">
      <c r="A1283" s="11">
        <v>46156</v>
      </c>
      <c r="B1283" s="3">
        <v>4</v>
      </c>
      <c r="C1283" t="s">
        <v>114</v>
      </c>
      <c r="D1283" t="s">
        <v>18</v>
      </c>
      <c r="E1283" s="3">
        <v>8</v>
      </c>
      <c r="F1283" t="s">
        <v>19</v>
      </c>
      <c r="G1283" t="s">
        <v>46</v>
      </c>
      <c r="H1283" t="s">
        <v>31</v>
      </c>
      <c r="I1283" s="12">
        <v>0.4201388888888889</v>
      </c>
      <c r="J1283" t="s">
        <v>47</v>
      </c>
      <c r="K1283" t="s">
        <v>31</v>
      </c>
      <c r="L1283" s="12">
        <v>0.44444444444444442</v>
      </c>
      <c r="M1283" t="s">
        <v>29</v>
      </c>
      <c r="N1283" s="3">
        <v>186</v>
      </c>
      <c r="O1283" t="s">
        <v>24</v>
      </c>
      <c r="P1283" t="s">
        <v>25</v>
      </c>
      <c r="R1283">
        <f>tblDailySchedule[[#This Row],[Capacity Approx]]*'[1]Load Factor Sheet June Acft  '!$B$5</f>
        <v>150.61772727272728</v>
      </c>
      <c r="S1283">
        <f>tblDailySchedule[[#This Row],[Capacity Approx]]*'[1]Load Factor Sheet June Acft  '!$D$5</f>
        <v>163.08818181818182</v>
      </c>
      <c r="T1283" s="22">
        <f>tblDailySchedule[[#This Row],[STD]]</f>
        <v>0.44444444444444442</v>
      </c>
    </row>
    <row r="1284" spans="1:20" hidden="1" x14ac:dyDescent="0.35">
      <c r="A1284" s="11">
        <v>46156</v>
      </c>
      <c r="B1284" s="3">
        <v>4</v>
      </c>
      <c r="C1284" t="s">
        <v>114</v>
      </c>
      <c r="D1284" t="s">
        <v>18</v>
      </c>
      <c r="E1284" s="3">
        <v>9</v>
      </c>
      <c r="F1284" t="s">
        <v>19</v>
      </c>
      <c r="G1284" t="s">
        <v>48</v>
      </c>
      <c r="H1284" t="s">
        <v>49</v>
      </c>
      <c r="I1284" s="12">
        <v>0.4375</v>
      </c>
      <c r="J1284" t="s">
        <v>50</v>
      </c>
      <c r="K1284" t="s">
        <v>49</v>
      </c>
      <c r="L1284" s="12">
        <v>0.45833333333333331</v>
      </c>
      <c r="M1284" t="s">
        <v>51</v>
      </c>
      <c r="N1284" s="3">
        <v>78</v>
      </c>
      <c r="O1284" t="s">
        <v>24</v>
      </c>
      <c r="P1284" t="s">
        <v>25</v>
      </c>
      <c r="R1284">
        <f>tblDailySchedule[[#This Row],[Capacity Approx]]*'[1]Load Factor Sheet June Acft  '!$B$5</f>
        <v>63.162272727272729</v>
      </c>
      <c r="S1284">
        <f>tblDailySchedule[[#This Row],[Capacity Approx]]*'[1]Load Factor Sheet June Acft  '!$D$5</f>
        <v>68.391818181818181</v>
      </c>
      <c r="T1284" s="22">
        <f>tblDailySchedule[[#This Row],[STD]]</f>
        <v>0.45833333333333331</v>
      </c>
    </row>
    <row r="1285" spans="1:20" hidden="1" x14ac:dyDescent="0.35">
      <c r="A1285" s="11">
        <v>46156</v>
      </c>
      <c r="B1285" s="3">
        <v>4</v>
      </c>
      <c r="C1285" t="s">
        <v>114</v>
      </c>
      <c r="D1285" t="s">
        <v>18</v>
      </c>
      <c r="E1285" s="3">
        <v>10</v>
      </c>
      <c r="F1285" t="s">
        <v>19</v>
      </c>
      <c r="G1285" t="s">
        <v>52</v>
      </c>
      <c r="H1285" t="s">
        <v>27</v>
      </c>
      <c r="I1285" s="12">
        <v>0.4826388888888889</v>
      </c>
      <c r="J1285" t="s">
        <v>53</v>
      </c>
      <c r="K1285" t="s">
        <v>27</v>
      </c>
      <c r="L1285" s="12">
        <v>0.51041666666666663</v>
      </c>
      <c r="M1285" t="s">
        <v>23</v>
      </c>
      <c r="N1285" s="3">
        <v>186</v>
      </c>
      <c r="O1285" t="s">
        <v>24</v>
      </c>
      <c r="P1285" t="s">
        <v>25</v>
      </c>
      <c r="R1285">
        <f>tblDailySchedule[[#This Row],[Capacity Approx]]*'[1]Load Factor Sheet June Acft  '!$B$5</f>
        <v>150.61772727272728</v>
      </c>
      <c r="S1285">
        <f>tblDailySchedule[[#This Row],[Capacity Approx]]*'[1]Load Factor Sheet June Acft  '!$D$5</f>
        <v>163.08818181818182</v>
      </c>
      <c r="T1285" s="22">
        <f>tblDailySchedule[[#This Row],[STD]]</f>
        <v>0.51041666666666663</v>
      </c>
    </row>
    <row r="1286" spans="1:20" hidden="1" x14ac:dyDescent="0.35">
      <c r="A1286" s="11">
        <v>46156</v>
      </c>
      <c r="B1286" s="3">
        <v>4</v>
      </c>
      <c r="C1286" t="s">
        <v>114</v>
      </c>
      <c r="D1286" t="s">
        <v>18</v>
      </c>
      <c r="E1286" s="3">
        <v>11</v>
      </c>
      <c r="F1286" t="s">
        <v>19</v>
      </c>
      <c r="G1286" t="s">
        <v>54</v>
      </c>
      <c r="H1286" t="s">
        <v>31</v>
      </c>
      <c r="I1286" s="12">
        <v>0.51388888888888884</v>
      </c>
      <c r="J1286" t="s">
        <v>55</v>
      </c>
      <c r="K1286" t="s">
        <v>31</v>
      </c>
      <c r="L1286" s="12">
        <v>0.54166666666666663</v>
      </c>
      <c r="M1286" t="s">
        <v>23</v>
      </c>
      <c r="N1286" s="3">
        <v>186</v>
      </c>
      <c r="O1286" t="s">
        <v>24</v>
      </c>
      <c r="P1286" t="s">
        <v>56</v>
      </c>
      <c r="R1286">
        <f>tblDailySchedule[[#This Row],[Capacity Approx]]*'[1]Load Factor Sheet June Acft  '!$B$5</f>
        <v>150.61772727272728</v>
      </c>
      <c r="S1286">
        <f>tblDailySchedule[[#This Row],[Capacity Approx]]*'[1]Load Factor Sheet June Acft  '!$D$5</f>
        <v>163.08818181818182</v>
      </c>
      <c r="T1286" s="22">
        <f>tblDailySchedule[[#This Row],[STD]]</f>
        <v>0.54166666666666663</v>
      </c>
    </row>
    <row r="1287" spans="1:20" hidden="1" x14ac:dyDescent="0.35">
      <c r="A1287" s="11">
        <v>46156</v>
      </c>
      <c r="B1287" s="3">
        <v>4</v>
      </c>
      <c r="C1287" t="s">
        <v>114</v>
      </c>
      <c r="D1287" t="s">
        <v>18</v>
      </c>
      <c r="E1287" s="3">
        <v>12</v>
      </c>
      <c r="F1287" t="s">
        <v>109</v>
      </c>
      <c r="G1287" t="s">
        <v>110</v>
      </c>
      <c r="H1287" t="s">
        <v>111</v>
      </c>
      <c r="I1287" s="12">
        <v>0.55555555555555558</v>
      </c>
      <c r="J1287" t="s">
        <v>112</v>
      </c>
      <c r="K1287" t="s">
        <v>111</v>
      </c>
      <c r="L1287" s="12">
        <v>0.56944444444444442</v>
      </c>
      <c r="M1287" t="s">
        <v>51</v>
      </c>
      <c r="N1287" s="3">
        <v>78</v>
      </c>
      <c r="O1287" t="s">
        <v>24</v>
      </c>
      <c r="P1287" t="s">
        <v>56</v>
      </c>
      <c r="R1287">
        <f>tblDailySchedule[[#This Row],[Capacity Approx]]*'[1]Load Factor Sheet June Acft  '!$B$5</f>
        <v>63.162272727272729</v>
      </c>
      <c r="S1287">
        <f>tblDailySchedule[[#This Row],[Capacity Approx]]*'[1]Load Factor Sheet June Acft  '!$D$5</f>
        <v>68.391818181818181</v>
      </c>
      <c r="T1287" s="22">
        <f>tblDailySchedule[[#This Row],[STD]]</f>
        <v>0.56944444444444442</v>
      </c>
    </row>
    <row r="1288" spans="1:20" hidden="1" x14ac:dyDescent="0.35">
      <c r="A1288" s="11">
        <v>46156</v>
      </c>
      <c r="B1288" s="3">
        <v>4</v>
      </c>
      <c r="C1288" t="s">
        <v>114</v>
      </c>
      <c r="D1288" t="s">
        <v>18</v>
      </c>
      <c r="E1288" s="3">
        <v>13</v>
      </c>
      <c r="F1288" t="s">
        <v>19</v>
      </c>
      <c r="G1288" t="s">
        <v>57</v>
      </c>
      <c r="H1288" t="s">
        <v>58</v>
      </c>
      <c r="I1288" s="12">
        <v>0.55902777777777779</v>
      </c>
      <c r="J1288" t="s">
        <v>59</v>
      </c>
      <c r="K1288" t="s">
        <v>58</v>
      </c>
      <c r="L1288" s="12">
        <v>0.57638888888888884</v>
      </c>
      <c r="M1288" t="s">
        <v>51</v>
      </c>
      <c r="N1288" s="3">
        <v>78</v>
      </c>
      <c r="O1288" t="s">
        <v>24</v>
      </c>
      <c r="P1288" t="s">
        <v>56</v>
      </c>
      <c r="R1288">
        <f>tblDailySchedule[[#This Row],[Capacity Approx]]*'[1]Load Factor Sheet June Acft  '!$B$5</f>
        <v>63.162272727272729</v>
      </c>
      <c r="S1288">
        <f>tblDailySchedule[[#This Row],[Capacity Approx]]*'[1]Load Factor Sheet June Acft  '!$D$5</f>
        <v>68.391818181818181</v>
      </c>
      <c r="T1288" s="22">
        <f>tblDailySchedule[[#This Row],[STD]]</f>
        <v>0.57638888888888884</v>
      </c>
    </row>
    <row r="1289" spans="1:20" hidden="1" x14ac:dyDescent="0.35">
      <c r="A1289" s="11">
        <v>46156</v>
      </c>
      <c r="B1289" s="3">
        <v>4</v>
      </c>
      <c r="C1289" t="s">
        <v>114</v>
      </c>
      <c r="D1289" t="s">
        <v>18</v>
      </c>
      <c r="E1289" s="3">
        <v>14</v>
      </c>
      <c r="F1289" t="s">
        <v>19</v>
      </c>
      <c r="G1289" t="s">
        <v>60</v>
      </c>
      <c r="H1289" t="s">
        <v>61</v>
      </c>
      <c r="I1289" s="12">
        <v>0.59027777777777779</v>
      </c>
      <c r="J1289" t="s">
        <v>62</v>
      </c>
      <c r="K1289" t="s">
        <v>61</v>
      </c>
      <c r="L1289" s="12">
        <v>0.62152777777777779</v>
      </c>
      <c r="M1289" t="s">
        <v>63</v>
      </c>
      <c r="N1289" s="3">
        <v>232</v>
      </c>
      <c r="O1289" t="s">
        <v>24</v>
      </c>
      <c r="P1289" t="s">
        <v>56</v>
      </c>
      <c r="R1289">
        <f>tblDailySchedule[[#This Row],[Capacity Approx]]*'[1]Load Factor Sheet June Acft  '!$B$5</f>
        <v>187.86727272727273</v>
      </c>
      <c r="S1289">
        <f>tblDailySchedule[[#This Row],[Capacity Approx]]*'[1]Load Factor Sheet June Acft  '!$D$5</f>
        <v>203.4218181818182</v>
      </c>
      <c r="T1289" s="22">
        <f>tblDailySchedule[[#This Row],[STD]]</f>
        <v>0.62152777777777779</v>
      </c>
    </row>
    <row r="1290" spans="1:20" hidden="1" x14ac:dyDescent="0.35">
      <c r="A1290" s="11">
        <v>46156</v>
      </c>
      <c r="B1290" s="3">
        <v>4</v>
      </c>
      <c r="C1290" t="s">
        <v>114</v>
      </c>
      <c r="D1290" t="s">
        <v>18</v>
      </c>
      <c r="E1290" s="3">
        <v>15</v>
      </c>
      <c r="F1290" t="s">
        <v>19</v>
      </c>
      <c r="G1290" t="s">
        <v>64</v>
      </c>
      <c r="H1290" t="s">
        <v>31</v>
      </c>
      <c r="I1290" s="12">
        <v>0.60069444444444442</v>
      </c>
      <c r="J1290" t="s">
        <v>65</v>
      </c>
      <c r="K1290" t="s">
        <v>66</v>
      </c>
      <c r="L1290" s="12">
        <v>0.62847222222222221</v>
      </c>
      <c r="M1290" t="s">
        <v>63</v>
      </c>
      <c r="N1290" s="3">
        <v>232</v>
      </c>
      <c r="O1290" t="s">
        <v>24</v>
      </c>
      <c r="P1290" t="s">
        <v>56</v>
      </c>
      <c r="R1290">
        <f>tblDailySchedule[[#This Row],[Capacity Approx]]*'[1]Load Factor Sheet June Acft  '!$B$5</f>
        <v>187.86727272727273</v>
      </c>
      <c r="S1290">
        <f>tblDailySchedule[[#This Row],[Capacity Approx]]*'[1]Load Factor Sheet June Acft  '!$D$5</f>
        <v>203.4218181818182</v>
      </c>
      <c r="T1290" s="22">
        <f>tblDailySchedule[[#This Row],[STD]]</f>
        <v>0.62847222222222221</v>
      </c>
    </row>
    <row r="1291" spans="1:20" hidden="1" x14ac:dyDescent="0.35">
      <c r="A1291" s="11">
        <v>46156</v>
      </c>
      <c r="B1291" s="3">
        <v>4</v>
      </c>
      <c r="C1291" t="s">
        <v>114</v>
      </c>
      <c r="D1291" t="s">
        <v>18</v>
      </c>
      <c r="E1291" s="3">
        <v>16</v>
      </c>
      <c r="F1291" t="s">
        <v>19</v>
      </c>
      <c r="G1291" t="s">
        <v>67</v>
      </c>
      <c r="H1291" t="s">
        <v>31</v>
      </c>
      <c r="I1291" s="12">
        <v>0.65625</v>
      </c>
      <c r="J1291" t="s">
        <v>68</v>
      </c>
      <c r="K1291" t="s">
        <v>31</v>
      </c>
      <c r="L1291" s="12">
        <v>0.68402777777777779</v>
      </c>
      <c r="M1291" t="s">
        <v>63</v>
      </c>
      <c r="N1291" s="3">
        <v>232</v>
      </c>
      <c r="O1291" t="s">
        <v>24</v>
      </c>
      <c r="P1291" t="s">
        <v>56</v>
      </c>
      <c r="R1291">
        <f>tblDailySchedule[[#This Row],[Capacity Approx]]*'[1]Load Factor Sheet June Acft  '!$B$5</f>
        <v>187.86727272727273</v>
      </c>
      <c r="S1291">
        <f>tblDailySchedule[[#This Row],[Capacity Approx]]*'[1]Load Factor Sheet June Acft  '!$D$5</f>
        <v>203.4218181818182</v>
      </c>
      <c r="T1291" s="22">
        <f>tblDailySchedule[[#This Row],[STD]]</f>
        <v>0.68402777777777779</v>
      </c>
    </row>
    <row r="1292" spans="1:20" hidden="1" x14ac:dyDescent="0.35">
      <c r="A1292" s="11">
        <v>46156</v>
      </c>
      <c r="B1292" s="3">
        <v>4</v>
      </c>
      <c r="C1292" t="s">
        <v>114</v>
      </c>
      <c r="D1292" t="s">
        <v>18</v>
      </c>
      <c r="E1292" s="3">
        <v>17</v>
      </c>
      <c r="F1292" t="s">
        <v>19</v>
      </c>
      <c r="G1292" t="s">
        <v>69</v>
      </c>
      <c r="H1292" t="s">
        <v>31</v>
      </c>
      <c r="I1292" s="12">
        <v>0.66319444444444442</v>
      </c>
      <c r="J1292" t="s">
        <v>70</v>
      </c>
      <c r="K1292" t="s">
        <v>31</v>
      </c>
      <c r="L1292" s="12">
        <v>0.69097222222222221</v>
      </c>
      <c r="M1292" t="s">
        <v>33</v>
      </c>
      <c r="N1292" s="3">
        <v>189</v>
      </c>
      <c r="O1292" t="s">
        <v>24</v>
      </c>
      <c r="P1292" t="s">
        <v>56</v>
      </c>
      <c r="R1292">
        <f>tblDailySchedule[[#This Row],[Capacity Approx]]*'[1]Load Factor Sheet June Acft  '!$B$5</f>
        <v>153.04704545454547</v>
      </c>
      <c r="S1292">
        <f>tblDailySchedule[[#This Row],[Capacity Approx]]*'[1]Load Factor Sheet June Acft  '!$D$5</f>
        <v>165.71863636363636</v>
      </c>
      <c r="T1292" s="22">
        <f>tblDailySchedule[[#This Row],[STD]]</f>
        <v>0.69097222222222221</v>
      </c>
    </row>
    <row r="1293" spans="1:20" hidden="1" x14ac:dyDescent="0.35">
      <c r="A1293" s="11">
        <v>46156</v>
      </c>
      <c r="B1293" s="3">
        <v>4</v>
      </c>
      <c r="C1293" t="s">
        <v>114</v>
      </c>
      <c r="D1293" t="s">
        <v>18</v>
      </c>
      <c r="E1293" s="3">
        <v>18</v>
      </c>
      <c r="F1293" t="s">
        <v>19</v>
      </c>
      <c r="G1293" t="s">
        <v>71</v>
      </c>
      <c r="H1293" t="s">
        <v>21</v>
      </c>
      <c r="I1293" s="12">
        <v>0.67013888888888884</v>
      </c>
      <c r="J1293" t="s">
        <v>72</v>
      </c>
      <c r="K1293" t="s">
        <v>21</v>
      </c>
      <c r="L1293" s="12">
        <v>0.69791666666666663</v>
      </c>
      <c r="M1293" t="s">
        <v>63</v>
      </c>
      <c r="N1293" s="3">
        <v>232</v>
      </c>
      <c r="O1293" t="s">
        <v>24</v>
      </c>
      <c r="P1293" t="s">
        <v>56</v>
      </c>
      <c r="R1293">
        <f>tblDailySchedule[[#This Row],[Capacity Approx]]*'[1]Load Factor Sheet June Acft  '!$B$5</f>
        <v>187.86727272727273</v>
      </c>
      <c r="S1293">
        <f>tblDailySchedule[[#This Row],[Capacity Approx]]*'[1]Load Factor Sheet June Acft  '!$D$5</f>
        <v>203.4218181818182</v>
      </c>
      <c r="T1293" s="22">
        <f>tblDailySchedule[[#This Row],[STD]]</f>
        <v>0.69791666666666663</v>
      </c>
    </row>
    <row r="1294" spans="1:20" hidden="1" x14ac:dyDescent="0.35">
      <c r="A1294" s="11">
        <v>46156</v>
      </c>
      <c r="B1294" s="3">
        <v>4</v>
      </c>
      <c r="C1294" t="s">
        <v>114</v>
      </c>
      <c r="D1294" t="s">
        <v>18</v>
      </c>
      <c r="E1294" s="3">
        <v>19</v>
      </c>
      <c r="F1294" t="s">
        <v>19</v>
      </c>
      <c r="G1294" t="s">
        <v>73</v>
      </c>
      <c r="H1294" t="s">
        <v>27</v>
      </c>
      <c r="I1294" s="12">
        <v>0.74652777777777779</v>
      </c>
      <c r="J1294" t="s">
        <v>74</v>
      </c>
      <c r="K1294" t="s">
        <v>27</v>
      </c>
      <c r="L1294" s="12">
        <v>0.77430555555555558</v>
      </c>
      <c r="M1294" t="s">
        <v>63</v>
      </c>
      <c r="N1294" s="3">
        <v>232</v>
      </c>
      <c r="O1294" t="s">
        <v>24</v>
      </c>
      <c r="P1294" t="s">
        <v>56</v>
      </c>
      <c r="R1294">
        <f>tblDailySchedule[[#This Row],[Capacity Approx]]*'[1]Load Factor Sheet June Acft  '!$B$5</f>
        <v>187.86727272727273</v>
      </c>
      <c r="S1294">
        <f>tblDailySchedule[[#This Row],[Capacity Approx]]*'[1]Load Factor Sheet June Acft  '!$D$5</f>
        <v>203.4218181818182</v>
      </c>
      <c r="T1294" s="22">
        <f>tblDailySchedule[[#This Row],[STD]]</f>
        <v>0.77430555555555558</v>
      </c>
    </row>
    <row r="1295" spans="1:20" hidden="1" x14ac:dyDescent="0.35">
      <c r="A1295" s="11">
        <v>46156</v>
      </c>
      <c r="B1295" s="3">
        <v>4</v>
      </c>
      <c r="C1295" t="s">
        <v>114</v>
      </c>
      <c r="D1295" t="s">
        <v>18</v>
      </c>
      <c r="E1295" s="3">
        <v>21</v>
      </c>
      <c r="F1295" t="s">
        <v>19</v>
      </c>
      <c r="G1295" t="s">
        <v>81</v>
      </c>
      <c r="H1295" t="s">
        <v>61</v>
      </c>
      <c r="I1295" s="12">
        <v>0.77083333333333337</v>
      </c>
      <c r="J1295" t="s">
        <v>82</v>
      </c>
      <c r="K1295" t="s">
        <v>49</v>
      </c>
      <c r="L1295" s="12">
        <v>0.79166666666666663</v>
      </c>
      <c r="M1295" t="s">
        <v>33</v>
      </c>
      <c r="N1295" s="3">
        <v>189</v>
      </c>
      <c r="O1295" t="s">
        <v>24</v>
      </c>
      <c r="P1295" t="s">
        <v>79</v>
      </c>
      <c r="R1295">
        <f>tblDailySchedule[[#This Row],[Capacity Approx]]*'[1]Load Factor Sheet June Acft  '!$B$5</f>
        <v>153.04704545454547</v>
      </c>
      <c r="S1295">
        <f>tblDailySchedule[[#This Row],[Capacity Approx]]*'[1]Load Factor Sheet June Acft  '!$D$5</f>
        <v>165.71863636363636</v>
      </c>
      <c r="T1295" s="22">
        <f>tblDailySchedule[[#This Row],[STD]]</f>
        <v>0.79166666666666663</v>
      </c>
    </row>
    <row r="1296" spans="1:20" hidden="1" x14ac:dyDescent="0.35">
      <c r="A1296" s="11">
        <v>46156</v>
      </c>
      <c r="B1296" s="3">
        <v>4</v>
      </c>
      <c r="C1296" t="s">
        <v>114</v>
      </c>
      <c r="D1296" t="s">
        <v>18</v>
      </c>
      <c r="E1296" s="3">
        <v>22</v>
      </c>
      <c r="F1296" t="s">
        <v>19</v>
      </c>
      <c r="G1296" t="s">
        <v>83</v>
      </c>
      <c r="H1296" t="s">
        <v>31</v>
      </c>
      <c r="I1296" s="12">
        <v>0.77777777777777779</v>
      </c>
      <c r="J1296" t="s">
        <v>84</v>
      </c>
      <c r="K1296" t="s">
        <v>31</v>
      </c>
      <c r="L1296" s="12">
        <v>0.80555555555555558</v>
      </c>
      <c r="M1296" t="s">
        <v>63</v>
      </c>
      <c r="N1296" s="3">
        <v>232</v>
      </c>
      <c r="O1296" t="s">
        <v>24</v>
      </c>
      <c r="P1296" t="s">
        <v>79</v>
      </c>
      <c r="R1296">
        <f>tblDailySchedule[[#This Row],[Capacity Approx]]*'[1]Load Factor Sheet June Acft  '!$B$5</f>
        <v>187.86727272727273</v>
      </c>
      <c r="S1296">
        <f>tblDailySchedule[[#This Row],[Capacity Approx]]*'[1]Load Factor Sheet June Acft  '!$D$5</f>
        <v>203.4218181818182</v>
      </c>
      <c r="T1296" s="22">
        <f>tblDailySchedule[[#This Row],[STD]]</f>
        <v>0.80555555555555558</v>
      </c>
    </row>
    <row r="1297" spans="1:20" hidden="1" x14ac:dyDescent="0.35">
      <c r="A1297" s="11">
        <v>46156</v>
      </c>
      <c r="B1297" s="3">
        <v>4</v>
      </c>
      <c r="C1297" t="s">
        <v>114</v>
      </c>
      <c r="D1297" t="s">
        <v>18</v>
      </c>
      <c r="E1297" s="3">
        <v>23</v>
      </c>
      <c r="F1297" t="s">
        <v>19</v>
      </c>
      <c r="G1297" t="s">
        <v>85</v>
      </c>
      <c r="H1297" t="s">
        <v>86</v>
      </c>
      <c r="I1297" s="12">
        <v>0.79861111111111116</v>
      </c>
      <c r="J1297" t="s">
        <v>87</v>
      </c>
      <c r="K1297" t="s">
        <v>86</v>
      </c>
      <c r="L1297" s="12">
        <v>0.82638888888888884</v>
      </c>
      <c r="M1297" t="s">
        <v>63</v>
      </c>
      <c r="N1297" s="3">
        <v>232</v>
      </c>
      <c r="O1297" t="s">
        <v>24</v>
      </c>
      <c r="P1297" t="s">
        <v>79</v>
      </c>
      <c r="R1297">
        <f>tblDailySchedule[[#This Row],[Capacity Approx]]*'[1]Load Factor Sheet June Acft  '!$B$5</f>
        <v>187.86727272727273</v>
      </c>
      <c r="S1297">
        <f>tblDailySchedule[[#This Row],[Capacity Approx]]*'[1]Load Factor Sheet June Acft  '!$D$5</f>
        <v>203.4218181818182</v>
      </c>
      <c r="T1297" s="22">
        <f>tblDailySchedule[[#This Row],[STD]]</f>
        <v>0.82638888888888884</v>
      </c>
    </row>
    <row r="1298" spans="1:20" hidden="1" x14ac:dyDescent="0.35">
      <c r="A1298" s="11">
        <v>46156</v>
      </c>
      <c r="B1298" s="3">
        <v>4</v>
      </c>
      <c r="C1298" t="s">
        <v>114</v>
      </c>
      <c r="D1298" t="s">
        <v>18</v>
      </c>
      <c r="E1298" s="3">
        <v>24</v>
      </c>
      <c r="F1298" t="s">
        <v>19</v>
      </c>
      <c r="G1298" t="s">
        <v>88</v>
      </c>
      <c r="H1298" t="s">
        <v>89</v>
      </c>
      <c r="I1298" s="12">
        <v>0.83333333333333337</v>
      </c>
      <c r="J1298" t="s">
        <v>90</v>
      </c>
      <c r="K1298" t="s">
        <v>31</v>
      </c>
      <c r="L1298" s="12">
        <v>0.86111111111111116</v>
      </c>
      <c r="M1298" t="s">
        <v>63</v>
      </c>
      <c r="N1298" s="3">
        <v>232</v>
      </c>
      <c r="O1298" t="s">
        <v>24</v>
      </c>
      <c r="P1298" t="s">
        <v>79</v>
      </c>
      <c r="R1298">
        <f>tblDailySchedule[[#This Row],[Capacity Approx]]*'[1]Load Factor Sheet June Acft  '!$B$5</f>
        <v>187.86727272727273</v>
      </c>
      <c r="S1298">
        <f>tblDailySchedule[[#This Row],[Capacity Approx]]*'[1]Load Factor Sheet June Acft  '!$D$5</f>
        <v>203.4218181818182</v>
      </c>
      <c r="T1298" s="22">
        <f>tblDailySchedule[[#This Row],[STD]]</f>
        <v>0.86111111111111116</v>
      </c>
    </row>
    <row r="1299" spans="1:20" hidden="1" x14ac:dyDescent="0.35">
      <c r="A1299" s="11">
        <v>46156</v>
      </c>
      <c r="B1299" s="3">
        <v>4</v>
      </c>
      <c r="C1299" t="s">
        <v>114</v>
      </c>
      <c r="D1299" t="s">
        <v>18</v>
      </c>
      <c r="E1299" s="3">
        <v>25</v>
      </c>
      <c r="F1299" t="s">
        <v>19</v>
      </c>
      <c r="G1299" t="s">
        <v>91</v>
      </c>
      <c r="H1299" t="s">
        <v>61</v>
      </c>
      <c r="I1299" s="12">
        <v>0.85416666666666663</v>
      </c>
      <c r="J1299" t="s">
        <v>92</v>
      </c>
      <c r="K1299" t="s">
        <v>61</v>
      </c>
      <c r="L1299" s="12">
        <v>0.88194444444444442</v>
      </c>
      <c r="M1299" t="s">
        <v>63</v>
      </c>
      <c r="N1299" s="3">
        <v>232</v>
      </c>
      <c r="O1299" t="s">
        <v>24</v>
      </c>
      <c r="P1299" t="s">
        <v>79</v>
      </c>
      <c r="R1299">
        <f>tblDailySchedule[[#This Row],[Capacity Approx]]*'[1]Load Factor Sheet June Acft  '!$B$5</f>
        <v>187.86727272727273</v>
      </c>
      <c r="S1299">
        <f>tblDailySchedule[[#This Row],[Capacity Approx]]*'[1]Load Factor Sheet June Acft  '!$D$5</f>
        <v>203.4218181818182</v>
      </c>
      <c r="T1299" s="22">
        <f>tblDailySchedule[[#This Row],[STD]]</f>
        <v>0.88194444444444442</v>
      </c>
    </row>
    <row r="1300" spans="1:20" hidden="1" x14ac:dyDescent="0.35">
      <c r="A1300" s="11">
        <v>46156</v>
      </c>
      <c r="B1300" s="3">
        <v>4</v>
      </c>
      <c r="C1300" t="s">
        <v>114</v>
      </c>
      <c r="D1300" t="s">
        <v>18</v>
      </c>
      <c r="E1300" s="3">
        <v>26</v>
      </c>
      <c r="F1300" t="s">
        <v>19</v>
      </c>
      <c r="G1300" t="s">
        <v>93</v>
      </c>
      <c r="H1300" t="s">
        <v>31</v>
      </c>
      <c r="I1300" s="12">
        <v>0.86111111111111116</v>
      </c>
      <c r="J1300" t="s">
        <v>94</v>
      </c>
      <c r="K1300" t="s">
        <v>31</v>
      </c>
      <c r="L1300" s="12">
        <v>0.88888888888888884</v>
      </c>
      <c r="M1300" t="s">
        <v>23</v>
      </c>
      <c r="N1300" s="3">
        <v>186</v>
      </c>
      <c r="O1300" t="s">
        <v>24</v>
      </c>
      <c r="P1300" t="s">
        <v>79</v>
      </c>
      <c r="R1300">
        <f>tblDailySchedule[[#This Row],[Capacity Approx]]*'[1]Load Factor Sheet June Acft  '!$B$5</f>
        <v>150.61772727272728</v>
      </c>
      <c r="S1300">
        <f>tblDailySchedule[[#This Row],[Capacity Approx]]*'[1]Load Factor Sheet June Acft  '!$D$5</f>
        <v>163.08818181818182</v>
      </c>
      <c r="T1300" s="22">
        <f>tblDailySchedule[[#This Row],[STD]]</f>
        <v>0.88888888888888884</v>
      </c>
    </row>
    <row r="1301" spans="1:20" hidden="1" x14ac:dyDescent="0.35">
      <c r="A1301" s="11">
        <v>46156</v>
      </c>
      <c r="B1301" s="3">
        <v>4</v>
      </c>
      <c r="C1301" t="s">
        <v>114</v>
      </c>
      <c r="D1301" t="s">
        <v>18</v>
      </c>
      <c r="E1301" s="3">
        <v>27</v>
      </c>
      <c r="F1301" t="s">
        <v>19</v>
      </c>
      <c r="G1301" t="s">
        <v>95</v>
      </c>
      <c r="H1301" t="s">
        <v>21</v>
      </c>
      <c r="I1301" s="12">
        <v>0.86805555555555558</v>
      </c>
      <c r="J1301" t="s">
        <v>96</v>
      </c>
      <c r="K1301" t="s">
        <v>21</v>
      </c>
      <c r="L1301" s="12">
        <v>0.89583333333333337</v>
      </c>
      <c r="M1301" t="s">
        <v>29</v>
      </c>
      <c r="N1301" s="3">
        <v>186</v>
      </c>
      <c r="O1301" t="s">
        <v>24</v>
      </c>
      <c r="P1301" t="s">
        <v>79</v>
      </c>
      <c r="R1301">
        <f>tblDailySchedule[[#This Row],[Capacity Approx]]*'[1]Load Factor Sheet June Acft  '!$B$5</f>
        <v>150.61772727272728</v>
      </c>
      <c r="S1301">
        <f>tblDailySchedule[[#This Row],[Capacity Approx]]*'[1]Load Factor Sheet June Acft  '!$D$5</f>
        <v>163.08818181818182</v>
      </c>
      <c r="T1301" s="22">
        <f>tblDailySchedule[[#This Row],[STD]]</f>
        <v>0.89583333333333337</v>
      </c>
    </row>
    <row r="1302" spans="1:20" hidden="1" x14ac:dyDescent="0.35">
      <c r="A1302" s="11">
        <v>46156</v>
      </c>
      <c r="B1302" s="3">
        <v>4</v>
      </c>
      <c r="C1302" t="s">
        <v>114</v>
      </c>
      <c r="D1302" t="s">
        <v>18</v>
      </c>
      <c r="E1302" s="3">
        <v>28</v>
      </c>
      <c r="F1302" t="s">
        <v>19</v>
      </c>
      <c r="G1302" t="s">
        <v>97</v>
      </c>
      <c r="H1302" t="s">
        <v>49</v>
      </c>
      <c r="I1302" s="12">
        <v>0.90277777777777779</v>
      </c>
      <c r="J1302" t="s">
        <v>97</v>
      </c>
      <c r="K1302" t="s">
        <v>61</v>
      </c>
      <c r="L1302" s="12">
        <v>0.92361111111111116</v>
      </c>
      <c r="M1302" t="s">
        <v>33</v>
      </c>
      <c r="N1302" s="3">
        <v>189</v>
      </c>
      <c r="O1302" t="s">
        <v>24</v>
      </c>
      <c r="P1302" t="s">
        <v>79</v>
      </c>
      <c r="R1302">
        <f>tblDailySchedule[[#This Row],[Capacity Approx]]*'[1]Load Factor Sheet June Acft  '!$B$5</f>
        <v>153.04704545454547</v>
      </c>
      <c r="S1302">
        <f>tblDailySchedule[[#This Row],[Capacity Approx]]*'[1]Load Factor Sheet June Acft  '!$D$5</f>
        <v>165.71863636363636</v>
      </c>
      <c r="T1302" s="22">
        <f>tblDailySchedule[[#This Row],[STD]]</f>
        <v>0.92361111111111116</v>
      </c>
    </row>
    <row r="1303" spans="1:20" hidden="1" x14ac:dyDescent="0.35">
      <c r="A1303" s="11">
        <v>46156</v>
      </c>
      <c r="B1303" s="3">
        <v>4</v>
      </c>
      <c r="C1303" t="s">
        <v>114</v>
      </c>
      <c r="D1303" t="s">
        <v>18</v>
      </c>
      <c r="E1303" s="3">
        <v>29</v>
      </c>
      <c r="F1303" t="s">
        <v>19</v>
      </c>
      <c r="G1303" t="s">
        <v>98</v>
      </c>
      <c r="H1303" t="s">
        <v>21</v>
      </c>
      <c r="I1303" s="12">
        <v>0.92013888888888884</v>
      </c>
      <c r="J1303" t="s">
        <v>99</v>
      </c>
      <c r="K1303" t="s">
        <v>21</v>
      </c>
      <c r="L1303" s="12">
        <v>0.94791666666666663</v>
      </c>
      <c r="M1303" t="s">
        <v>63</v>
      </c>
      <c r="N1303" s="3">
        <v>232</v>
      </c>
      <c r="O1303" t="s">
        <v>24</v>
      </c>
      <c r="P1303" t="s">
        <v>79</v>
      </c>
      <c r="R1303">
        <f>tblDailySchedule[[#This Row],[Capacity Approx]]*'[1]Load Factor Sheet June Acft  '!$B$5</f>
        <v>187.86727272727273</v>
      </c>
      <c r="S1303">
        <f>tblDailySchedule[[#This Row],[Capacity Approx]]*'[1]Load Factor Sheet June Acft  '!$D$5</f>
        <v>203.4218181818182</v>
      </c>
      <c r="T1303" s="22">
        <f>tblDailySchedule[[#This Row],[STD]]</f>
        <v>0.94791666666666663</v>
      </c>
    </row>
    <row r="1304" spans="1:20" hidden="1" x14ac:dyDescent="0.35">
      <c r="A1304" s="11">
        <v>46157</v>
      </c>
      <c r="B1304" s="3">
        <v>5</v>
      </c>
      <c r="C1304" t="s">
        <v>115</v>
      </c>
      <c r="D1304" t="s">
        <v>18</v>
      </c>
      <c r="E1304" s="3">
        <v>2</v>
      </c>
      <c r="F1304" t="s">
        <v>19</v>
      </c>
      <c r="G1304" t="s">
        <v>20</v>
      </c>
      <c r="H1304" t="s">
        <v>21</v>
      </c>
      <c r="I1304" s="12">
        <v>0.31944444444444442</v>
      </c>
      <c r="J1304" t="s">
        <v>22</v>
      </c>
      <c r="K1304" t="s">
        <v>21</v>
      </c>
      <c r="L1304" s="12">
        <v>0.34722222222222221</v>
      </c>
      <c r="M1304" t="s">
        <v>23</v>
      </c>
      <c r="N1304" s="3">
        <v>186</v>
      </c>
      <c r="O1304" t="s">
        <v>24</v>
      </c>
      <c r="P1304" t="s">
        <v>25</v>
      </c>
      <c r="R1304">
        <f>tblDailySchedule[[#This Row],[Capacity Approx]]*'[1]Load Factor Sheet June Acft  '!$B$5</f>
        <v>150.61772727272728</v>
      </c>
      <c r="S1304">
        <f>tblDailySchedule[[#This Row],[Capacity Approx]]*'[1]Load Factor Sheet June Acft  '!$D$5</f>
        <v>163.08818181818182</v>
      </c>
      <c r="T1304" s="22">
        <f>tblDailySchedule[[#This Row],[STD]]</f>
        <v>0.34722222222222221</v>
      </c>
    </row>
    <row r="1305" spans="1:20" hidden="1" x14ac:dyDescent="0.35">
      <c r="A1305" s="11">
        <v>46157</v>
      </c>
      <c r="B1305" s="3">
        <v>5</v>
      </c>
      <c r="C1305" t="s">
        <v>115</v>
      </c>
      <c r="D1305" t="s">
        <v>18</v>
      </c>
      <c r="E1305" s="3">
        <v>3</v>
      </c>
      <c r="F1305" t="s">
        <v>19</v>
      </c>
      <c r="G1305" t="s">
        <v>26</v>
      </c>
      <c r="H1305" t="s">
        <v>27</v>
      </c>
      <c r="I1305" s="12">
        <v>0.3263888888888889</v>
      </c>
      <c r="J1305" t="s">
        <v>28</v>
      </c>
      <c r="K1305" t="s">
        <v>27</v>
      </c>
      <c r="L1305" s="12">
        <v>0.35416666666666669</v>
      </c>
      <c r="M1305" t="s">
        <v>29</v>
      </c>
      <c r="N1305" s="3">
        <v>186</v>
      </c>
      <c r="O1305" t="s">
        <v>24</v>
      </c>
      <c r="P1305" t="s">
        <v>25</v>
      </c>
      <c r="R1305">
        <f>tblDailySchedule[[#This Row],[Capacity Approx]]*'[1]Load Factor Sheet June Acft  '!$B$5</f>
        <v>150.61772727272728</v>
      </c>
      <c r="S1305">
        <f>tblDailySchedule[[#This Row],[Capacity Approx]]*'[1]Load Factor Sheet June Acft  '!$D$5</f>
        <v>163.08818181818182</v>
      </c>
      <c r="T1305" s="22">
        <f>tblDailySchedule[[#This Row],[STD]]</f>
        <v>0.35416666666666669</v>
      </c>
    </row>
    <row r="1306" spans="1:20" hidden="1" x14ac:dyDescent="0.35">
      <c r="A1306" s="11">
        <v>46157</v>
      </c>
      <c r="B1306" s="3">
        <v>5</v>
      </c>
      <c r="C1306" t="s">
        <v>115</v>
      </c>
      <c r="D1306" t="s">
        <v>18</v>
      </c>
      <c r="E1306" s="3">
        <v>4</v>
      </c>
      <c r="F1306" t="s">
        <v>19</v>
      </c>
      <c r="G1306" t="s">
        <v>30</v>
      </c>
      <c r="H1306" t="s">
        <v>31</v>
      </c>
      <c r="I1306" s="12">
        <v>0.34722222222222221</v>
      </c>
      <c r="J1306" t="s">
        <v>32</v>
      </c>
      <c r="K1306" t="s">
        <v>31</v>
      </c>
      <c r="L1306" s="12">
        <v>0.36805555555555558</v>
      </c>
      <c r="M1306" t="s">
        <v>33</v>
      </c>
      <c r="N1306" s="3">
        <v>189</v>
      </c>
      <c r="O1306" t="s">
        <v>24</v>
      </c>
      <c r="P1306" t="s">
        <v>25</v>
      </c>
      <c r="R1306">
        <f>tblDailySchedule[[#This Row],[Capacity Approx]]*'[1]Load Factor Sheet June Acft  '!$B$5</f>
        <v>153.04704545454547</v>
      </c>
      <c r="S1306">
        <f>tblDailySchedule[[#This Row],[Capacity Approx]]*'[1]Load Factor Sheet June Acft  '!$D$5</f>
        <v>165.71863636363636</v>
      </c>
      <c r="T1306" s="22">
        <f>tblDailySchedule[[#This Row],[STD]]</f>
        <v>0.36805555555555558</v>
      </c>
    </row>
    <row r="1307" spans="1:20" hidden="1" x14ac:dyDescent="0.35">
      <c r="A1307" s="13">
        <v>46157</v>
      </c>
      <c r="B1307" s="7">
        <v>5</v>
      </c>
      <c r="C1307" s="14" t="s">
        <v>115</v>
      </c>
      <c r="D1307" s="14" t="s">
        <v>18</v>
      </c>
      <c r="E1307" s="7">
        <v>6</v>
      </c>
      <c r="F1307" s="14" t="s">
        <v>34</v>
      </c>
      <c r="G1307" s="14" t="s">
        <v>35</v>
      </c>
      <c r="H1307" s="14" t="s">
        <v>36</v>
      </c>
      <c r="I1307" s="15">
        <v>0.34722222222222221</v>
      </c>
      <c r="J1307" s="14" t="s">
        <v>37</v>
      </c>
      <c r="K1307" s="14" t="s">
        <v>36</v>
      </c>
      <c r="L1307" s="15">
        <v>0.40972222222222221</v>
      </c>
      <c r="M1307" s="14" t="s">
        <v>38</v>
      </c>
      <c r="N1307" s="7">
        <v>186</v>
      </c>
      <c r="O1307" s="14" t="s">
        <v>39</v>
      </c>
      <c r="P1307" s="14" t="s">
        <v>25</v>
      </c>
      <c r="Q1307" s="14" t="s">
        <v>39</v>
      </c>
      <c r="R1307">
        <f>tblDailySchedule[[#This Row],[Capacity Approx]]*'[1]Load Factor Sheet June Acft  '!$B$5</f>
        <v>150.61772727272728</v>
      </c>
      <c r="S1307">
        <f>tblDailySchedule[[#This Row],[Capacity Approx]]*'[1]Load Factor Sheet June Acft  '!$D$5</f>
        <v>163.08818181818182</v>
      </c>
      <c r="T1307" s="22">
        <f>tblDailySchedule[[#This Row],[STD]]</f>
        <v>0.40972222222222221</v>
      </c>
    </row>
    <row r="1308" spans="1:20" hidden="1" x14ac:dyDescent="0.35">
      <c r="A1308" s="11">
        <v>46157</v>
      </c>
      <c r="B1308" s="3">
        <v>5</v>
      </c>
      <c r="C1308" t="s">
        <v>115</v>
      </c>
      <c r="D1308" t="s">
        <v>18</v>
      </c>
      <c r="E1308" s="3">
        <v>5</v>
      </c>
      <c r="F1308" t="s">
        <v>19</v>
      </c>
      <c r="G1308" t="s">
        <v>40</v>
      </c>
      <c r="H1308" t="s">
        <v>31</v>
      </c>
      <c r="I1308" s="12">
        <v>0.35069444444444442</v>
      </c>
      <c r="J1308" t="s">
        <v>41</v>
      </c>
      <c r="K1308" t="s">
        <v>31</v>
      </c>
      <c r="L1308" s="12">
        <v>0.37152777777777779</v>
      </c>
      <c r="M1308" t="s">
        <v>23</v>
      </c>
      <c r="N1308" s="3">
        <v>186</v>
      </c>
      <c r="O1308" t="s">
        <v>24</v>
      </c>
      <c r="P1308" t="s">
        <v>25</v>
      </c>
      <c r="R1308">
        <f>tblDailySchedule[[#This Row],[Capacity Approx]]*'[1]Load Factor Sheet June Acft  '!$B$5</f>
        <v>150.61772727272728</v>
      </c>
      <c r="S1308">
        <f>tblDailySchedule[[#This Row],[Capacity Approx]]*'[1]Load Factor Sheet June Acft  '!$D$5</f>
        <v>163.08818181818182</v>
      </c>
      <c r="T1308" s="22">
        <f>tblDailySchedule[[#This Row],[STD]]</f>
        <v>0.37152777777777779</v>
      </c>
    </row>
    <row r="1309" spans="1:20" hidden="1" x14ac:dyDescent="0.35">
      <c r="A1309" s="11">
        <v>46157</v>
      </c>
      <c r="B1309" s="3">
        <v>5</v>
      </c>
      <c r="C1309" t="s">
        <v>115</v>
      </c>
      <c r="D1309" t="s">
        <v>18</v>
      </c>
      <c r="E1309" s="3">
        <v>7</v>
      </c>
      <c r="F1309" t="s">
        <v>19</v>
      </c>
      <c r="G1309" t="s">
        <v>42</v>
      </c>
      <c r="H1309" t="s">
        <v>43</v>
      </c>
      <c r="I1309" s="12">
        <v>0.3923611111111111</v>
      </c>
      <c r="J1309" t="s">
        <v>44</v>
      </c>
      <c r="K1309" t="s">
        <v>43</v>
      </c>
      <c r="L1309" s="12">
        <v>0.40277777777777779</v>
      </c>
      <c r="M1309" t="s">
        <v>45</v>
      </c>
      <c r="N1309" s="3">
        <v>9</v>
      </c>
      <c r="O1309" t="s">
        <v>24</v>
      </c>
      <c r="P1309" t="s">
        <v>25</v>
      </c>
      <c r="R1309">
        <f>tblDailySchedule[[#This Row],[Capacity Approx]]*'[1]Load Factor Sheet June Acft  '!$B$5</f>
        <v>7.2879545454545456</v>
      </c>
      <c r="S1309">
        <f>tblDailySchedule[[#This Row],[Capacity Approx]]*'[1]Load Factor Sheet June Acft  '!$D$5</f>
        <v>7.8913636363636366</v>
      </c>
      <c r="T1309" s="22">
        <f>tblDailySchedule[[#This Row],[STD]]</f>
        <v>0.40277777777777779</v>
      </c>
    </row>
    <row r="1310" spans="1:20" hidden="1" x14ac:dyDescent="0.35">
      <c r="A1310" s="11">
        <v>46157</v>
      </c>
      <c r="B1310" s="3">
        <v>5</v>
      </c>
      <c r="C1310" t="s">
        <v>115</v>
      </c>
      <c r="D1310" t="s">
        <v>18</v>
      </c>
      <c r="E1310" s="3">
        <v>8</v>
      </c>
      <c r="F1310" t="s">
        <v>19</v>
      </c>
      <c r="G1310" t="s">
        <v>46</v>
      </c>
      <c r="H1310" t="s">
        <v>31</v>
      </c>
      <c r="I1310" s="12">
        <v>0.4201388888888889</v>
      </c>
      <c r="J1310" t="s">
        <v>47</v>
      </c>
      <c r="K1310" t="s">
        <v>31</v>
      </c>
      <c r="L1310" s="12">
        <v>0.44444444444444442</v>
      </c>
      <c r="M1310" t="s">
        <v>29</v>
      </c>
      <c r="N1310" s="3">
        <v>186</v>
      </c>
      <c r="O1310" t="s">
        <v>24</v>
      </c>
      <c r="P1310" t="s">
        <v>25</v>
      </c>
      <c r="R1310">
        <f>tblDailySchedule[[#This Row],[Capacity Approx]]*'[1]Load Factor Sheet June Acft  '!$B$5</f>
        <v>150.61772727272728</v>
      </c>
      <c r="S1310">
        <f>tblDailySchedule[[#This Row],[Capacity Approx]]*'[1]Load Factor Sheet June Acft  '!$D$5</f>
        <v>163.08818181818182</v>
      </c>
      <c r="T1310" s="22">
        <f>tblDailySchedule[[#This Row],[STD]]</f>
        <v>0.44444444444444442</v>
      </c>
    </row>
    <row r="1311" spans="1:20" hidden="1" x14ac:dyDescent="0.35">
      <c r="A1311" s="11">
        <v>46157</v>
      </c>
      <c r="B1311" s="3">
        <v>5</v>
      </c>
      <c r="C1311" t="s">
        <v>115</v>
      </c>
      <c r="D1311" t="s">
        <v>18</v>
      </c>
      <c r="E1311" s="3">
        <v>9</v>
      </c>
      <c r="F1311" t="s">
        <v>19</v>
      </c>
      <c r="G1311" t="s">
        <v>48</v>
      </c>
      <c r="H1311" t="s">
        <v>49</v>
      </c>
      <c r="I1311" s="12">
        <v>0.4375</v>
      </c>
      <c r="J1311" t="s">
        <v>50</v>
      </c>
      <c r="K1311" t="s">
        <v>49</v>
      </c>
      <c r="L1311" s="12">
        <v>0.45833333333333331</v>
      </c>
      <c r="M1311" t="s">
        <v>51</v>
      </c>
      <c r="N1311" s="3">
        <v>78</v>
      </c>
      <c r="O1311" t="s">
        <v>24</v>
      </c>
      <c r="P1311" t="s">
        <v>25</v>
      </c>
      <c r="R1311">
        <f>tblDailySchedule[[#This Row],[Capacity Approx]]*'[1]Load Factor Sheet June Acft  '!$B$5</f>
        <v>63.162272727272729</v>
      </c>
      <c r="S1311">
        <f>tblDailySchedule[[#This Row],[Capacity Approx]]*'[1]Load Factor Sheet June Acft  '!$D$5</f>
        <v>68.391818181818181</v>
      </c>
      <c r="T1311" s="22">
        <f>tblDailySchedule[[#This Row],[STD]]</f>
        <v>0.45833333333333331</v>
      </c>
    </row>
    <row r="1312" spans="1:20" hidden="1" x14ac:dyDescent="0.35">
      <c r="A1312" s="11">
        <v>46157</v>
      </c>
      <c r="B1312" s="3">
        <v>5</v>
      </c>
      <c r="C1312" t="s">
        <v>115</v>
      </c>
      <c r="D1312" t="s">
        <v>18</v>
      </c>
      <c r="E1312" s="3">
        <v>10</v>
      </c>
      <c r="F1312" t="s">
        <v>19</v>
      </c>
      <c r="G1312" t="s">
        <v>52</v>
      </c>
      <c r="H1312" t="s">
        <v>27</v>
      </c>
      <c r="I1312" s="12">
        <v>0.4826388888888889</v>
      </c>
      <c r="J1312" t="s">
        <v>53</v>
      </c>
      <c r="K1312" t="s">
        <v>27</v>
      </c>
      <c r="L1312" s="12">
        <v>0.51041666666666663</v>
      </c>
      <c r="M1312" t="s">
        <v>23</v>
      </c>
      <c r="N1312" s="3">
        <v>186</v>
      </c>
      <c r="O1312" t="s">
        <v>24</v>
      </c>
      <c r="P1312" t="s">
        <v>25</v>
      </c>
      <c r="R1312">
        <f>tblDailySchedule[[#This Row],[Capacity Approx]]*'[1]Load Factor Sheet June Acft  '!$B$5</f>
        <v>150.61772727272728</v>
      </c>
      <c r="S1312">
        <f>tblDailySchedule[[#This Row],[Capacity Approx]]*'[1]Load Factor Sheet June Acft  '!$D$5</f>
        <v>163.08818181818182</v>
      </c>
      <c r="T1312" s="22">
        <f>tblDailySchedule[[#This Row],[STD]]</f>
        <v>0.51041666666666663</v>
      </c>
    </row>
    <row r="1313" spans="1:20" hidden="1" x14ac:dyDescent="0.35">
      <c r="A1313" s="11">
        <v>46157</v>
      </c>
      <c r="B1313" s="3">
        <v>5</v>
      </c>
      <c r="C1313" t="s">
        <v>115</v>
      </c>
      <c r="D1313" t="s">
        <v>18</v>
      </c>
      <c r="E1313" s="3">
        <v>11</v>
      </c>
      <c r="F1313" t="s">
        <v>19</v>
      </c>
      <c r="G1313" t="s">
        <v>54</v>
      </c>
      <c r="H1313" t="s">
        <v>31</v>
      </c>
      <c r="I1313" s="12">
        <v>0.51388888888888884</v>
      </c>
      <c r="J1313" t="s">
        <v>55</v>
      </c>
      <c r="K1313" t="s">
        <v>31</v>
      </c>
      <c r="L1313" s="12">
        <v>0.54166666666666663</v>
      </c>
      <c r="M1313" t="s">
        <v>23</v>
      </c>
      <c r="N1313" s="3">
        <v>186</v>
      </c>
      <c r="O1313" t="s">
        <v>24</v>
      </c>
      <c r="P1313" t="s">
        <v>56</v>
      </c>
      <c r="R1313">
        <f>tblDailySchedule[[#This Row],[Capacity Approx]]*'[1]Load Factor Sheet June Acft  '!$B$5</f>
        <v>150.61772727272728</v>
      </c>
      <c r="S1313">
        <f>tblDailySchedule[[#This Row],[Capacity Approx]]*'[1]Load Factor Sheet June Acft  '!$D$5</f>
        <v>163.08818181818182</v>
      </c>
      <c r="T1313" s="22">
        <f>tblDailySchedule[[#This Row],[STD]]</f>
        <v>0.54166666666666663</v>
      </c>
    </row>
    <row r="1314" spans="1:20" hidden="1" x14ac:dyDescent="0.35">
      <c r="A1314" s="11">
        <v>46157</v>
      </c>
      <c r="B1314" s="3">
        <v>5</v>
      </c>
      <c r="C1314" t="s">
        <v>115</v>
      </c>
      <c r="D1314" t="s">
        <v>18</v>
      </c>
      <c r="E1314" s="3">
        <v>13</v>
      </c>
      <c r="F1314" t="s">
        <v>19</v>
      </c>
      <c r="G1314" t="s">
        <v>57</v>
      </c>
      <c r="H1314" t="s">
        <v>58</v>
      </c>
      <c r="I1314" s="12">
        <v>0.55902777777777779</v>
      </c>
      <c r="J1314" t="s">
        <v>59</v>
      </c>
      <c r="K1314" t="s">
        <v>58</v>
      </c>
      <c r="L1314" s="12">
        <v>0.57638888888888884</v>
      </c>
      <c r="M1314" t="s">
        <v>51</v>
      </c>
      <c r="N1314" s="3">
        <v>78</v>
      </c>
      <c r="O1314" t="s">
        <v>24</v>
      </c>
      <c r="P1314" t="s">
        <v>56</v>
      </c>
      <c r="R1314">
        <f>tblDailySchedule[[#This Row],[Capacity Approx]]*'[1]Load Factor Sheet June Acft  '!$B$5</f>
        <v>63.162272727272729</v>
      </c>
      <c r="S1314">
        <f>tblDailySchedule[[#This Row],[Capacity Approx]]*'[1]Load Factor Sheet June Acft  '!$D$5</f>
        <v>68.391818181818181</v>
      </c>
      <c r="T1314" s="22">
        <f>tblDailySchedule[[#This Row],[STD]]</f>
        <v>0.57638888888888884</v>
      </c>
    </row>
    <row r="1315" spans="1:20" hidden="1" x14ac:dyDescent="0.35">
      <c r="A1315" s="11">
        <v>46157</v>
      </c>
      <c r="B1315" s="3">
        <v>5</v>
      </c>
      <c r="C1315" t="s">
        <v>115</v>
      </c>
      <c r="D1315" t="s">
        <v>18</v>
      </c>
      <c r="E1315" s="3">
        <v>14</v>
      </c>
      <c r="F1315" t="s">
        <v>19</v>
      </c>
      <c r="G1315" t="s">
        <v>60</v>
      </c>
      <c r="H1315" t="s">
        <v>61</v>
      </c>
      <c r="I1315" s="12">
        <v>0.59027777777777779</v>
      </c>
      <c r="J1315" t="s">
        <v>62</v>
      </c>
      <c r="K1315" t="s">
        <v>61</v>
      </c>
      <c r="L1315" s="12">
        <v>0.62152777777777779</v>
      </c>
      <c r="M1315" t="s">
        <v>63</v>
      </c>
      <c r="N1315" s="3">
        <v>232</v>
      </c>
      <c r="O1315" t="s">
        <v>24</v>
      </c>
      <c r="P1315" t="s">
        <v>56</v>
      </c>
      <c r="R1315">
        <f>tblDailySchedule[[#This Row],[Capacity Approx]]*'[1]Load Factor Sheet June Acft  '!$B$5</f>
        <v>187.86727272727273</v>
      </c>
      <c r="S1315">
        <f>tblDailySchedule[[#This Row],[Capacity Approx]]*'[1]Load Factor Sheet June Acft  '!$D$5</f>
        <v>203.4218181818182</v>
      </c>
      <c r="T1315" s="22">
        <f>tblDailySchedule[[#This Row],[STD]]</f>
        <v>0.62152777777777779</v>
      </c>
    </row>
    <row r="1316" spans="1:20" hidden="1" x14ac:dyDescent="0.35">
      <c r="A1316" s="11">
        <v>46157</v>
      </c>
      <c r="B1316" s="3">
        <v>5</v>
      </c>
      <c r="C1316" t="s">
        <v>115</v>
      </c>
      <c r="D1316" t="s">
        <v>18</v>
      </c>
      <c r="E1316" s="3">
        <v>15</v>
      </c>
      <c r="F1316" t="s">
        <v>19</v>
      </c>
      <c r="G1316" t="s">
        <v>64</v>
      </c>
      <c r="H1316" t="s">
        <v>31</v>
      </c>
      <c r="I1316" s="12">
        <v>0.60069444444444442</v>
      </c>
      <c r="J1316" t="s">
        <v>65</v>
      </c>
      <c r="K1316" t="s">
        <v>66</v>
      </c>
      <c r="L1316" s="12">
        <v>0.62847222222222221</v>
      </c>
      <c r="M1316" t="s">
        <v>63</v>
      </c>
      <c r="N1316" s="3">
        <v>232</v>
      </c>
      <c r="O1316" t="s">
        <v>24</v>
      </c>
      <c r="P1316" t="s">
        <v>56</v>
      </c>
      <c r="R1316">
        <f>tblDailySchedule[[#This Row],[Capacity Approx]]*'[1]Load Factor Sheet June Acft  '!$B$5</f>
        <v>187.86727272727273</v>
      </c>
      <c r="S1316">
        <f>tblDailySchedule[[#This Row],[Capacity Approx]]*'[1]Load Factor Sheet June Acft  '!$D$5</f>
        <v>203.4218181818182</v>
      </c>
      <c r="T1316" s="22">
        <f>tblDailySchedule[[#This Row],[STD]]</f>
        <v>0.62847222222222221</v>
      </c>
    </row>
    <row r="1317" spans="1:20" hidden="1" x14ac:dyDescent="0.35">
      <c r="A1317" s="11">
        <v>46157</v>
      </c>
      <c r="B1317" s="3">
        <v>5</v>
      </c>
      <c r="C1317" t="s">
        <v>115</v>
      </c>
      <c r="D1317" t="s">
        <v>18</v>
      </c>
      <c r="E1317" s="3">
        <v>16</v>
      </c>
      <c r="F1317" t="s">
        <v>19</v>
      </c>
      <c r="G1317" t="s">
        <v>67</v>
      </c>
      <c r="H1317" t="s">
        <v>31</v>
      </c>
      <c r="I1317" s="12">
        <v>0.65625</v>
      </c>
      <c r="J1317" t="s">
        <v>68</v>
      </c>
      <c r="K1317" t="s">
        <v>31</v>
      </c>
      <c r="L1317" s="12">
        <v>0.68402777777777779</v>
      </c>
      <c r="M1317" t="s">
        <v>63</v>
      </c>
      <c r="N1317" s="3">
        <v>232</v>
      </c>
      <c r="O1317" t="s">
        <v>24</v>
      </c>
      <c r="P1317" t="s">
        <v>56</v>
      </c>
      <c r="R1317">
        <f>tblDailySchedule[[#This Row],[Capacity Approx]]*'[1]Load Factor Sheet June Acft  '!$B$5</f>
        <v>187.86727272727273</v>
      </c>
      <c r="S1317">
        <f>tblDailySchedule[[#This Row],[Capacity Approx]]*'[1]Load Factor Sheet June Acft  '!$D$5</f>
        <v>203.4218181818182</v>
      </c>
      <c r="T1317" s="22">
        <f>tblDailySchedule[[#This Row],[STD]]</f>
        <v>0.68402777777777779</v>
      </c>
    </row>
    <row r="1318" spans="1:20" hidden="1" x14ac:dyDescent="0.35">
      <c r="A1318" s="11">
        <v>46157</v>
      </c>
      <c r="B1318" s="3">
        <v>5</v>
      </c>
      <c r="C1318" t="s">
        <v>115</v>
      </c>
      <c r="D1318" t="s">
        <v>18</v>
      </c>
      <c r="E1318" s="3">
        <v>17</v>
      </c>
      <c r="F1318" t="s">
        <v>19</v>
      </c>
      <c r="G1318" t="s">
        <v>69</v>
      </c>
      <c r="H1318" t="s">
        <v>31</v>
      </c>
      <c r="I1318" s="12">
        <v>0.66319444444444442</v>
      </c>
      <c r="J1318" t="s">
        <v>70</v>
      </c>
      <c r="K1318" t="s">
        <v>31</v>
      </c>
      <c r="L1318" s="12">
        <v>0.69097222222222221</v>
      </c>
      <c r="M1318" t="s">
        <v>33</v>
      </c>
      <c r="N1318" s="3">
        <v>189</v>
      </c>
      <c r="O1318" t="s">
        <v>24</v>
      </c>
      <c r="P1318" t="s">
        <v>56</v>
      </c>
      <c r="R1318">
        <f>tblDailySchedule[[#This Row],[Capacity Approx]]*'[1]Load Factor Sheet June Acft  '!$B$5</f>
        <v>153.04704545454547</v>
      </c>
      <c r="S1318">
        <f>tblDailySchedule[[#This Row],[Capacity Approx]]*'[1]Load Factor Sheet June Acft  '!$D$5</f>
        <v>165.71863636363636</v>
      </c>
      <c r="T1318" s="22">
        <f>tblDailySchedule[[#This Row],[STD]]</f>
        <v>0.69097222222222221</v>
      </c>
    </row>
    <row r="1319" spans="1:20" hidden="1" x14ac:dyDescent="0.35">
      <c r="A1319" s="11">
        <v>46157</v>
      </c>
      <c r="B1319" s="3">
        <v>5</v>
      </c>
      <c r="C1319" t="s">
        <v>115</v>
      </c>
      <c r="D1319" t="s">
        <v>18</v>
      </c>
      <c r="E1319" s="3">
        <v>18</v>
      </c>
      <c r="F1319" t="s">
        <v>19</v>
      </c>
      <c r="G1319" t="s">
        <v>71</v>
      </c>
      <c r="H1319" t="s">
        <v>21</v>
      </c>
      <c r="I1319" s="12">
        <v>0.67013888888888884</v>
      </c>
      <c r="J1319" t="s">
        <v>72</v>
      </c>
      <c r="K1319" t="s">
        <v>21</v>
      </c>
      <c r="L1319" s="12">
        <v>0.69791666666666663</v>
      </c>
      <c r="M1319" t="s">
        <v>63</v>
      </c>
      <c r="N1319" s="3">
        <v>232</v>
      </c>
      <c r="O1319" t="s">
        <v>24</v>
      </c>
      <c r="P1319" t="s">
        <v>56</v>
      </c>
      <c r="R1319">
        <f>tblDailySchedule[[#This Row],[Capacity Approx]]*'[1]Load Factor Sheet June Acft  '!$B$5</f>
        <v>187.86727272727273</v>
      </c>
      <c r="S1319">
        <f>tblDailySchedule[[#This Row],[Capacity Approx]]*'[1]Load Factor Sheet June Acft  '!$D$5</f>
        <v>203.4218181818182</v>
      </c>
      <c r="T1319" s="22">
        <f>tblDailySchedule[[#This Row],[STD]]</f>
        <v>0.69791666666666663</v>
      </c>
    </row>
    <row r="1320" spans="1:20" hidden="1" x14ac:dyDescent="0.35">
      <c r="A1320" s="11">
        <v>46157</v>
      </c>
      <c r="B1320" s="3">
        <v>5</v>
      </c>
      <c r="C1320" t="s">
        <v>115</v>
      </c>
      <c r="D1320" t="s">
        <v>18</v>
      </c>
      <c r="E1320" s="3">
        <v>19</v>
      </c>
      <c r="F1320" t="s">
        <v>19</v>
      </c>
      <c r="G1320" t="s">
        <v>73</v>
      </c>
      <c r="H1320" t="s">
        <v>27</v>
      </c>
      <c r="I1320" s="12">
        <v>0.74652777777777779</v>
      </c>
      <c r="J1320" t="s">
        <v>74</v>
      </c>
      <c r="K1320" t="s">
        <v>27</v>
      </c>
      <c r="L1320" s="12">
        <v>0.77430555555555558</v>
      </c>
      <c r="M1320" t="s">
        <v>63</v>
      </c>
      <c r="N1320" s="3">
        <v>232</v>
      </c>
      <c r="O1320" t="s">
        <v>24</v>
      </c>
      <c r="P1320" t="s">
        <v>56</v>
      </c>
      <c r="R1320">
        <f>tblDailySchedule[[#This Row],[Capacity Approx]]*'[1]Load Factor Sheet June Acft  '!$B$5</f>
        <v>187.86727272727273</v>
      </c>
      <c r="S1320">
        <f>tblDailySchedule[[#This Row],[Capacity Approx]]*'[1]Load Factor Sheet June Acft  '!$D$5</f>
        <v>203.4218181818182</v>
      </c>
      <c r="T1320" s="22">
        <f>tblDailySchedule[[#This Row],[STD]]</f>
        <v>0.77430555555555558</v>
      </c>
    </row>
    <row r="1321" spans="1:20" hidden="1" x14ac:dyDescent="0.35">
      <c r="A1321" s="11">
        <v>46157</v>
      </c>
      <c r="B1321" s="3">
        <v>5</v>
      </c>
      <c r="C1321" t="s">
        <v>115</v>
      </c>
      <c r="D1321" t="s">
        <v>18</v>
      </c>
      <c r="E1321" s="3">
        <v>20</v>
      </c>
      <c r="F1321" t="s">
        <v>34</v>
      </c>
      <c r="G1321" t="s">
        <v>75</v>
      </c>
      <c r="H1321" t="s">
        <v>76</v>
      </c>
      <c r="I1321" s="12">
        <v>0.76388888888888884</v>
      </c>
      <c r="J1321" t="s">
        <v>77</v>
      </c>
      <c r="K1321" t="s">
        <v>78</v>
      </c>
      <c r="L1321" s="12">
        <v>0.78472222222222221</v>
      </c>
      <c r="M1321" t="s">
        <v>51</v>
      </c>
      <c r="N1321" s="3">
        <v>78</v>
      </c>
      <c r="O1321" t="s">
        <v>24</v>
      </c>
      <c r="P1321" t="s">
        <v>79</v>
      </c>
      <c r="Q1321" s="16" t="s">
        <v>80</v>
      </c>
      <c r="R1321">
        <f>tblDailySchedule[[#This Row],[Capacity Approx]]*'[1]Load Factor Sheet June Acft  '!$B$5</f>
        <v>63.162272727272729</v>
      </c>
      <c r="S1321">
        <f>tblDailySchedule[[#This Row],[Capacity Approx]]*'[1]Load Factor Sheet June Acft  '!$D$5</f>
        <v>68.391818181818181</v>
      </c>
      <c r="T1321" s="22">
        <f>tblDailySchedule[[#This Row],[STD]]</f>
        <v>0.78472222222222221</v>
      </c>
    </row>
    <row r="1322" spans="1:20" hidden="1" x14ac:dyDescent="0.35">
      <c r="A1322" s="11">
        <v>46157</v>
      </c>
      <c r="B1322" s="3">
        <v>5</v>
      </c>
      <c r="C1322" t="s">
        <v>115</v>
      </c>
      <c r="D1322" t="s">
        <v>18</v>
      </c>
      <c r="E1322" s="3">
        <v>21</v>
      </c>
      <c r="F1322" t="s">
        <v>19</v>
      </c>
      <c r="G1322" t="s">
        <v>81</v>
      </c>
      <c r="H1322" t="s">
        <v>61</v>
      </c>
      <c r="I1322" s="12">
        <v>0.77083333333333337</v>
      </c>
      <c r="J1322" t="s">
        <v>82</v>
      </c>
      <c r="K1322" t="s">
        <v>49</v>
      </c>
      <c r="L1322" s="12">
        <v>0.79166666666666663</v>
      </c>
      <c r="M1322" t="s">
        <v>33</v>
      </c>
      <c r="N1322" s="3">
        <v>189</v>
      </c>
      <c r="O1322" t="s">
        <v>24</v>
      </c>
      <c r="P1322" t="s">
        <v>79</v>
      </c>
      <c r="R1322">
        <f>tblDailySchedule[[#This Row],[Capacity Approx]]*'[1]Load Factor Sheet June Acft  '!$B$5</f>
        <v>153.04704545454547</v>
      </c>
      <c r="S1322">
        <f>tblDailySchedule[[#This Row],[Capacity Approx]]*'[1]Load Factor Sheet June Acft  '!$D$5</f>
        <v>165.71863636363636</v>
      </c>
      <c r="T1322" s="22">
        <f>tblDailySchedule[[#This Row],[STD]]</f>
        <v>0.79166666666666663</v>
      </c>
    </row>
    <row r="1323" spans="1:20" hidden="1" x14ac:dyDescent="0.35">
      <c r="A1323" s="11">
        <v>46157</v>
      </c>
      <c r="B1323" s="3">
        <v>5</v>
      </c>
      <c r="C1323" t="s">
        <v>115</v>
      </c>
      <c r="D1323" t="s">
        <v>18</v>
      </c>
      <c r="E1323" s="3">
        <v>22</v>
      </c>
      <c r="F1323" t="s">
        <v>19</v>
      </c>
      <c r="G1323" t="s">
        <v>83</v>
      </c>
      <c r="H1323" t="s">
        <v>31</v>
      </c>
      <c r="I1323" s="12">
        <v>0.77777777777777779</v>
      </c>
      <c r="J1323" t="s">
        <v>84</v>
      </c>
      <c r="K1323" t="s">
        <v>31</v>
      </c>
      <c r="L1323" s="12">
        <v>0.80555555555555558</v>
      </c>
      <c r="M1323" t="s">
        <v>63</v>
      </c>
      <c r="N1323" s="3">
        <v>232</v>
      </c>
      <c r="O1323" t="s">
        <v>24</v>
      </c>
      <c r="P1323" t="s">
        <v>79</v>
      </c>
      <c r="R1323">
        <f>tblDailySchedule[[#This Row],[Capacity Approx]]*'[1]Load Factor Sheet June Acft  '!$B$5</f>
        <v>187.86727272727273</v>
      </c>
      <c r="S1323">
        <f>tblDailySchedule[[#This Row],[Capacity Approx]]*'[1]Load Factor Sheet June Acft  '!$D$5</f>
        <v>203.4218181818182</v>
      </c>
      <c r="T1323" s="22">
        <f>tblDailySchedule[[#This Row],[STD]]</f>
        <v>0.80555555555555558</v>
      </c>
    </row>
    <row r="1324" spans="1:20" hidden="1" x14ac:dyDescent="0.35">
      <c r="A1324" s="11">
        <v>46157</v>
      </c>
      <c r="B1324" s="3">
        <v>5</v>
      </c>
      <c r="C1324" t="s">
        <v>115</v>
      </c>
      <c r="D1324" t="s">
        <v>18</v>
      </c>
      <c r="E1324" s="3">
        <v>23</v>
      </c>
      <c r="F1324" t="s">
        <v>19</v>
      </c>
      <c r="G1324" t="s">
        <v>85</v>
      </c>
      <c r="H1324" t="s">
        <v>86</v>
      </c>
      <c r="I1324" s="12">
        <v>0.79861111111111116</v>
      </c>
      <c r="J1324" t="s">
        <v>87</v>
      </c>
      <c r="K1324" t="s">
        <v>86</v>
      </c>
      <c r="L1324" s="12">
        <v>0.82638888888888884</v>
      </c>
      <c r="M1324" t="s">
        <v>63</v>
      </c>
      <c r="N1324" s="3">
        <v>232</v>
      </c>
      <c r="O1324" t="s">
        <v>24</v>
      </c>
      <c r="P1324" t="s">
        <v>79</v>
      </c>
      <c r="R1324">
        <f>tblDailySchedule[[#This Row],[Capacity Approx]]*'[1]Load Factor Sheet June Acft  '!$B$5</f>
        <v>187.86727272727273</v>
      </c>
      <c r="S1324">
        <f>tblDailySchedule[[#This Row],[Capacity Approx]]*'[1]Load Factor Sheet June Acft  '!$D$5</f>
        <v>203.4218181818182</v>
      </c>
      <c r="T1324" s="22">
        <f>tblDailySchedule[[#This Row],[STD]]</f>
        <v>0.82638888888888884</v>
      </c>
    </row>
    <row r="1325" spans="1:20" hidden="1" x14ac:dyDescent="0.35">
      <c r="A1325" s="11">
        <v>46157</v>
      </c>
      <c r="B1325" s="3">
        <v>5</v>
      </c>
      <c r="C1325" t="s">
        <v>115</v>
      </c>
      <c r="D1325" t="s">
        <v>18</v>
      </c>
      <c r="E1325" s="3">
        <v>24</v>
      </c>
      <c r="F1325" t="s">
        <v>19</v>
      </c>
      <c r="G1325" t="s">
        <v>88</v>
      </c>
      <c r="H1325" t="s">
        <v>89</v>
      </c>
      <c r="I1325" s="12">
        <v>0.83333333333333337</v>
      </c>
      <c r="J1325" t="s">
        <v>90</v>
      </c>
      <c r="K1325" t="s">
        <v>31</v>
      </c>
      <c r="L1325" s="12">
        <v>0.86111111111111116</v>
      </c>
      <c r="M1325" t="s">
        <v>63</v>
      </c>
      <c r="N1325" s="3">
        <v>232</v>
      </c>
      <c r="O1325" t="s">
        <v>24</v>
      </c>
      <c r="P1325" t="s">
        <v>79</v>
      </c>
      <c r="R1325">
        <f>tblDailySchedule[[#This Row],[Capacity Approx]]*'[1]Load Factor Sheet June Acft  '!$B$5</f>
        <v>187.86727272727273</v>
      </c>
      <c r="S1325">
        <f>tblDailySchedule[[#This Row],[Capacity Approx]]*'[1]Load Factor Sheet June Acft  '!$D$5</f>
        <v>203.4218181818182</v>
      </c>
      <c r="T1325" s="22">
        <f>tblDailySchedule[[#This Row],[STD]]</f>
        <v>0.86111111111111116</v>
      </c>
    </row>
    <row r="1326" spans="1:20" hidden="1" x14ac:dyDescent="0.35">
      <c r="A1326" s="11">
        <v>46157</v>
      </c>
      <c r="B1326" s="3">
        <v>5</v>
      </c>
      <c r="C1326" t="s">
        <v>115</v>
      </c>
      <c r="D1326" t="s">
        <v>18</v>
      </c>
      <c r="E1326" s="3">
        <v>25</v>
      </c>
      <c r="F1326" t="s">
        <v>19</v>
      </c>
      <c r="G1326" t="s">
        <v>91</v>
      </c>
      <c r="H1326" t="s">
        <v>61</v>
      </c>
      <c r="I1326" s="12">
        <v>0.85416666666666663</v>
      </c>
      <c r="J1326" t="s">
        <v>92</v>
      </c>
      <c r="K1326" t="s">
        <v>61</v>
      </c>
      <c r="L1326" s="12">
        <v>0.88194444444444442</v>
      </c>
      <c r="M1326" t="s">
        <v>63</v>
      </c>
      <c r="N1326" s="3">
        <v>232</v>
      </c>
      <c r="O1326" t="s">
        <v>24</v>
      </c>
      <c r="P1326" t="s">
        <v>79</v>
      </c>
      <c r="R1326">
        <f>tblDailySchedule[[#This Row],[Capacity Approx]]*'[1]Load Factor Sheet June Acft  '!$B$5</f>
        <v>187.86727272727273</v>
      </c>
      <c r="S1326">
        <f>tblDailySchedule[[#This Row],[Capacity Approx]]*'[1]Load Factor Sheet June Acft  '!$D$5</f>
        <v>203.4218181818182</v>
      </c>
      <c r="T1326" s="22">
        <f>tblDailySchedule[[#This Row],[STD]]</f>
        <v>0.88194444444444442</v>
      </c>
    </row>
    <row r="1327" spans="1:20" hidden="1" x14ac:dyDescent="0.35">
      <c r="A1327" s="11">
        <v>46157</v>
      </c>
      <c r="B1327" s="3">
        <v>5</v>
      </c>
      <c r="C1327" t="s">
        <v>115</v>
      </c>
      <c r="D1327" t="s">
        <v>18</v>
      </c>
      <c r="E1327" s="3">
        <v>26</v>
      </c>
      <c r="F1327" t="s">
        <v>19</v>
      </c>
      <c r="G1327" t="s">
        <v>93</v>
      </c>
      <c r="H1327" t="s">
        <v>31</v>
      </c>
      <c r="I1327" s="12">
        <v>0.86111111111111116</v>
      </c>
      <c r="J1327" t="s">
        <v>94</v>
      </c>
      <c r="K1327" t="s">
        <v>31</v>
      </c>
      <c r="L1327" s="12">
        <v>0.88888888888888884</v>
      </c>
      <c r="M1327" t="s">
        <v>23</v>
      </c>
      <c r="N1327" s="3">
        <v>186</v>
      </c>
      <c r="O1327" t="s">
        <v>24</v>
      </c>
      <c r="P1327" t="s">
        <v>79</v>
      </c>
      <c r="R1327">
        <f>tblDailySchedule[[#This Row],[Capacity Approx]]*'[1]Load Factor Sheet June Acft  '!$B$5</f>
        <v>150.61772727272728</v>
      </c>
      <c r="S1327">
        <f>tblDailySchedule[[#This Row],[Capacity Approx]]*'[1]Load Factor Sheet June Acft  '!$D$5</f>
        <v>163.08818181818182</v>
      </c>
      <c r="T1327" s="22">
        <f>tblDailySchedule[[#This Row],[STD]]</f>
        <v>0.88888888888888884</v>
      </c>
    </row>
    <row r="1328" spans="1:20" hidden="1" x14ac:dyDescent="0.35">
      <c r="A1328" s="11">
        <v>46157</v>
      </c>
      <c r="B1328" s="3">
        <v>5</v>
      </c>
      <c r="C1328" t="s">
        <v>115</v>
      </c>
      <c r="D1328" t="s">
        <v>18</v>
      </c>
      <c r="E1328" s="3">
        <v>27</v>
      </c>
      <c r="F1328" t="s">
        <v>19</v>
      </c>
      <c r="G1328" t="s">
        <v>95</v>
      </c>
      <c r="H1328" t="s">
        <v>21</v>
      </c>
      <c r="I1328" s="12">
        <v>0.86805555555555558</v>
      </c>
      <c r="J1328" t="s">
        <v>96</v>
      </c>
      <c r="K1328" t="s">
        <v>21</v>
      </c>
      <c r="L1328" s="12">
        <v>0.89583333333333337</v>
      </c>
      <c r="M1328" t="s">
        <v>29</v>
      </c>
      <c r="N1328" s="3">
        <v>186</v>
      </c>
      <c r="O1328" t="s">
        <v>24</v>
      </c>
      <c r="P1328" t="s">
        <v>79</v>
      </c>
      <c r="R1328">
        <f>tblDailySchedule[[#This Row],[Capacity Approx]]*'[1]Load Factor Sheet June Acft  '!$B$5</f>
        <v>150.61772727272728</v>
      </c>
      <c r="S1328">
        <f>tblDailySchedule[[#This Row],[Capacity Approx]]*'[1]Load Factor Sheet June Acft  '!$D$5</f>
        <v>163.08818181818182</v>
      </c>
      <c r="T1328" s="22">
        <f>tblDailySchedule[[#This Row],[STD]]</f>
        <v>0.89583333333333337</v>
      </c>
    </row>
    <row r="1329" spans="1:20" hidden="1" x14ac:dyDescent="0.35">
      <c r="A1329" s="11">
        <v>46157</v>
      </c>
      <c r="B1329" s="3">
        <v>5</v>
      </c>
      <c r="C1329" t="s">
        <v>115</v>
      </c>
      <c r="D1329" t="s">
        <v>18</v>
      </c>
      <c r="E1329" s="3">
        <v>28</v>
      </c>
      <c r="F1329" t="s">
        <v>19</v>
      </c>
      <c r="G1329" t="s">
        <v>97</v>
      </c>
      <c r="H1329" t="s">
        <v>49</v>
      </c>
      <c r="I1329" s="12">
        <v>0.90277777777777779</v>
      </c>
      <c r="J1329" t="s">
        <v>97</v>
      </c>
      <c r="K1329" t="s">
        <v>61</v>
      </c>
      <c r="L1329" s="12">
        <v>0.92361111111111116</v>
      </c>
      <c r="M1329" t="s">
        <v>33</v>
      </c>
      <c r="N1329" s="3">
        <v>189</v>
      </c>
      <c r="O1329" t="s">
        <v>24</v>
      </c>
      <c r="P1329" t="s">
        <v>79</v>
      </c>
      <c r="R1329">
        <f>tblDailySchedule[[#This Row],[Capacity Approx]]*'[1]Load Factor Sheet June Acft  '!$B$5</f>
        <v>153.04704545454547</v>
      </c>
      <c r="S1329">
        <f>tblDailySchedule[[#This Row],[Capacity Approx]]*'[1]Load Factor Sheet June Acft  '!$D$5</f>
        <v>165.71863636363636</v>
      </c>
      <c r="T1329" s="22">
        <f>tblDailySchedule[[#This Row],[STD]]</f>
        <v>0.92361111111111116</v>
      </c>
    </row>
    <row r="1330" spans="1:20" hidden="1" x14ac:dyDescent="0.35">
      <c r="A1330" s="11">
        <v>46157</v>
      </c>
      <c r="B1330" s="3">
        <v>5</v>
      </c>
      <c r="C1330" t="s">
        <v>115</v>
      </c>
      <c r="D1330" t="s">
        <v>18</v>
      </c>
      <c r="E1330" s="3">
        <v>29</v>
      </c>
      <c r="F1330" t="s">
        <v>19</v>
      </c>
      <c r="G1330" t="s">
        <v>98</v>
      </c>
      <c r="H1330" t="s">
        <v>21</v>
      </c>
      <c r="I1330" s="12">
        <v>0.92013888888888884</v>
      </c>
      <c r="J1330" t="s">
        <v>99</v>
      </c>
      <c r="K1330" t="s">
        <v>21</v>
      </c>
      <c r="L1330" s="12">
        <v>0.94791666666666663</v>
      </c>
      <c r="M1330" t="s">
        <v>63</v>
      </c>
      <c r="N1330" s="3">
        <v>232</v>
      </c>
      <c r="O1330" t="s">
        <v>24</v>
      </c>
      <c r="P1330" t="s">
        <v>79</v>
      </c>
      <c r="R1330">
        <f>tblDailySchedule[[#This Row],[Capacity Approx]]*'[1]Load Factor Sheet June Acft  '!$B$5</f>
        <v>187.86727272727273</v>
      </c>
      <c r="S1330">
        <f>tblDailySchedule[[#This Row],[Capacity Approx]]*'[1]Load Factor Sheet June Acft  '!$D$5</f>
        <v>203.4218181818182</v>
      </c>
      <c r="T1330" s="22">
        <f>tblDailySchedule[[#This Row],[STD]]</f>
        <v>0.94791666666666663</v>
      </c>
    </row>
    <row r="1331" spans="1:20" hidden="1" x14ac:dyDescent="0.35">
      <c r="A1331" s="13">
        <v>46157</v>
      </c>
      <c r="B1331" s="7">
        <v>5</v>
      </c>
      <c r="C1331" s="14" t="s">
        <v>115</v>
      </c>
      <c r="D1331" s="14" t="s">
        <v>18</v>
      </c>
      <c r="E1331" s="7">
        <v>30</v>
      </c>
      <c r="F1331" s="14" t="s">
        <v>104</v>
      </c>
      <c r="G1331" s="14" t="s">
        <v>105</v>
      </c>
      <c r="H1331" s="14" t="s">
        <v>106</v>
      </c>
      <c r="I1331" s="15">
        <v>0.92708333333333337</v>
      </c>
      <c r="J1331" s="14" t="s">
        <v>107</v>
      </c>
      <c r="K1331" s="14" t="s">
        <v>106</v>
      </c>
      <c r="L1331" s="15">
        <v>0.95833333333333337</v>
      </c>
      <c r="M1331" s="14" t="s">
        <v>38</v>
      </c>
      <c r="N1331" s="7">
        <v>186</v>
      </c>
      <c r="O1331" s="14" t="s">
        <v>39</v>
      </c>
      <c r="P1331" s="14" t="s">
        <v>79</v>
      </c>
      <c r="Q1331" s="14" t="s">
        <v>39</v>
      </c>
      <c r="R1331">
        <f>tblDailySchedule[[#This Row],[Capacity Approx]]*'[1]Load Factor Sheet June Acft  '!$B$5</f>
        <v>150.61772727272728</v>
      </c>
      <c r="S1331">
        <f>tblDailySchedule[[#This Row],[Capacity Approx]]*'[1]Load Factor Sheet June Acft  '!$D$5</f>
        <v>163.08818181818182</v>
      </c>
      <c r="T1331" s="22">
        <f>tblDailySchedule[[#This Row],[STD]]</f>
        <v>0.95833333333333337</v>
      </c>
    </row>
    <row r="1332" spans="1:20" hidden="1" x14ac:dyDescent="0.35">
      <c r="A1332" s="11">
        <v>46158</v>
      </c>
      <c r="B1332" s="3">
        <v>6</v>
      </c>
      <c r="C1332" t="s">
        <v>116</v>
      </c>
      <c r="D1332" t="s">
        <v>18</v>
      </c>
      <c r="E1332" s="3">
        <v>1</v>
      </c>
      <c r="F1332" t="s">
        <v>101</v>
      </c>
      <c r="G1332" t="s">
        <v>102</v>
      </c>
      <c r="H1332" t="s">
        <v>61</v>
      </c>
      <c r="I1332" s="12">
        <v>0.3125</v>
      </c>
      <c r="J1332" t="s">
        <v>103</v>
      </c>
      <c r="K1332" t="s">
        <v>61</v>
      </c>
      <c r="L1332" s="12">
        <v>0.33333333333333331</v>
      </c>
      <c r="M1332" t="s">
        <v>33</v>
      </c>
      <c r="N1332" s="3">
        <v>189</v>
      </c>
      <c r="O1332" t="s">
        <v>24</v>
      </c>
      <c r="P1332" t="s">
        <v>25</v>
      </c>
      <c r="R1332">
        <f>tblDailySchedule[[#This Row],[Capacity Approx]]*'[1]Load Factor Sheet June Acft  '!$B$5</f>
        <v>153.04704545454547</v>
      </c>
      <c r="S1332">
        <f>tblDailySchedule[[#This Row],[Capacity Approx]]*'[1]Load Factor Sheet June Acft  '!$D$5</f>
        <v>165.71863636363636</v>
      </c>
      <c r="T1332" s="22">
        <f>tblDailySchedule[[#This Row],[STD]]</f>
        <v>0.33333333333333331</v>
      </c>
    </row>
    <row r="1333" spans="1:20" hidden="1" x14ac:dyDescent="0.35">
      <c r="A1333" s="11">
        <v>46158</v>
      </c>
      <c r="B1333" s="3">
        <v>6</v>
      </c>
      <c r="C1333" t="s">
        <v>116</v>
      </c>
      <c r="D1333" t="s">
        <v>18</v>
      </c>
      <c r="E1333" s="3">
        <v>2</v>
      </c>
      <c r="F1333" t="s">
        <v>19</v>
      </c>
      <c r="G1333" t="s">
        <v>20</v>
      </c>
      <c r="H1333" t="s">
        <v>21</v>
      </c>
      <c r="I1333" s="12">
        <v>0.31944444444444442</v>
      </c>
      <c r="J1333" t="s">
        <v>22</v>
      </c>
      <c r="K1333" t="s">
        <v>21</v>
      </c>
      <c r="L1333" s="12">
        <v>0.34722222222222221</v>
      </c>
      <c r="M1333" t="s">
        <v>23</v>
      </c>
      <c r="N1333" s="3">
        <v>186</v>
      </c>
      <c r="O1333" t="s">
        <v>24</v>
      </c>
      <c r="P1333" t="s">
        <v>25</v>
      </c>
      <c r="R1333">
        <f>tblDailySchedule[[#This Row],[Capacity Approx]]*'[1]Load Factor Sheet June Acft  '!$B$5</f>
        <v>150.61772727272728</v>
      </c>
      <c r="S1333">
        <f>tblDailySchedule[[#This Row],[Capacity Approx]]*'[1]Load Factor Sheet June Acft  '!$D$5</f>
        <v>163.08818181818182</v>
      </c>
      <c r="T1333" s="22">
        <f>tblDailySchedule[[#This Row],[STD]]</f>
        <v>0.34722222222222221</v>
      </c>
    </row>
    <row r="1334" spans="1:20" hidden="1" x14ac:dyDescent="0.35">
      <c r="A1334" s="11">
        <v>46158</v>
      </c>
      <c r="B1334" s="3">
        <v>6</v>
      </c>
      <c r="C1334" t="s">
        <v>116</v>
      </c>
      <c r="D1334" t="s">
        <v>18</v>
      </c>
      <c r="E1334" s="3">
        <v>3</v>
      </c>
      <c r="F1334" t="s">
        <v>19</v>
      </c>
      <c r="G1334" t="s">
        <v>26</v>
      </c>
      <c r="H1334" t="s">
        <v>27</v>
      </c>
      <c r="I1334" s="12">
        <v>0.3263888888888889</v>
      </c>
      <c r="J1334" t="s">
        <v>28</v>
      </c>
      <c r="K1334" t="s">
        <v>27</v>
      </c>
      <c r="L1334" s="12">
        <v>0.35416666666666669</v>
      </c>
      <c r="M1334" t="s">
        <v>29</v>
      </c>
      <c r="N1334" s="3">
        <v>186</v>
      </c>
      <c r="O1334" t="s">
        <v>24</v>
      </c>
      <c r="P1334" t="s">
        <v>25</v>
      </c>
      <c r="R1334">
        <f>tblDailySchedule[[#This Row],[Capacity Approx]]*'[1]Load Factor Sheet June Acft  '!$B$5</f>
        <v>150.61772727272728</v>
      </c>
      <c r="S1334">
        <f>tblDailySchedule[[#This Row],[Capacity Approx]]*'[1]Load Factor Sheet June Acft  '!$D$5</f>
        <v>163.08818181818182</v>
      </c>
      <c r="T1334" s="22">
        <f>tblDailySchedule[[#This Row],[STD]]</f>
        <v>0.35416666666666669</v>
      </c>
    </row>
    <row r="1335" spans="1:20" hidden="1" x14ac:dyDescent="0.35">
      <c r="A1335" s="11">
        <v>46158</v>
      </c>
      <c r="B1335" s="3">
        <v>6</v>
      </c>
      <c r="C1335" t="s">
        <v>116</v>
      </c>
      <c r="D1335" t="s">
        <v>18</v>
      </c>
      <c r="E1335" s="3">
        <v>4</v>
      </c>
      <c r="F1335" t="s">
        <v>19</v>
      </c>
      <c r="G1335" t="s">
        <v>30</v>
      </c>
      <c r="H1335" t="s">
        <v>31</v>
      </c>
      <c r="I1335" s="12">
        <v>0.34722222222222221</v>
      </c>
      <c r="J1335" t="s">
        <v>32</v>
      </c>
      <c r="K1335" t="s">
        <v>31</v>
      </c>
      <c r="L1335" s="12">
        <v>0.36805555555555558</v>
      </c>
      <c r="M1335" t="s">
        <v>33</v>
      </c>
      <c r="N1335" s="3">
        <v>189</v>
      </c>
      <c r="O1335" t="s">
        <v>24</v>
      </c>
      <c r="P1335" t="s">
        <v>25</v>
      </c>
      <c r="R1335">
        <f>tblDailySchedule[[#This Row],[Capacity Approx]]*'[1]Load Factor Sheet June Acft  '!$B$5</f>
        <v>153.04704545454547</v>
      </c>
      <c r="S1335">
        <f>tblDailySchedule[[#This Row],[Capacity Approx]]*'[1]Load Factor Sheet June Acft  '!$D$5</f>
        <v>165.71863636363636</v>
      </c>
      <c r="T1335" s="22">
        <f>tblDailySchedule[[#This Row],[STD]]</f>
        <v>0.36805555555555558</v>
      </c>
    </row>
    <row r="1336" spans="1:20" hidden="1" x14ac:dyDescent="0.35">
      <c r="A1336" s="11">
        <v>46158</v>
      </c>
      <c r="B1336" s="3">
        <v>6</v>
      </c>
      <c r="C1336" t="s">
        <v>116</v>
      </c>
      <c r="D1336" t="s">
        <v>18</v>
      </c>
      <c r="E1336" s="3">
        <v>5</v>
      </c>
      <c r="F1336" t="s">
        <v>19</v>
      </c>
      <c r="G1336" t="s">
        <v>40</v>
      </c>
      <c r="H1336" t="s">
        <v>31</v>
      </c>
      <c r="I1336" s="12">
        <v>0.35069444444444442</v>
      </c>
      <c r="J1336" t="s">
        <v>41</v>
      </c>
      <c r="K1336" t="s">
        <v>31</v>
      </c>
      <c r="L1336" s="12">
        <v>0.37152777777777779</v>
      </c>
      <c r="M1336" t="s">
        <v>23</v>
      </c>
      <c r="N1336" s="3">
        <v>186</v>
      </c>
      <c r="O1336" t="s">
        <v>24</v>
      </c>
      <c r="P1336" t="s">
        <v>25</v>
      </c>
      <c r="R1336">
        <f>tblDailySchedule[[#This Row],[Capacity Approx]]*'[1]Load Factor Sheet June Acft  '!$B$5</f>
        <v>150.61772727272728</v>
      </c>
      <c r="S1336">
        <f>tblDailySchedule[[#This Row],[Capacity Approx]]*'[1]Load Factor Sheet June Acft  '!$D$5</f>
        <v>163.08818181818182</v>
      </c>
      <c r="T1336" s="22">
        <f>tblDailySchedule[[#This Row],[STD]]</f>
        <v>0.37152777777777779</v>
      </c>
    </row>
    <row r="1337" spans="1:20" hidden="1" x14ac:dyDescent="0.35">
      <c r="A1337" s="11">
        <v>46158</v>
      </c>
      <c r="B1337" s="3">
        <v>6</v>
      </c>
      <c r="C1337" t="s">
        <v>116</v>
      </c>
      <c r="D1337" t="s">
        <v>18</v>
      </c>
      <c r="E1337" s="3">
        <v>7</v>
      </c>
      <c r="F1337" t="s">
        <v>19</v>
      </c>
      <c r="G1337" t="s">
        <v>42</v>
      </c>
      <c r="H1337" t="s">
        <v>43</v>
      </c>
      <c r="I1337" s="12">
        <v>0.3923611111111111</v>
      </c>
      <c r="J1337" t="s">
        <v>44</v>
      </c>
      <c r="K1337" t="s">
        <v>43</v>
      </c>
      <c r="L1337" s="12">
        <v>0.40277777777777779</v>
      </c>
      <c r="M1337" t="s">
        <v>45</v>
      </c>
      <c r="N1337" s="3">
        <v>9</v>
      </c>
      <c r="O1337" t="s">
        <v>24</v>
      </c>
      <c r="P1337" t="s">
        <v>25</v>
      </c>
      <c r="R1337">
        <f>tblDailySchedule[[#This Row],[Capacity Approx]]*'[1]Load Factor Sheet June Acft  '!$B$5</f>
        <v>7.2879545454545456</v>
      </c>
      <c r="S1337">
        <f>tblDailySchedule[[#This Row],[Capacity Approx]]*'[1]Load Factor Sheet June Acft  '!$D$5</f>
        <v>7.8913636363636366</v>
      </c>
      <c r="T1337" s="22">
        <f>tblDailySchedule[[#This Row],[STD]]</f>
        <v>0.40277777777777779</v>
      </c>
    </row>
    <row r="1338" spans="1:20" hidden="1" x14ac:dyDescent="0.35">
      <c r="A1338" s="11">
        <v>46158</v>
      </c>
      <c r="B1338" s="3">
        <v>6</v>
      </c>
      <c r="C1338" t="s">
        <v>116</v>
      </c>
      <c r="D1338" t="s">
        <v>18</v>
      </c>
      <c r="E1338" s="3">
        <v>8</v>
      </c>
      <c r="F1338" t="s">
        <v>19</v>
      </c>
      <c r="G1338" t="s">
        <v>46</v>
      </c>
      <c r="H1338" t="s">
        <v>31</v>
      </c>
      <c r="I1338" s="12">
        <v>0.4201388888888889</v>
      </c>
      <c r="J1338" t="s">
        <v>47</v>
      </c>
      <c r="K1338" t="s">
        <v>31</v>
      </c>
      <c r="L1338" s="12">
        <v>0.44444444444444442</v>
      </c>
      <c r="M1338" t="s">
        <v>29</v>
      </c>
      <c r="N1338" s="3">
        <v>186</v>
      </c>
      <c r="O1338" t="s">
        <v>24</v>
      </c>
      <c r="P1338" t="s">
        <v>25</v>
      </c>
      <c r="R1338">
        <f>tblDailySchedule[[#This Row],[Capacity Approx]]*'[1]Load Factor Sheet June Acft  '!$B$5</f>
        <v>150.61772727272728</v>
      </c>
      <c r="S1338">
        <f>tblDailySchedule[[#This Row],[Capacity Approx]]*'[1]Load Factor Sheet June Acft  '!$D$5</f>
        <v>163.08818181818182</v>
      </c>
      <c r="T1338" s="22">
        <f>tblDailySchedule[[#This Row],[STD]]</f>
        <v>0.44444444444444442</v>
      </c>
    </row>
    <row r="1339" spans="1:20" hidden="1" x14ac:dyDescent="0.35">
      <c r="A1339" s="11">
        <v>46158</v>
      </c>
      <c r="B1339" s="3">
        <v>6</v>
      </c>
      <c r="C1339" t="s">
        <v>116</v>
      </c>
      <c r="D1339" t="s">
        <v>18</v>
      </c>
      <c r="E1339" s="3">
        <v>9</v>
      </c>
      <c r="F1339" t="s">
        <v>19</v>
      </c>
      <c r="G1339" t="s">
        <v>48</v>
      </c>
      <c r="H1339" t="s">
        <v>49</v>
      </c>
      <c r="I1339" s="12">
        <v>0.4375</v>
      </c>
      <c r="J1339" t="s">
        <v>50</v>
      </c>
      <c r="K1339" t="s">
        <v>49</v>
      </c>
      <c r="L1339" s="12">
        <v>0.45833333333333331</v>
      </c>
      <c r="M1339" t="s">
        <v>51</v>
      </c>
      <c r="N1339" s="3">
        <v>78</v>
      </c>
      <c r="O1339" t="s">
        <v>24</v>
      </c>
      <c r="P1339" t="s">
        <v>25</v>
      </c>
      <c r="R1339">
        <f>tblDailySchedule[[#This Row],[Capacity Approx]]*'[1]Load Factor Sheet June Acft  '!$B$5</f>
        <v>63.162272727272729</v>
      </c>
      <c r="S1339">
        <f>tblDailySchedule[[#This Row],[Capacity Approx]]*'[1]Load Factor Sheet June Acft  '!$D$5</f>
        <v>68.391818181818181</v>
      </c>
      <c r="T1339" s="22">
        <f>tblDailySchedule[[#This Row],[STD]]</f>
        <v>0.45833333333333331</v>
      </c>
    </row>
    <row r="1340" spans="1:20" hidden="1" x14ac:dyDescent="0.35">
      <c r="A1340" s="11">
        <v>46158</v>
      </c>
      <c r="B1340" s="3">
        <v>6</v>
      </c>
      <c r="C1340" t="s">
        <v>116</v>
      </c>
      <c r="D1340" t="s">
        <v>18</v>
      </c>
      <c r="E1340" s="3">
        <v>10</v>
      </c>
      <c r="F1340" t="s">
        <v>19</v>
      </c>
      <c r="G1340" t="s">
        <v>52</v>
      </c>
      <c r="H1340" t="s">
        <v>27</v>
      </c>
      <c r="I1340" s="12">
        <v>0.4826388888888889</v>
      </c>
      <c r="J1340" t="s">
        <v>53</v>
      </c>
      <c r="K1340" t="s">
        <v>27</v>
      </c>
      <c r="L1340" s="12">
        <v>0.51041666666666663</v>
      </c>
      <c r="M1340" t="s">
        <v>23</v>
      </c>
      <c r="N1340" s="3">
        <v>186</v>
      </c>
      <c r="O1340" t="s">
        <v>24</v>
      </c>
      <c r="P1340" t="s">
        <v>25</v>
      </c>
      <c r="R1340">
        <f>tblDailySchedule[[#This Row],[Capacity Approx]]*'[1]Load Factor Sheet June Acft  '!$B$5</f>
        <v>150.61772727272728</v>
      </c>
      <c r="S1340">
        <f>tblDailySchedule[[#This Row],[Capacity Approx]]*'[1]Load Factor Sheet June Acft  '!$D$5</f>
        <v>163.08818181818182</v>
      </c>
      <c r="T1340" s="22">
        <f>tblDailySchedule[[#This Row],[STD]]</f>
        <v>0.51041666666666663</v>
      </c>
    </row>
    <row r="1341" spans="1:20" hidden="1" x14ac:dyDescent="0.35">
      <c r="A1341" s="11">
        <v>46158</v>
      </c>
      <c r="B1341" s="3">
        <v>6</v>
      </c>
      <c r="C1341" t="s">
        <v>116</v>
      </c>
      <c r="D1341" t="s">
        <v>18</v>
      </c>
      <c r="E1341" s="3">
        <v>11</v>
      </c>
      <c r="F1341" t="s">
        <v>19</v>
      </c>
      <c r="G1341" t="s">
        <v>54</v>
      </c>
      <c r="H1341" t="s">
        <v>31</v>
      </c>
      <c r="I1341" s="12">
        <v>0.51388888888888884</v>
      </c>
      <c r="J1341" t="s">
        <v>55</v>
      </c>
      <c r="K1341" t="s">
        <v>31</v>
      </c>
      <c r="L1341" s="12">
        <v>0.54166666666666663</v>
      </c>
      <c r="M1341" t="s">
        <v>23</v>
      </c>
      <c r="N1341" s="3">
        <v>186</v>
      </c>
      <c r="O1341" t="s">
        <v>24</v>
      </c>
      <c r="P1341" t="s">
        <v>56</v>
      </c>
      <c r="R1341">
        <f>tblDailySchedule[[#This Row],[Capacity Approx]]*'[1]Load Factor Sheet June Acft  '!$B$5</f>
        <v>150.61772727272728</v>
      </c>
      <c r="S1341">
        <f>tblDailySchedule[[#This Row],[Capacity Approx]]*'[1]Load Factor Sheet June Acft  '!$D$5</f>
        <v>163.08818181818182</v>
      </c>
      <c r="T1341" s="22">
        <f>tblDailySchedule[[#This Row],[STD]]</f>
        <v>0.54166666666666663</v>
      </c>
    </row>
    <row r="1342" spans="1:20" hidden="1" x14ac:dyDescent="0.35">
      <c r="A1342" s="11">
        <v>46158</v>
      </c>
      <c r="B1342" s="3">
        <v>6</v>
      </c>
      <c r="C1342" t="s">
        <v>116</v>
      </c>
      <c r="D1342" t="s">
        <v>18</v>
      </c>
      <c r="E1342" s="3">
        <v>12</v>
      </c>
      <c r="F1342" t="s">
        <v>109</v>
      </c>
      <c r="G1342" t="s">
        <v>110</v>
      </c>
      <c r="H1342" t="s">
        <v>111</v>
      </c>
      <c r="I1342" s="12">
        <v>0.55555555555555558</v>
      </c>
      <c r="J1342" t="s">
        <v>112</v>
      </c>
      <c r="K1342" t="s">
        <v>111</v>
      </c>
      <c r="L1342" s="12">
        <v>0.56944444444444442</v>
      </c>
      <c r="M1342" t="s">
        <v>51</v>
      </c>
      <c r="N1342" s="3">
        <v>78</v>
      </c>
      <c r="O1342" t="s">
        <v>24</v>
      </c>
      <c r="P1342" t="s">
        <v>56</v>
      </c>
      <c r="R1342">
        <f>tblDailySchedule[[#This Row],[Capacity Approx]]*'[1]Load Factor Sheet June Acft  '!$B$5</f>
        <v>63.162272727272729</v>
      </c>
      <c r="S1342">
        <f>tblDailySchedule[[#This Row],[Capacity Approx]]*'[1]Load Factor Sheet June Acft  '!$D$5</f>
        <v>68.391818181818181</v>
      </c>
      <c r="T1342" s="22">
        <f>tblDailySchedule[[#This Row],[STD]]</f>
        <v>0.56944444444444442</v>
      </c>
    </row>
    <row r="1343" spans="1:20" hidden="1" x14ac:dyDescent="0.35">
      <c r="A1343" s="11">
        <v>46158</v>
      </c>
      <c r="B1343" s="3">
        <v>6</v>
      </c>
      <c r="C1343" t="s">
        <v>116</v>
      </c>
      <c r="D1343" t="s">
        <v>18</v>
      </c>
      <c r="E1343" s="3">
        <v>13</v>
      </c>
      <c r="F1343" t="s">
        <v>19</v>
      </c>
      <c r="G1343" t="s">
        <v>57</v>
      </c>
      <c r="H1343" t="s">
        <v>58</v>
      </c>
      <c r="I1343" s="12">
        <v>0.55902777777777779</v>
      </c>
      <c r="J1343" t="s">
        <v>59</v>
      </c>
      <c r="K1343" t="s">
        <v>58</v>
      </c>
      <c r="L1343" s="12">
        <v>0.57638888888888884</v>
      </c>
      <c r="M1343" t="s">
        <v>51</v>
      </c>
      <c r="N1343" s="3">
        <v>78</v>
      </c>
      <c r="O1343" t="s">
        <v>24</v>
      </c>
      <c r="P1343" t="s">
        <v>56</v>
      </c>
      <c r="R1343">
        <f>tblDailySchedule[[#This Row],[Capacity Approx]]*'[1]Load Factor Sheet June Acft  '!$B$5</f>
        <v>63.162272727272729</v>
      </c>
      <c r="S1343">
        <f>tblDailySchedule[[#This Row],[Capacity Approx]]*'[1]Load Factor Sheet June Acft  '!$D$5</f>
        <v>68.391818181818181</v>
      </c>
      <c r="T1343" s="22">
        <f>tblDailySchedule[[#This Row],[STD]]</f>
        <v>0.57638888888888884</v>
      </c>
    </row>
    <row r="1344" spans="1:20" hidden="1" x14ac:dyDescent="0.35">
      <c r="A1344" s="11">
        <v>46158</v>
      </c>
      <c r="B1344" s="3">
        <v>6</v>
      </c>
      <c r="C1344" t="s">
        <v>116</v>
      </c>
      <c r="D1344" t="s">
        <v>18</v>
      </c>
      <c r="E1344" s="3">
        <v>14</v>
      </c>
      <c r="F1344" t="s">
        <v>19</v>
      </c>
      <c r="G1344" t="s">
        <v>60</v>
      </c>
      <c r="H1344" t="s">
        <v>61</v>
      </c>
      <c r="I1344" s="12">
        <v>0.59027777777777779</v>
      </c>
      <c r="J1344" t="s">
        <v>62</v>
      </c>
      <c r="K1344" t="s">
        <v>61</v>
      </c>
      <c r="L1344" s="12">
        <v>0.62152777777777779</v>
      </c>
      <c r="M1344" t="s">
        <v>63</v>
      </c>
      <c r="N1344" s="3">
        <v>232</v>
      </c>
      <c r="O1344" t="s">
        <v>24</v>
      </c>
      <c r="P1344" t="s">
        <v>56</v>
      </c>
      <c r="R1344">
        <f>tblDailySchedule[[#This Row],[Capacity Approx]]*'[1]Load Factor Sheet June Acft  '!$B$5</f>
        <v>187.86727272727273</v>
      </c>
      <c r="S1344">
        <f>tblDailySchedule[[#This Row],[Capacity Approx]]*'[1]Load Factor Sheet June Acft  '!$D$5</f>
        <v>203.4218181818182</v>
      </c>
      <c r="T1344" s="22">
        <f>tblDailySchedule[[#This Row],[STD]]</f>
        <v>0.62152777777777779</v>
      </c>
    </row>
    <row r="1345" spans="1:20" hidden="1" x14ac:dyDescent="0.35">
      <c r="A1345" s="11">
        <v>46158</v>
      </c>
      <c r="B1345" s="3">
        <v>6</v>
      </c>
      <c r="C1345" t="s">
        <v>116</v>
      </c>
      <c r="D1345" t="s">
        <v>18</v>
      </c>
      <c r="E1345" s="3">
        <v>15</v>
      </c>
      <c r="F1345" t="s">
        <v>19</v>
      </c>
      <c r="G1345" t="s">
        <v>64</v>
      </c>
      <c r="H1345" t="s">
        <v>31</v>
      </c>
      <c r="I1345" s="12">
        <v>0.60069444444444442</v>
      </c>
      <c r="J1345" t="s">
        <v>65</v>
      </c>
      <c r="K1345" t="s">
        <v>66</v>
      </c>
      <c r="L1345" s="12">
        <v>0.62847222222222221</v>
      </c>
      <c r="M1345" t="s">
        <v>63</v>
      </c>
      <c r="N1345" s="3">
        <v>232</v>
      </c>
      <c r="O1345" t="s">
        <v>24</v>
      </c>
      <c r="P1345" t="s">
        <v>56</v>
      </c>
      <c r="R1345">
        <f>tblDailySchedule[[#This Row],[Capacity Approx]]*'[1]Load Factor Sheet June Acft  '!$B$5</f>
        <v>187.86727272727273</v>
      </c>
      <c r="S1345">
        <f>tblDailySchedule[[#This Row],[Capacity Approx]]*'[1]Load Factor Sheet June Acft  '!$D$5</f>
        <v>203.4218181818182</v>
      </c>
      <c r="T1345" s="22">
        <f>tblDailySchedule[[#This Row],[STD]]</f>
        <v>0.62847222222222221</v>
      </c>
    </row>
    <row r="1346" spans="1:20" hidden="1" x14ac:dyDescent="0.35">
      <c r="A1346" s="11">
        <v>46158</v>
      </c>
      <c r="B1346" s="3">
        <v>6</v>
      </c>
      <c r="C1346" t="s">
        <v>116</v>
      </c>
      <c r="D1346" t="s">
        <v>18</v>
      </c>
      <c r="E1346" s="3">
        <v>16</v>
      </c>
      <c r="F1346" t="s">
        <v>19</v>
      </c>
      <c r="G1346" t="s">
        <v>67</v>
      </c>
      <c r="H1346" t="s">
        <v>31</v>
      </c>
      <c r="I1346" s="12">
        <v>0.65625</v>
      </c>
      <c r="J1346" t="s">
        <v>68</v>
      </c>
      <c r="K1346" t="s">
        <v>31</v>
      </c>
      <c r="L1346" s="12">
        <v>0.68402777777777779</v>
      </c>
      <c r="M1346" t="s">
        <v>63</v>
      </c>
      <c r="N1346" s="3">
        <v>232</v>
      </c>
      <c r="O1346" t="s">
        <v>24</v>
      </c>
      <c r="P1346" t="s">
        <v>56</v>
      </c>
      <c r="R1346">
        <f>tblDailySchedule[[#This Row],[Capacity Approx]]*'[1]Load Factor Sheet June Acft  '!$B$5</f>
        <v>187.86727272727273</v>
      </c>
      <c r="S1346">
        <f>tblDailySchedule[[#This Row],[Capacity Approx]]*'[1]Load Factor Sheet June Acft  '!$D$5</f>
        <v>203.4218181818182</v>
      </c>
      <c r="T1346" s="22">
        <f>tblDailySchedule[[#This Row],[STD]]</f>
        <v>0.68402777777777779</v>
      </c>
    </row>
    <row r="1347" spans="1:20" hidden="1" x14ac:dyDescent="0.35">
      <c r="A1347" s="11">
        <v>46158</v>
      </c>
      <c r="B1347" s="3">
        <v>6</v>
      </c>
      <c r="C1347" t="s">
        <v>116</v>
      </c>
      <c r="D1347" t="s">
        <v>18</v>
      </c>
      <c r="E1347" s="3">
        <v>17</v>
      </c>
      <c r="F1347" t="s">
        <v>19</v>
      </c>
      <c r="G1347" t="s">
        <v>69</v>
      </c>
      <c r="H1347" t="s">
        <v>31</v>
      </c>
      <c r="I1347" s="12">
        <v>0.66319444444444442</v>
      </c>
      <c r="J1347" t="s">
        <v>70</v>
      </c>
      <c r="K1347" t="s">
        <v>31</v>
      </c>
      <c r="L1347" s="12">
        <v>0.69097222222222221</v>
      </c>
      <c r="M1347" t="s">
        <v>33</v>
      </c>
      <c r="N1347" s="3">
        <v>189</v>
      </c>
      <c r="O1347" t="s">
        <v>24</v>
      </c>
      <c r="P1347" t="s">
        <v>56</v>
      </c>
      <c r="R1347">
        <f>tblDailySchedule[[#This Row],[Capacity Approx]]*'[1]Load Factor Sheet June Acft  '!$B$5</f>
        <v>153.04704545454547</v>
      </c>
      <c r="S1347">
        <f>tblDailySchedule[[#This Row],[Capacity Approx]]*'[1]Load Factor Sheet June Acft  '!$D$5</f>
        <v>165.71863636363636</v>
      </c>
      <c r="T1347" s="22">
        <f>tblDailySchedule[[#This Row],[STD]]</f>
        <v>0.69097222222222221</v>
      </c>
    </row>
    <row r="1348" spans="1:20" hidden="1" x14ac:dyDescent="0.35">
      <c r="A1348" s="11">
        <v>46158</v>
      </c>
      <c r="B1348" s="3">
        <v>6</v>
      </c>
      <c r="C1348" t="s">
        <v>116</v>
      </c>
      <c r="D1348" t="s">
        <v>18</v>
      </c>
      <c r="E1348" s="3">
        <v>18</v>
      </c>
      <c r="F1348" t="s">
        <v>19</v>
      </c>
      <c r="G1348" t="s">
        <v>71</v>
      </c>
      <c r="H1348" t="s">
        <v>21</v>
      </c>
      <c r="I1348" s="12">
        <v>0.67013888888888884</v>
      </c>
      <c r="J1348" t="s">
        <v>72</v>
      </c>
      <c r="K1348" t="s">
        <v>21</v>
      </c>
      <c r="L1348" s="12">
        <v>0.69791666666666663</v>
      </c>
      <c r="M1348" t="s">
        <v>63</v>
      </c>
      <c r="N1348" s="3">
        <v>232</v>
      </c>
      <c r="O1348" t="s">
        <v>24</v>
      </c>
      <c r="P1348" t="s">
        <v>56</v>
      </c>
      <c r="R1348">
        <f>tblDailySchedule[[#This Row],[Capacity Approx]]*'[1]Load Factor Sheet June Acft  '!$B$5</f>
        <v>187.86727272727273</v>
      </c>
      <c r="S1348">
        <f>tblDailySchedule[[#This Row],[Capacity Approx]]*'[1]Load Factor Sheet June Acft  '!$D$5</f>
        <v>203.4218181818182</v>
      </c>
      <c r="T1348" s="22">
        <f>tblDailySchedule[[#This Row],[STD]]</f>
        <v>0.69791666666666663</v>
      </c>
    </row>
    <row r="1349" spans="1:20" hidden="1" x14ac:dyDescent="0.35">
      <c r="A1349" s="11">
        <v>46158</v>
      </c>
      <c r="B1349" s="3">
        <v>6</v>
      </c>
      <c r="C1349" t="s">
        <v>116</v>
      </c>
      <c r="D1349" t="s">
        <v>18</v>
      </c>
      <c r="E1349" s="3">
        <v>19</v>
      </c>
      <c r="F1349" t="s">
        <v>19</v>
      </c>
      <c r="G1349" t="s">
        <v>73</v>
      </c>
      <c r="H1349" t="s">
        <v>27</v>
      </c>
      <c r="I1349" s="12">
        <v>0.74652777777777779</v>
      </c>
      <c r="J1349" t="s">
        <v>74</v>
      </c>
      <c r="K1349" t="s">
        <v>27</v>
      </c>
      <c r="L1349" s="12">
        <v>0.77430555555555558</v>
      </c>
      <c r="M1349" t="s">
        <v>63</v>
      </c>
      <c r="N1349" s="3">
        <v>232</v>
      </c>
      <c r="O1349" t="s">
        <v>24</v>
      </c>
      <c r="P1349" t="s">
        <v>56</v>
      </c>
      <c r="R1349">
        <f>tblDailySchedule[[#This Row],[Capacity Approx]]*'[1]Load Factor Sheet June Acft  '!$B$5</f>
        <v>187.86727272727273</v>
      </c>
      <c r="S1349">
        <f>tblDailySchedule[[#This Row],[Capacity Approx]]*'[1]Load Factor Sheet June Acft  '!$D$5</f>
        <v>203.4218181818182</v>
      </c>
      <c r="T1349" s="22">
        <f>tblDailySchedule[[#This Row],[STD]]</f>
        <v>0.77430555555555558</v>
      </c>
    </row>
    <row r="1350" spans="1:20" hidden="1" x14ac:dyDescent="0.35">
      <c r="A1350" s="11">
        <v>46158</v>
      </c>
      <c r="B1350" s="3">
        <v>6</v>
      </c>
      <c r="C1350" t="s">
        <v>116</v>
      </c>
      <c r="D1350" t="s">
        <v>18</v>
      </c>
      <c r="E1350" s="3">
        <v>21</v>
      </c>
      <c r="F1350" t="s">
        <v>19</v>
      </c>
      <c r="G1350" t="s">
        <v>81</v>
      </c>
      <c r="H1350" t="s">
        <v>61</v>
      </c>
      <c r="I1350" s="12">
        <v>0.77083333333333337</v>
      </c>
      <c r="J1350" t="s">
        <v>82</v>
      </c>
      <c r="K1350" t="s">
        <v>49</v>
      </c>
      <c r="L1350" s="12">
        <v>0.79166666666666663</v>
      </c>
      <c r="M1350" t="s">
        <v>33</v>
      </c>
      <c r="N1350" s="3">
        <v>189</v>
      </c>
      <c r="O1350" t="s">
        <v>24</v>
      </c>
      <c r="P1350" t="s">
        <v>79</v>
      </c>
      <c r="R1350">
        <f>tblDailySchedule[[#This Row],[Capacity Approx]]*'[1]Load Factor Sheet June Acft  '!$B$5</f>
        <v>153.04704545454547</v>
      </c>
      <c r="S1350">
        <f>tblDailySchedule[[#This Row],[Capacity Approx]]*'[1]Load Factor Sheet June Acft  '!$D$5</f>
        <v>165.71863636363636</v>
      </c>
      <c r="T1350" s="22">
        <f>tblDailySchedule[[#This Row],[STD]]</f>
        <v>0.79166666666666663</v>
      </c>
    </row>
    <row r="1351" spans="1:20" hidden="1" x14ac:dyDescent="0.35">
      <c r="A1351" s="11">
        <v>46158</v>
      </c>
      <c r="B1351" s="3">
        <v>6</v>
      </c>
      <c r="C1351" t="s">
        <v>116</v>
      </c>
      <c r="D1351" t="s">
        <v>18</v>
      </c>
      <c r="E1351" s="3">
        <v>22</v>
      </c>
      <c r="F1351" t="s">
        <v>19</v>
      </c>
      <c r="G1351" t="s">
        <v>83</v>
      </c>
      <c r="H1351" t="s">
        <v>31</v>
      </c>
      <c r="I1351" s="12">
        <v>0.77777777777777779</v>
      </c>
      <c r="J1351" t="s">
        <v>84</v>
      </c>
      <c r="K1351" t="s">
        <v>31</v>
      </c>
      <c r="L1351" s="12">
        <v>0.80555555555555558</v>
      </c>
      <c r="M1351" t="s">
        <v>63</v>
      </c>
      <c r="N1351" s="3">
        <v>232</v>
      </c>
      <c r="O1351" t="s">
        <v>24</v>
      </c>
      <c r="P1351" t="s">
        <v>79</v>
      </c>
      <c r="R1351">
        <f>tblDailySchedule[[#This Row],[Capacity Approx]]*'[1]Load Factor Sheet June Acft  '!$B$5</f>
        <v>187.86727272727273</v>
      </c>
      <c r="S1351">
        <f>tblDailySchedule[[#This Row],[Capacity Approx]]*'[1]Load Factor Sheet June Acft  '!$D$5</f>
        <v>203.4218181818182</v>
      </c>
      <c r="T1351" s="22">
        <f>tblDailySchedule[[#This Row],[STD]]</f>
        <v>0.80555555555555558</v>
      </c>
    </row>
    <row r="1352" spans="1:20" hidden="1" x14ac:dyDescent="0.35">
      <c r="A1352" s="11">
        <v>46158</v>
      </c>
      <c r="B1352" s="3">
        <v>6</v>
      </c>
      <c r="C1352" t="s">
        <v>116</v>
      </c>
      <c r="D1352" t="s">
        <v>18</v>
      </c>
      <c r="E1352" s="3">
        <v>23</v>
      </c>
      <c r="F1352" t="s">
        <v>19</v>
      </c>
      <c r="G1352" t="s">
        <v>85</v>
      </c>
      <c r="H1352" t="s">
        <v>86</v>
      </c>
      <c r="I1352" s="12">
        <v>0.79861111111111116</v>
      </c>
      <c r="J1352" t="s">
        <v>87</v>
      </c>
      <c r="K1352" t="s">
        <v>86</v>
      </c>
      <c r="L1352" s="12">
        <v>0.82638888888888884</v>
      </c>
      <c r="M1352" t="s">
        <v>63</v>
      </c>
      <c r="N1352" s="3">
        <v>232</v>
      </c>
      <c r="O1352" t="s">
        <v>24</v>
      </c>
      <c r="P1352" t="s">
        <v>79</v>
      </c>
      <c r="R1352">
        <f>tblDailySchedule[[#This Row],[Capacity Approx]]*'[1]Load Factor Sheet June Acft  '!$B$5</f>
        <v>187.86727272727273</v>
      </c>
      <c r="S1352">
        <f>tblDailySchedule[[#This Row],[Capacity Approx]]*'[1]Load Factor Sheet June Acft  '!$D$5</f>
        <v>203.4218181818182</v>
      </c>
      <c r="T1352" s="22">
        <f>tblDailySchedule[[#This Row],[STD]]</f>
        <v>0.82638888888888884</v>
      </c>
    </row>
    <row r="1353" spans="1:20" hidden="1" x14ac:dyDescent="0.35">
      <c r="A1353" s="11">
        <v>46158</v>
      </c>
      <c r="B1353" s="3">
        <v>6</v>
      </c>
      <c r="C1353" t="s">
        <v>116</v>
      </c>
      <c r="D1353" t="s">
        <v>18</v>
      </c>
      <c r="E1353" s="3">
        <v>24</v>
      </c>
      <c r="F1353" t="s">
        <v>19</v>
      </c>
      <c r="G1353" t="s">
        <v>88</v>
      </c>
      <c r="H1353" t="s">
        <v>89</v>
      </c>
      <c r="I1353" s="12">
        <v>0.83333333333333337</v>
      </c>
      <c r="J1353" t="s">
        <v>90</v>
      </c>
      <c r="K1353" t="s">
        <v>31</v>
      </c>
      <c r="L1353" s="12">
        <v>0.86111111111111116</v>
      </c>
      <c r="M1353" t="s">
        <v>63</v>
      </c>
      <c r="N1353" s="3">
        <v>232</v>
      </c>
      <c r="O1353" t="s">
        <v>24</v>
      </c>
      <c r="P1353" t="s">
        <v>79</v>
      </c>
      <c r="R1353">
        <f>tblDailySchedule[[#This Row],[Capacity Approx]]*'[1]Load Factor Sheet June Acft  '!$B$5</f>
        <v>187.86727272727273</v>
      </c>
      <c r="S1353">
        <f>tblDailySchedule[[#This Row],[Capacity Approx]]*'[1]Load Factor Sheet June Acft  '!$D$5</f>
        <v>203.4218181818182</v>
      </c>
      <c r="T1353" s="22">
        <f>tblDailySchedule[[#This Row],[STD]]</f>
        <v>0.86111111111111116</v>
      </c>
    </row>
    <row r="1354" spans="1:20" hidden="1" x14ac:dyDescent="0.35">
      <c r="A1354" s="11">
        <v>46158</v>
      </c>
      <c r="B1354" s="3">
        <v>6</v>
      </c>
      <c r="C1354" t="s">
        <v>116</v>
      </c>
      <c r="D1354" t="s">
        <v>18</v>
      </c>
      <c r="E1354" s="3">
        <v>25</v>
      </c>
      <c r="F1354" t="s">
        <v>19</v>
      </c>
      <c r="G1354" t="s">
        <v>91</v>
      </c>
      <c r="H1354" t="s">
        <v>61</v>
      </c>
      <c r="I1354" s="12">
        <v>0.85416666666666663</v>
      </c>
      <c r="J1354" t="s">
        <v>92</v>
      </c>
      <c r="K1354" t="s">
        <v>61</v>
      </c>
      <c r="L1354" s="12">
        <v>0.88194444444444442</v>
      </c>
      <c r="M1354" t="s">
        <v>63</v>
      </c>
      <c r="N1354" s="3">
        <v>232</v>
      </c>
      <c r="O1354" t="s">
        <v>24</v>
      </c>
      <c r="P1354" t="s">
        <v>79</v>
      </c>
      <c r="R1354">
        <f>tblDailySchedule[[#This Row],[Capacity Approx]]*'[1]Load Factor Sheet June Acft  '!$B$5</f>
        <v>187.86727272727273</v>
      </c>
      <c r="S1354">
        <f>tblDailySchedule[[#This Row],[Capacity Approx]]*'[1]Load Factor Sheet June Acft  '!$D$5</f>
        <v>203.4218181818182</v>
      </c>
      <c r="T1354" s="22">
        <f>tblDailySchedule[[#This Row],[STD]]</f>
        <v>0.88194444444444442</v>
      </c>
    </row>
    <row r="1355" spans="1:20" hidden="1" x14ac:dyDescent="0.35">
      <c r="A1355" s="11">
        <v>46158</v>
      </c>
      <c r="B1355" s="3">
        <v>6</v>
      </c>
      <c r="C1355" t="s">
        <v>116</v>
      </c>
      <c r="D1355" t="s">
        <v>18</v>
      </c>
      <c r="E1355" s="3">
        <v>26</v>
      </c>
      <c r="F1355" t="s">
        <v>19</v>
      </c>
      <c r="G1355" t="s">
        <v>93</v>
      </c>
      <c r="H1355" t="s">
        <v>31</v>
      </c>
      <c r="I1355" s="12">
        <v>0.86111111111111116</v>
      </c>
      <c r="J1355" t="s">
        <v>94</v>
      </c>
      <c r="K1355" t="s">
        <v>31</v>
      </c>
      <c r="L1355" s="12">
        <v>0.88888888888888884</v>
      </c>
      <c r="M1355" t="s">
        <v>23</v>
      </c>
      <c r="N1355" s="3">
        <v>186</v>
      </c>
      <c r="O1355" t="s">
        <v>24</v>
      </c>
      <c r="P1355" t="s">
        <v>79</v>
      </c>
      <c r="R1355">
        <f>tblDailySchedule[[#This Row],[Capacity Approx]]*'[1]Load Factor Sheet June Acft  '!$B$5</f>
        <v>150.61772727272728</v>
      </c>
      <c r="S1355">
        <f>tblDailySchedule[[#This Row],[Capacity Approx]]*'[1]Load Factor Sheet June Acft  '!$D$5</f>
        <v>163.08818181818182</v>
      </c>
      <c r="T1355" s="22">
        <f>tblDailySchedule[[#This Row],[STD]]</f>
        <v>0.88888888888888884</v>
      </c>
    </row>
    <row r="1356" spans="1:20" hidden="1" x14ac:dyDescent="0.35">
      <c r="A1356" s="11">
        <v>46158</v>
      </c>
      <c r="B1356" s="3">
        <v>6</v>
      </c>
      <c r="C1356" t="s">
        <v>116</v>
      </c>
      <c r="D1356" t="s">
        <v>18</v>
      </c>
      <c r="E1356" s="3">
        <v>27</v>
      </c>
      <c r="F1356" t="s">
        <v>19</v>
      </c>
      <c r="G1356" t="s">
        <v>95</v>
      </c>
      <c r="H1356" t="s">
        <v>21</v>
      </c>
      <c r="I1356" s="12">
        <v>0.86805555555555558</v>
      </c>
      <c r="J1356" t="s">
        <v>96</v>
      </c>
      <c r="K1356" t="s">
        <v>21</v>
      </c>
      <c r="L1356" s="12">
        <v>0.89583333333333337</v>
      </c>
      <c r="M1356" t="s">
        <v>29</v>
      </c>
      <c r="N1356" s="3">
        <v>186</v>
      </c>
      <c r="O1356" t="s">
        <v>24</v>
      </c>
      <c r="P1356" t="s">
        <v>79</v>
      </c>
      <c r="R1356">
        <f>tblDailySchedule[[#This Row],[Capacity Approx]]*'[1]Load Factor Sheet June Acft  '!$B$5</f>
        <v>150.61772727272728</v>
      </c>
      <c r="S1356">
        <f>tblDailySchedule[[#This Row],[Capacity Approx]]*'[1]Load Factor Sheet June Acft  '!$D$5</f>
        <v>163.08818181818182</v>
      </c>
      <c r="T1356" s="22">
        <f>tblDailySchedule[[#This Row],[STD]]</f>
        <v>0.89583333333333337</v>
      </c>
    </row>
    <row r="1357" spans="1:20" hidden="1" x14ac:dyDescent="0.35">
      <c r="A1357" s="11">
        <v>46158</v>
      </c>
      <c r="B1357" s="3">
        <v>6</v>
      </c>
      <c r="C1357" t="s">
        <v>116</v>
      </c>
      <c r="D1357" t="s">
        <v>18</v>
      </c>
      <c r="E1357" s="3">
        <v>28</v>
      </c>
      <c r="F1357" t="s">
        <v>19</v>
      </c>
      <c r="G1357" t="s">
        <v>97</v>
      </c>
      <c r="H1357" t="s">
        <v>49</v>
      </c>
      <c r="I1357" s="12">
        <v>0.90277777777777779</v>
      </c>
      <c r="J1357" t="s">
        <v>97</v>
      </c>
      <c r="K1357" t="s">
        <v>61</v>
      </c>
      <c r="L1357" s="12">
        <v>0.92361111111111116</v>
      </c>
      <c r="M1357" t="s">
        <v>33</v>
      </c>
      <c r="N1357" s="3">
        <v>189</v>
      </c>
      <c r="O1357" t="s">
        <v>24</v>
      </c>
      <c r="P1357" t="s">
        <v>79</v>
      </c>
      <c r="R1357">
        <f>tblDailySchedule[[#This Row],[Capacity Approx]]*'[1]Load Factor Sheet June Acft  '!$B$5</f>
        <v>153.04704545454547</v>
      </c>
      <c r="S1357">
        <f>tblDailySchedule[[#This Row],[Capacity Approx]]*'[1]Load Factor Sheet June Acft  '!$D$5</f>
        <v>165.71863636363636</v>
      </c>
      <c r="T1357" s="22">
        <f>tblDailySchedule[[#This Row],[STD]]</f>
        <v>0.92361111111111116</v>
      </c>
    </row>
    <row r="1358" spans="1:20" hidden="1" x14ac:dyDescent="0.35">
      <c r="A1358" s="11">
        <v>46158</v>
      </c>
      <c r="B1358" s="3">
        <v>6</v>
      </c>
      <c r="C1358" t="s">
        <v>116</v>
      </c>
      <c r="D1358" t="s">
        <v>18</v>
      </c>
      <c r="E1358" s="3">
        <v>29</v>
      </c>
      <c r="F1358" t="s">
        <v>19</v>
      </c>
      <c r="G1358" t="s">
        <v>98</v>
      </c>
      <c r="H1358" t="s">
        <v>21</v>
      </c>
      <c r="I1358" s="12">
        <v>0.92013888888888884</v>
      </c>
      <c r="J1358" t="s">
        <v>99</v>
      </c>
      <c r="K1358" t="s">
        <v>21</v>
      </c>
      <c r="L1358" s="12">
        <v>0.94791666666666663</v>
      </c>
      <c r="M1358" t="s">
        <v>63</v>
      </c>
      <c r="N1358" s="3">
        <v>232</v>
      </c>
      <c r="O1358" t="s">
        <v>24</v>
      </c>
      <c r="P1358" t="s">
        <v>79</v>
      </c>
      <c r="R1358">
        <f>tblDailySchedule[[#This Row],[Capacity Approx]]*'[1]Load Factor Sheet June Acft  '!$B$5</f>
        <v>187.86727272727273</v>
      </c>
      <c r="S1358">
        <f>tblDailySchedule[[#This Row],[Capacity Approx]]*'[1]Load Factor Sheet June Acft  '!$D$5</f>
        <v>203.4218181818182</v>
      </c>
      <c r="T1358" s="22">
        <f>tblDailySchedule[[#This Row],[STD]]</f>
        <v>0.94791666666666663</v>
      </c>
    </row>
    <row r="1359" spans="1:20" hidden="1" x14ac:dyDescent="0.35">
      <c r="A1359" s="13">
        <v>46158</v>
      </c>
      <c r="B1359" s="7">
        <v>6</v>
      </c>
      <c r="C1359" s="14" t="s">
        <v>116</v>
      </c>
      <c r="D1359" s="14" t="s">
        <v>18</v>
      </c>
      <c r="E1359" s="7">
        <v>30</v>
      </c>
      <c r="F1359" s="14" t="s">
        <v>104</v>
      </c>
      <c r="G1359" s="14" t="s">
        <v>105</v>
      </c>
      <c r="H1359" s="14" t="s">
        <v>106</v>
      </c>
      <c r="I1359" s="15">
        <v>0.92708333333333337</v>
      </c>
      <c r="J1359" s="14" t="s">
        <v>107</v>
      </c>
      <c r="K1359" s="14" t="s">
        <v>106</v>
      </c>
      <c r="L1359" s="15">
        <v>0.95833333333333337</v>
      </c>
      <c r="M1359" s="14" t="s">
        <v>38</v>
      </c>
      <c r="N1359" s="7">
        <v>186</v>
      </c>
      <c r="O1359" s="14" t="s">
        <v>39</v>
      </c>
      <c r="P1359" s="14" t="s">
        <v>79</v>
      </c>
      <c r="Q1359" s="14" t="s">
        <v>39</v>
      </c>
      <c r="R1359">
        <f>tblDailySchedule[[#This Row],[Capacity Approx]]*'[1]Load Factor Sheet June Acft  '!$B$5</f>
        <v>150.61772727272728</v>
      </c>
      <c r="S1359">
        <f>tblDailySchedule[[#This Row],[Capacity Approx]]*'[1]Load Factor Sheet June Acft  '!$D$5</f>
        <v>163.08818181818182</v>
      </c>
      <c r="T1359" s="22">
        <f>tblDailySchedule[[#This Row],[STD]]</f>
        <v>0.95833333333333337</v>
      </c>
    </row>
    <row r="1360" spans="1:20" hidden="1" x14ac:dyDescent="0.35">
      <c r="A1360" s="11">
        <v>46159</v>
      </c>
      <c r="B1360" s="3">
        <v>7</v>
      </c>
      <c r="C1360" t="s">
        <v>17</v>
      </c>
      <c r="D1360" t="s">
        <v>18</v>
      </c>
      <c r="E1360" s="3">
        <v>2</v>
      </c>
      <c r="F1360" t="s">
        <v>19</v>
      </c>
      <c r="G1360" t="s">
        <v>20</v>
      </c>
      <c r="H1360" t="s">
        <v>21</v>
      </c>
      <c r="I1360" s="12">
        <v>0.31944444444444442</v>
      </c>
      <c r="J1360" t="s">
        <v>22</v>
      </c>
      <c r="K1360" t="s">
        <v>21</v>
      </c>
      <c r="L1360" s="12">
        <v>0.34722222222222221</v>
      </c>
      <c r="M1360" t="s">
        <v>23</v>
      </c>
      <c r="N1360" s="3">
        <v>186</v>
      </c>
      <c r="O1360" t="s">
        <v>24</v>
      </c>
      <c r="P1360" t="s">
        <v>25</v>
      </c>
      <c r="R1360">
        <f>tblDailySchedule[[#This Row],[Capacity Approx]]*'[1]Load Factor Sheet June Acft  '!$B$5</f>
        <v>150.61772727272728</v>
      </c>
      <c r="S1360">
        <f>tblDailySchedule[[#This Row],[Capacity Approx]]*'[1]Load Factor Sheet June Acft  '!$D$5</f>
        <v>163.08818181818182</v>
      </c>
      <c r="T1360" s="22">
        <f>tblDailySchedule[[#This Row],[STD]]</f>
        <v>0.34722222222222221</v>
      </c>
    </row>
    <row r="1361" spans="1:20" hidden="1" x14ac:dyDescent="0.35">
      <c r="A1361" s="11">
        <v>46159</v>
      </c>
      <c r="B1361" s="3">
        <v>7</v>
      </c>
      <c r="C1361" t="s">
        <v>17</v>
      </c>
      <c r="D1361" t="s">
        <v>18</v>
      </c>
      <c r="E1361" s="3">
        <v>3</v>
      </c>
      <c r="F1361" t="s">
        <v>19</v>
      </c>
      <c r="G1361" t="s">
        <v>26</v>
      </c>
      <c r="H1361" t="s">
        <v>27</v>
      </c>
      <c r="I1361" s="12">
        <v>0.3263888888888889</v>
      </c>
      <c r="J1361" t="s">
        <v>28</v>
      </c>
      <c r="K1361" t="s">
        <v>27</v>
      </c>
      <c r="L1361" s="12">
        <v>0.35416666666666669</v>
      </c>
      <c r="M1361" t="s">
        <v>29</v>
      </c>
      <c r="N1361" s="3">
        <v>186</v>
      </c>
      <c r="O1361" t="s">
        <v>24</v>
      </c>
      <c r="P1361" t="s">
        <v>25</v>
      </c>
      <c r="R1361">
        <f>tblDailySchedule[[#This Row],[Capacity Approx]]*'[1]Load Factor Sheet June Acft  '!$B$5</f>
        <v>150.61772727272728</v>
      </c>
      <c r="S1361">
        <f>tblDailySchedule[[#This Row],[Capacity Approx]]*'[1]Load Factor Sheet June Acft  '!$D$5</f>
        <v>163.08818181818182</v>
      </c>
      <c r="T1361" s="22">
        <f>tblDailySchedule[[#This Row],[STD]]</f>
        <v>0.35416666666666669</v>
      </c>
    </row>
    <row r="1362" spans="1:20" hidden="1" x14ac:dyDescent="0.35">
      <c r="A1362" s="11">
        <v>46159</v>
      </c>
      <c r="B1362" s="3">
        <v>7</v>
      </c>
      <c r="C1362" t="s">
        <v>17</v>
      </c>
      <c r="D1362" t="s">
        <v>18</v>
      </c>
      <c r="E1362" s="3">
        <v>4</v>
      </c>
      <c r="F1362" t="s">
        <v>19</v>
      </c>
      <c r="G1362" t="s">
        <v>30</v>
      </c>
      <c r="H1362" t="s">
        <v>31</v>
      </c>
      <c r="I1362" s="12">
        <v>0.34722222222222221</v>
      </c>
      <c r="J1362" t="s">
        <v>32</v>
      </c>
      <c r="K1362" t="s">
        <v>31</v>
      </c>
      <c r="L1362" s="12">
        <v>0.36805555555555558</v>
      </c>
      <c r="M1362" t="s">
        <v>33</v>
      </c>
      <c r="N1362" s="3">
        <v>189</v>
      </c>
      <c r="O1362" t="s">
        <v>24</v>
      </c>
      <c r="P1362" t="s">
        <v>25</v>
      </c>
      <c r="R1362">
        <f>tblDailySchedule[[#This Row],[Capacity Approx]]*'[1]Load Factor Sheet June Acft  '!$B$5</f>
        <v>153.04704545454547</v>
      </c>
      <c r="S1362">
        <f>tblDailySchedule[[#This Row],[Capacity Approx]]*'[1]Load Factor Sheet June Acft  '!$D$5</f>
        <v>165.71863636363636</v>
      </c>
      <c r="T1362" s="22">
        <f>tblDailySchedule[[#This Row],[STD]]</f>
        <v>0.36805555555555558</v>
      </c>
    </row>
    <row r="1363" spans="1:20" hidden="1" x14ac:dyDescent="0.35">
      <c r="A1363" s="13">
        <v>46159</v>
      </c>
      <c r="B1363" s="7">
        <v>7</v>
      </c>
      <c r="C1363" s="14" t="s">
        <v>17</v>
      </c>
      <c r="D1363" s="14" t="s">
        <v>18</v>
      </c>
      <c r="E1363" s="7">
        <v>6</v>
      </c>
      <c r="F1363" s="14" t="s">
        <v>34</v>
      </c>
      <c r="G1363" s="14" t="s">
        <v>35</v>
      </c>
      <c r="H1363" s="14" t="s">
        <v>36</v>
      </c>
      <c r="I1363" s="15">
        <v>0.34722222222222221</v>
      </c>
      <c r="J1363" s="14" t="s">
        <v>37</v>
      </c>
      <c r="K1363" s="14" t="s">
        <v>36</v>
      </c>
      <c r="L1363" s="15">
        <v>0.40972222222222221</v>
      </c>
      <c r="M1363" s="14" t="s">
        <v>38</v>
      </c>
      <c r="N1363" s="7">
        <v>186</v>
      </c>
      <c r="O1363" s="14" t="s">
        <v>39</v>
      </c>
      <c r="P1363" s="14" t="s">
        <v>25</v>
      </c>
      <c r="Q1363" s="14" t="s">
        <v>39</v>
      </c>
      <c r="R1363">
        <f>tblDailySchedule[[#This Row],[Capacity Approx]]*'[1]Load Factor Sheet June Acft  '!$B$5</f>
        <v>150.61772727272728</v>
      </c>
      <c r="S1363">
        <f>tblDailySchedule[[#This Row],[Capacity Approx]]*'[1]Load Factor Sheet June Acft  '!$D$5</f>
        <v>163.08818181818182</v>
      </c>
      <c r="T1363" s="22">
        <f>tblDailySchedule[[#This Row],[STD]]</f>
        <v>0.40972222222222221</v>
      </c>
    </row>
    <row r="1364" spans="1:20" hidden="1" x14ac:dyDescent="0.35">
      <c r="A1364" s="11">
        <v>46159</v>
      </c>
      <c r="B1364" s="3">
        <v>7</v>
      </c>
      <c r="C1364" t="s">
        <v>17</v>
      </c>
      <c r="D1364" t="s">
        <v>18</v>
      </c>
      <c r="E1364" s="3">
        <v>5</v>
      </c>
      <c r="F1364" t="s">
        <v>19</v>
      </c>
      <c r="G1364" t="s">
        <v>40</v>
      </c>
      <c r="H1364" t="s">
        <v>31</v>
      </c>
      <c r="I1364" s="12">
        <v>0.35069444444444442</v>
      </c>
      <c r="J1364" t="s">
        <v>41</v>
      </c>
      <c r="K1364" t="s">
        <v>31</v>
      </c>
      <c r="L1364" s="12">
        <v>0.37152777777777779</v>
      </c>
      <c r="M1364" t="s">
        <v>23</v>
      </c>
      <c r="N1364" s="3">
        <v>186</v>
      </c>
      <c r="O1364" t="s">
        <v>24</v>
      </c>
      <c r="P1364" t="s">
        <v>25</v>
      </c>
      <c r="R1364">
        <f>tblDailySchedule[[#This Row],[Capacity Approx]]*'[1]Load Factor Sheet June Acft  '!$B$5</f>
        <v>150.61772727272728</v>
      </c>
      <c r="S1364">
        <f>tblDailySchedule[[#This Row],[Capacity Approx]]*'[1]Load Factor Sheet June Acft  '!$D$5</f>
        <v>163.08818181818182</v>
      </c>
      <c r="T1364" s="22">
        <f>tblDailySchedule[[#This Row],[STD]]</f>
        <v>0.37152777777777779</v>
      </c>
    </row>
    <row r="1365" spans="1:20" hidden="1" x14ac:dyDescent="0.35">
      <c r="A1365" s="11">
        <v>46159</v>
      </c>
      <c r="B1365" s="3">
        <v>7</v>
      </c>
      <c r="C1365" t="s">
        <v>17</v>
      </c>
      <c r="D1365" t="s">
        <v>18</v>
      </c>
      <c r="E1365" s="3">
        <v>7</v>
      </c>
      <c r="F1365" t="s">
        <v>19</v>
      </c>
      <c r="G1365" t="s">
        <v>42</v>
      </c>
      <c r="H1365" t="s">
        <v>43</v>
      </c>
      <c r="I1365" s="12">
        <v>0.3923611111111111</v>
      </c>
      <c r="J1365" t="s">
        <v>44</v>
      </c>
      <c r="K1365" t="s">
        <v>43</v>
      </c>
      <c r="L1365" s="12">
        <v>0.40277777777777779</v>
      </c>
      <c r="M1365" t="s">
        <v>45</v>
      </c>
      <c r="N1365" s="3">
        <v>9</v>
      </c>
      <c r="O1365" t="s">
        <v>24</v>
      </c>
      <c r="P1365" t="s">
        <v>25</v>
      </c>
      <c r="R1365">
        <f>tblDailySchedule[[#This Row],[Capacity Approx]]*'[1]Load Factor Sheet June Acft  '!$B$5</f>
        <v>7.2879545454545456</v>
      </c>
      <c r="S1365">
        <f>tblDailySchedule[[#This Row],[Capacity Approx]]*'[1]Load Factor Sheet June Acft  '!$D$5</f>
        <v>7.8913636363636366</v>
      </c>
      <c r="T1365" s="22">
        <f>tblDailySchedule[[#This Row],[STD]]</f>
        <v>0.40277777777777779</v>
      </c>
    </row>
    <row r="1366" spans="1:20" hidden="1" x14ac:dyDescent="0.35">
      <c r="A1366" s="11">
        <v>46159</v>
      </c>
      <c r="B1366" s="3">
        <v>7</v>
      </c>
      <c r="C1366" t="s">
        <v>17</v>
      </c>
      <c r="D1366" t="s">
        <v>18</v>
      </c>
      <c r="E1366" s="3">
        <v>8</v>
      </c>
      <c r="F1366" t="s">
        <v>19</v>
      </c>
      <c r="G1366" t="s">
        <v>46</v>
      </c>
      <c r="H1366" t="s">
        <v>31</v>
      </c>
      <c r="I1366" s="12">
        <v>0.4201388888888889</v>
      </c>
      <c r="J1366" t="s">
        <v>47</v>
      </c>
      <c r="K1366" t="s">
        <v>31</v>
      </c>
      <c r="L1366" s="12">
        <v>0.44444444444444442</v>
      </c>
      <c r="M1366" t="s">
        <v>29</v>
      </c>
      <c r="N1366" s="3">
        <v>186</v>
      </c>
      <c r="O1366" t="s">
        <v>24</v>
      </c>
      <c r="P1366" t="s">
        <v>25</v>
      </c>
      <c r="R1366">
        <f>tblDailySchedule[[#This Row],[Capacity Approx]]*'[1]Load Factor Sheet June Acft  '!$B$5</f>
        <v>150.61772727272728</v>
      </c>
      <c r="S1366">
        <f>tblDailySchedule[[#This Row],[Capacity Approx]]*'[1]Load Factor Sheet June Acft  '!$D$5</f>
        <v>163.08818181818182</v>
      </c>
      <c r="T1366" s="22">
        <f>tblDailySchedule[[#This Row],[STD]]</f>
        <v>0.44444444444444442</v>
      </c>
    </row>
    <row r="1367" spans="1:20" hidden="1" x14ac:dyDescent="0.35">
      <c r="A1367" s="11">
        <v>46159</v>
      </c>
      <c r="B1367" s="3">
        <v>7</v>
      </c>
      <c r="C1367" t="s">
        <v>17</v>
      </c>
      <c r="D1367" t="s">
        <v>18</v>
      </c>
      <c r="E1367" s="3">
        <v>9</v>
      </c>
      <c r="F1367" t="s">
        <v>19</v>
      </c>
      <c r="G1367" t="s">
        <v>48</v>
      </c>
      <c r="H1367" t="s">
        <v>49</v>
      </c>
      <c r="I1367" s="12">
        <v>0.4375</v>
      </c>
      <c r="J1367" t="s">
        <v>50</v>
      </c>
      <c r="K1367" t="s">
        <v>49</v>
      </c>
      <c r="L1367" s="12">
        <v>0.45833333333333331</v>
      </c>
      <c r="M1367" t="s">
        <v>51</v>
      </c>
      <c r="N1367" s="3">
        <v>78</v>
      </c>
      <c r="O1367" t="s">
        <v>24</v>
      </c>
      <c r="P1367" t="s">
        <v>25</v>
      </c>
      <c r="R1367">
        <f>tblDailySchedule[[#This Row],[Capacity Approx]]*'[1]Load Factor Sheet June Acft  '!$B$5</f>
        <v>63.162272727272729</v>
      </c>
      <c r="S1367">
        <f>tblDailySchedule[[#This Row],[Capacity Approx]]*'[1]Load Factor Sheet June Acft  '!$D$5</f>
        <v>68.391818181818181</v>
      </c>
      <c r="T1367" s="22">
        <f>tblDailySchedule[[#This Row],[STD]]</f>
        <v>0.45833333333333331</v>
      </c>
    </row>
    <row r="1368" spans="1:20" hidden="1" x14ac:dyDescent="0.35">
      <c r="A1368" s="11">
        <v>46159</v>
      </c>
      <c r="B1368" s="3">
        <v>7</v>
      </c>
      <c r="C1368" t="s">
        <v>17</v>
      </c>
      <c r="D1368" t="s">
        <v>18</v>
      </c>
      <c r="E1368" s="3">
        <v>10</v>
      </c>
      <c r="F1368" t="s">
        <v>19</v>
      </c>
      <c r="G1368" t="s">
        <v>52</v>
      </c>
      <c r="H1368" t="s">
        <v>27</v>
      </c>
      <c r="I1368" s="12">
        <v>0.4826388888888889</v>
      </c>
      <c r="J1368" t="s">
        <v>53</v>
      </c>
      <c r="K1368" t="s">
        <v>27</v>
      </c>
      <c r="L1368" s="12">
        <v>0.51041666666666663</v>
      </c>
      <c r="M1368" t="s">
        <v>23</v>
      </c>
      <c r="N1368" s="3">
        <v>186</v>
      </c>
      <c r="O1368" t="s">
        <v>24</v>
      </c>
      <c r="P1368" t="s">
        <v>25</v>
      </c>
      <c r="R1368">
        <f>tblDailySchedule[[#This Row],[Capacity Approx]]*'[1]Load Factor Sheet June Acft  '!$B$5</f>
        <v>150.61772727272728</v>
      </c>
      <c r="S1368">
        <f>tblDailySchedule[[#This Row],[Capacity Approx]]*'[1]Load Factor Sheet June Acft  '!$D$5</f>
        <v>163.08818181818182</v>
      </c>
      <c r="T1368" s="22">
        <f>tblDailySchedule[[#This Row],[STD]]</f>
        <v>0.51041666666666663</v>
      </c>
    </row>
    <row r="1369" spans="1:20" hidden="1" x14ac:dyDescent="0.35">
      <c r="A1369" s="11">
        <v>46159</v>
      </c>
      <c r="B1369" s="3">
        <v>7</v>
      </c>
      <c r="C1369" t="s">
        <v>17</v>
      </c>
      <c r="D1369" t="s">
        <v>18</v>
      </c>
      <c r="E1369" s="3">
        <v>11</v>
      </c>
      <c r="F1369" t="s">
        <v>19</v>
      </c>
      <c r="G1369" t="s">
        <v>54</v>
      </c>
      <c r="H1369" t="s">
        <v>31</v>
      </c>
      <c r="I1369" s="12">
        <v>0.51388888888888884</v>
      </c>
      <c r="J1369" t="s">
        <v>55</v>
      </c>
      <c r="K1369" t="s">
        <v>31</v>
      </c>
      <c r="L1369" s="12">
        <v>0.54166666666666663</v>
      </c>
      <c r="M1369" t="s">
        <v>23</v>
      </c>
      <c r="N1369" s="3">
        <v>186</v>
      </c>
      <c r="O1369" t="s">
        <v>24</v>
      </c>
      <c r="P1369" t="s">
        <v>56</v>
      </c>
      <c r="R1369">
        <f>tblDailySchedule[[#This Row],[Capacity Approx]]*'[1]Load Factor Sheet June Acft  '!$B$5</f>
        <v>150.61772727272728</v>
      </c>
      <c r="S1369">
        <f>tblDailySchedule[[#This Row],[Capacity Approx]]*'[1]Load Factor Sheet June Acft  '!$D$5</f>
        <v>163.08818181818182</v>
      </c>
      <c r="T1369" s="22">
        <f>tblDailySchedule[[#This Row],[STD]]</f>
        <v>0.54166666666666663</v>
      </c>
    </row>
    <row r="1370" spans="1:20" hidden="1" x14ac:dyDescent="0.35">
      <c r="A1370" s="11">
        <v>46159</v>
      </c>
      <c r="B1370" s="3">
        <v>7</v>
      </c>
      <c r="C1370" t="s">
        <v>17</v>
      </c>
      <c r="D1370" t="s">
        <v>18</v>
      </c>
      <c r="E1370" s="3">
        <v>13</v>
      </c>
      <c r="F1370" t="s">
        <v>19</v>
      </c>
      <c r="G1370" t="s">
        <v>57</v>
      </c>
      <c r="H1370" t="s">
        <v>58</v>
      </c>
      <c r="I1370" s="12">
        <v>0.55902777777777779</v>
      </c>
      <c r="J1370" t="s">
        <v>59</v>
      </c>
      <c r="K1370" t="s">
        <v>58</v>
      </c>
      <c r="L1370" s="12">
        <v>0.57638888888888884</v>
      </c>
      <c r="M1370" t="s">
        <v>51</v>
      </c>
      <c r="N1370" s="3">
        <v>78</v>
      </c>
      <c r="O1370" t="s">
        <v>24</v>
      </c>
      <c r="P1370" t="s">
        <v>56</v>
      </c>
      <c r="R1370">
        <f>tblDailySchedule[[#This Row],[Capacity Approx]]*'[1]Load Factor Sheet June Acft  '!$B$5</f>
        <v>63.162272727272729</v>
      </c>
      <c r="S1370">
        <f>tblDailySchedule[[#This Row],[Capacity Approx]]*'[1]Load Factor Sheet June Acft  '!$D$5</f>
        <v>68.391818181818181</v>
      </c>
      <c r="T1370" s="22">
        <f>tblDailySchedule[[#This Row],[STD]]</f>
        <v>0.57638888888888884</v>
      </c>
    </row>
    <row r="1371" spans="1:20" hidden="1" x14ac:dyDescent="0.35">
      <c r="A1371" s="11">
        <v>46159</v>
      </c>
      <c r="B1371" s="3">
        <v>7</v>
      </c>
      <c r="C1371" t="s">
        <v>17</v>
      </c>
      <c r="D1371" t="s">
        <v>18</v>
      </c>
      <c r="E1371" s="3">
        <v>14</v>
      </c>
      <c r="F1371" t="s">
        <v>19</v>
      </c>
      <c r="G1371" t="s">
        <v>60</v>
      </c>
      <c r="H1371" t="s">
        <v>61</v>
      </c>
      <c r="I1371" s="12">
        <v>0.59027777777777779</v>
      </c>
      <c r="J1371" t="s">
        <v>62</v>
      </c>
      <c r="K1371" t="s">
        <v>61</v>
      </c>
      <c r="L1371" s="12">
        <v>0.62152777777777779</v>
      </c>
      <c r="M1371" t="s">
        <v>63</v>
      </c>
      <c r="N1371" s="3">
        <v>232</v>
      </c>
      <c r="O1371" t="s">
        <v>24</v>
      </c>
      <c r="P1371" t="s">
        <v>56</v>
      </c>
      <c r="R1371">
        <f>tblDailySchedule[[#This Row],[Capacity Approx]]*'[1]Load Factor Sheet June Acft  '!$B$5</f>
        <v>187.86727272727273</v>
      </c>
      <c r="S1371">
        <f>tblDailySchedule[[#This Row],[Capacity Approx]]*'[1]Load Factor Sheet June Acft  '!$D$5</f>
        <v>203.4218181818182</v>
      </c>
      <c r="T1371" s="22">
        <f>tblDailySchedule[[#This Row],[STD]]</f>
        <v>0.62152777777777779</v>
      </c>
    </row>
    <row r="1372" spans="1:20" hidden="1" x14ac:dyDescent="0.35">
      <c r="A1372" s="11">
        <v>46159</v>
      </c>
      <c r="B1372" s="3">
        <v>7</v>
      </c>
      <c r="C1372" t="s">
        <v>17</v>
      </c>
      <c r="D1372" t="s">
        <v>18</v>
      </c>
      <c r="E1372" s="3">
        <v>15</v>
      </c>
      <c r="F1372" t="s">
        <v>19</v>
      </c>
      <c r="G1372" t="s">
        <v>64</v>
      </c>
      <c r="H1372" t="s">
        <v>31</v>
      </c>
      <c r="I1372" s="12">
        <v>0.60069444444444442</v>
      </c>
      <c r="J1372" t="s">
        <v>65</v>
      </c>
      <c r="K1372" t="s">
        <v>66</v>
      </c>
      <c r="L1372" s="12">
        <v>0.62847222222222221</v>
      </c>
      <c r="M1372" t="s">
        <v>63</v>
      </c>
      <c r="N1372" s="3">
        <v>232</v>
      </c>
      <c r="O1372" t="s">
        <v>24</v>
      </c>
      <c r="P1372" t="s">
        <v>56</v>
      </c>
      <c r="R1372">
        <f>tblDailySchedule[[#This Row],[Capacity Approx]]*'[1]Load Factor Sheet June Acft  '!$B$5</f>
        <v>187.86727272727273</v>
      </c>
      <c r="S1372">
        <f>tblDailySchedule[[#This Row],[Capacity Approx]]*'[1]Load Factor Sheet June Acft  '!$D$5</f>
        <v>203.4218181818182</v>
      </c>
      <c r="T1372" s="22">
        <f>tblDailySchedule[[#This Row],[STD]]</f>
        <v>0.62847222222222221</v>
      </c>
    </row>
    <row r="1373" spans="1:20" hidden="1" x14ac:dyDescent="0.35">
      <c r="A1373" s="11">
        <v>46159</v>
      </c>
      <c r="B1373" s="3">
        <v>7</v>
      </c>
      <c r="C1373" t="s">
        <v>17</v>
      </c>
      <c r="D1373" t="s">
        <v>18</v>
      </c>
      <c r="E1373" s="3">
        <v>16</v>
      </c>
      <c r="F1373" t="s">
        <v>19</v>
      </c>
      <c r="G1373" t="s">
        <v>67</v>
      </c>
      <c r="H1373" t="s">
        <v>31</v>
      </c>
      <c r="I1373" s="12">
        <v>0.65625</v>
      </c>
      <c r="J1373" t="s">
        <v>68</v>
      </c>
      <c r="K1373" t="s">
        <v>31</v>
      </c>
      <c r="L1373" s="12">
        <v>0.68402777777777779</v>
      </c>
      <c r="M1373" t="s">
        <v>63</v>
      </c>
      <c r="N1373" s="3">
        <v>232</v>
      </c>
      <c r="O1373" t="s">
        <v>24</v>
      </c>
      <c r="P1373" t="s">
        <v>56</v>
      </c>
      <c r="R1373">
        <f>tblDailySchedule[[#This Row],[Capacity Approx]]*'[1]Load Factor Sheet June Acft  '!$B$5</f>
        <v>187.86727272727273</v>
      </c>
      <c r="S1373">
        <f>tblDailySchedule[[#This Row],[Capacity Approx]]*'[1]Load Factor Sheet June Acft  '!$D$5</f>
        <v>203.4218181818182</v>
      </c>
      <c r="T1373" s="22">
        <f>tblDailySchedule[[#This Row],[STD]]</f>
        <v>0.68402777777777779</v>
      </c>
    </row>
    <row r="1374" spans="1:20" hidden="1" x14ac:dyDescent="0.35">
      <c r="A1374" s="11">
        <v>46159</v>
      </c>
      <c r="B1374" s="3">
        <v>7</v>
      </c>
      <c r="C1374" t="s">
        <v>17</v>
      </c>
      <c r="D1374" t="s">
        <v>18</v>
      </c>
      <c r="E1374" s="3">
        <v>17</v>
      </c>
      <c r="F1374" t="s">
        <v>19</v>
      </c>
      <c r="G1374" t="s">
        <v>69</v>
      </c>
      <c r="H1374" t="s">
        <v>31</v>
      </c>
      <c r="I1374" s="12">
        <v>0.66319444444444442</v>
      </c>
      <c r="J1374" t="s">
        <v>70</v>
      </c>
      <c r="K1374" t="s">
        <v>31</v>
      </c>
      <c r="L1374" s="12">
        <v>0.69097222222222221</v>
      </c>
      <c r="M1374" t="s">
        <v>33</v>
      </c>
      <c r="N1374" s="3">
        <v>189</v>
      </c>
      <c r="O1374" t="s">
        <v>24</v>
      </c>
      <c r="P1374" t="s">
        <v>56</v>
      </c>
      <c r="R1374">
        <f>tblDailySchedule[[#This Row],[Capacity Approx]]*'[1]Load Factor Sheet June Acft  '!$B$5</f>
        <v>153.04704545454547</v>
      </c>
      <c r="S1374">
        <f>tblDailySchedule[[#This Row],[Capacity Approx]]*'[1]Load Factor Sheet June Acft  '!$D$5</f>
        <v>165.71863636363636</v>
      </c>
      <c r="T1374" s="22">
        <f>tblDailySchedule[[#This Row],[STD]]</f>
        <v>0.69097222222222221</v>
      </c>
    </row>
    <row r="1375" spans="1:20" hidden="1" x14ac:dyDescent="0.35">
      <c r="A1375" s="11">
        <v>46159</v>
      </c>
      <c r="B1375" s="3">
        <v>7</v>
      </c>
      <c r="C1375" t="s">
        <v>17</v>
      </c>
      <c r="D1375" t="s">
        <v>18</v>
      </c>
      <c r="E1375" s="3">
        <v>18</v>
      </c>
      <c r="F1375" t="s">
        <v>19</v>
      </c>
      <c r="G1375" t="s">
        <v>71</v>
      </c>
      <c r="H1375" t="s">
        <v>21</v>
      </c>
      <c r="I1375" s="12">
        <v>0.67013888888888884</v>
      </c>
      <c r="J1375" t="s">
        <v>72</v>
      </c>
      <c r="K1375" t="s">
        <v>21</v>
      </c>
      <c r="L1375" s="12">
        <v>0.69791666666666663</v>
      </c>
      <c r="M1375" t="s">
        <v>63</v>
      </c>
      <c r="N1375" s="3">
        <v>232</v>
      </c>
      <c r="O1375" t="s">
        <v>24</v>
      </c>
      <c r="P1375" t="s">
        <v>56</v>
      </c>
      <c r="R1375">
        <f>tblDailySchedule[[#This Row],[Capacity Approx]]*'[1]Load Factor Sheet June Acft  '!$B$5</f>
        <v>187.86727272727273</v>
      </c>
      <c r="S1375">
        <f>tblDailySchedule[[#This Row],[Capacity Approx]]*'[1]Load Factor Sheet June Acft  '!$D$5</f>
        <v>203.4218181818182</v>
      </c>
      <c r="T1375" s="22">
        <f>tblDailySchedule[[#This Row],[STD]]</f>
        <v>0.69791666666666663</v>
      </c>
    </row>
    <row r="1376" spans="1:20" hidden="1" x14ac:dyDescent="0.35">
      <c r="A1376" s="11">
        <v>46159</v>
      </c>
      <c r="B1376" s="3">
        <v>7</v>
      </c>
      <c r="C1376" t="s">
        <v>17</v>
      </c>
      <c r="D1376" t="s">
        <v>18</v>
      </c>
      <c r="E1376" s="3">
        <v>19</v>
      </c>
      <c r="F1376" t="s">
        <v>19</v>
      </c>
      <c r="G1376" t="s">
        <v>73</v>
      </c>
      <c r="H1376" t="s">
        <v>27</v>
      </c>
      <c r="I1376" s="12">
        <v>0.74652777777777779</v>
      </c>
      <c r="J1376" t="s">
        <v>74</v>
      </c>
      <c r="K1376" t="s">
        <v>27</v>
      </c>
      <c r="L1376" s="12">
        <v>0.77430555555555558</v>
      </c>
      <c r="M1376" t="s">
        <v>63</v>
      </c>
      <c r="N1376" s="3">
        <v>232</v>
      </c>
      <c r="O1376" t="s">
        <v>24</v>
      </c>
      <c r="P1376" t="s">
        <v>56</v>
      </c>
      <c r="R1376">
        <f>tblDailySchedule[[#This Row],[Capacity Approx]]*'[1]Load Factor Sheet June Acft  '!$B$5</f>
        <v>187.86727272727273</v>
      </c>
      <c r="S1376">
        <f>tblDailySchedule[[#This Row],[Capacity Approx]]*'[1]Load Factor Sheet June Acft  '!$D$5</f>
        <v>203.4218181818182</v>
      </c>
      <c r="T1376" s="22">
        <f>tblDailySchedule[[#This Row],[STD]]</f>
        <v>0.77430555555555558</v>
      </c>
    </row>
    <row r="1377" spans="1:20" hidden="1" x14ac:dyDescent="0.35">
      <c r="A1377" s="11">
        <v>46159</v>
      </c>
      <c r="B1377" s="3">
        <v>7</v>
      </c>
      <c r="C1377" t="s">
        <v>17</v>
      </c>
      <c r="D1377" t="s">
        <v>18</v>
      </c>
      <c r="E1377" s="3">
        <v>20</v>
      </c>
      <c r="F1377" t="s">
        <v>34</v>
      </c>
      <c r="G1377" t="s">
        <v>75</v>
      </c>
      <c r="H1377" t="s">
        <v>76</v>
      </c>
      <c r="I1377" s="12">
        <v>0.76388888888888884</v>
      </c>
      <c r="J1377" t="s">
        <v>77</v>
      </c>
      <c r="K1377" t="s">
        <v>78</v>
      </c>
      <c r="L1377" s="12">
        <v>0.78472222222222221</v>
      </c>
      <c r="M1377" t="s">
        <v>51</v>
      </c>
      <c r="N1377" s="3">
        <v>78</v>
      </c>
      <c r="O1377" t="s">
        <v>24</v>
      </c>
      <c r="P1377" t="s">
        <v>79</v>
      </c>
      <c r="Q1377" s="16" t="s">
        <v>80</v>
      </c>
      <c r="R1377">
        <f>tblDailySchedule[[#This Row],[Capacity Approx]]*'[1]Load Factor Sheet June Acft  '!$B$5</f>
        <v>63.162272727272729</v>
      </c>
      <c r="S1377">
        <f>tblDailySchedule[[#This Row],[Capacity Approx]]*'[1]Load Factor Sheet June Acft  '!$D$5</f>
        <v>68.391818181818181</v>
      </c>
      <c r="T1377" s="22">
        <f>tblDailySchedule[[#This Row],[STD]]</f>
        <v>0.78472222222222221</v>
      </c>
    </row>
    <row r="1378" spans="1:20" hidden="1" x14ac:dyDescent="0.35">
      <c r="A1378" s="11">
        <v>46159</v>
      </c>
      <c r="B1378" s="3">
        <v>7</v>
      </c>
      <c r="C1378" t="s">
        <v>17</v>
      </c>
      <c r="D1378" t="s">
        <v>18</v>
      </c>
      <c r="E1378" s="3">
        <v>21</v>
      </c>
      <c r="F1378" t="s">
        <v>19</v>
      </c>
      <c r="G1378" t="s">
        <v>81</v>
      </c>
      <c r="H1378" t="s">
        <v>61</v>
      </c>
      <c r="I1378" s="12">
        <v>0.77083333333333337</v>
      </c>
      <c r="J1378" t="s">
        <v>82</v>
      </c>
      <c r="K1378" t="s">
        <v>49</v>
      </c>
      <c r="L1378" s="12">
        <v>0.79166666666666663</v>
      </c>
      <c r="M1378" t="s">
        <v>33</v>
      </c>
      <c r="N1378" s="3">
        <v>189</v>
      </c>
      <c r="O1378" t="s">
        <v>24</v>
      </c>
      <c r="P1378" t="s">
        <v>79</v>
      </c>
      <c r="R1378">
        <f>tblDailySchedule[[#This Row],[Capacity Approx]]*'[1]Load Factor Sheet June Acft  '!$B$5</f>
        <v>153.04704545454547</v>
      </c>
      <c r="S1378">
        <f>tblDailySchedule[[#This Row],[Capacity Approx]]*'[1]Load Factor Sheet June Acft  '!$D$5</f>
        <v>165.71863636363636</v>
      </c>
      <c r="T1378" s="22">
        <f>tblDailySchedule[[#This Row],[STD]]</f>
        <v>0.79166666666666663</v>
      </c>
    </row>
    <row r="1379" spans="1:20" hidden="1" x14ac:dyDescent="0.35">
      <c r="A1379" s="11">
        <v>46159</v>
      </c>
      <c r="B1379" s="3">
        <v>7</v>
      </c>
      <c r="C1379" t="s">
        <v>17</v>
      </c>
      <c r="D1379" t="s">
        <v>18</v>
      </c>
      <c r="E1379" s="3">
        <v>22</v>
      </c>
      <c r="F1379" t="s">
        <v>19</v>
      </c>
      <c r="G1379" t="s">
        <v>83</v>
      </c>
      <c r="H1379" t="s">
        <v>31</v>
      </c>
      <c r="I1379" s="12">
        <v>0.77777777777777779</v>
      </c>
      <c r="J1379" t="s">
        <v>84</v>
      </c>
      <c r="K1379" t="s">
        <v>31</v>
      </c>
      <c r="L1379" s="12">
        <v>0.80555555555555558</v>
      </c>
      <c r="M1379" t="s">
        <v>63</v>
      </c>
      <c r="N1379" s="3">
        <v>232</v>
      </c>
      <c r="O1379" t="s">
        <v>24</v>
      </c>
      <c r="P1379" t="s">
        <v>79</v>
      </c>
      <c r="R1379">
        <f>tblDailySchedule[[#This Row],[Capacity Approx]]*'[1]Load Factor Sheet June Acft  '!$B$5</f>
        <v>187.86727272727273</v>
      </c>
      <c r="S1379">
        <f>tblDailySchedule[[#This Row],[Capacity Approx]]*'[1]Load Factor Sheet June Acft  '!$D$5</f>
        <v>203.4218181818182</v>
      </c>
      <c r="T1379" s="22">
        <f>tblDailySchedule[[#This Row],[STD]]</f>
        <v>0.80555555555555558</v>
      </c>
    </row>
    <row r="1380" spans="1:20" hidden="1" x14ac:dyDescent="0.35">
      <c r="A1380" s="11">
        <v>46159</v>
      </c>
      <c r="B1380" s="3">
        <v>7</v>
      </c>
      <c r="C1380" t="s">
        <v>17</v>
      </c>
      <c r="D1380" t="s">
        <v>18</v>
      </c>
      <c r="E1380" s="3">
        <v>23</v>
      </c>
      <c r="F1380" t="s">
        <v>19</v>
      </c>
      <c r="G1380" t="s">
        <v>85</v>
      </c>
      <c r="H1380" t="s">
        <v>86</v>
      </c>
      <c r="I1380" s="12">
        <v>0.79861111111111116</v>
      </c>
      <c r="J1380" t="s">
        <v>87</v>
      </c>
      <c r="K1380" t="s">
        <v>86</v>
      </c>
      <c r="L1380" s="12">
        <v>0.82638888888888884</v>
      </c>
      <c r="M1380" t="s">
        <v>63</v>
      </c>
      <c r="N1380" s="3">
        <v>232</v>
      </c>
      <c r="O1380" t="s">
        <v>24</v>
      </c>
      <c r="P1380" t="s">
        <v>79</v>
      </c>
      <c r="R1380">
        <f>tblDailySchedule[[#This Row],[Capacity Approx]]*'[1]Load Factor Sheet June Acft  '!$B$5</f>
        <v>187.86727272727273</v>
      </c>
      <c r="S1380">
        <f>tblDailySchedule[[#This Row],[Capacity Approx]]*'[1]Load Factor Sheet June Acft  '!$D$5</f>
        <v>203.4218181818182</v>
      </c>
      <c r="T1380" s="22">
        <f>tblDailySchedule[[#This Row],[STD]]</f>
        <v>0.82638888888888884</v>
      </c>
    </row>
    <row r="1381" spans="1:20" hidden="1" x14ac:dyDescent="0.35">
      <c r="A1381" s="11">
        <v>46159</v>
      </c>
      <c r="B1381" s="3">
        <v>7</v>
      </c>
      <c r="C1381" t="s">
        <v>17</v>
      </c>
      <c r="D1381" t="s">
        <v>18</v>
      </c>
      <c r="E1381" s="3">
        <v>24</v>
      </c>
      <c r="F1381" t="s">
        <v>19</v>
      </c>
      <c r="G1381" t="s">
        <v>88</v>
      </c>
      <c r="H1381" t="s">
        <v>89</v>
      </c>
      <c r="I1381" s="12">
        <v>0.83333333333333337</v>
      </c>
      <c r="J1381" t="s">
        <v>90</v>
      </c>
      <c r="K1381" t="s">
        <v>31</v>
      </c>
      <c r="L1381" s="12">
        <v>0.86111111111111116</v>
      </c>
      <c r="M1381" t="s">
        <v>63</v>
      </c>
      <c r="N1381" s="3">
        <v>232</v>
      </c>
      <c r="O1381" t="s">
        <v>24</v>
      </c>
      <c r="P1381" t="s">
        <v>79</v>
      </c>
      <c r="R1381">
        <f>tblDailySchedule[[#This Row],[Capacity Approx]]*'[1]Load Factor Sheet June Acft  '!$B$5</f>
        <v>187.86727272727273</v>
      </c>
      <c r="S1381">
        <f>tblDailySchedule[[#This Row],[Capacity Approx]]*'[1]Load Factor Sheet June Acft  '!$D$5</f>
        <v>203.4218181818182</v>
      </c>
      <c r="T1381" s="22">
        <f>tblDailySchedule[[#This Row],[STD]]</f>
        <v>0.86111111111111116</v>
      </c>
    </row>
    <row r="1382" spans="1:20" hidden="1" x14ac:dyDescent="0.35">
      <c r="A1382" s="11">
        <v>46159</v>
      </c>
      <c r="B1382" s="3">
        <v>7</v>
      </c>
      <c r="C1382" t="s">
        <v>17</v>
      </c>
      <c r="D1382" t="s">
        <v>18</v>
      </c>
      <c r="E1382" s="3">
        <v>25</v>
      </c>
      <c r="F1382" t="s">
        <v>19</v>
      </c>
      <c r="G1382" t="s">
        <v>91</v>
      </c>
      <c r="H1382" t="s">
        <v>61</v>
      </c>
      <c r="I1382" s="12">
        <v>0.85416666666666663</v>
      </c>
      <c r="J1382" t="s">
        <v>92</v>
      </c>
      <c r="K1382" t="s">
        <v>61</v>
      </c>
      <c r="L1382" s="12">
        <v>0.88194444444444442</v>
      </c>
      <c r="M1382" t="s">
        <v>63</v>
      </c>
      <c r="N1382" s="3">
        <v>232</v>
      </c>
      <c r="O1382" t="s">
        <v>24</v>
      </c>
      <c r="P1382" t="s">
        <v>79</v>
      </c>
      <c r="R1382">
        <f>tblDailySchedule[[#This Row],[Capacity Approx]]*'[1]Load Factor Sheet June Acft  '!$B$5</f>
        <v>187.86727272727273</v>
      </c>
      <c r="S1382">
        <f>tblDailySchedule[[#This Row],[Capacity Approx]]*'[1]Load Factor Sheet June Acft  '!$D$5</f>
        <v>203.4218181818182</v>
      </c>
      <c r="T1382" s="22">
        <f>tblDailySchedule[[#This Row],[STD]]</f>
        <v>0.88194444444444442</v>
      </c>
    </row>
    <row r="1383" spans="1:20" hidden="1" x14ac:dyDescent="0.35">
      <c r="A1383" s="11">
        <v>46159</v>
      </c>
      <c r="B1383" s="3">
        <v>7</v>
      </c>
      <c r="C1383" t="s">
        <v>17</v>
      </c>
      <c r="D1383" t="s">
        <v>18</v>
      </c>
      <c r="E1383" s="3">
        <v>26</v>
      </c>
      <c r="F1383" t="s">
        <v>19</v>
      </c>
      <c r="G1383" t="s">
        <v>93</v>
      </c>
      <c r="H1383" t="s">
        <v>31</v>
      </c>
      <c r="I1383" s="12">
        <v>0.86111111111111116</v>
      </c>
      <c r="J1383" t="s">
        <v>94</v>
      </c>
      <c r="K1383" t="s">
        <v>31</v>
      </c>
      <c r="L1383" s="12">
        <v>0.88888888888888884</v>
      </c>
      <c r="M1383" t="s">
        <v>23</v>
      </c>
      <c r="N1383" s="3">
        <v>186</v>
      </c>
      <c r="O1383" t="s">
        <v>24</v>
      </c>
      <c r="P1383" t="s">
        <v>79</v>
      </c>
      <c r="R1383">
        <f>tblDailySchedule[[#This Row],[Capacity Approx]]*'[1]Load Factor Sheet June Acft  '!$B$5</f>
        <v>150.61772727272728</v>
      </c>
      <c r="S1383">
        <f>tblDailySchedule[[#This Row],[Capacity Approx]]*'[1]Load Factor Sheet June Acft  '!$D$5</f>
        <v>163.08818181818182</v>
      </c>
      <c r="T1383" s="22">
        <f>tblDailySchedule[[#This Row],[STD]]</f>
        <v>0.88888888888888884</v>
      </c>
    </row>
    <row r="1384" spans="1:20" hidden="1" x14ac:dyDescent="0.35">
      <c r="A1384" s="11">
        <v>46159</v>
      </c>
      <c r="B1384" s="3">
        <v>7</v>
      </c>
      <c r="C1384" t="s">
        <v>17</v>
      </c>
      <c r="D1384" t="s">
        <v>18</v>
      </c>
      <c r="E1384" s="3">
        <v>27</v>
      </c>
      <c r="F1384" t="s">
        <v>19</v>
      </c>
      <c r="G1384" t="s">
        <v>95</v>
      </c>
      <c r="H1384" t="s">
        <v>21</v>
      </c>
      <c r="I1384" s="12">
        <v>0.86805555555555558</v>
      </c>
      <c r="J1384" t="s">
        <v>96</v>
      </c>
      <c r="K1384" t="s">
        <v>21</v>
      </c>
      <c r="L1384" s="12">
        <v>0.89583333333333337</v>
      </c>
      <c r="M1384" t="s">
        <v>29</v>
      </c>
      <c r="N1384" s="3">
        <v>186</v>
      </c>
      <c r="O1384" t="s">
        <v>24</v>
      </c>
      <c r="P1384" t="s">
        <v>79</v>
      </c>
      <c r="R1384">
        <f>tblDailySchedule[[#This Row],[Capacity Approx]]*'[1]Load Factor Sheet June Acft  '!$B$5</f>
        <v>150.61772727272728</v>
      </c>
      <c r="S1384">
        <f>tblDailySchedule[[#This Row],[Capacity Approx]]*'[1]Load Factor Sheet June Acft  '!$D$5</f>
        <v>163.08818181818182</v>
      </c>
      <c r="T1384" s="22">
        <f>tblDailySchedule[[#This Row],[STD]]</f>
        <v>0.89583333333333337</v>
      </c>
    </row>
    <row r="1385" spans="1:20" hidden="1" x14ac:dyDescent="0.35">
      <c r="A1385" s="11">
        <v>46159</v>
      </c>
      <c r="B1385" s="3">
        <v>7</v>
      </c>
      <c r="C1385" t="s">
        <v>17</v>
      </c>
      <c r="D1385" t="s">
        <v>18</v>
      </c>
      <c r="E1385" s="3">
        <v>28</v>
      </c>
      <c r="F1385" t="s">
        <v>19</v>
      </c>
      <c r="G1385" t="s">
        <v>97</v>
      </c>
      <c r="H1385" t="s">
        <v>49</v>
      </c>
      <c r="I1385" s="12">
        <v>0.90277777777777779</v>
      </c>
      <c r="J1385" t="s">
        <v>97</v>
      </c>
      <c r="K1385" t="s">
        <v>61</v>
      </c>
      <c r="L1385" s="12">
        <v>0.92361111111111116</v>
      </c>
      <c r="M1385" t="s">
        <v>33</v>
      </c>
      <c r="N1385" s="3">
        <v>189</v>
      </c>
      <c r="O1385" t="s">
        <v>24</v>
      </c>
      <c r="P1385" t="s">
        <v>79</v>
      </c>
      <c r="R1385">
        <f>tblDailySchedule[[#This Row],[Capacity Approx]]*'[1]Load Factor Sheet June Acft  '!$B$5</f>
        <v>153.04704545454547</v>
      </c>
      <c r="S1385">
        <f>tblDailySchedule[[#This Row],[Capacity Approx]]*'[1]Load Factor Sheet June Acft  '!$D$5</f>
        <v>165.71863636363636</v>
      </c>
      <c r="T1385" s="22">
        <f>tblDailySchedule[[#This Row],[STD]]</f>
        <v>0.92361111111111116</v>
      </c>
    </row>
    <row r="1386" spans="1:20" hidden="1" x14ac:dyDescent="0.35">
      <c r="A1386" s="11">
        <v>46159</v>
      </c>
      <c r="B1386" s="3">
        <v>7</v>
      </c>
      <c r="C1386" t="s">
        <v>17</v>
      </c>
      <c r="D1386" t="s">
        <v>18</v>
      </c>
      <c r="E1386" s="3">
        <v>29</v>
      </c>
      <c r="F1386" t="s">
        <v>19</v>
      </c>
      <c r="G1386" t="s">
        <v>98</v>
      </c>
      <c r="H1386" t="s">
        <v>21</v>
      </c>
      <c r="I1386" s="12">
        <v>0.92013888888888884</v>
      </c>
      <c r="J1386" t="s">
        <v>99</v>
      </c>
      <c r="K1386" t="s">
        <v>21</v>
      </c>
      <c r="L1386" s="12">
        <v>0.94791666666666663</v>
      </c>
      <c r="M1386" t="s">
        <v>63</v>
      </c>
      <c r="N1386" s="3">
        <v>232</v>
      </c>
      <c r="O1386" t="s">
        <v>24</v>
      </c>
      <c r="P1386" t="s">
        <v>79</v>
      </c>
      <c r="R1386">
        <f>tblDailySchedule[[#This Row],[Capacity Approx]]*'[1]Load Factor Sheet June Acft  '!$B$5</f>
        <v>187.86727272727273</v>
      </c>
      <c r="S1386">
        <f>tblDailySchedule[[#This Row],[Capacity Approx]]*'[1]Load Factor Sheet June Acft  '!$D$5</f>
        <v>203.4218181818182</v>
      </c>
      <c r="T1386" s="22">
        <f>tblDailySchedule[[#This Row],[STD]]</f>
        <v>0.94791666666666663</v>
      </c>
    </row>
    <row r="1387" spans="1:20" hidden="1" x14ac:dyDescent="0.35">
      <c r="A1387" s="11">
        <v>46160</v>
      </c>
      <c r="B1387" s="3">
        <v>1</v>
      </c>
      <c r="C1387" t="s">
        <v>100</v>
      </c>
      <c r="D1387" t="s">
        <v>18</v>
      </c>
      <c r="E1387" s="3">
        <v>1</v>
      </c>
      <c r="F1387" t="s">
        <v>101</v>
      </c>
      <c r="G1387" t="s">
        <v>102</v>
      </c>
      <c r="H1387" t="s">
        <v>61</v>
      </c>
      <c r="I1387" s="12">
        <v>0.3125</v>
      </c>
      <c r="J1387" t="s">
        <v>103</v>
      </c>
      <c r="K1387" t="s">
        <v>61</v>
      </c>
      <c r="L1387" s="12">
        <v>0.33333333333333331</v>
      </c>
      <c r="M1387" t="s">
        <v>33</v>
      </c>
      <c r="N1387" s="3">
        <v>189</v>
      </c>
      <c r="O1387" t="s">
        <v>24</v>
      </c>
      <c r="P1387" t="s">
        <v>25</v>
      </c>
      <c r="R1387">
        <f>tblDailySchedule[[#This Row],[Capacity Approx]]*'[1]Load Factor Sheet June Acft  '!$B$5</f>
        <v>153.04704545454547</v>
      </c>
      <c r="S1387">
        <f>tblDailySchedule[[#This Row],[Capacity Approx]]*'[1]Load Factor Sheet June Acft  '!$D$5</f>
        <v>165.71863636363636</v>
      </c>
      <c r="T1387" s="22">
        <f>tblDailySchedule[[#This Row],[STD]]</f>
        <v>0.33333333333333331</v>
      </c>
    </row>
    <row r="1388" spans="1:20" hidden="1" x14ac:dyDescent="0.35">
      <c r="A1388" s="11">
        <v>46160</v>
      </c>
      <c r="B1388" s="3">
        <v>1</v>
      </c>
      <c r="C1388" t="s">
        <v>100</v>
      </c>
      <c r="D1388" t="s">
        <v>18</v>
      </c>
      <c r="E1388" s="3">
        <v>2</v>
      </c>
      <c r="F1388" t="s">
        <v>19</v>
      </c>
      <c r="G1388" t="s">
        <v>20</v>
      </c>
      <c r="H1388" t="s">
        <v>21</v>
      </c>
      <c r="I1388" s="12">
        <v>0.31944444444444442</v>
      </c>
      <c r="J1388" t="s">
        <v>22</v>
      </c>
      <c r="K1388" t="s">
        <v>21</v>
      </c>
      <c r="L1388" s="12">
        <v>0.34722222222222221</v>
      </c>
      <c r="M1388" t="s">
        <v>23</v>
      </c>
      <c r="N1388" s="3">
        <v>186</v>
      </c>
      <c r="O1388" t="s">
        <v>24</v>
      </c>
      <c r="P1388" t="s">
        <v>25</v>
      </c>
      <c r="R1388">
        <f>tblDailySchedule[[#This Row],[Capacity Approx]]*'[1]Load Factor Sheet June Acft  '!$B$5</f>
        <v>150.61772727272728</v>
      </c>
      <c r="S1388">
        <f>tblDailySchedule[[#This Row],[Capacity Approx]]*'[1]Load Factor Sheet June Acft  '!$D$5</f>
        <v>163.08818181818182</v>
      </c>
      <c r="T1388" s="22">
        <f>tblDailySchedule[[#This Row],[STD]]</f>
        <v>0.34722222222222221</v>
      </c>
    </row>
    <row r="1389" spans="1:20" hidden="1" x14ac:dyDescent="0.35">
      <c r="A1389" s="11">
        <v>46160</v>
      </c>
      <c r="B1389" s="3">
        <v>1</v>
      </c>
      <c r="C1389" t="s">
        <v>100</v>
      </c>
      <c r="D1389" t="s">
        <v>18</v>
      </c>
      <c r="E1389" s="3">
        <v>3</v>
      </c>
      <c r="F1389" t="s">
        <v>19</v>
      </c>
      <c r="G1389" t="s">
        <v>26</v>
      </c>
      <c r="H1389" t="s">
        <v>27</v>
      </c>
      <c r="I1389" s="12">
        <v>0.3263888888888889</v>
      </c>
      <c r="J1389" t="s">
        <v>28</v>
      </c>
      <c r="K1389" t="s">
        <v>27</v>
      </c>
      <c r="L1389" s="12">
        <v>0.35416666666666669</v>
      </c>
      <c r="M1389" t="s">
        <v>29</v>
      </c>
      <c r="N1389" s="3">
        <v>186</v>
      </c>
      <c r="O1389" t="s">
        <v>24</v>
      </c>
      <c r="P1389" t="s">
        <v>25</v>
      </c>
      <c r="R1389">
        <f>tblDailySchedule[[#This Row],[Capacity Approx]]*'[1]Load Factor Sheet June Acft  '!$B$5</f>
        <v>150.61772727272728</v>
      </c>
      <c r="S1389">
        <f>tblDailySchedule[[#This Row],[Capacity Approx]]*'[1]Load Factor Sheet June Acft  '!$D$5</f>
        <v>163.08818181818182</v>
      </c>
      <c r="T1389" s="22">
        <f>tblDailySchedule[[#This Row],[STD]]</f>
        <v>0.35416666666666669</v>
      </c>
    </row>
    <row r="1390" spans="1:20" hidden="1" x14ac:dyDescent="0.35">
      <c r="A1390" s="11">
        <v>46160</v>
      </c>
      <c r="B1390" s="3">
        <v>1</v>
      </c>
      <c r="C1390" t="s">
        <v>100</v>
      </c>
      <c r="D1390" t="s">
        <v>18</v>
      </c>
      <c r="E1390" s="3">
        <v>4</v>
      </c>
      <c r="F1390" t="s">
        <v>19</v>
      </c>
      <c r="G1390" t="s">
        <v>30</v>
      </c>
      <c r="H1390" t="s">
        <v>31</v>
      </c>
      <c r="I1390" s="12">
        <v>0.34722222222222221</v>
      </c>
      <c r="J1390" t="s">
        <v>32</v>
      </c>
      <c r="K1390" t="s">
        <v>31</v>
      </c>
      <c r="L1390" s="12">
        <v>0.36805555555555558</v>
      </c>
      <c r="M1390" t="s">
        <v>33</v>
      </c>
      <c r="N1390" s="3">
        <v>189</v>
      </c>
      <c r="O1390" t="s">
        <v>24</v>
      </c>
      <c r="P1390" t="s">
        <v>25</v>
      </c>
      <c r="R1390">
        <f>tblDailySchedule[[#This Row],[Capacity Approx]]*'[1]Load Factor Sheet June Acft  '!$B$5</f>
        <v>153.04704545454547</v>
      </c>
      <c r="S1390">
        <f>tblDailySchedule[[#This Row],[Capacity Approx]]*'[1]Load Factor Sheet June Acft  '!$D$5</f>
        <v>165.71863636363636</v>
      </c>
      <c r="T1390" s="22">
        <f>tblDailySchedule[[#This Row],[STD]]</f>
        <v>0.36805555555555558</v>
      </c>
    </row>
    <row r="1391" spans="1:20" hidden="1" x14ac:dyDescent="0.35">
      <c r="A1391" s="13">
        <v>46160</v>
      </c>
      <c r="B1391" s="7">
        <v>1</v>
      </c>
      <c r="C1391" s="14" t="s">
        <v>100</v>
      </c>
      <c r="D1391" s="14" t="s">
        <v>18</v>
      </c>
      <c r="E1391" s="7">
        <v>6</v>
      </c>
      <c r="F1391" s="14" t="s">
        <v>34</v>
      </c>
      <c r="G1391" s="14" t="s">
        <v>35</v>
      </c>
      <c r="H1391" s="14" t="s">
        <v>36</v>
      </c>
      <c r="I1391" s="15">
        <v>0.34722222222222221</v>
      </c>
      <c r="J1391" s="14" t="s">
        <v>37</v>
      </c>
      <c r="K1391" s="14" t="s">
        <v>36</v>
      </c>
      <c r="L1391" s="15">
        <v>0.40972222222222221</v>
      </c>
      <c r="M1391" s="14" t="s">
        <v>38</v>
      </c>
      <c r="N1391" s="7">
        <v>186</v>
      </c>
      <c r="O1391" s="14" t="s">
        <v>39</v>
      </c>
      <c r="P1391" s="14" t="s">
        <v>25</v>
      </c>
      <c r="Q1391" s="14" t="s">
        <v>39</v>
      </c>
      <c r="R1391">
        <f>tblDailySchedule[[#This Row],[Capacity Approx]]*'[1]Load Factor Sheet June Acft  '!$B$5</f>
        <v>150.61772727272728</v>
      </c>
      <c r="S1391">
        <f>tblDailySchedule[[#This Row],[Capacity Approx]]*'[1]Load Factor Sheet June Acft  '!$D$5</f>
        <v>163.08818181818182</v>
      </c>
      <c r="T1391" s="22">
        <f>tblDailySchedule[[#This Row],[STD]]</f>
        <v>0.40972222222222221</v>
      </c>
    </row>
    <row r="1392" spans="1:20" hidden="1" x14ac:dyDescent="0.35">
      <c r="A1392" s="11">
        <v>46160</v>
      </c>
      <c r="B1392" s="3">
        <v>1</v>
      </c>
      <c r="C1392" t="s">
        <v>100</v>
      </c>
      <c r="D1392" t="s">
        <v>18</v>
      </c>
      <c r="E1392" s="3">
        <v>5</v>
      </c>
      <c r="F1392" t="s">
        <v>19</v>
      </c>
      <c r="G1392" t="s">
        <v>40</v>
      </c>
      <c r="H1392" t="s">
        <v>31</v>
      </c>
      <c r="I1392" s="12">
        <v>0.35069444444444442</v>
      </c>
      <c r="J1392" t="s">
        <v>41</v>
      </c>
      <c r="K1392" t="s">
        <v>31</v>
      </c>
      <c r="L1392" s="12">
        <v>0.37152777777777779</v>
      </c>
      <c r="M1392" t="s">
        <v>23</v>
      </c>
      <c r="N1392" s="3">
        <v>186</v>
      </c>
      <c r="O1392" t="s">
        <v>24</v>
      </c>
      <c r="P1392" t="s">
        <v>25</v>
      </c>
      <c r="R1392">
        <f>tblDailySchedule[[#This Row],[Capacity Approx]]*'[1]Load Factor Sheet June Acft  '!$B$5</f>
        <v>150.61772727272728</v>
      </c>
      <c r="S1392">
        <f>tblDailySchedule[[#This Row],[Capacity Approx]]*'[1]Load Factor Sheet June Acft  '!$D$5</f>
        <v>163.08818181818182</v>
      </c>
      <c r="T1392" s="22">
        <f>tblDailySchedule[[#This Row],[STD]]</f>
        <v>0.37152777777777779</v>
      </c>
    </row>
    <row r="1393" spans="1:20" hidden="1" x14ac:dyDescent="0.35">
      <c r="A1393" s="11">
        <v>46160</v>
      </c>
      <c r="B1393" s="3">
        <v>1</v>
      </c>
      <c r="C1393" t="s">
        <v>100</v>
      </c>
      <c r="D1393" t="s">
        <v>18</v>
      </c>
      <c r="E1393" s="3">
        <v>7</v>
      </c>
      <c r="F1393" t="s">
        <v>19</v>
      </c>
      <c r="G1393" t="s">
        <v>42</v>
      </c>
      <c r="H1393" t="s">
        <v>43</v>
      </c>
      <c r="I1393" s="12">
        <v>0.3923611111111111</v>
      </c>
      <c r="J1393" t="s">
        <v>44</v>
      </c>
      <c r="K1393" t="s">
        <v>43</v>
      </c>
      <c r="L1393" s="12">
        <v>0.40277777777777779</v>
      </c>
      <c r="M1393" t="s">
        <v>45</v>
      </c>
      <c r="N1393" s="3">
        <v>9</v>
      </c>
      <c r="O1393" t="s">
        <v>24</v>
      </c>
      <c r="P1393" t="s">
        <v>25</v>
      </c>
      <c r="R1393">
        <f>tblDailySchedule[[#This Row],[Capacity Approx]]*'[1]Load Factor Sheet June Acft  '!$B$5</f>
        <v>7.2879545454545456</v>
      </c>
      <c r="S1393">
        <f>tblDailySchedule[[#This Row],[Capacity Approx]]*'[1]Load Factor Sheet June Acft  '!$D$5</f>
        <v>7.8913636363636366</v>
      </c>
      <c r="T1393" s="22">
        <f>tblDailySchedule[[#This Row],[STD]]</f>
        <v>0.40277777777777779</v>
      </c>
    </row>
    <row r="1394" spans="1:20" hidden="1" x14ac:dyDescent="0.35">
      <c r="A1394" s="11">
        <v>46160</v>
      </c>
      <c r="B1394" s="3">
        <v>1</v>
      </c>
      <c r="C1394" t="s">
        <v>100</v>
      </c>
      <c r="D1394" t="s">
        <v>18</v>
      </c>
      <c r="E1394" s="3">
        <v>8</v>
      </c>
      <c r="F1394" t="s">
        <v>19</v>
      </c>
      <c r="G1394" t="s">
        <v>46</v>
      </c>
      <c r="H1394" t="s">
        <v>31</v>
      </c>
      <c r="I1394" s="12">
        <v>0.4201388888888889</v>
      </c>
      <c r="J1394" t="s">
        <v>47</v>
      </c>
      <c r="K1394" t="s">
        <v>31</v>
      </c>
      <c r="L1394" s="12">
        <v>0.44444444444444442</v>
      </c>
      <c r="M1394" t="s">
        <v>29</v>
      </c>
      <c r="N1394" s="3">
        <v>186</v>
      </c>
      <c r="O1394" t="s">
        <v>24</v>
      </c>
      <c r="P1394" t="s">
        <v>25</v>
      </c>
      <c r="R1394">
        <f>tblDailySchedule[[#This Row],[Capacity Approx]]*'[1]Load Factor Sheet June Acft  '!$B$5</f>
        <v>150.61772727272728</v>
      </c>
      <c r="S1394">
        <f>tblDailySchedule[[#This Row],[Capacity Approx]]*'[1]Load Factor Sheet June Acft  '!$D$5</f>
        <v>163.08818181818182</v>
      </c>
      <c r="T1394" s="22">
        <f>tblDailySchedule[[#This Row],[STD]]</f>
        <v>0.44444444444444442</v>
      </c>
    </row>
    <row r="1395" spans="1:20" hidden="1" x14ac:dyDescent="0.35">
      <c r="A1395" s="11">
        <v>46160</v>
      </c>
      <c r="B1395" s="3">
        <v>1</v>
      </c>
      <c r="C1395" t="s">
        <v>100</v>
      </c>
      <c r="D1395" t="s">
        <v>18</v>
      </c>
      <c r="E1395" s="3">
        <v>9</v>
      </c>
      <c r="F1395" t="s">
        <v>19</v>
      </c>
      <c r="G1395" t="s">
        <v>48</v>
      </c>
      <c r="H1395" t="s">
        <v>49</v>
      </c>
      <c r="I1395" s="12">
        <v>0.4375</v>
      </c>
      <c r="J1395" t="s">
        <v>50</v>
      </c>
      <c r="K1395" t="s">
        <v>49</v>
      </c>
      <c r="L1395" s="12">
        <v>0.45833333333333331</v>
      </c>
      <c r="M1395" t="s">
        <v>51</v>
      </c>
      <c r="N1395" s="3">
        <v>78</v>
      </c>
      <c r="O1395" t="s">
        <v>24</v>
      </c>
      <c r="P1395" t="s">
        <v>25</v>
      </c>
      <c r="R1395">
        <f>tblDailySchedule[[#This Row],[Capacity Approx]]*'[1]Load Factor Sheet June Acft  '!$B$5</f>
        <v>63.162272727272729</v>
      </c>
      <c r="S1395">
        <f>tblDailySchedule[[#This Row],[Capacity Approx]]*'[1]Load Factor Sheet June Acft  '!$D$5</f>
        <v>68.391818181818181</v>
      </c>
      <c r="T1395" s="22">
        <f>tblDailySchedule[[#This Row],[STD]]</f>
        <v>0.45833333333333331</v>
      </c>
    </row>
    <row r="1396" spans="1:20" hidden="1" x14ac:dyDescent="0.35">
      <c r="A1396" s="11">
        <v>46160</v>
      </c>
      <c r="B1396" s="3">
        <v>1</v>
      </c>
      <c r="C1396" t="s">
        <v>100</v>
      </c>
      <c r="D1396" t="s">
        <v>18</v>
      </c>
      <c r="E1396" s="3">
        <v>10</v>
      </c>
      <c r="F1396" t="s">
        <v>19</v>
      </c>
      <c r="G1396" t="s">
        <v>52</v>
      </c>
      <c r="H1396" t="s">
        <v>27</v>
      </c>
      <c r="I1396" s="12">
        <v>0.4826388888888889</v>
      </c>
      <c r="J1396" t="s">
        <v>53</v>
      </c>
      <c r="K1396" t="s">
        <v>27</v>
      </c>
      <c r="L1396" s="12">
        <v>0.51041666666666663</v>
      </c>
      <c r="M1396" t="s">
        <v>23</v>
      </c>
      <c r="N1396" s="3">
        <v>186</v>
      </c>
      <c r="O1396" t="s">
        <v>24</v>
      </c>
      <c r="P1396" t="s">
        <v>25</v>
      </c>
      <c r="R1396">
        <f>tblDailySchedule[[#This Row],[Capacity Approx]]*'[1]Load Factor Sheet June Acft  '!$B$5</f>
        <v>150.61772727272728</v>
      </c>
      <c r="S1396">
        <f>tblDailySchedule[[#This Row],[Capacity Approx]]*'[1]Load Factor Sheet June Acft  '!$D$5</f>
        <v>163.08818181818182</v>
      </c>
      <c r="T1396" s="22">
        <f>tblDailySchedule[[#This Row],[STD]]</f>
        <v>0.51041666666666663</v>
      </c>
    </row>
    <row r="1397" spans="1:20" hidden="1" x14ac:dyDescent="0.35">
      <c r="A1397" s="11">
        <v>46160</v>
      </c>
      <c r="B1397" s="3">
        <v>1</v>
      </c>
      <c r="C1397" t="s">
        <v>100</v>
      </c>
      <c r="D1397" t="s">
        <v>18</v>
      </c>
      <c r="E1397" s="3">
        <v>11</v>
      </c>
      <c r="F1397" t="s">
        <v>19</v>
      </c>
      <c r="G1397" t="s">
        <v>54</v>
      </c>
      <c r="H1397" t="s">
        <v>31</v>
      </c>
      <c r="I1397" s="12">
        <v>0.51388888888888884</v>
      </c>
      <c r="J1397" t="s">
        <v>55</v>
      </c>
      <c r="K1397" t="s">
        <v>31</v>
      </c>
      <c r="L1397" s="12">
        <v>0.54166666666666663</v>
      </c>
      <c r="M1397" t="s">
        <v>23</v>
      </c>
      <c r="N1397" s="3">
        <v>186</v>
      </c>
      <c r="O1397" t="s">
        <v>24</v>
      </c>
      <c r="P1397" t="s">
        <v>56</v>
      </c>
      <c r="R1397">
        <f>tblDailySchedule[[#This Row],[Capacity Approx]]*'[1]Load Factor Sheet June Acft  '!$B$5</f>
        <v>150.61772727272728</v>
      </c>
      <c r="S1397">
        <f>tblDailySchedule[[#This Row],[Capacity Approx]]*'[1]Load Factor Sheet June Acft  '!$D$5</f>
        <v>163.08818181818182</v>
      </c>
      <c r="T1397" s="22">
        <f>tblDailySchedule[[#This Row],[STD]]</f>
        <v>0.54166666666666663</v>
      </c>
    </row>
    <row r="1398" spans="1:20" hidden="1" x14ac:dyDescent="0.35">
      <c r="A1398" s="11">
        <v>46160</v>
      </c>
      <c r="B1398" s="3">
        <v>1</v>
      </c>
      <c r="C1398" t="s">
        <v>100</v>
      </c>
      <c r="D1398" t="s">
        <v>18</v>
      </c>
      <c r="E1398" s="3">
        <v>13</v>
      </c>
      <c r="F1398" t="s">
        <v>19</v>
      </c>
      <c r="G1398" t="s">
        <v>57</v>
      </c>
      <c r="H1398" t="s">
        <v>58</v>
      </c>
      <c r="I1398" s="12">
        <v>0.55902777777777779</v>
      </c>
      <c r="J1398" t="s">
        <v>59</v>
      </c>
      <c r="K1398" t="s">
        <v>58</v>
      </c>
      <c r="L1398" s="12">
        <v>0.57638888888888884</v>
      </c>
      <c r="M1398" t="s">
        <v>51</v>
      </c>
      <c r="N1398" s="3">
        <v>78</v>
      </c>
      <c r="O1398" t="s">
        <v>24</v>
      </c>
      <c r="P1398" t="s">
        <v>56</v>
      </c>
      <c r="R1398">
        <f>tblDailySchedule[[#This Row],[Capacity Approx]]*'[1]Load Factor Sheet June Acft  '!$B$5</f>
        <v>63.162272727272729</v>
      </c>
      <c r="S1398">
        <f>tblDailySchedule[[#This Row],[Capacity Approx]]*'[1]Load Factor Sheet June Acft  '!$D$5</f>
        <v>68.391818181818181</v>
      </c>
      <c r="T1398" s="22">
        <f>tblDailySchedule[[#This Row],[STD]]</f>
        <v>0.57638888888888884</v>
      </c>
    </row>
    <row r="1399" spans="1:20" hidden="1" x14ac:dyDescent="0.35">
      <c r="A1399" s="11">
        <v>46160</v>
      </c>
      <c r="B1399" s="3">
        <v>1</v>
      </c>
      <c r="C1399" t="s">
        <v>100</v>
      </c>
      <c r="D1399" t="s">
        <v>18</v>
      </c>
      <c r="E1399" s="3">
        <v>14</v>
      </c>
      <c r="F1399" t="s">
        <v>19</v>
      </c>
      <c r="G1399" t="s">
        <v>60</v>
      </c>
      <c r="H1399" t="s">
        <v>61</v>
      </c>
      <c r="I1399" s="12">
        <v>0.59027777777777779</v>
      </c>
      <c r="J1399" t="s">
        <v>62</v>
      </c>
      <c r="K1399" t="s">
        <v>61</v>
      </c>
      <c r="L1399" s="12">
        <v>0.62152777777777779</v>
      </c>
      <c r="M1399" t="s">
        <v>63</v>
      </c>
      <c r="N1399" s="3">
        <v>232</v>
      </c>
      <c r="O1399" t="s">
        <v>24</v>
      </c>
      <c r="P1399" t="s">
        <v>56</v>
      </c>
      <c r="R1399">
        <f>tblDailySchedule[[#This Row],[Capacity Approx]]*'[1]Load Factor Sheet June Acft  '!$B$5</f>
        <v>187.86727272727273</v>
      </c>
      <c r="S1399">
        <f>tblDailySchedule[[#This Row],[Capacity Approx]]*'[1]Load Factor Sheet June Acft  '!$D$5</f>
        <v>203.4218181818182</v>
      </c>
      <c r="T1399" s="22">
        <f>tblDailySchedule[[#This Row],[STD]]</f>
        <v>0.62152777777777779</v>
      </c>
    </row>
    <row r="1400" spans="1:20" hidden="1" x14ac:dyDescent="0.35">
      <c r="A1400" s="11">
        <v>46160</v>
      </c>
      <c r="B1400" s="3">
        <v>1</v>
      </c>
      <c r="C1400" t="s">
        <v>100</v>
      </c>
      <c r="D1400" t="s">
        <v>18</v>
      </c>
      <c r="E1400" s="3">
        <v>15</v>
      </c>
      <c r="F1400" t="s">
        <v>19</v>
      </c>
      <c r="G1400" t="s">
        <v>64</v>
      </c>
      <c r="H1400" t="s">
        <v>31</v>
      </c>
      <c r="I1400" s="12">
        <v>0.60069444444444442</v>
      </c>
      <c r="J1400" t="s">
        <v>65</v>
      </c>
      <c r="K1400" t="s">
        <v>66</v>
      </c>
      <c r="L1400" s="12">
        <v>0.62847222222222221</v>
      </c>
      <c r="M1400" t="s">
        <v>63</v>
      </c>
      <c r="N1400" s="3">
        <v>232</v>
      </c>
      <c r="O1400" t="s">
        <v>24</v>
      </c>
      <c r="P1400" t="s">
        <v>56</v>
      </c>
      <c r="R1400">
        <f>tblDailySchedule[[#This Row],[Capacity Approx]]*'[1]Load Factor Sheet June Acft  '!$B$5</f>
        <v>187.86727272727273</v>
      </c>
      <c r="S1400">
        <f>tblDailySchedule[[#This Row],[Capacity Approx]]*'[1]Load Factor Sheet June Acft  '!$D$5</f>
        <v>203.4218181818182</v>
      </c>
      <c r="T1400" s="22">
        <f>tblDailySchedule[[#This Row],[STD]]</f>
        <v>0.62847222222222221</v>
      </c>
    </row>
    <row r="1401" spans="1:20" hidden="1" x14ac:dyDescent="0.35">
      <c r="A1401" s="11">
        <v>46160</v>
      </c>
      <c r="B1401" s="3">
        <v>1</v>
      </c>
      <c r="C1401" t="s">
        <v>100</v>
      </c>
      <c r="D1401" t="s">
        <v>18</v>
      </c>
      <c r="E1401" s="3">
        <v>16</v>
      </c>
      <c r="F1401" t="s">
        <v>19</v>
      </c>
      <c r="G1401" t="s">
        <v>67</v>
      </c>
      <c r="H1401" t="s">
        <v>31</v>
      </c>
      <c r="I1401" s="12">
        <v>0.65625</v>
      </c>
      <c r="J1401" t="s">
        <v>68</v>
      </c>
      <c r="K1401" t="s">
        <v>31</v>
      </c>
      <c r="L1401" s="12">
        <v>0.68402777777777779</v>
      </c>
      <c r="M1401" t="s">
        <v>63</v>
      </c>
      <c r="N1401" s="3">
        <v>232</v>
      </c>
      <c r="O1401" t="s">
        <v>24</v>
      </c>
      <c r="P1401" t="s">
        <v>56</v>
      </c>
      <c r="R1401">
        <f>tblDailySchedule[[#This Row],[Capacity Approx]]*'[1]Load Factor Sheet June Acft  '!$B$5</f>
        <v>187.86727272727273</v>
      </c>
      <c r="S1401">
        <f>tblDailySchedule[[#This Row],[Capacity Approx]]*'[1]Load Factor Sheet June Acft  '!$D$5</f>
        <v>203.4218181818182</v>
      </c>
      <c r="T1401" s="22">
        <f>tblDailySchedule[[#This Row],[STD]]</f>
        <v>0.68402777777777779</v>
      </c>
    </row>
    <row r="1402" spans="1:20" hidden="1" x14ac:dyDescent="0.35">
      <c r="A1402" s="11">
        <v>46160</v>
      </c>
      <c r="B1402" s="3">
        <v>1</v>
      </c>
      <c r="C1402" t="s">
        <v>100</v>
      </c>
      <c r="D1402" t="s">
        <v>18</v>
      </c>
      <c r="E1402" s="3">
        <v>17</v>
      </c>
      <c r="F1402" t="s">
        <v>19</v>
      </c>
      <c r="G1402" t="s">
        <v>69</v>
      </c>
      <c r="H1402" t="s">
        <v>31</v>
      </c>
      <c r="I1402" s="12">
        <v>0.66319444444444442</v>
      </c>
      <c r="J1402" t="s">
        <v>70</v>
      </c>
      <c r="K1402" t="s">
        <v>31</v>
      </c>
      <c r="L1402" s="12">
        <v>0.69097222222222221</v>
      </c>
      <c r="M1402" t="s">
        <v>33</v>
      </c>
      <c r="N1402" s="3">
        <v>189</v>
      </c>
      <c r="O1402" t="s">
        <v>24</v>
      </c>
      <c r="P1402" t="s">
        <v>56</v>
      </c>
      <c r="R1402">
        <f>tblDailySchedule[[#This Row],[Capacity Approx]]*'[1]Load Factor Sheet June Acft  '!$B$5</f>
        <v>153.04704545454547</v>
      </c>
      <c r="S1402">
        <f>tblDailySchedule[[#This Row],[Capacity Approx]]*'[1]Load Factor Sheet June Acft  '!$D$5</f>
        <v>165.71863636363636</v>
      </c>
      <c r="T1402" s="22">
        <f>tblDailySchedule[[#This Row],[STD]]</f>
        <v>0.69097222222222221</v>
      </c>
    </row>
    <row r="1403" spans="1:20" hidden="1" x14ac:dyDescent="0.35">
      <c r="A1403" s="11">
        <v>46160</v>
      </c>
      <c r="B1403" s="3">
        <v>1</v>
      </c>
      <c r="C1403" t="s">
        <v>100</v>
      </c>
      <c r="D1403" t="s">
        <v>18</v>
      </c>
      <c r="E1403" s="3">
        <v>18</v>
      </c>
      <c r="F1403" t="s">
        <v>19</v>
      </c>
      <c r="G1403" t="s">
        <v>71</v>
      </c>
      <c r="H1403" t="s">
        <v>21</v>
      </c>
      <c r="I1403" s="12">
        <v>0.67013888888888884</v>
      </c>
      <c r="J1403" t="s">
        <v>72</v>
      </c>
      <c r="K1403" t="s">
        <v>21</v>
      </c>
      <c r="L1403" s="12">
        <v>0.69791666666666663</v>
      </c>
      <c r="M1403" t="s">
        <v>63</v>
      </c>
      <c r="N1403" s="3">
        <v>232</v>
      </c>
      <c r="O1403" t="s">
        <v>24</v>
      </c>
      <c r="P1403" t="s">
        <v>56</v>
      </c>
      <c r="R1403">
        <f>tblDailySchedule[[#This Row],[Capacity Approx]]*'[1]Load Factor Sheet June Acft  '!$B$5</f>
        <v>187.86727272727273</v>
      </c>
      <c r="S1403">
        <f>tblDailySchedule[[#This Row],[Capacity Approx]]*'[1]Load Factor Sheet June Acft  '!$D$5</f>
        <v>203.4218181818182</v>
      </c>
      <c r="T1403" s="22">
        <f>tblDailySchedule[[#This Row],[STD]]</f>
        <v>0.69791666666666663</v>
      </c>
    </row>
    <row r="1404" spans="1:20" hidden="1" x14ac:dyDescent="0.35">
      <c r="A1404" s="11">
        <v>46160</v>
      </c>
      <c r="B1404" s="3">
        <v>1</v>
      </c>
      <c r="C1404" t="s">
        <v>100</v>
      </c>
      <c r="D1404" t="s">
        <v>18</v>
      </c>
      <c r="E1404" s="3">
        <v>19</v>
      </c>
      <c r="F1404" t="s">
        <v>19</v>
      </c>
      <c r="G1404" t="s">
        <v>73</v>
      </c>
      <c r="H1404" t="s">
        <v>27</v>
      </c>
      <c r="I1404" s="12">
        <v>0.74652777777777779</v>
      </c>
      <c r="J1404" t="s">
        <v>74</v>
      </c>
      <c r="K1404" t="s">
        <v>27</v>
      </c>
      <c r="L1404" s="12">
        <v>0.77430555555555558</v>
      </c>
      <c r="M1404" t="s">
        <v>63</v>
      </c>
      <c r="N1404" s="3">
        <v>232</v>
      </c>
      <c r="O1404" t="s">
        <v>24</v>
      </c>
      <c r="P1404" t="s">
        <v>56</v>
      </c>
      <c r="R1404">
        <f>tblDailySchedule[[#This Row],[Capacity Approx]]*'[1]Load Factor Sheet June Acft  '!$B$5</f>
        <v>187.86727272727273</v>
      </c>
      <c r="S1404">
        <f>tblDailySchedule[[#This Row],[Capacity Approx]]*'[1]Load Factor Sheet June Acft  '!$D$5</f>
        <v>203.4218181818182</v>
      </c>
      <c r="T1404" s="22">
        <f>tblDailySchedule[[#This Row],[STD]]</f>
        <v>0.77430555555555558</v>
      </c>
    </row>
    <row r="1405" spans="1:20" hidden="1" x14ac:dyDescent="0.35">
      <c r="A1405" s="11">
        <v>46160</v>
      </c>
      <c r="B1405" s="3">
        <v>1</v>
      </c>
      <c r="C1405" t="s">
        <v>100</v>
      </c>
      <c r="D1405" t="s">
        <v>18</v>
      </c>
      <c r="E1405" s="3">
        <v>20</v>
      </c>
      <c r="F1405" t="s">
        <v>34</v>
      </c>
      <c r="G1405" t="s">
        <v>75</v>
      </c>
      <c r="H1405" t="s">
        <v>76</v>
      </c>
      <c r="I1405" s="12">
        <v>0.76388888888888884</v>
      </c>
      <c r="J1405" t="s">
        <v>77</v>
      </c>
      <c r="K1405" t="s">
        <v>78</v>
      </c>
      <c r="L1405" s="12">
        <v>0.78472222222222221</v>
      </c>
      <c r="M1405" t="s">
        <v>51</v>
      </c>
      <c r="N1405" s="3">
        <v>78</v>
      </c>
      <c r="O1405" t="s">
        <v>24</v>
      </c>
      <c r="P1405" t="s">
        <v>79</v>
      </c>
      <c r="Q1405" s="16" t="s">
        <v>80</v>
      </c>
      <c r="R1405">
        <f>tblDailySchedule[[#This Row],[Capacity Approx]]*'[1]Load Factor Sheet June Acft  '!$B$5</f>
        <v>63.162272727272729</v>
      </c>
      <c r="S1405">
        <f>tblDailySchedule[[#This Row],[Capacity Approx]]*'[1]Load Factor Sheet June Acft  '!$D$5</f>
        <v>68.391818181818181</v>
      </c>
      <c r="T1405" s="22">
        <f>tblDailySchedule[[#This Row],[STD]]</f>
        <v>0.78472222222222221</v>
      </c>
    </row>
    <row r="1406" spans="1:20" hidden="1" x14ac:dyDescent="0.35">
      <c r="A1406" s="11">
        <v>46160</v>
      </c>
      <c r="B1406" s="3">
        <v>1</v>
      </c>
      <c r="C1406" t="s">
        <v>100</v>
      </c>
      <c r="D1406" t="s">
        <v>18</v>
      </c>
      <c r="E1406" s="3">
        <v>21</v>
      </c>
      <c r="F1406" t="s">
        <v>19</v>
      </c>
      <c r="G1406" t="s">
        <v>81</v>
      </c>
      <c r="H1406" t="s">
        <v>61</v>
      </c>
      <c r="I1406" s="12">
        <v>0.77083333333333337</v>
      </c>
      <c r="J1406" t="s">
        <v>82</v>
      </c>
      <c r="K1406" t="s">
        <v>49</v>
      </c>
      <c r="L1406" s="12">
        <v>0.79166666666666663</v>
      </c>
      <c r="M1406" t="s">
        <v>33</v>
      </c>
      <c r="N1406" s="3">
        <v>189</v>
      </c>
      <c r="O1406" t="s">
        <v>24</v>
      </c>
      <c r="P1406" t="s">
        <v>79</v>
      </c>
      <c r="R1406">
        <f>tblDailySchedule[[#This Row],[Capacity Approx]]*'[1]Load Factor Sheet June Acft  '!$B$5</f>
        <v>153.04704545454547</v>
      </c>
      <c r="S1406">
        <f>tblDailySchedule[[#This Row],[Capacity Approx]]*'[1]Load Factor Sheet June Acft  '!$D$5</f>
        <v>165.71863636363636</v>
      </c>
      <c r="T1406" s="22">
        <f>tblDailySchedule[[#This Row],[STD]]</f>
        <v>0.79166666666666663</v>
      </c>
    </row>
    <row r="1407" spans="1:20" hidden="1" x14ac:dyDescent="0.35">
      <c r="A1407" s="11">
        <v>46160</v>
      </c>
      <c r="B1407" s="3">
        <v>1</v>
      </c>
      <c r="C1407" t="s">
        <v>100</v>
      </c>
      <c r="D1407" t="s">
        <v>18</v>
      </c>
      <c r="E1407" s="3">
        <v>22</v>
      </c>
      <c r="F1407" t="s">
        <v>19</v>
      </c>
      <c r="G1407" t="s">
        <v>83</v>
      </c>
      <c r="H1407" t="s">
        <v>31</v>
      </c>
      <c r="I1407" s="12">
        <v>0.77777777777777779</v>
      </c>
      <c r="J1407" t="s">
        <v>84</v>
      </c>
      <c r="K1407" t="s">
        <v>31</v>
      </c>
      <c r="L1407" s="12">
        <v>0.80555555555555558</v>
      </c>
      <c r="M1407" t="s">
        <v>63</v>
      </c>
      <c r="N1407" s="3">
        <v>232</v>
      </c>
      <c r="O1407" t="s">
        <v>24</v>
      </c>
      <c r="P1407" t="s">
        <v>79</v>
      </c>
      <c r="R1407">
        <f>tblDailySchedule[[#This Row],[Capacity Approx]]*'[1]Load Factor Sheet June Acft  '!$B$5</f>
        <v>187.86727272727273</v>
      </c>
      <c r="S1407">
        <f>tblDailySchedule[[#This Row],[Capacity Approx]]*'[1]Load Factor Sheet June Acft  '!$D$5</f>
        <v>203.4218181818182</v>
      </c>
      <c r="T1407" s="22">
        <f>tblDailySchedule[[#This Row],[STD]]</f>
        <v>0.80555555555555558</v>
      </c>
    </row>
    <row r="1408" spans="1:20" hidden="1" x14ac:dyDescent="0.35">
      <c r="A1408" s="11">
        <v>46160</v>
      </c>
      <c r="B1408" s="3">
        <v>1</v>
      </c>
      <c r="C1408" t="s">
        <v>100</v>
      </c>
      <c r="D1408" t="s">
        <v>18</v>
      </c>
      <c r="E1408" s="3">
        <v>23</v>
      </c>
      <c r="F1408" t="s">
        <v>19</v>
      </c>
      <c r="G1408" t="s">
        <v>85</v>
      </c>
      <c r="H1408" t="s">
        <v>86</v>
      </c>
      <c r="I1408" s="12">
        <v>0.79861111111111116</v>
      </c>
      <c r="J1408" t="s">
        <v>87</v>
      </c>
      <c r="K1408" t="s">
        <v>86</v>
      </c>
      <c r="L1408" s="12">
        <v>0.82638888888888884</v>
      </c>
      <c r="M1408" t="s">
        <v>63</v>
      </c>
      <c r="N1408" s="3">
        <v>232</v>
      </c>
      <c r="O1408" t="s">
        <v>24</v>
      </c>
      <c r="P1408" t="s">
        <v>79</v>
      </c>
      <c r="R1408">
        <f>tblDailySchedule[[#This Row],[Capacity Approx]]*'[1]Load Factor Sheet June Acft  '!$B$5</f>
        <v>187.86727272727273</v>
      </c>
      <c r="S1408">
        <f>tblDailySchedule[[#This Row],[Capacity Approx]]*'[1]Load Factor Sheet June Acft  '!$D$5</f>
        <v>203.4218181818182</v>
      </c>
      <c r="T1408" s="22">
        <f>tblDailySchedule[[#This Row],[STD]]</f>
        <v>0.82638888888888884</v>
      </c>
    </row>
    <row r="1409" spans="1:20" hidden="1" x14ac:dyDescent="0.35">
      <c r="A1409" s="11">
        <v>46160</v>
      </c>
      <c r="B1409" s="3">
        <v>1</v>
      </c>
      <c r="C1409" t="s">
        <v>100</v>
      </c>
      <c r="D1409" t="s">
        <v>18</v>
      </c>
      <c r="E1409" s="3">
        <v>24</v>
      </c>
      <c r="F1409" t="s">
        <v>19</v>
      </c>
      <c r="G1409" t="s">
        <v>88</v>
      </c>
      <c r="H1409" t="s">
        <v>89</v>
      </c>
      <c r="I1409" s="12">
        <v>0.83333333333333337</v>
      </c>
      <c r="J1409" t="s">
        <v>90</v>
      </c>
      <c r="K1409" t="s">
        <v>31</v>
      </c>
      <c r="L1409" s="12">
        <v>0.86111111111111116</v>
      </c>
      <c r="M1409" t="s">
        <v>63</v>
      </c>
      <c r="N1409" s="3">
        <v>232</v>
      </c>
      <c r="O1409" t="s">
        <v>24</v>
      </c>
      <c r="P1409" t="s">
        <v>79</v>
      </c>
      <c r="R1409">
        <f>tblDailySchedule[[#This Row],[Capacity Approx]]*'[1]Load Factor Sheet June Acft  '!$B$5</f>
        <v>187.86727272727273</v>
      </c>
      <c r="S1409">
        <f>tblDailySchedule[[#This Row],[Capacity Approx]]*'[1]Load Factor Sheet June Acft  '!$D$5</f>
        <v>203.4218181818182</v>
      </c>
      <c r="T1409" s="22">
        <f>tblDailySchedule[[#This Row],[STD]]</f>
        <v>0.86111111111111116</v>
      </c>
    </row>
    <row r="1410" spans="1:20" hidden="1" x14ac:dyDescent="0.35">
      <c r="A1410" s="11">
        <v>46160</v>
      </c>
      <c r="B1410" s="3">
        <v>1</v>
      </c>
      <c r="C1410" t="s">
        <v>100</v>
      </c>
      <c r="D1410" t="s">
        <v>18</v>
      </c>
      <c r="E1410" s="3">
        <v>25</v>
      </c>
      <c r="F1410" t="s">
        <v>19</v>
      </c>
      <c r="G1410" t="s">
        <v>91</v>
      </c>
      <c r="H1410" t="s">
        <v>61</v>
      </c>
      <c r="I1410" s="12">
        <v>0.85416666666666663</v>
      </c>
      <c r="J1410" t="s">
        <v>92</v>
      </c>
      <c r="K1410" t="s">
        <v>61</v>
      </c>
      <c r="L1410" s="12">
        <v>0.88194444444444442</v>
      </c>
      <c r="M1410" t="s">
        <v>63</v>
      </c>
      <c r="N1410" s="3">
        <v>232</v>
      </c>
      <c r="O1410" t="s">
        <v>24</v>
      </c>
      <c r="P1410" t="s">
        <v>79</v>
      </c>
      <c r="R1410">
        <f>tblDailySchedule[[#This Row],[Capacity Approx]]*'[1]Load Factor Sheet June Acft  '!$B$5</f>
        <v>187.86727272727273</v>
      </c>
      <c r="S1410">
        <f>tblDailySchedule[[#This Row],[Capacity Approx]]*'[1]Load Factor Sheet June Acft  '!$D$5</f>
        <v>203.4218181818182</v>
      </c>
      <c r="T1410" s="22">
        <f>tblDailySchedule[[#This Row],[STD]]</f>
        <v>0.88194444444444442</v>
      </c>
    </row>
    <row r="1411" spans="1:20" hidden="1" x14ac:dyDescent="0.35">
      <c r="A1411" s="11">
        <v>46160</v>
      </c>
      <c r="B1411" s="3">
        <v>1</v>
      </c>
      <c r="C1411" t="s">
        <v>100</v>
      </c>
      <c r="D1411" t="s">
        <v>18</v>
      </c>
      <c r="E1411" s="3">
        <v>26</v>
      </c>
      <c r="F1411" t="s">
        <v>19</v>
      </c>
      <c r="G1411" t="s">
        <v>93</v>
      </c>
      <c r="H1411" t="s">
        <v>31</v>
      </c>
      <c r="I1411" s="12">
        <v>0.86111111111111116</v>
      </c>
      <c r="J1411" t="s">
        <v>94</v>
      </c>
      <c r="K1411" t="s">
        <v>31</v>
      </c>
      <c r="L1411" s="12">
        <v>0.88888888888888884</v>
      </c>
      <c r="M1411" t="s">
        <v>23</v>
      </c>
      <c r="N1411" s="3">
        <v>186</v>
      </c>
      <c r="O1411" t="s">
        <v>24</v>
      </c>
      <c r="P1411" t="s">
        <v>79</v>
      </c>
      <c r="R1411">
        <f>tblDailySchedule[[#This Row],[Capacity Approx]]*'[1]Load Factor Sheet June Acft  '!$B$5</f>
        <v>150.61772727272728</v>
      </c>
      <c r="S1411">
        <f>tblDailySchedule[[#This Row],[Capacity Approx]]*'[1]Load Factor Sheet June Acft  '!$D$5</f>
        <v>163.08818181818182</v>
      </c>
      <c r="T1411" s="22">
        <f>tblDailySchedule[[#This Row],[STD]]</f>
        <v>0.88888888888888884</v>
      </c>
    </row>
    <row r="1412" spans="1:20" hidden="1" x14ac:dyDescent="0.35">
      <c r="A1412" s="11">
        <v>46160</v>
      </c>
      <c r="B1412" s="3">
        <v>1</v>
      </c>
      <c r="C1412" t="s">
        <v>100</v>
      </c>
      <c r="D1412" t="s">
        <v>18</v>
      </c>
      <c r="E1412" s="3">
        <v>27</v>
      </c>
      <c r="F1412" t="s">
        <v>19</v>
      </c>
      <c r="G1412" t="s">
        <v>95</v>
      </c>
      <c r="H1412" t="s">
        <v>21</v>
      </c>
      <c r="I1412" s="12">
        <v>0.86805555555555558</v>
      </c>
      <c r="J1412" t="s">
        <v>96</v>
      </c>
      <c r="K1412" t="s">
        <v>21</v>
      </c>
      <c r="L1412" s="12">
        <v>0.89583333333333337</v>
      </c>
      <c r="M1412" t="s">
        <v>29</v>
      </c>
      <c r="N1412" s="3">
        <v>186</v>
      </c>
      <c r="O1412" t="s">
        <v>24</v>
      </c>
      <c r="P1412" t="s">
        <v>79</v>
      </c>
      <c r="R1412">
        <f>tblDailySchedule[[#This Row],[Capacity Approx]]*'[1]Load Factor Sheet June Acft  '!$B$5</f>
        <v>150.61772727272728</v>
      </c>
      <c r="S1412">
        <f>tblDailySchedule[[#This Row],[Capacity Approx]]*'[1]Load Factor Sheet June Acft  '!$D$5</f>
        <v>163.08818181818182</v>
      </c>
      <c r="T1412" s="22">
        <f>tblDailySchedule[[#This Row],[STD]]</f>
        <v>0.89583333333333337</v>
      </c>
    </row>
    <row r="1413" spans="1:20" hidden="1" x14ac:dyDescent="0.35">
      <c r="A1413" s="11">
        <v>46160</v>
      </c>
      <c r="B1413" s="3">
        <v>1</v>
      </c>
      <c r="C1413" t="s">
        <v>100</v>
      </c>
      <c r="D1413" t="s">
        <v>18</v>
      </c>
      <c r="E1413" s="3">
        <v>28</v>
      </c>
      <c r="F1413" t="s">
        <v>19</v>
      </c>
      <c r="G1413" t="s">
        <v>97</v>
      </c>
      <c r="H1413" t="s">
        <v>49</v>
      </c>
      <c r="I1413" s="12">
        <v>0.90277777777777779</v>
      </c>
      <c r="J1413" t="s">
        <v>97</v>
      </c>
      <c r="K1413" t="s">
        <v>61</v>
      </c>
      <c r="L1413" s="12">
        <v>0.92361111111111116</v>
      </c>
      <c r="M1413" t="s">
        <v>33</v>
      </c>
      <c r="N1413" s="3">
        <v>189</v>
      </c>
      <c r="O1413" t="s">
        <v>24</v>
      </c>
      <c r="P1413" t="s">
        <v>79</v>
      </c>
      <c r="R1413">
        <f>tblDailySchedule[[#This Row],[Capacity Approx]]*'[1]Load Factor Sheet June Acft  '!$B$5</f>
        <v>153.04704545454547</v>
      </c>
      <c r="S1413">
        <f>tblDailySchedule[[#This Row],[Capacity Approx]]*'[1]Load Factor Sheet June Acft  '!$D$5</f>
        <v>165.71863636363636</v>
      </c>
      <c r="T1413" s="22">
        <f>tblDailySchedule[[#This Row],[STD]]</f>
        <v>0.92361111111111116</v>
      </c>
    </row>
    <row r="1414" spans="1:20" hidden="1" x14ac:dyDescent="0.35">
      <c r="A1414" s="11">
        <v>46160</v>
      </c>
      <c r="B1414" s="3">
        <v>1</v>
      </c>
      <c r="C1414" t="s">
        <v>100</v>
      </c>
      <c r="D1414" t="s">
        <v>18</v>
      </c>
      <c r="E1414" s="3">
        <v>29</v>
      </c>
      <c r="F1414" t="s">
        <v>19</v>
      </c>
      <c r="G1414" t="s">
        <v>98</v>
      </c>
      <c r="H1414" t="s">
        <v>21</v>
      </c>
      <c r="I1414" s="12">
        <v>0.92013888888888884</v>
      </c>
      <c r="J1414" t="s">
        <v>99</v>
      </c>
      <c r="K1414" t="s">
        <v>21</v>
      </c>
      <c r="L1414" s="12">
        <v>0.94791666666666663</v>
      </c>
      <c r="M1414" t="s">
        <v>63</v>
      </c>
      <c r="N1414" s="3">
        <v>232</v>
      </c>
      <c r="O1414" t="s">
        <v>24</v>
      </c>
      <c r="P1414" t="s">
        <v>79</v>
      </c>
      <c r="R1414">
        <f>tblDailySchedule[[#This Row],[Capacity Approx]]*'[1]Load Factor Sheet June Acft  '!$B$5</f>
        <v>187.86727272727273</v>
      </c>
      <c r="S1414">
        <f>tblDailySchedule[[#This Row],[Capacity Approx]]*'[1]Load Factor Sheet June Acft  '!$D$5</f>
        <v>203.4218181818182</v>
      </c>
      <c r="T1414" s="22">
        <f>tblDailySchedule[[#This Row],[STD]]</f>
        <v>0.94791666666666663</v>
      </c>
    </row>
    <row r="1415" spans="1:20" hidden="1" x14ac:dyDescent="0.35">
      <c r="A1415" s="13">
        <v>46160</v>
      </c>
      <c r="B1415" s="7">
        <v>1</v>
      </c>
      <c r="C1415" s="14" t="s">
        <v>100</v>
      </c>
      <c r="D1415" s="14" t="s">
        <v>18</v>
      </c>
      <c r="E1415" s="7">
        <v>30</v>
      </c>
      <c r="F1415" s="14" t="s">
        <v>104</v>
      </c>
      <c r="G1415" s="14" t="s">
        <v>105</v>
      </c>
      <c r="H1415" s="14" t="s">
        <v>106</v>
      </c>
      <c r="I1415" s="15">
        <v>0.92708333333333337</v>
      </c>
      <c r="J1415" s="14" t="s">
        <v>107</v>
      </c>
      <c r="K1415" s="14" t="s">
        <v>106</v>
      </c>
      <c r="L1415" s="15">
        <v>0.95833333333333337</v>
      </c>
      <c r="M1415" s="14" t="s">
        <v>38</v>
      </c>
      <c r="N1415" s="7">
        <v>186</v>
      </c>
      <c r="O1415" s="14" t="s">
        <v>39</v>
      </c>
      <c r="P1415" s="14" t="s">
        <v>79</v>
      </c>
      <c r="Q1415" s="14" t="s">
        <v>39</v>
      </c>
      <c r="R1415">
        <f>tblDailySchedule[[#This Row],[Capacity Approx]]*'[1]Load Factor Sheet June Acft  '!$B$5</f>
        <v>150.61772727272728</v>
      </c>
      <c r="S1415">
        <f>tblDailySchedule[[#This Row],[Capacity Approx]]*'[1]Load Factor Sheet June Acft  '!$D$5</f>
        <v>163.08818181818182</v>
      </c>
      <c r="T1415" s="22">
        <f>tblDailySchedule[[#This Row],[STD]]</f>
        <v>0.95833333333333337</v>
      </c>
    </row>
    <row r="1416" spans="1:20" hidden="1" x14ac:dyDescent="0.35">
      <c r="A1416" s="11">
        <v>46161</v>
      </c>
      <c r="B1416" s="3">
        <v>2</v>
      </c>
      <c r="C1416" t="s">
        <v>108</v>
      </c>
      <c r="D1416" t="s">
        <v>18</v>
      </c>
      <c r="E1416" s="3">
        <v>1</v>
      </c>
      <c r="F1416" t="s">
        <v>101</v>
      </c>
      <c r="G1416" t="s">
        <v>102</v>
      </c>
      <c r="H1416" t="s">
        <v>61</v>
      </c>
      <c r="I1416" s="12">
        <v>0.3125</v>
      </c>
      <c r="J1416" t="s">
        <v>103</v>
      </c>
      <c r="K1416" t="s">
        <v>61</v>
      </c>
      <c r="L1416" s="12">
        <v>0.33333333333333331</v>
      </c>
      <c r="M1416" t="s">
        <v>33</v>
      </c>
      <c r="N1416" s="3">
        <v>189</v>
      </c>
      <c r="O1416" t="s">
        <v>24</v>
      </c>
      <c r="P1416" t="s">
        <v>25</v>
      </c>
      <c r="R1416">
        <f>tblDailySchedule[[#This Row],[Capacity Approx]]*'[1]Load Factor Sheet June Acft  '!$B$5</f>
        <v>153.04704545454547</v>
      </c>
      <c r="S1416">
        <f>tblDailySchedule[[#This Row],[Capacity Approx]]*'[1]Load Factor Sheet June Acft  '!$D$5</f>
        <v>165.71863636363636</v>
      </c>
      <c r="T1416" s="22">
        <f>tblDailySchedule[[#This Row],[STD]]</f>
        <v>0.33333333333333331</v>
      </c>
    </row>
    <row r="1417" spans="1:20" hidden="1" x14ac:dyDescent="0.35">
      <c r="A1417" s="11">
        <v>46161</v>
      </c>
      <c r="B1417" s="3">
        <v>2</v>
      </c>
      <c r="C1417" t="s">
        <v>108</v>
      </c>
      <c r="D1417" t="s">
        <v>18</v>
      </c>
      <c r="E1417" s="3">
        <v>2</v>
      </c>
      <c r="F1417" t="s">
        <v>19</v>
      </c>
      <c r="G1417" t="s">
        <v>20</v>
      </c>
      <c r="H1417" t="s">
        <v>21</v>
      </c>
      <c r="I1417" s="12">
        <v>0.31944444444444442</v>
      </c>
      <c r="J1417" t="s">
        <v>22</v>
      </c>
      <c r="K1417" t="s">
        <v>21</v>
      </c>
      <c r="L1417" s="12">
        <v>0.34722222222222221</v>
      </c>
      <c r="M1417" t="s">
        <v>23</v>
      </c>
      <c r="N1417" s="3">
        <v>186</v>
      </c>
      <c r="O1417" t="s">
        <v>24</v>
      </c>
      <c r="P1417" t="s">
        <v>25</v>
      </c>
      <c r="R1417">
        <f>tblDailySchedule[[#This Row],[Capacity Approx]]*'[1]Load Factor Sheet June Acft  '!$B$5</f>
        <v>150.61772727272728</v>
      </c>
      <c r="S1417">
        <f>tblDailySchedule[[#This Row],[Capacity Approx]]*'[1]Load Factor Sheet June Acft  '!$D$5</f>
        <v>163.08818181818182</v>
      </c>
      <c r="T1417" s="22">
        <f>tblDailySchedule[[#This Row],[STD]]</f>
        <v>0.34722222222222221</v>
      </c>
    </row>
    <row r="1418" spans="1:20" hidden="1" x14ac:dyDescent="0.35">
      <c r="A1418" s="11">
        <v>46161</v>
      </c>
      <c r="B1418" s="3">
        <v>2</v>
      </c>
      <c r="C1418" t="s">
        <v>108</v>
      </c>
      <c r="D1418" t="s">
        <v>18</v>
      </c>
      <c r="E1418" s="3">
        <v>3</v>
      </c>
      <c r="F1418" t="s">
        <v>19</v>
      </c>
      <c r="G1418" t="s">
        <v>26</v>
      </c>
      <c r="H1418" t="s">
        <v>27</v>
      </c>
      <c r="I1418" s="12">
        <v>0.3263888888888889</v>
      </c>
      <c r="J1418" t="s">
        <v>28</v>
      </c>
      <c r="K1418" t="s">
        <v>27</v>
      </c>
      <c r="L1418" s="12">
        <v>0.35416666666666669</v>
      </c>
      <c r="M1418" t="s">
        <v>29</v>
      </c>
      <c r="N1418" s="3">
        <v>186</v>
      </c>
      <c r="O1418" t="s">
        <v>24</v>
      </c>
      <c r="P1418" t="s">
        <v>25</v>
      </c>
      <c r="R1418">
        <f>tblDailySchedule[[#This Row],[Capacity Approx]]*'[1]Load Factor Sheet June Acft  '!$B$5</f>
        <v>150.61772727272728</v>
      </c>
      <c r="S1418">
        <f>tblDailySchedule[[#This Row],[Capacity Approx]]*'[1]Load Factor Sheet June Acft  '!$D$5</f>
        <v>163.08818181818182</v>
      </c>
      <c r="T1418" s="22">
        <f>tblDailySchedule[[#This Row],[STD]]</f>
        <v>0.35416666666666669</v>
      </c>
    </row>
    <row r="1419" spans="1:20" hidden="1" x14ac:dyDescent="0.35">
      <c r="A1419" s="11">
        <v>46161</v>
      </c>
      <c r="B1419" s="3">
        <v>2</v>
      </c>
      <c r="C1419" t="s">
        <v>108</v>
      </c>
      <c r="D1419" t="s">
        <v>18</v>
      </c>
      <c r="E1419" s="3">
        <v>4</v>
      </c>
      <c r="F1419" t="s">
        <v>19</v>
      </c>
      <c r="G1419" t="s">
        <v>30</v>
      </c>
      <c r="H1419" t="s">
        <v>31</v>
      </c>
      <c r="I1419" s="12">
        <v>0.34722222222222221</v>
      </c>
      <c r="J1419" t="s">
        <v>32</v>
      </c>
      <c r="K1419" t="s">
        <v>31</v>
      </c>
      <c r="L1419" s="12">
        <v>0.36805555555555558</v>
      </c>
      <c r="M1419" t="s">
        <v>33</v>
      </c>
      <c r="N1419" s="3">
        <v>189</v>
      </c>
      <c r="O1419" t="s">
        <v>24</v>
      </c>
      <c r="P1419" t="s">
        <v>25</v>
      </c>
      <c r="R1419">
        <f>tblDailySchedule[[#This Row],[Capacity Approx]]*'[1]Load Factor Sheet June Acft  '!$B$5</f>
        <v>153.04704545454547</v>
      </c>
      <c r="S1419">
        <f>tblDailySchedule[[#This Row],[Capacity Approx]]*'[1]Load Factor Sheet June Acft  '!$D$5</f>
        <v>165.71863636363636</v>
      </c>
      <c r="T1419" s="22">
        <f>tblDailySchedule[[#This Row],[STD]]</f>
        <v>0.36805555555555558</v>
      </c>
    </row>
    <row r="1420" spans="1:20" hidden="1" x14ac:dyDescent="0.35">
      <c r="A1420" s="11">
        <v>46161</v>
      </c>
      <c r="B1420" s="3">
        <v>2</v>
      </c>
      <c r="C1420" t="s">
        <v>108</v>
      </c>
      <c r="D1420" t="s">
        <v>18</v>
      </c>
      <c r="E1420" s="3">
        <v>5</v>
      </c>
      <c r="F1420" t="s">
        <v>19</v>
      </c>
      <c r="G1420" t="s">
        <v>40</v>
      </c>
      <c r="H1420" t="s">
        <v>31</v>
      </c>
      <c r="I1420" s="12">
        <v>0.35069444444444442</v>
      </c>
      <c r="J1420" t="s">
        <v>41</v>
      </c>
      <c r="K1420" t="s">
        <v>31</v>
      </c>
      <c r="L1420" s="12">
        <v>0.37152777777777779</v>
      </c>
      <c r="M1420" t="s">
        <v>23</v>
      </c>
      <c r="N1420" s="3">
        <v>186</v>
      </c>
      <c r="O1420" t="s">
        <v>24</v>
      </c>
      <c r="P1420" t="s">
        <v>25</v>
      </c>
      <c r="R1420">
        <f>tblDailySchedule[[#This Row],[Capacity Approx]]*'[1]Load Factor Sheet June Acft  '!$B$5</f>
        <v>150.61772727272728</v>
      </c>
      <c r="S1420">
        <f>tblDailySchedule[[#This Row],[Capacity Approx]]*'[1]Load Factor Sheet June Acft  '!$D$5</f>
        <v>163.08818181818182</v>
      </c>
      <c r="T1420" s="22">
        <f>tblDailySchedule[[#This Row],[STD]]</f>
        <v>0.37152777777777779</v>
      </c>
    </row>
    <row r="1421" spans="1:20" hidden="1" x14ac:dyDescent="0.35">
      <c r="A1421" s="11">
        <v>46161</v>
      </c>
      <c r="B1421" s="3">
        <v>2</v>
      </c>
      <c r="C1421" t="s">
        <v>108</v>
      </c>
      <c r="D1421" t="s">
        <v>18</v>
      </c>
      <c r="E1421" s="3">
        <v>7</v>
      </c>
      <c r="F1421" t="s">
        <v>19</v>
      </c>
      <c r="G1421" t="s">
        <v>42</v>
      </c>
      <c r="H1421" t="s">
        <v>43</v>
      </c>
      <c r="I1421" s="12">
        <v>0.3923611111111111</v>
      </c>
      <c r="J1421" t="s">
        <v>44</v>
      </c>
      <c r="K1421" t="s">
        <v>43</v>
      </c>
      <c r="L1421" s="12">
        <v>0.40277777777777779</v>
      </c>
      <c r="M1421" t="s">
        <v>45</v>
      </c>
      <c r="N1421" s="3">
        <v>9</v>
      </c>
      <c r="O1421" t="s">
        <v>24</v>
      </c>
      <c r="P1421" t="s">
        <v>25</v>
      </c>
      <c r="R1421">
        <f>tblDailySchedule[[#This Row],[Capacity Approx]]*'[1]Load Factor Sheet June Acft  '!$B$5</f>
        <v>7.2879545454545456</v>
      </c>
      <c r="S1421">
        <f>tblDailySchedule[[#This Row],[Capacity Approx]]*'[1]Load Factor Sheet June Acft  '!$D$5</f>
        <v>7.8913636363636366</v>
      </c>
      <c r="T1421" s="22">
        <f>tblDailySchedule[[#This Row],[STD]]</f>
        <v>0.40277777777777779</v>
      </c>
    </row>
    <row r="1422" spans="1:20" hidden="1" x14ac:dyDescent="0.35">
      <c r="A1422" s="11">
        <v>46161</v>
      </c>
      <c r="B1422" s="3">
        <v>2</v>
      </c>
      <c r="C1422" t="s">
        <v>108</v>
      </c>
      <c r="D1422" t="s">
        <v>18</v>
      </c>
      <c r="E1422" s="3">
        <v>8</v>
      </c>
      <c r="F1422" t="s">
        <v>19</v>
      </c>
      <c r="G1422" t="s">
        <v>46</v>
      </c>
      <c r="H1422" t="s">
        <v>31</v>
      </c>
      <c r="I1422" s="12">
        <v>0.4201388888888889</v>
      </c>
      <c r="J1422" t="s">
        <v>47</v>
      </c>
      <c r="K1422" t="s">
        <v>31</v>
      </c>
      <c r="L1422" s="12">
        <v>0.44444444444444442</v>
      </c>
      <c r="M1422" t="s">
        <v>29</v>
      </c>
      <c r="N1422" s="3">
        <v>186</v>
      </c>
      <c r="O1422" t="s">
        <v>24</v>
      </c>
      <c r="P1422" t="s">
        <v>25</v>
      </c>
      <c r="R1422">
        <f>tblDailySchedule[[#This Row],[Capacity Approx]]*'[1]Load Factor Sheet June Acft  '!$B$5</f>
        <v>150.61772727272728</v>
      </c>
      <c r="S1422">
        <f>tblDailySchedule[[#This Row],[Capacity Approx]]*'[1]Load Factor Sheet June Acft  '!$D$5</f>
        <v>163.08818181818182</v>
      </c>
      <c r="T1422" s="22">
        <f>tblDailySchedule[[#This Row],[STD]]</f>
        <v>0.44444444444444442</v>
      </c>
    </row>
    <row r="1423" spans="1:20" hidden="1" x14ac:dyDescent="0.35">
      <c r="A1423" s="11">
        <v>46161</v>
      </c>
      <c r="B1423" s="3">
        <v>2</v>
      </c>
      <c r="C1423" t="s">
        <v>108</v>
      </c>
      <c r="D1423" t="s">
        <v>18</v>
      </c>
      <c r="E1423" s="3">
        <v>9</v>
      </c>
      <c r="F1423" t="s">
        <v>19</v>
      </c>
      <c r="G1423" t="s">
        <v>48</v>
      </c>
      <c r="H1423" t="s">
        <v>49</v>
      </c>
      <c r="I1423" s="12">
        <v>0.4375</v>
      </c>
      <c r="J1423" t="s">
        <v>50</v>
      </c>
      <c r="K1423" t="s">
        <v>49</v>
      </c>
      <c r="L1423" s="12">
        <v>0.45833333333333331</v>
      </c>
      <c r="M1423" t="s">
        <v>51</v>
      </c>
      <c r="N1423" s="3">
        <v>78</v>
      </c>
      <c r="O1423" t="s">
        <v>24</v>
      </c>
      <c r="P1423" t="s">
        <v>25</v>
      </c>
      <c r="R1423">
        <f>tblDailySchedule[[#This Row],[Capacity Approx]]*'[1]Load Factor Sheet June Acft  '!$B$5</f>
        <v>63.162272727272729</v>
      </c>
      <c r="S1423">
        <f>tblDailySchedule[[#This Row],[Capacity Approx]]*'[1]Load Factor Sheet June Acft  '!$D$5</f>
        <v>68.391818181818181</v>
      </c>
      <c r="T1423" s="22">
        <f>tblDailySchedule[[#This Row],[STD]]</f>
        <v>0.45833333333333331</v>
      </c>
    </row>
    <row r="1424" spans="1:20" hidden="1" x14ac:dyDescent="0.35">
      <c r="A1424" s="11">
        <v>46161</v>
      </c>
      <c r="B1424" s="3">
        <v>2</v>
      </c>
      <c r="C1424" t="s">
        <v>108</v>
      </c>
      <c r="D1424" t="s">
        <v>18</v>
      </c>
      <c r="E1424" s="3">
        <v>10</v>
      </c>
      <c r="F1424" t="s">
        <v>19</v>
      </c>
      <c r="G1424" t="s">
        <v>52</v>
      </c>
      <c r="H1424" t="s">
        <v>27</v>
      </c>
      <c r="I1424" s="12">
        <v>0.4826388888888889</v>
      </c>
      <c r="J1424" t="s">
        <v>53</v>
      </c>
      <c r="K1424" t="s">
        <v>27</v>
      </c>
      <c r="L1424" s="12">
        <v>0.51041666666666663</v>
      </c>
      <c r="M1424" t="s">
        <v>23</v>
      </c>
      <c r="N1424" s="3">
        <v>186</v>
      </c>
      <c r="O1424" t="s">
        <v>24</v>
      </c>
      <c r="P1424" t="s">
        <v>25</v>
      </c>
      <c r="R1424">
        <f>tblDailySchedule[[#This Row],[Capacity Approx]]*'[1]Load Factor Sheet June Acft  '!$B$5</f>
        <v>150.61772727272728</v>
      </c>
      <c r="S1424">
        <f>tblDailySchedule[[#This Row],[Capacity Approx]]*'[1]Load Factor Sheet June Acft  '!$D$5</f>
        <v>163.08818181818182</v>
      </c>
      <c r="T1424" s="22">
        <f>tblDailySchedule[[#This Row],[STD]]</f>
        <v>0.51041666666666663</v>
      </c>
    </row>
    <row r="1425" spans="1:20" hidden="1" x14ac:dyDescent="0.35">
      <c r="A1425" s="11">
        <v>46161</v>
      </c>
      <c r="B1425" s="3">
        <v>2</v>
      </c>
      <c r="C1425" t="s">
        <v>108</v>
      </c>
      <c r="D1425" t="s">
        <v>18</v>
      </c>
      <c r="E1425" s="3">
        <v>11</v>
      </c>
      <c r="F1425" t="s">
        <v>19</v>
      </c>
      <c r="G1425" t="s">
        <v>54</v>
      </c>
      <c r="H1425" t="s">
        <v>31</v>
      </c>
      <c r="I1425" s="12">
        <v>0.51388888888888884</v>
      </c>
      <c r="J1425" t="s">
        <v>55</v>
      </c>
      <c r="K1425" t="s">
        <v>31</v>
      </c>
      <c r="L1425" s="12">
        <v>0.54166666666666663</v>
      </c>
      <c r="M1425" t="s">
        <v>23</v>
      </c>
      <c r="N1425" s="3">
        <v>186</v>
      </c>
      <c r="O1425" t="s">
        <v>24</v>
      </c>
      <c r="P1425" t="s">
        <v>56</v>
      </c>
      <c r="R1425">
        <f>tblDailySchedule[[#This Row],[Capacity Approx]]*'[1]Load Factor Sheet June Acft  '!$B$5</f>
        <v>150.61772727272728</v>
      </c>
      <c r="S1425">
        <f>tblDailySchedule[[#This Row],[Capacity Approx]]*'[1]Load Factor Sheet June Acft  '!$D$5</f>
        <v>163.08818181818182</v>
      </c>
      <c r="T1425" s="22">
        <f>tblDailySchedule[[#This Row],[STD]]</f>
        <v>0.54166666666666663</v>
      </c>
    </row>
    <row r="1426" spans="1:20" hidden="1" x14ac:dyDescent="0.35">
      <c r="A1426" s="11">
        <v>46161</v>
      </c>
      <c r="B1426" s="3">
        <v>2</v>
      </c>
      <c r="C1426" t="s">
        <v>108</v>
      </c>
      <c r="D1426" t="s">
        <v>18</v>
      </c>
      <c r="E1426" s="3">
        <v>12</v>
      </c>
      <c r="F1426" t="s">
        <v>109</v>
      </c>
      <c r="G1426" t="s">
        <v>110</v>
      </c>
      <c r="H1426" t="s">
        <v>111</v>
      </c>
      <c r="I1426" s="12">
        <v>0.55555555555555558</v>
      </c>
      <c r="J1426" t="s">
        <v>112</v>
      </c>
      <c r="K1426" t="s">
        <v>111</v>
      </c>
      <c r="L1426" s="12">
        <v>0.56944444444444442</v>
      </c>
      <c r="M1426" t="s">
        <v>51</v>
      </c>
      <c r="N1426" s="3">
        <v>78</v>
      </c>
      <c r="O1426" t="s">
        <v>24</v>
      </c>
      <c r="P1426" t="s">
        <v>56</v>
      </c>
      <c r="R1426">
        <f>tblDailySchedule[[#This Row],[Capacity Approx]]*'[1]Load Factor Sheet June Acft  '!$B$5</f>
        <v>63.162272727272729</v>
      </c>
      <c r="S1426">
        <f>tblDailySchedule[[#This Row],[Capacity Approx]]*'[1]Load Factor Sheet June Acft  '!$D$5</f>
        <v>68.391818181818181</v>
      </c>
      <c r="T1426" s="22">
        <f>tblDailySchedule[[#This Row],[STD]]</f>
        <v>0.56944444444444442</v>
      </c>
    </row>
    <row r="1427" spans="1:20" hidden="1" x14ac:dyDescent="0.35">
      <c r="A1427" s="11">
        <v>46161</v>
      </c>
      <c r="B1427" s="3">
        <v>2</v>
      </c>
      <c r="C1427" t="s">
        <v>108</v>
      </c>
      <c r="D1427" t="s">
        <v>18</v>
      </c>
      <c r="E1427" s="3">
        <v>13</v>
      </c>
      <c r="F1427" t="s">
        <v>19</v>
      </c>
      <c r="G1427" t="s">
        <v>57</v>
      </c>
      <c r="H1427" t="s">
        <v>58</v>
      </c>
      <c r="I1427" s="12">
        <v>0.55902777777777779</v>
      </c>
      <c r="J1427" t="s">
        <v>59</v>
      </c>
      <c r="K1427" t="s">
        <v>58</v>
      </c>
      <c r="L1427" s="12">
        <v>0.57638888888888884</v>
      </c>
      <c r="M1427" t="s">
        <v>51</v>
      </c>
      <c r="N1427" s="3">
        <v>78</v>
      </c>
      <c r="O1427" t="s">
        <v>24</v>
      </c>
      <c r="P1427" t="s">
        <v>56</v>
      </c>
      <c r="R1427">
        <f>tblDailySchedule[[#This Row],[Capacity Approx]]*'[1]Load Factor Sheet June Acft  '!$B$5</f>
        <v>63.162272727272729</v>
      </c>
      <c r="S1427">
        <f>tblDailySchedule[[#This Row],[Capacity Approx]]*'[1]Load Factor Sheet June Acft  '!$D$5</f>
        <v>68.391818181818181</v>
      </c>
      <c r="T1427" s="22">
        <f>tblDailySchedule[[#This Row],[STD]]</f>
        <v>0.57638888888888884</v>
      </c>
    </row>
    <row r="1428" spans="1:20" hidden="1" x14ac:dyDescent="0.35">
      <c r="A1428" s="11">
        <v>46161</v>
      </c>
      <c r="B1428" s="3">
        <v>2</v>
      </c>
      <c r="C1428" t="s">
        <v>108</v>
      </c>
      <c r="D1428" t="s">
        <v>18</v>
      </c>
      <c r="E1428" s="3">
        <v>14</v>
      </c>
      <c r="F1428" t="s">
        <v>19</v>
      </c>
      <c r="G1428" t="s">
        <v>60</v>
      </c>
      <c r="H1428" t="s">
        <v>61</v>
      </c>
      <c r="I1428" s="12">
        <v>0.59027777777777779</v>
      </c>
      <c r="J1428" t="s">
        <v>62</v>
      </c>
      <c r="K1428" t="s">
        <v>61</v>
      </c>
      <c r="L1428" s="12">
        <v>0.62152777777777779</v>
      </c>
      <c r="M1428" t="s">
        <v>63</v>
      </c>
      <c r="N1428" s="3">
        <v>232</v>
      </c>
      <c r="O1428" t="s">
        <v>24</v>
      </c>
      <c r="P1428" t="s">
        <v>56</v>
      </c>
      <c r="R1428">
        <f>tblDailySchedule[[#This Row],[Capacity Approx]]*'[1]Load Factor Sheet June Acft  '!$B$5</f>
        <v>187.86727272727273</v>
      </c>
      <c r="S1428">
        <f>tblDailySchedule[[#This Row],[Capacity Approx]]*'[1]Load Factor Sheet June Acft  '!$D$5</f>
        <v>203.4218181818182</v>
      </c>
      <c r="T1428" s="22">
        <f>tblDailySchedule[[#This Row],[STD]]</f>
        <v>0.62152777777777779</v>
      </c>
    </row>
    <row r="1429" spans="1:20" hidden="1" x14ac:dyDescent="0.35">
      <c r="A1429" s="11">
        <v>46161</v>
      </c>
      <c r="B1429" s="3">
        <v>2</v>
      </c>
      <c r="C1429" t="s">
        <v>108</v>
      </c>
      <c r="D1429" t="s">
        <v>18</v>
      </c>
      <c r="E1429" s="3">
        <v>15</v>
      </c>
      <c r="F1429" t="s">
        <v>19</v>
      </c>
      <c r="G1429" t="s">
        <v>64</v>
      </c>
      <c r="H1429" t="s">
        <v>31</v>
      </c>
      <c r="I1429" s="12">
        <v>0.60069444444444442</v>
      </c>
      <c r="J1429" t="s">
        <v>65</v>
      </c>
      <c r="K1429" t="s">
        <v>66</v>
      </c>
      <c r="L1429" s="12">
        <v>0.62847222222222221</v>
      </c>
      <c r="M1429" t="s">
        <v>63</v>
      </c>
      <c r="N1429" s="3">
        <v>232</v>
      </c>
      <c r="O1429" t="s">
        <v>24</v>
      </c>
      <c r="P1429" t="s">
        <v>56</v>
      </c>
      <c r="R1429">
        <f>tblDailySchedule[[#This Row],[Capacity Approx]]*'[1]Load Factor Sheet June Acft  '!$B$5</f>
        <v>187.86727272727273</v>
      </c>
      <c r="S1429">
        <f>tblDailySchedule[[#This Row],[Capacity Approx]]*'[1]Load Factor Sheet June Acft  '!$D$5</f>
        <v>203.4218181818182</v>
      </c>
      <c r="T1429" s="22">
        <f>tblDailySchedule[[#This Row],[STD]]</f>
        <v>0.62847222222222221</v>
      </c>
    </row>
    <row r="1430" spans="1:20" hidden="1" x14ac:dyDescent="0.35">
      <c r="A1430" s="11">
        <v>46161</v>
      </c>
      <c r="B1430" s="3">
        <v>2</v>
      </c>
      <c r="C1430" t="s">
        <v>108</v>
      </c>
      <c r="D1430" t="s">
        <v>18</v>
      </c>
      <c r="E1430" s="3">
        <v>16</v>
      </c>
      <c r="F1430" t="s">
        <v>19</v>
      </c>
      <c r="G1430" t="s">
        <v>67</v>
      </c>
      <c r="H1430" t="s">
        <v>31</v>
      </c>
      <c r="I1430" s="12">
        <v>0.65625</v>
      </c>
      <c r="J1430" t="s">
        <v>68</v>
      </c>
      <c r="K1430" t="s">
        <v>31</v>
      </c>
      <c r="L1430" s="12">
        <v>0.68402777777777779</v>
      </c>
      <c r="M1430" t="s">
        <v>63</v>
      </c>
      <c r="N1430" s="3">
        <v>232</v>
      </c>
      <c r="O1430" t="s">
        <v>24</v>
      </c>
      <c r="P1430" t="s">
        <v>56</v>
      </c>
      <c r="R1430">
        <f>tblDailySchedule[[#This Row],[Capacity Approx]]*'[1]Load Factor Sheet June Acft  '!$B$5</f>
        <v>187.86727272727273</v>
      </c>
      <c r="S1430">
        <f>tblDailySchedule[[#This Row],[Capacity Approx]]*'[1]Load Factor Sheet June Acft  '!$D$5</f>
        <v>203.4218181818182</v>
      </c>
      <c r="T1430" s="22">
        <f>tblDailySchedule[[#This Row],[STD]]</f>
        <v>0.68402777777777779</v>
      </c>
    </row>
    <row r="1431" spans="1:20" hidden="1" x14ac:dyDescent="0.35">
      <c r="A1431" s="11">
        <v>46161</v>
      </c>
      <c r="B1431" s="3">
        <v>2</v>
      </c>
      <c r="C1431" t="s">
        <v>108</v>
      </c>
      <c r="D1431" t="s">
        <v>18</v>
      </c>
      <c r="E1431" s="3">
        <v>17</v>
      </c>
      <c r="F1431" t="s">
        <v>19</v>
      </c>
      <c r="G1431" t="s">
        <v>69</v>
      </c>
      <c r="H1431" t="s">
        <v>31</v>
      </c>
      <c r="I1431" s="12">
        <v>0.66319444444444442</v>
      </c>
      <c r="J1431" t="s">
        <v>70</v>
      </c>
      <c r="K1431" t="s">
        <v>31</v>
      </c>
      <c r="L1431" s="12">
        <v>0.69097222222222221</v>
      </c>
      <c r="M1431" t="s">
        <v>33</v>
      </c>
      <c r="N1431" s="3">
        <v>189</v>
      </c>
      <c r="O1431" t="s">
        <v>24</v>
      </c>
      <c r="P1431" t="s">
        <v>56</v>
      </c>
      <c r="R1431">
        <f>tblDailySchedule[[#This Row],[Capacity Approx]]*'[1]Load Factor Sheet June Acft  '!$B$5</f>
        <v>153.04704545454547</v>
      </c>
      <c r="S1431">
        <f>tblDailySchedule[[#This Row],[Capacity Approx]]*'[1]Load Factor Sheet June Acft  '!$D$5</f>
        <v>165.71863636363636</v>
      </c>
      <c r="T1431" s="22">
        <f>tblDailySchedule[[#This Row],[STD]]</f>
        <v>0.69097222222222221</v>
      </c>
    </row>
    <row r="1432" spans="1:20" hidden="1" x14ac:dyDescent="0.35">
      <c r="A1432" s="11">
        <v>46161</v>
      </c>
      <c r="B1432" s="3">
        <v>2</v>
      </c>
      <c r="C1432" t="s">
        <v>108</v>
      </c>
      <c r="D1432" t="s">
        <v>18</v>
      </c>
      <c r="E1432" s="3">
        <v>18</v>
      </c>
      <c r="F1432" t="s">
        <v>19</v>
      </c>
      <c r="G1432" t="s">
        <v>71</v>
      </c>
      <c r="H1432" t="s">
        <v>21</v>
      </c>
      <c r="I1432" s="12">
        <v>0.67013888888888884</v>
      </c>
      <c r="J1432" t="s">
        <v>72</v>
      </c>
      <c r="K1432" t="s">
        <v>21</v>
      </c>
      <c r="L1432" s="12">
        <v>0.69791666666666663</v>
      </c>
      <c r="M1432" t="s">
        <v>63</v>
      </c>
      <c r="N1432" s="3">
        <v>232</v>
      </c>
      <c r="O1432" t="s">
        <v>24</v>
      </c>
      <c r="P1432" t="s">
        <v>56</v>
      </c>
      <c r="R1432">
        <f>tblDailySchedule[[#This Row],[Capacity Approx]]*'[1]Load Factor Sheet June Acft  '!$B$5</f>
        <v>187.86727272727273</v>
      </c>
      <c r="S1432">
        <f>tblDailySchedule[[#This Row],[Capacity Approx]]*'[1]Load Factor Sheet June Acft  '!$D$5</f>
        <v>203.4218181818182</v>
      </c>
      <c r="T1432" s="22">
        <f>tblDailySchedule[[#This Row],[STD]]</f>
        <v>0.69791666666666663</v>
      </c>
    </row>
    <row r="1433" spans="1:20" hidden="1" x14ac:dyDescent="0.35">
      <c r="A1433" s="11">
        <v>46161</v>
      </c>
      <c r="B1433" s="3">
        <v>2</v>
      </c>
      <c r="C1433" t="s">
        <v>108</v>
      </c>
      <c r="D1433" t="s">
        <v>18</v>
      </c>
      <c r="E1433" s="3">
        <v>19</v>
      </c>
      <c r="F1433" t="s">
        <v>19</v>
      </c>
      <c r="G1433" t="s">
        <v>73</v>
      </c>
      <c r="H1433" t="s">
        <v>27</v>
      </c>
      <c r="I1433" s="12">
        <v>0.74652777777777779</v>
      </c>
      <c r="J1433" t="s">
        <v>74</v>
      </c>
      <c r="K1433" t="s">
        <v>27</v>
      </c>
      <c r="L1433" s="12">
        <v>0.77430555555555558</v>
      </c>
      <c r="M1433" t="s">
        <v>63</v>
      </c>
      <c r="N1433" s="3">
        <v>232</v>
      </c>
      <c r="O1433" t="s">
        <v>24</v>
      </c>
      <c r="P1433" t="s">
        <v>56</v>
      </c>
      <c r="R1433">
        <f>tblDailySchedule[[#This Row],[Capacity Approx]]*'[1]Load Factor Sheet June Acft  '!$B$5</f>
        <v>187.86727272727273</v>
      </c>
      <c r="S1433">
        <f>tblDailySchedule[[#This Row],[Capacity Approx]]*'[1]Load Factor Sheet June Acft  '!$D$5</f>
        <v>203.4218181818182</v>
      </c>
      <c r="T1433" s="22">
        <f>tblDailySchedule[[#This Row],[STD]]</f>
        <v>0.77430555555555558</v>
      </c>
    </row>
    <row r="1434" spans="1:20" hidden="1" x14ac:dyDescent="0.35">
      <c r="A1434" s="11">
        <v>46161</v>
      </c>
      <c r="B1434" s="3">
        <v>2</v>
      </c>
      <c r="C1434" t="s">
        <v>108</v>
      </c>
      <c r="D1434" t="s">
        <v>18</v>
      </c>
      <c r="E1434" s="3">
        <v>21</v>
      </c>
      <c r="F1434" t="s">
        <v>19</v>
      </c>
      <c r="G1434" t="s">
        <v>81</v>
      </c>
      <c r="H1434" t="s">
        <v>61</v>
      </c>
      <c r="I1434" s="12">
        <v>0.77083333333333337</v>
      </c>
      <c r="J1434" t="s">
        <v>82</v>
      </c>
      <c r="K1434" t="s">
        <v>49</v>
      </c>
      <c r="L1434" s="12">
        <v>0.79166666666666663</v>
      </c>
      <c r="M1434" t="s">
        <v>33</v>
      </c>
      <c r="N1434" s="3">
        <v>189</v>
      </c>
      <c r="O1434" t="s">
        <v>24</v>
      </c>
      <c r="P1434" t="s">
        <v>79</v>
      </c>
      <c r="R1434">
        <f>tblDailySchedule[[#This Row],[Capacity Approx]]*'[1]Load Factor Sheet June Acft  '!$B$5</f>
        <v>153.04704545454547</v>
      </c>
      <c r="S1434">
        <f>tblDailySchedule[[#This Row],[Capacity Approx]]*'[1]Load Factor Sheet June Acft  '!$D$5</f>
        <v>165.71863636363636</v>
      </c>
      <c r="T1434" s="22">
        <f>tblDailySchedule[[#This Row],[STD]]</f>
        <v>0.79166666666666663</v>
      </c>
    </row>
    <row r="1435" spans="1:20" hidden="1" x14ac:dyDescent="0.35">
      <c r="A1435" s="11">
        <v>46161</v>
      </c>
      <c r="B1435" s="3">
        <v>2</v>
      </c>
      <c r="C1435" t="s">
        <v>108</v>
      </c>
      <c r="D1435" t="s">
        <v>18</v>
      </c>
      <c r="E1435" s="3">
        <v>22</v>
      </c>
      <c r="F1435" t="s">
        <v>19</v>
      </c>
      <c r="G1435" t="s">
        <v>83</v>
      </c>
      <c r="H1435" t="s">
        <v>31</v>
      </c>
      <c r="I1435" s="12">
        <v>0.77777777777777779</v>
      </c>
      <c r="J1435" t="s">
        <v>84</v>
      </c>
      <c r="K1435" t="s">
        <v>31</v>
      </c>
      <c r="L1435" s="12">
        <v>0.80555555555555558</v>
      </c>
      <c r="M1435" t="s">
        <v>63</v>
      </c>
      <c r="N1435" s="3">
        <v>232</v>
      </c>
      <c r="O1435" t="s">
        <v>24</v>
      </c>
      <c r="P1435" t="s">
        <v>79</v>
      </c>
      <c r="R1435">
        <f>tblDailySchedule[[#This Row],[Capacity Approx]]*'[1]Load Factor Sheet June Acft  '!$B$5</f>
        <v>187.86727272727273</v>
      </c>
      <c r="S1435">
        <f>tblDailySchedule[[#This Row],[Capacity Approx]]*'[1]Load Factor Sheet June Acft  '!$D$5</f>
        <v>203.4218181818182</v>
      </c>
      <c r="T1435" s="22">
        <f>tblDailySchedule[[#This Row],[STD]]</f>
        <v>0.80555555555555558</v>
      </c>
    </row>
    <row r="1436" spans="1:20" hidden="1" x14ac:dyDescent="0.35">
      <c r="A1436" s="11">
        <v>46161</v>
      </c>
      <c r="B1436" s="3">
        <v>2</v>
      </c>
      <c r="C1436" t="s">
        <v>108</v>
      </c>
      <c r="D1436" t="s">
        <v>18</v>
      </c>
      <c r="E1436" s="3">
        <v>23</v>
      </c>
      <c r="F1436" t="s">
        <v>19</v>
      </c>
      <c r="G1436" t="s">
        <v>85</v>
      </c>
      <c r="H1436" t="s">
        <v>86</v>
      </c>
      <c r="I1436" s="12">
        <v>0.79861111111111116</v>
      </c>
      <c r="J1436" t="s">
        <v>87</v>
      </c>
      <c r="K1436" t="s">
        <v>86</v>
      </c>
      <c r="L1436" s="12">
        <v>0.82638888888888884</v>
      </c>
      <c r="M1436" t="s">
        <v>63</v>
      </c>
      <c r="N1436" s="3">
        <v>232</v>
      </c>
      <c r="O1436" t="s">
        <v>24</v>
      </c>
      <c r="P1436" t="s">
        <v>79</v>
      </c>
      <c r="R1436">
        <f>tblDailySchedule[[#This Row],[Capacity Approx]]*'[1]Load Factor Sheet June Acft  '!$B$5</f>
        <v>187.86727272727273</v>
      </c>
      <c r="S1436">
        <f>tblDailySchedule[[#This Row],[Capacity Approx]]*'[1]Load Factor Sheet June Acft  '!$D$5</f>
        <v>203.4218181818182</v>
      </c>
      <c r="T1436" s="22">
        <f>tblDailySchedule[[#This Row],[STD]]</f>
        <v>0.82638888888888884</v>
      </c>
    </row>
    <row r="1437" spans="1:20" hidden="1" x14ac:dyDescent="0.35">
      <c r="A1437" s="11">
        <v>46161</v>
      </c>
      <c r="B1437" s="3">
        <v>2</v>
      </c>
      <c r="C1437" t="s">
        <v>108</v>
      </c>
      <c r="D1437" t="s">
        <v>18</v>
      </c>
      <c r="E1437" s="3">
        <v>24</v>
      </c>
      <c r="F1437" t="s">
        <v>19</v>
      </c>
      <c r="G1437" t="s">
        <v>88</v>
      </c>
      <c r="H1437" t="s">
        <v>89</v>
      </c>
      <c r="I1437" s="12">
        <v>0.83333333333333337</v>
      </c>
      <c r="J1437" t="s">
        <v>90</v>
      </c>
      <c r="K1437" t="s">
        <v>31</v>
      </c>
      <c r="L1437" s="12">
        <v>0.86111111111111116</v>
      </c>
      <c r="M1437" t="s">
        <v>63</v>
      </c>
      <c r="N1437" s="3">
        <v>232</v>
      </c>
      <c r="O1437" t="s">
        <v>24</v>
      </c>
      <c r="P1437" t="s">
        <v>79</v>
      </c>
      <c r="R1437">
        <f>tblDailySchedule[[#This Row],[Capacity Approx]]*'[1]Load Factor Sheet June Acft  '!$B$5</f>
        <v>187.86727272727273</v>
      </c>
      <c r="S1437">
        <f>tblDailySchedule[[#This Row],[Capacity Approx]]*'[1]Load Factor Sheet June Acft  '!$D$5</f>
        <v>203.4218181818182</v>
      </c>
      <c r="T1437" s="22">
        <f>tblDailySchedule[[#This Row],[STD]]</f>
        <v>0.86111111111111116</v>
      </c>
    </row>
    <row r="1438" spans="1:20" hidden="1" x14ac:dyDescent="0.35">
      <c r="A1438" s="11">
        <v>46161</v>
      </c>
      <c r="B1438" s="3">
        <v>2</v>
      </c>
      <c r="C1438" t="s">
        <v>108</v>
      </c>
      <c r="D1438" t="s">
        <v>18</v>
      </c>
      <c r="E1438" s="3">
        <v>25</v>
      </c>
      <c r="F1438" t="s">
        <v>19</v>
      </c>
      <c r="G1438" t="s">
        <v>91</v>
      </c>
      <c r="H1438" t="s">
        <v>61</v>
      </c>
      <c r="I1438" s="12">
        <v>0.85416666666666663</v>
      </c>
      <c r="J1438" t="s">
        <v>92</v>
      </c>
      <c r="K1438" t="s">
        <v>61</v>
      </c>
      <c r="L1438" s="12">
        <v>0.88194444444444442</v>
      </c>
      <c r="M1438" t="s">
        <v>63</v>
      </c>
      <c r="N1438" s="3">
        <v>232</v>
      </c>
      <c r="O1438" t="s">
        <v>24</v>
      </c>
      <c r="P1438" t="s">
        <v>79</v>
      </c>
      <c r="R1438">
        <f>tblDailySchedule[[#This Row],[Capacity Approx]]*'[1]Load Factor Sheet June Acft  '!$B$5</f>
        <v>187.86727272727273</v>
      </c>
      <c r="S1438">
        <f>tblDailySchedule[[#This Row],[Capacity Approx]]*'[1]Load Factor Sheet June Acft  '!$D$5</f>
        <v>203.4218181818182</v>
      </c>
      <c r="T1438" s="22">
        <f>tblDailySchedule[[#This Row],[STD]]</f>
        <v>0.88194444444444442</v>
      </c>
    </row>
    <row r="1439" spans="1:20" hidden="1" x14ac:dyDescent="0.35">
      <c r="A1439" s="11">
        <v>46161</v>
      </c>
      <c r="B1439" s="3">
        <v>2</v>
      </c>
      <c r="C1439" t="s">
        <v>108</v>
      </c>
      <c r="D1439" t="s">
        <v>18</v>
      </c>
      <c r="E1439" s="3">
        <v>26</v>
      </c>
      <c r="F1439" t="s">
        <v>19</v>
      </c>
      <c r="G1439" t="s">
        <v>93</v>
      </c>
      <c r="H1439" t="s">
        <v>31</v>
      </c>
      <c r="I1439" s="12">
        <v>0.86111111111111116</v>
      </c>
      <c r="J1439" t="s">
        <v>94</v>
      </c>
      <c r="K1439" t="s">
        <v>31</v>
      </c>
      <c r="L1439" s="12">
        <v>0.88888888888888884</v>
      </c>
      <c r="M1439" t="s">
        <v>23</v>
      </c>
      <c r="N1439" s="3">
        <v>186</v>
      </c>
      <c r="O1439" t="s">
        <v>24</v>
      </c>
      <c r="P1439" t="s">
        <v>79</v>
      </c>
      <c r="R1439">
        <f>tblDailySchedule[[#This Row],[Capacity Approx]]*'[1]Load Factor Sheet June Acft  '!$B$5</f>
        <v>150.61772727272728</v>
      </c>
      <c r="S1439">
        <f>tblDailySchedule[[#This Row],[Capacity Approx]]*'[1]Load Factor Sheet June Acft  '!$D$5</f>
        <v>163.08818181818182</v>
      </c>
      <c r="T1439" s="22">
        <f>tblDailySchedule[[#This Row],[STD]]</f>
        <v>0.88888888888888884</v>
      </c>
    </row>
    <row r="1440" spans="1:20" hidden="1" x14ac:dyDescent="0.35">
      <c r="A1440" s="11">
        <v>46161</v>
      </c>
      <c r="B1440" s="3">
        <v>2</v>
      </c>
      <c r="C1440" t="s">
        <v>108</v>
      </c>
      <c r="D1440" t="s">
        <v>18</v>
      </c>
      <c r="E1440" s="3">
        <v>27</v>
      </c>
      <c r="F1440" t="s">
        <v>19</v>
      </c>
      <c r="G1440" t="s">
        <v>95</v>
      </c>
      <c r="H1440" t="s">
        <v>21</v>
      </c>
      <c r="I1440" s="12">
        <v>0.86805555555555558</v>
      </c>
      <c r="J1440" t="s">
        <v>96</v>
      </c>
      <c r="K1440" t="s">
        <v>21</v>
      </c>
      <c r="L1440" s="12">
        <v>0.89583333333333337</v>
      </c>
      <c r="M1440" t="s">
        <v>29</v>
      </c>
      <c r="N1440" s="3">
        <v>186</v>
      </c>
      <c r="O1440" t="s">
        <v>24</v>
      </c>
      <c r="P1440" t="s">
        <v>79</v>
      </c>
      <c r="R1440">
        <f>tblDailySchedule[[#This Row],[Capacity Approx]]*'[1]Load Factor Sheet June Acft  '!$B$5</f>
        <v>150.61772727272728</v>
      </c>
      <c r="S1440">
        <f>tblDailySchedule[[#This Row],[Capacity Approx]]*'[1]Load Factor Sheet June Acft  '!$D$5</f>
        <v>163.08818181818182</v>
      </c>
      <c r="T1440" s="22">
        <f>tblDailySchedule[[#This Row],[STD]]</f>
        <v>0.89583333333333337</v>
      </c>
    </row>
    <row r="1441" spans="1:20" hidden="1" x14ac:dyDescent="0.35">
      <c r="A1441" s="11">
        <v>46161</v>
      </c>
      <c r="B1441" s="3">
        <v>2</v>
      </c>
      <c r="C1441" t="s">
        <v>108</v>
      </c>
      <c r="D1441" t="s">
        <v>18</v>
      </c>
      <c r="E1441" s="3">
        <v>28</v>
      </c>
      <c r="F1441" t="s">
        <v>19</v>
      </c>
      <c r="G1441" t="s">
        <v>97</v>
      </c>
      <c r="H1441" t="s">
        <v>49</v>
      </c>
      <c r="I1441" s="12">
        <v>0.90277777777777779</v>
      </c>
      <c r="J1441" t="s">
        <v>97</v>
      </c>
      <c r="K1441" t="s">
        <v>61</v>
      </c>
      <c r="L1441" s="12">
        <v>0.92361111111111116</v>
      </c>
      <c r="M1441" t="s">
        <v>33</v>
      </c>
      <c r="N1441" s="3">
        <v>189</v>
      </c>
      <c r="O1441" t="s">
        <v>24</v>
      </c>
      <c r="P1441" t="s">
        <v>79</v>
      </c>
      <c r="R1441">
        <f>tblDailySchedule[[#This Row],[Capacity Approx]]*'[1]Load Factor Sheet June Acft  '!$B$5</f>
        <v>153.04704545454547</v>
      </c>
      <c r="S1441">
        <f>tblDailySchedule[[#This Row],[Capacity Approx]]*'[1]Load Factor Sheet June Acft  '!$D$5</f>
        <v>165.71863636363636</v>
      </c>
      <c r="T1441" s="22">
        <f>tblDailySchedule[[#This Row],[STD]]</f>
        <v>0.92361111111111116</v>
      </c>
    </row>
    <row r="1442" spans="1:20" hidden="1" x14ac:dyDescent="0.35">
      <c r="A1442" s="11">
        <v>46161</v>
      </c>
      <c r="B1442" s="3">
        <v>2</v>
      </c>
      <c r="C1442" t="s">
        <v>108</v>
      </c>
      <c r="D1442" t="s">
        <v>18</v>
      </c>
      <c r="E1442" s="3">
        <v>29</v>
      </c>
      <c r="F1442" t="s">
        <v>19</v>
      </c>
      <c r="G1442" t="s">
        <v>98</v>
      </c>
      <c r="H1442" t="s">
        <v>21</v>
      </c>
      <c r="I1442" s="12">
        <v>0.92013888888888884</v>
      </c>
      <c r="J1442" t="s">
        <v>99</v>
      </c>
      <c r="K1442" t="s">
        <v>21</v>
      </c>
      <c r="L1442" s="12">
        <v>0.94791666666666663</v>
      </c>
      <c r="M1442" t="s">
        <v>63</v>
      </c>
      <c r="N1442" s="3">
        <v>232</v>
      </c>
      <c r="O1442" t="s">
        <v>24</v>
      </c>
      <c r="P1442" t="s">
        <v>79</v>
      </c>
      <c r="R1442">
        <f>tblDailySchedule[[#This Row],[Capacity Approx]]*'[1]Load Factor Sheet June Acft  '!$B$5</f>
        <v>187.86727272727273</v>
      </c>
      <c r="S1442">
        <f>tblDailySchedule[[#This Row],[Capacity Approx]]*'[1]Load Factor Sheet June Acft  '!$D$5</f>
        <v>203.4218181818182</v>
      </c>
      <c r="T1442" s="22">
        <f>tblDailySchedule[[#This Row],[STD]]</f>
        <v>0.94791666666666663</v>
      </c>
    </row>
    <row r="1443" spans="1:20" hidden="1" x14ac:dyDescent="0.35">
      <c r="A1443" s="11">
        <v>46162</v>
      </c>
      <c r="B1443" s="3">
        <v>3</v>
      </c>
      <c r="C1443" t="s">
        <v>113</v>
      </c>
      <c r="D1443" t="s">
        <v>18</v>
      </c>
      <c r="E1443" s="3">
        <v>2</v>
      </c>
      <c r="F1443" t="s">
        <v>19</v>
      </c>
      <c r="G1443" t="s">
        <v>20</v>
      </c>
      <c r="H1443" t="s">
        <v>21</v>
      </c>
      <c r="I1443" s="12">
        <v>0.31944444444444442</v>
      </c>
      <c r="J1443" t="s">
        <v>22</v>
      </c>
      <c r="K1443" t="s">
        <v>21</v>
      </c>
      <c r="L1443" s="12">
        <v>0.34722222222222221</v>
      </c>
      <c r="M1443" t="s">
        <v>23</v>
      </c>
      <c r="N1443" s="3">
        <v>186</v>
      </c>
      <c r="O1443" t="s">
        <v>24</v>
      </c>
      <c r="P1443" t="s">
        <v>25</v>
      </c>
      <c r="R1443">
        <f>tblDailySchedule[[#This Row],[Capacity Approx]]*'[1]Load Factor Sheet June Acft  '!$B$5</f>
        <v>150.61772727272728</v>
      </c>
      <c r="S1443">
        <f>tblDailySchedule[[#This Row],[Capacity Approx]]*'[1]Load Factor Sheet June Acft  '!$D$5</f>
        <v>163.08818181818182</v>
      </c>
      <c r="T1443" s="22">
        <f>tblDailySchedule[[#This Row],[STD]]</f>
        <v>0.34722222222222221</v>
      </c>
    </row>
    <row r="1444" spans="1:20" hidden="1" x14ac:dyDescent="0.35">
      <c r="A1444" s="11">
        <v>46162</v>
      </c>
      <c r="B1444" s="3">
        <v>3</v>
      </c>
      <c r="C1444" t="s">
        <v>113</v>
      </c>
      <c r="D1444" t="s">
        <v>18</v>
      </c>
      <c r="E1444" s="3">
        <v>3</v>
      </c>
      <c r="F1444" t="s">
        <v>19</v>
      </c>
      <c r="G1444" t="s">
        <v>26</v>
      </c>
      <c r="H1444" t="s">
        <v>27</v>
      </c>
      <c r="I1444" s="12">
        <v>0.3263888888888889</v>
      </c>
      <c r="J1444" t="s">
        <v>28</v>
      </c>
      <c r="K1444" t="s">
        <v>27</v>
      </c>
      <c r="L1444" s="12">
        <v>0.35416666666666669</v>
      </c>
      <c r="M1444" t="s">
        <v>29</v>
      </c>
      <c r="N1444" s="3">
        <v>186</v>
      </c>
      <c r="O1444" t="s">
        <v>24</v>
      </c>
      <c r="P1444" t="s">
        <v>25</v>
      </c>
      <c r="R1444">
        <f>tblDailySchedule[[#This Row],[Capacity Approx]]*'[1]Load Factor Sheet June Acft  '!$B$5</f>
        <v>150.61772727272728</v>
      </c>
      <c r="S1444">
        <f>tblDailySchedule[[#This Row],[Capacity Approx]]*'[1]Load Factor Sheet June Acft  '!$D$5</f>
        <v>163.08818181818182</v>
      </c>
      <c r="T1444" s="22">
        <f>tblDailySchedule[[#This Row],[STD]]</f>
        <v>0.35416666666666669</v>
      </c>
    </row>
    <row r="1445" spans="1:20" hidden="1" x14ac:dyDescent="0.35">
      <c r="A1445" s="11">
        <v>46162</v>
      </c>
      <c r="B1445" s="3">
        <v>3</v>
      </c>
      <c r="C1445" t="s">
        <v>113</v>
      </c>
      <c r="D1445" t="s">
        <v>18</v>
      </c>
      <c r="E1445" s="3">
        <v>4</v>
      </c>
      <c r="F1445" t="s">
        <v>19</v>
      </c>
      <c r="G1445" t="s">
        <v>30</v>
      </c>
      <c r="H1445" t="s">
        <v>31</v>
      </c>
      <c r="I1445" s="12">
        <v>0.34722222222222221</v>
      </c>
      <c r="J1445" t="s">
        <v>32</v>
      </c>
      <c r="K1445" t="s">
        <v>31</v>
      </c>
      <c r="L1445" s="12">
        <v>0.36805555555555558</v>
      </c>
      <c r="M1445" t="s">
        <v>33</v>
      </c>
      <c r="N1445" s="3">
        <v>189</v>
      </c>
      <c r="O1445" t="s">
        <v>24</v>
      </c>
      <c r="P1445" t="s">
        <v>25</v>
      </c>
      <c r="R1445">
        <f>tblDailySchedule[[#This Row],[Capacity Approx]]*'[1]Load Factor Sheet June Acft  '!$B$5</f>
        <v>153.04704545454547</v>
      </c>
      <c r="S1445">
        <f>tblDailySchedule[[#This Row],[Capacity Approx]]*'[1]Load Factor Sheet June Acft  '!$D$5</f>
        <v>165.71863636363636</v>
      </c>
      <c r="T1445" s="22">
        <f>tblDailySchedule[[#This Row],[STD]]</f>
        <v>0.36805555555555558</v>
      </c>
    </row>
    <row r="1446" spans="1:20" hidden="1" x14ac:dyDescent="0.35">
      <c r="A1446" s="13">
        <v>46162</v>
      </c>
      <c r="B1446" s="7">
        <v>3</v>
      </c>
      <c r="C1446" s="14" t="s">
        <v>113</v>
      </c>
      <c r="D1446" s="14" t="s">
        <v>18</v>
      </c>
      <c r="E1446" s="7">
        <v>6</v>
      </c>
      <c r="F1446" s="14" t="s">
        <v>34</v>
      </c>
      <c r="G1446" s="14" t="s">
        <v>35</v>
      </c>
      <c r="H1446" s="14" t="s">
        <v>36</v>
      </c>
      <c r="I1446" s="15">
        <v>0.34722222222222221</v>
      </c>
      <c r="J1446" s="14" t="s">
        <v>37</v>
      </c>
      <c r="K1446" s="14" t="s">
        <v>36</v>
      </c>
      <c r="L1446" s="15">
        <v>0.40972222222222221</v>
      </c>
      <c r="M1446" s="14" t="s">
        <v>38</v>
      </c>
      <c r="N1446" s="7">
        <v>186</v>
      </c>
      <c r="O1446" s="14" t="s">
        <v>39</v>
      </c>
      <c r="P1446" s="14" t="s">
        <v>25</v>
      </c>
      <c r="Q1446" s="14" t="s">
        <v>39</v>
      </c>
      <c r="R1446">
        <f>tblDailySchedule[[#This Row],[Capacity Approx]]*'[1]Load Factor Sheet June Acft  '!$B$5</f>
        <v>150.61772727272728</v>
      </c>
      <c r="S1446">
        <f>tblDailySchedule[[#This Row],[Capacity Approx]]*'[1]Load Factor Sheet June Acft  '!$D$5</f>
        <v>163.08818181818182</v>
      </c>
      <c r="T1446" s="22">
        <f>tblDailySchedule[[#This Row],[STD]]</f>
        <v>0.40972222222222221</v>
      </c>
    </row>
    <row r="1447" spans="1:20" hidden="1" x14ac:dyDescent="0.35">
      <c r="A1447" s="11">
        <v>46162</v>
      </c>
      <c r="B1447" s="3">
        <v>3</v>
      </c>
      <c r="C1447" t="s">
        <v>113</v>
      </c>
      <c r="D1447" t="s">
        <v>18</v>
      </c>
      <c r="E1447" s="3">
        <v>5</v>
      </c>
      <c r="F1447" t="s">
        <v>19</v>
      </c>
      <c r="G1447" t="s">
        <v>40</v>
      </c>
      <c r="H1447" t="s">
        <v>31</v>
      </c>
      <c r="I1447" s="12">
        <v>0.35069444444444442</v>
      </c>
      <c r="J1447" t="s">
        <v>41</v>
      </c>
      <c r="K1447" t="s">
        <v>31</v>
      </c>
      <c r="L1447" s="12">
        <v>0.37152777777777779</v>
      </c>
      <c r="M1447" t="s">
        <v>23</v>
      </c>
      <c r="N1447" s="3">
        <v>186</v>
      </c>
      <c r="O1447" t="s">
        <v>24</v>
      </c>
      <c r="P1447" t="s">
        <v>25</v>
      </c>
      <c r="R1447">
        <f>tblDailySchedule[[#This Row],[Capacity Approx]]*'[1]Load Factor Sheet June Acft  '!$B$5</f>
        <v>150.61772727272728</v>
      </c>
      <c r="S1447">
        <f>tblDailySchedule[[#This Row],[Capacity Approx]]*'[1]Load Factor Sheet June Acft  '!$D$5</f>
        <v>163.08818181818182</v>
      </c>
      <c r="T1447" s="22">
        <f>tblDailySchedule[[#This Row],[STD]]</f>
        <v>0.37152777777777779</v>
      </c>
    </row>
    <row r="1448" spans="1:20" hidden="1" x14ac:dyDescent="0.35">
      <c r="A1448" s="11">
        <v>46162</v>
      </c>
      <c r="B1448" s="3">
        <v>3</v>
      </c>
      <c r="C1448" t="s">
        <v>113</v>
      </c>
      <c r="D1448" t="s">
        <v>18</v>
      </c>
      <c r="E1448" s="3">
        <v>7</v>
      </c>
      <c r="F1448" t="s">
        <v>19</v>
      </c>
      <c r="G1448" t="s">
        <v>42</v>
      </c>
      <c r="H1448" t="s">
        <v>43</v>
      </c>
      <c r="I1448" s="12">
        <v>0.3923611111111111</v>
      </c>
      <c r="J1448" t="s">
        <v>44</v>
      </c>
      <c r="K1448" t="s">
        <v>43</v>
      </c>
      <c r="L1448" s="12">
        <v>0.40277777777777779</v>
      </c>
      <c r="M1448" t="s">
        <v>45</v>
      </c>
      <c r="N1448" s="3">
        <v>9</v>
      </c>
      <c r="O1448" t="s">
        <v>24</v>
      </c>
      <c r="P1448" t="s">
        <v>25</v>
      </c>
      <c r="R1448">
        <f>tblDailySchedule[[#This Row],[Capacity Approx]]*'[1]Load Factor Sheet June Acft  '!$B$5</f>
        <v>7.2879545454545456</v>
      </c>
      <c r="S1448">
        <f>tblDailySchedule[[#This Row],[Capacity Approx]]*'[1]Load Factor Sheet June Acft  '!$D$5</f>
        <v>7.8913636363636366</v>
      </c>
      <c r="T1448" s="22">
        <f>tblDailySchedule[[#This Row],[STD]]</f>
        <v>0.40277777777777779</v>
      </c>
    </row>
    <row r="1449" spans="1:20" hidden="1" x14ac:dyDescent="0.35">
      <c r="A1449" s="11">
        <v>46162</v>
      </c>
      <c r="B1449" s="3">
        <v>3</v>
      </c>
      <c r="C1449" t="s">
        <v>113</v>
      </c>
      <c r="D1449" t="s">
        <v>18</v>
      </c>
      <c r="E1449" s="3">
        <v>8</v>
      </c>
      <c r="F1449" t="s">
        <v>19</v>
      </c>
      <c r="G1449" t="s">
        <v>46</v>
      </c>
      <c r="H1449" t="s">
        <v>31</v>
      </c>
      <c r="I1449" s="12">
        <v>0.4201388888888889</v>
      </c>
      <c r="J1449" t="s">
        <v>47</v>
      </c>
      <c r="K1449" t="s">
        <v>31</v>
      </c>
      <c r="L1449" s="12">
        <v>0.44444444444444442</v>
      </c>
      <c r="M1449" t="s">
        <v>29</v>
      </c>
      <c r="N1449" s="3">
        <v>186</v>
      </c>
      <c r="O1449" t="s">
        <v>24</v>
      </c>
      <c r="P1449" t="s">
        <v>25</v>
      </c>
      <c r="R1449">
        <f>tblDailySchedule[[#This Row],[Capacity Approx]]*'[1]Load Factor Sheet June Acft  '!$B$5</f>
        <v>150.61772727272728</v>
      </c>
      <c r="S1449">
        <f>tblDailySchedule[[#This Row],[Capacity Approx]]*'[1]Load Factor Sheet June Acft  '!$D$5</f>
        <v>163.08818181818182</v>
      </c>
      <c r="T1449" s="22">
        <f>tblDailySchedule[[#This Row],[STD]]</f>
        <v>0.44444444444444442</v>
      </c>
    </row>
    <row r="1450" spans="1:20" hidden="1" x14ac:dyDescent="0.35">
      <c r="A1450" s="11">
        <v>46162</v>
      </c>
      <c r="B1450" s="3">
        <v>3</v>
      </c>
      <c r="C1450" t="s">
        <v>113</v>
      </c>
      <c r="D1450" t="s">
        <v>18</v>
      </c>
      <c r="E1450" s="3">
        <v>9</v>
      </c>
      <c r="F1450" t="s">
        <v>19</v>
      </c>
      <c r="G1450" t="s">
        <v>48</v>
      </c>
      <c r="H1450" t="s">
        <v>49</v>
      </c>
      <c r="I1450" s="12">
        <v>0.4375</v>
      </c>
      <c r="J1450" t="s">
        <v>50</v>
      </c>
      <c r="K1450" t="s">
        <v>49</v>
      </c>
      <c r="L1450" s="12">
        <v>0.45833333333333331</v>
      </c>
      <c r="M1450" t="s">
        <v>51</v>
      </c>
      <c r="N1450" s="3">
        <v>78</v>
      </c>
      <c r="O1450" t="s">
        <v>24</v>
      </c>
      <c r="P1450" t="s">
        <v>25</v>
      </c>
      <c r="R1450">
        <f>tblDailySchedule[[#This Row],[Capacity Approx]]*'[1]Load Factor Sheet June Acft  '!$B$5</f>
        <v>63.162272727272729</v>
      </c>
      <c r="S1450">
        <f>tblDailySchedule[[#This Row],[Capacity Approx]]*'[1]Load Factor Sheet June Acft  '!$D$5</f>
        <v>68.391818181818181</v>
      </c>
      <c r="T1450" s="22">
        <f>tblDailySchedule[[#This Row],[STD]]</f>
        <v>0.45833333333333331</v>
      </c>
    </row>
    <row r="1451" spans="1:20" hidden="1" x14ac:dyDescent="0.35">
      <c r="A1451" s="11">
        <v>46162</v>
      </c>
      <c r="B1451" s="3">
        <v>3</v>
      </c>
      <c r="C1451" t="s">
        <v>113</v>
      </c>
      <c r="D1451" t="s">
        <v>18</v>
      </c>
      <c r="E1451" s="3">
        <v>10</v>
      </c>
      <c r="F1451" t="s">
        <v>19</v>
      </c>
      <c r="G1451" t="s">
        <v>52</v>
      </c>
      <c r="H1451" t="s">
        <v>27</v>
      </c>
      <c r="I1451" s="12">
        <v>0.4826388888888889</v>
      </c>
      <c r="J1451" t="s">
        <v>53</v>
      </c>
      <c r="K1451" t="s">
        <v>27</v>
      </c>
      <c r="L1451" s="12">
        <v>0.51041666666666663</v>
      </c>
      <c r="M1451" t="s">
        <v>23</v>
      </c>
      <c r="N1451" s="3">
        <v>186</v>
      </c>
      <c r="O1451" t="s">
        <v>24</v>
      </c>
      <c r="P1451" t="s">
        <v>25</v>
      </c>
      <c r="R1451">
        <f>tblDailySchedule[[#This Row],[Capacity Approx]]*'[1]Load Factor Sheet June Acft  '!$B$5</f>
        <v>150.61772727272728</v>
      </c>
      <c r="S1451">
        <f>tblDailySchedule[[#This Row],[Capacity Approx]]*'[1]Load Factor Sheet June Acft  '!$D$5</f>
        <v>163.08818181818182</v>
      </c>
      <c r="T1451" s="22">
        <f>tblDailySchedule[[#This Row],[STD]]</f>
        <v>0.51041666666666663</v>
      </c>
    </row>
    <row r="1452" spans="1:20" hidden="1" x14ac:dyDescent="0.35">
      <c r="A1452" s="11">
        <v>46162</v>
      </c>
      <c r="B1452" s="3">
        <v>3</v>
      </c>
      <c r="C1452" t="s">
        <v>113</v>
      </c>
      <c r="D1452" t="s">
        <v>18</v>
      </c>
      <c r="E1452" s="3">
        <v>11</v>
      </c>
      <c r="F1452" t="s">
        <v>19</v>
      </c>
      <c r="G1452" t="s">
        <v>54</v>
      </c>
      <c r="H1452" t="s">
        <v>31</v>
      </c>
      <c r="I1452" s="12">
        <v>0.51388888888888884</v>
      </c>
      <c r="J1452" t="s">
        <v>55</v>
      </c>
      <c r="K1452" t="s">
        <v>31</v>
      </c>
      <c r="L1452" s="12">
        <v>0.54166666666666663</v>
      </c>
      <c r="M1452" t="s">
        <v>23</v>
      </c>
      <c r="N1452" s="3">
        <v>186</v>
      </c>
      <c r="O1452" t="s">
        <v>24</v>
      </c>
      <c r="P1452" t="s">
        <v>56</v>
      </c>
      <c r="R1452">
        <f>tblDailySchedule[[#This Row],[Capacity Approx]]*'[1]Load Factor Sheet June Acft  '!$B$5</f>
        <v>150.61772727272728</v>
      </c>
      <c r="S1452">
        <f>tblDailySchedule[[#This Row],[Capacity Approx]]*'[1]Load Factor Sheet June Acft  '!$D$5</f>
        <v>163.08818181818182</v>
      </c>
      <c r="T1452" s="22">
        <f>tblDailySchedule[[#This Row],[STD]]</f>
        <v>0.54166666666666663</v>
      </c>
    </row>
    <row r="1453" spans="1:20" hidden="1" x14ac:dyDescent="0.35">
      <c r="A1453" s="11">
        <v>46162</v>
      </c>
      <c r="B1453" s="3">
        <v>3</v>
      </c>
      <c r="C1453" t="s">
        <v>113</v>
      </c>
      <c r="D1453" t="s">
        <v>18</v>
      </c>
      <c r="E1453" s="3">
        <v>13</v>
      </c>
      <c r="F1453" t="s">
        <v>19</v>
      </c>
      <c r="G1453" t="s">
        <v>57</v>
      </c>
      <c r="H1453" t="s">
        <v>58</v>
      </c>
      <c r="I1453" s="12">
        <v>0.55902777777777779</v>
      </c>
      <c r="J1453" t="s">
        <v>59</v>
      </c>
      <c r="K1453" t="s">
        <v>58</v>
      </c>
      <c r="L1453" s="12">
        <v>0.57638888888888884</v>
      </c>
      <c r="M1453" t="s">
        <v>51</v>
      </c>
      <c r="N1453" s="3">
        <v>78</v>
      </c>
      <c r="O1453" t="s">
        <v>24</v>
      </c>
      <c r="P1453" t="s">
        <v>56</v>
      </c>
      <c r="R1453">
        <f>tblDailySchedule[[#This Row],[Capacity Approx]]*'[1]Load Factor Sheet June Acft  '!$B$5</f>
        <v>63.162272727272729</v>
      </c>
      <c r="S1453">
        <f>tblDailySchedule[[#This Row],[Capacity Approx]]*'[1]Load Factor Sheet June Acft  '!$D$5</f>
        <v>68.391818181818181</v>
      </c>
      <c r="T1453" s="22">
        <f>tblDailySchedule[[#This Row],[STD]]</f>
        <v>0.57638888888888884</v>
      </c>
    </row>
    <row r="1454" spans="1:20" hidden="1" x14ac:dyDescent="0.35">
      <c r="A1454" s="11">
        <v>46162</v>
      </c>
      <c r="B1454" s="3">
        <v>3</v>
      </c>
      <c r="C1454" t="s">
        <v>113</v>
      </c>
      <c r="D1454" t="s">
        <v>18</v>
      </c>
      <c r="E1454" s="3">
        <v>14</v>
      </c>
      <c r="F1454" t="s">
        <v>19</v>
      </c>
      <c r="G1454" t="s">
        <v>60</v>
      </c>
      <c r="H1454" t="s">
        <v>61</v>
      </c>
      <c r="I1454" s="12">
        <v>0.59027777777777779</v>
      </c>
      <c r="J1454" t="s">
        <v>62</v>
      </c>
      <c r="K1454" t="s">
        <v>61</v>
      </c>
      <c r="L1454" s="12">
        <v>0.62152777777777779</v>
      </c>
      <c r="M1454" t="s">
        <v>63</v>
      </c>
      <c r="N1454" s="3">
        <v>232</v>
      </c>
      <c r="O1454" t="s">
        <v>24</v>
      </c>
      <c r="P1454" t="s">
        <v>56</v>
      </c>
      <c r="R1454">
        <f>tblDailySchedule[[#This Row],[Capacity Approx]]*'[1]Load Factor Sheet June Acft  '!$B$5</f>
        <v>187.86727272727273</v>
      </c>
      <c r="S1454">
        <f>tblDailySchedule[[#This Row],[Capacity Approx]]*'[1]Load Factor Sheet June Acft  '!$D$5</f>
        <v>203.4218181818182</v>
      </c>
      <c r="T1454" s="22">
        <f>tblDailySchedule[[#This Row],[STD]]</f>
        <v>0.62152777777777779</v>
      </c>
    </row>
    <row r="1455" spans="1:20" hidden="1" x14ac:dyDescent="0.35">
      <c r="A1455" s="11">
        <v>46162</v>
      </c>
      <c r="B1455" s="3">
        <v>3</v>
      </c>
      <c r="C1455" t="s">
        <v>113</v>
      </c>
      <c r="D1455" t="s">
        <v>18</v>
      </c>
      <c r="E1455" s="3">
        <v>15</v>
      </c>
      <c r="F1455" t="s">
        <v>19</v>
      </c>
      <c r="G1455" t="s">
        <v>64</v>
      </c>
      <c r="H1455" t="s">
        <v>31</v>
      </c>
      <c r="I1455" s="12">
        <v>0.60069444444444442</v>
      </c>
      <c r="J1455" t="s">
        <v>65</v>
      </c>
      <c r="K1455" t="s">
        <v>66</v>
      </c>
      <c r="L1455" s="12">
        <v>0.62847222222222221</v>
      </c>
      <c r="M1455" t="s">
        <v>63</v>
      </c>
      <c r="N1455" s="3">
        <v>232</v>
      </c>
      <c r="O1455" t="s">
        <v>24</v>
      </c>
      <c r="P1455" t="s">
        <v>56</v>
      </c>
      <c r="R1455">
        <f>tblDailySchedule[[#This Row],[Capacity Approx]]*'[1]Load Factor Sheet June Acft  '!$B$5</f>
        <v>187.86727272727273</v>
      </c>
      <c r="S1455">
        <f>tblDailySchedule[[#This Row],[Capacity Approx]]*'[1]Load Factor Sheet June Acft  '!$D$5</f>
        <v>203.4218181818182</v>
      </c>
      <c r="T1455" s="22">
        <f>tblDailySchedule[[#This Row],[STD]]</f>
        <v>0.62847222222222221</v>
      </c>
    </row>
    <row r="1456" spans="1:20" hidden="1" x14ac:dyDescent="0.35">
      <c r="A1456" s="11">
        <v>46162</v>
      </c>
      <c r="B1456" s="3">
        <v>3</v>
      </c>
      <c r="C1456" t="s">
        <v>113</v>
      </c>
      <c r="D1456" t="s">
        <v>18</v>
      </c>
      <c r="E1456" s="3">
        <v>16</v>
      </c>
      <c r="F1456" t="s">
        <v>19</v>
      </c>
      <c r="G1456" t="s">
        <v>67</v>
      </c>
      <c r="H1456" t="s">
        <v>31</v>
      </c>
      <c r="I1456" s="12">
        <v>0.65625</v>
      </c>
      <c r="J1456" t="s">
        <v>68</v>
      </c>
      <c r="K1456" t="s">
        <v>31</v>
      </c>
      <c r="L1456" s="12">
        <v>0.68402777777777779</v>
      </c>
      <c r="M1456" t="s">
        <v>63</v>
      </c>
      <c r="N1456" s="3">
        <v>232</v>
      </c>
      <c r="O1456" t="s">
        <v>24</v>
      </c>
      <c r="P1456" t="s">
        <v>56</v>
      </c>
      <c r="R1456">
        <f>tblDailySchedule[[#This Row],[Capacity Approx]]*'[1]Load Factor Sheet June Acft  '!$B$5</f>
        <v>187.86727272727273</v>
      </c>
      <c r="S1456">
        <f>tblDailySchedule[[#This Row],[Capacity Approx]]*'[1]Load Factor Sheet June Acft  '!$D$5</f>
        <v>203.4218181818182</v>
      </c>
      <c r="T1456" s="22">
        <f>tblDailySchedule[[#This Row],[STD]]</f>
        <v>0.68402777777777779</v>
      </c>
    </row>
    <row r="1457" spans="1:20" hidden="1" x14ac:dyDescent="0.35">
      <c r="A1457" s="11">
        <v>46162</v>
      </c>
      <c r="B1457" s="3">
        <v>3</v>
      </c>
      <c r="C1457" t="s">
        <v>113</v>
      </c>
      <c r="D1457" t="s">
        <v>18</v>
      </c>
      <c r="E1457" s="3">
        <v>17</v>
      </c>
      <c r="F1457" t="s">
        <v>19</v>
      </c>
      <c r="G1457" t="s">
        <v>69</v>
      </c>
      <c r="H1457" t="s">
        <v>31</v>
      </c>
      <c r="I1457" s="12">
        <v>0.66319444444444442</v>
      </c>
      <c r="J1457" t="s">
        <v>70</v>
      </c>
      <c r="K1457" t="s">
        <v>31</v>
      </c>
      <c r="L1457" s="12">
        <v>0.69097222222222221</v>
      </c>
      <c r="M1457" t="s">
        <v>33</v>
      </c>
      <c r="N1457" s="3">
        <v>189</v>
      </c>
      <c r="O1457" t="s">
        <v>24</v>
      </c>
      <c r="P1457" t="s">
        <v>56</v>
      </c>
      <c r="R1457">
        <f>tblDailySchedule[[#This Row],[Capacity Approx]]*'[1]Load Factor Sheet June Acft  '!$B$5</f>
        <v>153.04704545454547</v>
      </c>
      <c r="S1457">
        <f>tblDailySchedule[[#This Row],[Capacity Approx]]*'[1]Load Factor Sheet June Acft  '!$D$5</f>
        <v>165.71863636363636</v>
      </c>
      <c r="T1457" s="22">
        <f>tblDailySchedule[[#This Row],[STD]]</f>
        <v>0.69097222222222221</v>
      </c>
    </row>
    <row r="1458" spans="1:20" hidden="1" x14ac:dyDescent="0.35">
      <c r="A1458" s="11">
        <v>46162</v>
      </c>
      <c r="B1458" s="3">
        <v>3</v>
      </c>
      <c r="C1458" t="s">
        <v>113</v>
      </c>
      <c r="D1458" t="s">
        <v>18</v>
      </c>
      <c r="E1458" s="3">
        <v>18</v>
      </c>
      <c r="F1458" t="s">
        <v>19</v>
      </c>
      <c r="G1458" t="s">
        <v>71</v>
      </c>
      <c r="H1458" t="s">
        <v>21</v>
      </c>
      <c r="I1458" s="12">
        <v>0.67013888888888884</v>
      </c>
      <c r="J1458" t="s">
        <v>72</v>
      </c>
      <c r="K1458" t="s">
        <v>21</v>
      </c>
      <c r="L1458" s="12">
        <v>0.69791666666666663</v>
      </c>
      <c r="M1458" t="s">
        <v>63</v>
      </c>
      <c r="N1458" s="3">
        <v>232</v>
      </c>
      <c r="O1458" t="s">
        <v>24</v>
      </c>
      <c r="P1458" t="s">
        <v>56</v>
      </c>
      <c r="R1458">
        <f>tblDailySchedule[[#This Row],[Capacity Approx]]*'[1]Load Factor Sheet June Acft  '!$B$5</f>
        <v>187.86727272727273</v>
      </c>
      <c r="S1458">
        <f>tblDailySchedule[[#This Row],[Capacity Approx]]*'[1]Load Factor Sheet June Acft  '!$D$5</f>
        <v>203.4218181818182</v>
      </c>
      <c r="T1458" s="22">
        <f>tblDailySchedule[[#This Row],[STD]]</f>
        <v>0.69791666666666663</v>
      </c>
    </row>
    <row r="1459" spans="1:20" hidden="1" x14ac:dyDescent="0.35">
      <c r="A1459" s="11">
        <v>46162</v>
      </c>
      <c r="B1459" s="3">
        <v>3</v>
      </c>
      <c r="C1459" t="s">
        <v>113</v>
      </c>
      <c r="D1459" t="s">
        <v>18</v>
      </c>
      <c r="E1459" s="3">
        <v>19</v>
      </c>
      <c r="F1459" t="s">
        <v>19</v>
      </c>
      <c r="G1459" t="s">
        <v>73</v>
      </c>
      <c r="H1459" t="s">
        <v>27</v>
      </c>
      <c r="I1459" s="12">
        <v>0.74652777777777779</v>
      </c>
      <c r="J1459" t="s">
        <v>74</v>
      </c>
      <c r="K1459" t="s">
        <v>27</v>
      </c>
      <c r="L1459" s="12">
        <v>0.77430555555555558</v>
      </c>
      <c r="M1459" t="s">
        <v>63</v>
      </c>
      <c r="N1459" s="3">
        <v>232</v>
      </c>
      <c r="O1459" t="s">
        <v>24</v>
      </c>
      <c r="P1459" t="s">
        <v>56</v>
      </c>
      <c r="R1459">
        <f>tblDailySchedule[[#This Row],[Capacity Approx]]*'[1]Load Factor Sheet June Acft  '!$B$5</f>
        <v>187.86727272727273</v>
      </c>
      <c r="S1459">
        <f>tblDailySchedule[[#This Row],[Capacity Approx]]*'[1]Load Factor Sheet June Acft  '!$D$5</f>
        <v>203.4218181818182</v>
      </c>
      <c r="T1459" s="22">
        <f>tblDailySchedule[[#This Row],[STD]]</f>
        <v>0.77430555555555558</v>
      </c>
    </row>
    <row r="1460" spans="1:20" hidden="1" x14ac:dyDescent="0.35">
      <c r="A1460" s="11">
        <v>46162</v>
      </c>
      <c r="B1460" s="3">
        <v>3</v>
      </c>
      <c r="C1460" t="s">
        <v>113</v>
      </c>
      <c r="D1460" t="s">
        <v>18</v>
      </c>
      <c r="E1460" s="3">
        <v>20</v>
      </c>
      <c r="F1460" t="s">
        <v>34</v>
      </c>
      <c r="G1460" t="s">
        <v>75</v>
      </c>
      <c r="H1460" t="s">
        <v>76</v>
      </c>
      <c r="I1460" s="12">
        <v>0.76388888888888884</v>
      </c>
      <c r="J1460" t="s">
        <v>77</v>
      </c>
      <c r="K1460" t="s">
        <v>78</v>
      </c>
      <c r="L1460" s="12">
        <v>0.78472222222222221</v>
      </c>
      <c r="M1460" t="s">
        <v>51</v>
      </c>
      <c r="N1460" s="3">
        <v>78</v>
      </c>
      <c r="O1460" t="s">
        <v>24</v>
      </c>
      <c r="P1460" t="s">
        <v>79</v>
      </c>
      <c r="Q1460" s="16" t="s">
        <v>80</v>
      </c>
      <c r="R1460">
        <f>tblDailySchedule[[#This Row],[Capacity Approx]]*'[1]Load Factor Sheet June Acft  '!$B$5</f>
        <v>63.162272727272729</v>
      </c>
      <c r="S1460">
        <f>tblDailySchedule[[#This Row],[Capacity Approx]]*'[1]Load Factor Sheet June Acft  '!$D$5</f>
        <v>68.391818181818181</v>
      </c>
      <c r="T1460" s="22">
        <f>tblDailySchedule[[#This Row],[STD]]</f>
        <v>0.78472222222222221</v>
      </c>
    </row>
    <row r="1461" spans="1:20" hidden="1" x14ac:dyDescent="0.35">
      <c r="A1461" s="11">
        <v>46162</v>
      </c>
      <c r="B1461" s="3">
        <v>3</v>
      </c>
      <c r="C1461" t="s">
        <v>113</v>
      </c>
      <c r="D1461" t="s">
        <v>18</v>
      </c>
      <c r="E1461" s="3">
        <v>21</v>
      </c>
      <c r="F1461" t="s">
        <v>19</v>
      </c>
      <c r="G1461" t="s">
        <v>81</v>
      </c>
      <c r="H1461" t="s">
        <v>61</v>
      </c>
      <c r="I1461" s="12">
        <v>0.77083333333333337</v>
      </c>
      <c r="J1461" t="s">
        <v>82</v>
      </c>
      <c r="K1461" t="s">
        <v>49</v>
      </c>
      <c r="L1461" s="12">
        <v>0.79166666666666663</v>
      </c>
      <c r="M1461" t="s">
        <v>33</v>
      </c>
      <c r="N1461" s="3">
        <v>189</v>
      </c>
      <c r="O1461" t="s">
        <v>24</v>
      </c>
      <c r="P1461" t="s">
        <v>79</v>
      </c>
      <c r="R1461">
        <f>tblDailySchedule[[#This Row],[Capacity Approx]]*'[1]Load Factor Sheet June Acft  '!$B$5</f>
        <v>153.04704545454547</v>
      </c>
      <c r="S1461">
        <f>tblDailySchedule[[#This Row],[Capacity Approx]]*'[1]Load Factor Sheet June Acft  '!$D$5</f>
        <v>165.71863636363636</v>
      </c>
      <c r="T1461" s="22">
        <f>tblDailySchedule[[#This Row],[STD]]</f>
        <v>0.79166666666666663</v>
      </c>
    </row>
    <row r="1462" spans="1:20" hidden="1" x14ac:dyDescent="0.35">
      <c r="A1462" s="11">
        <v>46162</v>
      </c>
      <c r="B1462" s="3">
        <v>3</v>
      </c>
      <c r="C1462" t="s">
        <v>113</v>
      </c>
      <c r="D1462" t="s">
        <v>18</v>
      </c>
      <c r="E1462" s="3">
        <v>22</v>
      </c>
      <c r="F1462" t="s">
        <v>19</v>
      </c>
      <c r="G1462" t="s">
        <v>83</v>
      </c>
      <c r="H1462" t="s">
        <v>31</v>
      </c>
      <c r="I1462" s="12">
        <v>0.77777777777777779</v>
      </c>
      <c r="J1462" t="s">
        <v>84</v>
      </c>
      <c r="K1462" t="s">
        <v>31</v>
      </c>
      <c r="L1462" s="12">
        <v>0.80555555555555558</v>
      </c>
      <c r="M1462" t="s">
        <v>63</v>
      </c>
      <c r="N1462" s="3">
        <v>232</v>
      </c>
      <c r="O1462" t="s">
        <v>24</v>
      </c>
      <c r="P1462" t="s">
        <v>79</v>
      </c>
      <c r="R1462">
        <f>tblDailySchedule[[#This Row],[Capacity Approx]]*'[1]Load Factor Sheet June Acft  '!$B$5</f>
        <v>187.86727272727273</v>
      </c>
      <c r="S1462">
        <f>tblDailySchedule[[#This Row],[Capacity Approx]]*'[1]Load Factor Sheet June Acft  '!$D$5</f>
        <v>203.4218181818182</v>
      </c>
      <c r="T1462" s="22">
        <f>tblDailySchedule[[#This Row],[STD]]</f>
        <v>0.80555555555555558</v>
      </c>
    </row>
    <row r="1463" spans="1:20" hidden="1" x14ac:dyDescent="0.35">
      <c r="A1463" s="11">
        <v>46162</v>
      </c>
      <c r="B1463" s="3">
        <v>3</v>
      </c>
      <c r="C1463" t="s">
        <v>113</v>
      </c>
      <c r="D1463" t="s">
        <v>18</v>
      </c>
      <c r="E1463" s="3">
        <v>23</v>
      </c>
      <c r="F1463" t="s">
        <v>19</v>
      </c>
      <c r="G1463" t="s">
        <v>85</v>
      </c>
      <c r="H1463" t="s">
        <v>86</v>
      </c>
      <c r="I1463" s="12">
        <v>0.79861111111111116</v>
      </c>
      <c r="J1463" t="s">
        <v>87</v>
      </c>
      <c r="K1463" t="s">
        <v>86</v>
      </c>
      <c r="L1463" s="12">
        <v>0.82638888888888884</v>
      </c>
      <c r="M1463" t="s">
        <v>63</v>
      </c>
      <c r="N1463" s="3">
        <v>232</v>
      </c>
      <c r="O1463" t="s">
        <v>24</v>
      </c>
      <c r="P1463" t="s">
        <v>79</v>
      </c>
      <c r="R1463">
        <f>tblDailySchedule[[#This Row],[Capacity Approx]]*'[1]Load Factor Sheet June Acft  '!$B$5</f>
        <v>187.86727272727273</v>
      </c>
      <c r="S1463">
        <f>tblDailySchedule[[#This Row],[Capacity Approx]]*'[1]Load Factor Sheet June Acft  '!$D$5</f>
        <v>203.4218181818182</v>
      </c>
      <c r="T1463" s="22">
        <f>tblDailySchedule[[#This Row],[STD]]</f>
        <v>0.82638888888888884</v>
      </c>
    </row>
    <row r="1464" spans="1:20" hidden="1" x14ac:dyDescent="0.35">
      <c r="A1464" s="11">
        <v>46162</v>
      </c>
      <c r="B1464" s="3">
        <v>3</v>
      </c>
      <c r="C1464" t="s">
        <v>113</v>
      </c>
      <c r="D1464" t="s">
        <v>18</v>
      </c>
      <c r="E1464" s="3">
        <v>24</v>
      </c>
      <c r="F1464" t="s">
        <v>19</v>
      </c>
      <c r="G1464" t="s">
        <v>88</v>
      </c>
      <c r="H1464" t="s">
        <v>89</v>
      </c>
      <c r="I1464" s="12">
        <v>0.83333333333333337</v>
      </c>
      <c r="J1464" t="s">
        <v>90</v>
      </c>
      <c r="K1464" t="s">
        <v>31</v>
      </c>
      <c r="L1464" s="12">
        <v>0.86111111111111116</v>
      </c>
      <c r="M1464" t="s">
        <v>63</v>
      </c>
      <c r="N1464" s="3">
        <v>232</v>
      </c>
      <c r="O1464" t="s">
        <v>24</v>
      </c>
      <c r="P1464" t="s">
        <v>79</v>
      </c>
      <c r="R1464">
        <f>tblDailySchedule[[#This Row],[Capacity Approx]]*'[1]Load Factor Sheet June Acft  '!$B$5</f>
        <v>187.86727272727273</v>
      </c>
      <c r="S1464">
        <f>tblDailySchedule[[#This Row],[Capacity Approx]]*'[1]Load Factor Sheet June Acft  '!$D$5</f>
        <v>203.4218181818182</v>
      </c>
      <c r="T1464" s="22">
        <f>tblDailySchedule[[#This Row],[STD]]</f>
        <v>0.86111111111111116</v>
      </c>
    </row>
    <row r="1465" spans="1:20" hidden="1" x14ac:dyDescent="0.35">
      <c r="A1465" s="11">
        <v>46162</v>
      </c>
      <c r="B1465" s="3">
        <v>3</v>
      </c>
      <c r="C1465" t="s">
        <v>113</v>
      </c>
      <c r="D1465" t="s">
        <v>18</v>
      </c>
      <c r="E1465" s="3">
        <v>25</v>
      </c>
      <c r="F1465" t="s">
        <v>19</v>
      </c>
      <c r="G1465" t="s">
        <v>91</v>
      </c>
      <c r="H1465" t="s">
        <v>61</v>
      </c>
      <c r="I1465" s="12">
        <v>0.85416666666666663</v>
      </c>
      <c r="J1465" t="s">
        <v>92</v>
      </c>
      <c r="K1465" t="s">
        <v>61</v>
      </c>
      <c r="L1465" s="12">
        <v>0.88194444444444442</v>
      </c>
      <c r="M1465" t="s">
        <v>63</v>
      </c>
      <c r="N1465" s="3">
        <v>232</v>
      </c>
      <c r="O1465" t="s">
        <v>24</v>
      </c>
      <c r="P1465" t="s">
        <v>79</v>
      </c>
      <c r="R1465">
        <f>tblDailySchedule[[#This Row],[Capacity Approx]]*'[1]Load Factor Sheet June Acft  '!$B$5</f>
        <v>187.86727272727273</v>
      </c>
      <c r="S1465">
        <f>tblDailySchedule[[#This Row],[Capacity Approx]]*'[1]Load Factor Sheet June Acft  '!$D$5</f>
        <v>203.4218181818182</v>
      </c>
      <c r="T1465" s="22">
        <f>tblDailySchedule[[#This Row],[STD]]</f>
        <v>0.88194444444444442</v>
      </c>
    </row>
    <row r="1466" spans="1:20" hidden="1" x14ac:dyDescent="0.35">
      <c r="A1466" s="11">
        <v>46162</v>
      </c>
      <c r="B1466" s="3">
        <v>3</v>
      </c>
      <c r="C1466" t="s">
        <v>113</v>
      </c>
      <c r="D1466" t="s">
        <v>18</v>
      </c>
      <c r="E1466" s="3">
        <v>26</v>
      </c>
      <c r="F1466" t="s">
        <v>19</v>
      </c>
      <c r="G1466" t="s">
        <v>93</v>
      </c>
      <c r="H1466" t="s">
        <v>31</v>
      </c>
      <c r="I1466" s="12">
        <v>0.86111111111111116</v>
      </c>
      <c r="J1466" t="s">
        <v>94</v>
      </c>
      <c r="K1466" t="s">
        <v>31</v>
      </c>
      <c r="L1466" s="12">
        <v>0.88888888888888884</v>
      </c>
      <c r="M1466" t="s">
        <v>23</v>
      </c>
      <c r="N1466" s="3">
        <v>186</v>
      </c>
      <c r="O1466" t="s">
        <v>24</v>
      </c>
      <c r="P1466" t="s">
        <v>79</v>
      </c>
      <c r="R1466">
        <f>tblDailySchedule[[#This Row],[Capacity Approx]]*'[1]Load Factor Sheet June Acft  '!$B$5</f>
        <v>150.61772727272728</v>
      </c>
      <c r="S1466">
        <f>tblDailySchedule[[#This Row],[Capacity Approx]]*'[1]Load Factor Sheet June Acft  '!$D$5</f>
        <v>163.08818181818182</v>
      </c>
      <c r="T1466" s="22">
        <f>tblDailySchedule[[#This Row],[STD]]</f>
        <v>0.88888888888888884</v>
      </c>
    </row>
    <row r="1467" spans="1:20" hidden="1" x14ac:dyDescent="0.35">
      <c r="A1467" s="11">
        <v>46162</v>
      </c>
      <c r="B1467" s="3">
        <v>3</v>
      </c>
      <c r="C1467" t="s">
        <v>113</v>
      </c>
      <c r="D1467" t="s">
        <v>18</v>
      </c>
      <c r="E1467" s="3">
        <v>27</v>
      </c>
      <c r="F1467" t="s">
        <v>19</v>
      </c>
      <c r="G1467" t="s">
        <v>95</v>
      </c>
      <c r="H1467" t="s">
        <v>21</v>
      </c>
      <c r="I1467" s="12">
        <v>0.86805555555555558</v>
      </c>
      <c r="J1467" t="s">
        <v>96</v>
      </c>
      <c r="K1467" t="s">
        <v>21</v>
      </c>
      <c r="L1467" s="12">
        <v>0.89583333333333337</v>
      </c>
      <c r="M1467" t="s">
        <v>29</v>
      </c>
      <c r="N1467" s="3">
        <v>186</v>
      </c>
      <c r="O1467" t="s">
        <v>24</v>
      </c>
      <c r="P1467" t="s">
        <v>79</v>
      </c>
      <c r="R1467">
        <f>tblDailySchedule[[#This Row],[Capacity Approx]]*'[1]Load Factor Sheet June Acft  '!$B$5</f>
        <v>150.61772727272728</v>
      </c>
      <c r="S1467">
        <f>tblDailySchedule[[#This Row],[Capacity Approx]]*'[1]Load Factor Sheet June Acft  '!$D$5</f>
        <v>163.08818181818182</v>
      </c>
      <c r="T1467" s="22">
        <f>tblDailySchedule[[#This Row],[STD]]</f>
        <v>0.89583333333333337</v>
      </c>
    </row>
    <row r="1468" spans="1:20" hidden="1" x14ac:dyDescent="0.35">
      <c r="A1468" s="11">
        <v>46162</v>
      </c>
      <c r="B1468" s="3">
        <v>3</v>
      </c>
      <c r="C1468" t="s">
        <v>113</v>
      </c>
      <c r="D1468" t="s">
        <v>18</v>
      </c>
      <c r="E1468" s="3">
        <v>28</v>
      </c>
      <c r="F1468" t="s">
        <v>19</v>
      </c>
      <c r="G1468" t="s">
        <v>97</v>
      </c>
      <c r="H1468" t="s">
        <v>49</v>
      </c>
      <c r="I1468" s="12">
        <v>0.90277777777777779</v>
      </c>
      <c r="J1468" t="s">
        <v>97</v>
      </c>
      <c r="K1468" t="s">
        <v>61</v>
      </c>
      <c r="L1468" s="12">
        <v>0.92361111111111116</v>
      </c>
      <c r="M1468" t="s">
        <v>33</v>
      </c>
      <c r="N1468" s="3">
        <v>189</v>
      </c>
      <c r="O1468" t="s">
        <v>24</v>
      </c>
      <c r="P1468" t="s">
        <v>79</v>
      </c>
      <c r="R1468">
        <f>tblDailySchedule[[#This Row],[Capacity Approx]]*'[1]Load Factor Sheet June Acft  '!$B$5</f>
        <v>153.04704545454547</v>
      </c>
      <c r="S1468">
        <f>tblDailySchedule[[#This Row],[Capacity Approx]]*'[1]Load Factor Sheet June Acft  '!$D$5</f>
        <v>165.71863636363636</v>
      </c>
      <c r="T1468" s="22">
        <f>tblDailySchedule[[#This Row],[STD]]</f>
        <v>0.92361111111111116</v>
      </c>
    </row>
    <row r="1469" spans="1:20" hidden="1" x14ac:dyDescent="0.35">
      <c r="A1469" s="11">
        <v>46162</v>
      </c>
      <c r="B1469" s="3">
        <v>3</v>
      </c>
      <c r="C1469" t="s">
        <v>113</v>
      </c>
      <c r="D1469" t="s">
        <v>18</v>
      </c>
      <c r="E1469" s="3">
        <v>29</v>
      </c>
      <c r="F1469" t="s">
        <v>19</v>
      </c>
      <c r="G1469" t="s">
        <v>98</v>
      </c>
      <c r="H1469" t="s">
        <v>21</v>
      </c>
      <c r="I1469" s="12">
        <v>0.92013888888888884</v>
      </c>
      <c r="J1469" t="s">
        <v>99</v>
      </c>
      <c r="K1469" t="s">
        <v>21</v>
      </c>
      <c r="L1469" s="12">
        <v>0.94791666666666663</v>
      </c>
      <c r="M1469" t="s">
        <v>63</v>
      </c>
      <c r="N1469" s="3">
        <v>232</v>
      </c>
      <c r="O1469" t="s">
        <v>24</v>
      </c>
      <c r="P1469" t="s">
        <v>79</v>
      </c>
      <c r="R1469">
        <f>tblDailySchedule[[#This Row],[Capacity Approx]]*'[1]Load Factor Sheet June Acft  '!$B$5</f>
        <v>187.86727272727273</v>
      </c>
      <c r="S1469">
        <f>tblDailySchedule[[#This Row],[Capacity Approx]]*'[1]Load Factor Sheet June Acft  '!$D$5</f>
        <v>203.4218181818182</v>
      </c>
      <c r="T1469" s="22">
        <f>tblDailySchedule[[#This Row],[STD]]</f>
        <v>0.94791666666666663</v>
      </c>
    </row>
    <row r="1470" spans="1:20" hidden="1" x14ac:dyDescent="0.35">
      <c r="A1470" s="13">
        <v>46162</v>
      </c>
      <c r="B1470" s="7">
        <v>3</v>
      </c>
      <c r="C1470" s="14" t="s">
        <v>113</v>
      </c>
      <c r="D1470" s="14" t="s">
        <v>18</v>
      </c>
      <c r="E1470" s="7">
        <v>30</v>
      </c>
      <c r="F1470" s="14" t="s">
        <v>104</v>
      </c>
      <c r="G1470" s="14" t="s">
        <v>105</v>
      </c>
      <c r="H1470" s="14" t="s">
        <v>106</v>
      </c>
      <c r="I1470" s="15">
        <v>0.92708333333333337</v>
      </c>
      <c r="J1470" s="14" t="s">
        <v>107</v>
      </c>
      <c r="K1470" s="14" t="s">
        <v>106</v>
      </c>
      <c r="L1470" s="15">
        <v>0.95833333333333337</v>
      </c>
      <c r="M1470" s="14" t="s">
        <v>38</v>
      </c>
      <c r="N1470" s="7">
        <v>186</v>
      </c>
      <c r="O1470" s="14" t="s">
        <v>39</v>
      </c>
      <c r="P1470" s="14" t="s">
        <v>79</v>
      </c>
      <c r="Q1470" s="14" t="s">
        <v>39</v>
      </c>
      <c r="R1470">
        <f>tblDailySchedule[[#This Row],[Capacity Approx]]*'[1]Load Factor Sheet June Acft  '!$B$5</f>
        <v>150.61772727272728</v>
      </c>
      <c r="S1470">
        <f>tblDailySchedule[[#This Row],[Capacity Approx]]*'[1]Load Factor Sheet June Acft  '!$D$5</f>
        <v>163.08818181818182</v>
      </c>
      <c r="T1470" s="22">
        <f>tblDailySchedule[[#This Row],[STD]]</f>
        <v>0.95833333333333337</v>
      </c>
    </row>
    <row r="1471" spans="1:20" hidden="1" x14ac:dyDescent="0.35">
      <c r="A1471" s="11">
        <v>46163</v>
      </c>
      <c r="B1471" s="3">
        <v>4</v>
      </c>
      <c r="C1471" t="s">
        <v>114</v>
      </c>
      <c r="D1471" t="s">
        <v>18</v>
      </c>
      <c r="E1471" s="3">
        <v>1</v>
      </c>
      <c r="F1471" t="s">
        <v>101</v>
      </c>
      <c r="G1471" t="s">
        <v>102</v>
      </c>
      <c r="H1471" t="s">
        <v>61</v>
      </c>
      <c r="I1471" s="12">
        <v>0.3125</v>
      </c>
      <c r="J1471" t="s">
        <v>103</v>
      </c>
      <c r="K1471" t="s">
        <v>61</v>
      </c>
      <c r="L1471" s="12">
        <v>0.33333333333333331</v>
      </c>
      <c r="M1471" t="s">
        <v>33</v>
      </c>
      <c r="N1471" s="3">
        <v>189</v>
      </c>
      <c r="O1471" t="s">
        <v>24</v>
      </c>
      <c r="P1471" t="s">
        <v>25</v>
      </c>
      <c r="R1471">
        <f>tblDailySchedule[[#This Row],[Capacity Approx]]*'[1]Load Factor Sheet June Acft  '!$B$5</f>
        <v>153.04704545454547</v>
      </c>
      <c r="S1471">
        <f>tblDailySchedule[[#This Row],[Capacity Approx]]*'[1]Load Factor Sheet June Acft  '!$D$5</f>
        <v>165.71863636363636</v>
      </c>
      <c r="T1471" s="22">
        <f>tblDailySchedule[[#This Row],[STD]]</f>
        <v>0.33333333333333331</v>
      </c>
    </row>
    <row r="1472" spans="1:20" hidden="1" x14ac:dyDescent="0.35">
      <c r="A1472" s="11">
        <v>46163</v>
      </c>
      <c r="B1472" s="3">
        <v>4</v>
      </c>
      <c r="C1472" t="s">
        <v>114</v>
      </c>
      <c r="D1472" t="s">
        <v>18</v>
      </c>
      <c r="E1472" s="3">
        <v>2</v>
      </c>
      <c r="F1472" t="s">
        <v>19</v>
      </c>
      <c r="G1472" t="s">
        <v>20</v>
      </c>
      <c r="H1472" t="s">
        <v>21</v>
      </c>
      <c r="I1472" s="12">
        <v>0.31944444444444442</v>
      </c>
      <c r="J1472" t="s">
        <v>22</v>
      </c>
      <c r="K1472" t="s">
        <v>21</v>
      </c>
      <c r="L1472" s="12">
        <v>0.34722222222222221</v>
      </c>
      <c r="M1472" t="s">
        <v>23</v>
      </c>
      <c r="N1472" s="3">
        <v>186</v>
      </c>
      <c r="O1472" t="s">
        <v>24</v>
      </c>
      <c r="P1472" t="s">
        <v>25</v>
      </c>
      <c r="R1472">
        <f>tblDailySchedule[[#This Row],[Capacity Approx]]*'[1]Load Factor Sheet June Acft  '!$B$5</f>
        <v>150.61772727272728</v>
      </c>
      <c r="S1472">
        <f>tblDailySchedule[[#This Row],[Capacity Approx]]*'[1]Load Factor Sheet June Acft  '!$D$5</f>
        <v>163.08818181818182</v>
      </c>
      <c r="T1472" s="22">
        <f>tblDailySchedule[[#This Row],[STD]]</f>
        <v>0.34722222222222221</v>
      </c>
    </row>
    <row r="1473" spans="1:20" hidden="1" x14ac:dyDescent="0.35">
      <c r="A1473" s="11">
        <v>46163</v>
      </c>
      <c r="B1473" s="3">
        <v>4</v>
      </c>
      <c r="C1473" t="s">
        <v>114</v>
      </c>
      <c r="D1473" t="s">
        <v>18</v>
      </c>
      <c r="E1473" s="3">
        <v>3</v>
      </c>
      <c r="F1473" t="s">
        <v>19</v>
      </c>
      <c r="G1473" t="s">
        <v>26</v>
      </c>
      <c r="H1473" t="s">
        <v>27</v>
      </c>
      <c r="I1473" s="12">
        <v>0.3263888888888889</v>
      </c>
      <c r="J1473" t="s">
        <v>28</v>
      </c>
      <c r="K1473" t="s">
        <v>27</v>
      </c>
      <c r="L1473" s="12">
        <v>0.35416666666666669</v>
      </c>
      <c r="M1473" t="s">
        <v>29</v>
      </c>
      <c r="N1473" s="3">
        <v>186</v>
      </c>
      <c r="O1473" t="s">
        <v>24</v>
      </c>
      <c r="P1473" t="s">
        <v>25</v>
      </c>
      <c r="R1473">
        <f>tblDailySchedule[[#This Row],[Capacity Approx]]*'[1]Load Factor Sheet June Acft  '!$B$5</f>
        <v>150.61772727272728</v>
      </c>
      <c r="S1473">
        <f>tblDailySchedule[[#This Row],[Capacity Approx]]*'[1]Load Factor Sheet June Acft  '!$D$5</f>
        <v>163.08818181818182</v>
      </c>
      <c r="T1473" s="22">
        <f>tblDailySchedule[[#This Row],[STD]]</f>
        <v>0.35416666666666669</v>
      </c>
    </row>
    <row r="1474" spans="1:20" hidden="1" x14ac:dyDescent="0.35">
      <c r="A1474" s="11">
        <v>46163</v>
      </c>
      <c r="B1474" s="3">
        <v>4</v>
      </c>
      <c r="C1474" t="s">
        <v>114</v>
      </c>
      <c r="D1474" t="s">
        <v>18</v>
      </c>
      <c r="E1474" s="3">
        <v>4</v>
      </c>
      <c r="F1474" t="s">
        <v>19</v>
      </c>
      <c r="G1474" t="s">
        <v>30</v>
      </c>
      <c r="H1474" t="s">
        <v>31</v>
      </c>
      <c r="I1474" s="12">
        <v>0.34722222222222221</v>
      </c>
      <c r="J1474" t="s">
        <v>32</v>
      </c>
      <c r="K1474" t="s">
        <v>31</v>
      </c>
      <c r="L1474" s="12">
        <v>0.36805555555555558</v>
      </c>
      <c r="M1474" t="s">
        <v>33</v>
      </c>
      <c r="N1474" s="3">
        <v>189</v>
      </c>
      <c r="O1474" t="s">
        <v>24</v>
      </c>
      <c r="P1474" t="s">
        <v>25</v>
      </c>
      <c r="R1474">
        <f>tblDailySchedule[[#This Row],[Capacity Approx]]*'[1]Load Factor Sheet June Acft  '!$B$5</f>
        <v>153.04704545454547</v>
      </c>
      <c r="S1474">
        <f>tblDailySchedule[[#This Row],[Capacity Approx]]*'[1]Load Factor Sheet June Acft  '!$D$5</f>
        <v>165.71863636363636</v>
      </c>
      <c r="T1474" s="22">
        <f>tblDailySchedule[[#This Row],[STD]]</f>
        <v>0.36805555555555558</v>
      </c>
    </row>
    <row r="1475" spans="1:20" hidden="1" x14ac:dyDescent="0.35">
      <c r="A1475" s="11">
        <v>46163</v>
      </c>
      <c r="B1475" s="3">
        <v>4</v>
      </c>
      <c r="C1475" t="s">
        <v>114</v>
      </c>
      <c r="D1475" t="s">
        <v>18</v>
      </c>
      <c r="E1475" s="3">
        <v>5</v>
      </c>
      <c r="F1475" t="s">
        <v>19</v>
      </c>
      <c r="G1475" t="s">
        <v>40</v>
      </c>
      <c r="H1475" t="s">
        <v>31</v>
      </c>
      <c r="I1475" s="12">
        <v>0.35069444444444442</v>
      </c>
      <c r="J1475" t="s">
        <v>41</v>
      </c>
      <c r="K1475" t="s">
        <v>31</v>
      </c>
      <c r="L1475" s="12">
        <v>0.37152777777777779</v>
      </c>
      <c r="M1475" t="s">
        <v>23</v>
      </c>
      <c r="N1475" s="3">
        <v>186</v>
      </c>
      <c r="O1475" t="s">
        <v>24</v>
      </c>
      <c r="P1475" t="s">
        <v>25</v>
      </c>
      <c r="R1475">
        <f>tblDailySchedule[[#This Row],[Capacity Approx]]*'[1]Load Factor Sheet June Acft  '!$B$5</f>
        <v>150.61772727272728</v>
      </c>
      <c r="S1475">
        <f>tblDailySchedule[[#This Row],[Capacity Approx]]*'[1]Load Factor Sheet June Acft  '!$D$5</f>
        <v>163.08818181818182</v>
      </c>
      <c r="T1475" s="22">
        <f>tblDailySchedule[[#This Row],[STD]]</f>
        <v>0.37152777777777779</v>
      </c>
    </row>
    <row r="1476" spans="1:20" hidden="1" x14ac:dyDescent="0.35">
      <c r="A1476" s="11">
        <v>46163</v>
      </c>
      <c r="B1476" s="3">
        <v>4</v>
      </c>
      <c r="C1476" t="s">
        <v>114</v>
      </c>
      <c r="D1476" t="s">
        <v>18</v>
      </c>
      <c r="E1476" s="3">
        <v>7</v>
      </c>
      <c r="F1476" t="s">
        <v>19</v>
      </c>
      <c r="G1476" t="s">
        <v>42</v>
      </c>
      <c r="H1476" t="s">
        <v>43</v>
      </c>
      <c r="I1476" s="12">
        <v>0.3923611111111111</v>
      </c>
      <c r="J1476" t="s">
        <v>44</v>
      </c>
      <c r="K1476" t="s">
        <v>43</v>
      </c>
      <c r="L1476" s="12">
        <v>0.40277777777777779</v>
      </c>
      <c r="M1476" t="s">
        <v>45</v>
      </c>
      <c r="N1476" s="3">
        <v>9</v>
      </c>
      <c r="O1476" t="s">
        <v>24</v>
      </c>
      <c r="P1476" t="s">
        <v>25</v>
      </c>
      <c r="R1476">
        <f>tblDailySchedule[[#This Row],[Capacity Approx]]*'[1]Load Factor Sheet June Acft  '!$B$5</f>
        <v>7.2879545454545456</v>
      </c>
      <c r="S1476">
        <f>tblDailySchedule[[#This Row],[Capacity Approx]]*'[1]Load Factor Sheet June Acft  '!$D$5</f>
        <v>7.8913636363636366</v>
      </c>
      <c r="T1476" s="22">
        <f>tblDailySchedule[[#This Row],[STD]]</f>
        <v>0.40277777777777779</v>
      </c>
    </row>
    <row r="1477" spans="1:20" hidden="1" x14ac:dyDescent="0.35">
      <c r="A1477" s="11">
        <v>46163</v>
      </c>
      <c r="B1477" s="3">
        <v>4</v>
      </c>
      <c r="C1477" t="s">
        <v>114</v>
      </c>
      <c r="D1477" t="s">
        <v>18</v>
      </c>
      <c r="E1477" s="3">
        <v>8</v>
      </c>
      <c r="F1477" t="s">
        <v>19</v>
      </c>
      <c r="G1477" t="s">
        <v>46</v>
      </c>
      <c r="H1477" t="s">
        <v>31</v>
      </c>
      <c r="I1477" s="12">
        <v>0.4201388888888889</v>
      </c>
      <c r="J1477" t="s">
        <v>47</v>
      </c>
      <c r="K1477" t="s">
        <v>31</v>
      </c>
      <c r="L1477" s="12">
        <v>0.44444444444444442</v>
      </c>
      <c r="M1477" t="s">
        <v>29</v>
      </c>
      <c r="N1477" s="3">
        <v>186</v>
      </c>
      <c r="O1477" t="s">
        <v>24</v>
      </c>
      <c r="P1477" t="s">
        <v>25</v>
      </c>
      <c r="R1477">
        <f>tblDailySchedule[[#This Row],[Capacity Approx]]*'[1]Load Factor Sheet June Acft  '!$B$5</f>
        <v>150.61772727272728</v>
      </c>
      <c r="S1477">
        <f>tblDailySchedule[[#This Row],[Capacity Approx]]*'[1]Load Factor Sheet June Acft  '!$D$5</f>
        <v>163.08818181818182</v>
      </c>
      <c r="T1477" s="22">
        <f>tblDailySchedule[[#This Row],[STD]]</f>
        <v>0.44444444444444442</v>
      </c>
    </row>
    <row r="1478" spans="1:20" hidden="1" x14ac:dyDescent="0.35">
      <c r="A1478" s="11">
        <v>46163</v>
      </c>
      <c r="B1478" s="3">
        <v>4</v>
      </c>
      <c r="C1478" t="s">
        <v>114</v>
      </c>
      <c r="D1478" t="s">
        <v>18</v>
      </c>
      <c r="E1478" s="3">
        <v>9</v>
      </c>
      <c r="F1478" t="s">
        <v>19</v>
      </c>
      <c r="G1478" t="s">
        <v>48</v>
      </c>
      <c r="H1478" t="s">
        <v>49</v>
      </c>
      <c r="I1478" s="12">
        <v>0.4375</v>
      </c>
      <c r="J1478" t="s">
        <v>50</v>
      </c>
      <c r="K1478" t="s">
        <v>49</v>
      </c>
      <c r="L1478" s="12">
        <v>0.45833333333333331</v>
      </c>
      <c r="M1478" t="s">
        <v>51</v>
      </c>
      <c r="N1478" s="3">
        <v>78</v>
      </c>
      <c r="O1478" t="s">
        <v>24</v>
      </c>
      <c r="P1478" t="s">
        <v>25</v>
      </c>
      <c r="R1478">
        <f>tblDailySchedule[[#This Row],[Capacity Approx]]*'[1]Load Factor Sheet June Acft  '!$B$5</f>
        <v>63.162272727272729</v>
      </c>
      <c r="S1478">
        <f>tblDailySchedule[[#This Row],[Capacity Approx]]*'[1]Load Factor Sheet June Acft  '!$D$5</f>
        <v>68.391818181818181</v>
      </c>
      <c r="T1478" s="22">
        <f>tblDailySchedule[[#This Row],[STD]]</f>
        <v>0.45833333333333331</v>
      </c>
    </row>
    <row r="1479" spans="1:20" hidden="1" x14ac:dyDescent="0.35">
      <c r="A1479" s="11">
        <v>46163</v>
      </c>
      <c r="B1479" s="3">
        <v>4</v>
      </c>
      <c r="C1479" t="s">
        <v>114</v>
      </c>
      <c r="D1479" t="s">
        <v>18</v>
      </c>
      <c r="E1479" s="3">
        <v>10</v>
      </c>
      <c r="F1479" t="s">
        <v>19</v>
      </c>
      <c r="G1479" t="s">
        <v>52</v>
      </c>
      <c r="H1479" t="s">
        <v>27</v>
      </c>
      <c r="I1479" s="12">
        <v>0.4826388888888889</v>
      </c>
      <c r="J1479" t="s">
        <v>53</v>
      </c>
      <c r="K1479" t="s">
        <v>27</v>
      </c>
      <c r="L1479" s="12">
        <v>0.51041666666666663</v>
      </c>
      <c r="M1479" t="s">
        <v>23</v>
      </c>
      <c r="N1479" s="3">
        <v>186</v>
      </c>
      <c r="O1479" t="s">
        <v>24</v>
      </c>
      <c r="P1479" t="s">
        <v>25</v>
      </c>
      <c r="R1479">
        <f>tblDailySchedule[[#This Row],[Capacity Approx]]*'[1]Load Factor Sheet June Acft  '!$B$5</f>
        <v>150.61772727272728</v>
      </c>
      <c r="S1479">
        <f>tblDailySchedule[[#This Row],[Capacity Approx]]*'[1]Load Factor Sheet June Acft  '!$D$5</f>
        <v>163.08818181818182</v>
      </c>
      <c r="T1479" s="22">
        <f>tblDailySchedule[[#This Row],[STD]]</f>
        <v>0.51041666666666663</v>
      </c>
    </row>
    <row r="1480" spans="1:20" hidden="1" x14ac:dyDescent="0.35">
      <c r="A1480" s="11">
        <v>46163</v>
      </c>
      <c r="B1480" s="3">
        <v>4</v>
      </c>
      <c r="C1480" t="s">
        <v>114</v>
      </c>
      <c r="D1480" t="s">
        <v>18</v>
      </c>
      <c r="E1480" s="3">
        <v>11</v>
      </c>
      <c r="F1480" t="s">
        <v>19</v>
      </c>
      <c r="G1480" t="s">
        <v>54</v>
      </c>
      <c r="H1480" t="s">
        <v>31</v>
      </c>
      <c r="I1480" s="12">
        <v>0.51388888888888884</v>
      </c>
      <c r="J1480" t="s">
        <v>55</v>
      </c>
      <c r="K1480" t="s">
        <v>31</v>
      </c>
      <c r="L1480" s="12">
        <v>0.54166666666666663</v>
      </c>
      <c r="M1480" t="s">
        <v>23</v>
      </c>
      <c r="N1480" s="3">
        <v>186</v>
      </c>
      <c r="O1480" t="s">
        <v>24</v>
      </c>
      <c r="P1480" t="s">
        <v>56</v>
      </c>
      <c r="R1480">
        <f>tblDailySchedule[[#This Row],[Capacity Approx]]*'[1]Load Factor Sheet June Acft  '!$B$5</f>
        <v>150.61772727272728</v>
      </c>
      <c r="S1480">
        <f>tblDailySchedule[[#This Row],[Capacity Approx]]*'[1]Load Factor Sheet June Acft  '!$D$5</f>
        <v>163.08818181818182</v>
      </c>
      <c r="T1480" s="22">
        <f>tblDailySchedule[[#This Row],[STD]]</f>
        <v>0.54166666666666663</v>
      </c>
    </row>
    <row r="1481" spans="1:20" hidden="1" x14ac:dyDescent="0.35">
      <c r="A1481" s="11">
        <v>46163</v>
      </c>
      <c r="B1481" s="3">
        <v>4</v>
      </c>
      <c r="C1481" t="s">
        <v>114</v>
      </c>
      <c r="D1481" t="s">
        <v>18</v>
      </c>
      <c r="E1481" s="3">
        <v>12</v>
      </c>
      <c r="F1481" t="s">
        <v>109</v>
      </c>
      <c r="G1481" t="s">
        <v>110</v>
      </c>
      <c r="H1481" t="s">
        <v>111</v>
      </c>
      <c r="I1481" s="12">
        <v>0.55555555555555558</v>
      </c>
      <c r="J1481" t="s">
        <v>112</v>
      </c>
      <c r="K1481" t="s">
        <v>111</v>
      </c>
      <c r="L1481" s="12">
        <v>0.56944444444444442</v>
      </c>
      <c r="M1481" t="s">
        <v>51</v>
      </c>
      <c r="N1481" s="3">
        <v>78</v>
      </c>
      <c r="O1481" t="s">
        <v>24</v>
      </c>
      <c r="P1481" t="s">
        <v>56</v>
      </c>
      <c r="R1481">
        <f>tblDailySchedule[[#This Row],[Capacity Approx]]*'[1]Load Factor Sheet June Acft  '!$B$5</f>
        <v>63.162272727272729</v>
      </c>
      <c r="S1481">
        <f>tblDailySchedule[[#This Row],[Capacity Approx]]*'[1]Load Factor Sheet June Acft  '!$D$5</f>
        <v>68.391818181818181</v>
      </c>
      <c r="T1481" s="22">
        <f>tblDailySchedule[[#This Row],[STD]]</f>
        <v>0.56944444444444442</v>
      </c>
    </row>
    <row r="1482" spans="1:20" hidden="1" x14ac:dyDescent="0.35">
      <c r="A1482" s="11">
        <v>46163</v>
      </c>
      <c r="B1482" s="3">
        <v>4</v>
      </c>
      <c r="C1482" t="s">
        <v>114</v>
      </c>
      <c r="D1482" t="s">
        <v>18</v>
      </c>
      <c r="E1482" s="3">
        <v>13</v>
      </c>
      <c r="F1482" t="s">
        <v>19</v>
      </c>
      <c r="G1482" t="s">
        <v>57</v>
      </c>
      <c r="H1482" t="s">
        <v>58</v>
      </c>
      <c r="I1482" s="12">
        <v>0.55902777777777779</v>
      </c>
      <c r="J1482" t="s">
        <v>59</v>
      </c>
      <c r="K1482" t="s">
        <v>58</v>
      </c>
      <c r="L1482" s="12">
        <v>0.57638888888888884</v>
      </c>
      <c r="M1482" t="s">
        <v>51</v>
      </c>
      <c r="N1482" s="3">
        <v>78</v>
      </c>
      <c r="O1482" t="s">
        <v>24</v>
      </c>
      <c r="P1482" t="s">
        <v>56</v>
      </c>
      <c r="R1482">
        <f>tblDailySchedule[[#This Row],[Capacity Approx]]*'[1]Load Factor Sheet June Acft  '!$B$5</f>
        <v>63.162272727272729</v>
      </c>
      <c r="S1482">
        <f>tblDailySchedule[[#This Row],[Capacity Approx]]*'[1]Load Factor Sheet June Acft  '!$D$5</f>
        <v>68.391818181818181</v>
      </c>
      <c r="T1482" s="22">
        <f>tblDailySchedule[[#This Row],[STD]]</f>
        <v>0.57638888888888884</v>
      </c>
    </row>
    <row r="1483" spans="1:20" hidden="1" x14ac:dyDescent="0.35">
      <c r="A1483" s="11">
        <v>46163</v>
      </c>
      <c r="B1483" s="3">
        <v>4</v>
      </c>
      <c r="C1483" t="s">
        <v>114</v>
      </c>
      <c r="D1483" t="s">
        <v>18</v>
      </c>
      <c r="E1483" s="3">
        <v>14</v>
      </c>
      <c r="F1483" t="s">
        <v>19</v>
      </c>
      <c r="G1483" t="s">
        <v>60</v>
      </c>
      <c r="H1483" t="s">
        <v>61</v>
      </c>
      <c r="I1483" s="12">
        <v>0.59027777777777779</v>
      </c>
      <c r="J1483" t="s">
        <v>62</v>
      </c>
      <c r="K1483" t="s">
        <v>61</v>
      </c>
      <c r="L1483" s="12">
        <v>0.62152777777777779</v>
      </c>
      <c r="M1483" t="s">
        <v>63</v>
      </c>
      <c r="N1483" s="3">
        <v>232</v>
      </c>
      <c r="O1483" t="s">
        <v>24</v>
      </c>
      <c r="P1483" t="s">
        <v>56</v>
      </c>
      <c r="R1483">
        <f>tblDailySchedule[[#This Row],[Capacity Approx]]*'[1]Load Factor Sheet June Acft  '!$B$5</f>
        <v>187.86727272727273</v>
      </c>
      <c r="S1483">
        <f>tblDailySchedule[[#This Row],[Capacity Approx]]*'[1]Load Factor Sheet June Acft  '!$D$5</f>
        <v>203.4218181818182</v>
      </c>
      <c r="T1483" s="22">
        <f>tblDailySchedule[[#This Row],[STD]]</f>
        <v>0.62152777777777779</v>
      </c>
    </row>
    <row r="1484" spans="1:20" hidden="1" x14ac:dyDescent="0.35">
      <c r="A1484" s="11">
        <v>46163</v>
      </c>
      <c r="B1484" s="3">
        <v>4</v>
      </c>
      <c r="C1484" t="s">
        <v>114</v>
      </c>
      <c r="D1484" t="s">
        <v>18</v>
      </c>
      <c r="E1484" s="3">
        <v>15</v>
      </c>
      <c r="F1484" t="s">
        <v>19</v>
      </c>
      <c r="G1484" t="s">
        <v>64</v>
      </c>
      <c r="H1484" t="s">
        <v>31</v>
      </c>
      <c r="I1484" s="12">
        <v>0.60069444444444442</v>
      </c>
      <c r="J1484" t="s">
        <v>65</v>
      </c>
      <c r="K1484" t="s">
        <v>66</v>
      </c>
      <c r="L1484" s="12">
        <v>0.62847222222222221</v>
      </c>
      <c r="M1484" t="s">
        <v>63</v>
      </c>
      <c r="N1484" s="3">
        <v>232</v>
      </c>
      <c r="O1484" t="s">
        <v>24</v>
      </c>
      <c r="P1484" t="s">
        <v>56</v>
      </c>
      <c r="R1484">
        <f>tblDailySchedule[[#This Row],[Capacity Approx]]*'[1]Load Factor Sheet June Acft  '!$B$5</f>
        <v>187.86727272727273</v>
      </c>
      <c r="S1484">
        <f>tblDailySchedule[[#This Row],[Capacity Approx]]*'[1]Load Factor Sheet June Acft  '!$D$5</f>
        <v>203.4218181818182</v>
      </c>
      <c r="T1484" s="22">
        <f>tblDailySchedule[[#This Row],[STD]]</f>
        <v>0.62847222222222221</v>
      </c>
    </row>
    <row r="1485" spans="1:20" hidden="1" x14ac:dyDescent="0.35">
      <c r="A1485" s="11">
        <v>46163</v>
      </c>
      <c r="B1485" s="3">
        <v>4</v>
      </c>
      <c r="C1485" t="s">
        <v>114</v>
      </c>
      <c r="D1485" t="s">
        <v>18</v>
      </c>
      <c r="E1485" s="3">
        <v>16</v>
      </c>
      <c r="F1485" t="s">
        <v>19</v>
      </c>
      <c r="G1485" t="s">
        <v>67</v>
      </c>
      <c r="H1485" t="s">
        <v>31</v>
      </c>
      <c r="I1485" s="12">
        <v>0.65625</v>
      </c>
      <c r="J1485" t="s">
        <v>68</v>
      </c>
      <c r="K1485" t="s">
        <v>31</v>
      </c>
      <c r="L1485" s="12">
        <v>0.68402777777777779</v>
      </c>
      <c r="M1485" t="s">
        <v>63</v>
      </c>
      <c r="N1485" s="3">
        <v>232</v>
      </c>
      <c r="O1485" t="s">
        <v>24</v>
      </c>
      <c r="P1485" t="s">
        <v>56</v>
      </c>
      <c r="R1485">
        <f>tblDailySchedule[[#This Row],[Capacity Approx]]*'[1]Load Factor Sheet June Acft  '!$B$5</f>
        <v>187.86727272727273</v>
      </c>
      <c r="S1485">
        <f>tblDailySchedule[[#This Row],[Capacity Approx]]*'[1]Load Factor Sheet June Acft  '!$D$5</f>
        <v>203.4218181818182</v>
      </c>
      <c r="T1485" s="22">
        <f>tblDailySchedule[[#This Row],[STD]]</f>
        <v>0.68402777777777779</v>
      </c>
    </row>
    <row r="1486" spans="1:20" hidden="1" x14ac:dyDescent="0.35">
      <c r="A1486" s="11">
        <v>46163</v>
      </c>
      <c r="B1486" s="3">
        <v>4</v>
      </c>
      <c r="C1486" t="s">
        <v>114</v>
      </c>
      <c r="D1486" t="s">
        <v>18</v>
      </c>
      <c r="E1486" s="3">
        <v>17</v>
      </c>
      <c r="F1486" t="s">
        <v>19</v>
      </c>
      <c r="G1486" t="s">
        <v>69</v>
      </c>
      <c r="H1486" t="s">
        <v>31</v>
      </c>
      <c r="I1486" s="12">
        <v>0.66319444444444442</v>
      </c>
      <c r="J1486" t="s">
        <v>70</v>
      </c>
      <c r="K1486" t="s">
        <v>31</v>
      </c>
      <c r="L1486" s="12">
        <v>0.69097222222222221</v>
      </c>
      <c r="M1486" t="s">
        <v>33</v>
      </c>
      <c r="N1486" s="3">
        <v>189</v>
      </c>
      <c r="O1486" t="s">
        <v>24</v>
      </c>
      <c r="P1486" t="s">
        <v>56</v>
      </c>
      <c r="R1486">
        <f>tblDailySchedule[[#This Row],[Capacity Approx]]*'[1]Load Factor Sheet June Acft  '!$B$5</f>
        <v>153.04704545454547</v>
      </c>
      <c r="S1486">
        <f>tblDailySchedule[[#This Row],[Capacity Approx]]*'[1]Load Factor Sheet June Acft  '!$D$5</f>
        <v>165.71863636363636</v>
      </c>
      <c r="T1486" s="22">
        <f>tblDailySchedule[[#This Row],[STD]]</f>
        <v>0.69097222222222221</v>
      </c>
    </row>
    <row r="1487" spans="1:20" hidden="1" x14ac:dyDescent="0.35">
      <c r="A1487" s="11">
        <v>46163</v>
      </c>
      <c r="B1487" s="3">
        <v>4</v>
      </c>
      <c r="C1487" t="s">
        <v>114</v>
      </c>
      <c r="D1487" t="s">
        <v>18</v>
      </c>
      <c r="E1487" s="3">
        <v>18</v>
      </c>
      <c r="F1487" t="s">
        <v>19</v>
      </c>
      <c r="G1487" t="s">
        <v>71</v>
      </c>
      <c r="H1487" t="s">
        <v>21</v>
      </c>
      <c r="I1487" s="12">
        <v>0.67013888888888884</v>
      </c>
      <c r="J1487" t="s">
        <v>72</v>
      </c>
      <c r="K1487" t="s">
        <v>21</v>
      </c>
      <c r="L1487" s="12">
        <v>0.69791666666666663</v>
      </c>
      <c r="M1487" t="s">
        <v>63</v>
      </c>
      <c r="N1487" s="3">
        <v>232</v>
      </c>
      <c r="O1487" t="s">
        <v>24</v>
      </c>
      <c r="P1487" t="s">
        <v>56</v>
      </c>
      <c r="R1487">
        <f>tblDailySchedule[[#This Row],[Capacity Approx]]*'[1]Load Factor Sheet June Acft  '!$B$5</f>
        <v>187.86727272727273</v>
      </c>
      <c r="S1487">
        <f>tblDailySchedule[[#This Row],[Capacity Approx]]*'[1]Load Factor Sheet June Acft  '!$D$5</f>
        <v>203.4218181818182</v>
      </c>
      <c r="T1487" s="22">
        <f>tblDailySchedule[[#This Row],[STD]]</f>
        <v>0.69791666666666663</v>
      </c>
    </row>
    <row r="1488" spans="1:20" hidden="1" x14ac:dyDescent="0.35">
      <c r="A1488" s="11">
        <v>46163</v>
      </c>
      <c r="B1488" s="3">
        <v>4</v>
      </c>
      <c r="C1488" t="s">
        <v>114</v>
      </c>
      <c r="D1488" t="s">
        <v>18</v>
      </c>
      <c r="E1488" s="3">
        <v>19</v>
      </c>
      <c r="F1488" t="s">
        <v>19</v>
      </c>
      <c r="G1488" t="s">
        <v>73</v>
      </c>
      <c r="H1488" t="s">
        <v>27</v>
      </c>
      <c r="I1488" s="12">
        <v>0.74652777777777779</v>
      </c>
      <c r="J1488" t="s">
        <v>74</v>
      </c>
      <c r="K1488" t="s">
        <v>27</v>
      </c>
      <c r="L1488" s="12">
        <v>0.77430555555555558</v>
      </c>
      <c r="M1488" t="s">
        <v>63</v>
      </c>
      <c r="N1488" s="3">
        <v>232</v>
      </c>
      <c r="O1488" t="s">
        <v>24</v>
      </c>
      <c r="P1488" t="s">
        <v>56</v>
      </c>
      <c r="R1488">
        <f>tblDailySchedule[[#This Row],[Capacity Approx]]*'[1]Load Factor Sheet June Acft  '!$B$5</f>
        <v>187.86727272727273</v>
      </c>
      <c r="S1488">
        <f>tblDailySchedule[[#This Row],[Capacity Approx]]*'[1]Load Factor Sheet June Acft  '!$D$5</f>
        <v>203.4218181818182</v>
      </c>
      <c r="T1488" s="22">
        <f>tblDailySchedule[[#This Row],[STD]]</f>
        <v>0.77430555555555558</v>
      </c>
    </row>
    <row r="1489" spans="1:20" hidden="1" x14ac:dyDescent="0.35">
      <c r="A1489" s="11">
        <v>46163</v>
      </c>
      <c r="B1489" s="3">
        <v>4</v>
      </c>
      <c r="C1489" t="s">
        <v>114</v>
      </c>
      <c r="D1489" t="s">
        <v>18</v>
      </c>
      <c r="E1489" s="3">
        <v>21</v>
      </c>
      <c r="F1489" t="s">
        <v>19</v>
      </c>
      <c r="G1489" t="s">
        <v>81</v>
      </c>
      <c r="H1489" t="s">
        <v>61</v>
      </c>
      <c r="I1489" s="12">
        <v>0.77083333333333337</v>
      </c>
      <c r="J1489" t="s">
        <v>82</v>
      </c>
      <c r="K1489" t="s">
        <v>49</v>
      </c>
      <c r="L1489" s="12">
        <v>0.79166666666666663</v>
      </c>
      <c r="M1489" t="s">
        <v>33</v>
      </c>
      <c r="N1489" s="3">
        <v>189</v>
      </c>
      <c r="O1489" t="s">
        <v>24</v>
      </c>
      <c r="P1489" t="s">
        <v>79</v>
      </c>
      <c r="R1489">
        <f>tblDailySchedule[[#This Row],[Capacity Approx]]*'[1]Load Factor Sheet June Acft  '!$B$5</f>
        <v>153.04704545454547</v>
      </c>
      <c r="S1489">
        <f>tblDailySchedule[[#This Row],[Capacity Approx]]*'[1]Load Factor Sheet June Acft  '!$D$5</f>
        <v>165.71863636363636</v>
      </c>
      <c r="T1489" s="22">
        <f>tblDailySchedule[[#This Row],[STD]]</f>
        <v>0.79166666666666663</v>
      </c>
    </row>
    <row r="1490" spans="1:20" hidden="1" x14ac:dyDescent="0.35">
      <c r="A1490" s="11">
        <v>46163</v>
      </c>
      <c r="B1490" s="3">
        <v>4</v>
      </c>
      <c r="C1490" t="s">
        <v>114</v>
      </c>
      <c r="D1490" t="s">
        <v>18</v>
      </c>
      <c r="E1490" s="3">
        <v>22</v>
      </c>
      <c r="F1490" t="s">
        <v>19</v>
      </c>
      <c r="G1490" t="s">
        <v>83</v>
      </c>
      <c r="H1490" t="s">
        <v>31</v>
      </c>
      <c r="I1490" s="12">
        <v>0.77777777777777779</v>
      </c>
      <c r="J1490" t="s">
        <v>84</v>
      </c>
      <c r="K1490" t="s">
        <v>31</v>
      </c>
      <c r="L1490" s="12">
        <v>0.80555555555555558</v>
      </c>
      <c r="M1490" t="s">
        <v>63</v>
      </c>
      <c r="N1490" s="3">
        <v>232</v>
      </c>
      <c r="O1490" t="s">
        <v>24</v>
      </c>
      <c r="P1490" t="s">
        <v>79</v>
      </c>
      <c r="R1490">
        <f>tblDailySchedule[[#This Row],[Capacity Approx]]*'[1]Load Factor Sheet June Acft  '!$B$5</f>
        <v>187.86727272727273</v>
      </c>
      <c r="S1490">
        <f>tblDailySchedule[[#This Row],[Capacity Approx]]*'[1]Load Factor Sheet June Acft  '!$D$5</f>
        <v>203.4218181818182</v>
      </c>
      <c r="T1490" s="22">
        <f>tblDailySchedule[[#This Row],[STD]]</f>
        <v>0.80555555555555558</v>
      </c>
    </row>
    <row r="1491" spans="1:20" hidden="1" x14ac:dyDescent="0.35">
      <c r="A1491" s="11">
        <v>46163</v>
      </c>
      <c r="B1491" s="3">
        <v>4</v>
      </c>
      <c r="C1491" t="s">
        <v>114</v>
      </c>
      <c r="D1491" t="s">
        <v>18</v>
      </c>
      <c r="E1491" s="3">
        <v>23</v>
      </c>
      <c r="F1491" t="s">
        <v>19</v>
      </c>
      <c r="G1491" t="s">
        <v>85</v>
      </c>
      <c r="H1491" t="s">
        <v>86</v>
      </c>
      <c r="I1491" s="12">
        <v>0.79861111111111116</v>
      </c>
      <c r="J1491" t="s">
        <v>87</v>
      </c>
      <c r="K1491" t="s">
        <v>86</v>
      </c>
      <c r="L1491" s="12">
        <v>0.82638888888888884</v>
      </c>
      <c r="M1491" t="s">
        <v>63</v>
      </c>
      <c r="N1491" s="3">
        <v>232</v>
      </c>
      <c r="O1491" t="s">
        <v>24</v>
      </c>
      <c r="P1491" t="s">
        <v>79</v>
      </c>
      <c r="R1491">
        <f>tblDailySchedule[[#This Row],[Capacity Approx]]*'[1]Load Factor Sheet June Acft  '!$B$5</f>
        <v>187.86727272727273</v>
      </c>
      <c r="S1491">
        <f>tblDailySchedule[[#This Row],[Capacity Approx]]*'[1]Load Factor Sheet June Acft  '!$D$5</f>
        <v>203.4218181818182</v>
      </c>
      <c r="T1491" s="22">
        <f>tblDailySchedule[[#This Row],[STD]]</f>
        <v>0.82638888888888884</v>
      </c>
    </row>
    <row r="1492" spans="1:20" hidden="1" x14ac:dyDescent="0.35">
      <c r="A1492" s="11">
        <v>46163</v>
      </c>
      <c r="B1492" s="3">
        <v>4</v>
      </c>
      <c r="C1492" t="s">
        <v>114</v>
      </c>
      <c r="D1492" t="s">
        <v>18</v>
      </c>
      <c r="E1492" s="3">
        <v>24</v>
      </c>
      <c r="F1492" t="s">
        <v>19</v>
      </c>
      <c r="G1492" t="s">
        <v>88</v>
      </c>
      <c r="H1492" t="s">
        <v>89</v>
      </c>
      <c r="I1492" s="12">
        <v>0.83333333333333337</v>
      </c>
      <c r="J1492" t="s">
        <v>90</v>
      </c>
      <c r="K1492" t="s">
        <v>31</v>
      </c>
      <c r="L1492" s="12">
        <v>0.86111111111111116</v>
      </c>
      <c r="M1492" t="s">
        <v>63</v>
      </c>
      <c r="N1492" s="3">
        <v>232</v>
      </c>
      <c r="O1492" t="s">
        <v>24</v>
      </c>
      <c r="P1492" t="s">
        <v>79</v>
      </c>
      <c r="R1492">
        <f>tblDailySchedule[[#This Row],[Capacity Approx]]*'[1]Load Factor Sheet June Acft  '!$B$5</f>
        <v>187.86727272727273</v>
      </c>
      <c r="S1492">
        <f>tblDailySchedule[[#This Row],[Capacity Approx]]*'[1]Load Factor Sheet June Acft  '!$D$5</f>
        <v>203.4218181818182</v>
      </c>
      <c r="T1492" s="22">
        <f>tblDailySchedule[[#This Row],[STD]]</f>
        <v>0.86111111111111116</v>
      </c>
    </row>
    <row r="1493" spans="1:20" hidden="1" x14ac:dyDescent="0.35">
      <c r="A1493" s="11">
        <v>46163</v>
      </c>
      <c r="B1493" s="3">
        <v>4</v>
      </c>
      <c r="C1493" t="s">
        <v>114</v>
      </c>
      <c r="D1493" t="s">
        <v>18</v>
      </c>
      <c r="E1493" s="3">
        <v>25</v>
      </c>
      <c r="F1493" t="s">
        <v>19</v>
      </c>
      <c r="G1493" t="s">
        <v>91</v>
      </c>
      <c r="H1493" t="s">
        <v>61</v>
      </c>
      <c r="I1493" s="12">
        <v>0.85416666666666663</v>
      </c>
      <c r="J1493" t="s">
        <v>92</v>
      </c>
      <c r="K1493" t="s">
        <v>61</v>
      </c>
      <c r="L1493" s="12">
        <v>0.88194444444444442</v>
      </c>
      <c r="M1493" t="s">
        <v>63</v>
      </c>
      <c r="N1493" s="3">
        <v>232</v>
      </c>
      <c r="O1493" t="s">
        <v>24</v>
      </c>
      <c r="P1493" t="s">
        <v>79</v>
      </c>
      <c r="R1493">
        <f>tblDailySchedule[[#This Row],[Capacity Approx]]*'[1]Load Factor Sheet June Acft  '!$B$5</f>
        <v>187.86727272727273</v>
      </c>
      <c r="S1493">
        <f>tblDailySchedule[[#This Row],[Capacity Approx]]*'[1]Load Factor Sheet June Acft  '!$D$5</f>
        <v>203.4218181818182</v>
      </c>
      <c r="T1493" s="22">
        <f>tblDailySchedule[[#This Row],[STD]]</f>
        <v>0.88194444444444442</v>
      </c>
    </row>
    <row r="1494" spans="1:20" hidden="1" x14ac:dyDescent="0.35">
      <c r="A1494" s="11">
        <v>46163</v>
      </c>
      <c r="B1494" s="3">
        <v>4</v>
      </c>
      <c r="C1494" t="s">
        <v>114</v>
      </c>
      <c r="D1494" t="s">
        <v>18</v>
      </c>
      <c r="E1494" s="3">
        <v>26</v>
      </c>
      <c r="F1494" t="s">
        <v>19</v>
      </c>
      <c r="G1494" t="s">
        <v>93</v>
      </c>
      <c r="H1494" t="s">
        <v>31</v>
      </c>
      <c r="I1494" s="12">
        <v>0.86111111111111116</v>
      </c>
      <c r="J1494" t="s">
        <v>94</v>
      </c>
      <c r="K1494" t="s">
        <v>31</v>
      </c>
      <c r="L1494" s="12">
        <v>0.88888888888888884</v>
      </c>
      <c r="M1494" t="s">
        <v>23</v>
      </c>
      <c r="N1494" s="3">
        <v>186</v>
      </c>
      <c r="O1494" t="s">
        <v>24</v>
      </c>
      <c r="P1494" t="s">
        <v>79</v>
      </c>
      <c r="R1494">
        <f>tblDailySchedule[[#This Row],[Capacity Approx]]*'[1]Load Factor Sheet June Acft  '!$B$5</f>
        <v>150.61772727272728</v>
      </c>
      <c r="S1494">
        <f>tblDailySchedule[[#This Row],[Capacity Approx]]*'[1]Load Factor Sheet June Acft  '!$D$5</f>
        <v>163.08818181818182</v>
      </c>
      <c r="T1494" s="22">
        <f>tblDailySchedule[[#This Row],[STD]]</f>
        <v>0.88888888888888884</v>
      </c>
    </row>
    <row r="1495" spans="1:20" hidden="1" x14ac:dyDescent="0.35">
      <c r="A1495" s="11">
        <v>46163</v>
      </c>
      <c r="B1495" s="3">
        <v>4</v>
      </c>
      <c r="C1495" t="s">
        <v>114</v>
      </c>
      <c r="D1495" t="s">
        <v>18</v>
      </c>
      <c r="E1495" s="3">
        <v>27</v>
      </c>
      <c r="F1495" t="s">
        <v>19</v>
      </c>
      <c r="G1495" t="s">
        <v>95</v>
      </c>
      <c r="H1495" t="s">
        <v>21</v>
      </c>
      <c r="I1495" s="12">
        <v>0.86805555555555558</v>
      </c>
      <c r="J1495" t="s">
        <v>96</v>
      </c>
      <c r="K1495" t="s">
        <v>21</v>
      </c>
      <c r="L1495" s="12">
        <v>0.89583333333333337</v>
      </c>
      <c r="M1495" t="s">
        <v>29</v>
      </c>
      <c r="N1495" s="3">
        <v>186</v>
      </c>
      <c r="O1495" t="s">
        <v>24</v>
      </c>
      <c r="P1495" t="s">
        <v>79</v>
      </c>
      <c r="R1495">
        <f>tblDailySchedule[[#This Row],[Capacity Approx]]*'[1]Load Factor Sheet June Acft  '!$B$5</f>
        <v>150.61772727272728</v>
      </c>
      <c r="S1495">
        <f>tblDailySchedule[[#This Row],[Capacity Approx]]*'[1]Load Factor Sheet June Acft  '!$D$5</f>
        <v>163.08818181818182</v>
      </c>
      <c r="T1495" s="22">
        <f>tblDailySchedule[[#This Row],[STD]]</f>
        <v>0.89583333333333337</v>
      </c>
    </row>
    <row r="1496" spans="1:20" hidden="1" x14ac:dyDescent="0.35">
      <c r="A1496" s="11">
        <v>46163</v>
      </c>
      <c r="B1496" s="3">
        <v>4</v>
      </c>
      <c r="C1496" t="s">
        <v>114</v>
      </c>
      <c r="D1496" t="s">
        <v>18</v>
      </c>
      <c r="E1496" s="3">
        <v>28</v>
      </c>
      <c r="F1496" t="s">
        <v>19</v>
      </c>
      <c r="G1496" t="s">
        <v>97</v>
      </c>
      <c r="H1496" t="s">
        <v>49</v>
      </c>
      <c r="I1496" s="12">
        <v>0.90277777777777779</v>
      </c>
      <c r="J1496" t="s">
        <v>97</v>
      </c>
      <c r="K1496" t="s">
        <v>61</v>
      </c>
      <c r="L1496" s="12">
        <v>0.92361111111111116</v>
      </c>
      <c r="M1496" t="s">
        <v>33</v>
      </c>
      <c r="N1496" s="3">
        <v>189</v>
      </c>
      <c r="O1496" t="s">
        <v>24</v>
      </c>
      <c r="P1496" t="s">
        <v>79</v>
      </c>
      <c r="R1496">
        <f>tblDailySchedule[[#This Row],[Capacity Approx]]*'[1]Load Factor Sheet June Acft  '!$B$5</f>
        <v>153.04704545454547</v>
      </c>
      <c r="S1496">
        <f>tblDailySchedule[[#This Row],[Capacity Approx]]*'[1]Load Factor Sheet June Acft  '!$D$5</f>
        <v>165.71863636363636</v>
      </c>
      <c r="T1496" s="22">
        <f>tblDailySchedule[[#This Row],[STD]]</f>
        <v>0.92361111111111116</v>
      </c>
    </row>
    <row r="1497" spans="1:20" hidden="1" x14ac:dyDescent="0.35">
      <c r="A1497" s="11">
        <v>46163</v>
      </c>
      <c r="B1497" s="3">
        <v>4</v>
      </c>
      <c r="C1497" t="s">
        <v>114</v>
      </c>
      <c r="D1497" t="s">
        <v>18</v>
      </c>
      <c r="E1497" s="3">
        <v>29</v>
      </c>
      <c r="F1497" t="s">
        <v>19</v>
      </c>
      <c r="G1497" t="s">
        <v>98</v>
      </c>
      <c r="H1497" t="s">
        <v>21</v>
      </c>
      <c r="I1497" s="12">
        <v>0.92013888888888884</v>
      </c>
      <c r="J1497" t="s">
        <v>99</v>
      </c>
      <c r="K1497" t="s">
        <v>21</v>
      </c>
      <c r="L1497" s="12">
        <v>0.94791666666666663</v>
      </c>
      <c r="M1497" t="s">
        <v>63</v>
      </c>
      <c r="N1497" s="3">
        <v>232</v>
      </c>
      <c r="O1497" t="s">
        <v>24</v>
      </c>
      <c r="P1497" t="s">
        <v>79</v>
      </c>
      <c r="R1497">
        <f>tblDailySchedule[[#This Row],[Capacity Approx]]*'[1]Load Factor Sheet June Acft  '!$B$5</f>
        <v>187.86727272727273</v>
      </c>
      <c r="S1497">
        <f>tblDailySchedule[[#This Row],[Capacity Approx]]*'[1]Load Factor Sheet June Acft  '!$D$5</f>
        <v>203.4218181818182</v>
      </c>
      <c r="T1497" s="22">
        <f>tblDailySchedule[[#This Row],[STD]]</f>
        <v>0.94791666666666663</v>
      </c>
    </row>
    <row r="1498" spans="1:20" hidden="1" x14ac:dyDescent="0.35">
      <c r="A1498" s="11">
        <v>46164</v>
      </c>
      <c r="B1498" s="3">
        <v>5</v>
      </c>
      <c r="C1498" t="s">
        <v>115</v>
      </c>
      <c r="D1498" t="s">
        <v>18</v>
      </c>
      <c r="E1498" s="3">
        <v>2</v>
      </c>
      <c r="F1498" t="s">
        <v>19</v>
      </c>
      <c r="G1498" t="s">
        <v>20</v>
      </c>
      <c r="H1498" t="s">
        <v>21</v>
      </c>
      <c r="I1498" s="12">
        <v>0.31944444444444442</v>
      </c>
      <c r="J1498" t="s">
        <v>22</v>
      </c>
      <c r="K1498" t="s">
        <v>21</v>
      </c>
      <c r="L1498" s="12">
        <v>0.34722222222222221</v>
      </c>
      <c r="M1498" t="s">
        <v>23</v>
      </c>
      <c r="N1498" s="3">
        <v>186</v>
      </c>
      <c r="O1498" t="s">
        <v>24</v>
      </c>
      <c r="P1498" t="s">
        <v>25</v>
      </c>
      <c r="R1498">
        <f>tblDailySchedule[[#This Row],[Capacity Approx]]*'[1]Load Factor Sheet June Acft  '!$B$5</f>
        <v>150.61772727272728</v>
      </c>
      <c r="S1498">
        <f>tblDailySchedule[[#This Row],[Capacity Approx]]*'[1]Load Factor Sheet June Acft  '!$D$5</f>
        <v>163.08818181818182</v>
      </c>
      <c r="T1498" s="22">
        <f>tblDailySchedule[[#This Row],[STD]]</f>
        <v>0.34722222222222221</v>
      </c>
    </row>
    <row r="1499" spans="1:20" hidden="1" x14ac:dyDescent="0.35">
      <c r="A1499" s="11">
        <v>46164</v>
      </c>
      <c r="B1499" s="3">
        <v>5</v>
      </c>
      <c r="C1499" t="s">
        <v>115</v>
      </c>
      <c r="D1499" t="s">
        <v>18</v>
      </c>
      <c r="E1499" s="3">
        <v>3</v>
      </c>
      <c r="F1499" t="s">
        <v>19</v>
      </c>
      <c r="G1499" t="s">
        <v>26</v>
      </c>
      <c r="H1499" t="s">
        <v>27</v>
      </c>
      <c r="I1499" s="12">
        <v>0.3263888888888889</v>
      </c>
      <c r="J1499" t="s">
        <v>28</v>
      </c>
      <c r="K1499" t="s">
        <v>27</v>
      </c>
      <c r="L1499" s="12">
        <v>0.35416666666666669</v>
      </c>
      <c r="M1499" t="s">
        <v>29</v>
      </c>
      <c r="N1499" s="3">
        <v>186</v>
      </c>
      <c r="O1499" t="s">
        <v>24</v>
      </c>
      <c r="P1499" t="s">
        <v>25</v>
      </c>
      <c r="R1499">
        <f>tblDailySchedule[[#This Row],[Capacity Approx]]*'[1]Load Factor Sheet June Acft  '!$B$5</f>
        <v>150.61772727272728</v>
      </c>
      <c r="S1499">
        <f>tblDailySchedule[[#This Row],[Capacity Approx]]*'[1]Load Factor Sheet June Acft  '!$D$5</f>
        <v>163.08818181818182</v>
      </c>
      <c r="T1499" s="22">
        <f>tblDailySchedule[[#This Row],[STD]]</f>
        <v>0.35416666666666669</v>
      </c>
    </row>
    <row r="1500" spans="1:20" hidden="1" x14ac:dyDescent="0.35">
      <c r="A1500" s="11">
        <v>46164</v>
      </c>
      <c r="B1500" s="3">
        <v>5</v>
      </c>
      <c r="C1500" t="s">
        <v>115</v>
      </c>
      <c r="D1500" t="s">
        <v>18</v>
      </c>
      <c r="E1500" s="3">
        <v>4</v>
      </c>
      <c r="F1500" t="s">
        <v>19</v>
      </c>
      <c r="G1500" t="s">
        <v>30</v>
      </c>
      <c r="H1500" t="s">
        <v>31</v>
      </c>
      <c r="I1500" s="12">
        <v>0.34722222222222221</v>
      </c>
      <c r="J1500" t="s">
        <v>32</v>
      </c>
      <c r="K1500" t="s">
        <v>31</v>
      </c>
      <c r="L1500" s="12">
        <v>0.36805555555555558</v>
      </c>
      <c r="M1500" t="s">
        <v>33</v>
      </c>
      <c r="N1500" s="3">
        <v>189</v>
      </c>
      <c r="O1500" t="s">
        <v>24</v>
      </c>
      <c r="P1500" t="s">
        <v>25</v>
      </c>
      <c r="R1500">
        <f>tblDailySchedule[[#This Row],[Capacity Approx]]*'[1]Load Factor Sheet June Acft  '!$B$5</f>
        <v>153.04704545454547</v>
      </c>
      <c r="S1500">
        <f>tblDailySchedule[[#This Row],[Capacity Approx]]*'[1]Load Factor Sheet June Acft  '!$D$5</f>
        <v>165.71863636363636</v>
      </c>
      <c r="T1500" s="22">
        <f>tblDailySchedule[[#This Row],[STD]]</f>
        <v>0.36805555555555558</v>
      </c>
    </row>
    <row r="1501" spans="1:20" hidden="1" x14ac:dyDescent="0.35">
      <c r="A1501" s="13">
        <v>46164</v>
      </c>
      <c r="B1501" s="7">
        <v>5</v>
      </c>
      <c r="C1501" s="14" t="s">
        <v>115</v>
      </c>
      <c r="D1501" s="14" t="s">
        <v>18</v>
      </c>
      <c r="E1501" s="7">
        <v>6</v>
      </c>
      <c r="F1501" s="14" t="s">
        <v>34</v>
      </c>
      <c r="G1501" s="14" t="s">
        <v>35</v>
      </c>
      <c r="H1501" s="14" t="s">
        <v>36</v>
      </c>
      <c r="I1501" s="15">
        <v>0.34722222222222221</v>
      </c>
      <c r="J1501" s="14" t="s">
        <v>37</v>
      </c>
      <c r="K1501" s="14" t="s">
        <v>36</v>
      </c>
      <c r="L1501" s="15">
        <v>0.40972222222222221</v>
      </c>
      <c r="M1501" s="14" t="s">
        <v>38</v>
      </c>
      <c r="N1501" s="7">
        <v>186</v>
      </c>
      <c r="O1501" s="14" t="s">
        <v>39</v>
      </c>
      <c r="P1501" s="14" t="s">
        <v>25</v>
      </c>
      <c r="Q1501" s="14" t="s">
        <v>39</v>
      </c>
      <c r="R1501">
        <f>tblDailySchedule[[#This Row],[Capacity Approx]]*'[1]Load Factor Sheet June Acft  '!$B$5</f>
        <v>150.61772727272728</v>
      </c>
      <c r="S1501">
        <f>tblDailySchedule[[#This Row],[Capacity Approx]]*'[1]Load Factor Sheet June Acft  '!$D$5</f>
        <v>163.08818181818182</v>
      </c>
      <c r="T1501" s="22">
        <f>tblDailySchedule[[#This Row],[STD]]</f>
        <v>0.40972222222222221</v>
      </c>
    </row>
    <row r="1502" spans="1:20" hidden="1" x14ac:dyDescent="0.35">
      <c r="A1502" s="11">
        <v>46164</v>
      </c>
      <c r="B1502" s="3">
        <v>5</v>
      </c>
      <c r="C1502" t="s">
        <v>115</v>
      </c>
      <c r="D1502" t="s">
        <v>18</v>
      </c>
      <c r="E1502" s="3">
        <v>5</v>
      </c>
      <c r="F1502" t="s">
        <v>19</v>
      </c>
      <c r="G1502" t="s">
        <v>40</v>
      </c>
      <c r="H1502" t="s">
        <v>31</v>
      </c>
      <c r="I1502" s="12">
        <v>0.35069444444444442</v>
      </c>
      <c r="J1502" t="s">
        <v>41</v>
      </c>
      <c r="K1502" t="s">
        <v>31</v>
      </c>
      <c r="L1502" s="12">
        <v>0.37152777777777779</v>
      </c>
      <c r="M1502" t="s">
        <v>23</v>
      </c>
      <c r="N1502" s="3">
        <v>186</v>
      </c>
      <c r="O1502" t="s">
        <v>24</v>
      </c>
      <c r="P1502" t="s">
        <v>25</v>
      </c>
      <c r="R1502">
        <f>tblDailySchedule[[#This Row],[Capacity Approx]]*'[1]Load Factor Sheet June Acft  '!$B$5</f>
        <v>150.61772727272728</v>
      </c>
      <c r="S1502">
        <f>tblDailySchedule[[#This Row],[Capacity Approx]]*'[1]Load Factor Sheet June Acft  '!$D$5</f>
        <v>163.08818181818182</v>
      </c>
      <c r="T1502" s="22">
        <f>tblDailySchedule[[#This Row],[STD]]</f>
        <v>0.37152777777777779</v>
      </c>
    </row>
    <row r="1503" spans="1:20" hidden="1" x14ac:dyDescent="0.35">
      <c r="A1503" s="11">
        <v>46164</v>
      </c>
      <c r="B1503" s="3">
        <v>5</v>
      </c>
      <c r="C1503" t="s">
        <v>115</v>
      </c>
      <c r="D1503" t="s">
        <v>18</v>
      </c>
      <c r="E1503" s="3">
        <v>7</v>
      </c>
      <c r="F1503" t="s">
        <v>19</v>
      </c>
      <c r="G1503" t="s">
        <v>42</v>
      </c>
      <c r="H1503" t="s">
        <v>43</v>
      </c>
      <c r="I1503" s="12">
        <v>0.3923611111111111</v>
      </c>
      <c r="J1503" t="s">
        <v>44</v>
      </c>
      <c r="K1503" t="s">
        <v>43</v>
      </c>
      <c r="L1503" s="12">
        <v>0.40277777777777779</v>
      </c>
      <c r="M1503" t="s">
        <v>45</v>
      </c>
      <c r="N1503" s="3">
        <v>9</v>
      </c>
      <c r="O1503" t="s">
        <v>24</v>
      </c>
      <c r="P1503" t="s">
        <v>25</v>
      </c>
      <c r="R1503">
        <f>tblDailySchedule[[#This Row],[Capacity Approx]]*'[1]Load Factor Sheet June Acft  '!$B$5</f>
        <v>7.2879545454545456</v>
      </c>
      <c r="S1503">
        <f>tblDailySchedule[[#This Row],[Capacity Approx]]*'[1]Load Factor Sheet June Acft  '!$D$5</f>
        <v>7.8913636363636366</v>
      </c>
      <c r="T1503" s="22">
        <f>tblDailySchedule[[#This Row],[STD]]</f>
        <v>0.40277777777777779</v>
      </c>
    </row>
    <row r="1504" spans="1:20" hidden="1" x14ac:dyDescent="0.35">
      <c r="A1504" s="11">
        <v>46164</v>
      </c>
      <c r="B1504" s="3">
        <v>5</v>
      </c>
      <c r="C1504" t="s">
        <v>115</v>
      </c>
      <c r="D1504" t="s">
        <v>18</v>
      </c>
      <c r="E1504" s="3">
        <v>8</v>
      </c>
      <c r="F1504" t="s">
        <v>19</v>
      </c>
      <c r="G1504" t="s">
        <v>46</v>
      </c>
      <c r="H1504" t="s">
        <v>31</v>
      </c>
      <c r="I1504" s="12">
        <v>0.4201388888888889</v>
      </c>
      <c r="J1504" t="s">
        <v>47</v>
      </c>
      <c r="K1504" t="s">
        <v>31</v>
      </c>
      <c r="L1504" s="12">
        <v>0.44444444444444442</v>
      </c>
      <c r="M1504" t="s">
        <v>29</v>
      </c>
      <c r="N1504" s="3">
        <v>186</v>
      </c>
      <c r="O1504" t="s">
        <v>24</v>
      </c>
      <c r="P1504" t="s">
        <v>25</v>
      </c>
      <c r="R1504">
        <f>tblDailySchedule[[#This Row],[Capacity Approx]]*'[1]Load Factor Sheet June Acft  '!$B$5</f>
        <v>150.61772727272728</v>
      </c>
      <c r="S1504">
        <f>tblDailySchedule[[#This Row],[Capacity Approx]]*'[1]Load Factor Sheet June Acft  '!$D$5</f>
        <v>163.08818181818182</v>
      </c>
      <c r="T1504" s="22">
        <f>tblDailySchedule[[#This Row],[STD]]</f>
        <v>0.44444444444444442</v>
      </c>
    </row>
    <row r="1505" spans="1:20" hidden="1" x14ac:dyDescent="0.35">
      <c r="A1505" s="11">
        <v>46164</v>
      </c>
      <c r="B1505" s="3">
        <v>5</v>
      </c>
      <c r="C1505" t="s">
        <v>115</v>
      </c>
      <c r="D1505" t="s">
        <v>18</v>
      </c>
      <c r="E1505" s="3">
        <v>9</v>
      </c>
      <c r="F1505" t="s">
        <v>19</v>
      </c>
      <c r="G1505" t="s">
        <v>48</v>
      </c>
      <c r="H1505" t="s">
        <v>49</v>
      </c>
      <c r="I1505" s="12">
        <v>0.4375</v>
      </c>
      <c r="J1505" t="s">
        <v>50</v>
      </c>
      <c r="K1505" t="s">
        <v>49</v>
      </c>
      <c r="L1505" s="12">
        <v>0.45833333333333331</v>
      </c>
      <c r="M1505" t="s">
        <v>51</v>
      </c>
      <c r="N1505" s="3">
        <v>78</v>
      </c>
      <c r="O1505" t="s">
        <v>24</v>
      </c>
      <c r="P1505" t="s">
        <v>25</v>
      </c>
      <c r="R1505">
        <f>tblDailySchedule[[#This Row],[Capacity Approx]]*'[1]Load Factor Sheet June Acft  '!$B$5</f>
        <v>63.162272727272729</v>
      </c>
      <c r="S1505">
        <f>tblDailySchedule[[#This Row],[Capacity Approx]]*'[1]Load Factor Sheet June Acft  '!$D$5</f>
        <v>68.391818181818181</v>
      </c>
      <c r="T1505" s="22">
        <f>tblDailySchedule[[#This Row],[STD]]</f>
        <v>0.45833333333333331</v>
      </c>
    </row>
    <row r="1506" spans="1:20" hidden="1" x14ac:dyDescent="0.35">
      <c r="A1506" s="11">
        <v>46164</v>
      </c>
      <c r="B1506" s="3">
        <v>5</v>
      </c>
      <c r="C1506" t="s">
        <v>115</v>
      </c>
      <c r="D1506" t="s">
        <v>18</v>
      </c>
      <c r="E1506" s="3">
        <v>10</v>
      </c>
      <c r="F1506" t="s">
        <v>19</v>
      </c>
      <c r="G1506" t="s">
        <v>52</v>
      </c>
      <c r="H1506" t="s">
        <v>27</v>
      </c>
      <c r="I1506" s="12">
        <v>0.4826388888888889</v>
      </c>
      <c r="J1506" t="s">
        <v>53</v>
      </c>
      <c r="K1506" t="s">
        <v>27</v>
      </c>
      <c r="L1506" s="12">
        <v>0.51041666666666663</v>
      </c>
      <c r="M1506" t="s">
        <v>23</v>
      </c>
      <c r="N1506" s="3">
        <v>186</v>
      </c>
      <c r="O1506" t="s">
        <v>24</v>
      </c>
      <c r="P1506" t="s">
        <v>25</v>
      </c>
      <c r="R1506">
        <f>tblDailySchedule[[#This Row],[Capacity Approx]]*'[1]Load Factor Sheet June Acft  '!$B$5</f>
        <v>150.61772727272728</v>
      </c>
      <c r="S1506">
        <f>tblDailySchedule[[#This Row],[Capacity Approx]]*'[1]Load Factor Sheet June Acft  '!$D$5</f>
        <v>163.08818181818182</v>
      </c>
      <c r="T1506" s="22">
        <f>tblDailySchedule[[#This Row],[STD]]</f>
        <v>0.51041666666666663</v>
      </c>
    </row>
    <row r="1507" spans="1:20" hidden="1" x14ac:dyDescent="0.35">
      <c r="A1507" s="11">
        <v>46164</v>
      </c>
      <c r="B1507" s="3">
        <v>5</v>
      </c>
      <c r="C1507" t="s">
        <v>115</v>
      </c>
      <c r="D1507" t="s">
        <v>18</v>
      </c>
      <c r="E1507" s="3">
        <v>11</v>
      </c>
      <c r="F1507" t="s">
        <v>19</v>
      </c>
      <c r="G1507" t="s">
        <v>54</v>
      </c>
      <c r="H1507" t="s">
        <v>31</v>
      </c>
      <c r="I1507" s="12">
        <v>0.51388888888888884</v>
      </c>
      <c r="J1507" t="s">
        <v>55</v>
      </c>
      <c r="K1507" t="s">
        <v>31</v>
      </c>
      <c r="L1507" s="12">
        <v>0.54166666666666663</v>
      </c>
      <c r="M1507" t="s">
        <v>23</v>
      </c>
      <c r="N1507" s="3">
        <v>186</v>
      </c>
      <c r="O1507" t="s">
        <v>24</v>
      </c>
      <c r="P1507" t="s">
        <v>56</v>
      </c>
      <c r="R1507">
        <f>tblDailySchedule[[#This Row],[Capacity Approx]]*'[1]Load Factor Sheet June Acft  '!$B$5</f>
        <v>150.61772727272728</v>
      </c>
      <c r="S1507">
        <f>tblDailySchedule[[#This Row],[Capacity Approx]]*'[1]Load Factor Sheet June Acft  '!$D$5</f>
        <v>163.08818181818182</v>
      </c>
      <c r="T1507" s="22">
        <f>tblDailySchedule[[#This Row],[STD]]</f>
        <v>0.54166666666666663</v>
      </c>
    </row>
    <row r="1508" spans="1:20" hidden="1" x14ac:dyDescent="0.35">
      <c r="A1508" s="11">
        <v>46164</v>
      </c>
      <c r="B1508" s="3">
        <v>5</v>
      </c>
      <c r="C1508" t="s">
        <v>115</v>
      </c>
      <c r="D1508" t="s">
        <v>18</v>
      </c>
      <c r="E1508" s="3">
        <v>13</v>
      </c>
      <c r="F1508" t="s">
        <v>19</v>
      </c>
      <c r="G1508" t="s">
        <v>57</v>
      </c>
      <c r="H1508" t="s">
        <v>58</v>
      </c>
      <c r="I1508" s="12">
        <v>0.55902777777777779</v>
      </c>
      <c r="J1508" t="s">
        <v>59</v>
      </c>
      <c r="K1508" t="s">
        <v>58</v>
      </c>
      <c r="L1508" s="12">
        <v>0.57638888888888884</v>
      </c>
      <c r="M1508" t="s">
        <v>51</v>
      </c>
      <c r="N1508" s="3">
        <v>78</v>
      </c>
      <c r="O1508" t="s">
        <v>24</v>
      </c>
      <c r="P1508" t="s">
        <v>56</v>
      </c>
      <c r="R1508">
        <f>tblDailySchedule[[#This Row],[Capacity Approx]]*'[1]Load Factor Sheet June Acft  '!$B$5</f>
        <v>63.162272727272729</v>
      </c>
      <c r="S1508">
        <f>tblDailySchedule[[#This Row],[Capacity Approx]]*'[1]Load Factor Sheet June Acft  '!$D$5</f>
        <v>68.391818181818181</v>
      </c>
      <c r="T1508" s="22">
        <f>tblDailySchedule[[#This Row],[STD]]</f>
        <v>0.57638888888888884</v>
      </c>
    </row>
    <row r="1509" spans="1:20" hidden="1" x14ac:dyDescent="0.35">
      <c r="A1509" s="11">
        <v>46164</v>
      </c>
      <c r="B1509" s="3">
        <v>5</v>
      </c>
      <c r="C1509" t="s">
        <v>115</v>
      </c>
      <c r="D1509" t="s">
        <v>18</v>
      </c>
      <c r="E1509" s="3">
        <v>14</v>
      </c>
      <c r="F1509" t="s">
        <v>19</v>
      </c>
      <c r="G1509" t="s">
        <v>60</v>
      </c>
      <c r="H1509" t="s">
        <v>61</v>
      </c>
      <c r="I1509" s="12">
        <v>0.59027777777777779</v>
      </c>
      <c r="J1509" t="s">
        <v>62</v>
      </c>
      <c r="K1509" t="s">
        <v>61</v>
      </c>
      <c r="L1509" s="12">
        <v>0.62152777777777779</v>
      </c>
      <c r="M1509" t="s">
        <v>63</v>
      </c>
      <c r="N1509" s="3">
        <v>232</v>
      </c>
      <c r="O1509" t="s">
        <v>24</v>
      </c>
      <c r="P1509" t="s">
        <v>56</v>
      </c>
      <c r="R1509">
        <f>tblDailySchedule[[#This Row],[Capacity Approx]]*'[1]Load Factor Sheet June Acft  '!$B$5</f>
        <v>187.86727272727273</v>
      </c>
      <c r="S1509">
        <f>tblDailySchedule[[#This Row],[Capacity Approx]]*'[1]Load Factor Sheet June Acft  '!$D$5</f>
        <v>203.4218181818182</v>
      </c>
      <c r="T1509" s="22">
        <f>tblDailySchedule[[#This Row],[STD]]</f>
        <v>0.62152777777777779</v>
      </c>
    </row>
    <row r="1510" spans="1:20" hidden="1" x14ac:dyDescent="0.35">
      <c r="A1510" s="11">
        <v>46164</v>
      </c>
      <c r="B1510" s="3">
        <v>5</v>
      </c>
      <c r="C1510" t="s">
        <v>115</v>
      </c>
      <c r="D1510" t="s">
        <v>18</v>
      </c>
      <c r="E1510" s="3">
        <v>15</v>
      </c>
      <c r="F1510" t="s">
        <v>19</v>
      </c>
      <c r="G1510" t="s">
        <v>64</v>
      </c>
      <c r="H1510" t="s">
        <v>31</v>
      </c>
      <c r="I1510" s="12">
        <v>0.60069444444444442</v>
      </c>
      <c r="J1510" t="s">
        <v>65</v>
      </c>
      <c r="K1510" t="s">
        <v>66</v>
      </c>
      <c r="L1510" s="12">
        <v>0.62847222222222221</v>
      </c>
      <c r="M1510" t="s">
        <v>63</v>
      </c>
      <c r="N1510" s="3">
        <v>232</v>
      </c>
      <c r="O1510" t="s">
        <v>24</v>
      </c>
      <c r="P1510" t="s">
        <v>56</v>
      </c>
      <c r="R1510">
        <f>tblDailySchedule[[#This Row],[Capacity Approx]]*'[1]Load Factor Sheet June Acft  '!$B$5</f>
        <v>187.86727272727273</v>
      </c>
      <c r="S1510">
        <f>tblDailySchedule[[#This Row],[Capacity Approx]]*'[1]Load Factor Sheet June Acft  '!$D$5</f>
        <v>203.4218181818182</v>
      </c>
      <c r="T1510" s="22">
        <f>tblDailySchedule[[#This Row],[STD]]</f>
        <v>0.62847222222222221</v>
      </c>
    </row>
    <row r="1511" spans="1:20" hidden="1" x14ac:dyDescent="0.35">
      <c r="A1511" s="11">
        <v>46164</v>
      </c>
      <c r="B1511" s="3">
        <v>5</v>
      </c>
      <c r="C1511" t="s">
        <v>115</v>
      </c>
      <c r="D1511" t="s">
        <v>18</v>
      </c>
      <c r="E1511" s="3">
        <v>16</v>
      </c>
      <c r="F1511" t="s">
        <v>19</v>
      </c>
      <c r="G1511" t="s">
        <v>67</v>
      </c>
      <c r="H1511" t="s">
        <v>31</v>
      </c>
      <c r="I1511" s="12">
        <v>0.65625</v>
      </c>
      <c r="J1511" t="s">
        <v>68</v>
      </c>
      <c r="K1511" t="s">
        <v>31</v>
      </c>
      <c r="L1511" s="12">
        <v>0.68402777777777779</v>
      </c>
      <c r="M1511" t="s">
        <v>63</v>
      </c>
      <c r="N1511" s="3">
        <v>232</v>
      </c>
      <c r="O1511" t="s">
        <v>24</v>
      </c>
      <c r="P1511" t="s">
        <v>56</v>
      </c>
      <c r="R1511">
        <f>tblDailySchedule[[#This Row],[Capacity Approx]]*'[1]Load Factor Sheet June Acft  '!$B$5</f>
        <v>187.86727272727273</v>
      </c>
      <c r="S1511">
        <f>tblDailySchedule[[#This Row],[Capacity Approx]]*'[1]Load Factor Sheet June Acft  '!$D$5</f>
        <v>203.4218181818182</v>
      </c>
      <c r="T1511" s="22">
        <f>tblDailySchedule[[#This Row],[STD]]</f>
        <v>0.68402777777777779</v>
      </c>
    </row>
    <row r="1512" spans="1:20" hidden="1" x14ac:dyDescent="0.35">
      <c r="A1512" s="11">
        <v>46164</v>
      </c>
      <c r="B1512" s="3">
        <v>5</v>
      </c>
      <c r="C1512" t="s">
        <v>115</v>
      </c>
      <c r="D1512" t="s">
        <v>18</v>
      </c>
      <c r="E1512" s="3">
        <v>17</v>
      </c>
      <c r="F1512" t="s">
        <v>19</v>
      </c>
      <c r="G1512" t="s">
        <v>69</v>
      </c>
      <c r="H1512" t="s">
        <v>31</v>
      </c>
      <c r="I1512" s="12">
        <v>0.66319444444444442</v>
      </c>
      <c r="J1512" t="s">
        <v>70</v>
      </c>
      <c r="K1512" t="s">
        <v>31</v>
      </c>
      <c r="L1512" s="12">
        <v>0.69097222222222221</v>
      </c>
      <c r="M1512" t="s">
        <v>33</v>
      </c>
      <c r="N1512" s="3">
        <v>189</v>
      </c>
      <c r="O1512" t="s">
        <v>24</v>
      </c>
      <c r="P1512" t="s">
        <v>56</v>
      </c>
      <c r="R1512">
        <f>tblDailySchedule[[#This Row],[Capacity Approx]]*'[1]Load Factor Sheet June Acft  '!$B$5</f>
        <v>153.04704545454547</v>
      </c>
      <c r="S1512">
        <f>tblDailySchedule[[#This Row],[Capacity Approx]]*'[1]Load Factor Sheet June Acft  '!$D$5</f>
        <v>165.71863636363636</v>
      </c>
      <c r="T1512" s="22">
        <f>tblDailySchedule[[#This Row],[STD]]</f>
        <v>0.69097222222222221</v>
      </c>
    </row>
    <row r="1513" spans="1:20" hidden="1" x14ac:dyDescent="0.35">
      <c r="A1513" s="11">
        <v>46164</v>
      </c>
      <c r="B1513" s="3">
        <v>5</v>
      </c>
      <c r="C1513" t="s">
        <v>115</v>
      </c>
      <c r="D1513" t="s">
        <v>18</v>
      </c>
      <c r="E1513" s="3">
        <v>18</v>
      </c>
      <c r="F1513" t="s">
        <v>19</v>
      </c>
      <c r="G1513" t="s">
        <v>71</v>
      </c>
      <c r="H1513" t="s">
        <v>21</v>
      </c>
      <c r="I1513" s="12">
        <v>0.67013888888888884</v>
      </c>
      <c r="J1513" t="s">
        <v>72</v>
      </c>
      <c r="K1513" t="s">
        <v>21</v>
      </c>
      <c r="L1513" s="12">
        <v>0.69791666666666663</v>
      </c>
      <c r="M1513" t="s">
        <v>63</v>
      </c>
      <c r="N1513" s="3">
        <v>232</v>
      </c>
      <c r="O1513" t="s">
        <v>24</v>
      </c>
      <c r="P1513" t="s">
        <v>56</v>
      </c>
      <c r="R1513">
        <f>tblDailySchedule[[#This Row],[Capacity Approx]]*'[1]Load Factor Sheet June Acft  '!$B$5</f>
        <v>187.86727272727273</v>
      </c>
      <c r="S1513">
        <f>tblDailySchedule[[#This Row],[Capacity Approx]]*'[1]Load Factor Sheet June Acft  '!$D$5</f>
        <v>203.4218181818182</v>
      </c>
      <c r="T1513" s="22">
        <f>tblDailySchedule[[#This Row],[STD]]</f>
        <v>0.69791666666666663</v>
      </c>
    </row>
    <row r="1514" spans="1:20" hidden="1" x14ac:dyDescent="0.35">
      <c r="A1514" s="11">
        <v>46164</v>
      </c>
      <c r="B1514" s="3">
        <v>5</v>
      </c>
      <c r="C1514" t="s">
        <v>115</v>
      </c>
      <c r="D1514" t="s">
        <v>18</v>
      </c>
      <c r="E1514" s="3">
        <v>19</v>
      </c>
      <c r="F1514" t="s">
        <v>19</v>
      </c>
      <c r="G1514" t="s">
        <v>73</v>
      </c>
      <c r="H1514" t="s">
        <v>27</v>
      </c>
      <c r="I1514" s="12">
        <v>0.74652777777777779</v>
      </c>
      <c r="J1514" t="s">
        <v>74</v>
      </c>
      <c r="K1514" t="s">
        <v>27</v>
      </c>
      <c r="L1514" s="12">
        <v>0.77430555555555558</v>
      </c>
      <c r="M1514" t="s">
        <v>63</v>
      </c>
      <c r="N1514" s="3">
        <v>232</v>
      </c>
      <c r="O1514" t="s">
        <v>24</v>
      </c>
      <c r="P1514" t="s">
        <v>56</v>
      </c>
      <c r="R1514">
        <f>tblDailySchedule[[#This Row],[Capacity Approx]]*'[1]Load Factor Sheet June Acft  '!$B$5</f>
        <v>187.86727272727273</v>
      </c>
      <c r="S1514">
        <f>tblDailySchedule[[#This Row],[Capacity Approx]]*'[1]Load Factor Sheet June Acft  '!$D$5</f>
        <v>203.4218181818182</v>
      </c>
      <c r="T1514" s="22">
        <f>tblDailySchedule[[#This Row],[STD]]</f>
        <v>0.77430555555555558</v>
      </c>
    </row>
    <row r="1515" spans="1:20" hidden="1" x14ac:dyDescent="0.35">
      <c r="A1515" s="11">
        <v>46164</v>
      </c>
      <c r="B1515" s="3">
        <v>5</v>
      </c>
      <c r="C1515" t="s">
        <v>115</v>
      </c>
      <c r="D1515" t="s">
        <v>18</v>
      </c>
      <c r="E1515" s="3">
        <v>20</v>
      </c>
      <c r="F1515" t="s">
        <v>34</v>
      </c>
      <c r="G1515" t="s">
        <v>75</v>
      </c>
      <c r="H1515" t="s">
        <v>76</v>
      </c>
      <c r="I1515" s="12">
        <v>0.76388888888888884</v>
      </c>
      <c r="J1515" t="s">
        <v>77</v>
      </c>
      <c r="K1515" t="s">
        <v>78</v>
      </c>
      <c r="L1515" s="12">
        <v>0.78472222222222221</v>
      </c>
      <c r="M1515" t="s">
        <v>51</v>
      </c>
      <c r="N1515" s="3">
        <v>78</v>
      </c>
      <c r="O1515" t="s">
        <v>24</v>
      </c>
      <c r="P1515" t="s">
        <v>79</v>
      </c>
      <c r="Q1515" s="16" t="s">
        <v>80</v>
      </c>
      <c r="R1515">
        <f>tblDailySchedule[[#This Row],[Capacity Approx]]*'[1]Load Factor Sheet June Acft  '!$B$5</f>
        <v>63.162272727272729</v>
      </c>
      <c r="S1515">
        <f>tblDailySchedule[[#This Row],[Capacity Approx]]*'[1]Load Factor Sheet June Acft  '!$D$5</f>
        <v>68.391818181818181</v>
      </c>
      <c r="T1515" s="22">
        <f>tblDailySchedule[[#This Row],[STD]]</f>
        <v>0.78472222222222221</v>
      </c>
    </row>
    <row r="1516" spans="1:20" hidden="1" x14ac:dyDescent="0.35">
      <c r="A1516" s="11">
        <v>46164</v>
      </c>
      <c r="B1516" s="3">
        <v>5</v>
      </c>
      <c r="C1516" t="s">
        <v>115</v>
      </c>
      <c r="D1516" t="s">
        <v>18</v>
      </c>
      <c r="E1516" s="3">
        <v>21</v>
      </c>
      <c r="F1516" t="s">
        <v>19</v>
      </c>
      <c r="G1516" t="s">
        <v>81</v>
      </c>
      <c r="H1516" t="s">
        <v>61</v>
      </c>
      <c r="I1516" s="12">
        <v>0.77083333333333337</v>
      </c>
      <c r="J1516" t="s">
        <v>82</v>
      </c>
      <c r="K1516" t="s">
        <v>49</v>
      </c>
      <c r="L1516" s="12">
        <v>0.79166666666666663</v>
      </c>
      <c r="M1516" t="s">
        <v>33</v>
      </c>
      <c r="N1516" s="3">
        <v>189</v>
      </c>
      <c r="O1516" t="s">
        <v>24</v>
      </c>
      <c r="P1516" t="s">
        <v>79</v>
      </c>
      <c r="R1516">
        <f>tblDailySchedule[[#This Row],[Capacity Approx]]*'[1]Load Factor Sheet June Acft  '!$B$5</f>
        <v>153.04704545454547</v>
      </c>
      <c r="S1516">
        <f>tblDailySchedule[[#This Row],[Capacity Approx]]*'[1]Load Factor Sheet June Acft  '!$D$5</f>
        <v>165.71863636363636</v>
      </c>
      <c r="T1516" s="22">
        <f>tblDailySchedule[[#This Row],[STD]]</f>
        <v>0.79166666666666663</v>
      </c>
    </row>
    <row r="1517" spans="1:20" hidden="1" x14ac:dyDescent="0.35">
      <c r="A1517" s="11">
        <v>46164</v>
      </c>
      <c r="B1517" s="3">
        <v>5</v>
      </c>
      <c r="C1517" t="s">
        <v>115</v>
      </c>
      <c r="D1517" t="s">
        <v>18</v>
      </c>
      <c r="E1517" s="3">
        <v>22</v>
      </c>
      <c r="F1517" t="s">
        <v>19</v>
      </c>
      <c r="G1517" t="s">
        <v>83</v>
      </c>
      <c r="H1517" t="s">
        <v>31</v>
      </c>
      <c r="I1517" s="12">
        <v>0.77777777777777779</v>
      </c>
      <c r="J1517" t="s">
        <v>84</v>
      </c>
      <c r="K1517" t="s">
        <v>31</v>
      </c>
      <c r="L1517" s="12">
        <v>0.80555555555555558</v>
      </c>
      <c r="M1517" t="s">
        <v>63</v>
      </c>
      <c r="N1517" s="3">
        <v>232</v>
      </c>
      <c r="O1517" t="s">
        <v>24</v>
      </c>
      <c r="P1517" t="s">
        <v>79</v>
      </c>
      <c r="R1517">
        <f>tblDailySchedule[[#This Row],[Capacity Approx]]*'[1]Load Factor Sheet June Acft  '!$B$5</f>
        <v>187.86727272727273</v>
      </c>
      <c r="S1517">
        <f>tblDailySchedule[[#This Row],[Capacity Approx]]*'[1]Load Factor Sheet June Acft  '!$D$5</f>
        <v>203.4218181818182</v>
      </c>
      <c r="T1517" s="22">
        <f>tblDailySchedule[[#This Row],[STD]]</f>
        <v>0.80555555555555558</v>
      </c>
    </row>
    <row r="1518" spans="1:20" hidden="1" x14ac:dyDescent="0.35">
      <c r="A1518" s="11">
        <v>46164</v>
      </c>
      <c r="B1518" s="3">
        <v>5</v>
      </c>
      <c r="C1518" t="s">
        <v>115</v>
      </c>
      <c r="D1518" t="s">
        <v>18</v>
      </c>
      <c r="E1518" s="3">
        <v>23</v>
      </c>
      <c r="F1518" t="s">
        <v>19</v>
      </c>
      <c r="G1518" t="s">
        <v>85</v>
      </c>
      <c r="H1518" t="s">
        <v>86</v>
      </c>
      <c r="I1518" s="12">
        <v>0.79861111111111116</v>
      </c>
      <c r="J1518" t="s">
        <v>87</v>
      </c>
      <c r="K1518" t="s">
        <v>86</v>
      </c>
      <c r="L1518" s="12">
        <v>0.82638888888888884</v>
      </c>
      <c r="M1518" t="s">
        <v>63</v>
      </c>
      <c r="N1518" s="3">
        <v>232</v>
      </c>
      <c r="O1518" t="s">
        <v>24</v>
      </c>
      <c r="P1518" t="s">
        <v>79</v>
      </c>
      <c r="R1518">
        <f>tblDailySchedule[[#This Row],[Capacity Approx]]*'[1]Load Factor Sheet June Acft  '!$B$5</f>
        <v>187.86727272727273</v>
      </c>
      <c r="S1518">
        <f>tblDailySchedule[[#This Row],[Capacity Approx]]*'[1]Load Factor Sheet June Acft  '!$D$5</f>
        <v>203.4218181818182</v>
      </c>
      <c r="T1518" s="22">
        <f>tblDailySchedule[[#This Row],[STD]]</f>
        <v>0.82638888888888884</v>
      </c>
    </row>
    <row r="1519" spans="1:20" hidden="1" x14ac:dyDescent="0.35">
      <c r="A1519" s="11">
        <v>46164</v>
      </c>
      <c r="B1519" s="3">
        <v>5</v>
      </c>
      <c r="C1519" t="s">
        <v>115</v>
      </c>
      <c r="D1519" t="s">
        <v>18</v>
      </c>
      <c r="E1519" s="3">
        <v>24</v>
      </c>
      <c r="F1519" t="s">
        <v>19</v>
      </c>
      <c r="G1519" t="s">
        <v>88</v>
      </c>
      <c r="H1519" t="s">
        <v>89</v>
      </c>
      <c r="I1519" s="12">
        <v>0.83333333333333337</v>
      </c>
      <c r="J1519" t="s">
        <v>90</v>
      </c>
      <c r="K1519" t="s">
        <v>31</v>
      </c>
      <c r="L1519" s="12">
        <v>0.86111111111111116</v>
      </c>
      <c r="M1519" t="s">
        <v>63</v>
      </c>
      <c r="N1519" s="3">
        <v>232</v>
      </c>
      <c r="O1519" t="s">
        <v>24</v>
      </c>
      <c r="P1519" t="s">
        <v>79</v>
      </c>
      <c r="R1519">
        <f>tblDailySchedule[[#This Row],[Capacity Approx]]*'[1]Load Factor Sheet June Acft  '!$B$5</f>
        <v>187.86727272727273</v>
      </c>
      <c r="S1519">
        <f>tblDailySchedule[[#This Row],[Capacity Approx]]*'[1]Load Factor Sheet June Acft  '!$D$5</f>
        <v>203.4218181818182</v>
      </c>
      <c r="T1519" s="22">
        <f>tblDailySchedule[[#This Row],[STD]]</f>
        <v>0.86111111111111116</v>
      </c>
    </row>
    <row r="1520" spans="1:20" hidden="1" x14ac:dyDescent="0.35">
      <c r="A1520" s="11">
        <v>46164</v>
      </c>
      <c r="B1520" s="3">
        <v>5</v>
      </c>
      <c r="C1520" t="s">
        <v>115</v>
      </c>
      <c r="D1520" t="s">
        <v>18</v>
      </c>
      <c r="E1520" s="3">
        <v>25</v>
      </c>
      <c r="F1520" t="s">
        <v>19</v>
      </c>
      <c r="G1520" t="s">
        <v>91</v>
      </c>
      <c r="H1520" t="s">
        <v>61</v>
      </c>
      <c r="I1520" s="12">
        <v>0.85416666666666663</v>
      </c>
      <c r="J1520" t="s">
        <v>92</v>
      </c>
      <c r="K1520" t="s">
        <v>61</v>
      </c>
      <c r="L1520" s="12">
        <v>0.88194444444444442</v>
      </c>
      <c r="M1520" t="s">
        <v>63</v>
      </c>
      <c r="N1520" s="3">
        <v>232</v>
      </c>
      <c r="O1520" t="s">
        <v>24</v>
      </c>
      <c r="P1520" t="s">
        <v>79</v>
      </c>
      <c r="R1520">
        <f>tblDailySchedule[[#This Row],[Capacity Approx]]*'[1]Load Factor Sheet June Acft  '!$B$5</f>
        <v>187.86727272727273</v>
      </c>
      <c r="S1520">
        <f>tblDailySchedule[[#This Row],[Capacity Approx]]*'[1]Load Factor Sheet June Acft  '!$D$5</f>
        <v>203.4218181818182</v>
      </c>
      <c r="T1520" s="22">
        <f>tblDailySchedule[[#This Row],[STD]]</f>
        <v>0.88194444444444442</v>
      </c>
    </row>
    <row r="1521" spans="1:20" hidden="1" x14ac:dyDescent="0.35">
      <c r="A1521" s="11">
        <v>46164</v>
      </c>
      <c r="B1521" s="3">
        <v>5</v>
      </c>
      <c r="C1521" t="s">
        <v>115</v>
      </c>
      <c r="D1521" t="s">
        <v>18</v>
      </c>
      <c r="E1521" s="3">
        <v>26</v>
      </c>
      <c r="F1521" t="s">
        <v>19</v>
      </c>
      <c r="G1521" t="s">
        <v>93</v>
      </c>
      <c r="H1521" t="s">
        <v>31</v>
      </c>
      <c r="I1521" s="12">
        <v>0.86111111111111116</v>
      </c>
      <c r="J1521" t="s">
        <v>94</v>
      </c>
      <c r="K1521" t="s">
        <v>31</v>
      </c>
      <c r="L1521" s="12">
        <v>0.88888888888888884</v>
      </c>
      <c r="M1521" t="s">
        <v>23</v>
      </c>
      <c r="N1521" s="3">
        <v>186</v>
      </c>
      <c r="O1521" t="s">
        <v>24</v>
      </c>
      <c r="P1521" t="s">
        <v>79</v>
      </c>
      <c r="R1521">
        <f>tblDailySchedule[[#This Row],[Capacity Approx]]*'[1]Load Factor Sheet June Acft  '!$B$5</f>
        <v>150.61772727272728</v>
      </c>
      <c r="S1521">
        <f>tblDailySchedule[[#This Row],[Capacity Approx]]*'[1]Load Factor Sheet June Acft  '!$D$5</f>
        <v>163.08818181818182</v>
      </c>
      <c r="T1521" s="22">
        <f>tblDailySchedule[[#This Row],[STD]]</f>
        <v>0.88888888888888884</v>
      </c>
    </row>
    <row r="1522" spans="1:20" hidden="1" x14ac:dyDescent="0.35">
      <c r="A1522" s="11">
        <v>46164</v>
      </c>
      <c r="B1522" s="3">
        <v>5</v>
      </c>
      <c r="C1522" t="s">
        <v>115</v>
      </c>
      <c r="D1522" t="s">
        <v>18</v>
      </c>
      <c r="E1522" s="3">
        <v>27</v>
      </c>
      <c r="F1522" t="s">
        <v>19</v>
      </c>
      <c r="G1522" t="s">
        <v>95</v>
      </c>
      <c r="H1522" t="s">
        <v>21</v>
      </c>
      <c r="I1522" s="12">
        <v>0.86805555555555558</v>
      </c>
      <c r="J1522" t="s">
        <v>96</v>
      </c>
      <c r="K1522" t="s">
        <v>21</v>
      </c>
      <c r="L1522" s="12">
        <v>0.89583333333333337</v>
      </c>
      <c r="M1522" t="s">
        <v>29</v>
      </c>
      <c r="N1522" s="3">
        <v>186</v>
      </c>
      <c r="O1522" t="s">
        <v>24</v>
      </c>
      <c r="P1522" t="s">
        <v>79</v>
      </c>
      <c r="R1522">
        <f>tblDailySchedule[[#This Row],[Capacity Approx]]*'[1]Load Factor Sheet June Acft  '!$B$5</f>
        <v>150.61772727272728</v>
      </c>
      <c r="S1522">
        <f>tblDailySchedule[[#This Row],[Capacity Approx]]*'[1]Load Factor Sheet June Acft  '!$D$5</f>
        <v>163.08818181818182</v>
      </c>
      <c r="T1522" s="22">
        <f>tblDailySchedule[[#This Row],[STD]]</f>
        <v>0.89583333333333337</v>
      </c>
    </row>
    <row r="1523" spans="1:20" hidden="1" x14ac:dyDescent="0.35">
      <c r="A1523" s="11">
        <v>46164</v>
      </c>
      <c r="B1523" s="3">
        <v>5</v>
      </c>
      <c r="C1523" t="s">
        <v>115</v>
      </c>
      <c r="D1523" t="s">
        <v>18</v>
      </c>
      <c r="E1523" s="3">
        <v>28</v>
      </c>
      <c r="F1523" t="s">
        <v>19</v>
      </c>
      <c r="G1523" t="s">
        <v>97</v>
      </c>
      <c r="H1523" t="s">
        <v>49</v>
      </c>
      <c r="I1523" s="12">
        <v>0.90277777777777779</v>
      </c>
      <c r="J1523" t="s">
        <v>97</v>
      </c>
      <c r="K1523" t="s">
        <v>61</v>
      </c>
      <c r="L1523" s="12">
        <v>0.92361111111111116</v>
      </c>
      <c r="M1523" t="s">
        <v>33</v>
      </c>
      <c r="N1523" s="3">
        <v>189</v>
      </c>
      <c r="O1523" t="s">
        <v>24</v>
      </c>
      <c r="P1523" t="s">
        <v>79</v>
      </c>
      <c r="R1523">
        <f>tblDailySchedule[[#This Row],[Capacity Approx]]*'[1]Load Factor Sheet June Acft  '!$B$5</f>
        <v>153.04704545454547</v>
      </c>
      <c r="S1523">
        <f>tblDailySchedule[[#This Row],[Capacity Approx]]*'[1]Load Factor Sheet June Acft  '!$D$5</f>
        <v>165.71863636363636</v>
      </c>
      <c r="T1523" s="22">
        <f>tblDailySchedule[[#This Row],[STD]]</f>
        <v>0.92361111111111116</v>
      </c>
    </row>
    <row r="1524" spans="1:20" hidden="1" x14ac:dyDescent="0.35">
      <c r="A1524" s="11">
        <v>46164</v>
      </c>
      <c r="B1524" s="3">
        <v>5</v>
      </c>
      <c r="C1524" t="s">
        <v>115</v>
      </c>
      <c r="D1524" t="s">
        <v>18</v>
      </c>
      <c r="E1524" s="3">
        <v>29</v>
      </c>
      <c r="F1524" t="s">
        <v>19</v>
      </c>
      <c r="G1524" t="s">
        <v>98</v>
      </c>
      <c r="H1524" t="s">
        <v>21</v>
      </c>
      <c r="I1524" s="12">
        <v>0.92013888888888884</v>
      </c>
      <c r="J1524" t="s">
        <v>99</v>
      </c>
      <c r="K1524" t="s">
        <v>21</v>
      </c>
      <c r="L1524" s="12">
        <v>0.94791666666666663</v>
      </c>
      <c r="M1524" t="s">
        <v>63</v>
      </c>
      <c r="N1524" s="3">
        <v>232</v>
      </c>
      <c r="O1524" t="s">
        <v>24</v>
      </c>
      <c r="P1524" t="s">
        <v>79</v>
      </c>
      <c r="R1524">
        <f>tblDailySchedule[[#This Row],[Capacity Approx]]*'[1]Load Factor Sheet June Acft  '!$B$5</f>
        <v>187.86727272727273</v>
      </c>
      <c r="S1524">
        <f>tblDailySchedule[[#This Row],[Capacity Approx]]*'[1]Load Factor Sheet June Acft  '!$D$5</f>
        <v>203.4218181818182</v>
      </c>
      <c r="T1524" s="22">
        <f>tblDailySchedule[[#This Row],[STD]]</f>
        <v>0.94791666666666663</v>
      </c>
    </row>
    <row r="1525" spans="1:20" hidden="1" x14ac:dyDescent="0.35">
      <c r="A1525" s="13">
        <v>46164</v>
      </c>
      <c r="B1525" s="7">
        <v>5</v>
      </c>
      <c r="C1525" s="14" t="s">
        <v>115</v>
      </c>
      <c r="D1525" s="14" t="s">
        <v>18</v>
      </c>
      <c r="E1525" s="7">
        <v>30</v>
      </c>
      <c r="F1525" s="14" t="s">
        <v>104</v>
      </c>
      <c r="G1525" s="14" t="s">
        <v>105</v>
      </c>
      <c r="H1525" s="14" t="s">
        <v>106</v>
      </c>
      <c r="I1525" s="15">
        <v>0.92708333333333337</v>
      </c>
      <c r="J1525" s="14" t="s">
        <v>107</v>
      </c>
      <c r="K1525" s="14" t="s">
        <v>106</v>
      </c>
      <c r="L1525" s="15">
        <v>0.95833333333333337</v>
      </c>
      <c r="M1525" s="14" t="s">
        <v>38</v>
      </c>
      <c r="N1525" s="7">
        <v>186</v>
      </c>
      <c r="O1525" s="14" t="s">
        <v>39</v>
      </c>
      <c r="P1525" s="14" t="s">
        <v>79</v>
      </c>
      <c r="Q1525" s="14" t="s">
        <v>39</v>
      </c>
      <c r="R1525">
        <f>tblDailySchedule[[#This Row],[Capacity Approx]]*'[1]Load Factor Sheet June Acft  '!$B$5</f>
        <v>150.61772727272728</v>
      </c>
      <c r="S1525">
        <f>tblDailySchedule[[#This Row],[Capacity Approx]]*'[1]Load Factor Sheet June Acft  '!$D$5</f>
        <v>163.08818181818182</v>
      </c>
      <c r="T1525" s="22">
        <f>tblDailySchedule[[#This Row],[STD]]</f>
        <v>0.95833333333333337</v>
      </c>
    </row>
    <row r="1526" spans="1:20" hidden="1" x14ac:dyDescent="0.35">
      <c r="A1526" s="11">
        <v>46165</v>
      </c>
      <c r="B1526" s="3">
        <v>6</v>
      </c>
      <c r="C1526" t="s">
        <v>116</v>
      </c>
      <c r="D1526" t="s">
        <v>18</v>
      </c>
      <c r="E1526" s="3">
        <v>1</v>
      </c>
      <c r="F1526" t="s">
        <v>101</v>
      </c>
      <c r="G1526" t="s">
        <v>102</v>
      </c>
      <c r="H1526" t="s">
        <v>61</v>
      </c>
      <c r="I1526" s="12">
        <v>0.3125</v>
      </c>
      <c r="J1526" t="s">
        <v>103</v>
      </c>
      <c r="K1526" t="s">
        <v>61</v>
      </c>
      <c r="L1526" s="12">
        <v>0.33333333333333331</v>
      </c>
      <c r="M1526" t="s">
        <v>33</v>
      </c>
      <c r="N1526" s="3">
        <v>189</v>
      </c>
      <c r="O1526" t="s">
        <v>24</v>
      </c>
      <c r="P1526" t="s">
        <v>25</v>
      </c>
      <c r="R1526">
        <f>tblDailySchedule[[#This Row],[Capacity Approx]]*'[1]Load Factor Sheet June Acft  '!$B$5</f>
        <v>153.04704545454547</v>
      </c>
      <c r="S1526">
        <f>tblDailySchedule[[#This Row],[Capacity Approx]]*'[1]Load Factor Sheet June Acft  '!$D$5</f>
        <v>165.71863636363636</v>
      </c>
      <c r="T1526" s="22">
        <f>tblDailySchedule[[#This Row],[STD]]</f>
        <v>0.33333333333333331</v>
      </c>
    </row>
    <row r="1527" spans="1:20" hidden="1" x14ac:dyDescent="0.35">
      <c r="A1527" s="11">
        <v>46165</v>
      </c>
      <c r="B1527" s="3">
        <v>6</v>
      </c>
      <c r="C1527" t="s">
        <v>116</v>
      </c>
      <c r="D1527" t="s">
        <v>18</v>
      </c>
      <c r="E1527" s="3">
        <v>2</v>
      </c>
      <c r="F1527" t="s">
        <v>19</v>
      </c>
      <c r="G1527" t="s">
        <v>20</v>
      </c>
      <c r="H1527" t="s">
        <v>21</v>
      </c>
      <c r="I1527" s="12">
        <v>0.31944444444444442</v>
      </c>
      <c r="J1527" t="s">
        <v>22</v>
      </c>
      <c r="K1527" t="s">
        <v>21</v>
      </c>
      <c r="L1527" s="12">
        <v>0.34722222222222221</v>
      </c>
      <c r="M1527" t="s">
        <v>23</v>
      </c>
      <c r="N1527" s="3">
        <v>186</v>
      </c>
      <c r="O1527" t="s">
        <v>24</v>
      </c>
      <c r="P1527" t="s">
        <v>25</v>
      </c>
      <c r="R1527">
        <f>tblDailySchedule[[#This Row],[Capacity Approx]]*'[1]Load Factor Sheet June Acft  '!$B$5</f>
        <v>150.61772727272728</v>
      </c>
      <c r="S1527">
        <f>tblDailySchedule[[#This Row],[Capacity Approx]]*'[1]Load Factor Sheet June Acft  '!$D$5</f>
        <v>163.08818181818182</v>
      </c>
      <c r="T1527" s="22">
        <f>tblDailySchedule[[#This Row],[STD]]</f>
        <v>0.34722222222222221</v>
      </c>
    </row>
    <row r="1528" spans="1:20" hidden="1" x14ac:dyDescent="0.35">
      <c r="A1528" s="11">
        <v>46165</v>
      </c>
      <c r="B1528" s="3">
        <v>6</v>
      </c>
      <c r="C1528" t="s">
        <v>116</v>
      </c>
      <c r="D1528" t="s">
        <v>18</v>
      </c>
      <c r="E1528" s="3">
        <v>3</v>
      </c>
      <c r="F1528" t="s">
        <v>19</v>
      </c>
      <c r="G1528" t="s">
        <v>26</v>
      </c>
      <c r="H1528" t="s">
        <v>27</v>
      </c>
      <c r="I1528" s="12">
        <v>0.3263888888888889</v>
      </c>
      <c r="J1528" t="s">
        <v>28</v>
      </c>
      <c r="K1528" t="s">
        <v>27</v>
      </c>
      <c r="L1528" s="12">
        <v>0.35416666666666669</v>
      </c>
      <c r="M1528" t="s">
        <v>29</v>
      </c>
      <c r="N1528" s="3">
        <v>186</v>
      </c>
      <c r="O1528" t="s">
        <v>24</v>
      </c>
      <c r="P1528" t="s">
        <v>25</v>
      </c>
      <c r="R1528">
        <f>tblDailySchedule[[#This Row],[Capacity Approx]]*'[1]Load Factor Sheet June Acft  '!$B$5</f>
        <v>150.61772727272728</v>
      </c>
      <c r="S1528">
        <f>tblDailySchedule[[#This Row],[Capacity Approx]]*'[1]Load Factor Sheet June Acft  '!$D$5</f>
        <v>163.08818181818182</v>
      </c>
      <c r="T1528" s="22">
        <f>tblDailySchedule[[#This Row],[STD]]</f>
        <v>0.35416666666666669</v>
      </c>
    </row>
    <row r="1529" spans="1:20" hidden="1" x14ac:dyDescent="0.35">
      <c r="A1529" s="11">
        <v>46165</v>
      </c>
      <c r="B1529" s="3">
        <v>6</v>
      </c>
      <c r="C1529" t="s">
        <v>116</v>
      </c>
      <c r="D1529" t="s">
        <v>18</v>
      </c>
      <c r="E1529" s="3">
        <v>4</v>
      </c>
      <c r="F1529" t="s">
        <v>19</v>
      </c>
      <c r="G1529" t="s">
        <v>30</v>
      </c>
      <c r="H1529" t="s">
        <v>31</v>
      </c>
      <c r="I1529" s="12">
        <v>0.34722222222222221</v>
      </c>
      <c r="J1529" t="s">
        <v>32</v>
      </c>
      <c r="K1529" t="s">
        <v>31</v>
      </c>
      <c r="L1529" s="12">
        <v>0.36805555555555558</v>
      </c>
      <c r="M1529" t="s">
        <v>33</v>
      </c>
      <c r="N1529" s="3">
        <v>189</v>
      </c>
      <c r="O1529" t="s">
        <v>24</v>
      </c>
      <c r="P1529" t="s">
        <v>25</v>
      </c>
      <c r="R1529">
        <f>tblDailySchedule[[#This Row],[Capacity Approx]]*'[1]Load Factor Sheet June Acft  '!$B$5</f>
        <v>153.04704545454547</v>
      </c>
      <c r="S1529">
        <f>tblDailySchedule[[#This Row],[Capacity Approx]]*'[1]Load Factor Sheet June Acft  '!$D$5</f>
        <v>165.71863636363636</v>
      </c>
      <c r="T1529" s="22">
        <f>tblDailySchedule[[#This Row],[STD]]</f>
        <v>0.36805555555555558</v>
      </c>
    </row>
    <row r="1530" spans="1:20" hidden="1" x14ac:dyDescent="0.35">
      <c r="A1530" s="11">
        <v>46165</v>
      </c>
      <c r="B1530" s="3">
        <v>6</v>
      </c>
      <c r="C1530" t="s">
        <v>116</v>
      </c>
      <c r="D1530" t="s">
        <v>18</v>
      </c>
      <c r="E1530" s="3">
        <v>5</v>
      </c>
      <c r="F1530" t="s">
        <v>19</v>
      </c>
      <c r="G1530" t="s">
        <v>40</v>
      </c>
      <c r="H1530" t="s">
        <v>31</v>
      </c>
      <c r="I1530" s="12">
        <v>0.35069444444444442</v>
      </c>
      <c r="J1530" t="s">
        <v>41</v>
      </c>
      <c r="K1530" t="s">
        <v>31</v>
      </c>
      <c r="L1530" s="12">
        <v>0.37152777777777779</v>
      </c>
      <c r="M1530" t="s">
        <v>23</v>
      </c>
      <c r="N1530" s="3">
        <v>186</v>
      </c>
      <c r="O1530" t="s">
        <v>24</v>
      </c>
      <c r="P1530" t="s">
        <v>25</v>
      </c>
      <c r="R1530">
        <f>tblDailySchedule[[#This Row],[Capacity Approx]]*'[1]Load Factor Sheet June Acft  '!$B$5</f>
        <v>150.61772727272728</v>
      </c>
      <c r="S1530">
        <f>tblDailySchedule[[#This Row],[Capacity Approx]]*'[1]Load Factor Sheet June Acft  '!$D$5</f>
        <v>163.08818181818182</v>
      </c>
      <c r="T1530" s="22">
        <f>tblDailySchedule[[#This Row],[STD]]</f>
        <v>0.37152777777777779</v>
      </c>
    </row>
    <row r="1531" spans="1:20" hidden="1" x14ac:dyDescent="0.35">
      <c r="A1531" s="11">
        <v>46165</v>
      </c>
      <c r="B1531" s="3">
        <v>6</v>
      </c>
      <c r="C1531" t="s">
        <v>116</v>
      </c>
      <c r="D1531" t="s">
        <v>18</v>
      </c>
      <c r="E1531" s="3">
        <v>7</v>
      </c>
      <c r="F1531" t="s">
        <v>19</v>
      </c>
      <c r="G1531" t="s">
        <v>42</v>
      </c>
      <c r="H1531" t="s">
        <v>43</v>
      </c>
      <c r="I1531" s="12">
        <v>0.3923611111111111</v>
      </c>
      <c r="J1531" t="s">
        <v>44</v>
      </c>
      <c r="K1531" t="s">
        <v>43</v>
      </c>
      <c r="L1531" s="12">
        <v>0.40277777777777779</v>
      </c>
      <c r="M1531" t="s">
        <v>45</v>
      </c>
      <c r="N1531" s="3">
        <v>9</v>
      </c>
      <c r="O1531" t="s">
        <v>24</v>
      </c>
      <c r="P1531" t="s">
        <v>25</v>
      </c>
      <c r="R1531">
        <f>tblDailySchedule[[#This Row],[Capacity Approx]]*'[1]Load Factor Sheet June Acft  '!$B$5</f>
        <v>7.2879545454545456</v>
      </c>
      <c r="S1531">
        <f>tblDailySchedule[[#This Row],[Capacity Approx]]*'[1]Load Factor Sheet June Acft  '!$D$5</f>
        <v>7.8913636363636366</v>
      </c>
      <c r="T1531" s="22">
        <f>tblDailySchedule[[#This Row],[STD]]</f>
        <v>0.40277777777777779</v>
      </c>
    </row>
    <row r="1532" spans="1:20" hidden="1" x14ac:dyDescent="0.35">
      <c r="A1532" s="11">
        <v>46165</v>
      </c>
      <c r="B1532" s="3">
        <v>6</v>
      </c>
      <c r="C1532" t="s">
        <v>116</v>
      </c>
      <c r="D1532" t="s">
        <v>18</v>
      </c>
      <c r="E1532" s="3">
        <v>8</v>
      </c>
      <c r="F1532" t="s">
        <v>19</v>
      </c>
      <c r="G1532" t="s">
        <v>46</v>
      </c>
      <c r="H1532" t="s">
        <v>31</v>
      </c>
      <c r="I1532" s="12">
        <v>0.4201388888888889</v>
      </c>
      <c r="J1532" t="s">
        <v>47</v>
      </c>
      <c r="K1532" t="s">
        <v>31</v>
      </c>
      <c r="L1532" s="12">
        <v>0.44444444444444442</v>
      </c>
      <c r="M1532" t="s">
        <v>29</v>
      </c>
      <c r="N1532" s="3">
        <v>186</v>
      </c>
      <c r="O1532" t="s">
        <v>24</v>
      </c>
      <c r="P1532" t="s">
        <v>25</v>
      </c>
      <c r="R1532">
        <f>tblDailySchedule[[#This Row],[Capacity Approx]]*'[1]Load Factor Sheet June Acft  '!$B$5</f>
        <v>150.61772727272728</v>
      </c>
      <c r="S1532">
        <f>tblDailySchedule[[#This Row],[Capacity Approx]]*'[1]Load Factor Sheet June Acft  '!$D$5</f>
        <v>163.08818181818182</v>
      </c>
      <c r="T1532" s="22">
        <f>tblDailySchedule[[#This Row],[STD]]</f>
        <v>0.44444444444444442</v>
      </c>
    </row>
    <row r="1533" spans="1:20" hidden="1" x14ac:dyDescent="0.35">
      <c r="A1533" s="11">
        <v>46165</v>
      </c>
      <c r="B1533" s="3">
        <v>6</v>
      </c>
      <c r="C1533" t="s">
        <v>116</v>
      </c>
      <c r="D1533" t="s">
        <v>18</v>
      </c>
      <c r="E1533" s="3">
        <v>9</v>
      </c>
      <c r="F1533" t="s">
        <v>19</v>
      </c>
      <c r="G1533" t="s">
        <v>48</v>
      </c>
      <c r="H1533" t="s">
        <v>49</v>
      </c>
      <c r="I1533" s="12">
        <v>0.4375</v>
      </c>
      <c r="J1533" t="s">
        <v>50</v>
      </c>
      <c r="K1533" t="s">
        <v>49</v>
      </c>
      <c r="L1533" s="12">
        <v>0.45833333333333331</v>
      </c>
      <c r="M1533" t="s">
        <v>51</v>
      </c>
      <c r="N1533" s="3">
        <v>78</v>
      </c>
      <c r="O1533" t="s">
        <v>24</v>
      </c>
      <c r="P1533" t="s">
        <v>25</v>
      </c>
      <c r="R1533">
        <f>tblDailySchedule[[#This Row],[Capacity Approx]]*'[1]Load Factor Sheet June Acft  '!$B$5</f>
        <v>63.162272727272729</v>
      </c>
      <c r="S1533">
        <f>tblDailySchedule[[#This Row],[Capacity Approx]]*'[1]Load Factor Sheet June Acft  '!$D$5</f>
        <v>68.391818181818181</v>
      </c>
      <c r="T1533" s="22">
        <f>tblDailySchedule[[#This Row],[STD]]</f>
        <v>0.45833333333333331</v>
      </c>
    </row>
    <row r="1534" spans="1:20" hidden="1" x14ac:dyDescent="0.35">
      <c r="A1534" s="11">
        <v>46165</v>
      </c>
      <c r="B1534" s="3">
        <v>6</v>
      </c>
      <c r="C1534" t="s">
        <v>116</v>
      </c>
      <c r="D1534" t="s">
        <v>18</v>
      </c>
      <c r="E1534" s="3">
        <v>10</v>
      </c>
      <c r="F1534" t="s">
        <v>19</v>
      </c>
      <c r="G1534" t="s">
        <v>52</v>
      </c>
      <c r="H1534" t="s">
        <v>27</v>
      </c>
      <c r="I1534" s="12">
        <v>0.4826388888888889</v>
      </c>
      <c r="J1534" t="s">
        <v>53</v>
      </c>
      <c r="K1534" t="s">
        <v>27</v>
      </c>
      <c r="L1534" s="12">
        <v>0.51041666666666663</v>
      </c>
      <c r="M1534" t="s">
        <v>23</v>
      </c>
      <c r="N1534" s="3">
        <v>186</v>
      </c>
      <c r="O1534" t="s">
        <v>24</v>
      </c>
      <c r="P1534" t="s">
        <v>25</v>
      </c>
      <c r="R1534">
        <f>tblDailySchedule[[#This Row],[Capacity Approx]]*'[1]Load Factor Sheet June Acft  '!$B$5</f>
        <v>150.61772727272728</v>
      </c>
      <c r="S1534">
        <f>tblDailySchedule[[#This Row],[Capacity Approx]]*'[1]Load Factor Sheet June Acft  '!$D$5</f>
        <v>163.08818181818182</v>
      </c>
      <c r="T1534" s="22">
        <f>tblDailySchedule[[#This Row],[STD]]</f>
        <v>0.51041666666666663</v>
      </c>
    </row>
    <row r="1535" spans="1:20" hidden="1" x14ac:dyDescent="0.35">
      <c r="A1535" s="11">
        <v>46165</v>
      </c>
      <c r="B1535" s="3">
        <v>6</v>
      </c>
      <c r="C1535" t="s">
        <v>116</v>
      </c>
      <c r="D1535" t="s">
        <v>18</v>
      </c>
      <c r="E1535" s="3">
        <v>11</v>
      </c>
      <c r="F1535" t="s">
        <v>19</v>
      </c>
      <c r="G1535" t="s">
        <v>54</v>
      </c>
      <c r="H1535" t="s">
        <v>31</v>
      </c>
      <c r="I1535" s="12">
        <v>0.51388888888888884</v>
      </c>
      <c r="J1535" t="s">
        <v>55</v>
      </c>
      <c r="K1535" t="s">
        <v>31</v>
      </c>
      <c r="L1535" s="12">
        <v>0.54166666666666663</v>
      </c>
      <c r="M1535" t="s">
        <v>23</v>
      </c>
      <c r="N1535" s="3">
        <v>186</v>
      </c>
      <c r="O1535" t="s">
        <v>24</v>
      </c>
      <c r="P1535" t="s">
        <v>56</v>
      </c>
      <c r="R1535">
        <f>tblDailySchedule[[#This Row],[Capacity Approx]]*'[1]Load Factor Sheet June Acft  '!$B$5</f>
        <v>150.61772727272728</v>
      </c>
      <c r="S1535">
        <f>tblDailySchedule[[#This Row],[Capacity Approx]]*'[1]Load Factor Sheet June Acft  '!$D$5</f>
        <v>163.08818181818182</v>
      </c>
      <c r="T1535" s="22">
        <f>tblDailySchedule[[#This Row],[STD]]</f>
        <v>0.54166666666666663</v>
      </c>
    </row>
    <row r="1536" spans="1:20" hidden="1" x14ac:dyDescent="0.35">
      <c r="A1536" s="11">
        <v>46165</v>
      </c>
      <c r="B1536" s="3">
        <v>6</v>
      </c>
      <c r="C1536" t="s">
        <v>116</v>
      </c>
      <c r="D1536" t="s">
        <v>18</v>
      </c>
      <c r="E1536" s="3">
        <v>12</v>
      </c>
      <c r="F1536" t="s">
        <v>109</v>
      </c>
      <c r="G1536" t="s">
        <v>110</v>
      </c>
      <c r="H1536" t="s">
        <v>111</v>
      </c>
      <c r="I1536" s="12">
        <v>0.55555555555555558</v>
      </c>
      <c r="J1536" t="s">
        <v>112</v>
      </c>
      <c r="K1536" t="s">
        <v>111</v>
      </c>
      <c r="L1536" s="12">
        <v>0.56944444444444442</v>
      </c>
      <c r="M1536" t="s">
        <v>51</v>
      </c>
      <c r="N1536" s="3">
        <v>78</v>
      </c>
      <c r="O1536" t="s">
        <v>24</v>
      </c>
      <c r="P1536" t="s">
        <v>56</v>
      </c>
      <c r="R1536">
        <f>tblDailySchedule[[#This Row],[Capacity Approx]]*'[1]Load Factor Sheet June Acft  '!$B$5</f>
        <v>63.162272727272729</v>
      </c>
      <c r="S1536">
        <f>tblDailySchedule[[#This Row],[Capacity Approx]]*'[1]Load Factor Sheet June Acft  '!$D$5</f>
        <v>68.391818181818181</v>
      </c>
      <c r="T1536" s="22">
        <f>tblDailySchedule[[#This Row],[STD]]</f>
        <v>0.56944444444444442</v>
      </c>
    </row>
    <row r="1537" spans="1:20" hidden="1" x14ac:dyDescent="0.35">
      <c r="A1537" s="11">
        <v>46165</v>
      </c>
      <c r="B1537" s="3">
        <v>6</v>
      </c>
      <c r="C1537" t="s">
        <v>116</v>
      </c>
      <c r="D1537" t="s">
        <v>18</v>
      </c>
      <c r="E1537" s="3">
        <v>13</v>
      </c>
      <c r="F1537" t="s">
        <v>19</v>
      </c>
      <c r="G1537" t="s">
        <v>57</v>
      </c>
      <c r="H1537" t="s">
        <v>58</v>
      </c>
      <c r="I1537" s="12">
        <v>0.55902777777777779</v>
      </c>
      <c r="J1537" t="s">
        <v>59</v>
      </c>
      <c r="K1537" t="s">
        <v>58</v>
      </c>
      <c r="L1537" s="12">
        <v>0.57638888888888884</v>
      </c>
      <c r="M1537" t="s">
        <v>51</v>
      </c>
      <c r="N1537" s="3">
        <v>78</v>
      </c>
      <c r="O1537" t="s">
        <v>24</v>
      </c>
      <c r="P1537" t="s">
        <v>56</v>
      </c>
      <c r="R1537">
        <f>tblDailySchedule[[#This Row],[Capacity Approx]]*'[1]Load Factor Sheet June Acft  '!$B$5</f>
        <v>63.162272727272729</v>
      </c>
      <c r="S1537">
        <f>tblDailySchedule[[#This Row],[Capacity Approx]]*'[1]Load Factor Sheet June Acft  '!$D$5</f>
        <v>68.391818181818181</v>
      </c>
      <c r="T1537" s="22">
        <f>tblDailySchedule[[#This Row],[STD]]</f>
        <v>0.57638888888888884</v>
      </c>
    </row>
    <row r="1538" spans="1:20" hidden="1" x14ac:dyDescent="0.35">
      <c r="A1538" s="11">
        <v>46165</v>
      </c>
      <c r="B1538" s="3">
        <v>6</v>
      </c>
      <c r="C1538" t="s">
        <v>116</v>
      </c>
      <c r="D1538" t="s">
        <v>18</v>
      </c>
      <c r="E1538" s="3">
        <v>14</v>
      </c>
      <c r="F1538" t="s">
        <v>19</v>
      </c>
      <c r="G1538" t="s">
        <v>60</v>
      </c>
      <c r="H1538" t="s">
        <v>61</v>
      </c>
      <c r="I1538" s="12">
        <v>0.59027777777777779</v>
      </c>
      <c r="J1538" t="s">
        <v>62</v>
      </c>
      <c r="K1538" t="s">
        <v>61</v>
      </c>
      <c r="L1538" s="12">
        <v>0.62152777777777779</v>
      </c>
      <c r="M1538" t="s">
        <v>63</v>
      </c>
      <c r="N1538" s="3">
        <v>232</v>
      </c>
      <c r="O1538" t="s">
        <v>24</v>
      </c>
      <c r="P1538" t="s">
        <v>56</v>
      </c>
      <c r="R1538">
        <f>tblDailySchedule[[#This Row],[Capacity Approx]]*'[1]Load Factor Sheet June Acft  '!$B$5</f>
        <v>187.86727272727273</v>
      </c>
      <c r="S1538">
        <f>tblDailySchedule[[#This Row],[Capacity Approx]]*'[1]Load Factor Sheet June Acft  '!$D$5</f>
        <v>203.4218181818182</v>
      </c>
      <c r="T1538" s="22">
        <f>tblDailySchedule[[#This Row],[STD]]</f>
        <v>0.62152777777777779</v>
      </c>
    </row>
    <row r="1539" spans="1:20" hidden="1" x14ac:dyDescent="0.35">
      <c r="A1539" s="11">
        <v>46165</v>
      </c>
      <c r="B1539" s="3">
        <v>6</v>
      </c>
      <c r="C1539" t="s">
        <v>116</v>
      </c>
      <c r="D1539" t="s">
        <v>18</v>
      </c>
      <c r="E1539" s="3">
        <v>15</v>
      </c>
      <c r="F1539" t="s">
        <v>19</v>
      </c>
      <c r="G1539" t="s">
        <v>64</v>
      </c>
      <c r="H1539" t="s">
        <v>31</v>
      </c>
      <c r="I1539" s="12">
        <v>0.60069444444444442</v>
      </c>
      <c r="J1539" t="s">
        <v>65</v>
      </c>
      <c r="K1539" t="s">
        <v>66</v>
      </c>
      <c r="L1539" s="12">
        <v>0.62847222222222221</v>
      </c>
      <c r="M1539" t="s">
        <v>63</v>
      </c>
      <c r="N1539" s="3">
        <v>232</v>
      </c>
      <c r="O1539" t="s">
        <v>24</v>
      </c>
      <c r="P1539" t="s">
        <v>56</v>
      </c>
      <c r="R1539">
        <f>tblDailySchedule[[#This Row],[Capacity Approx]]*'[1]Load Factor Sheet June Acft  '!$B$5</f>
        <v>187.86727272727273</v>
      </c>
      <c r="S1539">
        <f>tblDailySchedule[[#This Row],[Capacity Approx]]*'[1]Load Factor Sheet June Acft  '!$D$5</f>
        <v>203.4218181818182</v>
      </c>
      <c r="T1539" s="22">
        <f>tblDailySchedule[[#This Row],[STD]]</f>
        <v>0.62847222222222221</v>
      </c>
    </row>
    <row r="1540" spans="1:20" hidden="1" x14ac:dyDescent="0.35">
      <c r="A1540" s="11">
        <v>46165</v>
      </c>
      <c r="B1540" s="3">
        <v>6</v>
      </c>
      <c r="C1540" t="s">
        <v>116</v>
      </c>
      <c r="D1540" t="s">
        <v>18</v>
      </c>
      <c r="E1540" s="3">
        <v>16</v>
      </c>
      <c r="F1540" t="s">
        <v>19</v>
      </c>
      <c r="G1540" t="s">
        <v>67</v>
      </c>
      <c r="H1540" t="s">
        <v>31</v>
      </c>
      <c r="I1540" s="12">
        <v>0.65625</v>
      </c>
      <c r="J1540" t="s">
        <v>68</v>
      </c>
      <c r="K1540" t="s">
        <v>31</v>
      </c>
      <c r="L1540" s="12">
        <v>0.68402777777777779</v>
      </c>
      <c r="M1540" t="s">
        <v>63</v>
      </c>
      <c r="N1540" s="3">
        <v>232</v>
      </c>
      <c r="O1540" t="s">
        <v>24</v>
      </c>
      <c r="P1540" t="s">
        <v>56</v>
      </c>
      <c r="R1540">
        <f>tblDailySchedule[[#This Row],[Capacity Approx]]*'[1]Load Factor Sheet June Acft  '!$B$5</f>
        <v>187.86727272727273</v>
      </c>
      <c r="S1540">
        <f>tblDailySchedule[[#This Row],[Capacity Approx]]*'[1]Load Factor Sheet June Acft  '!$D$5</f>
        <v>203.4218181818182</v>
      </c>
      <c r="T1540" s="22">
        <f>tblDailySchedule[[#This Row],[STD]]</f>
        <v>0.68402777777777779</v>
      </c>
    </row>
    <row r="1541" spans="1:20" hidden="1" x14ac:dyDescent="0.35">
      <c r="A1541" s="11">
        <v>46165</v>
      </c>
      <c r="B1541" s="3">
        <v>6</v>
      </c>
      <c r="C1541" t="s">
        <v>116</v>
      </c>
      <c r="D1541" t="s">
        <v>18</v>
      </c>
      <c r="E1541" s="3">
        <v>17</v>
      </c>
      <c r="F1541" t="s">
        <v>19</v>
      </c>
      <c r="G1541" t="s">
        <v>69</v>
      </c>
      <c r="H1541" t="s">
        <v>31</v>
      </c>
      <c r="I1541" s="12">
        <v>0.66319444444444442</v>
      </c>
      <c r="J1541" t="s">
        <v>70</v>
      </c>
      <c r="K1541" t="s">
        <v>31</v>
      </c>
      <c r="L1541" s="12">
        <v>0.69097222222222221</v>
      </c>
      <c r="M1541" t="s">
        <v>33</v>
      </c>
      <c r="N1541" s="3">
        <v>189</v>
      </c>
      <c r="O1541" t="s">
        <v>24</v>
      </c>
      <c r="P1541" t="s">
        <v>56</v>
      </c>
      <c r="R1541">
        <f>tblDailySchedule[[#This Row],[Capacity Approx]]*'[1]Load Factor Sheet June Acft  '!$B$5</f>
        <v>153.04704545454547</v>
      </c>
      <c r="S1541">
        <f>tblDailySchedule[[#This Row],[Capacity Approx]]*'[1]Load Factor Sheet June Acft  '!$D$5</f>
        <v>165.71863636363636</v>
      </c>
      <c r="T1541" s="22">
        <f>tblDailySchedule[[#This Row],[STD]]</f>
        <v>0.69097222222222221</v>
      </c>
    </row>
    <row r="1542" spans="1:20" hidden="1" x14ac:dyDescent="0.35">
      <c r="A1542" s="11">
        <v>46165</v>
      </c>
      <c r="B1542" s="3">
        <v>6</v>
      </c>
      <c r="C1542" t="s">
        <v>116</v>
      </c>
      <c r="D1542" t="s">
        <v>18</v>
      </c>
      <c r="E1542" s="3">
        <v>18</v>
      </c>
      <c r="F1542" t="s">
        <v>19</v>
      </c>
      <c r="G1542" t="s">
        <v>71</v>
      </c>
      <c r="H1542" t="s">
        <v>21</v>
      </c>
      <c r="I1542" s="12">
        <v>0.67013888888888884</v>
      </c>
      <c r="J1542" t="s">
        <v>72</v>
      </c>
      <c r="K1542" t="s">
        <v>21</v>
      </c>
      <c r="L1542" s="12">
        <v>0.69791666666666663</v>
      </c>
      <c r="M1542" t="s">
        <v>63</v>
      </c>
      <c r="N1542" s="3">
        <v>232</v>
      </c>
      <c r="O1542" t="s">
        <v>24</v>
      </c>
      <c r="P1542" t="s">
        <v>56</v>
      </c>
      <c r="R1542">
        <f>tblDailySchedule[[#This Row],[Capacity Approx]]*'[1]Load Factor Sheet June Acft  '!$B$5</f>
        <v>187.86727272727273</v>
      </c>
      <c r="S1542">
        <f>tblDailySchedule[[#This Row],[Capacity Approx]]*'[1]Load Factor Sheet June Acft  '!$D$5</f>
        <v>203.4218181818182</v>
      </c>
      <c r="T1542" s="22">
        <f>tblDailySchedule[[#This Row],[STD]]</f>
        <v>0.69791666666666663</v>
      </c>
    </row>
    <row r="1543" spans="1:20" hidden="1" x14ac:dyDescent="0.35">
      <c r="A1543" s="11">
        <v>46165</v>
      </c>
      <c r="B1543" s="3">
        <v>6</v>
      </c>
      <c r="C1543" t="s">
        <v>116</v>
      </c>
      <c r="D1543" t="s">
        <v>18</v>
      </c>
      <c r="E1543" s="3">
        <v>19</v>
      </c>
      <c r="F1543" t="s">
        <v>19</v>
      </c>
      <c r="G1543" t="s">
        <v>73</v>
      </c>
      <c r="H1543" t="s">
        <v>27</v>
      </c>
      <c r="I1543" s="12">
        <v>0.74652777777777779</v>
      </c>
      <c r="J1543" t="s">
        <v>74</v>
      </c>
      <c r="K1543" t="s">
        <v>27</v>
      </c>
      <c r="L1543" s="12">
        <v>0.77430555555555558</v>
      </c>
      <c r="M1543" t="s">
        <v>63</v>
      </c>
      <c r="N1543" s="3">
        <v>232</v>
      </c>
      <c r="O1543" t="s">
        <v>24</v>
      </c>
      <c r="P1543" t="s">
        <v>56</v>
      </c>
      <c r="R1543">
        <f>tblDailySchedule[[#This Row],[Capacity Approx]]*'[1]Load Factor Sheet June Acft  '!$B$5</f>
        <v>187.86727272727273</v>
      </c>
      <c r="S1543">
        <f>tblDailySchedule[[#This Row],[Capacity Approx]]*'[1]Load Factor Sheet June Acft  '!$D$5</f>
        <v>203.4218181818182</v>
      </c>
      <c r="T1543" s="22">
        <f>tblDailySchedule[[#This Row],[STD]]</f>
        <v>0.77430555555555558</v>
      </c>
    </row>
    <row r="1544" spans="1:20" hidden="1" x14ac:dyDescent="0.35">
      <c r="A1544" s="11">
        <v>46165</v>
      </c>
      <c r="B1544" s="3">
        <v>6</v>
      </c>
      <c r="C1544" t="s">
        <v>116</v>
      </c>
      <c r="D1544" t="s">
        <v>18</v>
      </c>
      <c r="E1544" s="3">
        <v>21</v>
      </c>
      <c r="F1544" t="s">
        <v>19</v>
      </c>
      <c r="G1544" t="s">
        <v>81</v>
      </c>
      <c r="H1544" t="s">
        <v>61</v>
      </c>
      <c r="I1544" s="12">
        <v>0.77083333333333337</v>
      </c>
      <c r="J1544" t="s">
        <v>82</v>
      </c>
      <c r="K1544" t="s">
        <v>49</v>
      </c>
      <c r="L1544" s="12">
        <v>0.79166666666666663</v>
      </c>
      <c r="M1544" t="s">
        <v>33</v>
      </c>
      <c r="N1544" s="3">
        <v>189</v>
      </c>
      <c r="O1544" t="s">
        <v>24</v>
      </c>
      <c r="P1544" t="s">
        <v>79</v>
      </c>
      <c r="R1544">
        <f>tblDailySchedule[[#This Row],[Capacity Approx]]*'[1]Load Factor Sheet June Acft  '!$B$5</f>
        <v>153.04704545454547</v>
      </c>
      <c r="S1544">
        <f>tblDailySchedule[[#This Row],[Capacity Approx]]*'[1]Load Factor Sheet June Acft  '!$D$5</f>
        <v>165.71863636363636</v>
      </c>
      <c r="T1544" s="22">
        <f>tblDailySchedule[[#This Row],[STD]]</f>
        <v>0.79166666666666663</v>
      </c>
    </row>
    <row r="1545" spans="1:20" hidden="1" x14ac:dyDescent="0.35">
      <c r="A1545" s="11">
        <v>46165</v>
      </c>
      <c r="B1545" s="3">
        <v>6</v>
      </c>
      <c r="C1545" t="s">
        <v>116</v>
      </c>
      <c r="D1545" t="s">
        <v>18</v>
      </c>
      <c r="E1545" s="3">
        <v>22</v>
      </c>
      <c r="F1545" t="s">
        <v>19</v>
      </c>
      <c r="G1545" t="s">
        <v>83</v>
      </c>
      <c r="H1545" t="s">
        <v>31</v>
      </c>
      <c r="I1545" s="12">
        <v>0.77777777777777779</v>
      </c>
      <c r="J1545" t="s">
        <v>84</v>
      </c>
      <c r="K1545" t="s">
        <v>31</v>
      </c>
      <c r="L1545" s="12">
        <v>0.80555555555555558</v>
      </c>
      <c r="M1545" t="s">
        <v>63</v>
      </c>
      <c r="N1545" s="3">
        <v>232</v>
      </c>
      <c r="O1545" t="s">
        <v>24</v>
      </c>
      <c r="P1545" t="s">
        <v>79</v>
      </c>
      <c r="R1545">
        <f>tblDailySchedule[[#This Row],[Capacity Approx]]*'[1]Load Factor Sheet June Acft  '!$B$5</f>
        <v>187.86727272727273</v>
      </c>
      <c r="S1545">
        <f>tblDailySchedule[[#This Row],[Capacity Approx]]*'[1]Load Factor Sheet June Acft  '!$D$5</f>
        <v>203.4218181818182</v>
      </c>
      <c r="T1545" s="22">
        <f>tblDailySchedule[[#This Row],[STD]]</f>
        <v>0.80555555555555558</v>
      </c>
    </row>
    <row r="1546" spans="1:20" hidden="1" x14ac:dyDescent="0.35">
      <c r="A1546" s="11">
        <v>46165</v>
      </c>
      <c r="B1546" s="3">
        <v>6</v>
      </c>
      <c r="C1546" t="s">
        <v>116</v>
      </c>
      <c r="D1546" t="s">
        <v>18</v>
      </c>
      <c r="E1546" s="3">
        <v>23</v>
      </c>
      <c r="F1546" t="s">
        <v>19</v>
      </c>
      <c r="G1546" t="s">
        <v>85</v>
      </c>
      <c r="H1546" t="s">
        <v>86</v>
      </c>
      <c r="I1546" s="12">
        <v>0.79861111111111116</v>
      </c>
      <c r="J1546" t="s">
        <v>87</v>
      </c>
      <c r="K1546" t="s">
        <v>86</v>
      </c>
      <c r="L1546" s="12">
        <v>0.82638888888888884</v>
      </c>
      <c r="M1546" t="s">
        <v>63</v>
      </c>
      <c r="N1546" s="3">
        <v>232</v>
      </c>
      <c r="O1546" t="s">
        <v>24</v>
      </c>
      <c r="P1546" t="s">
        <v>79</v>
      </c>
      <c r="R1546">
        <f>tblDailySchedule[[#This Row],[Capacity Approx]]*'[1]Load Factor Sheet June Acft  '!$B$5</f>
        <v>187.86727272727273</v>
      </c>
      <c r="S1546">
        <f>tblDailySchedule[[#This Row],[Capacity Approx]]*'[1]Load Factor Sheet June Acft  '!$D$5</f>
        <v>203.4218181818182</v>
      </c>
      <c r="T1546" s="22">
        <f>tblDailySchedule[[#This Row],[STD]]</f>
        <v>0.82638888888888884</v>
      </c>
    </row>
    <row r="1547" spans="1:20" hidden="1" x14ac:dyDescent="0.35">
      <c r="A1547" s="11">
        <v>46165</v>
      </c>
      <c r="B1547" s="3">
        <v>6</v>
      </c>
      <c r="C1547" t="s">
        <v>116</v>
      </c>
      <c r="D1547" t="s">
        <v>18</v>
      </c>
      <c r="E1547" s="3">
        <v>24</v>
      </c>
      <c r="F1547" t="s">
        <v>19</v>
      </c>
      <c r="G1547" t="s">
        <v>88</v>
      </c>
      <c r="H1547" t="s">
        <v>89</v>
      </c>
      <c r="I1547" s="12">
        <v>0.83333333333333337</v>
      </c>
      <c r="J1547" t="s">
        <v>90</v>
      </c>
      <c r="K1547" t="s">
        <v>31</v>
      </c>
      <c r="L1547" s="12">
        <v>0.86111111111111116</v>
      </c>
      <c r="M1547" t="s">
        <v>63</v>
      </c>
      <c r="N1547" s="3">
        <v>232</v>
      </c>
      <c r="O1547" t="s">
        <v>24</v>
      </c>
      <c r="P1547" t="s">
        <v>79</v>
      </c>
      <c r="R1547">
        <f>tblDailySchedule[[#This Row],[Capacity Approx]]*'[1]Load Factor Sheet June Acft  '!$B$5</f>
        <v>187.86727272727273</v>
      </c>
      <c r="S1547">
        <f>tblDailySchedule[[#This Row],[Capacity Approx]]*'[1]Load Factor Sheet June Acft  '!$D$5</f>
        <v>203.4218181818182</v>
      </c>
      <c r="T1547" s="22">
        <f>tblDailySchedule[[#This Row],[STD]]</f>
        <v>0.86111111111111116</v>
      </c>
    </row>
    <row r="1548" spans="1:20" hidden="1" x14ac:dyDescent="0.35">
      <c r="A1548" s="11">
        <v>46165</v>
      </c>
      <c r="B1548" s="3">
        <v>6</v>
      </c>
      <c r="C1548" t="s">
        <v>116</v>
      </c>
      <c r="D1548" t="s">
        <v>18</v>
      </c>
      <c r="E1548" s="3">
        <v>25</v>
      </c>
      <c r="F1548" t="s">
        <v>19</v>
      </c>
      <c r="G1548" t="s">
        <v>91</v>
      </c>
      <c r="H1548" t="s">
        <v>61</v>
      </c>
      <c r="I1548" s="12">
        <v>0.85416666666666663</v>
      </c>
      <c r="J1548" t="s">
        <v>92</v>
      </c>
      <c r="K1548" t="s">
        <v>61</v>
      </c>
      <c r="L1548" s="12">
        <v>0.88194444444444442</v>
      </c>
      <c r="M1548" t="s">
        <v>63</v>
      </c>
      <c r="N1548" s="3">
        <v>232</v>
      </c>
      <c r="O1548" t="s">
        <v>24</v>
      </c>
      <c r="P1548" t="s">
        <v>79</v>
      </c>
      <c r="R1548">
        <f>tblDailySchedule[[#This Row],[Capacity Approx]]*'[1]Load Factor Sheet June Acft  '!$B$5</f>
        <v>187.86727272727273</v>
      </c>
      <c r="S1548">
        <f>tblDailySchedule[[#This Row],[Capacity Approx]]*'[1]Load Factor Sheet June Acft  '!$D$5</f>
        <v>203.4218181818182</v>
      </c>
      <c r="T1548" s="22">
        <f>tblDailySchedule[[#This Row],[STD]]</f>
        <v>0.88194444444444442</v>
      </c>
    </row>
    <row r="1549" spans="1:20" hidden="1" x14ac:dyDescent="0.35">
      <c r="A1549" s="11">
        <v>46165</v>
      </c>
      <c r="B1549" s="3">
        <v>6</v>
      </c>
      <c r="C1549" t="s">
        <v>116</v>
      </c>
      <c r="D1549" t="s">
        <v>18</v>
      </c>
      <c r="E1549" s="3">
        <v>26</v>
      </c>
      <c r="F1549" t="s">
        <v>19</v>
      </c>
      <c r="G1549" t="s">
        <v>93</v>
      </c>
      <c r="H1549" t="s">
        <v>31</v>
      </c>
      <c r="I1549" s="12">
        <v>0.86111111111111116</v>
      </c>
      <c r="J1549" t="s">
        <v>94</v>
      </c>
      <c r="K1549" t="s">
        <v>31</v>
      </c>
      <c r="L1549" s="12">
        <v>0.88888888888888884</v>
      </c>
      <c r="M1549" t="s">
        <v>23</v>
      </c>
      <c r="N1549" s="3">
        <v>186</v>
      </c>
      <c r="O1549" t="s">
        <v>24</v>
      </c>
      <c r="P1549" t="s">
        <v>79</v>
      </c>
      <c r="R1549">
        <f>tblDailySchedule[[#This Row],[Capacity Approx]]*'[1]Load Factor Sheet June Acft  '!$B$5</f>
        <v>150.61772727272728</v>
      </c>
      <c r="S1549">
        <f>tblDailySchedule[[#This Row],[Capacity Approx]]*'[1]Load Factor Sheet June Acft  '!$D$5</f>
        <v>163.08818181818182</v>
      </c>
      <c r="T1549" s="22">
        <f>tblDailySchedule[[#This Row],[STD]]</f>
        <v>0.88888888888888884</v>
      </c>
    </row>
    <row r="1550" spans="1:20" hidden="1" x14ac:dyDescent="0.35">
      <c r="A1550" s="11">
        <v>46165</v>
      </c>
      <c r="B1550" s="3">
        <v>6</v>
      </c>
      <c r="C1550" t="s">
        <v>116</v>
      </c>
      <c r="D1550" t="s">
        <v>18</v>
      </c>
      <c r="E1550" s="3">
        <v>27</v>
      </c>
      <c r="F1550" t="s">
        <v>19</v>
      </c>
      <c r="G1550" t="s">
        <v>95</v>
      </c>
      <c r="H1550" t="s">
        <v>21</v>
      </c>
      <c r="I1550" s="12">
        <v>0.86805555555555558</v>
      </c>
      <c r="J1550" t="s">
        <v>96</v>
      </c>
      <c r="K1550" t="s">
        <v>21</v>
      </c>
      <c r="L1550" s="12">
        <v>0.89583333333333337</v>
      </c>
      <c r="M1550" t="s">
        <v>29</v>
      </c>
      <c r="N1550" s="3">
        <v>186</v>
      </c>
      <c r="O1550" t="s">
        <v>24</v>
      </c>
      <c r="P1550" t="s">
        <v>79</v>
      </c>
      <c r="R1550">
        <f>tblDailySchedule[[#This Row],[Capacity Approx]]*'[1]Load Factor Sheet June Acft  '!$B$5</f>
        <v>150.61772727272728</v>
      </c>
      <c r="S1550">
        <f>tblDailySchedule[[#This Row],[Capacity Approx]]*'[1]Load Factor Sheet June Acft  '!$D$5</f>
        <v>163.08818181818182</v>
      </c>
      <c r="T1550" s="22">
        <f>tblDailySchedule[[#This Row],[STD]]</f>
        <v>0.89583333333333337</v>
      </c>
    </row>
    <row r="1551" spans="1:20" hidden="1" x14ac:dyDescent="0.35">
      <c r="A1551" s="11">
        <v>46165</v>
      </c>
      <c r="B1551" s="3">
        <v>6</v>
      </c>
      <c r="C1551" t="s">
        <v>116</v>
      </c>
      <c r="D1551" t="s">
        <v>18</v>
      </c>
      <c r="E1551" s="3">
        <v>28</v>
      </c>
      <c r="F1551" t="s">
        <v>19</v>
      </c>
      <c r="G1551" t="s">
        <v>97</v>
      </c>
      <c r="H1551" t="s">
        <v>49</v>
      </c>
      <c r="I1551" s="12">
        <v>0.90277777777777779</v>
      </c>
      <c r="J1551" t="s">
        <v>97</v>
      </c>
      <c r="K1551" t="s">
        <v>61</v>
      </c>
      <c r="L1551" s="12">
        <v>0.92361111111111116</v>
      </c>
      <c r="M1551" t="s">
        <v>33</v>
      </c>
      <c r="N1551" s="3">
        <v>189</v>
      </c>
      <c r="O1551" t="s">
        <v>24</v>
      </c>
      <c r="P1551" t="s">
        <v>79</v>
      </c>
      <c r="R1551">
        <f>tblDailySchedule[[#This Row],[Capacity Approx]]*'[1]Load Factor Sheet June Acft  '!$B$5</f>
        <v>153.04704545454547</v>
      </c>
      <c r="S1551">
        <f>tblDailySchedule[[#This Row],[Capacity Approx]]*'[1]Load Factor Sheet June Acft  '!$D$5</f>
        <v>165.71863636363636</v>
      </c>
      <c r="T1551" s="22">
        <f>tblDailySchedule[[#This Row],[STD]]</f>
        <v>0.92361111111111116</v>
      </c>
    </row>
    <row r="1552" spans="1:20" hidden="1" x14ac:dyDescent="0.35">
      <c r="A1552" s="11">
        <v>46165</v>
      </c>
      <c r="B1552" s="3">
        <v>6</v>
      </c>
      <c r="C1552" t="s">
        <v>116</v>
      </c>
      <c r="D1552" t="s">
        <v>18</v>
      </c>
      <c r="E1552" s="3">
        <v>29</v>
      </c>
      <c r="F1552" t="s">
        <v>19</v>
      </c>
      <c r="G1552" t="s">
        <v>98</v>
      </c>
      <c r="H1552" t="s">
        <v>21</v>
      </c>
      <c r="I1552" s="12">
        <v>0.92013888888888884</v>
      </c>
      <c r="J1552" t="s">
        <v>99</v>
      </c>
      <c r="K1552" t="s">
        <v>21</v>
      </c>
      <c r="L1552" s="12">
        <v>0.94791666666666663</v>
      </c>
      <c r="M1552" t="s">
        <v>63</v>
      </c>
      <c r="N1552" s="3">
        <v>232</v>
      </c>
      <c r="O1552" t="s">
        <v>24</v>
      </c>
      <c r="P1552" t="s">
        <v>79</v>
      </c>
      <c r="R1552">
        <f>tblDailySchedule[[#This Row],[Capacity Approx]]*'[1]Load Factor Sheet June Acft  '!$B$5</f>
        <v>187.86727272727273</v>
      </c>
      <c r="S1552">
        <f>tblDailySchedule[[#This Row],[Capacity Approx]]*'[1]Load Factor Sheet June Acft  '!$D$5</f>
        <v>203.4218181818182</v>
      </c>
      <c r="T1552" s="22">
        <f>tblDailySchedule[[#This Row],[STD]]</f>
        <v>0.94791666666666663</v>
      </c>
    </row>
    <row r="1553" spans="1:20" hidden="1" x14ac:dyDescent="0.35">
      <c r="A1553" s="13">
        <v>46165</v>
      </c>
      <c r="B1553" s="7">
        <v>6</v>
      </c>
      <c r="C1553" s="14" t="s">
        <v>116</v>
      </c>
      <c r="D1553" s="14" t="s">
        <v>18</v>
      </c>
      <c r="E1553" s="7">
        <v>30</v>
      </c>
      <c r="F1553" s="14" t="s">
        <v>104</v>
      </c>
      <c r="G1553" s="14" t="s">
        <v>105</v>
      </c>
      <c r="H1553" s="14" t="s">
        <v>106</v>
      </c>
      <c r="I1553" s="15">
        <v>0.92708333333333337</v>
      </c>
      <c r="J1553" s="14" t="s">
        <v>107</v>
      </c>
      <c r="K1553" s="14" t="s">
        <v>106</v>
      </c>
      <c r="L1553" s="15">
        <v>0.95833333333333337</v>
      </c>
      <c r="M1553" s="14" t="s">
        <v>38</v>
      </c>
      <c r="N1553" s="7">
        <v>186</v>
      </c>
      <c r="O1553" s="14" t="s">
        <v>39</v>
      </c>
      <c r="P1553" s="14" t="s">
        <v>79</v>
      </c>
      <c r="Q1553" s="14" t="s">
        <v>39</v>
      </c>
      <c r="R1553">
        <f>tblDailySchedule[[#This Row],[Capacity Approx]]*'[1]Load Factor Sheet June Acft  '!$B$5</f>
        <v>150.61772727272728</v>
      </c>
      <c r="S1553">
        <f>tblDailySchedule[[#This Row],[Capacity Approx]]*'[1]Load Factor Sheet June Acft  '!$D$5</f>
        <v>163.08818181818182</v>
      </c>
      <c r="T1553" s="22">
        <f>tblDailySchedule[[#This Row],[STD]]</f>
        <v>0.95833333333333337</v>
      </c>
    </row>
    <row r="1554" spans="1:20" hidden="1" x14ac:dyDescent="0.35">
      <c r="A1554" s="11">
        <v>46166</v>
      </c>
      <c r="B1554" s="3">
        <v>7</v>
      </c>
      <c r="C1554" t="s">
        <v>17</v>
      </c>
      <c r="D1554" t="s">
        <v>18</v>
      </c>
      <c r="E1554" s="3">
        <v>2</v>
      </c>
      <c r="F1554" t="s">
        <v>19</v>
      </c>
      <c r="G1554" t="s">
        <v>20</v>
      </c>
      <c r="H1554" t="s">
        <v>21</v>
      </c>
      <c r="I1554" s="12">
        <v>0.31944444444444442</v>
      </c>
      <c r="J1554" t="s">
        <v>22</v>
      </c>
      <c r="K1554" t="s">
        <v>21</v>
      </c>
      <c r="L1554" s="12">
        <v>0.34722222222222221</v>
      </c>
      <c r="M1554" t="s">
        <v>23</v>
      </c>
      <c r="N1554" s="3">
        <v>186</v>
      </c>
      <c r="O1554" t="s">
        <v>24</v>
      </c>
      <c r="P1554" t="s">
        <v>25</v>
      </c>
      <c r="R1554">
        <f>tblDailySchedule[[#This Row],[Capacity Approx]]*'[1]Load Factor Sheet June Acft  '!$B$5</f>
        <v>150.61772727272728</v>
      </c>
      <c r="S1554">
        <f>tblDailySchedule[[#This Row],[Capacity Approx]]*'[1]Load Factor Sheet June Acft  '!$D$5</f>
        <v>163.08818181818182</v>
      </c>
      <c r="T1554" s="22">
        <f>tblDailySchedule[[#This Row],[STD]]</f>
        <v>0.34722222222222221</v>
      </c>
    </row>
    <row r="1555" spans="1:20" hidden="1" x14ac:dyDescent="0.35">
      <c r="A1555" s="11">
        <v>46166</v>
      </c>
      <c r="B1555" s="3">
        <v>7</v>
      </c>
      <c r="C1555" t="s">
        <v>17</v>
      </c>
      <c r="D1555" t="s">
        <v>18</v>
      </c>
      <c r="E1555" s="3">
        <v>3</v>
      </c>
      <c r="F1555" t="s">
        <v>19</v>
      </c>
      <c r="G1555" t="s">
        <v>26</v>
      </c>
      <c r="H1555" t="s">
        <v>27</v>
      </c>
      <c r="I1555" s="12">
        <v>0.3263888888888889</v>
      </c>
      <c r="J1555" t="s">
        <v>28</v>
      </c>
      <c r="K1555" t="s">
        <v>27</v>
      </c>
      <c r="L1555" s="12">
        <v>0.35416666666666669</v>
      </c>
      <c r="M1555" t="s">
        <v>29</v>
      </c>
      <c r="N1555" s="3">
        <v>186</v>
      </c>
      <c r="O1555" t="s">
        <v>24</v>
      </c>
      <c r="P1555" t="s">
        <v>25</v>
      </c>
      <c r="R1555">
        <f>tblDailySchedule[[#This Row],[Capacity Approx]]*'[1]Load Factor Sheet June Acft  '!$B$5</f>
        <v>150.61772727272728</v>
      </c>
      <c r="S1555">
        <f>tblDailySchedule[[#This Row],[Capacity Approx]]*'[1]Load Factor Sheet June Acft  '!$D$5</f>
        <v>163.08818181818182</v>
      </c>
      <c r="T1555" s="22">
        <f>tblDailySchedule[[#This Row],[STD]]</f>
        <v>0.35416666666666669</v>
      </c>
    </row>
    <row r="1556" spans="1:20" hidden="1" x14ac:dyDescent="0.35">
      <c r="A1556" s="11">
        <v>46166</v>
      </c>
      <c r="B1556" s="3">
        <v>7</v>
      </c>
      <c r="C1556" t="s">
        <v>17</v>
      </c>
      <c r="D1556" t="s">
        <v>18</v>
      </c>
      <c r="E1556" s="3">
        <v>4</v>
      </c>
      <c r="F1556" t="s">
        <v>19</v>
      </c>
      <c r="G1556" t="s">
        <v>30</v>
      </c>
      <c r="H1556" t="s">
        <v>31</v>
      </c>
      <c r="I1556" s="12">
        <v>0.34722222222222221</v>
      </c>
      <c r="J1556" t="s">
        <v>32</v>
      </c>
      <c r="K1556" t="s">
        <v>31</v>
      </c>
      <c r="L1556" s="12">
        <v>0.36805555555555558</v>
      </c>
      <c r="M1556" t="s">
        <v>33</v>
      </c>
      <c r="N1556" s="3">
        <v>189</v>
      </c>
      <c r="O1556" t="s">
        <v>24</v>
      </c>
      <c r="P1556" t="s">
        <v>25</v>
      </c>
      <c r="R1556">
        <f>tblDailySchedule[[#This Row],[Capacity Approx]]*'[1]Load Factor Sheet June Acft  '!$B$5</f>
        <v>153.04704545454547</v>
      </c>
      <c r="S1556">
        <f>tblDailySchedule[[#This Row],[Capacity Approx]]*'[1]Load Factor Sheet June Acft  '!$D$5</f>
        <v>165.71863636363636</v>
      </c>
      <c r="T1556" s="22">
        <f>tblDailySchedule[[#This Row],[STD]]</f>
        <v>0.36805555555555558</v>
      </c>
    </row>
    <row r="1557" spans="1:20" hidden="1" x14ac:dyDescent="0.35">
      <c r="A1557" s="13">
        <v>46166</v>
      </c>
      <c r="B1557" s="7">
        <v>7</v>
      </c>
      <c r="C1557" s="14" t="s">
        <v>17</v>
      </c>
      <c r="D1557" s="14" t="s">
        <v>18</v>
      </c>
      <c r="E1557" s="7">
        <v>6</v>
      </c>
      <c r="F1557" s="14" t="s">
        <v>34</v>
      </c>
      <c r="G1557" s="14" t="s">
        <v>35</v>
      </c>
      <c r="H1557" s="14" t="s">
        <v>36</v>
      </c>
      <c r="I1557" s="15">
        <v>0.34722222222222221</v>
      </c>
      <c r="J1557" s="14" t="s">
        <v>37</v>
      </c>
      <c r="K1557" s="14" t="s">
        <v>36</v>
      </c>
      <c r="L1557" s="15">
        <v>0.40972222222222221</v>
      </c>
      <c r="M1557" s="14" t="s">
        <v>38</v>
      </c>
      <c r="N1557" s="7">
        <v>186</v>
      </c>
      <c r="O1557" s="14" t="s">
        <v>39</v>
      </c>
      <c r="P1557" s="14" t="s">
        <v>25</v>
      </c>
      <c r="Q1557" s="14" t="s">
        <v>39</v>
      </c>
      <c r="R1557">
        <f>tblDailySchedule[[#This Row],[Capacity Approx]]*'[1]Load Factor Sheet June Acft  '!$B$5</f>
        <v>150.61772727272728</v>
      </c>
      <c r="S1557">
        <f>tblDailySchedule[[#This Row],[Capacity Approx]]*'[1]Load Factor Sheet June Acft  '!$D$5</f>
        <v>163.08818181818182</v>
      </c>
      <c r="T1557" s="22">
        <f>tblDailySchedule[[#This Row],[STD]]</f>
        <v>0.40972222222222221</v>
      </c>
    </row>
    <row r="1558" spans="1:20" hidden="1" x14ac:dyDescent="0.35">
      <c r="A1558" s="11">
        <v>46166</v>
      </c>
      <c r="B1558" s="3">
        <v>7</v>
      </c>
      <c r="C1558" t="s">
        <v>17</v>
      </c>
      <c r="D1558" t="s">
        <v>18</v>
      </c>
      <c r="E1558" s="3">
        <v>5</v>
      </c>
      <c r="F1558" t="s">
        <v>19</v>
      </c>
      <c r="G1558" t="s">
        <v>40</v>
      </c>
      <c r="H1558" t="s">
        <v>31</v>
      </c>
      <c r="I1558" s="12">
        <v>0.35069444444444442</v>
      </c>
      <c r="J1558" t="s">
        <v>41</v>
      </c>
      <c r="K1558" t="s">
        <v>31</v>
      </c>
      <c r="L1558" s="12">
        <v>0.37152777777777779</v>
      </c>
      <c r="M1558" t="s">
        <v>23</v>
      </c>
      <c r="N1558" s="3">
        <v>186</v>
      </c>
      <c r="O1558" t="s">
        <v>24</v>
      </c>
      <c r="P1558" t="s">
        <v>25</v>
      </c>
      <c r="R1558">
        <f>tblDailySchedule[[#This Row],[Capacity Approx]]*'[1]Load Factor Sheet June Acft  '!$B$5</f>
        <v>150.61772727272728</v>
      </c>
      <c r="S1558">
        <f>tblDailySchedule[[#This Row],[Capacity Approx]]*'[1]Load Factor Sheet June Acft  '!$D$5</f>
        <v>163.08818181818182</v>
      </c>
      <c r="T1558" s="22">
        <f>tblDailySchedule[[#This Row],[STD]]</f>
        <v>0.37152777777777779</v>
      </c>
    </row>
    <row r="1559" spans="1:20" hidden="1" x14ac:dyDescent="0.35">
      <c r="A1559" s="11">
        <v>46166</v>
      </c>
      <c r="B1559" s="3">
        <v>7</v>
      </c>
      <c r="C1559" t="s">
        <v>17</v>
      </c>
      <c r="D1559" t="s">
        <v>18</v>
      </c>
      <c r="E1559" s="3">
        <v>7</v>
      </c>
      <c r="F1559" t="s">
        <v>19</v>
      </c>
      <c r="G1559" t="s">
        <v>42</v>
      </c>
      <c r="H1559" t="s">
        <v>43</v>
      </c>
      <c r="I1559" s="12">
        <v>0.3923611111111111</v>
      </c>
      <c r="J1559" t="s">
        <v>44</v>
      </c>
      <c r="K1559" t="s">
        <v>43</v>
      </c>
      <c r="L1559" s="12">
        <v>0.40277777777777779</v>
      </c>
      <c r="M1559" t="s">
        <v>45</v>
      </c>
      <c r="N1559" s="3">
        <v>9</v>
      </c>
      <c r="O1559" t="s">
        <v>24</v>
      </c>
      <c r="P1559" t="s">
        <v>25</v>
      </c>
      <c r="R1559">
        <f>tblDailySchedule[[#This Row],[Capacity Approx]]*'[1]Load Factor Sheet June Acft  '!$B$5</f>
        <v>7.2879545454545456</v>
      </c>
      <c r="S1559">
        <f>tblDailySchedule[[#This Row],[Capacity Approx]]*'[1]Load Factor Sheet June Acft  '!$D$5</f>
        <v>7.8913636363636366</v>
      </c>
      <c r="T1559" s="22">
        <f>tblDailySchedule[[#This Row],[STD]]</f>
        <v>0.40277777777777779</v>
      </c>
    </row>
    <row r="1560" spans="1:20" hidden="1" x14ac:dyDescent="0.35">
      <c r="A1560" s="11">
        <v>46166</v>
      </c>
      <c r="B1560" s="3">
        <v>7</v>
      </c>
      <c r="C1560" t="s">
        <v>17</v>
      </c>
      <c r="D1560" t="s">
        <v>18</v>
      </c>
      <c r="E1560" s="3">
        <v>8</v>
      </c>
      <c r="F1560" t="s">
        <v>19</v>
      </c>
      <c r="G1560" t="s">
        <v>46</v>
      </c>
      <c r="H1560" t="s">
        <v>31</v>
      </c>
      <c r="I1560" s="12">
        <v>0.4201388888888889</v>
      </c>
      <c r="J1560" t="s">
        <v>47</v>
      </c>
      <c r="K1560" t="s">
        <v>31</v>
      </c>
      <c r="L1560" s="12">
        <v>0.44444444444444442</v>
      </c>
      <c r="M1560" t="s">
        <v>29</v>
      </c>
      <c r="N1560" s="3">
        <v>186</v>
      </c>
      <c r="O1560" t="s">
        <v>24</v>
      </c>
      <c r="P1560" t="s">
        <v>25</v>
      </c>
      <c r="R1560">
        <f>tblDailySchedule[[#This Row],[Capacity Approx]]*'[1]Load Factor Sheet June Acft  '!$B$5</f>
        <v>150.61772727272728</v>
      </c>
      <c r="S1560">
        <f>tblDailySchedule[[#This Row],[Capacity Approx]]*'[1]Load Factor Sheet June Acft  '!$D$5</f>
        <v>163.08818181818182</v>
      </c>
      <c r="T1560" s="22">
        <f>tblDailySchedule[[#This Row],[STD]]</f>
        <v>0.44444444444444442</v>
      </c>
    </row>
    <row r="1561" spans="1:20" hidden="1" x14ac:dyDescent="0.35">
      <c r="A1561" s="11">
        <v>46166</v>
      </c>
      <c r="B1561" s="3">
        <v>7</v>
      </c>
      <c r="C1561" t="s">
        <v>17</v>
      </c>
      <c r="D1561" t="s">
        <v>18</v>
      </c>
      <c r="E1561" s="3">
        <v>9</v>
      </c>
      <c r="F1561" t="s">
        <v>19</v>
      </c>
      <c r="G1561" t="s">
        <v>48</v>
      </c>
      <c r="H1561" t="s">
        <v>49</v>
      </c>
      <c r="I1561" s="12">
        <v>0.4375</v>
      </c>
      <c r="J1561" t="s">
        <v>50</v>
      </c>
      <c r="K1561" t="s">
        <v>49</v>
      </c>
      <c r="L1561" s="12">
        <v>0.45833333333333331</v>
      </c>
      <c r="M1561" t="s">
        <v>51</v>
      </c>
      <c r="N1561" s="3">
        <v>78</v>
      </c>
      <c r="O1561" t="s">
        <v>24</v>
      </c>
      <c r="P1561" t="s">
        <v>25</v>
      </c>
      <c r="R1561">
        <f>tblDailySchedule[[#This Row],[Capacity Approx]]*'[1]Load Factor Sheet June Acft  '!$B$5</f>
        <v>63.162272727272729</v>
      </c>
      <c r="S1561">
        <f>tblDailySchedule[[#This Row],[Capacity Approx]]*'[1]Load Factor Sheet June Acft  '!$D$5</f>
        <v>68.391818181818181</v>
      </c>
      <c r="T1561" s="22">
        <f>tblDailySchedule[[#This Row],[STD]]</f>
        <v>0.45833333333333331</v>
      </c>
    </row>
    <row r="1562" spans="1:20" hidden="1" x14ac:dyDescent="0.35">
      <c r="A1562" s="11">
        <v>46166</v>
      </c>
      <c r="B1562" s="3">
        <v>7</v>
      </c>
      <c r="C1562" t="s">
        <v>17</v>
      </c>
      <c r="D1562" t="s">
        <v>18</v>
      </c>
      <c r="E1562" s="3">
        <v>10</v>
      </c>
      <c r="F1562" t="s">
        <v>19</v>
      </c>
      <c r="G1562" t="s">
        <v>52</v>
      </c>
      <c r="H1562" t="s">
        <v>27</v>
      </c>
      <c r="I1562" s="12">
        <v>0.4826388888888889</v>
      </c>
      <c r="J1562" t="s">
        <v>53</v>
      </c>
      <c r="K1562" t="s">
        <v>27</v>
      </c>
      <c r="L1562" s="12">
        <v>0.51041666666666663</v>
      </c>
      <c r="M1562" t="s">
        <v>23</v>
      </c>
      <c r="N1562" s="3">
        <v>186</v>
      </c>
      <c r="O1562" t="s">
        <v>24</v>
      </c>
      <c r="P1562" t="s">
        <v>25</v>
      </c>
      <c r="R1562">
        <f>tblDailySchedule[[#This Row],[Capacity Approx]]*'[1]Load Factor Sheet June Acft  '!$B$5</f>
        <v>150.61772727272728</v>
      </c>
      <c r="S1562">
        <f>tblDailySchedule[[#This Row],[Capacity Approx]]*'[1]Load Factor Sheet June Acft  '!$D$5</f>
        <v>163.08818181818182</v>
      </c>
      <c r="T1562" s="22">
        <f>tblDailySchedule[[#This Row],[STD]]</f>
        <v>0.51041666666666663</v>
      </c>
    </row>
    <row r="1563" spans="1:20" hidden="1" x14ac:dyDescent="0.35">
      <c r="A1563" s="11">
        <v>46166</v>
      </c>
      <c r="B1563" s="3">
        <v>7</v>
      </c>
      <c r="C1563" t="s">
        <v>17</v>
      </c>
      <c r="D1563" t="s">
        <v>18</v>
      </c>
      <c r="E1563" s="3">
        <v>11</v>
      </c>
      <c r="F1563" t="s">
        <v>19</v>
      </c>
      <c r="G1563" t="s">
        <v>54</v>
      </c>
      <c r="H1563" t="s">
        <v>31</v>
      </c>
      <c r="I1563" s="12">
        <v>0.51388888888888884</v>
      </c>
      <c r="J1563" t="s">
        <v>55</v>
      </c>
      <c r="K1563" t="s">
        <v>31</v>
      </c>
      <c r="L1563" s="12">
        <v>0.54166666666666663</v>
      </c>
      <c r="M1563" t="s">
        <v>23</v>
      </c>
      <c r="N1563" s="3">
        <v>186</v>
      </c>
      <c r="O1563" t="s">
        <v>24</v>
      </c>
      <c r="P1563" t="s">
        <v>56</v>
      </c>
      <c r="R1563">
        <f>tblDailySchedule[[#This Row],[Capacity Approx]]*'[1]Load Factor Sheet June Acft  '!$B$5</f>
        <v>150.61772727272728</v>
      </c>
      <c r="S1563">
        <f>tblDailySchedule[[#This Row],[Capacity Approx]]*'[1]Load Factor Sheet June Acft  '!$D$5</f>
        <v>163.08818181818182</v>
      </c>
      <c r="T1563" s="22">
        <f>tblDailySchedule[[#This Row],[STD]]</f>
        <v>0.54166666666666663</v>
      </c>
    </row>
    <row r="1564" spans="1:20" hidden="1" x14ac:dyDescent="0.35">
      <c r="A1564" s="11">
        <v>46166</v>
      </c>
      <c r="B1564" s="3">
        <v>7</v>
      </c>
      <c r="C1564" t="s">
        <v>17</v>
      </c>
      <c r="D1564" t="s">
        <v>18</v>
      </c>
      <c r="E1564" s="3">
        <v>13</v>
      </c>
      <c r="F1564" t="s">
        <v>19</v>
      </c>
      <c r="G1564" t="s">
        <v>57</v>
      </c>
      <c r="H1564" t="s">
        <v>58</v>
      </c>
      <c r="I1564" s="12">
        <v>0.55902777777777779</v>
      </c>
      <c r="J1564" t="s">
        <v>59</v>
      </c>
      <c r="K1564" t="s">
        <v>58</v>
      </c>
      <c r="L1564" s="12">
        <v>0.57638888888888884</v>
      </c>
      <c r="M1564" t="s">
        <v>51</v>
      </c>
      <c r="N1564" s="3">
        <v>78</v>
      </c>
      <c r="O1564" t="s">
        <v>24</v>
      </c>
      <c r="P1564" t="s">
        <v>56</v>
      </c>
      <c r="R1564">
        <f>tblDailySchedule[[#This Row],[Capacity Approx]]*'[1]Load Factor Sheet June Acft  '!$B$5</f>
        <v>63.162272727272729</v>
      </c>
      <c r="S1564">
        <f>tblDailySchedule[[#This Row],[Capacity Approx]]*'[1]Load Factor Sheet June Acft  '!$D$5</f>
        <v>68.391818181818181</v>
      </c>
      <c r="T1564" s="22">
        <f>tblDailySchedule[[#This Row],[STD]]</f>
        <v>0.57638888888888884</v>
      </c>
    </row>
    <row r="1565" spans="1:20" hidden="1" x14ac:dyDescent="0.35">
      <c r="A1565" s="11">
        <v>46166</v>
      </c>
      <c r="B1565" s="3">
        <v>7</v>
      </c>
      <c r="C1565" t="s">
        <v>17</v>
      </c>
      <c r="D1565" t="s">
        <v>18</v>
      </c>
      <c r="E1565" s="3">
        <v>14</v>
      </c>
      <c r="F1565" t="s">
        <v>19</v>
      </c>
      <c r="G1565" t="s">
        <v>60</v>
      </c>
      <c r="H1565" t="s">
        <v>61</v>
      </c>
      <c r="I1565" s="12">
        <v>0.59027777777777779</v>
      </c>
      <c r="J1565" t="s">
        <v>62</v>
      </c>
      <c r="K1565" t="s">
        <v>61</v>
      </c>
      <c r="L1565" s="12">
        <v>0.62152777777777779</v>
      </c>
      <c r="M1565" t="s">
        <v>63</v>
      </c>
      <c r="N1565" s="3">
        <v>232</v>
      </c>
      <c r="O1565" t="s">
        <v>24</v>
      </c>
      <c r="P1565" t="s">
        <v>56</v>
      </c>
      <c r="R1565">
        <f>tblDailySchedule[[#This Row],[Capacity Approx]]*'[1]Load Factor Sheet June Acft  '!$B$5</f>
        <v>187.86727272727273</v>
      </c>
      <c r="S1565">
        <f>tblDailySchedule[[#This Row],[Capacity Approx]]*'[1]Load Factor Sheet June Acft  '!$D$5</f>
        <v>203.4218181818182</v>
      </c>
      <c r="T1565" s="22">
        <f>tblDailySchedule[[#This Row],[STD]]</f>
        <v>0.62152777777777779</v>
      </c>
    </row>
    <row r="1566" spans="1:20" hidden="1" x14ac:dyDescent="0.35">
      <c r="A1566" s="11">
        <v>46166</v>
      </c>
      <c r="B1566" s="3">
        <v>7</v>
      </c>
      <c r="C1566" t="s">
        <v>17</v>
      </c>
      <c r="D1566" t="s">
        <v>18</v>
      </c>
      <c r="E1566" s="3">
        <v>15</v>
      </c>
      <c r="F1566" t="s">
        <v>19</v>
      </c>
      <c r="G1566" t="s">
        <v>64</v>
      </c>
      <c r="H1566" t="s">
        <v>31</v>
      </c>
      <c r="I1566" s="12">
        <v>0.60069444444444442</v>
      </c>
      <c r="J1566" t="s">
        <v>65</v>
      </c>
      <c r="K1566" t="s">
        <v>66</v>
      </c>
      <c r="L1566" s="12">
        <v>0.62847222222222221</v>
      </c>
      <c r="M1566" t="s">
        <v>63</v>
      </c>
      <c r="N1566" s="3">
        <v>232</v>
      </c>
      <c r="O1566" t="s">
        <v>24</v>
      </c>
      <c r="P1566" t="s">
        <v>56</v>
      </c>
      <c r="R1566">
        <f>tblDailySchedule[[#This Row],[Capacity Approx]]*'[1]Load Factor Sheet June Acft  '!$B$5</f>
        <v>187.86727272727273</v>
      </c>
      <c r="S1566">
        <f>tblDailySchedule[[#This Row],[Capacity Approx]]*'[1]Load Factor Sheet June Acft  '!$D$5</f>
        <v>203.4218181818182</v>
      </c>
      <c r="T1566" s="22">
        <f>tblDailySchedule[[#This Row],[STD]]</f>
        <v>0.62847222222222221</v>
      </c>
    </row>
    <row r="1567" spans="1:20" hidden="1" x14ac:dyDescent="0.35">
      <c r="A1567" s="11">
        <v>46166</v>
      </c>
      <c r="B1567" s="3">
        <v>7</v>
      </c>
      <c r="C1567" t="s">
        <v>17</v>
      </c>
      <c r="D1567" t="s">
        <v>18</v>
      </c>
      <c r="E1567" s="3">
        <v>16</v>
      </c>
      <c r="F1567" t="s">
        <v>19</v>
      </c>
      <c r="G1567" t="s">
        <v>67</v>
      </c>
      <c r="H1567" t="s">
        <v>31</v>
      </c>
      <c r="I1567" s="12">
        <v>0.65625</v>
      </c>
      <c r="J1567" t="s">
        <v>68</v>
      </c>
      <c r="K1567" t="s">
        <v>31</v>
      </c>
      <c r="L1567" s="12">
        <v>0.68402777777777779</v>
      </c>
      <c r="M1567" t="s">
        <v>63</v>
      </c>
      <c r="N1567" s="3">
        <v>232</v>
      </c>
      <c r="O1567" t="s">
        <v>24</v>
      </c>
      <c r="P1567" t="s">
        <v>56</v>
      </c>
      <c r="R1567">
        <f>tblDailySchedule[[#This Row],[Capacity Approx]]*'[1]Load Factor Sheet June Acft  '!$B$5</f>
        <v>187.86727272727273</v>
      </c>
      <c r="S1567">
        <f>tblDailySchedule[[#This Row],[Capacity Approx]]*'[1]Load Factor Sheet June Acft  '!$D$5</f>
        <v>203.4218181818182</v>
      </c>
      <c r="T1567" s="22">
        <f>tblDailySchedule[[#This Row],[STD]]</f>
        <v>0.68402777777777779</v>
      </c>
    </row>
    <row r="1568" spans="1:20" hidden="1" x14ac:dyDescent="0.35">
      <c r="A1568" s="11">
        <v>46166</v>
      </c>
      <c r="B1568" s="3">
        <v>7</v>
      </c>
      <c r="C1568" t="s">
        <v>17</v>
      </c>
      <c r="D1568" t="s">
        <v>18</v>
      </c>
      <c r="E1568" s="3">
        <v>17</v>
      </c>
      <c r="F1568" t="s">
        <v>19</v>
      </c>
      <c r="G1568" t="s">
        <v>69</v>
      </c>
      <c r="H1568" t="s">
        <v>31</v>
      </c>
      <c r="I1568" s="12">
        <v>0.66319444444444442</v>
      </c>
      <c r="J1568" t="s">
        <v>70</v>
      </c>
      <c r="K1568" t="s">
        <v>31</v>
      </c>
      <c r="L1568" s="12">
        <v>0.69097222222222221</v>
      </c>
      <c r="M1568" t="s">
        <v>33</v>
      </c>
      <c r="N1568" s="3">
        <v>189</v>
      </c>
      <c r="O1568" t="s">
        <v>24</v>
      </c>
      <c r="P1568" t="s">
        <v>56</v>
      </c>
      <c r="R1568">
        <f>tblDailySchedule[[#This Row],[Capacity Approx]]*'[1]Load Factor Sheet June Acft  '!$B$5</f>
        <v>153.04704545454547</v>
      </c>
      <c r="S1568">
        <f>tblDailySchedule[[#This Row],[Capacity Approx]]*'[1]Load Factor Sheet June Acft  '!$D$5</f>
        <v>165.71863636363636</v>
      </c>
      <c r="T1568" s="22">
        <f>tblDailySchedule[[#This Row],[STD]]</f>
        <v>0.69097222222222221</v>
      </c>
    </row>
    <row r="1569" spans="1:20" hidden="1" x14ac:dyDescent="0.35">
      <c r="A1569" s="11">
        <v>46166</v>
      </c>
      <c r="B1569" s="3">
        <v>7</v>
      </c>
      <c r="C1569" t="s">
        <v>17</v>
      </c>
      <c r="D1569" t="s">
        <v>18</v>
      </c>
      <c r="E1569" s="3">
        <v>18</v>
      </c>
      <c r="F1569" t="s">
        <v>19</v>
      </c>
      <c r="G1569" t="s">
        <v>71</v>
      </c>
      <c r="H1569" t="s">
        <v>21</v>
      </c>
      <c r="I1569" s="12">
        <v>0.67013888888888884</v>
      </c>
      <c r="J1569" t="s">
        <v>72</v>
      </c>
      <c r="K1569" t="s">
        <v>21</v>
      </c>
      <c r="L1569" s="12">
        <v>0.69791666666666663</v>
      </c>
      <c r="M1569" t="s">
        <v>63</v>
      </c>
      <c r="N1569" s="3">
        <v>232</v>
      </c>
      <c r="O1569" t="s">
        <v>24</v>
      </c>
      <c r="P1569" t="s">
        <v>56</v>
      </c>
      <c r="R1569">
        <f>tblDailySchedule[[#This Row],[Capacity Approx]]*'[1]Load Factor Sheet June Acft  '!$B$5</f>
        <v>187.86727272727273</v>
      </c>
      <c r="S1569">
        <f>tblDailySchedule[[#This Row],[Capacity Approx]]*'[1]Load Factor Sheet June Acft  '!$D$5</f>
        <v>203.4218181818182</v>
      </c>
      <c r="T1569" s="22">
        <f>tblDailySchedule[[#This Row],[STD]]</f>
        <v>0.69791666666666663</v>
      </c>
    </row>
    <row r="1570" spans="1:20" hidden="1" x14ac:dyDescent="0.35">
      <c r="A1570" s="11">
        <v>46166</v>
      </c>
      <c r="B1570" s="3">
        <v>7</v>
      </c>
      <c r="C1570" t="s">
        <v>17</v>
      </c>
      <c r="D1570" t="s">
        <v>18</v>
      </c>
      <c r="E1570" s="3">
        <v>19</v>
      </c>
      <c r="F1570" t="s">
        <v>19</v>
      </c>
      <c r="G1570" t="s">
        <v>73</v>
      </c>
      <c r="H1570" t="s">
        <v>27</v>
      </c>
      <c r="I1570" s="12">
        <v>0.74652777777777779</v>
      </c>
      <c r="J1570" t="s">
        <v>74</v>
      </c>
      <c r="K1570" t="s">
        <v>27</v>
      </c>
      <c r="L1570" s="12">
        <v>0.77430555555555558</v>
      </c>
      <c r="M1570" t="s">
        <v>63</v>
      </c>
      <c r="N1570" s="3">
        <v>232</v>
      </c>
      <c r="O1570" t="s">
        <v>24</v>
      </c>
      <c r="P1570" t="s">
        <v>56</v>
      </c>
      <c r="R1570">
        <f>tblDailySchedule[[#This Row],[Capacity Approx]]*'[1]Load Factor Sheet June Acft  '!$B$5</f>
        <v>187.86727272727273</v>
      </c>
      <c r="S1570">
        <f>tblDailySchedule[[#This Row],[Capacity Approx]]*'[1]Load Factor Sheet June Acft  '!$D$5</f>
        <v>203.4218181818182</v>
      </c>
      <c r="T1570" s="22">
        <f>tblDailySchedule[[#This Row],[STD]]</f>
        <v>0.77430555555555558</v>
      </c>
    </row>
    <row r="1571" spans="1:20" hidden="1" x14ac:dyDescent="0.35">
      <c r="A1571" s="11">
        <v>46166</v>
      </c>
      <c r="B1571" s="3">
        <v>7</v>
      </c>
      <c r="C1571" t="s">
        <v>17</v>
      </c>
      <c r="D1571" t="s">
        <v>18</v>
      </c>
      <c r="E1571" s="3">
        <v>20</v>
      </c>
      <c r="F1571" t="s">
        <v>34</v>
      </c>
      <c r="G1571" t="s">
        <v>75</v>
      </c>
      <c r="H1571" t="s">
        <v>76</v>
      </c>
      <c r="I1571" s="12">
        <v>0.76388888888888884</v>
      </c>
      <c r="J1571" t="s">
        <v>77</v>
      </c>
      <c r="K1571" t="s">
        <v>78</v>
      </c>
      <c r="L1571" s="12">
        <v>0.78472222222222221</v>
      </c>
      <c r="M1571" t="s">
        <v>51</v>
      </c>
      <c r="N1571" s="3">
        <v>78</v>
      </c>
      <c r="O1571" t="s">
        <v>24</v>
      </c>
      <c r="P1571" t="s">
        <v>79</v>
      </c>
      <c r="Q1571" s="16" t="s">
        <v>80</v>
      </c>
      <c r="R1571">
        <f>tblDailySchedule[[#This Row],[Capacity Approx]]*'[1]Load Factor Sheet June Acft  '!$B$5</f>
        <v>63.162272727272729</v>
      </c>
      <c r="S1571">
        <f>tblDailySchedule[[#This Row],[Capacity Approx]]*'[1]Load Factor Sheet June Acft  '!$D$5</f>
        <v>68.391818181818181</v>
      </c>
      <c r="T1571" s="22">
        <f>tblDailySchedule[[#This Row],[STD]]</f>
        <v>0.78472222222222221</v>
      </c>
    </row>
    <row r="1572" spans="1:20" hidden="1" x14ac:dyDescent="0.35">
      <c r="A1572" s="11">
        <v>46166</v>
      </c>
      <c r="B1572" s="3">
        <v>7</v>
      </c>
      <c r="C1572" t="s">
        <v>17</v>
      </c>
      <c r="D1572" t="s">
        <v>18</v>
      </c>
      <c r="E1572" s="3">
        <v>21</v>
      </c>
      <c r="F1572" t="s">
        <v>19</v>
      </c>
      <c r="G1572" t="s">
        <v>81</v>
      </c>
      <c r="H1572" t="s">
        <v>61</v>
      </c>
      <c r="I1572" s="12">
        <v>0.77083333333333337</v>
      </c>
      <c r="J1572" t="s">
        <v>82</v>
      </c>
      <c r="K1572" t="s">
        <v>49</v>
      </c>
      <c r="L1572" s="12">
        <v>0.79166666666666663</v>
      </c>
      <c r="M1572" t="s">
        <v>33</v>
      </c>
      <c r="N1572" s="3">
        <v>189</v>
      </c>
      <c r="O1572" t="s">
        <v>24</v>
      </c>
      <c r="P1572" t="s">
        <v>79</v>
      </c>
      <c r="R1572">
        <f>tblDailySchedule[[#This Row],[Capacity Approx]]*'[1]Load Factor Sheet June Acft  '!$B$5</f>
        <v>153.04704545454547</v>
      </c>
      <c r="S1572">
        <f>tblDailySchedule[[#This Row],[Capacity Approx]]*'[1]Load Factor Sheet June Acft  '!$D$5</f>
        <v>165.71863636363636</v>
      </c>
      <c r="T1572" s="22">
        <f>tblDailySchedule[[#This Row],[STD]]</f>
        <v>0.79166666666666663</v>
      </c>
    </row>
    <row r="1573" spans="1:20" hidden="1" x14ac:dyDescent="0.35">
      <c r="A1573" s="11">
        <v>46166</v>
      </c>
      <c r="B1573" s="3">
        <v>7</v>
      </c>
      <c r="C1573" t="s">
        <v>17</v>
      </c>
      <c r="D1573" t="s">
        <v>18</v>
      </c>
      <c r="E1573" s="3">
        <v>22</v>
      </c>
      <c r="F1573" t="s">
        <v>19</v>
      </c>
      <c r="G1573" t="s">
        <v>83</v>
      </c>
      <c r="H1573" t="s">
        <v>31</v>
      </c>
      <c r="I1573" s="12">
        <v>0.77777777777777779</v>
      </c>
      <c r="J1573" t="s">
        <v>84</v>
      </c>
      <c r="K1573" t="s">
        <v>31</v>
      </c>
      <c r="L1573" s="12">
        <v>0.80555555555555558</v>
      </c>
      <c r="M1573" t="s">
        <v>63</v>
      </c>
      <c r="N1573" s="3">
        <v>232</v>
      </c>
      <c r="O1573" t="s">
        <v>24</v>
      </c>
      <c r="P1573" t="s">
        <v>79</v>
      </c>
      <c r="R1573">
        <f>tblDailySchedule[[#This Row],[Capacity Approx]]*'[1]Load Factor Sheet June Acft  '!$B$5</f>
        <v>187.86727272727273</v>
      </c>
      <c r="S1573">
        <f>tblDailySchedule[[#This Row],[Capacity Approx]]*'[1]Load Factor Sheet June Acft  '!$D$5</f>
        <v>203.4218181818182</v>
      </c>
      <c r="T1573" s="22">
        <f>tblDailySchedule[[#This Row],[STD]]</f>
        <v>0.80555555555555558</v>
      </c>
    </row>
    <row r="1574" spans="1:20" hidden="1" x14ac:dyDescent="0.35">
      <c r="A1574" s="11">
        <v>46166</v>
      </c>
      <c r="B1574" s="3">
        <v>7</v>
      </c>
      <c r="C1574" t="s">
        <v>17</v>
      </c>
      <c r="D1574" t="s">
        <v>18</v>
      </c>
      <c r="E1574" s="3">
        <v>23</v>
      </c>
      <c r="F1574" t="s">
        <v>19</v>
      </c>
      <c r="G1574" t="s">
        <v>85</v>
      </c>
      <c r="H1574" t="s">
        <v>86</v>
      </c>
      <c r="I1574" s="12">
        <v>0.79861111111111116</v>
      </c>
      <c r="J1574" t="s">
        <v>87</v>
      </c>
      <c r="K1574" t="s">
        <v>86</v>
      </c>
      <c r="L1574" s="12">
        <v>0.82638888888888884</v>
      </c>
      <c r="M1574" t="s">
        <v>63</v>
      </c>
      <c r="N1574" s="3">
        <v>232</v>
      </c>
      <c r="O1574" t="s">
        <v>24</v>
      </c>
      <c r="P1574" t="s">
        <v>79</v>
      </c>
      <c r="R1574">
        <f>tblDailySchedule[[#This Row],[Capacity Approx]]*'[1]Load Factor Sheet June Acft  '!$B$5</f>
        <v>187.86727272727273</v>
      </c>
      <c r="S1574">
        <f>tblDailySchedule[[#This Row],[Capacity Approx]]*'[1]Load Factor Sheet June Acft  '!$D$5</f>
        <v>203.4218181818182</v>
      </c>
      <c r="T1574" s="22">
        <f>tblDailySchedule[[#This Row],[STD]]</f>
        <v>0.82638888888888884</v>
      </c>
    </row>
    <row r="1575" spans="1:20" hidden="1" x14ac:dyDescent="0.35">
      <c r="A1575" s="11">
        <v>46166</v>
      </c>
      <c r="B1575" s="3">
        <v>7</v>
      </c>
      <c r="C1575" t="s">
        <v>17</v>
      </c>
      <c r="D1575" t="s">
        <v>18</v>
      </c>
      <c r="E1575" s="3">
        <v>24</v>
      </c>
      <c r="F1575" t="s">
        <v>19</v>
      </c>
      <c r="G1575" t="s">
        <v>88</v>
      </c>
      <c r="H1575" t="s">
        <v>89</v>
      </c>
      <c r="I1575" s="12">
        <v>0.83333333333333337</v>
      </c>
      <c r="J1575" t="s">
        <v>90</v>
      </c>
      <c r="K1575" t="s">
        <v>31</v>
      </c>
      <c r="L1575" s="12">
        <v>0.86111111111111116</v>
      </c>
      <c r="M1575" t="s">
        <v>63</v>
      </c>
      <c r="N1575" s="3">
        <v>232</v>
      </c>
      <c r="O1575" t="s">
        <v>24</v>
      </c>
      <c r="P1575" t="s">
        <v>79</v>
      </c>
      <c r="R1575">
        <f>tblDailySchedule[[#This Row],[Capacity Approx]]*'[1]Load Factor Sheet June Acft  '!$B$5</f>
        <v>187.86727272727273</v>
      </c>
      <c r="S1575">
        <f>tblDailySchedule[[#This Row],[Capacity Approx]]*'[1]Load Factor Sheet June Acft  '!$D$5</f>
        <v>203.4218181818182</v>
      </c>
      <c r="T1575" s="22">
        <f>tblDailySchedule[[#This Row],[STD]]</f>
        <v>0.86111111111111116</v>
      </c>
    </row>
    <row r="1576" spans="1:20" hidden="1" x14ac:dyDescent="0.35">
      <c r="A1576" s="11">
        <v>46166</v>
      </c>
      <c r="B1576" s="3">
        <v>7</v>
      </c>
      <c r="C1576" t="s">
        <v>17</v>
      </c>
      <c r="D1576" t="s">
        <v>18</v>
      </c>
      <c r="E1576" s="3">
        <v>25</v>
      </c>
      <c r="F1576" t="s">
        <v>19</v>
      </c>
      <c r="G1576" t="s">
        <v>91</v>
      </c>
      <c r="H1576" t="s">
        <v>61</v>
      </c>
      <c r="I1576" s="12">
        <v>0.85416666666666663</v>
      </c>
      <c r="J1576" t="s">
        <v>92</v>
      </c>
      <c r="K1576" t="s">
        <v>61</v>
      </c>
      <c r="L1576" s="12">
        <v>0.88194444444444442</v>
      </c>
      <c r="M1576" t="s">
        <v>63</v>
      </c>
      <c r="N1576" s="3">
        <v>232</v>
      </c>
      <c r="O1576" t="s">
        <v>24</v>
      </c>
      <c r="P1576" t="s">
        <v>79</v>
      </c>
      <c r="R1576">
        <f>tblDailySchedule[[#This Row],[Capacity Approx]]*'[1]Load Factor Sheet June Acft  '!$B$5</f>
        <v>187.86727272727273</v>
      </c>
      <c r="S1576">
        <f>tblDailySchedule[[#This Row],[Capacity Approx]]*'[1]Load Factor Sheet June Acft  '!$D$5</f>
        <v>203.4218181818182</v>
      </c>
      <c r="T1576" s="22">
        <f>tblDailySchedule[[#This Row],[STD]]</f>
        <v>0.88194444444444442</v>
      </c>
    </row>
    <row r="1577" spans="1:20" hidden="1" x14ac:dyDescent="0.35">
      <c r="A1577" s="11">
        <v>46166</v>
      </c>
      <c r="B1577" s="3">
        <v>7</v>
      </c>
      <c r="C1577" t="s">
        <v>17</v>
      </c>
      <c r="D1577" t="s">
        <v>18</v>
      </c>
      <c r="E1577" s="3">
        <v>26</v>
      </c>
      <c r="F1577" t="s">
        <v>19</v>
      </c>
      <c r="G1577" t="s">
        <v>93</v>
      </c>
      <c r="H1577" t="s">
        <v>31</v>
      </c>
      <c r="I1577" s="12">
        <v>0.86111111111111116</v>
      </c>
      <c r="J1577" t="s">
        <v>94</v>
      </c>
      <c r="K1577" t="s">
        <v>31</v>
      </c>
      <c r="L1577" s="12">
        <v>0.88888888888888884</v>
      </c>
      <c r="M1577" t="s">
        <v>23</v>
      </c>
      <c r="N1577" s="3">
        <v>186</v>
      </c>
      <c r="O1577" t="s">
        <v>24</v>
      </c>
      <c r="P1577" t="s">
        <v>79</v>
      </c>
      <c r="R1577">
        <f>tblDailySchedule[[#This Row],[Capacity Approx]]*'[1]Load Factor Sheet June Acft  '!$B$5</f>
        <v>150.61772727272728</v>
      </c>
      <c r="S1577">
        <f>tblDailySchedule[[#This Row],[Capacity Approx]]*'[1]Load Factor Sheet June Acft  '!$D$5</f>
        <v>163.08818181818182</v>
      </c>
      <c r="T1577" s="22">
        <f>tblDailySchedule[[#This Row],[STD]]</f>
        <v>0.88888888888888884</v>
      </c>
    </row>
    <row r="1578" spans="1:20" hidden="1" x14ac:dyDescent="0.35">
      <c r="A1578" s="11">
        <v>46166</v>
      </c>
      <c r="B1578" s="3">
        <v>7</v>
      </c>
      <c r="C1578" t="s">
        <v>17</v>
      </c>
      <c r="D1578" t="s">
        <v>18</v>
      </c>
      <c r="E1578" s="3">
        <v>27</v>
      </c>
      <c r="F1578" t="s">
        <v>19</v>
      </c>
      <c r="G1578" t="s">
        <v>95</v>
      </c>
      <c r="H1578" t="s">
        <v>21</v>
      </c>
      <c r="I1578" s="12">
        <v>0.86805555555555558</v>
      </c>
      <c r="J1578" t="s">
        <v>96</v>
      </c>
      <c r="K1578" t="s">
        <v>21</v>
      </c>
      <c r="L1578" s="12">
        <v>0.89583333333333337</v>
      </c>
      <c r="M1578" t="s">
        <v>29</v>
      </c>
      <c r="N1578" s="3">
        <v>186</v>
      </c>
      <c r="O1578" t="s">
        <v>24</v>
      </c>
      <c r="P1578" t="s">
        <v>79</v>
      </c>
      <c r="R1578">
        <f>tblDailySchedule[[#This Row],[Capacity Approx]]*'[1]Load Factor Sheet June Acft  '!$B$5</f>
        <v>150.61772727272728</v>
      </c>
      <c r="S1578">
        <f>tblDailySchedule[[#This Row],[Capacity Approx]]*'[1]Load Factor Sheet June Acft  '!$D$5</f>
        <v>163.08818181818182</v>
      </c>
      <c r="T1578" s="22">
        <f>tblDailySchedule[[#This Row],[STD]]</f>
        <v>0.89583333333333337</v>
      </c>
    </row>
    <row r="1579" spans="1:20" hidden="1" x14ac:dyDescent="0.35">
      <c r="A1579" s="11">
        <v>46166</v>
      </c>
      <c r="B1579" s="3">
        <v>7</v>
      </c>
      <c r="C1579" t="s">
        <v>17</v>
      </c>
      <c r="D1579" t="s">
        <v>18</v>
      </c>
      <c r="E1579" s="3">
        <v>28</v>
      </c>
      <c r="F1579" t="s">
        <v>19</v>
      </c>
      <c r="G1579" t="s">
        <v>97</v>
      </c>
      <c r="H1579" t="s">
        <v>49</v>
      </c>
      <c r="I1579" s="12">
        <v>0.90277777777777779</v>
      </c>
      <c r="J1579" t="s">
        <v>97</v>
      </c>
      <c r="K1579" t="s">
        <v>61</v>
      </c>
      <c r="L1579" s="12">
        <v>0.92361111111111116</v>
      </c>
      <c r="M1579" t="s">
        <v>33</v>
      </c>
      <c r="N1579" s="3">
        <v>189</v>
      </c>
      <c r="O1579" t="s">
        <v>24</v>
      </c>
      <c r="P1579" t="s">
        <v>79</v>
      </c>
      <c r="R1579">
        <f>tblDailySchedule[[#This Row],[Capacity Approx]]*'[1]Load Factor Sheet June Acft  '!$B$5</f>
        <v>153.04704545454547</v>
      </c>
      <c r="S1579">
        <f>tblDailySchedule[[#This Row],[Capacity Approx]]*'[1]Load Factor Sheet June Acft  '!$D$5</f>
        <v>165.71863636363636</v>
      </c>
      <c r="T1579" s="22">
        <f>tblDailySchedule[[#This Row],[STD]]</f>
        <v>0.92361111111111116</v>
      </c>
    </row>
    <row r="1580" spans="1:20" hidden="1" x14ac:dyDescent="0.35">
      <c r="A1580" s="11">
        <v>46166</v>
      </c>
      <c r="B1580" s="3">
        <v>7</v>
      </c>
      <c r="C1580" t="s">
        <v>17</v>
      </c>
      <c r="D1580" t="s">
        <v>18</v>
      </c>
      <c r="E1580" s="3">
        <v>29</v>
      </c>
      <c r="F1580" t="s">
        <v>19</v>
      </c>
      <c r="G1580" t="s">
        <v>98</v>
      </c>
      <c r="H1580" t="s">
        <v>21</v>
      </c>
      <c r="I1580" s="12">
        <v>0.92013888888888884</v>
      </c>
      <c r="J1580" t="s">
        <v>99</v>
      </c>
      <c r="K1580" t="s">
        <v>21</v>
      </c>
      <c r="L1580" s="12">
        <v>0.94791666666666663</v>
      </c>
      <c r="M1580" t="s">
        <v>63</v>
      </c>
      <c r="N1580" s="3">
        <v>232</v>
      </c>
      <c r="O1580" t="s">
        <v>24</v>
      </c>
      <c r="P1580" t="s">
        <v>79</v>
      </c>
      <c r="R1580">
        <f>tblDailySchedule[[#This Row],[Capacity Approx]]*'[1]Load Factor Sheet June Acft  '!$B$5</f>
        <v>187.86727272727273</v>
      </c>
      <c r="S1580">
        <f>tblDailySchedule[[#This Row],[Capacity Approx]]*'[1]Load Factor Sheet June Acft  '!$D$5</f>
        <v>203.4218181818182</v>
      </c>
      <c r="T1580" s="22">
        <f>tblDailySchedule[[#This Row],[STD]]</f>
        <v>0.94791666666666663</v>
      </c>
    </row>
    <row r="1581" spans="1:20" hidden="1" x14ac:dyDescent="0.35">
      <c r="A1581" s="11">
        <v>46167</v>
      </c>
      <c r="B1581" s="3">
        <v>1</v>
      </c>
      <c r="C1581" t="s">
        <v>100</v>
      </c>
      <c r="D1581" t="s">
        <v>18</v>
      </c>
      <c r="E1581" s="3">
        <v>1</v>
      </c>
      <c r="F1581" t="s">
        <v>101</v>
      </c>
      <c r="G1581" t="s">
        <v>102</v>
      </c>
      <c r="H1581" t="s">
        <v>61</v>
      </c>
      <c r="I1581" s="12">
        <v>0.3125</v>
      </c>
      <c r="J1581" t="s">
        <v>103</v>
      </c>
      <c r="K1581" t="s">
        <v>61</v>
      </c>
      <c r="L1581" s="12">
        <v>0.33333333333333331</v>
      </c>
      <c r="M1581" t="s">
        <v>33</v>
      </c>
      <c r="N1581" s="3">
        <v>189</v>
      </c>
      <c r="O1581" t="s">
        <v>24</v>
      </c>
      <c r="P1581" t="s">
        <v>25</v>
      </c>
      <c r="R1581">
        <f>tblDailySchedule[[#This Row],[Capacity Approx]]*'[1]Load Factor Sheet June Acft  '!$B$5</f>
        <v>153.04704545454547</v>
      </c>
      <c r="S1581">
        <f>tblDailySchedule[[#This Row],[Capacity Approx]]*'[1]Load Factor Sheet June Acft  '!$D$5</f>
        <v>165.71863636363636</v>
      </c>
      <c r="T1581" s="22">
        <f>tblDailySchedule[[#This Row],[STD]]</f>
        <v>0.33333333333333331</v>
      </c>
    </row>
    <row r="1582" spans="1:20" hidden="1" x14ac:dyDescent="0.35">
      <c r="A1582" s="11">
        <v>46167</v>
      </c>
      <c r="B1582" s="3">
        <v>1</v>
      </c>
      <c r="C1582" t="s">
        <v>100</v>
      </c>
      <c r="D1582" t="s">
        <v>18</v>
      </c>
      <c r="E1582" s="3">
        <v>2</v>
      </c>
      <c r="F1582" t="s">
        <v>19</v>
      </c>
      <c r="G1582" t="s">
        <v>20</v>
      </c>
      <c r="H1582" t="s">
        <v>21</v>
      </c>
      <c r="I1582" s="12">
        <v>0.31944444444444442</v>
      </c>
      <c r="J1582" t="s">
        <v>22</v>
      </c>
      <c r="K1582" t="s">
        <v>21</v>
      </c>
      <c r="L1582" s="12">
        <v>0.34722222222222221</v>
      </c>
      <c r="M1582" t="s">
        <v>23</v>
      </c>
      <c r="N1582" s="3">
        <v>186</v>
      </c>
      <c r="O1582" t="s">
        <v>24</v>
      </c>
      <c r="P1582" t="s">
        <v>25</v>
      </c>
      <c r="R1582">
        <f>tblDailySchedule[[#This Row],[Capacity Approx]]*'[1]Load Factor Sheet June Acft  '!$B$5</f>
        <v>150.61772727272728</v>
      </c>
      <c r="S1582">
        <f>tblDailySchedule[[#This Row],[Capacity Approx]]*'[1]Load Factor Sheet June Acft  '!$D$5</f>
        <v>163.08818181818182</v>
      </c>
      <c r="T1582" s="22">
        <f>tblDailySchedule[[#This Row],[STD]]</f>
        <v>0.34722222222222221</v>
      </c>
    </row>
    <row r="1583" spans="1:20" hidden="1" x14ac:dyDescent="0.35">
      <c r="A1583" s="11">
        <v>46167</v>
      </c>
      <c r="B1583" s="3">
        <v>1</v>
      </c>
      <c r="C1583" t="s">
        <v>100</v>
      </c>
      <c r="D1583" t="s">
        <v>18</v>
      </c>
      <c r="E1583" s="3">
        <v>3</v>
      </c>
      <c r="F1583" t="s">
        <v>19</v>
      </c>
      <c r="G1583" t="s">
        <v>26</v>
      </c>
      <c r="H1583" t="s">
        <v>27</v>
      </c>
      <c r="I1583" s="12">
        <v>0.3263888888888889</v>
      </c>
      <c r="J1583" t="s">
        <v>28</v>
      </c>
      <c r="K1583" t="s">
        <v>27</v>
      </c>
      <c r="L1583" s="12">
        <v>0.35416666666666669</v>
      </c>
      <c r="M1583" t="s">
        <v>29</v>
      </c>
      <c r="N1583" s="3">
        <v>186</v>
      </c>
      <c r="O1583" t="s">
        <v>24</v>
      </c>
      <c r="P1583" t="s">
        <v>25</v>
      </c>
      <c r="R1583">
        <f>tblDailySchedule[[#This Row],[Capacity Approx]]*'[1]Load Factor Sheet June Acft  '!$B$5</f>
        <v>150.61772727272728</v>
      </c>
      <c r="S1583">
        <f>tblDailySchedule[[#This Row],[Capacity Approx]]*'[1]Load Factor Sheet June Acft  '!$D$5</f>
        <v>163.08818181818182</v>
      </c>
      <c r="T1583" s="22">
        <f>tblDailySchedule[[#This Row],[STD]]</f>
        <v>0.35416666666666669</v>
      </c>
    </row>
    <row r="1584" spans="1:20" hidden="1" x14ac:dyDescent="0.35">
      <c r="A1584" s="11">
        <v>46167</v>
      </c>
      <c r="B1584" s="3">
        <v>1</v>
      </c>
      <c r="C1584" t="s">
        <v>100</v>
      </c>
      <c r="D1584" t="s">
        <v>18</v>
      </c>
      <c r="E1584" s="3">
        <v>4</v>
      </c>
      <c r="F1584" t="s">
        <v>19</v>
      </c>
      <c r="G1584" t="s">
        <v>30</v>
      </c>
      <c r="H1584" t="s">
        <v>31</v>
      </c>
      <c r="I1584" s="12">
        <v>0.34722222222222221</v>
      </c>
      <c r="J1584" t="s">
        <v>32</v>
      </c>
      <c r="K1584" t="s">
        <v>31</v>
      </c>
      <c r="L1584" s="12">
        <v>0.36805555555555558</v>
      </c>
      <c r="M1584" t="s">
        <v>33</v>
      </c>
      <c r="N1584" s="3">
        <v>189</v>
      </c>
      <c r="O1584" t="s">
        <v>24</v>
      </c>
      <c r="P1584" t="s">
        <v>25</v>
      </c>
      <c r="R1584">
        <f>tblDailySchedule[[#This Row],[Capacity Approx]]*'[1]Load Factor Sheet June Acft  '!$B$5</f>
        <v>153.04704545454547</v>
      </c>
      <c r="S1584">
        <f>tblDailySchedule[[#This Row],[Capacity Approx]]*'[1]Load Factor Sheet June Acft  '!$D$5</f>
        <v>165.71863636363636</v>
      </c>
      <c r="T1584" s="22">
        <f>tblDailySchedule[[#This Row],[STD]]</f>
        <v>0.36805555555555558</v>
      </c>
    </row>
    <row r="1585" spans="1:20" hidden="1" x14ac:dyDescent="0.35">
      <c r="A1585" s="13">
        <v>46167</v>
      </c>
      <c r="B1585" s="7">
        <v>1</v>
      </c>
      <c r="C1585" s="14" t="s">
        <v>100</v>
      </c>
      <c r="D1585" s="14" t="s">
        <v>18</v>
      </c>
      <c r="E1585" s="7">
        <v>6</v>
      </c>
      <c r="F1585" s="14" t="s">
        <v>34</v>
      </c>
      <c r="G1585" s="14" t="s">
        <v>35</v>
      </c>
      <c r="H1585" s="14" t="s">
        <v>36</v>
      </c>
      <c r="I1585" s="15">
        <v>0.34722222222222221</v>
      </c>
      <c r="J1585" s="14" t="s">
        <v>37</v>
      </c>
      <c r="K1585" s="14" t="s">
        <v>36</v>
      </c>
      <c r="L1585" s="15">
        <v>0.40972222222222221</v>
      </c>
      <c r="M1585" s="14" t="s">
        <v>38</v>
      </c>
      <c r="N1585" s="7">
        <v>186</v>
      </c>
      <c r="O1585" s="14" t="s">
        <v>39</v>
      </c>
      <c r="P1585" s="14" t="s">
        <v>25</v>
      </c>
      <c r="Q1585" s="14" t="s">
        <v>39</v>
      </c>
      <c r="R1585">
        <f>tblDailySchedule[[#This Row],[Capacity Approx]]*'[1]Load Factor Sheet June Acft  '!$B$5</f>
        <v>150.61772727272728</v>
      </c>
      <c r="S1585">
        <f>tblDailySchedule[[#This Row],[Capacity Approx]]*'[1]Load Factor Sheet June Acft  '!$D$5</f>
        <v>163.08818181818182</v>
      </c>
      <c r="T1585" s="22">
        <f>tblDailySchedule[[#This Row],[STD]]</f>
        <v>0.40972222222222221</v>
      </c>
    </row>
    <row r="1586" spans="1:20" hidden="1" x14ac:dyDescent="0.35">
      <c r="A1586" s="11">
        <v>46167</v>
      </c>
      <c r="B1586" s="3">
        <v>1</v>
      </c>
      <c r="C1586" t="s">
        <v>100</v>
      </c>
      <c r="D1586" t="s">
        <v>18</v>
      </c>
      <c r="E1586" s="3">
        <v>5</v>
      </c>
      <c r="F1586" t="s">
        <v>19</v>
      </c>
      <c r="G1586" t="s">
        <v>40</v>
      </c>
      <c r="H1586" t="s">
        <v>31</v>
      </c>
      <c r="I1586" s="12">
        <v>0.35069444444444442</v>
      </c>
      <c r="J1586" t="s">
        <v>41</v>
      </c>
      <c r="K1586" t="s">
        <v>31</v>
      </c>
      <c r="L1586" s="12">
        <v>0.37152777777777779</v>
      </c>
      <c r="M1586" t="s">
        <v>23</v>
      </c>
      <c r="N1586" s="3">
        <v>186</v>
      </c>
      <c r="O1586" t="s">
        <v>24</v>
      </c>
      <c r="P1586" t="s">
        <v>25</v>
      </c>
      <c r="R1586">
        <f>tblDailySchedule[[#This Row],[Capacity Approx]]*'[1]Load Factor Sheet June Acft  '!$B$5</f>
        <v>150.61772727272728</v>
      </c>
      <c r="S1586">
        <f>tblDailySchedule[[#This Row],[Capacity Approx]]*'[1]Load Factor Sheet June Acft  '!$D$5</f>
        <v>163.08818181818182</v>
      </c>
      <c r="T1586" s="22">
        <f>tblDailySchedule[[#This Row],[STD]]</f>
        <v>0.37152777777777779</v>
      </c>
    </row>
    <row r="1587" spans="1:20" hidden="1" x14ac:dyDescent="0.35">
      <c r="A1587" s="11">
        <v>46167</v>
      </c>
      <c r="B1587" s="3">
        <v>1</v>
      </c>
      <c r="C1587" t="s">
        <v>100</v>
      </c>
      <c r="D1587" t="s">
        <v>18</v>
      </c>
      <c r="E1587" s="3">
        <v>7</v>
      </c>
      <c r="F1587" t="s">
        <v>19</v>
      </c>
      <c r="G1587" t="s">
        <v>42</v>
      </c>
      <c r="H1587" t="s">
        <v>43</v>
      </c>
      <c r="I1587" s="12">
        <v>0.3923611111111111</v>
      </c>
      <c r="J1587" t="s">
        <v>44</v>
      </c>
      <c r="K1587" t="s">
        <v>43</v>
      </c>
      <c r="L1587" s="12">
        <v>0.40277777777777779</v>
      </c>
      <c r="M1587" t="s">
        <v>45</v>
      </c>
      <c r="N1587" s="3">
        <v>9</v>
      </c>
      <c r="O1587" t="s">
        <v>24</v>
      </c>
      <c r="P1587" t="s">
        <v>25</v>
      </c>
      <c r="R1587">
        <f>tblDailySchedule[[#This Row],[Capacity Approx]]*'[1]Load Factor Sheet June Acft  '!$B$5</f>
        <v>7.2879545454545456</v>
      </c>
      <c r="S1587">
        <f>tblDailySchedule[[#This Row],[Capacity Approx]]*'[1]Load Factor Sheet June Acft  '!$D$5</f>
        <v>7.8913636363636366</v>
      </c>
      <c r="T1587" s="22">
        <f>tblDailySchedule[[#This Row],[STD]]</f>
        <v>0.40277777777777779</v>
      </c>
    </row>
    <row r="1588" spans="1:20" hidden="1" x14ac:dyDescent="0.35">
      <c r="A1588" s="11">
        <v>46167</v>
      </c>
      <c r="B1588" s="3">
        <v>1</v>
      </c>
      <c r="C1588" t="s">
        <v>100</v>
      </c>
      <c r="D1588" t="s">
        <v>18</v>
      </c>
      <c r="E1588" s="3">
        <v>8</v>
      </c>
      <c r="F1588" t="s">
        <v>19</v>
      </c>
      <c r="G1588" t="s">
        <v>46</v>
      </c>
      <c r="H1588" t="s">
        <v>31</v>
      </c>
      <c r="I1588" s="12">
        <v>0.4201388888888889</v>
      </c>
      <c r="J1588" t="s">
        <v>47</v>
      </c>
      <c r="K1588" t="s">
        <v>31</v>
      </c>
      <c r="L1588" s="12">
        <v>0.44444444444444442</v>
      </c>
      <c r="M1588" t="s">
        <v>29</v>
      </c>
      <c r="N1588" s="3">
        <v>186</v>
      </c>
      <c r="O1588" t="s">
        <v>24</v>
      </c>
      <c r="P1588" t="s">
        <v>25</v>
      </c>
      <c r="R1588">
        <f>tblDailySchedule[[#This Row],[Capacity Approx]]*'[1]Load Factor Sheet June Acft  '!$B$5</f>
        <v>150.61772727272728</v>
      </c>
      <c r="S1588">
        <f>tblDailySchedule[[#This Row],[Capacity Approx]]*'[1]Load Factor Sheet June Acft  '!$D$5</f>
        <v>163.08818181818182</v>
      </c>
      <c r="T1588" s="22">
        <f>tblDailySchedule[[#This Row],[STD]]</f>
        <v>0.44444444444444442</v>
      </c>
    </row>
    <row r="1589" spans="1:20" hidden="1" x14ac:dyDescent="0.35">
      <c r="A1589" s="11">
        <v>46167</v>
      </c>
      <c r="B1589" s="3">
        <v>1</v>
      </c>
      <c r="C1589" t="s">
        <v>100</v>
      </c>
      <c r="D1589" t="s">
        <v>18</v>
      </c>
      <c r="E1589" s="3">
        <v>9</v>
      </c>
      <c r="F1589" t="s">
        <v>19</v>
      </c>
      <c r="G1589" t="s">
        <v>48</v>
      </c>
      <c r="H1589" t="s">
        <v>49</v>
      </c>
      <c r="I1589" s="12">
        <v>0.4375</v>
      </c>
      <c r="J1589" t="s">
        <v>50</v>
      </c>
      <c r="K1589" t="s">
        <v>49</v>
      </c>
      <c r="L1589" s="12">
        <v>0.45833333333333331</v>
      </c>
      <c r="M1589" t="s">
        <v>51</v>
      </c>
      <c r="N1589" s="3">
        <v>78</v>
      </c>
      <c r="O1589" t="s">
        <v>24</v>
      </c>
      <c r="P1589" t="s">
        <v>25</v>
      </c>
      <c r="R1589">
        <f>tblDailySchedule[[#This Row],[Capacity Approx]]*'[1]Load Factor Sheet June Acft  '!$B$5</f>
        <v>63.162272727272729</v>
      </c>
      <c r="S1589">
        <f>tblDailySchedule[[#This Row],[Capacity Approx]]*'[1]Load Factor Sheet June Acft  '!$D$5</f>
        <v>68.391818181818181</v>
      </c>
      <c r="T1589" s="22">
        <f>tblDailySchedule[[#This Row],[STD]]</f>
        <v>0.45833333333333331</v>
      </c>
    </row>
    <row r="1590" spans="1:20" hidden="1" x14ac:dyDescent="0.35">
      <c r="A1590" s="11">
        <v>46167</v>
      </c>
      <c r="B1590" s="3">
        <v>1</v>
      </c>
      <c r="C1590" t="s">
        <v>100</v>
      </c>
      <c r="D1590" t="s">
        <v>18</v>
      </c>
      <c r="E1590" s="3">
        <v>10</v>
      </c>
      <c r="F1590" t="s">
        <v>19</v>
      </c>
      <c r="G1590" t="s">
        <v>52</v>
      </c>
      <c r="H1590" t="s">
        <v>27</v>
      </c>
      <c r="I1590" s="12">
        <v>0.4826388888888889</v>
      </c>
      <c r="J1590" t="s">
        <v>53</v>
      </c>
      <c r="K1590" t="s">
        <v>27</v>
      </c>
      <c r="L1590" s="12">
        <v>0.51041666666666663</v>
      </c>
      <c r="M1590" t="s">
        <v>23</v>
      </c>
      <c r="N1590" s="3">
        <v>186</v>
      </c>
      <c r="O1590" t="s">
        <v>24</v>
      </c>
      <c r="P1590" t="s">
        <v>25</v>
      </c>
      <c r="R1590">
        <f>tblDailySchedule[[#This Row],[Capacity Approx]]*'[1]Load Factor Sheet June Acft  '!$B$5</f>
        <v>150.61772727272728</v>
      </c>
      <c r="S1590">
        <f>tblDailySchedule[[#This Row],[Capacity Approx]]*'[1]Load Factor Sheet June Acft  '!$D$5</f>
        <v>163.08818181818182</v>
      </c>
      <c r="T1590" s="22">
        <f>tblDailySchedule[[#This Row],[STD]]</f>
        <v>0.51041666666666663</v>
      </c>
    </row>
    <row r="1591" spans="1:20" hidden="1" x14ac:dyDescent="0.35">
      <c r="A1591" s="11">
        <v>46167</v>
      </c>
      <c r="B1591" s="3">
        <v>1</v>
      </c>
      <c r="C1591" t="s">
        <v>100</v>
      </c>
      <c r="D1591" t="s">
        <v>18</v>
      </c>
      <c r="E1591" s="3">
        <v>11</v>
      </c>
      <c r="F1591" t="s">
        <v>19</v>
      </c>
      <c r="G1591" t="s">
        <v>54</v>
      </c>
      <c r="H1591" t="s">
        <v>31</v>
      </c>
      <c r="I1591" s="12">
        <v>0.51388888888888884</v>
      </c>
      <c r="J1591" t="s">
        <v>55</v>
      </c>
      <c r="K1591" t="s">
        <v>31</v>
      </c>
      <c r="L1591" s="12">
        <v>0.54166666666666663</v>
      </c>
      <c r="M1591" t="s">
        <v>23</v>
      </c>
      <c r="N1591" s="3">
        <v>186</v>
      </c>
      <c r="O1591" t="s">
        <v>24</v>
      </c>
      <c r="P1591" t="s">
        <v>56</v>
      </c>
      <c r="R1591">
        <f>tblDailySchedule[[#This Row],[Capacity Approx]]*'[1]Load Factor Sheet June Acft  '!$B$5</f>
        <v>150.61772727272728</v>
      </c>
      <c r="S1591">
        <f>tblDailySchedule[[#This Row],[Capacity Approx]]*'[1]Load Factor Sheet June Acft  '!$D$5</f>
        <v>163.08818181818182</v>
      </c>
      <c r="T1591" s="22">
        <f>tblDailySchedule[[#This Row],[STD]]</f>
        <v>0.54166666666666663</v>
      </c>
    </row>
    <row r="1592" spans="1:20" hidden="1" x14ac:dyDescent="0.35">
      <c r="A1592" s="11">
        <v>46167</v>
      </c>
      <c r="B1592" s="3">
        <v>1</v>
      </c>
      <c r="C1592" t="s">
        <v>100</v>
      </c>
      <c r="D1592" t="s">
        <v>18</v>
      </c>
      <c r="E1592" s="3">
        <v>13</v>
      </c>
      <c r="F1592" t="s">
        <v>19</v>
      </c>
      <c r="G1592" t="s">
        <v>57</v>
      </c>
      <c r="H1592" t="s">
        <v>58</v>
      </c>
      <c r="I1592" s="12">
        <v>0.55902777777777779</v>
      </c>
      <c r="J1592" t="s">
        <v>59</v>
      </c>
      <c r="K1592" t="s">
        <v>58</v>
      </c>
      <c r="L1592" s="12">
        <v>0.57638888888888884</v>
      </c>
      <c r="M1592" t="s">
        <v>51</v>
      </c>
      <c r="N1592" s="3">
        <v>78</v>
      </c>
      <c r="O1592" t="s">
        <v>24</v>
      </c>
      <c r="P1592" t="s">
        <v>56</v>
      </c>
      <c r="R1592">
        <f>tblDailySchedule[[#This Row],[Capacity Approx]]*'[1]Load Factor Sheet June Acft  '!$B$5</f>
        <v>63.162272727272729</v>
      </c>
      <c r="S1592">
        <f>tblDailySchedule[[#This Row],[Capacity Approx]]*'[1]Load Factor Sheet June Acft  '!$D$5</f>
        <v>68.391818181818181</v>
      </c>
      <c r="T1592" s="22">
        <f>tblDailySchedule[[#This Row],[STD]]</f>
        <v>0.57638888888888884</v>
      </c>
    </row>
    <row r="1593" spans="1:20" hidden="1" x14ac:dyDescent="0.35">
      <c r="A1593" s="11">
        <v>46167</v>
      </c>
      <c r="B1593" s="3">
        <v>1</v>
      </c>
      <c r="C1593" t="s">
        <v>100</v>
      </c>
      <c r="D1593" t="s">
        <v>18</v>
      </c>
      <c r="E1593" s="3">
        <v>14</v>
      </c>
      <c r="F1593" t="s">
        <v>19</v>
      </c>
      <c r="G1593" t="s">
        <v>60</v>
      </c>
      <c r="H1593" t="s">
        <v>61</v>
      </c>
      <c r="I1593" s="12">
        <v>0.59027777777777779</v>
      </c>
      <c r="J1593" t="s">
        <v>62</v>
      </c>
      <c r="K1593" t="s">
        <v>61</v>
      </c>
      <c r="L1593" s="12">
        <v>0.62152777777777779</v>
      </c>
      <c r="M1593" t="s">
        <v>63</v>
      </c>
      <c r="N1593" s="3">
        <v>232</v>
      </c>
      <c r="O1593" t="s">
        <v>24</v>
      </c>
      <c r="P1593" t="s">
        <v>56</v>
      </c>
      <c r="R1593">
        <f>tblDailySchedule[[#This Row],[Capacity Approx]]*'[1]Load Factor Sheet June Acft  '!$B$5</f>
        <v>187.86727272727273</v>
      </c>
      <c r="S1593">
        <f>tblDailySchedule[[#This Row],[Capacity Approx]]*'[1]Load Factor Sheet June Acft  '!$D$5</f>
        <v>203.4218181818182</v>
      </c>
      <c r="T1593" s="22">
        <f>tblDailySchedule[[#This Row],[STD]]</f>
        <v>0.62152777777777779</v>
      </c>
    </row>
    <row r="1594" spans="1:20" hidden="1" x14ac:dyDescent="0.35">
      <c r="A1594" s="11">
        <v>46167</v>
      </c>
      <c r="B1594" s="3">
        <v>1</v>
      </c>
      <c r="C1594" t="s">
        <v>100</v>
      </c>
      <c r="D1594" t="s">
        <v>18</v>
      </c>
      <c r="E1594" s="3">
        <v>15</v>
      </c>
      <c r="F1594" t="s">
        <v>19</v>
      </c>
      <c r="G1594" t="s">
        <v>64</v>
      </c>
      <c r="H1594" t="s">
        <v>31</v>
      </c>
      <c r="I1594" s="12">
        <v>0.60069444444444442</v>
      </c>
      <c r="J1594" t="s">
        <v>65</v>
      </c>
      <c r="K1594" t="s">
        <v>66</v>
      </c>
      <c r="L1594" s="12">
        <v>0.62847222222222221</v>
      </c>
      <c r="M1594" t="s">
        <v>63</v>
      </c>
      <c r="N1594" s="3">
        <v>232</v>
      </c>
      <c r="O1594" t="s">
        <v>24</v>
      </c>
      <c r="P1594" t="s">
        <v>56</v>
      </c>
      <c r="R1594">
        <f>tblDailySchedule[[#This Row],[Capacity Approx]]*'[1]Load Factor Sheet June Acft  '!$B$5</f>
        <v>187.86727272727273</v>
      </c>
      <c r="S1594">
        <f>tblDailySchedule[[#This Row],[Capacity Approx]]*'[1]Load Factor Sheet June Acft  '!$D$5</f>
        <v>203.4218181818182</v>
      </c>
      <c r="T1594" s="22">
        <f>tblDailySchedule[[#This Row],[STD]]</f>
        <v>0.62847222222222221</v>
      </c>
    </row>
    <row r="1595" spans="1:20" hidden="1" x14ac:dyDescent="0.35">
      <c r="A1595" s="11">
        <v>46167</v>
      </c>
      <c r="B1595" s="3">
        <v>1</v>
      </c>
      <c r="C1595" t="s">
        <v>100</v>
      </c>
      <c r="D1595" t="s">
        <v>18</v>
      </c>
      <c r="E1595" s="3">
        <v>16</v>
      </c>
      <c r="F1595" t="s">
        <v>19</v>
      </c>
      <c r="G1595" t="s">
        <v>67</v>
      </c>
      <c r="H1595" t="s">
        <v>31</v>
      </c>
      <c r="I1595" s="12">
        <v>0.65625</v>
      </c>
      <c r="J1595" t="s">
        <v>68</v>
      </c>
      <c r="K1595" t="s">
        <v>31</v>
      </c>
      <c r="L1595" s="12">
        <v>0.68402777777777779</v>
      </c>
      <c r="M1595" t="s">
        <v>63</v>
      </c>
      <c r="N1595" s="3">
        <v>232</v>
      </c>
      <c r="O1595" t="s">
        <v>24</v>
      </c>
      <c r="P1595" t="s">
        <v>56</v>
      </c>
      <c r="R1595">
        <f>tblDailySchedule[[#This Row],[Capacity Approx]]*'[1]Load Factor Sheet June Acft  '!$B$5</f>
        <v>187.86727272727273</v>
      </c>
      <c r="S1595">
        <f>tblDailySchedule[[#This Row],[Capacity Approx]]*'[1]Load Factor Sheet June Acft  '!$D$5</f>
        <v>203.4218181818182</v>
      </c>
      <c r="T1595" s="22">
        <f>tblDailySchedule[[#This Row],[STD]]</f>
        <v>0.68402777777777779</v>
      </c>
    </row>
    <row r="1596" spans="1:20" hidden="1" x14ac:dyDescent="0.35">
      <c r="A1596" s="11">
        <v>46167</v>
      </c>
      <c r="B1596" s="3">
        <v>1</v>
      </c>
      <c r="C1596" t="s">
        <v>100</v>
      </c>
      <c r="D1596" t="s">
        <v>18</v>
      </c>
      <c r="E1596" s="3">
        <v>17</v>
      </c>
      <c r="F1596" t="s">
        <v>19</v>
      </c>
      <c r="G1596" t="s">
        <v>69</v>
      </c>
      <c r="H1596" t="s">
        <v>31</v>
      </c>
      <c r="I1596" s="12">
        <v>0.66319444444444442</v>
      </c>
      <c r="J1596" t="s">
        <v>70</v>
      </c>
      <c r="K1596" t="s">
        <v>31</v>
      </c>
      <c r="L1596" s="12">
        <v>0.69097222222222221</v>
      </c>
      <c r="M1596" t="s">
        <v>33</v>
      </c>
      <c r="N1596" s="3">
        <v>189</v>
      </c>
      <c r="O1596" t="s">
        <v>24</v>
      </c>
      <c r="P1596" t="s">
        <v>56</v>
      </c>
      <c r="R1596">
        <f>tblDailySchedule[[#This Row],[Capacity Approx]]*'[1]Load Factor Sheet June Acft  '!$B$5</f>
        <v>153.04704545454547</v>
      </c>
      <c r="S1596">
        <f>tblDailySchedule[[#This Row],[Capacity Approx]]*'[1]Load Factor Sheet June Acft  '!$D$5</f>
        <v>165.71863636363636</v>
      </c>
      <c r="T1596" s="22">
        <f>tblDailySchedule[[#This Row],[STD]]</f>
        <v>0.69097222222222221</v>
      </c>
    </row>
    <row r="1597" spans="1:20" hidden="1" x14ac:dyDescent="0.35">
      <c r="A1597" s="11">
        <v>46167</v>
      </c>
      <c r="B1597" s="3">
        <v>1</v>
      </c>
      <c r="C1597" t="s">
        <v>100</v>
      </c>
      <c r="D1597" t="s">
        <v>18</v>
      </c>
      <c r="E1597" s="3">
        <v>18</v>
      </c>
      <c r="F1597" t="s">
        <v>19</v>
      </c>
      <c r="G1597" t="s">
        <v>71</v>
      </c>
      <c r="H1597" t="s">
        <v>21</v>
      </c>
      <c r="I1597" s="12">
        <v>0.67013888888888884</v>
      </c>
      <c r="J1597" t="s">
        <v>72</v>
      </c>
      <c r="K1597" t="s">
        <v>21</v>
      </c>
      <c r="L1597" s="12">
        <v>0.69791666666666663</v>
      </c>
      <c r="M1597" t="s">
        <v>63</v>
      </c>
      <c r="N1597" s="3">
        <v>232</v>
      </c>
      <c r="O1597" t="s">
        <v>24</v>
      </c>
      <c r="P1597" t="s">
        <v>56</v>
      </c>
      <c r="R1597">
        <f>tblDailySchedule[[#This Row],[Capacity Approx]]*'[1]Load Factor Sheet June Acft  '!$B$5</f>
        <v>187.86727272727273</v>
      </c>
      <c r="S1597">
        <f>tblDailySchedule[[#This Row],[Capacity Approx]]*'[1]Load Factor Sheet June Acft  '!$D$5</f>
        <v>203.4218181818182</v>
      </c>
      <c r="T1597" s="22">
        <f>tblDailySchedule[[#This Row],[STD]]</f>
        <v>0.69791666666666663</v>
      </c>
    </row>
    <row r="1598" spans="1:20" hidden="1" x14ac:dyDescent="0.35">
      <c r="A1598" s="11">
        <v>46167</v>
      </c>
      <c r="B1598" s="3">
        <v>1</v>
      </c>
      <c r="C1598" t="s">
        <v>100</v>
      </c>
      <c r="D1598" t="s">
        <v>18</v>
      </c>
      <c r="E1598" s="3">
        <v>19</v>
      </c>
      <c r="F1598" t="s">
        <v>19</v>
      </c>
      <c r="G1598" t="s">
        <v>73</v>
      </c>
      <c r="H1598" t="s">
        <v>27</v>
      </c>
      <c r="I1598" s="12">
        <v>0.74652777777777779</v>
      </c>
      <c r="J1598" t="s">
        <v>74</v>
      </c>
      <c r="K1598" t="s">
        <v>27</v>
      </c>
      <c r="L1598" s="12">
        <v>0.77430555555555558</v>
      </c>
      <c r="M1598" t="s">
        <v>63</v>
      </c>
      <c r="N1598" s="3">
        <v>232</v>
      </c>
      <c r="O1598" t="s">
        <v>24</v>
      </c>
      <c r="P1598" t="s">
        <v>56</v>
      </c>
      <c r="R1598">
        <f>tblDailySchedule[[#This Row],[Capacity Approx]]*'[1]Load Factor Sheet June Acft  '!$B$5</f>
        <v>187.86727272727273</v>
      </c>
      <c r="S1598">
        <f>tblDailySchedule[[#This Row],[Capacity Approx]]*'[1]Load Factor Sheet June Acft  '!$D$5</f>
        <v>203.4218181818182</v>
      </c>
      <c r="T1598" s="22">
        <f>tblDailySchedule[[#This Row],[STD]]</f>
        <v>0.77430555555555558</v>
      </c>
    </row>
    <row r="1599" spans="1:20" hidden="1" x14ac:dyDescent="0.35">
      <c r="A1599" s="11">
        <v>46167</v>
      </c>
      <c r="B1599" s="3">
        <v>1</v>
      </c>
      <c r="C1599" t="s">
        <v>100</v>
      </c>
      <c r="D1599" t="s">
        <v>18</v>
      </c>
      <c r="E1599" s="3">
        <v>20</v>
      </c>
      <c r="F1599" t="s">
        <v>34</v>
      </c>
      <c r="G1599" t="s">
        <v>75</v>
      </c>
      <c r="H1599" t="s">
        <v>76</v>
      </c>
      <c r="I1599" s="12">
        <v>0.76388888888888884</v>
      </c>
      <c r="J1599" t="s">
        <v>77</v>
      </c>
      <c r="K1599" t="s">
        <v>78</v>
      </c>
      <c r="L1599" s="12">
        <v>0.78472222222222221</v>
      </c>
      <c r="M1599" t="s">
        <v>51</v>
      </c>
      <c r="N1599" s="3">
        <v>78</v>
      </c>
      <c r="O1599" t="s">
        <v>24</v>
      </c>
      <c r="P1599" t="s">
        <v>79</v>
      </c>
      <c r="Q1599" s="16" t="s">
        <v>80</v>
      </c>
      <c r="R1599">
        <f>tblDailySchedule[[#This Row],[Capacity Approx]]*'[1]Load Factor Sheet June Acft  '!$B$5</f>
        <v>63.162272727272729</v>
      </c>
      <c r="S1599">
        <f>tblDailySchedule[[#This Row],[Capacity Approx]]*'[1]Load Factor Sheet June Acft  '!$D$5</f>
        <v>68.391818181818181</v>
      </c>
      <c r="T1599" s="22">
        <f>tblDailySchedule[[#This Row],[STD]]</f>
        <v>0.78472222222222221</v>
      </c>
    </row>
    <row r="1600" spans="1:20" hidden="1" x14ac:dyDescent="0.35">
      <c r="A1600" s="11">
        <v>46167</v>
      </c>
      <c r="B1600" s="3">
        <v>1</v>
      </c>
      <c r="C1600" t="s">
        <v>100</v>
      </c>
      <c r="D1600" t="s">
        <v>18</v>
      </c>
      <c r="E1600" s="3">
        <v>21</v>
      </c>
      <c r="F1600" t="s">
        <v>19</v>
      </c>
      <c r="G1600" t="s">
        <v>81</v>
      </c>
      <c r="H1600" t="s">
        <v>61</v>
      </c>
      <c r="I1600" s="12">
        <v>0.77083333333333337</v>
      </c>
      <c r="J1600" t="s">
        <v>82</v>
      </c>
      <c r="K1600" t="s">
        <v>49</v>
      </c>
      <c r="L1600" s="12">
        <v>0.79166666666666663</v>
      </c>
      <c r="M1600" t="s">
        <v>33</v>
      </c>
      <c r="N1600" s="3">
        <v>189</v>
      </c>
      <c r="O1600" t="s">
        <v>24</v>
      </c>
      <c r="P1600" t="s">
        <v>79</v>
      </c>
      <c r="R1600">
        <f>tblDailySchedule[[#This Row],[Capacity Approx]]*'[1]Load Factor Sheet June Acft  '!$B$5</f>
        <v>153.04704545454547</v>
      </c>
      <c r="S1600">
        <f>tblDailySchedule[[#This Row],[Capacity Approx]]*'[1]Load Factor Sheet June Acft  '!$D$5</f>
        <v>165.71863636363636</v>
      </c>
      <c r="T1600" s="22">
        <f>tblDailySchedule[[#This Row],[STD]]</f>
        <v>0.79166666666666663</v>
      </c>
    </row>
    <row r="1601" spans="1:20" hidden="1" x14ac:dyDescent="0.35">
      <c r="A1601" s="11">
        <v>46167</v>
      </c>
      <c r="B1601" s="3">
        <v>1</v>
      </c>
      <c r="C1601" t="s">
        <v>100</v>
      </c>
      <c r="D1601" t="s">
        <v>18</v>
      </c>
      <c r="E1601" s="3">
        <v>22</v>
      </c>
      <c r="F1601" t="s">
        <v>19</v>
      </c>
      <c r="G1601" t="s">
        <v>83</v>
      </c>
      <c r="H1601" t="s">
        <v>31</v>
      </c>
      <c r="I1601" s="12">
        <v>0.77777777777777779</v>
      </c>
      <c r="J1601" t="s">
        <v>84</v>
      </c>
      <c r="K1601" t="s">
        <v>31</v>
      </c>
      <c r="L1601" s="12">
        <v>0.80555555555555558</v>
      </c>
      <c r="M1601" t="s">
        <v>63</v>
      </c>
      <c r="N1601" s="3">
        <v>232</v>
      </c>
      <c r="O1601" t="s">
        <v>24</v>
      </c>
      <c r="P1601" t="s">
        <v>79</v>
      </c>
      <c r="R1601">
        <f>tblDailySchedule[[#This Row],[Capacity Approx]]*'[1]Load Factor Sheet June Acft  '!$B$5</f>
        <v>187.86727272727273</v>
      </c>
      <c r="S1601">
        <f>tblDailySchedule[[#This Row],[Capacity Approx]]*'[1]Load Factor Sheet June Acft  '!$D$5</f>
        <v>203.4218181818182</v>
      </c>
      <c r="T1601" s="22">
        <f>tblDailySchedule[[#This Row],[STD]]</f>
        <v>0.80555555555555558</v>
      </c>
    </row>
    <row r="1602" spans="1:20" hidden="1" x14ac:dyDescent="0.35">
      <c r="A1602" s="11">
        <v>46167</v>
      </c>
      <c r="B1602" s="3">
        <v>1</v>
      </c>
      <c r="C1602" t="s">
        <v>100</v>
      </c>
      <c r="D1602" t="s">
        <v>18</v>
      </c>
      <c r="E1602" s="3">
        <v>23</v>
      </c>
      <c r="F1602" t="s">
        <v>19</v>
      </c>
      <c r="G1602" t="s">
        <v>85</v>
      </c>
      <c r="H1602" t="s">
        <v>86</v>
      </c>
      <c r="I1602" s="12">
        <v>0.79861111111111116</v>
      </c>
      <c r="J1602" t="s">
        <v>87</v>
      </c>
      <c r="K1602" t="s">
        <v>86</v>
      </c>
      <c r="L1602" s="12">
        <v>0.82638888888888884</v>
      </c>
      <c r="M1602" t="s">
        <v>63</v>
      </c>
      <c r="N1602" s="3">
        <v>232</v>
      </c>
      <c r="O1602" t="s">
        <v>24</v>
      </c>
      <c r="P1602" t="s">
        <v>79</v>
      </c>
      <c r="R1602">
        <f>tblDailySchedule[[#This Row],[Capacity Approx]]*'[1]Load Factor Sheet June Acft  '!$B$5</f>
        <v>187.86727272727273</v>
      </c>
      <c r="S1602">
        <f>tblDailySchedule[[#This Row],[Capacity Approx]]*'[1]Load Factor Sheet June Acft  '!$D$5</f>
        <v>203.4218181818182</v>
      </c>
      <c r="T1602" s="22">
        <f>tblDailySchedule[[#This Row],[STD]]</f>
        <v>0.82638888888888884</v>
      </c>
    </row>
    <row r="1603" spans="1:20" hidden="1" x14ac:dyDescent="0.35">
      <c r="A1603" s="11">
        <v>46167</v>
      </c>
      <c r="B1603" s="3">
        <v>1</v>
      </c>
      <c r="C1603" t="s">
        <v>100</v>
      </c>
      <c r="D1603" t="s">
        <v>18</v>
      </c>
      <c r="E1603" s="3">
        <v>24</v>
      </c>
      <c r="F1603" t="s">
        <v>19</v>
      </c>
      <c r="G1603" t="s">
        <v>88</v>
      </c>
      <c r="H1603" t="s">
        <v>89</v>
      </c>
      <c r="I1603" s="12">
        <v>0.83333333333333337</v>
      </c>
      <c r="J1603" t="s">
        <v>90</v>
      </c>
      <c r="K1603" t="s">
        <v>31</v>
      </c>
      <c r="L1603" s="12">
        <v>0.86111111111111116</v>
      </c>
      <c r="M1603" t="s">
        <v>63</v>
      </c>
      <c r="N1603" s="3">
        <v>232</v>
      </c>
      <c r="O1603" t="s">
        <v>24</v>
      </c>
      <c r="P1603" t="s">
        <v>79</v>
      </c>
      <c r="R1603">
        <f>tblDailySchedule[[#This Row],[Capacity Approx]]*'[1]Load Factor Sheet June Acft  '!$B$5</f>
        <v>187.86727272727273</v>
      </c>
      <c r="S1603">
        <f>tblDailySchedule[[#This Row],[Capacity Approx]]*'[1]Load Factor Sheet June Acft  '!$D$5</f>
        <v>203.4218181818182</v>
      </c>
      <c r="T1603" s="22">
        <f>tblDailySchedule[[#This Row],[STD]]</f>
        <v>0.86111111111111116</v>
      </c>
    </row>
    <row r="1604" spans="1:20" hidden="1" x14ac:dyDescent="0.35">
      <c r="A1604" s="11">
        <v>46167</v>
      </c>
      <c r="B1604" s="3">
        <v>1</v>
      </c>
      <c r="C1604" t="s">
        <v>100</v>
      </c>
      <c r="D1604" t="s">
        <v>18</v>
      </c>
      <c r="E1604" s="3">
        <v>25</v>
      </c>
      <c r="F1604" t="s">
        <v>19</v>
      </c>
      <c r="G1604" t="s">
        <v>91</v>
      </c>
      <c r="H1604" t="s">
        <v>61</v>
      </c>
      <c r="I1604" s="12">
        <v>0.85416666666666663</v>
      </c>
      <c r="J1604" t="s">
        <v>92</v>
      </c>
      <c r="K1604" t="s">
        <v>61</v>
      </c>
      <c r="L1604" s="12">
        <v>0.88194444444444442</v>
      </c>
      <c r="M1604" t="s">
        <v>63</v>
      </c>
      <c r="N1604" s="3">
        <v>232</v>
      </c>
      <c r="O1604" t="s">
        <v>24</v>
      </c>
      <c r="P1604" t="s">
        <v>79</v>
      </c>
      <c r="R1604">
        <f>tblDailySchedule[[#This Row],[Capacity Approx]]*'[1]Load Factor Sheet June Acft  '!$B$5</f>
        <v>187.86727272727273</v>
      </c>
      <c r="S1604">
        <f>tblDailySchedule[[#This Row],[Capacity Approx]]*'[1]Load Factor Sheet June Acft  '!$D$5</f>
        <v>203.4218181818182</v>
      </c>
      <c r="T1604" s="22">
        <f>tblDailySchedule[[#This Row],[STD]]</f>
        <v>0.88194444444444442</v>
      </c>
    </row>
    <row r="1605" spans="1:20" hidden="1" x14ac:dyDescent="0.35">
      <c r="A1605" s="11">
        <v>46167</v>
      </c>
      <c r="B1605" s="3">
        <v>1</v>
      </c>
      <c r="C1605" t="s">
        <v>100</v>
      </c>
      <c r="D1605" t="s">
        <v>18</v>
      </c>
      <c r="E1605" s="3">
        <v>26</v>
      </c>
      <c r="F1605" t="s">
        <v>19</v>
      </c>
      <c r="G1605" t="s">
        <v>93</v>
      </c>
      <c r="H1605" t="s">
        <v>31</v>
      </c>
      <c r="I1605" s="12">
        <v>0.86111111111111116</v>
      </c>
      <c r="J1605" t="s">
        <v>94</v>
      </c>
      <c r="K1605" t="s">
        <v>31</v>
      </c>
      <c r="L1605" s="12">
        <v>0.88888888888888884</v>
      </c>
      <c r="M1605" t="s">
        <v>23</v>
      </c>
      <c r="N1605" s="3">
        <v>186</v>
      </c>
      <c r="O1605" t="s">
        <v>24</v>
      </c>
      <c r="P1605" t="s">
        <v>79</v>
      </c>
      <c r="R1605">
        <f>tblDailySchedule[[#This Row],[Capacity Approx]]*'[1]Load Factor Sheet June Acft  '!$B$5</f>
        <v>150.61772727272728</v>
      </c>
      <c r="S1605">
        <f>tblDailySchedule[[#This Row],[Capacity Approx]]*'[1]Load Factor Sheet June Acft  '!$D$5</f>
        <v>163.08818181818182</v>
      </c>
      <c r="T1605" s="22">
        <f>tblDailySchedule[[#This Row],[STD]]</f>
        <v>0.88888888888888884</v>
      </c>
    </row>
    <row r="1606" spans="1:20" hidden="1" x14ac:dyDescent="0.35">
      <c r="A1606" s="11">
        <v>46167</v>
      </c>
      <c r="B1606" s="3">
        <v>1</v>
      </c>
      <c r="C1606" t="s">
        <v>100</v>
      </c>
      <c r="D1606" t="s">
        <v>18</v>
      </c>
      <c r="E1606" s="3">
        <v>27</v>
      </c>
      <c r="F1606" t="s">
        <v>19</v>
      </c>
      <c r="G1606" t="s">
        <v>95</v>
      </c>
      <c r="H1606" t="s">
        <v>21</v>
      </c>
      <c r="I1606" s="12">
        <v>0.86805555555555558</v>
      </c>
      <c r="J1606" t="s">
        <v>96</v>
      </c>
      <c r="K1606" t="s">
        <v>21</v>
      </c>
      <c r="L1606" s="12">
        <v>0.89583333333333337</v>
      </c>
      <c r="M1606" t="s">
        <v>29</v>
      </c>
      <c r="N1606" s="3">
        <v>186</v>
      </c>
      <c r="O1606" t="s">
        <v>24</v>
      </c>
      <c r="P1606" t="s">
        <v>79</v>
      </c>
      <c r="R1606">
        <f>tblDailySchedule[[#This Row],[Capacity Approx]]*'[1]Load Factor Sheet June Acft  '!$B$5</f>
        <v>150.61772727272728</v>
      </c>
      <c r="S1606">
        <f>tblDailySchedule[[#This Row],[Capacity Approx]]*'[1]Load Factor Sheet June Acft  '!$D$5</f>
        <v>163.08818181818182</v>
      </c>
      <c r="T1606" s="22">
        <f>tblDailySchedule[[#This Row],[STD]]</f>
        <v>0.89583333333333337</v>
      </c>
    </row>
    <row r="1607" spans="1:20" hidden="1" x14ac:dyDescent="0.35">
      <c r="A1607" s="11">
        <v>46167</v>
      </c>
      <c r="B1607" s="3">
        <v>1</v>
      </c>
      <c r="C1607" t="s">
        <v>100</v>
      </c>
      <c r="D1607" t="s">
        <v>18</v>
      </c>
      <c r="E1607" s="3">
        <v>28</v>
      </c>
      <c r="F1607" t="s">
        <v>19</v>
      </c>
      <c r="G1607" t="s">
        <v>97</v>
      </c>
      <c r="H1607" t="s">
        <v>49</v>
      </c>
      <c r="I1607" s="12">
        <v>0.90277777777777779</v>
      </c>
      <c r="J1607" t="s">
        <v>97</v>
      </c>
      <c r="K1607" t="s">
        <v>61</v>
      </c>
      <c r="L1607" s="12">
        <v>0.92361111111111116</v>
      </c>
      <c r="M1607" t="s">
        <v>33</v>
      </c>
      <c r="N1607" s="3">
        <v>189</v>
      </c>
      <c r="O1607" t="s">
        <v>24</v>
      </c>
      <c r="P1607" t="s">
        <v>79</v>
      </c>
      <c r="R1607">
        <f>tblDailySchedule[[#This Row],[Capacity Approx]]*'[1]Load Factor Sheet June Acft  '!$B$5</f>
        <v>153.04704545454547</v>
      </c>
      <c r="S1607">
        <f>tblDailySchedule[[#This Row],[Capacity Approx]]*'[1]Load Factor Sheet June Acft  '!$D$5</f>
        <v>165.71863636363636</v>
      </c>
      <c r="T1607" s="22">
        <f>tblDailySchedule[[#This Row],[STD]]</f>
        <v>0.92361111111111116</v>
      </c>
    </row>
    <row r="1608" spans="1:20" hidden="1" x14ac:dyDescent="0.35">
      <c r="A1608" s="11">
        <v>46167</v>
      </c>
      <c r="B1608" s="3">
        <v>1</v>
      </c>
      <c r="C1608" t="s">
        <v>100</v>
      </c>
      <c r="D1608" t="s">
        <v>18</v>
      </c>
      <c r="E1608" s="3">
        <v>29</v>
      </c>
      <c r="F1608" t="s">
        <v>19</v>
      </c>
      <c r="G1608" t="s">
        <v>98</v>
      </c>
      <c r="H1608" t="s">
        <v>21</v>
      </c>
      <c r="I1608" s="12">
        <v>0.92013888888888884</v>
      </c>
      <c r="J1608" t="s">
        <v>99</v>
      </c>
      <c r="K1608" t="s">
        <v>21</v>
      </c>
      <c r="L1608" s="12">
        <v>0.94791666666666663</v>
      </c>
      <c r="M1608" t="s">
        <v>63</v>
      </c>
      <c r="N1608" s="3">
        <v>232</v>
      </c>
      <c r="O1608" t="s">
        <v>24</v>
      </c>
      <c r="P1608" t="s">
        <v>79</v>
      </c>
      <c r="R1608">
        <f>tblDailySchedule[[#This Row],[Capacity Approx]]*'[1]Load Factor Sheet June Acft  '!$B$5</f>
        <v>187.86727272727273</v>
      </c>
      <c r="S1608">
        <f>tblDailySchedule[[#This Row],[Capacity Approx]]*'[1]Load Factor Sheet June Acft  '!$D$5</f>
        <v>203.4218181818182</v>
      </c>
      <c r="T1608" s="22">
        <f>tblDailySchedule[[#This Row],[STD]]</f>
        <v>0.94791666666666663</v>
      </c>
    </row>
    <row r="1609" spans="1:20" hidden="1" x14ac:dyDescent="0.35">
      <c r="A1609" s="13">
        <v>46167</v>
      </c>
      <c r="B1609" s="7">
        <v>1</v>
      </c>
      <c r="C1609" s="14" t="s">
        <v>100</v>
      </c>
      <c r="D1609" s="14" t="s">
        <v>18</v>
      </c>
      <c r="E1609" s="7">
        <v>30</v>
      </c>
      <c r="F1609" s="14" t="s">
        <v>104</v>
      </c>
      <c r="G1609" s="14" t="s">
        <v>105</v>
      </c>
      <c r="H1609" s="14" t="s">
        <v>106</v>
      </c>
      <c r="I1609" s="15">
        <v>0.92708333333333337</v>
      </c>
      <c r="J1609" s="14" t="s">
        <v>107</v>
      </c>
      <c r="K1609" s="14" t="s">
        <v>106</v>
      </c>
      <c r="L1609" s="15">
        <v>0.95833333333333337</v>
      </c>
      <c r="M1609" s="14" t="s">
        <v>38</v>
      </c>
      <c r="N1609" s="7">
        <v>186</v>
      </c>
      <c r="O1609" s="14" t="s">
        <v>39</v>
      </c>
      <c r="P1609" s="14" t="s">
        <v>79</v>
      </c>
      <c r="Q1609" s="14" t="s">
        <v>39</v>
      </c>
      <c r="R1609">
        <f>tblDailySchedule[[#This Row],[Capacity Approx]]*'[1]Load Factor Sheet June Acft  '!$B$5</f>
        <v>150.61772727272728</v>
      </c>
      <c r="S1609">
        <f>tblDailySchedule[[#This Row],[Capacity Approx]]*'[1]Load Factor Sheet June Acft  '!$D$5</f>
        <v>163.08818181818182</v>
      </c>
      <c r="T1609" s="22">
        <f>tblDailySchedule[[#This Row],[STD]]</f>
        <v>0.95833333333333337</v>
      </c>
    </row>
    <row r="1610" spans="1:20" hidden="1" x14ac:dyDescent="0.35">
      <c r="A1610" s="11">
        <v>46168</v>
      </c>
      <c r="B1610" s="3">
        <v>2</v>
      </c>
      <c r="C1610" t="s">
        <v>108</v>
      </c>
      <c r="D1610" t="s">
        <v>18</v>
      </c>
      <c r="E1610" s="3">
        <v>1</v>
      </c>
      <c r="F1610" t="s">
        <v>101</v>
      </c>
      <c r="G1610" t="s">
        <v>102</v>
      </c>
      <c r="H1610" t="s">
        <v>61</v>
      </c>
      <c r="I1610" s="12">
        <v>0.3125</v>
      </c>
      <c r="J1610" t="s">
        <v>103</v>
      </c>
      <c r="K1610" t="s">
        <v>61</v>
      </c>
      <c r="L1610" s="12">
        <v>0.33333333333333331</v>
      </c>
      <c r="M1610" t="s">
        <v>33</v>
      </c>
      <c r="N1610" s="3">
        <v>189</v>
      </c>
      <c r="O1610" t="s">
        <v>24</v>
      </c>
      <c r="P1610" t="s">
        <v>25</v>
      </c>
      <c r="R1610">
        <f>tblDailySchedule[[#This Row],[Capacity Approx]]*'[1]Load Factor Sheet June Acft  '!$B$5</f>
        <v>153.04704545454547</v>
      </c>
      <c r="S1610">
        <f>tblDailySchedule[[#This Row],[Capacity Approx]]*'[1]Load Factor Sheet June Acft  '!$D$5</f>
        <v>165.71863636363636</v>
      </c>
      <c r="T1610" s="22">
        <f>tblDailySchedule[[#This Row],[STD]]</f>
        <v>0.33333333333333331</v>
      </c>
    </row>
    <row r="1611" spans="1:20" hidden="1" x14ac:dyDescent="0.35">
      <c r="A1611" s="11">
        <v>46168</v>
      </c>
      <c r="B1611" s="3">
        <v>2</v>
      </c>
      <c r="C1611" t="s">
        <v>108</v>
      </c>
      <c r="D1611" t="s">
        <v>18</v>
      </c>
      <c r="E1611" s="3">
        <v>2</v>
      </c>
      <c r="F1611" t="s">
        <v>19</v>
      </c>
      <c r="G1611" t="s">
        <v>20</v>
      </c>
      <c r="H1611" t="s">
        <v>21</v>
      </c>
      <c r="I1611" s="12">
        <v>0.31944444444444442</v>
      </c>
      <c r="J1611" t="s">
        <v>22</v>
      </c>
      <c r="K1611" t="s">
        <v>21</v>
      </c>
      <c r="L1611" s="12">
        <v>0.34722222222222221</v>
      </c>
      <c r="M1611" t="s">
        <v>23</v>
      </c>
      <c r="N1611" s="3">
        <v>186</v>
      </c>
      <c r="O1611" t="s">
        <v>24</v>
      </c>
      <c r="P1611" t="s">
        <v>25</v>
      </c>
      <c r="R1611">
        <f>tblDailySchedule[[#This Row],[Capacity Approx]]*'[1]Load Factor Sheet June Acft  '!$B$5</f>
        <v>150.61772727272728</v>
      </c>
      <c r="S1611">
        <f>tblDailySchedule[[#This Row],[Capacity Approx]]*'[1]Load Factor Sheet June Acft  '!$D$5</f>
        <v>163.08818181818182</v>
      </c>
      <c r="T1611" s="22">
        <f>tblDailySchedule[[#This Row],[STD]]</f>
        <v>0.34722222222222221</v>
      </c>
    </row>
    <row r="1612" spans="1:20" hidden="1" x14ac:dyDescent="0.35">
      <c r="A1612" s="11">
        <v>46168</v>
      </c>
      <c r="B1612" s="3">
        <v>2</v>
      </c>
      <c r="C1612" t="s">
        <v>108</v>
      </c>
      <c r="D1612" t="s">
        <v>18</v>
      </c>
      <c r="E1612" s="3">
        <v>3</v>
      </c>
      <c r="F1612" t="s">
        <v>19</v>
      </c>
      <c r="G1612" t="s">
        <v>26</v>
      </c>
      <c r="H1612" t="s">
        <v>27</v>
      </c>
      <c r="I1612" s="12">
        <v>0.3263888888888889</v>
      </c>
      <c r="J1612" t="s">
        <v>28</v>
      </c>
      <c r="K1612" t="s">
        <v>27</v>
      </c>
      <c r="L1612" s="12">
        <v>0.35416666666666669</v>
      </c>
      <c r="M1612" t="s">
        <v>29</v>
      </c>
      <c r="N1612" s="3">
        <v>186</v>
      </c>
      <c r="O1612" t="s">
        <v>24</v>
      </c>
      <c r="P1612" t="s">
        <v>25</v>
      </c>
      <c r="R1612">
        <f>tblDailySchedule[[#This Row],[Capacity Approx]]*'[1]Load Factor Sheet June Acft  '!$B$5</f>
        <v>150.61772727272728</v>
      </c>
      <c r="S1612">
        <f>tblDailySchedule[[#This Row],[Capacity Approx]]*'[1]Load Factor Sheet June Acft  '!$D$5</f>
        <v>163.08818181818182</v>
      </c>
      <c r="T1612" s="22">
        <f>tblDailySchedule[[#This Row],[STD]]</f>
        <v>0.35416666666666669</v>
      </c>
    </row>
    <row r="1613" spans="1:20" hidden="1" x14ac:dyDescent="0.35">
      <c r="A1613" s="11">
        <v>46168</v>
      </c>
      <c r="B1613" s="3">
        <v>2</v>
      </c>
      <c r="C1613" t="s">
        <v>108</v>
      </c>
      <c r="D1613" t="s">
        <v>18</v>
      </c>
      <c r="E1613" s="3">
        <v>4</v>
      </c>
      <c r="F1613" t="s">
        <v>19</v>
      </c>
      <c r="G1613" t="s">
        <v>30</v>
      </c>
      <c r="H1613" t="s">
        <v>31</v>
      </c>
      <c r="I1613" s="12">
        <v>0.34722222222222221</v>
      </c>
      <c r="J1613" t="s">
        <v>32</v>
      </c>
      <c r="K1613" t="s">
        <v>31</v>
      </c>
      <c r="L1613" s="12">
        <v>0.36805555555555558</v>
      </c>
      <c r="M1613" t="s">
        <v>33</v>
      </c>
      <c r="N1613" s="3">
        <v>189</v>
      </c>
      <c r="O1613" t="s">
        <v>24</v>
      </c>
      <c r="P1613" t="s">
        <v>25</v>
      </c>
      <c r="R1613">
        <f>tblDailySchedule[[#This Row],[Capacity Approx]]*'[1]Load Factor Sheet June Acft  '!$B$5</f>
        <v>153.04704545454547</v>
      </c>
      <c r="S1613">
        <f>tblDailySchedule[[#This Row],[Capacity Approx]]*'[1]Load Factor Sheet June Acft  '!$D$5</f>
        <v>165.71863636363636</v>
      </c>
      <c r="T1613" s="22">
        <f>tblDailySchedule[[#This Row],[STD]]</f>
        <v>0.36805555555555558</v>
      </c>
    </row>
    <row r="1614" spans="1:20" hidden="1" x14ac:dyDescent="0.35">
      <c r="A1614" s="11">
        <v>46168</v>
      </c>
      <c r="B1614" s="3">
        <v>2</v>
      </c>
      <c r="C1614" t="s">
        <v>108</v>
      </c>
      <c r="D1614" t="s">
        <v>18</v>
      </c>
      <c r="E1614" s="3">
        <v>5</v>
      </c>
      <c r="F1614" t="s">
        <v>19</v>
      </c>
      <c r="G1614" t="s">
        <v>40</v>
      </c>
      <c r="H1614" t="s">
        <v>31</v>
      </c>
      <c r="I1614" s="12">
        <v>0.35069444444444442</v>
      </c>
      <c r="J1614" t="s">
        <v>41</v>
      </c>
      <c r="K1614" t="s">
        <v>31</v>
      </c>
      <c r="L1614" s="12">
        <v>0.37152777777777779</v>
      </c>
      <c r="M1614" t="s">
        <v>23</v>
      </c>
      <c r="N1614" s="3">
        <v>186</v>
      </c>
      <c r="O1614" t="s">
        <v>24</v>
      </c>
      <c r="P1614" t="s">
        <v>25</v>
      </c>
      <c r="R1614">
        <f>tblDailySchedule[[#This Row],[Capacity Approx]]*'[1]Load Factor Sheet June Acft  '!$B$5</f>
        <v>150.61772727272728</v>
      </c>
      <c r="S1614">
        <f>tblDailySchedule[[#This Row],[Capacity Approx]]*'[1]Load Factor Sheet June Acft  '!$D$5</f>
        <v>163.08818181818182</v>
      </c>
      <c r="T1614" s="22">
        <f>tblDailySchedule[[#This Row],[STD]]</f>
        <v>0.37152777777777779</v>
      </c>
    </row>
    <row r="1615" spans="1:20" hidden="1" x14ac:dyDescent="0.35">
      <c r="A1615" s="11">
        <v>46168</v>
      </c>
      <c r="B1615" s="3">
        <v>2</v>
      </c>
      <c r="C1615" t="s">
        <v>108</v>
      </c>
      <c r="D1615" t="s">
        <v>18</v>
      </c>
      <c r="E1615" s="3">
        <v>7</v>
      </c>
      <c r="F1615" t="s">
        <v>19</v>
      </c>
      <c r="G1615" t="s">
        <v>42</v>
      </c>
      <c r="H1615" t="s">
        <v>43</v>
      </c>
      <c r="I1615" s="12">
        <v>0.3923611111111111</v>
      </c>
      <c r="J1615" t="s">
        <v>44</v>
      </c>
      <c r="K1615" t="s">
        <v>43</v>
      </c>
      <c r="L1615" s="12">
        <v>0.40277777777777779</v>
      </c>
      <c r="M1615" t="s">
        <v>45</v>
      </c>
      <c r="N1615" s="3">
        <v>9</v>
      </c>
      <c r="O1615" t="s">
        <v>24</v>
      </c>
      <c r="P1615" t="s">
        <v>25</v>
      </c>
      <c r="R1615">
        <f>tblDailySchedule[[#This Row],[Capacity Approx]]*'[1]Load Factor Sheet June Acft  '!$B$5</f>
        <v>7.2879545454545456</v>
      </c>
      <c r="S1615">
        <f>tblDailySchedule[[#This Row],[Capacity Approx]]*'[1]Load Factor Sheet June Acft  '!$D$5</f>
        <v>7.8913636363636366</v>
      </c>
      <c r="T1615" s="22">
        <f>tblDailySchedule[[#This Row],[STD]]</f>
        <v>0.40277777777777779</v>
      </c>
    </row>
    <row r="1616" spans="1:20" hidden="1" x14ac:dyDescent="0.35">
      <c r="A1616" s="11">
        <v>46168</v>
      </c>
      <c r="B1616" s="3">
        <v>2</v>
      </c>
      <c r="C1616" t="s">
        <v>108</v>
      </c>
      <c r="D1616" t="s">
        <v>18</v>
      </c>
      <c r="E1616" s="3">
        <v>8</v>
      </c>
      <c r="F1616" t="s">
        <v>19</v>
      </c>
      <c r="G1616" t="s">
        <v>46</v>
      </c>
      <c r="H1616" t="s">
        <v>31</v>
      </c>
      <c r="I1616" s="12">
        <v>0.4201388888888889</v>
      </c>
      <c r="J1616" t="s">
        <v>47</v>
      </c>
      <c r="K1616" t="s">
        <v>31</v>
      </c>
      <c r="L1616" s="12">
        <v>0.44444444444444442</v>
      </c>
      <c r="M1616" t="s">
        <v>29</v>
      </c>
      <c r="N1616" s="3">
        <v>186</v>
      </c>
      <c r="O1616" t="s">
        <v>24</v>
      </c>
      <c r="P1616" t="s">
        <v>25</v>
      </c>
      <c r="R1616">
        <f>tblDailySchedule[[#This Row],[Capacity Approx]]*'[1]Load Factor Sheet June Acft  '!$B$5</f>
        <v>150.61772727272728</v>
      </c>
      <c r="S1616">
        <f>tblDailySchedule[[#This Row],[Capacity Approx]]*'[1]Load Factor Sheet June Acft  '!$D$5</f>
        <v>163.08818181818182</v>
      </c>
      <c r="T1616" s="22">
        <f>tblDailySchedule[[#This Row],[STD]]</f>
        <v>0.44444444444444442</v>
      </c>
    </row>
    <row r="1617" spans="1:20" hidden="1" x14ac:dyDescent="0.35">
      <c r="A1617" s="11">
        <v>46168</v>
      </c>
      <c r="B1617" s="3">
        <v>2</v>
      </c>
      <c r="C1617" t="s">
        <v>108</v>
      </c>
      <c r="D1617" t="s">
        <v>18</v>
      </c>
      <c r="E1617" s="3">
        <v>9</v>
      </c>
      <c r="F1617" t="s">
        <v>19</v>
      </c>
      <c r="G1617" t="s">
        <v>48</v>
      </c>
      <c r="H1617" t="s">
        <v>49</v>
      </c>
      <c r="I1617" s="12">
        <v>0.4375</v>
      </c>
      <c r="J1617" t="s">
        <v>50</v>
      </c>
      <c r="K1617" t="s">
        <v>49</v>
      </c>
      <c r="L1617" s="12">
        <v>0.45833333333333331</v>
      </c>
      <c r="M1617" t="s">
        <v>51</v>
      </c>
      <c r="N1617" s="3">
        <v>78</v>
      </c>
      <c r="O1617" t="s">
        <v>24</v>
      </c>
      <c r="P1617" t="s">
        <v>25</v>
      </c>
      <c r="R1617">
        <f>tblDailySchedule[[#This Row],[Capacity Approx]]*'[1]Load Factor Sheet June Acft  '!$B$5</f>
        <v>63.162272727272729</v>
      </c>
      <c r="S1617">
        <f>tblDailySchedule[[#This Row],[Capacity Approx]]*'[1]Load Factor Sheet June Acft  '!$D$5</f>
        <v>68.391818181818181</v>
      </c>
      <c r="T1617" s="22">
        <f>tblDailySchedule[[#This Row],[STD]]</f>
        <v>0.45833333333333331</v>
      </c>
    </row>
    <row r="1618" spans="1:20" hidden="1" x14ac:dyDescent="0.35">
      <c r="A1618" s="11">
        <v>46168</v>
      </c>
      <c r="B1618" s="3">
        <v>2</v>
      </c>
      <c r="C1618" t="s">
        <v>108</v>
      </c>
      <c r="D1618" t="s">
        <v>18</v>
      </c>
      <c r="E1618" s="3">
        <v>10</v>
      </c>
      <c r="F1618" t="s">
        <v>19</v>
      </c>
      <c r="G1618" t="s">
        <v>52</v>
      </c>
      <c r="H1618" t="s">
        <v>27</v>
      </c>
      <c r="I1618" s="12">
        <v>0.4826388888888889</v>
      </c>
      <c r="J1618" t="s">
        <v>53</v>
      </c>
      <c r="K1618" t="s">
        <v>27</v>
      </c>
      <c r="L1618" s="12">
        <v>0.51041666666666663</v>
      </c>
      <c r="M1618" t="s">
        <v>23</v>
      </c>
      <c r="N1618" s="3">
        <v>186</v>
      </c>
      <c r="O1618" t="s">
        <v>24</v>
      </c>
      <c r="P1618" t="s">
        <v>25</v>
      </c>
      <c r="R1618">
        <f>tblDailySchedule[[#This Row],[Capacity Approx]]*'[1]Load Factor Sheet June Acft  '!$B$5</f>
        <v>150.61772727272728</v>
      </c>
      <c r="S1618">
        <f>tblDailySchedule[[#This Row],[Capacity Approx]]*'[1]Load Factor Sheet June Acft  '!$D$5</f>
        <v>163.08818181818182</v>
      </c>
      <c r="T1618" s="22">
        <f>tblDailySchedule[[#This Row],[STD]]</f>
        <v>0.51041666666666663</v>
      </c>
    </row>
    <row r="1619" spans="1:20" hidden="1" x14ac:dyDescent="0.35">
      <c r="A1619" s="11">
        <v>46168</v>
      </c>
      <c r="B1619" s="3">
        <v>2</v>
      </c>
      <c r="C1619" t="s">
        <v>108</v>
      </c>
      <c r="D1619" t="s">
        <v>18</v>
      </c>
      <c r="E1619" s="3">
        <v>11</v>
      </c>
      <c r="F1619" t="s">
        <v>19</v>
      </c>
      <c r="G1619" t="s">
        <v>54</v>
      </c>
      <c r="H1619" t="s">
        <v>31</v>
      </c>
      <c r="I1619" s="12">
        <v>0.51388888888888884</v>
      </c>
      <c r="J1619" t="s">
        <v>55</v>
      </c>
      <c r="K1619" t="s">
        <v>31</v>
      </c>
      <c r="L1619" s="12">
        <v>0.54166666666666663</v>
      </c>
      <c r="M1619" t="s">
        <v>23</v>
      </c>
      <c r="N1619" s="3">
        <v>186</v>
      </c>
      <c r="O1619" t="s">
        <v>24</v>
      </c>
      <c r="P1619" t="s">
        <v>56</v>
      </c>
      <c r="R1619">
        <f>tblDailySchedule[[#This Row],[Capacity Approx]]*'[1]Load Factor Sheet June Acft  '!$B$5</f>
        <v>150.61772727272728</v>
      </c>
      <c r="S1619">
        <f>tblDailySchedule[[#This Row],[Capacity Approx]]*'[1]Load Factor Sheet June Acft  '!$D$5</f>
        <v>163.08818181818182</v>
      </c>
      <c r="T1619" s="22">
        <f>tblDailySchedule[[#This Row],[STD]]</f>
        <v>0.54166666666666663</v>
      </c>
    </row>
    <row r="1620" spans="1:20" hidden="1" x14ac:dyDescent="0.35">
      <c r="A1620" s="11">
        <v>46168</v>
      </c>
      <c r="B1620" s="3">
        <v>2</v>
      </c>
      <c r="C1620" t="s">
        <v>108</v>
      </c>
      <c r="D1620" t="s">
        <v>18</v>
      </c>
      <c r="E1620" s="3">
        <v>12</v>
      </c>
      <c r="F1620" t="s">
        <v>109</v>
      </c>
      <c r="G1620" t="s">
        <v>110</v>
      </c>
      <c r="H1620" t="s">
        <v>111</v>
      </c>
      <c r="I1620" s="12">
        <v>0.55555555555555558</v>
      </c>
      <c r="J1620" t="s">
        <v>112</v>
      </c>
      <c r="K1620" t="s">
        <v>111</v>
      </c>
      <c r="L1620" s="12">
        <v>0.56944444444444442</v>
      </c>
      <c r="M1620" t="s">
        <v>51</v>
      </c>
      <c r="N1620" s="3">
        <v>78</v>
      </c>
      <c r="O1620" t="s">
        <v>24</v>
      </c>
      <c r="P1620" t="s">
        <v>56</v>
      </c>
      <c r="R1620">
        <f>tblDailySchedule[[#This Row],[Capacity Approx]]*'[1]Load Factor Sheet June Acft  '!$B$5</f>
        <v>63.162272727272729</v>
      </c>
      <c r="S1620">
        <f>tblDailySchedule[[#This Row],[Capacity Approx]]*'[1]Load Factor Sheet June Acft  '!$D$5</f>
        <v>68.391818181818181</v>
      </c>
      <c r="T1620" s="22">
        <f>tblDailySchedule[[#This Row],[STD]]</f>
        <v>0.56944444444444442</v>
      </c>
    </row>
    <row r="1621" spans="1:20" hidden="1" x14ac:dyDescent="0.35">
      <c r="A1621" s="11">
        <v>46168</v>
      </c>
      <c r="B1621" s="3">
        <v>2</v>
      </c>
      <c r="C1621" t="s">
        <v>108</v>
      </c>
      <c r="D1621" t="s">
        <v>18</v>
      </c>
      <c r="E1621" s="3">
        <v>13</v>
      </c>
      <c r="F1621" t="s">
        <v>19</v>
      </c>
      <c r="G1621" t="s">
        <v>57</v>
      </c>
      <c r="H1621" t="s">
        <v>58</v>
      </c>
      <c r="I1621" s="12">
        <v>0.55902777777777779</v>
      </c>
      <c r="J1621" t="s">
        <v>59</v>
      </c>
      <c r="K1621" t="s">
        <v>58</v>
      </c>
      <c r="L1621" s="12">
        <v>0.57638888888888884</v>
      </c>
      <c r="M1621" t="s">
        <v>51</v>
      </c>
      <c r="N1621" s="3">
        <v>78</v>
      </c>
      <c r="O1621" t="s">
        <v>24</v>
      </c>
      <c r="P1621" t="s">
        <v>56</v>
      </c>
      <c r="R1621">
        <f>tblDailySchedule[[#This Row],[Capacity Approx]]*'[1]Load Factor Sheet June Acft  '!$B$5</f>
        <v>63.162272727272729</v>
      </c>
      <c r="S1621">
        <f>tblDailySchedule[[#This Row],[Capacity Approx]]*'[1]Load Factor Sheet June Acft  '!$D$5</f>
        <v>68.391818181818181</v>
      </c>
      <c r="T1621" s="22">
        <f>tblDailySchedule[[#This Row],[STD]]</f>
        <v>0.57638888888888884</v>
      </c>
    </row>
    <row r="1622" spans="1:20" hidden="1" x14ac:dyDescent="0.35">
      <c r="A1622" s="11">
        <v>46168</v>
      </c>
      <c r="B1622" s="3">
        <v>2</v>
      </c>
      <c r="C1622" t="s">
        <v>108</v>
      </c>
      <c r="D1622" t="s">
        <v>18</v>
      </c>
      <c r="E1622" s="3">
        <v>14</v>
      </c>
      <c r="F1622" t="s">
        <v>19</v>
      </c>
      <c r="G1622" t="s">
        <v>60</v>
      </c>
      <c r="H1622" t="s">
        <v>61</v>
      </c>
      <c r="I1622" s="12">
        <v>0.59027777777777779</v>
      </c>
      <c r="J1622" t="s">
        <v>62</v>
      </c>
      <c r="K1622" t="s">
        <v>61</v>
      </c>
      <c r="L1622" s="12">
        <v>0.62152777777777779</v>
      </c>
      <c r="M1622" t="s">
        <v>63</v>
      </c>
      <c r="N1622" s="3">
        <v>232</v>
      </c>
      <c r="O1622" t="s">
        <v>24</v>
      </c>
      <c r="P1622" t="s">
        <v>56</v>
      </c>
      <c r="R1622">
        <f>tblDailySchedule[[#This Row],[Capacity Approx]]*'[1]Load Factor Sheet June Acft  '!$B$5</f>
        <v>187.86727272727273</v>
      </c>
      <c r="S1622">
        <f>tblDailySchedule[[#This Row],[Capacity Approx]]*'[1]Load Factor Sheet June Acft  '!$D$5</f>
        <v>203.4218181818182</v>
      </c>
      <c r="T1622" s="22">
        <f>tblDailySchedule[[#This Row],[STD]]</f>
        <v>0.62152777777777779</v>
      </c>
    </row>
    <row r="1623" spans="1:20" hidden="1" x14ac:dyDescent="0.35">
      <c r="A1623" s="11">
        <v>46168</v>
      </c>
      <c r="B1623" s="3">
        <v>2</v>
      </c>
      <c r="C1623" t="s">
        <v>108</v>
      </c>
      <c r="D1623" t="s">
        <v>18</v>
      </c>
      <c r="E1623" s="3">
        <v>15</v>
      </c>
      <c r="F1623" t="s">
        <v>19</v>
      </c>
      <c r="G1623" t="s">
        <v>64</v>
      </c>
      <c r="H1623" t="s">
        <v>31</v>
      </c>
      <c r="I1623" s="12">
        <v>0.60069444444444442</v>
      </c>
      <c r="J1623" t="s">
        <v>65</v>
      </c>
      <c r="K1623" t="s">
        <v>66</v>
      </c>
      <c r="L1623" s="12">
        <v>0.62847222222222221</v>
      </c>
      <c r="M1623" t="s">
        <v>63</v>
      </c>
      <c r="N1623" s="3">
        <v>232</v>
      </c>
      <c r="O1623" t="s">
        <v>24</v>
      </c>
      <c r="P1623" t="s">
        <v>56</v>
      </c>
      <c r="R1623">
        <f>tblDailySchedule[[#This Row],[Capacity Approx]]*'[1]Load Factor Sheet June Acft  '!$B$5</f>
        <v>187.86727272727273</v>
      </c>
      <c r="S1623">
        <f>tblDailySchedule[[#This Row],[Capacity Approx]]*'[1]Load Factor Sheet June Acft  '!$D$5</f>
        <v>203.4218181818182</v>
      </c>
      <c r="T1623" s="22">
        <f>tblDailySchedule[[#This Row],[STD]]</f>
        <v>0.62847222222222221</v>
      </c>
    </row>
    <row r="1624" spans="1:20" hidden="1" x14ac:dyDescent="0.35">
      <c r="A1624" s="11">
        <v>46168</v>
      </c>
      <c r="B1624" s="3">
        <v>2</v>
      </c>
      <c r="C1624" t="s">
        <v>108</v>
      </c>
      <c r="D1624" t="s">
        <v>18</v>
      </c>
      <c r="E1624" s="3">
        <v>16</v>
      </c>
      <c r="F1624" t="s">
        <v>19</v>
      </c>
      <c r="G1624" t="s">
        <v>67</v>
      </c>
      <c r="H1624" t="s">
        <v>31</v>
      </c>
      <c r="I1624" s="12">
        <v>0.65625</v>
      </c>
      <c r="J1624" t="s">
        <v>68</v>
      </c>
      <c r="K1624" t="s">
        <v>31</v>
      </c>
      <c r="L1624" s="12">
        <v>0.68402777777777779</v>
      </c>
      <c r="M1624" t="s">
        <v>63</v>
      </c>
      <c r="N1624" s="3">
        <v>232</v>
      </c>
      <c r="O1624" t="s">
        <v>24</v>
      </c>
      <c r="P1624" t="s">
        <v>56</v>
      </c>
      <c r="R1624">
        <f>tblDailySchedule[[#This Row],[Capacity Approx]]*'[1]Load Factor Sheet June Acft  '!$B$5</f>
        <v>187.86727272727273</v>
      </c>
      <c r="S1624">
        <f>tblDailySchedule[[#This Row],[Capacity Approx]]*'[1]Load Factor Sheet June Acft  '!$D$5</f>
        <v>203.4218181818182</v>
      </c>
      <c r="T1624" s="22">
        <f>tblDailySchedule[[#This Row],[STD]]</f>
        <v>0.68402777777777779</v>
      </c>
    </row>
    <row r="1625" spans="1:20" hidden="1" x14ac:dyDescent="0.35">
      <c r="A1625" s="11">
        <v>46168</v>
      </c>
      <c r="B1625" s="3">
        <v>2</v>
      </c>
      <c r="C1625" t="s">
        <v>108</v>
      </c>
      <c r="D1625" t="s">
        <v>18</v>
      </c>
      <c r="E1625" s="3">
        <v>17</v>
      </c>
      <c r="F1625" t="s">
        <v>19</v>
      </c>
      <c r="G1625" t="s">
        <v>69</v>
      </c>
      <c r="H1625" t="s">
        <v>31</v>
      </c>
      <c r="I1625" s="12">
        <v>0.66319444444444442</v>
      </c>
      <c r="J1625" t="s">
        <v>70</v>
      </c>
      <c r="K1625" t="s">
        <v>31</v>
      </c>
      <c r="L1625" s="12">
        <v>0.69097222222222221</v>
      </c>
      <c r="M1625" t="s">
        <v>33</v>
      </c>
      <c r="N1625" s="3">
        <v>189</v>
      </c>
      <c r="O1625" t="s">
        <v>24</v>
      </c>
      <c r="P1625" t="s">
        <v>56</v>
      </c>
      <c r="R1625">
        <f>tblDailySchedule[[#This Row],[Capacity Approx]]*'[1]Load Factor Sheet June Acft  '!$B$5</f>
        <v>153.04704545454547</v>
      </c>
      <c r="S1625">
        <f>tblDailySchedule[[#This Row],[Capacity Approx]]*'[1]Load Factor Sheet June Acft  '!$D$5</f>
        <v>165.71863636363636</v>
      </c>
      <c r="T1625" s="22">
        <f>tblDailySchedule[[#This Row],[STD]]</f>
        <v>0.69097222222222221</v>
      </c>
    </row>
    <row r="1626" spans="1:20" hidden="1" x14ac:dyDescent="0.35">
      <c r="A1626" s="11">
        <v>46168</v>
      </c>
      <c r="B1626" s="3">
        <v>2</v>
      </c>
      <c r="C1626" t="s">
        <v>108</v>
      </c>
      <c r="D1626" t="s">
        <v>18</v>
      </c>
      <c r="E1626" s="3">
        <v>18</v>
      </c>
      <c r="F1626" t="s">
        <v>19</v>
      </c>
      <c r="G1626" t="s">
        <v>71</v>
      </c>
      <c r="H1626" t="s">
        <v>21</v>
      </c>
      <c r="I1626" s="12">
        <v>0.67013888888888884</v>
      </c>
      <c r="J1626" t="s">
        <v>72</v>
      </c>
      <c r="K1626" t="s">
        <v>21</v>
      </c>
      <c r="L1626" s="12">
        <v>0.69791666666666663</v>
      </c>
      <c r="M1626" t="s">
        <v>63</v>
      </c>
      <c r="N1626" s="3">
        <v>232</v>
      </c>
      <c r="O1626" t="s">
        <v>24</v>
      </c>
      <c r="P1626" t="s">
        <v>56</v>
      </c>
      <c r="R1626">
        <f>tblDailySchedule[[#This Row],[Capacity Approx]]*'[1]Load Factor Sheet June Acft  '!$B$5</f>
        <v>187.86727272727273</v>
      </c>
      <c r="S1626">
        <f>tblDailySchedule[[#This Row],[Capacity Approx]]*'[1]Load Factor Sheet June Acft  '!$D$5</f>
        <v>203.4218181818182</v>
      </c>
      <c r="T1626" s="22">
        <f>tblDailySchedule[[#This Row],[STD]]</f>
        <v>0.69791666666666663</v>
      </c>
    </row>
    <row r="1627" spans="1:20" hidden="1" x14ac:dyDescent="0.35">
      <c r="A1627" s="11">
        <v>46168</v>
      </c>
      <c r="B1627" s="3">
        <v>2</v>
      </c>
      <c r="C1627" t="s">
        <v>108</v>
      </c>
      <c r="D1627" t="s">
        <v>18</v>
      </c>
      <c r="E1627" s="3">
        <v>19</v>
      </c>
      <c r="F1627" t="s">
        <v>19</v>
      </c>
      <c r="G1627" t="s">
        <v>73</v>
      </c>
      <c r="H1627" t="s">
        <v>27</v>
      </c>
      <c r="I1627" s="12">
        <v>0.74652777777777779</v>
      </c>
      <c r="J1627" t="s">
        <v>74</v>
      </c>
      <c r="K1627" t="s">
        <v>27</v>
      </c>
      <c r="L1627" s="12">
        <v>0.77430555555555558</v>
      </c>
      <c r="M1627" t="s">
        <v>63</v>
      </c>
      <c r="N1627" s="3">
        <v>232</v>
      </c>
      <c r="O1627" t="s">
        <v>24</v>
      </c>
      <c r="P1627" t="s">
        <v>56</v>
      </c>
      <c r="R1627">
        <f>tblDailySchedule[[#This Row],[Capacity Approx]]*'[1]Load Factor Sheet June Acft  '!$B$5</f>
        <v>187.86727272727273</v>
      </c>
      <c r="S1627">
        <f>tblDailySchedule[[#This Row],[Capacity Approx]]*'[1]Load Factor Sheet June Acft  '!$D$5</f>
        <v>203.4218181818182</v>
      </c>
      <c r="T1627" s="22">
        <f>tblDailySchedule[[#This Row],[STD]]</f>
        <v>0.77430555555555558</v>
      </c>
    </row>
    <row r="1628" spans="1:20" hidden="1" x14ac:dyDescent="0.35">
      <c r="A1628" s="11">
        <v>46168</v>
      </c>
      <c r="B1628" s="3">
        <v>2</v>
      </c>
      <c r="C1628" t="s">
        <v>108</v>
      </c>
      <c r="D1628" t="s">
        <v>18</v>
      </c>
      <c r="E1628" s="3">
        <v>21</v>
      </c>
      <c r="F1628" t="s">
        <v>19</v>
      </c>
      <c r="G1628" t="s">
        <v>81</v>
      </c>
      <c r="H1628" t="s">
        <v>61</v>
      </c>
      <c r="I1628" s="12">
        <v>0.77083333333333337</v>
      </c>
      <c r="J1628" t="s">
        <v>82</v>
      </c>
      <c r="K1628" t="s">
        <v>49</v>
      </c>
      <c r="L1628" s="12">
        <v>0.79166666666666663</v>
      </c>
      <c r="M1628" t="s">
        <v>33</v>
      </c>
      <c r="N1628" s="3">
        <v>189</v>
      </c>
      <c r="O1628" t="s">
        <v>24</v>
      </c>
      <c r="P1628" t="s">
        <v>79</v>
      </c>
      <c r="R1628">
        <f>tblDailySchedule[[#This Row],[Capacity Approx]]*'[1]Load Factor Sheet June Acft  '!$B$5</f>
        <v>153.04704545454547</v>
      </c>
      <c r="S1628">
        <f>tblDailySchedule[[#This Row],[Capacity Approx]]*'[1]Load Factor Sheet June Acft  '!$D$5</f>
        <v>165.71863636363636</v>
      </c>
      <c r="T1628" s="22">
        <f>tblDailySchedule[[#This Row],[STD]]</f>
        <v>0.79166666666666663</v>
      </c>
    </row>
    <row r="1629" spans="1:20" hidden="1" x14ac:dyDescent="0.35">
      <c r="A1629" s="11">
        <v>46168</v>
      </c>
      <c r="B1629" s="3">
        <v>2</v>
      </c>
      <c r="C1629" t="s">
        <v>108</v>
      </c>
      <c r="D1629" t="s">
        <v>18</v>
      </c>
      <c r="E1629" s="3">
        <v>22</v>
      </c>
      <c r="F1629" t="s">
        <v>19</v>
      </c>
      <c r="G1629" t="s">
        <v>83</v>
      </c>
      <c r="H1629" t="s">
        <v>31</v>
      </c>
      <c r="I1629" s="12">
        <v>0.77777777777777779</v>
      </c>
      <c r="J1629" t="s">
        <v>84</v>
      </c>
      <c r="K1629" t="s">
        <v>31</v>
      </c>
      <c r="L1629" s="12">
        <v>0.80555555555555558</v>
      </c>
      <c r="M1629" t="s">
        <v>63</v>
      </c>
      <c r="N1629" s="3">
        <v>232</v>
      </c>
      <c r="O1629" t="s">
        <v>24</v>
      </c>
      <c r="P1629" t="s">
        <v>79</v>
      </c>
      <c r="R1629">
        <f>tblDailySchedule[[#This Row],[Capacity Approx]]*'[1]Load Factor Sheet June Acft  '!$B$5</f>
        <v>187.86727272727273</v>
      </c>
      <c r="S1629">
        <f>tblDailySchedule[[#This Row],[Capacity Approx]]*'[1]Load Factor Sheet June Acft  '!$D$5</f>
        <v>203.4218181818182</v>
      </c>
      <c r="T1629" s="22">
        <f>tblDailySchedule[[#This Row],[STD]]</f>
        <v>0.80555555555555558</v>
      </c>
    </row>
    <row r="1630" spans="1:20" hidden="1" x14ac:dyDescent="0.35">
      <c r="A1630" s="11">
        <v>46168</v>
      </c>
      <c r="B1630" s="3">
        <v>2</v>
      </c>
      <c r="C1630" t="s">
        <v>108</v>
      </c>
      <c r="D1630" t="s">
        <v>18</v>
      </c>
      <c r="E1630" s="3">
        <v>23</v>
      </c>
      <c r="F1630" t="s">
        <v>19</v>
      </c>
      <c r="G1630" t="s">
        <v>85</v>
      </c>
      <c r="H1630" t="s">
        <v>86</v>
      </c>
      <c r="I1630" s="12">
        <v>0.79861111111111116</v>
      </c>
      <c r="J1630" t="s">
        <v>87</v>
      </c>
      <c r="K1630" t="s">
        <v>86</v>
      </c>
      <c r="L1630" s="12">
        <v>0.82638888888888884</v>
      </c>
      <c r="M1630" t="s">
        <v>63</v>
      </c>
      <c r="N1630" s="3">
        <v>232</v>
      </c>
      <c r="O1630" t="s">
        <v>24</v>
      </c>
      <c r="P1630" t="s">
        <v>79</v>
      </c>
      <c r="R1630">
        <f>tblDailySchedule[[#This Row],[Capacity Approx]]*'[1]Load Factor Sheet June Acft  '!$B$5</f>
        <v>187.86727272727273</v>
      </c>
      <c r="S1630">
        <f>tblDailySchedule[[#This Row],[Capacity Approx]]*'[1]Load Factor Sheet June Acft  '!$D$5</f>
        <v>203.4218181818182</v>
      </c>
      <c r="T1630" s="22">
        <f>tblDailySchedule[[#This Row],[STD]]</f>
        <v>0.82638888888888884</v>
      </c>
    </row>
    <row r="1631" spans="1:20" hidden="1" x14ac:dyDescent="0.35">
      <c r="A1631" s="11">
        <v>46168</v>
      </c>
      <c r="B1631" s="3">
        <v>2</v>
      </c>
      <c r="C1631" t="s">
        <v>108</v>
      </c>
      <c r="D1631" t="s">
        <v>18</v>
      </c>
      <c r="E1631" s="3">
        <v>24</v>
      </c>
      <c r="F1631" t="s">
        <v>19</v>
      </c>
      <c r="G1631" t="s">
        <v>88</v>
      </c>
      <c r="H1631" t="s">
        <v>89</v>
      </c>
      <c r="I1631" s="12">
        <v>0.83333333333333337</v>
      </c>
      <c r="J1631" t="s">
        <v>90</v>
      </c>
      <c r="K1631" t="s">
        <v>31</v>
      </c>
      <c r="L1631" s="12">
        <v>0.86111111111111116</v>
      </c>
      <c r="M1631" t="s">
        <v>63</v>
      </c>
      <c r="N1631" s="3">
        <v>232</v>
      </c>
      <c r="O1631" t="s">
        <v>24</v>
      </c>
      <c r="P1631" t="s">
        <v>79</v>
      </c>
      <c r="R1631">
        <f>tblDailySchedule[[#This Row],[Capacity Approx]]*'[1]Load Factor Sheet June Acft  '!$B$5</f>
        <v>187.86727272727273</v>
      </c>
      <c r="S1631">
        <f>tblDailySchedule[[#This Row],[Capacity Approx]]*'[1]Load Factor Sheet June Acft  '!$D$5</f>
        <v>203.4218181818182</v>
      </c>
      <c r="T1631" s="22">
        <f>tblDailySchedule[[#This Row],[STD]]</f>
        <v>0.86111111111111116</v>
      </c>
    </row>
    <row r="1632" spans="1:20" hidden="1" x14ac:dyDescent="0.35">
      <c r="A1632" s="11">
        <v>46168</v>
      </c>
      <c r="B1632" s="3">
        <v>2</v>
      </c>
      <c r="C1632" t="s">
        <v>108</v>
      </c>
      <c r="D1632" t="s">
        <v>18</v>
      </c>
      <c r="E1632" s="3">
        <v>25</v>
      </c>
      <c r="F1632" t="s">
        <v>19</v>
      </c>
      <c r="G1632" t="s">
        <v>91</v>
      </c>
      <c r="H1632" t="s">
        <v>61</v>
      </c>
      <c r="I1632" s="12">
        <v>0.85416666666666663</v>
      </c>
      <c r="J1632" t="s">
        <v>92</v>
      </c>
      <c r="K1632" t="s">
        <v>61</v>
      </c>
      <c r="L1632" s="12">
        <v>0.88194444444444442</v>
      </c>
      <c r="M1632" t="s">
        <v>63</v>
      </c>
      <c r="N1632" s="3">
        <v>232</v>
      </c>
      <c r="O1632" t="s">
        <v>24</v>
      </c>
      <c r="P1632" t="s">
        <v>79</v>
      </c>
      <c r="R1632">
        <f>tblDailySchedule[[#This Row],[Capacity Approx]]*'[1]Load Factor Sheet June Acft  '!$B$5</f>
        <v>187.86727272727273</v>
      </c>
      <c r="S1632">
        <f>tblDailySchedule[[#This Row],[Capacity Approx]]*'[1]Load Factor Sheet June Acft  '!$D$5</f>
        <v>203.4218181818182</v>
      </c>
      <c r="T1632" s="22">
        <f>tblDailySchedule[[#This Row],[STD]]</f>
        <v>0.88194444444444442</v>
      </c>
    </row>
    <row r="1633" spans="1:20" hidden="1" x14ac:dyDescent="0.35">
      <c r="A1633" s="11">
        <v>46168</v>
      </c>
      <c r="B1633" s="3">
        <v>2</v>
      </c>
      <c r="C1633" t="s">
        <v>108</v>
      </c>
      <c r="D1633" t="s">
        <v>18</v>
      </c>
      <c r="E1633" s="3">
        <v>26</v>
      </c>
      <c r="F1633" t="s">
        <v>19</v>
      </c>
      <c r="G1633" t="s">
        <v>93</v>
      </c>
      <c r="H1633" t="s">
        <v>31</v>
      </c>
      <c r="I1633" s="12">
        <v>0.86111111111111116</v>
      </c>
      <c r="J1633" t="s">
        <v>94</v>
      </c>
      <c r="K1633" t="s">
        <v>31</v>
      </c>
      <c r="L1633" s="12">
        <v>0.88888888888888884</v>
      </c>
      <c r="M1633" t="s">
        <v>23</v>
      </c>
      <c r="N1633" s="3">
        <v>186</v>
      </c>
      <c r="O1633" t="s">
        <v>24</v>
      </c>
      <c r="P1633" t="s">
        <v>79</v>
      </c>
      <c r="R1633">
        <f>tblDailySchedule[[#This Row],[Capacity Approx]]*'[1]Load Factor Sheet June Acft  '!$B$5</f>
        <v>150.61772727272728</v>
      </c>
      <c r="S1633">
        <f>tblDailySchedule[[#This Row],[Capacity Approx]]*'[1]Load Factor Sheet June Acft  '!$D$5</f>
        <v>163.08818181818182</v>
      </c>
      <c r="T1633" s="22">
        <f>tblDailySchedule[[#This Row],[STD]]</f>
        <v>0.88888888888888884</v>
      </c>
    </row>
    <row r="1634" spans="1:20" hidden="1" x14ac:dyDescent="0.35">
      <c r="A1634" s="11">
        <v>46168</v>
      </c>
      <c r="B1634" s="3">
        <v>2</v>
      </c>
      <c r="C1634" t="s">
        <v>108</v>
      </c>
      <c r="D1634" t="s">
        <v>18</v>
      </c>
      <c r="E1634" s="3">
        <v>27</v>
      </c>
      <c r="F1634" t="s">
        <v>19</v>
      </c>
      <c r="G1634" t="s">
        <v>95</v>
      </c>
      <c r="H1634" t="s">
        <v>21</v>
      </c>
      <c r="I1634" s="12">
        <v>0.86805555555555558</v>
      </c>
      <c r="J1634" t="s">
        <v>96</v>
      </c>
      <c r="K1634" t="s">
        <v>21</v>
      </c>
      <c r="L1634" s="12">
        <v>0.89583333333333337</v>
      </c>
      <c r="M1634" t="s">
        <v>29</v>
      </c>
      <c r="N1634" s="3">
        <v>186</v>
      </c>
      <c r="O1634" t="s">
        <v>24</v>
      </c>
      <c r="P1634" t="s">
        <v>79</v>
      </c>
      <c r="R1634">
        <f>tblDailySchedule[[#This Row],[Capacity Approx]]*'[1]Load Factor Sheet June Acft  '!$B$5</f>
        <v>150.61772727272728</v>
      </c>
      <c r="S1634">
        <f>tblDailySchedule[[#This Row],[Capacity Approx]]*'[1]Load Factor Sheet June Acft  '!$D$5</f>
        <v>163.08818181818182</v>
      </c>
      <c r="T1634" s="22">
        <f>tblDailySchedule[[#This Row],[STD]]</f>
        <v>0.89583333333333337</v>
      </c>
    </row>
    <row r="1635" spans="1:20" hidden="1" x14ac:dyDescent="0.35">
      <c r="A1635" s="11">
        <v>46168</v>
      </c>
      <c r="B1635" s="3">
        <v>2</v>
      </c>
      <c r="C1635" t="s">
        <v>108</v>
      </c>
      <c r="D1635" t="s">
        <v>18</v>
      </c>
      <c r="E1635" s="3">
        <v>28</v>
      </c>
      <c r="F1635" t="s">
        <v>19</v>
      </c>
      <c r="G1635" t="s">
        <v>97</v>
      </c>
      <c r="H1635" t="s">
        <v>49</v>
      </c>
      <c r="I1635" s="12">
        <v>0.90277777777777779</v>
      </c>
      <c r="J1635" t="s">
        <v>97</v>
      </c>
      <c r="K1635" t="s">
        <v>61</v>
      </c>
      <c r="L1635" s="12">
        <v>0.92361111111111116</v>
      </c>
      <c r="M1635" t="s">
        <v>33</v>
      </c>
      <c r="N1635" s="3">
        <v>189</v>
      </c>
      <c r="O1635" t="s">
        <v>24</v>
      </c>
      <c r="P1635" t="s">
        <v>79</v>
      </c>
      <c r="R1635">
        <f>tblDailySchedule[[#This Row],[Capacity Approx]]*'[1]Load Factor Sheet June Acft  '!$B$5</f>
        <v>153.04704545454547</v>
      </c>
      <c r="S1635">
        <f>tblDailySchedule[[#This Row],[Capacity Approx]]*'[1]Load Factor Sheet June Acft  '!$D$5</f>
        <v>165.71863636363636</v>
      </c>
      <c r="T1635" s="22">
        <f>tblDailySchedule[[#This Row],[STD]]</f>
        <v>0.92361111111111116</v>
      </c>
    </row>
    <row r="1636" spans="1:20" hidden="1" x14ac:dyDescent="0.35">
      <c r="A1636" s="11">
        <v>46168</v>
      </c>
      <c r="B1636" s="3">
        <v>2</v>
      </c>
      <c r="C1636" t="s">
        <v>108</v>
      </c>
      <c r="D1636" t="s">
        <v>18</v>
      </c>
      <c r="E1636" s="3">
        <v>29</v>
      </c>
      <c r="F1636" t="s">
        <v>19</v>
      </c>
      <c r="G1636" t="s">
        <v>98</v>
      </c>
      <c r="H1636" t="s">
        <v>21</v>
      </c>
      <c r="I1636" s="12">
        <v>0.92013888888888884</v>
      </c>
      <c r="J1636" t="s">
        <v>99</v>
      </c>
      <c r="K1636" t="s">
        <v>21</v>
      </c>
      <c r="L1636" s="12">
        <v>0.94791666666666663</v>
      </c>
      <c r="M1636" t="s">
        <v>63</v>
      </c>
      <c r="N1636" s="3">
        <v>232</v>
      </c>
      <c r="O1636" t="s">
        <v>24</v>
      </c>
      <c r="P1636" t="s">
        <v>79</v>
      </c>
      <c r="R1636">
        <f>tblDailySchedule[[#This Row],[Capacity Approx]]*'[1]Load Factor Sheet June Acft  '!$B$5</f>
        <v>187.86727272727273</v>
      </c>
      <c r="S1636">
        <f>tblDailySchedule[[#This Row],[Capacity Approx]]*'[1]Load Factor Sheet June Acft  '!$D$5</f>
        <v>203.4218181818182</v>
      </c>
      <c r="T1636" s="22">
        <f>tblDailySchedule[[#This Row],[STD]]</f>
        <v>0.94791666666666663</v>
      </c>
    </row>
    <row r="1637" spans="1:20" hidden="1" x14ac:dyDescent="0.35">
      <c r="A1637" s="11">
        <v>46169</v>
      </c>
      <c r="B1637" s="3">
        <v>3</v>
      </c>
      <c r="C1637" t="s">
        <v>113</v>
      </c>
      <c r="D1637" t="s">
        <v>18</v>
      </c>
      <c r="E1637" s="3">
        <v>2</v>
      </c>
      <c r="F1637" t="s">
        <v>19</v>
      </c>
      <c r="G1637" t="s">
        <v>20</v>
      </c>
      <c r="H1637" t="s">
        <v>21</v>
      </c>
      <c r="I1637" s="12">
        <v>0.31944444444444442</v>
      </c>
      <c r="J1637" t="s">
        <v>22</v>
      </c>
      <c r="K1637" t="s">
        <v>21</v>
      </c>
      <c r="L1637" s="12">
        <v>0.34722222222222221</v>
      </c>
      <c r="M1637" t="s">
        <v>23</v>
      </c>
      <c r="N1637" s="3">
        <v>186</v>
      </c>
      <c r="O1637" t="s">
        <v>24</v>
      </c>
      <c r="P1637" t="s">
        <v>25</v>
      </c>
      <c r="R1637">
        <f>tblDailySchedule[[#This Row],[Capacity Approx]]*'[1]Load Factor Sheet June Acft  '!$B$5</f>
        <v>150.61772727272728</v>
      </c>
      <c r="S1637">
        <f>tblDailySchedule[[#This Row],[Capacity Approx]]*'[1]Load Factor Sheet June Acft  '!$D$5</f>
        <v>163.08818181818182</v>
      </c>
      <c r="T1637" s="22">
        <f>tblDailySchedule[[#This Row],[STD]]</f>
        <v>0.34722222222222221</v>
      </c>
    </row>
    <row r="1638" spans="1:20" hidden="1" x14ac:dyDescent="0.35">
      <c r="A1638" s="11">
        <v>46169</v>
      </c>
      <c r="B1638" s="3">
        <v>3</v>
      </c>
      <c r="C1638" t="s">
        <v>113</v>
      </c>
      <c r="D1638" t="s">
        <v>18</v>
      </c>
      <c r="E1638" s="3">
        <v>3</v>
      </c>
      <c r="F1638" t="s">
        <v>19</v>
      </c>
      <c r="G1638" t="s">
        <v>26</v>
      </c>
      <c r="H1638" t="s">
        <v>27</v>
      </c>
      <c r="I1638" s="12">
        <v>0.3263888888888889</v>
      </c>
      <c r="J1638" t="s">
        <v>28</v>
      </c>
      <c r="K1638" t="s">
        <v>27</v>
      </c>
      <c r="L1638" s="12">
        <v>0.35416666666666669</v>
      </c>
      <c r="M1638" t="s">
        <v>29</v>
      </c>
      <c r="N1638" s="3">
        <v>186</v>
      </c>
      <c r="O1638" t="s">
        <v>24</v>
      </c>
      <c r="P1638" t="s">
        <v>25</v>
      </c>
      <c r="R1638">
        <f>tblDailySchedule[[#This Row],[Capacity Approx]]*'[1]Load Factor Sheet June Acft  '!$B$5</f>
        <v>150.61772727272728</v>
      </c>
      <c r="S1638">
        <f>tblDailySchedule[[#This Row],[Capacity Approx]]*'[1]Load Factor Sheet June Acft  '!$D$5</f>
        <v>163.08818181818182</v>
      </c>
      <c r="T1638" s="22">
        <f>tblDailySchedule[[#This Row],[STD]]</f>
        <v>0.35416666666666669</v>
      </c>
    </row>
    <row r="1639" spans="1:20" hidden="1" x14ac:dyDescent="0.35">
      <c r="A1639" s="11">
        <v>46169</v>
      </c>
      <c r="B1639" s="3">
        <v>3</v>
      </c>
      <c r="C1639" t="s">
        <v>113</v>
      </c>
      <c r="D1639" t="s">
        <v>18</v>
      </c>
      <c r="E1639" s="3">
        <v>4</v>
      </c>
      <c r="F1639" t="s">
        <v>19</v>
      </c>
      <c r="G1639" t="s">
        <v>30</v>
      </c>
      <c r="H1639" t="s">
        <v>31</v>
      </c>
      <c r="I1639" s="12">
        <v>0.34722222222222221</v>
      </c>
      <c r="J1639" t="s">
        <v>32</v>
      </c>
      <c r="K1639" t="s">
        <v>31</v>
      </c>
      <c r="L1639" s="12">
        <v>0.36805555555555558</v>
      </c>
      <c r="M1639" t="s">
        <v>33</v>
      </c>
      <c r="N1639" s="3">
        <v>189</v>
      </c>
      <c r="O1639" t="s">
        <v>24</v>
      </c>
      <c r="P1639" t="s">
        <v>25</v>
      </c>
      <c r="R1639">
        <f>tblDailySchedule[[#This Row],[Capacity Approx]]*'[1]Load Factor Sheet June Acft  '!$B$5</f>
        <v>153.04704545454547</v>
      </c>
      <c r="S1639">
        <f>tblDailySchedule[[#This Row],[Capacity Approx]]*'[1]Load Factor Sheet June Acft  '!$D$5</f>
        <v>165.71863636363636</v>
      </c>
      <c r="T1639" s="22">
        <f>tblDailySchedule[[#This Row],[STD]]</f>
        <v>0.36805555555555558</v>
      </c>
    </row>
    <row r="1640" spans="1:20" hidden="1" x14ac:dyDescent="0.35">
      <c r="A1640" s="13">
        <v>46169</v>
      </c>
      <c r="B1640" s="7">
        <v>3</v>
      </c>
      <c r="C1640" s="14" t="s">
        <v>113</v>
      </c>
      <c r="D1640" s="14" t="s">
        <v>18</v>
      </c>
      <c r="E1640" s="7">
        <v>6</v>
      </c>
      <c r="F1640" s="14" t="s">
        <v>34</v>
      </c>
      <c r="G1640" s="14" t="s">
        <v>35</v>
      </c>
      <c r="H1640" s="14" t="s">
        <v>36</v>
      </c>
      <c r="I1640" s="15">
        <v>0.34722222222222221</v>
      </c>
      <c r="J1640" s="14" t="s">
        <v>37</v>
      </c>
      <c r="K1640" s="14" t="s">
        <v>36</v>
      </c>
      <c r="L1640" s="15">
        <v>0.40972222222222221</v>
      </c>
      <c r="M1640" s="14" t="s">
        <v>38</v>
      </c>
      <c r="N1640" s="7">
        <v>186</v>
      </c>
      <c r="O1640" s="14" t="s">
        <v>39</v>
      </c>
      <c r="P1640" s="14" t="s">
        <v>25</v>
      </c>
      <c r="Q1640" s="14" t="s">
        <v>39</v>
      </c>
      <c r="R1640">
        <f>tblDailySchedule[[#This Row],[Capacity Approx]]*'[1]Load Factor Sheet June Acft  '!$B$5</f>
        <v>150.61772727272728</v>
      </c>
      <c r="S1640">
        <f>tblDailySchedule[[#This Row],[Capacity Approx]]*'[1]Load Factor Sheet June Acft  '!$D$5</f>
        <v>163.08818181818182</v>
      </c>
      <c r="T1640" s="22">
        <f>tblDailySchedule[[#This Row],[STD]]</f>
        <v>0.40972222222222221</v>
      </c>
    </row>
    <row r="1641" spans="1:20" hidden="1" x14ac:dyDescent="0.35">
      <c r="A1641" s="11">
        <v>46169</v>
      </c>
      <c r="B1641" s="3">
        <v>3</v>
      </c>
      <c r="C1641" t="s">
        <v>113</v>
      </c>
      <c r="D1641" t="s">
        <v>18</v>
      </c>
      <c r="E1641" s="3">
        <v>5</v>
      </c>
      <c r="F1641" t="s">
        <v>19</v>
      </c>
      <c r="G1641" t="s">
        <v>40</v>
      </c>
      <c r="H1641" t="s">
        <v>31</v>
      </c>
      <c r="I1641" s="12">
        <v>0.35069444444444442</v>
      </c>
      <c r="J1641" t="s">
        <v>41</v>
      </c>
      <c r="K1641" t="s">
        <v>31</v>
      </c>
      <c r="L1641" s="12">
        <v>0.37152777777777779</v>
      </c>
      <c r="M1641" t="s">
        <v>23</v>
      </c>
      <c r="N1641" s="3">
        <v>186</v>
      </c>
      <c r="O1641" t="s">
        <v>24</v>
      </c>
      <c r="P1641" t="s">
        <v>25</v>
      </c>
      <c r="R1641">
        <f>tblDailySchedule[[#This Row],[Capacity Approx]]*'[1]Load Factor Sheet June Acft  '!$B$5</f>
        <v>150.61772727272728</v>
      </c>
      <c r="S1641">
        <f>tblDailySchedule[[#This Row],[Capacity Approx]]*'[1]Load Factor Sheet June Acft  '!$D$5</f>
        <v>163.08818181818182</v>
      </c>
      <c r="T1641" s="22">
        <f>tblDailySchedule[[#This Row],[STD]]</f>
        <v>0.37152777777777779</v>
      </c>
    </row>
    <row r="1642" spans="1:20" hidden="1" x14ac:dyDescent="0.35">
      <c r="A1642" s="11">
        <v>46169</v>
      </c>
      <c r="B1642" s="3">
        <v>3</v>
      </c>
      <c r="C1642" t="s">
        <v>113</v>
      </c>
      <c r="D1642" t="s">
        <v>18</v>
      </c>
      <c r="E1642" s="3">
        <v>7</v>
      </c>
      <c r="F1642" t="s">
        <v>19</v>
      </c>
      <c r="G1642" t="s">
        <v>42</v>
      </c>
      <c r="H1642" t="s">
        <v>43</v>
      </c>
      <c r="I1642" s="12">
        <v>0.3923611111111111</v>
      </c>
      <c r="J1642" t="s">
        <v>44</v>
      </c>
      <c r="K1642" t="s">
        <v>43</v>
      </c>
      <c r="L1642" s="12">
        <v>0.40277777777777779</v>
      </c>
      <c r="M1642" t="s">
        <v>45</v>
      </c>
      <c r="N1642" s="3">
        <v>9</v>
      </c>
      <c r="O1642" t="s">
        <v>24</v>
      </c>
      <c r="P1642" t="s">
        <v>25</v>
      </c>
      <c r="R1642">
        <f>tblDailySchedule[[#This Row],[Capacity Approx]]*'[1]Load Factor Sheet June Acft  '!$B$5</f>
        <v>7.2879545454545456</v>
      </c>
      <c r="S1642">
        <f>tblDailySchedule[[#This Row],[Capacity Approx]]*'[1]Load Factor Sheet June Acft  '!$D$5</f>
        <v>7.8913636363636366</v>
      </c>
      <c r="T1642" s="22">
        <f>tblDailySchedule[[#This Row],[STD]]</f>
        <v>0.40277777777777779</v>
      </c>
    </row>
    <row r="1643" spans="1:20" hidden="1" x14ac:dyDescent="0.35">
      <c r="A1643" s="11">
        <v>46169</v>
      </c>
      <c r="B1643" s="3">
        <v>3</v>
      </c>
      <c r="C1643" t="s">
        <v>113</v>
      </c>
      <c r="D1643" t="s">
        <v>18</v>
      </c>
      <c r="E1643" s="3">
        <v>8</v>
      </c>
      <c r="F1643" t="s">
        <v>19</v>
      </c>
      <c r="G1643" t="s">
        <v>46</v>
      </c>
      <c r="H1643" t="s">
        <v>31</v>
      </c>
      <c r="I1643" s="12">
        <v>0.4201388888888889</v>
      </c>
      <c r="J1643" t="s">
        <v>47</v>
      </c>
      <c r="K1643" t="s">
        <v>31</v>
      </c>
      <c r="L1643" s="12">
        <v>0.44444444444444442</v>
      </c>
      <c r="M1643" t="s">
        <v>29</v>
      </c>
      <c r="N1643" s="3">
        <v>186</v>
      </c>
      <c r="O1643" t="s">
        <v>24</v>
      </c>
      <c r="P1643" t="s">
        <v>25</v>
      </c>
      <c r="R1643">
        <f>tblDailySchedule[[#This Row],[Capacity Approx]]*'[1]Load Factor Sheet June Acft  '!$B$5</f>
        <v>150.61772727272728</v>
      </c>
      <c r="S1643">
        <f>tblDailySchedule[[#This Row],[Capacity Approx]]*'[1]Load Factor Sheet June Acft  '!$D$5</f>
        <v>163.08818181818182</v>
      </c>
      <c r="T1643" s="22">
        <f>tblDailySchedule[[#This Row],[STD]]</f>
        <v>0.44444444444444442</v>
      </c>
    </row>
    <row r="1644" spans="1:20" hidden="1" x14ac:dyDescent="0.35">
      <c r="A1644" s="11">
        <v>46169</v>
      </c>
      <c r="B1644" s="3">
        <v>3</v>
      </c>
      <c r="C1644" t="s">
        <v>113</v>
      </c>
      <c r="D1644" t="s">
        <v>18</v>
      </c>
      <c r="E1644" s="3">
        <v>9</v>
      </c>
      <c r="F1644" t="s">
        <v>19</v>
      </c>
      <c r="G1644" t="s">
        <v>48</v>
      </c>
      <c r="H1644" t="s">
        <v>49</v>
      </c>
      <c r="I1644" s="12">
        <v>0.4375</v>
      </c>
      <c r="J1644" t="s">
        <v>50</v>
      </c>
      <c r="K1644" t="s">
        <v>49</v>
      </c>
      <c r="L1644" s="12">
        <v>0.45833333333333331</v>
      </c>
      <c r="M1644" t="s">
        <v>51</v>
      </c>
      <c r="N1644" s="3">
        <v>78</v>
      </c>
      <c r="O1644" t="s">
        <v>24</v>
      </c>
      <c r="P1644" t="s">
        <v>25</v>
      </c>
      <c r="R1644">
        <f>tblDailySchedule[[#This Row],[Capacity Approx]]*'[1]Load Factor Sheet June Acft  '!$B$5</f>
        <v>63.162272727272729</v>
      </c>
      <c r="S1644">
        <f>tblDailySchedule[[#This Row],[Capacity Approx]]*'[1]Load Factor Sheet June Acft  '!$D$5</f>
        <v>68.391818181818181</v>
      </c>
      <c r="T1644" s="22">
        <f>tblDailySchedule[[#This Row],[STD]]</f>
        <v>0.45833333333333331</v>
      </c>
    </row>
    <row r="1645" spans="1:20" hidden="1" x14ac:dyDescent="0.35">
      <c r="A1645" s="11">
        <v>46169</v>
      </c>
      <c r="B1645" s="3">
        <v>3</v>
      </c>
      <c r="C1645" t="s">
        <v>113</v>
      </c>
      <c r="D1645" t="s">
        <v>18</v>
      </c>
      <c r="E1645" s="3">
        <v>10</v>
      </c>
      <c r="F1645" t="s">
        <v>19</v>
      </c>
      <c r="G1645" t="s">
        <v>52</v>
      </c>
      <c r="H1645" t="s">
        <v>27</v>
      </c>
      <c r="I1645" s="12">
        <v>0.4826388888888889</v>
      </c>
      <c r="J1645" t="s">
        <v>53</v>
      </c>
      <c r="K1645" t="s">
        <v>27</v>
      </c>
      <c r="L1645" s="12">
        <v>0.51041666666666663</v>
      </c>
      <c r="M1645" t="s">
        <v>23</v>
      </c>
      <c r="N1645" s="3">
        <v>186</v>
      </c>
      <c r="O1645" t="s">
        <v>24</v>
      </c>
      <c r="P1645" t="s">
        <v>25</v>
      </c>
      <c r="R1645">
        <f>tblDailySchedule[[#This Row],[Capacity Approx]]*'[1]Load Factor Sheet June Acft  '!$B$5</f>
        <v>150.61772727272728</v>
      </c>
      <c r="S1645">
        <f>tblDailySchedule[[#This Row],[Capacity Approx]]*'[1]Load Factor Sheet June Acft  '!$D$5</f>
        <v>163.08818181818182</v>
      </c>
      <c r="T1645" s="22">
        <f>tblDailySchedule[[#This Row],[STD]]</f>
        <v>0.51041666666666663</v>
      </c>
    </row>
    <row r="1646" spans="1:20" hidden="1" x14ac:dyDescent="0.35">
      <c r="A1646" s="11">
        <v>46169</v>
      </c>
      <c r="B1646" s="3">
        <v>3</v>
      </c>
      <c r="C1646" t="s">
        <v>113</v>
      </c>
      <c r="D1646" t="s">
        <v>18</v>
      </c>
      <c r="E1646" s="3">
        <v>11</v>
      </c>
      <c r="F1646" t="s">
        <v>19</v>
      </c>
      <c r="G1646" t="s">
        <v>54</v>
      </c>
      <c r="H1646" t="s">
        <v>31</v>
      </c>
      <c r="I1646" s="12">
        <v>0.51388888888888884</v>
      </c>
      <c r="J1646" t="s">
        <v>55</v>
      </c>
      <c r="K1646" t="s">
        <v>31</v>
      </c>
      <c r="L1646" s="12">
        <v>0.54166666666666663</v>
      </c>
      <c r="M1646" t="s">
        <v>23</v>
      </c>
      <c r="N1646" s="3">
        <v>186</v>
      </c>
      <c r="O1646" t="s">
        <v>24</v>
      </c>
      <c r="P1646" t="s">
        <v>56</v>
      </c>
      <c r="R1646">
        <f>tblDailySchedule[[#This Row],[Capacity Approx]]*'[1]Load Factor Sheet June Acft  '!$B$5</f>
        <v>150.61772727272728</v>
      </c>
      <c r="S1646">
        <f>tblDailySchedule[[#This Row],[Capacity Approx]]*'[1]Load Factor Sheet June Acft  '!$D$5</f>
        <v>163.08818181818182</v>
      </c>
      <c r="T1646" s="22">
        <f>tblDailySchedule[[#This Row],[STD]]</f>
        <v>0.54166666666666663</v>
      </c>
    </row>
    <row r="1647" spans="1:20" hidden="1" x14ac:dyDescent="0.35">
      <c r="A1647" s="11">
        <v>46169</v>
      </c>
      <c r="B1647" s="3">
        <v>3</v>
      </c>
      <c r="C1647" t="s">
        <v>113</v>
      </c>
      <c r="D1647" t="s">
        <v>18</v>
      </c>
      <c r="E1647" s="3">
        <v>13</v>
      </c>
      <c r="F1647" t="s">
        <v>19</v>
      </c>
      <c r="G1647" t="s">
        <v>57</v>
      </c>
      <c r="H1647" t="s">
        <v>58</v>
      </c>
      <c r="I1647" s="12">
        <v>0.55902777777777779</v>
      </c>
      <c r="J1647" t="s">
        <v>59</v>
      </c>
      <c r="K1647" t="s">
        <v>58</v>
      </c>
      <c r="L1647" s="12">
        <v>0.57638888888888884</v>
      </c>
      <c r="M1647" t="s">
        <v>51</v>
      </c>
      <c r="N1647" s="3">
        <v>78</v>
      </c>
      <c r="O1647" t="s">
        <v>24</v>
      </c>
      <c r="P1647" t="s">
        <v>56</v>
      </c>
      <c r="R1647">
        <f>tblDailySchedule[[#This Row],[Capacity Approx]]*'[1]Load Factor Sheet June Acft  '!$B$5</f>
        <v>63.162272727272729</v>
      </c>
      <c r="S1647">
        <f>tblDailySchedule[[#This Row],[Capacity Approx]]*'[1]Load Factor Sheet June Acft  '!$D$5</f>
        <v>68.391818181818181</v>
      </c>
      <c r="T1647" s="22">
        <f>tblDailySchedule[[#This Row],[STD]]</f>
        <v>0.57638888888888884</v>
      </c>
    </row>
    <row r="1648" spans="1:20" hidden="1" x14ac:dyDescent="0.35">
      <c r="A1648" s="11">
        <v>46169</v>
      </c>
      <c r="B1648" s="3">
        <v>3</v>
      </c>
      <c r="C1648" t="s">
        <v>113</v>
      </c>
      <c r="D1648" t="s">
        <v>18</v>
      </c>
      <c r="E1648" s="3">
        <v>14</v>
      </c>
      <c r="F1648" t="s">
        <v>19</v>
      </c>
      <c r="G1648" t="s">
        <v>60</v>
      </c>
      <c r="H1648" t="s">
        <v>61</v>
      </c>
      <c r="I1648" s="12">
        <v>0.59027777777777779</v>
      </c>
      <c r="J1648" t="s">
        <v>62</v>
      </c>
      <c r="K1648" t="s">
        <v>61</v>
      </c>
      <c r="L1648" s="12">
        <v>0.62152777777777779</v>
      </c>
      <c r="M1648" t="s">
        <v>63</v>
      </c>
      <c r="N1648" s="3">
        <v>232</v>
      </c>
      <c r="O1648" t="s">
        <v>24</v>
      </c>
      <c r="P1648" t="s">
        <v>56</v>
      </c>
      <c r="R1648">
        <f>tblDailySchedule[[#This Row],[Capacity Approx]]*'[1]Load Factor Sheet June Acft  '!$B$5</f>
        <v>187.86727272727273</v>
      </c>
      <c r="S1648">
        <f>tblDailySchedule[[#This Row],[Capacity Approx]]*'[1]Load Factor Sheet June Acft  '!$D$5</f>
        <v>203.4218181818182</v>
      </c>
      <c r="T1648" s="22">
        <f>tblDailySchedule[[#This Row],[STD]]</f>
        <v>0.62152777777777779</v>
      </c>
    </row>
    <row r="1649" spans="1:20" hidden="1" x14ac:dyDescent="0.35">
      <c r="A1649" s="11">
        <v>46169</v>
      </c>
      <c r="B1649" s="3">
        <v>3</v>
      </c>
      <c r="C1649" t="s">
        <v>113</v>
      </c>
      <c r="D1649" t="s">
        <v>18</v>
      </c>
      <c r="E1649" s="3">
        <v>15</v>
      </c>
      <c r="F1649" t="s">
        <v>19</v>
      </c>
      <c r="G1649" t="s">
        <v>64</v>
      </c>
      <c r="H1649" t="s">
        <v>31</v>
      </c>
      <c r="I1649" s="12">
        <v>0.60069444444444442</v>
      </c>
      <c r="J1649" t="s">
        <v>65</v>
      </c>
      <c r="K1649" t="s">
        <v>66</v>
      </c>
      <c r="L1649" s="12">
        <v>0.62847222222222221</v>
      </c>
      <c r="M1649" t="s">
        <v>63</v>
      </c>
      <c r="N1649" s="3">
        <v>232</v>
      </c>
      <c r="O1649" t="s">
        <v>24</v>
      </c>
      <c r="P1649" t="s">
        <v>56</v>
      </c>
      <c r="R1649">
        <f>tblDailySchedule[[#This Row],[Capacity Approx]]*'[1]Load Factor Sheet June Acft  '!$B$5</f>
        <v>187.86727272727273</v>
      </c>
      <c r="S1649">
        <f>tblDailySchedule[[#This Row],[Capacity Approx]]*'[1]Load Factor Sheet June Acft  '!$D$5</f>
        <v>203.4218181818182</v>
      </c>
      <c r="T1649" s="22">
        <f>tblDailySchedule[[#This Row],[STD]]</f>
        <v>0.62847222222222221</v>
      </c>
    </row>
    <row r="1650" spans="1:20" hidden="1" x14ac:dyDescent="0.35">
      <c r="A1650" s="11">
        <v>46169</v>
      </c>
      <c r="B1650" s="3">
        <v>3</v>
      </c>
      <c r="C1650" t="s">
        <v>113</v>
      </c>
      <c r="D1650" t="s">
        <v>18</v>
      </c>
      <c r="E1650" s="3">
        <v>16</v>
      </c>
      <c r="F1650" t="s">
        <v>19</v>
      </c>
      <c r="G1650" t="s">
        <v>67</v>
      </c>
      <c r="H1650" t="s">
        <v>31</v>
      </c>
      <c r="I1650" s="12">
        <v>0.65625</v>
      </c>
      <c r="J1650" t="s">
        <v>68</v>
      </c>
      <c r="K1650" t="s">
        <v>31</v>
      </c>
      <c r="L1650" s="12">
        <v>0.68402777777777779</v>
      </c>
      <c r="M1650" t="s">
        <v>63</v>
      </c>
      <c r="N1650" s="3">
        <v>232</v>
      </c>
      <c r="O1650" t="s">
        <v>24</v>
      </c>
      <c r="P1650" t="s">
        <v>56</v>
      </c>
      <c r="R1650">
        <f>tblDailySchedule[[#This Row],[Capacity Approx]]*'[1]Load Factor Sheet June Acft  '!$B$5</f>
        <v>187.86727272727273</v>
      </c>
      <c r="S1650">
        <f>tblDailySchedule[[#This Row],[Capacity Approx]]*'[1]Load Factor Sheet June Acft  '!$D$5</f>
        <v>203.4218181818182</v>
      </c>
      <c r="T1650" s="22">
        <f>tblDailySchedule[[#This Row],[STD]]</f>
        <v>0.68402777777777779</v>
      </c>
    </row>
    <row r="1651" spans="1:20" hidden="1" x14ac:dyDescent="0.35">
      <c r="A1651" s="11">
        <v>46169</v>
      </c>
      <c r="B1651" s="3">
        <v>3</v>
      </c>
      <c r="C1651" t="s">
        <v>113</v>
      </c>
      <c r="D1651" t="s">
        <v>18</v>
      </c>
      <c r="E1651" s="3">
        <v>17</v>
      </c>
      <c r="F1651" t="s">
        <v>19</v>
      </c>
      <c r="G1651" t="s">
        <v>69</v>
      </c>
      <c r="H1651" t="s">
        <v>31</v>
      </c>
      <c r="I1651" s="12">
        <v>0.66319444444444442</v>
      </c>
      <c r="J1651" t="s">
        <v>70</v>
      </c>
      <c r="K1651" t="s">
        <v>31</v>
      </c>
      <c r="L1651" s="12">
        <v>0.69097222222222221</v>
      </c>
      <c r="M1651" t="s">
        <v>33</v>
      </c>
      <c r="N1651" s="3">
        <v>189</v>
      </c>
      <c r="O1651" t="s">
        <v>24</v>
      </c>
      <c r="P1651" t="s">
        <v>56</v>
      </c>
      <c r="R1651">
        <f>tblDailySchedule[[#This Row],[Capacity Approx]]*'[1]Load Factor Sheet June Acft  '!$B$5</f>
        <v>153.04704545454547</v>
      </c>
      <c r="S1651">
        <f>tblDailySchedule[[#This Row],[Capacity Approx]]*'[1]Load Factor Sheet June Acft  '!$D$5</f>
        <v>165.71863636363636</v>
      </c>
      <c r="T1651" s="22">
        <f>tblDailySchedule[[#This Row],[STD]]</f>
        <v>0.69097222222222221</v>
      </c>
    </row>
    <row r="1652" spans="1:20" hidden="1" x14ac:dyDescent="0.35">
      <c r="A1652" s="11">
        <v>46169</v>
      </c>
      <c r="B1652" s="3">
        <v>3</v>
      </c>
      <c r="C1652" t="s">
        <v>113</v>
      </c>
      <c r="D1652" t="s">
        <v>18</v>
      </c>
      <c r="E1652" s="3">
        <v>18</v>
      </c>
      <c r="F1652" t="s">
        <v>19</v>
      </c>
      <c r="G1652" t="s">
        <v>71</v>
      </c>
      <c r="H1652" t="s">
        <v>21</v>
      </c>
      <c r="I1652" s="12">
        <v>0.67013888888888884</v>
      </c>
      <c r="J1652" t="s">
        <v>72</v>
      </c>
      <c r="K1652" t="s">
        <v>21</v>
      </c>
      <c r="L1652" s="12">
        <v>0.69791666666666663</v>
      </c>
      <c r="M1652" t="s">
        <v>63</v>
      </c>
      <c r="N1652" s="3">
        <v>232</v>
      </c>
      <c r="O1652" t="s">
        <v>24</v>
      </c>
      <c r="P1652" t="s">
        <v>56</v>
      </c>
      <c r="R1652">
        <f>tblDailySchedule[[#This Row],[Capacity Approx]]*'[1]Load Factor Sheet June Acft  '!$B$5</f>
        <v>187.86727272727273</v>
      </c>
      <c r="S1652">
        <f>tblDailySchedule[[#This Row],[Capacity Approx]]*'[1]Load Factor Sheet June Acft  '!$D$5</f>
        <v>203.4218181818182</v>
      </c>
      <c r="T1652" s="22">
        <f>tblDailySchedule[[#This Row],[STD]]</f>
        <v>0.69791666666666663</v>
      </c>
    </row>
    <row r="1653" spans="1:20" hidden="1" x14ac:dyDescent="0.35">
      <c r="A1653" s="11">
        <v>46169</v>
      </c>
      <c r="B1653" s="3">
        <v>3</v>
      </c>
      <c r="C1653" t="s">
        <v>113</v>
      </c>
      <c r="D1653" t="s">
        <v>18</v>
      </c>
      <c r="E1653" s="3">
        <v>19</v>
      </c>
      <c r="F1653" t="s">
        <v>19</v>
      </c>
      <c r="G1653" t="s">
        <v>73</v>
      </c>
      <c r="H1653" t="s">
        <v>27</v>
      </c>
      <c r="I1653" s="12">
        <v>0.74652777777777779</v>
      </c>
      <c r="J1653" t="s">
        <v>74</v>
      </c>
      <c r="K1653" t="s">
        <v>27</v>
      </c>
      <c r="L1653" s="12">
        <v>0.77430555555555558</v>
      </c>
      <c r="M1653" t="s">
        <v>63</v>
      </c>
      <c r="N1653" s="3">
        <v>232</v>
      </c>
      <c r="O1653" t="s">
        <v>24</v>
      </c>
      <c r="P1653" t="s">
        <v>56</v>
      </c>
      <c r="R1653">
        <f>tblDailySchedule[[#This Row],[Capacity Approx]]*'[1]Load Factor Sheet June Acft  '!$B$5</f>
        <v>187.86727272727273</v>
      </c>
      <c r="S1653">
        <f>tblDailySchedule[[#This Row],[Capacity Approx]]*'[1]Load Factor Sheet June Acft  '!$D$5</f>
        <v>203.4218181818182</v>
      </c>
      <c r="T1653" s="22">
        <f>tblDailySchedule[[#This Row],[STD]]</f>
        <v>0.77430555555555558</v>
      </c>
    </row>
    <row r="1654" spans="1:20" hidden="1" x14ac:dyDescent="0.35">
      <c r="A1654" s="11">
        <v>46169</v>
      </c>
      <c r="B1654" s="3">
        <v>3</v>
      </c>
      <c r="C1654" t="s">
        <v>113</v>
      </c>
      <c r="D1654" t="s">
        <v>18</v>
      </c>
      <c r="E1654" s="3">
        <v>20</v>
      </c>
      <c r="F1654" t="s">
        <v>34</v>
      </c>
      <c r="G1654" t="s">
        <v>75</v>
      </c>
      <c r="H1654" t="s">
        <v>76</v>
      </c>
      <c r="I1654" s="12">
        <v>0.76388888888888884</v>
      </c>
      <c r="J1654" t="s">
        <v>77</v>
      </c>
      <c r="K1654" t="s">
        <v>78</v>
      </c>
      <c r="L1654" s="12">
        <v>0.78472222222222221</v>
      </c>
      <c r="M1654" t="s">
        <v>51</v>
      </c>
      <c r="N1654" s="3">
        <v>78</v>
      </c>
      <c r="O1654" t="s">
        <v>24</v>
      </c>
      <c r="P1654" t="s">
        <v>79</v>
      </c>
      <c r="Q1654" s="16" t="s">
        <v>80</v>
      </c>
      <c r="R1654">
        <f>tblDailySchedule[[#This Row],[Capacity Approx]]*'[1]Load Factor Sheet June Acft  '!$B$5</f>
        <v>63.162272727272729</v>
      </c>
      <c r="S1654">
        <f>tblDailySchedule[[#This Row],[Capacity Approx]]*'[1]Load Factor Sheet June Acft  '!$D$5</f>
        <v>68.391818181818181</v>
      </c>
      <c r="T1654" s="22">
        <f>tblDailySchedule[[#This Row],[STD]]</f>
        <v>0.78472222222222221</v>
      </c>
    </row>
    <row r="1655" spans="1:20" hidden="1" x14ac:dyDescent="0.35">
      <c r="A1655" s="11">
        <v>46169</v>
      </c>
      <c r="B1655" s="3">
        <v>3</v>
      </c>
      <c r="C1655" t="s">
        <v>113</v>
      </c>
      <c r="D1655" t="s">
        <v>18</v>
      </c>
      <c r="E1655" s="3">
        <v>21</v>
      </c>
      <c r="F1655" t="s">
        <v>19</v>
      </c>
      <c r="G1655" t="s">
        <v>81</v>
      </c>
      <c r="H1655" t="s">
        <v>61</v>
      </c>
      <c r="I1655" s="12">
        <v>0.77083333333333337</v>
      </c>
      <c r="J1655" t="s">
        <v>82</v>
      </c>
      <c r="K1655" t="s">
        <v>49</v>
      </c>
      <c r="L1655" s="12">
        <v>0.79166666666666663</v>
      </c>
      <c r="M1655" t="s">
        <v>33</v>
      </c>
      <c r="N1655" s="3">
        <v>189</v>
      </c>
      <c r="O1655" t="s">
        <v>24</v>
      </c>
      <c r="P1655" t="s">
        <v>79</v>
      </c>
      <c r="R1655">
        <f>tblDailySchedule[[#This Row],[Capacity Approx]]*'[1]Load Factor Sheet June Acft  '!$B$5</f>
        <v>153.04704545454547</v>
      </c>
      <c r="S1655">
        <f>tblDailySchedule[[#This Row],[Capacity Approx]]*'[1]Load Factor Sheet June Acft  '!$D$5</f>
        <v>165.71863636363636</v>
      </c>
      <c r="T1655" s="22">
        <f>tblDailySchedule[[#This Row],[STD]]</f>
        <v>0.79166666666666663</v>
      </c>
    </row>
    <row r="1656" spans="1:20" hidden="1" x14ac:dyDescent="0.35">
      <c r="A1656" s="11">
        <v>46169</v>
      </c>
      <c r="B1656" s="3">
        <v>3</v>
      </c>
      <c r="C1656" t="s">
        <v>113</v>
      </c>
      <c r="D1656" t="s">
        <v>18</v>
      </c>
      <c r="E1656" s="3">
        <v>22</v>
      </c>
      <c r="F1656" t="s">
        <v>19</v>
      </c>
      <c r="G1656" t="s">
        <v>83</v>
      </c>
      <c r="H1656" t="s">
        <v>31</v>
      </c>
      <c r="I1656" s="12">
        <v>0.77777777777777779</v>
      </c>
      <c r="J1656" t="s">
        <v>84</v>
      </c>
      <c r="K1656" t="s">
        <v>31</v>
      </c>
      <c r="L1656" s="12">
        <v>0.80555555555555558</v>
      </c>
      <c r="M1656" t="s">
        <v>63</v>
      </c>
      <c r="N1656" s="3">
        <v>232</v>
      </c>
      <c r="O1656" t="s">
        <v>24</v>
      </c>
      <c r="P1656" t="s">
        <v>79</v>
      </c>
      <c r="R1656">
        <f>tblDailySchedule[[#This Row],[Capacity Approx]]*'[1]Load Factor Sheet June Acft  '!$B$5</f>
        <v>187.86727272727273</v>
      </c>
      <c r="S1656">
        <f>tblDailySchedule[[#This Row],[Capacity Approx]]*'[1]Load Factor Sheet June Acft  '!$D$5</f>
        <v>203.4218181818182</v>
      </c>
      <c r="T1656" s="22">
        <f>tblDailySchedule[[#This Row],[STD]]</f>
        <v>0.80555555555555558</v>
      </c>
    </row>
    <row r="1657" spans="1:20" hidden="1" x14ac:dyDescent="0.35">
      <c r="A1657" s="11">
        <v>46169</v>
      </c>
      <c r="B1657" s="3">
        <v>3</v>
      </c>
      <c r="C1657" t="s">
        <v>113</v>
      </c>
      <c r="D1657" t="s">
        <v>18</v>
      </c>
      <c r="E1657" s="3">
        <v>23</v>
      </c>
      <c r="F1657" t="s">
        <v>19</v>
      </c>
      <c r="G1657" t="s">
        <v>85</v>
      </c>
      <c r="H1657" t="s">
        <v>86</v>
      </c>
      <c r="I1657" s="12">
        <v>0.79861111111111116</v>
      </c>
      <c r="J1657" t="s">
        <v>87</v>
      </c>
      <c r="K1657" t="s">
        <v>86</v>
      </c>
      <c r="L1657" s="12">
        <v>0.82638888888888884</v>
      </c>
      <c r="M1657" t="s">
        <v>63</v>
      </c>
      <c r="N1657" s="3">
        <v>232</v>
      </c>
      <c r="O1657" t="s">
        <v>24</v>
      </c>
      <c r="P1657" t="s">
        <v>79</v>
      </c>
      <c r="R1657">
        <f>tblDailySchedule[[#This Row],[Capacity Approx]]*'[1]Load Factor Sheet June Acft  '!$B$5</f>
        <v>187.86727272727273</v>
      </c>
      <c r="S1657">
        <f>tblDailySchedule[[#This Row],[Capacity Approx]]*'[1]Load Factor Sheet June Acft  '!$D$5</f>
        <v>203.4218181818182</v>
      </c>
      <c r="T1657" s="22">
        <f>tblDailySchedule[[#This Row],[STD]]</f>
        <v>0.82638888888888884</v>
      </c>
    </row>
    <row r="1658" spans="1:20" hidden="1" x14ac:dyDescent="0.35">
      <c r="A1658" s="11">
        <v>46169</v>
      </c>
      <c r="B1658" s="3">
        <v>3</v>
      </c>
      <c r="C1658" t="s">
        <v>113</v>
      </c>
      <c r="D1658" t="s">
        <v>18</v>
      </c>
      <c r="E1658" s="3">
        <v>24</v>
      </c>
      <c r="F1658" t="s">
        <v>19</v>
      </c>
      <c r="G1658" t="s">
        <v>88</v>
      </c>
      <c r="H1658" t="s">
        <v>89</v>
      </c>
      <c r="I1658" s="12">
        <v>0.83333333333333337</v>
      </c>
      <c r="J1658" t="s">
        <v>90</v>
      </c>
      <c r="K1658" t="s">
        <v>31</v>
      </c>
      <c r="L1658" s="12">
        <v>0.86111111111111116</v>
      </c>
      <c r="M1658" t="s">
        <v>63</v>
      </c>
      <c r="N1658" s="3">
        <v>232</v>
      </c>
      <c r="O1658" t="s">
        <v>24</v>
      </c>
      <c r="P1658" t="s">
        <v>79</v>
      </c>
      <c r="R1658">
        <f>tblDailySchedule[[#This Row],[Capacity Approx]]*'[1]Load Factor Sheet June Acft  '!$B$5</f>
        <v>187.86727272727273</v>
      </c>
      <c r="S1658">
        <f>tblDailySchedule[[#This Row],[Capacity Approx]]*'[1]Load Factor Sheet June Acft  '!$D$5</f>
        <v>203.4218181818182</v>
      </c>
      <c r="T1658" s="22">
        <f>tblDailySchedule[[#This Row],[STD]]</f>
        <v>0.86111111111111116</v>
      </c>
    </row>
    <row r="1659" spans="1:20" hidden="1" x14ac:dyDescent="0.35">
      <c r="A1659" s="11">
        <v>46169</v>
      </c>
      <c r="B1659" s="3">
        <v>3</v>
      </c>
      <c r="C1659" t="s">
        <v>113</v>
      </c>
      <c r="D1659" t="s">
        <v>18</v>
      </c>
      <c r="E1659" s="3">
        <v>25</v>
      </c>
      <c r="F1659" t="s">
        <v>19</v>
      </c>
      <c r="G1659" t="s">
        <v>91</v>
      </c>
      <c r="H1659" t="s">
        <v>61</v>
      </c>
      <c r="I1659" s="12">
        <v>0.85416666666666663</v>
      </c>
      <c r="J1659" t="s">
        <v>92</v>
      </c>
      <c r="K1659" t="s">
        <v>61</v>
      </c>
      <c r="L1659" s="12">
        <v>0.88194444444444442</v>
      </c>
      <c r="M1659" t="s">
        <v>63</v>
      </c>
      <c r="N1659" s="3">
        <v>232</v>
      </c>
      <c r="O1659" t="s">
        <v>24</v>
      </c>
      <c r="P1659" t="s">
        <v>79</v>
      </c>
      <c r="R1659">
        <f>tblDailySchedule[[#This Row],[Capacity Approx]]*'[1]Load Factor Sheet June Acft  '!$B$5</f>
        <v>187.86727272727273</v>
      </c>
      <c r="S1659">
        <f>tblDailySchedule[[#This Row],[Capacity Approx]]*'[1]Load Factor Sheet June Acft  '!$D$5</f>
        <v>203.4218181818182</v>
      </c>
      <c r="T1659" s="22">
        <f>tblDailySchedule[[#This Row],[STD]]</f>
        <v>0.88194444444444442</v>
      </c>
    </row>
    <row r="1660" spans="1:20" hidden="1" x14ac:dyDescent="0.35">
      <c r="A1660" s="11">
        <v>46169</v>
      </c>
      <c r="B1660" s="3">
        <v>3</v>
      </c>
      <c r="C1660" t="s">
        <v>113</v>
      </c>
      <c r="D1660" t="s">
        <v>18</v>
      </c>
      <c r="E1660" s="3">
        <v>26</v>
      </c>
      <c r="F1660" t="s">
        <v>19</v>
      </c>
      <c r="G1660" t="s">
        <v>93</v>
      </c>
      <c r="H1660" t="s">
        <v>31</v>
      </c>
      <c r="I1660" s="12">
        <v>0.86111111111111116</v>
      </c>
      <c r="J1660" t="s">
        <v>94</v>
      </c>
      <c r="K1660" t="s">
        <v>31</v>
      </c>
      <c r="L1660" s="12">
        <v>0.88888888888888884</v>
      </c>
      <c r="M1660" t="s">
        <v>23</v>
      </c>
      <c r="N1660" s="3">
        <v>186</v>
      </c>
      <c r="O1660" t="s">
        <v>24</v>
      </c>
      <c r="P1660" t="s">
        <v>79</v>
      </c>
      <c r="R1660">
        <f>tblDailySchedule[[#This Row],[Capacity Approx]]*'[1]Load Factor Sheet June Acft  '!$B$5</f>
        <v>150.61772727272728</v>
      </c>
      <c r="S1660">
        <f>tblDailySchedule[[#This Row],[Capacity Approx]]*'[1]Load Factor Sheet June Acft  '!$D$5</f>
        <v>163.08818181818182</v>
      </c>
      <c r="T1660" s="22">
        <f>tblDailySchedule[[#This Row],[STD]]</f>
        <v>0.88888888888888884</v>
      </c>
    </row>
    <row r="1661" spans="1:20" hidden="1" x14ac:dyDescent="0.35">
      <c r="A1661" s="11">
        <v>46169</v>
      </c>
      <c r="B1661" s="3">
        <v>3</v>
      </c>
      <c r="C1661" t="s">
        <v>113</v>
      </c>
      <c r="D1661" t="s">
        <v>18</v>
      </c>
      <c r="E1661" s="3">
        <v>27</v>
      </c>
      <c r="F1661" t="s">
        <v>19</v>
      </c>
      <c r="G1661" t="s">
        <v>95</v>
      </c>
      <c r="H1661" t="s">
        <v>21</v>
      </c>
      <c r="I1661" s="12">
        <v>0.86805555555555558</v>
      </c>
      <c r="J1661" t="s">
        <v>96</v>
      </c>
      <c r="K1661" t="s">
        <v>21</v>
      </c>
      <c r="L1661" s="12">
        <v>0.89583333333333337</v>
      </c>
      <c r="M1661" t="s">
        <v>29</v>
      </c>
      <c r="N1661" s="3">
        <v>186</v>
      </c>
      <c r="O1661" t="s">
        <v>24</v>
      </c>
      <c r="P1661" t="s">
        <v>79</v>
      </c>
      <c r="R1661">
        <f>tblDailySchedule[[#This Row],[Capacity Approx]]*'[1]Load Factor Sheet June Acft  '!$B$5</f>
        <v>150.61772727272728</v>
      </c>
      <c r="S1661">
        <f>tblDailySchedule[[#This Row],[Capacity Approx]]*'[1]Load Factor Sheet June Acft  '!$D$5</f>
        <v>163.08818181818182</v>
      </c>
      <c r="T1661" s="22">
        <f>tblDailySchedule[[#This Row],[STD]]</f>
        <v>0.89583333333333337</v>
      </c>
    </row>
    <row r="1662" spans="1:20" hidden="1" x14ac:dyDescent="0.35">
      <c r="A1662" s="11">
        <v>46169</v>
      </c>
      <c r="B1662" s="3">
        <v>3</v>
      </c>
      <c r="C1662" t="s">
        <v>113</v>
      </c>
      <c r="D1662" t="s">
        <v>18</v>
      </c>
      <c r="E1662" s="3">
        <v>28</v>
      </c>
      <c r="F1662" t="s">
        <v>19</v>
      </c>
      <c r="G1662" t="s">
        <v>97</v>
      </c>
      <c r="H1662" t="s">
        <v>49</v>
      </c>
      <c r="I1662" s="12">
        <v>0.90277777777777779</v>
      </c>
      <c r="J1662" t="s">
        <v>97</v>
      </c>
      <c r="K1662" t="s">
        <v>61</v>
      </c>
      <c r="L1662" s="12">
        <v>0.92361111111111116</v>
      </c>
      <c r="M1662" t="s">
        <v>33</v>
      </c>
      <c r="N1662" s="3">
        <v>189</v>
      </c>
      <c r="O1662" t="s">
        <v>24</v>
      </c>
      <c r="P1662" t="s">
        <v>79</v>
      </c>
      <c r="R1662">
        <f>tblDailySchedule[[#This Row],[Capacity Approx]]*'[1]Load Factor Sheet June Acft  '!$B$5</f>
        <v>153.04704545454547</v>
      </c>
      <c r="S1662">
        <f>tblDailySchedule[[#This Row],[Capacity Approx]]*'[1]Load Factor Sheet June Acft  '!$D$5</f>
        <v>165.71863636363636</v>
      </c>
      <c r="T1662" s="22">
        <f>tblDailySchedule[[#This Row],[STD]]</f>
        <v>0.92361111111111116</v>
      </c>
    </row>
    <row r="1663" spans="1:20" hidden="1" x14ac:dyDescent="0.35">
      <c r="A1663" s="11">
        <v>46169</v>
      </c>
      <c r="B1663" s="3">
        <v>3</v>
      </c>
      <c r="C1663" t="s">
        <v>113</v>
      </c>
      <c r="D1663" t="s">
        <v>18</v>
      </c>
      <c r="E1663" s="3">
        <v>29</v>
      </c>
      <c r="F1663" t="s">
        <v>19</v>
      </c>
      <c r="G1663" t="s">
        <v>98</v>
      </c>
      <c r="H1663" t="s">
        <v>21</v>
      </c>
      <c r="I1663" s="12">
        <v>0.92013888888888884</v>
      </c>
      <c r="J1663" t="s">
        <v>99</v>
      </c>
      <c r="K1663" t="s">
        <v>21</v>
      </c>
      <c r="L1663" s="12">
        <v>0.94791666666666663</v>
      </c>
      <c r="M1663" t="s">
        <v>63</v>
      </c>
      <c r="N1663" s="3">
        <v>232</v>
      </c>
      <c r="O1663" t="s">
        <v>24</v>
      </c>
      <c r="P1663" t="s">
        <v>79</v>
      </c>
      <c r="R1663">
        <f>tblDailySchedule[[#This Row],[Capacity Approx]]*'[1]Load Factor Sheet June Acft  '!$B$5</f>
        <v>187.86727272727273</v>
      </c>
      <c r="S1663">
        <f>tblDailySchedule[[#This Row],[Capacity Approx]]*'[1]Load Factor Sheet June Acft  '!$D$5</f>
        <v>203.4218181818182</v>
      </c>
      <c r="T1663" s="22">
        <f>tblDailySchedule[[#This Row],[STD]]</f>
        <v>0.94791666666666663</v>
      </c>
    </row>
    <row r="1664" spans="1:20" hidden="1" x14ac:dyDescent="0.35">
      <c r="A1664" s="13">
        <v>46169</v>
      </c>
      <c r="B1664" s="7">
        <v>3</v>
      </c>
      <c r="C1664" s="14" t="s">
        <v>113</v>
      </c>
      <c r="D1664" s="14" t="s">
        <v>18</v>
      </c>
      <c r="E1664" s="7">
        <v>30</v>
      </c>
      <c r="F1664" s="14" t="s">
        <v>104</v>
      </c>
      <c r="G1664" s="14" t="s">
        <v>105</v>
      </c>
      <c r="H1664" s="14" t="s">
        <v>106</v>
      </c>
      <c r="I1664" s="15">
        <v>0.92708333333333337</v>
      </c>
      <c r="J1664" s="14" t="s">
        <v>107</v>
      </c>
      <c r="K1664" s="14" t="s">
        <v>106</v>
      </c>
      <c r="L1664" s="15">
        <v>0.95833333333333337</v>
      </c>
      <c r="M1664" s="14" t="s">
        <v>38</v>
      </c>
      <c r="N1664" s="7">
        <v>186</v>
      </c>
      <c r="O1664" s="14" t="s">
        <v>39</v>
      </c>
      <c r="P1664" s="14" t="s">
        <v>79</v>
      </c>
      <c r="Q1664" s="14" t="s">
        <v>39</v>
      </c>
      <c r="R1664">
        <f>tblDailySchedule[[#This Row],[Capacity Approx]]*'[1]Load Factor Sheet June Acft  '!$B$5</f>
        <v>150.61772727272728</v>
      </c>
      <c r="S1664">
        <f>tblDailySchedule[[#This Row],[Capacity Approx]]*'[1]Load Factor Sheet June Acft  '!$D$5</f>
        <v>163.08818181818182</v>
      </c>
      <c r="T1664" s="22">
        <f>tblDailySchedule[[#This Row],[STD]]</f>
        <v>0.95833333333333337</v>
      </c>
    </row>
    <row r="1665" spans="1:20" hidden="1" x14ac:dyDescent="0.35">
      <c r="A1665" s="11">
        <v>46170</v>
      </c>
      <c r="B1665" s="3">
        <v>4</v>
      </c>
      <c r="C1665" t="s">
        <v>114</v>
      </c>
      <c r="D1665" t="s">
        <v>18</v>
      </c>
      <c r="E1665" s="3">
        <v>1</v>
      </c>
      <c r="F1665" t="s">
        <v>101</v>
      </c>
      <c r="G1665" t="s">
        <v>102</v>
      </c>
      <c r="H1665" t="s">
        <v>61</v>
      </c>
      <c r="I1665" s="12">
        <v>0.3125</v>
      </c>
      <c r="J1665" t="s">
        <v>103</v>
      </c>
      <c r="K1665" t="s">
        <v>61</v>
      </c>
      <c r="L1665" s="12">
        <v>0.33333333333333331</v>
      </c>
      <c r="M1665" t="s">
        <v>33</v>
      </c>
      <c r="N1665" s="3">
        <v>189</v>
      </c>
      <c r="O1665" t="s">
        <v>24</v>
      </c>
      <c r="P1665" t="s">
        <v>25</v>
      </c>
      <c r="R1665">
        <f>tblDailySchedule[[#This Row],[Capacity Approx]]*'[1]Load Factor Sheet June Acft  '!$B$5</f>
        <v>153.04704545454547</v>
      </c>
      <c r="S1665">
        <f>tblDailySchedule[[#This Row],[Capacity Approx]]*'[1]Load Factor Sheet June Acft  '!$D$5</f>
        <v>165.71863636363636</v>
      </c>
      <c r="T1665" s="22">
        <f>tblDailySchedule[[#This Row],[STD]]</f>
        <v>0.33333333333333331</v>
      </c>
    </row>
    <row r="1666" spans="1:20" hidden="1" x14ac:dyDescent="0.35">
      <c r="A1666" s="11">
        <v>46170</v>
      </c>
      <c r="B1666" s="3">
        <v>4</v>
      </c>
      <c r="C1666" t="s">
        <v>114</v>
      </c>
      <c r="D1666" t="s">
        <v>18</v>
      </c>
      <c r="E1666" s="3">
        <v>2</v>
      </c>
      <c r="F1666" t="s">
        <v>19</v>
      </c>
      <c r="G1666" t="s">
        <v>20</v>
      </c>
      <c r="H1666" t="s">
        <v>21</v>
      </c>
      <c r="I1666" s="12">
        <v>0.31944444444444442</v>
      </c>
      <c r="J1666" t="s">
        <v>22</v>
      </c>
      <c r="K1666" t="s">
        <v>21</v>
      </c>
      <c r="L1666" s="12">
        <v>0.34722222222222221</v>
      </c>
      <c r="M1666" t="s">
        <v>23</v>
      </c>
      <c r="N1666" s="3">
        <v>186</v>
      </c>
      <c r="O1666" t="s">
        <v>24</v>
      </c>
      <c r="P1666" t="s">
        <v>25</v>
      </c>
      <c r="R1666">
        <f>tblDailySchedule[[#This Row],[Capacity Approx]]*'[1]Load Factor Sheet June Acft  '!$B$5</f>
        <v>150.61772727272728</v>
      </c>
      <c r="S1666">
        <f>tblDailySchedule[[#This Row],[Capacity Approx]]*'[1]Load Factor Sheet June Acft  '!$D$5</f>
        <v>163.08818181818182</v>
      </c>
      <c r="T1666" s="22">
        <f>tblDailySchedule[[#This Row],[STD]]</f>
        <v>0.34722222222222221</v>
      </c>
    </row>
    <row r="1667" spans="1:20" hidden="1" x14ac:dyDescent="0.35">
      <c r="A1667" s="11">
        <v>46170</v>
      </c>
      <c r="B1667" s="3">
        <v>4</v>
      </c>
      <c r="C1667" t="s">
        <v>114</v>
      </c>
      <c r="D1667" t="s">
        <v>18</v>
      </c>
      <c r="E1667" s="3">
        <v>3</v>
      </c>
      <c r="F1667" t="s">
        <v>19</v>
      </c>
      <c r="G1667" t="s">
        <v>26</v>
      </c>
      <c r="H1667" t="s">
        <v>27</v>
      </c>
      <c r="I1667" s="12">
        <v>0.3263888888888889</v>
      </c>
      <c r="J1667" t="s">
        <v>28</v>
      </c>
      <c r="K1667" t="s">
        <v>27</v>
      </c>
      <c r="L1667" s="12">
        <v>0.35416666666666669</v>
      </c>
      <c r="M1667" t="s">
        <v>29</v>
      </c>
      <c r="N1667" s="3">
        <v>186</v>
      </c>
      <c r="O1667" t="s">
        <v>24</v>
      </c>
      <c r="P1667" t="s">
        <v>25</v>
      </c>
      <c r="R1667">
        <f>tblDailySchedule[[#This Row],[Capacity Approx]]*'[1]Load Factor Sheet June Acft  '!$B$5</f>
        <v>150.61772727272728</v>
      </c>
      <c r="S1667">
        <f>tblDailySchedule[[#This Row],[Capacity Approx]]*'[1]Load Factor Sheet June Acft  '!$D$5</f>
        <v>163.08818181818182</v>
      </c>
      <c r="T1667" s="22">
        <f>tblDailySchedule[[#This Row],[STD]]</f>
        <v>0.35416666666666669</v>
      </c>
    </row>
    <row r="1668" spans="1:20" hidden="1" x14ac:dyDescent="0.35">
      <c r="A1668" s="11">
        <v>46170</v>
      </c>
      <c r="B1668" s="3">
        <v>4</v>
      </c>
      <c r="C1668" t="s">
        <v>114</v>
      </c>
      <c r="D1668" t="s">
        <v>18</v>
      </c>
      <c r="E1668" s="3">
        <v>4</v>
      </c>
      <c r="F1668" t="s">
        <v>19</v>
      </c>
      <c r="G1668" t="s">
        <v>30</v>
      </c>
      <c r="H1668" t="s">
        <v>31</v>
      </c>
      <c r="I1668" s="12">
        <v>0.34722222222222221</v>
      </c>
      <c r="J1668" t="s">
        <v>32</v>
      </c>
      <c r="K1668" t="s">
        <v>31</v>
      </c>
      <c r="L1668" s="12">
        <v>0.36805555555555558</v>
      </c>
      <c r="M1668" t="s">
        <v>33</v>
      </c>
      <c r="N1668" s="3">
        <v>189</v>
      </c>
      <c r="O1668" t="s">
        <v>24</v>
      </c>
      <c r="P1668" t="s">
        <v>25</v>
      </c>
      <c r="R1668">
        <f>tblDailySchedule[[#This Row],[Capacity Approx]]*'[1]Load Factor Sheet June Acft  '!$B$5</f>
        <v>153.04704545454547</v>
      </c>
      <c r="S1668">
        <f>tblDailySchedule[[#This Row],[Capacity Approx]]*'[1]Load Factor Sheet June Acft  '!$D$5</f>
        <v>165.71863636363636</v>
      </c>
      <c r="T1668" s="22">
        <f>tblDailySchedule[[#This Row],[STD]]</f>
        <v>0.36805555555555558</v>
      </c>
    </row>
    <row r="1669" spans="1:20" hidden="1" x14ac:dyDescent="0.35">
      <c r="A1669" s="11">
        <v>46170</v>
      </c>
      <c r="B1669" s="3">
        <v>4</v>
      </c>
      <c r="C1669" t="s">
        <v>114</v>
      </c>
      <c r="D1669" t="s">
        <v>18</v>
      </c>
      <c r="E1669" s="3">
        <v>5</v>
      </c>
      <c r="F1669" t="s">
        <v>19</v>
      </c>
      <c r="G1669" t="s">
        <v>40</v>
      </c>
      <c r="H1669" t="s">
        <v>31</v>
      </c>
      <c r="I1669" s="12">
        <v>0.35069444444444442</v>
      </c>
      <c r="J1669" t="s">
        <v>41</v>
      </c>
      <c r="K1669" t="s">
        <v>31</v>
      </c>
      <c r="L1669" s="12">
        <v>0.37152777777777779</v>
      </c>
      <c r="M1669" t="s">
        <v>23</v>
      </c>
      <c r="N1669" s="3">
        <v>186</v>
      </c>
      <c r="O1669" t="s">
        <v>24</v>
      </c>
      <c r="P1669" t="s">
        <v>25</v>
      </c>
      <c r="R1669">
        <f>tblDailySchedule[[#This Row],[Capacity Approx]]*'[1]Load Factor Sheet June Acft  '!$B$5</f>
        <v>150.61772727272728</v>
      </c>
      <c r="S1669">
        <f>tblDailySchedule[[#This Row],[Capacity Approx]]*'[1]Load Factor Sheet June Acft  '!$D$5</f>
        <v>163.08818181818182</v>
      </c>
      <c r="T1669" s="22">
        <f>tblDailySchedule[[#This Row],[STD]]</f>
        <v>0.37152777777777779</v>
      </c>
    </row>
    <row r="1670" spans="1:20" hidden="1" x14ac:dyDescent="0.35">
      <c r="A1670" s="11">
        <v>46170</v>
      </c>
      <c r="B1670" s="3">
        <v>4</v>
      </c>
      <c r="C1670" t="s">
        <v>114</v>
      </c>
      <c r="D1670" t="s">
        <v>18</v>
      </c>
      <c r="E1670" s="3">
        <v>7</v>
      </c>
      <c r="F1670" t="s">
        <v>19</v>
      </c>
      <c r="G1670" t="s">
        <v>42</v>
      </c>
      <c r="H1670" t="s">
        <v>43</v>
      </c>
      <c r="I1670" s="12">
        <v>0.3923611111111111</v>
      </c>
      <c r="J1670" t="s">
        <v>44</v>
      </c>
      <c r="K1670" t="s">
        <v>43</v>
      </c>
      <c r="L1670" s="12">
        <v>0.40277777777777779</v>
      </c>
      <c r="M1670" t="s">
        <v>45</v>
      </c>
      <c r="N1670" s="3">
        <v>9</v>
      </c>
      <c r="O1670" t="s">
        <v>24</v>
      </c>
      <c r="P1670" t="s">
        <v>25</v>
      </c>
      <c r="R1670">
        <f>tblDailySchedule[[#This Row],[Capacity Approx]]*'[1]Load Factor Sheet June Acft  '!$B$5</f>
        <v>7.2879545454545456</v>
      </c>
      <c r="S1670">
        <f>tblDailySchedule[[#This Row],[Capacity Approx]]*'[1]Load Factor Sheet June Acft  '!$D$5</f>
        <v>7.8913636363636366</v>
      </c>
      <c r="T1670" s="22">
        <f>tblDailySchedule[[#This Row],[STD]]</f>
        <v>0.40277777777777779</v>
      </c>
    </row>
    <row r="1671" spans="1:20" hidden="1" x14ac:dyDescent="0.35">
      <c r="A1671" s="11">
        <v>46170</v>
      </c>
      <c r="B1671" s="3">
        <v>4</v>
      </c>
      <c r="C1671" t="s">
        <v>114</v>
      </c>
      <c r="D1671" t="s">
        <v>18</v>
      </c>
      <c r="E1671" s="3">
        <v>8</v>
      </c>
      <c r="F1671" t="s">
        <v>19</v>
      </c>
      <c r="G1671" t="s">
        <v>46</v>
      </c>
      <c r="H1671" t="s">
        <v>31</v>
      </c>
      <c r="I1671" s="12">
        <v>0.4201388888888889</v>
      </c>
      <c r="J1671" t="s">
        <v>47</v>
      </c>
      <c r="K1671" t="s">
        <v>31</v>
      </c>
      <c r="L1671" s="12">
        <v>0.44444444444444442</v>
      </c>
      <c r="M1671" t="s">
        <v>29</v>
      </c>
      <c r="N1671" s="3">
        <v>186</v>
      </c>
      <c r="O1671" t="s">
        <v>24</v>
      </c>
      <c r="P1671" t="s">
        <v>25</v>
      </c>
      <c r="R1671">
        <f>tblDailySchedule[[#This Row],[Capacity Approx]]*'[1]Load Factor Sheet June Acft  '!$B$5</f>
        <v>150.61772727272728</v>
      </c>
      <c r="S1671">
        <f>tblDailySchedule[[#This Row],[Capacity Approx]]*'[1]Load Factor Sheet June Acft  '!$D$5</f>
        <v>163.08818181818182</v>
      </c>
      <c r="T1671" s="22">
        <f>tblDailySchedule[[#This Row],[STD]]</f>
        <v>0.44444444444444442</v>
      </c>
    </row>
    <row r="1672" spans="1:20" hidden="1" x14ac:dyDescent="0.35">
      <c r="A1672" s="11">
        <v>46170</v>
      </c>
      <c r="B1672" s="3">
        <v>4</v>
      </c>
      <c r="C1672" t="s">
        <v>114</v>
      </c>
      <c r="D1672" t="s">
        <v>18</v>
      </c>
      <c r="E1672" s="3">
        <v>9</v>
      </c>
      <c r="F1672" t="s">
        <v>19</v>
      </c>
      <c r="G1672" t="s">
        <v>48</v>
      </c>
      <c r="H1672" t="s">
        <v>49</v>
      </c>
      <c r="I1672" s="12">
        <v>0.4375</v>
      </c>
      <c r="J1672" t="s">
        <v>50</v>
      </c>
      <c r="K1672" t="s">
        <v>49</v>
      </c>
      <c r="L1672" s="12">
        <v>0.45833333333333331</v>
      </c>
      <c r="M1672" t="s">
        <v>51</v>
      </c>
      <c r="N1672" s="3">
        <v>78</v>
      </c>
      <c r="O1672" t="s">
        <v>24</v>
      </c>
      <c r="P1672" t="s">
        <v>25</v>
      </c>
      <c r="R1672">
        <f>tblDailySchedule[[#This Row],[Capacity Approx]]*'[1]Load Factor Sheet June Acft  '!$B$5</f>
        <v>63.162272727272729</v>
      </c>
      <c r="S1672">
        <f>tblDailySchedule[[#This Row],[Capacity Approx]]*'[1]Load Factor Sheet June Acft  '!$D$5</f>
        <v>68.391818181818181</v>
      </c>
      <c r="T1672" s="22">
        <f>tblDailySchedule[[#This Row],[STD]]</f>
        <v>0.45833333333333331</v>
      </c>
    </row>
    <row r="1673" spans="1:20" hidden="1" x14ac:dyDescent="0.35">
      <c r="A1673" s="11">
        <v>46170</v>
      </c>
      <c r="B1673" s="3">
        <v>4</v>
      </c>
      <c r="C1673" t="s">
        <v>114</v>
      </c>
      <c r="D1673" t="s">
        <v>18</v>
      </c>
      <c r="E1673" s="3">
        <v>10</v>
      </c>
      <c r="F1673" t="s">
        <v>19</v>
      </c>
      <c r="G1673" t="s">
        <v>52</v>
      </c>
      <c r="H1673" t="s">
        <v>27</v>
      </c>
      <c r="I1673" s="12">
        <v>0.4826388888888889</v>
      </c>
      <c r="J1673" t="s">
        <v>53</v>
      </c>
      <c r="K1673" t="s">
        <v>27</v>
      </c>
      <c r="L1673" s="12">
        <v>0.51041666666666663</v>
      </c>
      <c r="M1673" t="s">
        <v>23</v>
      </c>
      <c r="N1673" s="3">
        <v>186</v>
      </c>
      <c r="O1673" t="s">
        <v>24</v>
      </c>
      <c r="P1673" t="s">
        <v>25</v>
      </c>
      <c r="R1673">
        <f>tblDailySchedule[[#This Row],[Capacity Approx]]*'[1]Load Factor Sheet June Acft  '!$B$5</f>
        <v>150.61772727272728</v>
      </c>
      <c r="S1673">
        <f>tblDailySchedule[[#This Row],[Capacity Approx]]*'[1]Load Factor Sheet June Acft  '!$D$5</f>
        <v>163.08818181818182</v>
      </c>
      <c r="T1673" s="22">
        <f>tblDailySchedule[[#This Row],[STD]]</f>
        <v>0.51041666666666663</v>
      </c>
    </row>
    <row r="1674" spans="1:20" hidden="1" x14ac:dyDescent="0.35">
      <c r="A1674" s="11">
        <v>46170</v>
      </c>
      <c r="B1674" s="3">
        <v>4</v>
      </c>
      <c r="C1674" t="s">
        <v>114</v>
      </c>
      <c r="D1674" t="s">
        <v>18</v>
      </c>
      <c r="E1674" s="3">
        <v>11</v>
      </c>
      <c r="F1674" t="s">
        <v>19</v>
      </c>
      <c r="G1674" t="s">
        <v>54</v>
      </c>
      <c r="H1674" t="s">
        <v>31</v>
      </c>
      <c r="I1674" s="12">
        <v>0.51388888888888884</v>
      </c>
      <c r="J1674" t="s">
        <v>55</v>
      </c>
      <c r="K1674" t="s">
        <v>31</v>
      </c>
      <c r="L1674" s="12">
        <v>0.54166666666666663</v>
      </c>
      <c r="M1674" t="s">
        <v>23</v>
      </c>
      <c r="N1674" s="3">
        <v>186</v>
      </c>
      <c r="O1674" t="s">
        <v>24</v>
      </c>
      <c r="P1674" t="s">
        <v>56</v>
      </c>
      <c r="R1674">
        <f>tblDailySchedule[[#This Row],[Capacity Approx]]*'[1]Load Factor Sheet June Acft  '!$B$5</f>
        <v>150.61772727272728</v>
      </c>
      <c r="S1674">
        <f>tblDailySchedule[[#This Row],[Capacity Approx]]*'[1]Load Factor Sheet June Acft  '!$D$5</f>
        <v>163.08818181818182</v>
      </c>
      <c r="T1674" s="22">
        <f>tblDailySchedule[[#This Row],[STD]]</f>
        <v>0.54166666666666663</v>
      </c>
    </row>
    <row r="1675" spans="1:20" hidden="1" x14ac:dyDescent="0.35">
      <c r="A1675" s="11">
        <v>46170</v>
      </c>
      <c r="B1675" s="3">
        <v>4</v>
      </c>
      <c r="C1675" t="s">
        <v>114</v>
      </c>
      <c r="D1675" t="s">
        <v>18</v>
      </c>
      <c r="E1675" s="3">
        <v>12</v>
      </c>
      <c r="F1675" t="s">
        <v>109</v>
      </c>
      <c r="G1675" t="s">
        <v>110</v>
      </c>
      <c r="H1675" t="s">
        <v>111</v>
      </c>
      <c r="I1675" s="12">
        <v>0.55555555555555558</v>
      </c>
      <c r="J1675" t="s">
        <v>112</v>
      </c>
      <c r="K1675" t="s">
        <v>111</v>
      </c>
      <c r="L1675" s="12">
        <v>0.56944444444444442</v>
      </c>
      <c r="M1675" t="s">
        <v>51</v>
      </c>
      <c r="N1675" s="3">
        <v>78</v>
      </c>
      <c r="O1675" t="s">
        <v>24</v>
      </c>
      <c r="P1675" t="s">
        <v>56</v>
      </c>
      <c r="R1675">
        <f>tblDailySchedule[[#This Row],[Capacity Approx]]*'[1]Load Factor Sheet June Acft  '!$B$5</f>
        <v>63.162272727272729</v>
      </c>
      <c r="S1675">
        <f>tblDailySchedule[[#This Row],[Capacity Approx]]*'[1]Load Factor Sheet June Acft  '!$D$5</f>
        <v>68.391818181818181</v>
      </c>
      <c r="T1675" s="22">
        <f>tblDailySchedule[[#This Row],[STD]]</f>
        <v>0.56944444444444442</v>
      </c>
    </row>
    <row r="1676" spans="1:20" hidden="1" x14ac:dyDescent="0.35">
      <c r="A1676" s="11">
        <v>46170</v>
      </c>
      <c r="B1676" s="3">
        <v>4</v>
      </c>
      <c r="C1676" t="s">
        <v>114</v>
      </c>
      <c r="D1676" t="s">
        <v>18</v>
      </c>
      <c r="E1676" s="3">
        <v>13</v>
      </c>
      <c r="F1676" t="s">
        <v>19</v>
      </c>
      <c r="G1676" t="s">
        <v>57</v>
      </c>
      <c r="H1676" t="s">
        <v>58</v>
      </c>
      <c r="I1676" s="12">
        <v>0.55902777777777779</v>
      </c>
      <c r="J1676" t="s">
        <v>59</v>
      </c>
      <c r="K1676" t="s">
        <v>58</v>
      </c>
      <c r="L1676" s="12">
        <v>0.57638888888888884</v>
      </c>
      <c r="M1676" t="s">
        <v>51</v>
      </c>
      <c r="N1676" s="3">
        <v>78</v>
      </c>
      <c r="O1676" t="s">
        <v>24</v>
      </c>
      <c r="P1676" t="s">
        <v>56</v>
      </c>
      <c r="R1676">
        <f>tblDailySchedule[[#This Row],[Capacity Approx]]*'[1]Load Factor Sheet June Acft  '!$B$5</f>
        <v>63.162272727272729</v>
      </c>
      <c r="S1676">
        <f>tblDailySchedule[[#This Row],[Capacity Approx]]*'[1]Load Factor Sheet June Acft  '!$D$5</f>
        <v>68.391818181818181</v>
      </c>
      <c r="T1676" s="22">
        <f>tblDailySchedule[[#This Row],[STD]]</f>
        <v>0.57638888888888884</v>
      </c>
    </row>
    <row r="1677" spans="1:20" hidden="1" x14ac:dyDescent="0.35">
      <c r="A1677" s="11">
        <v>46170</v>
      </c>
      <c r="B1677" s="3">
        <v>4</v>
      </c>
      <c r="C1677" t="s">
        <v>114</v>
      </c>
      <c r="D1677" t="s">
        <v>18</v>
      </c>
      <c r="E1677" s="3">
        <v>14</v>
      </c>
      <c r="F1677" t="s">
        <v>19</v>
      </c>
      <c r="G1677" t="s">
        <v>60</v>
      </c>
      <c r="H1677" t="s">
        <v>61</v>
      </c>
      <c r="I1677" s="12">
        <v>0.59027777777777779</v>
      </c>
      <c r="J1677" t="s">
        <v>62</v>
      </c>
      <c r="K1677" t="s">
        <v>61</v>
      </c>
      <c r="L1677" s="12">
        <v>0.62152777777777779</v>
      </c>
      <c r="M1677" t="s">
        <v>63</v>
      </c>
      <c r="N1677" s="3">
        <v>232</v>
      </c>
      <c r="O1677" t="s">
        <v>24</v>
      </c>
      <c r="P1677" t="s">
        <v>56</v>
      </c>
      <c r="R1677">
        <f>tblDailySchedule[[#This Row],[Capacity Approx]]*'[1]Load Factor Sheet June Acft  '!$B$5</f>
        <v>187.86727272727273</v>
      </c>
      <c r="S1677">
        <f>tblDailySchedule[[#This Row],[Capacity Approx]]*'[1]Load Factor Sheet June Acft  '!$D$5</f>
        <v>203.4218181818182</v>
      </c>
      <c r="T1677" s="22">
        <f>tblDailySchedule[[#This Row],[STD]]</f>
        <v>0.62152777777777779</v>
      </c>
    </row>
    <row r="1678" spans="1:20" hidden="1" x14ac:dyDescent="0.35">
      <c r="A1678" s="11">
        <v>46170</v>
      </c>
      <c r="B1678" s="3">
        <v>4</v>
      </c>
      <c r="C1678" t="s">
        <v>114</v>
      </c>
      <c r="D1678" t="s">
        <v>18</v>
      </c>
      <c r="E1678" s="3">
        <v>15</v>
      </c>
      <c r="F1678" t="s">
        <v>19</v>
      </c>
      <c r="G1678" t="s">
        <v>64</v>
      </c>
      <c r="H1678" t="s">
        <v>31</v>
      </c>
      <c r="I1678" s="12">
        <v>0.60069444444444442</v>
      </c>
      <c r="J1678" t="s">
        <v>65</v>
      </c>
      <c r="K1678" t="s">
        <v>66</v>
      </c>
      <c r="L1678" s="12">
        <v>0.62847222222222221</v>
      </c>
      <c r="M1678" t="s">
        <v>63</v>
      </c>
      <c r="N1678" s="3">
        <v>232</v>
      </c>
      <c r="O1678" t="s">
        <v>24</v>
      </c>
      <c r="P1678" t="s">
        <v>56</v>
      </c>
      <c r="R1678">
        <f>tblDailySchedule[[#This Row],[Capacity Approx]]*'[1]Load Factor Sheet June Acft  '!$B$5</f>
        <v>187.86727272727273</v>
      </c>
      <c r="S1678">
        <f>tblDailySchedule[[#This Row],[Capacity Approx]]*'[1]Load Factor Sheet June Acft  '!$D$5</f>
        <v>203.4218181818182</v>
      </c>
      <c r="T1678" s="22">
        <f>tblDailySchedule[[#This Row],[STD]]</f>
        <v>0.62847222222222221</v>
      </c>
    </row>
    <row r="1679" spans="1:20" hidden="1" x14ac:dyDescent="0.35">
      <c r="A1679" s="11">
        <v>46170</v>
      </c>
      <c r="B1679" s="3">
        <v>4</v>
      </c>
      <c r="C1679" t="s">
        <v>114</v>
      </c>
      <c r="D1679" t="s">
        <v>18</v>
      </c>
      <c r="E1679" s="3">
        <v>16</v>
      </c>
      <c r="F1679" t="s">
        <v>19</v>
      </c>
      <c r="G1679" t="s">
        <v>67</v>
      </c>
      <c r="H1679" t="s">
        <v>31</v>
      </c>
      <c r="I1679" s="12">
        <v>0.65625</v>
      </c>
      <c r="J1679" t="s">
        <v>68</v>
      </c>
      <c r="K1679" t="s">
        <v>31</v>
      </c>
      <c r="L1679" s="12">
        <v>0.68402777777777779</v>
      </c>
      <c r="M1679" t="s">
        <v>63</v>
      </c>
      <c r="N1679" s="3">
        <v>232</v>
      </c>
      <c r="O1679" t="s">
        <v>24</v>
      </c>
      <c r="P1679" t="s">
        <v>56</v>
      </c>
      <c r="R1679">
        <f>tblDailySchedule[[#This Row],[Capacity Approx]]*'[1]Load Factor Sheet June Acft  '!$B$5</f>
        <v>187.86727272727273</v>
      </c>
      <c r="S1679">
        <f>tblDailySchedule[[#This Row],[Capacity Approx]]*'[1]Load Factor Sheet June Acft  '!$D$5</f>
        <v>203.4218181818182</v>
      </c>
      <c r="T1679" s="22">
        <f>tblDailySchedule[[#This Row],[STD]]</f>
        <v>0.68402777777777779</v>
      </c>
    </row>
    <row r="1680" spans="1:20" hidden="1" x14ac:dyDescent="0.35">
      <c r="A1680" s="11">
        <v>46170</v>
      </c>
      <c r="B1680" s="3">
        <v>4</v>
      </c>
      <c r="C1680" t="s">
        <v>114</v>
      </c>
      <c r="D1680" t="s">
        <v>18</v>
      </c>
      <c r="E1680" s="3">
        <v>17</v>
      </c>
      <c r="F1680" t="s">
        <v>19</v>
      </c>
      <c r="G1680" t="s">
        <v>69</v>
      </c>
      <c r="H1680" t="s">
        <v>31</v>
      </c>
      <c r="I1680" s="12">
        <v>0.66319444444444442</v>
      </c>
      <c r="J1680" t="s">
        <v>70</v>
      </c>
      <c r="K1680" t="s">
        <v>31</v>
      </c>
      <c r="L1680" s="12">
        <v>0.69097222222222221</v>
      </c>
      <c r="M1680" t="s">
        <v>33</v>
      </c>
      <c r="N1680" s="3">
        <v>189</v>
      </c>
      <c r="O1680" t="s">
        <v>24</v>
      </c>
      <c r="P1680" t="s">
        <v>56</v>
      </c>
      <c r="R1680">
        <f>tblDailySchedule[[#This Row],[Capacity Approx]]*'[1]Load Factor Sheet June Acft  '!$B$5</f>
        <v>153.04704545454547</v>
      </c>
      <c r="S1680">
        <f>tblDailySchedule[[#This Row],[Capacity Approx]]*'[1]Load Factor Sheet June Acft  '!$D$5</f>
        <v>165.71863636363636</v>
      </c>
      <c r="T1680" s="22">
        <f>tblDailySchedule[[#This Row],[STD]]</f>
        <v>0.69097222222222221</v>
      </c>
    </row>
    <row r="1681" spans="1:20" hidden="1" x14ac:dyDescent="0.35">
      <c r="A1681" s="11">
        <v>46170</v>
      </c>
      <c r="B1681" s="3">
        <v>4</v>
      </c>
      <c r="C1681" t="s">
        <v>114</v>
      </c>
      <c r="D1681" t="s">
        <v>18</v>
      </c>
      <c r="E1681" s="3">
        <v>18</v>
      </c>
      <c r="F1681" t="s">
        <v>19</v>
      </c>
      <c r="G1681" t="s">
        <v>71</v>
      </c>
      <c r="H1681" t="s">
        <v>21</v>
      </c>
      <c r="I1681" s="12">
        <v>0.67013888888888884</v>
      </c>
      <c r="J1681" t="s">
        <v>72</v>
      </c>
      <c r="K1681" t="s">
        <v>21</v>
      </c>
      <c r="L1681" s="12">
        <v>0.69791666666666663</v>
      </c>
      <c r="M1681" t="s">
        <v>63</v>
      </c>
      <c r="N1681" s="3">
        <v>232</v>
      </c>
      <c r="O1681" t="s">
        <v>24</v>
      </c>
      <c r="P1681" t="s">
        <v>56</v>
      </c>
      <c r="R1681">
        <f>tblDailySchedule[[#This Row],[Capacity Approx]]*'[1]Load Factor Sheet June Acft  '!$B$5</f>
        <v>187.86727272727273</v>
      </c>
      <c r="S1681">
        <f>tblDailySchedule[[#This Row],[Capacity Approx]]*'[1]Load Factor Sheet June Acft  '!$D$5</f>
        <v>203.4218181818182</v>
      </c>
      <c r="T1681" s="22">
        <f>tblDailySchedule[[#This Row],[STD]]</f>
        <v>0.69791666666666663</v>
      </c>
    </row>
    <row r="1682" spans="1:20" hidden="1" x14ac:dyDescent="0.35">
      <c r="A1682" s="11">
        <v>46170</v>
      </c>
      <c r="B1682" s="3">
        <v>4</v>
      </c>
      <c r="C1682" t="s">
        <v>114</v>
      </c>
      <c r="D1682" t="s">
        <v>18</v>
      </c>
      <c r="E1682" s="3">
        <v>19</v>
      </c>
      <c r="F1682" t="s">
        <v>19</v>
      </c>
      <c r="G1682" t="s">
        <v>73</v>
      </c>
      <c r="H1682" t="s">
        <v>27</v>
      </c>
      <c r="I1682" s="12">
        <v>0.74652777777777779</v>
      </c>
      <c r="J1682" t="s">
        <v>74</v>
      </c>
      <c r="K1682" t="s">
        <v>27</v>
      </c>
      <c r="L1682" s="12">
        <v>0.77430555555555558</v>
      </c>
      <c r="M1682" t="s">
        <v>63</v>
      </c>
      <c r="N1682" s="3">
        <v>232</v>
      </c>
      <c r="O1682" t="s">
        <v>24</v>
      </c>
      <c r="P1682" t="s">
        <v>56</v>
      </c>
      <c r="R1682">
        <f>tblDailySchedule[[#This Row],[Capacity Approx]]*'[1]Load Factor Sheet June Acft  '!$B$5</f>
        <v>187.86727272727273</v>
      </c>
      <c r="S1682">
        <f>tblDailySchedule[[#This Row],[Capacity Approx]]*'[1]Load Factor Sheet June Acft  '!$D$5</f>
        <v>203.4218181818182</v>
      </c>
      <c r="T1682" s="22">
        <f>tblDailySchedule[[#This Row],[STD]]</f>
        <v>0.77430555555555558</v>
      </c>
    </row>
    <row r="1683" spans="1:20" hidden="1" x14ac:dyDescent="0.35">
      <c r="A1683" s="11">
        <v>46170</v>
      </c>
      <c r="B1683" s="3">
        <v>4</v>
      </c>
      <c r="C1683" t="s">
        <v>114</v>
      </c>
      <c r="D1683" t="s">
        <v>18</v>
      </c>
      <c r="E1683" s="3">
        <v>21</v>
      </c>
      <c r="F1683" t="s">
        <v>19</v>
      </c>
      <c r="G1683" t="s">
        <v>81</v>
      </c>
      <c r="H1683" t="s">
        <v>61</v>
      </c>
      <c r="I1683" s="12">
        <v>0.77083333333333337</v>
      </c>
      <c r="J1683" t="s">
        <v>82</v>
      </c>
      <c r="K1683" t="s">
        <v>49</v>
      </c>
      <c r="L1683" s="12">
        <v>0.79166666666666663</v>
      </c>
      <c r="M1683" t="s">
        <v>33</v>
      </c>
      <c r="N1683" s="3">
        <v>189</v>
      </c>
      <c r="O1683" t="s">
        <v>24</v>
      </c>
      <c r="P1683" t="s">
        <v>79</v>
      </c>
      <c r="R1683">
        <f>tblDailySchedule[[#This Row],[Capacity Approx]]*'[1]Load Factor Sheet June Acft  '!$B$5</f>
        <v>153.04704545454547</v>
      </c>
      <c r="S1683">
        <f>tblDailySchedule[[#This Row],[Capacity Approx]]*'[1]Load Factor Sheet June Acft  '!$D$5</f>
        <v>165.71863636363636</v>
      </c>
      <c r="T1683" s="22">
        <f>tblDailySchedule[[#This Row],[STD]]</f>
        <v>0.79166666666666663</v>
      </c>
    </row>
    <row r="1684" spans="1:20" hidden="1" x14ac:dyDescent="0.35">
      <c r="A1684" s="11">
        <v>46170</v>
      </c>
      <c r="B1684" s="3">
        <v>4</v>
      </c>
      <c r="C1684" t="s">
        <v>114</v>
      </c>
      <c r="D1684" t="s">
        <v>18</v>
      </c>
      <c r="E1684" s="3">
        <v>22</v>
      </c>
      <c r="F1684" t="s">
        <v>19</v>
      </c>
      <c r="G1684" t="s">
        <v>83</v>
      </c>
      <c r="H1684" t="s">
        <v>31</v>
      </c>
      <c r="I1684" s="12">
        <v>0.77777777777777779</v>
      </c>
      <c r="J1684" t="s">
        <v>84</v>
      </c>
      <c r="K1684" t="s">
        <v>31</v>
      </c>
      <c r="L1684" s="12">
        <v>0.80555555555555558</v>
      </c>
      <c r="M1684" t="s">
        <v>63</v>
      </c>
      <c r="N1684" s="3">
        <v>232</v>
      </c>
      <c r="O1684" t="s">
        <v>24</v>
      </c>
      <c r="P1684" t="s">
        <v>79</v>
      </c>
      <c r="R1684">
        <f>tblDailySchedule[[#This Row],[Capacity Approx]]*'[1]Load Factor Sheet June Acft  '!$B$5</f>
        <v>187.86727272727273</v>
      </c>
      <c r="S1684">
        <f>tblDailySchedule[[#This Row],[Capacity Approx]]*'[1]Load Factor Sheet June Acft  '!$D$5</f>
        <v>203.4218181818182</v>
      </c>
      <c r="T1684" s="22">
        <f>tblDailySchedule[[#This Row],[STD]]</f>
        <v>0.80555555555555558</v>
      </c>
    </row>
    <row r="1685" spans="1:20" hidden="1" x14ac:dyDescent="0.35">
      <c r="A1685" s="11">
        <v>46170</v>
      </c>
      <c r="B1685" s="3">
        <v>4</v>
      </c>
      <c r="C1685" t="s">
        <v>114</v>
      </c>
      <c r="D1685" t="s">
        <v>18</v>
      </c>
      <c r="E1685" s="3">
        <v>23</v>
      </c>
      <c r="F1685" t="s">
        <v>19</v>
      </c>
      <c r="G1685" t="s">
        <v>85</v>
      </c>
      <c r="H1685" t="s">
        <v>86</v>
      </c>
      <c r="I1685" s="12">
        <v>0.79861111111111116</v>
      </c>
      <c r="J1685" t="s">
        <v>87</v>
      </c>
      <c r="K1685" t="s">
        <v>86</v>
      </c>
      <c r="L1685" s="12">
        <v>0.82638888888888884</v>
      </c>
      <c r="M1685" t="s">
        <v>63</v>
      </c>
      <c r="N1685" s="3">
        <v>232</v>
      </c>
      <c r="O1685" t="s">
        <v>24</v>
      </c>
      <c r="P1685" t="s">
        <v>79</v>
      </c>
      <c r="R1685">
        <f>tblDailySchedule[[#This Row],[Capacity Approx]]*'[1]Load Factor Sheet June Acft  '!$B$5</f>
        <v>187.86727272727273</v>
      </c>
      <c r="S1685">
        <f>tblDailySchedule[[#This Row],[Capacity Approx]]*'[1]Load Factor Sheet June Acft  '!$D$5</f>
        <v>203.4218181818182</v>
      </c>
      <c r="T1685" s="22">
        <f>tblDailySchedule[[#This Row],[STD]]</f>
        <v>0.82638888888888884</v>
      </c>
    </row>
    <row r="1686" spans="1:20" hidden="1" x14ac:dyDescent="0.35">
      <c r="A1686" s="11">
        <v>46170</v>
      </c>
      <c r="B1686" s="3">
        <v>4</v>
      </c>
      <c r="C1686" t="s">
        <v>114</v>
      </c>
      <c r="D1686" t="s">
        <v>18</v>
      </c>
      <c r="E1686" s="3">
        <v>24</v>
      </c>
      <c r="F1686" t="s">
        <v>19</v>
      </c>
      <c r="G1686" t="s">
        <v>88</v>
      </c>
      <c r="H1686" t="s">
        <v>89</v>
      </c>
      <c r="I1686" s="12">
        <v>0.83333333333333337</v>
      </c>
      <c r="J1686" t="s">
        <v>90</v>
      </c>
      <c r="K1686" t="s">
        <v>31</v>
      </c>
      <c r="L1686" s="12">
        <v>0.86111111111111116</v>
      </c>
      <c r="M1686" t="s">
        <v>63</v>
      </c>
      <c r="N1686" s="3">
        <v>232</v>
      </c>
      <c r="O1686" t="s">
        <v>24</v>
      </c>
      <c r="P1686" t="s">
        <v>79</v>
      </c>
      <c r="R1686">
        <f>tblDailySchedule[[#This Row],[Capacity Approx]]*'[1]Load Factor Sheet June Acft  '!$B$5</f>
        <v>187.86727272727273</v>
      </c>
      <c r="S1686">
        <f>tblDailySchedule[[#This Row],[Capacity Approx]]*'[1]Load Factor Sheet June Acft  '!$D$5</f>
        <v>203.4218181818182</v>
      </c>
      <c r="T1686" s="22">
        <f>tblDailySchedule[[#This Row],[STD]]</f>
        <v>0.86111111111111116</v>
      </c>
    </row>
    <row r="1687" spans="1:20" hidden="1" x14ac:dyDescent="0.35">
      <c r="A1687" s="11">
        <v>46170</v>
      </c>
      <c r="B1687" s="3">
        <v>4</v>
      </c>
      <c r="C1687" t="s">
        <v>114</v>
      </c>
      <c r="D1687" t="s">
        <v>18</v>
      </c>
      <c r="E1687" s="3">
        <v>25</v>
      </c>
      <c r="F1687" t="s">
        <v>19</v>
      </c>
      <c r="G1687" t="s">
        <v>91</v>
      </c>
      <c r="H1687" t="s">
        <v>61</v>
      </c>
      <c r="I1687" s="12">
        <v>0.85416666666666663</v>
      </c>
      <c r="J1687" t="s">
        <v>92</v>
      </c>
      <c r="K1687" t="s">
        <v>61</v>
      </c>
      <c r="L1687" s="12">
        <v>0.88194444444444442</v>
      </c>
      <c r="M1687" t="s">
        <v>63</v>
      </c>
      <c r="N1687" s="3">
        <v>232</v>
      </c>
      <c r="O1687" t="s">
        <v>24</v>
      </c>
      <c r="P1687" t="s">
        <v>79</v>
      </c>
      <c r="R1687">
        <f>tblDailySchedule[[#This Row],[Capacity Approx]]*'[1]Load Factor Sheet June Acft  '!$B$5</f>
        <v>187.86727272727273</v>
      </c>
      <c r="S1687">
        <f>tblDailySchedule[[#This Row],[Capacity Approx]]*'[1]Load Factor Sheet June Acft  '!$D$5</f>
        <v>203.4218181818182</v>
      </c>
      <c r="T1687" s="22">
        <f>tblDailySchedule[[#This Row],[STD]]</f>
        <v>0.88194444444444442</v>
      </c>
    </row>
    <row r="1688" spans="1:20" hidden="1" x14ac:dyDescent="0.35">
      <c r="A1688" s="11">
        <v>46170</v>
      </c>
      <c r="B1688" s="3">
        <v>4</v>
      </c>
      <c r="C1688" t="s">
        <v>114</v>
      </c>
      <c r="D1688" t="s">
        <v>18</v>
      </c>
      <c r="E1688" s="3">
        <v>26</v>
      </c>
      <c r="F1688" t="s">
        <v>19</v>
      </c>
      <c r="G1688" t="s">
        <v>93</v>
      </c>
      <c r="H1688" t="s">
        <v>31</v>
      </c>
      <c r="I1688" s="12">
        <v>0.86111111111111116</v>
      </c>
      <c r="J1688" t="s">
        <v>94</v>
      </c>
      <c r="K1688" t="s">
        <v>31</v>
      </c>
      <c r="L1688" s="12">
        <v>0.88888888888888884</v>
      </c>
      <c r="M1688" t="s">
        <v>23</v>
      </c>
      <c r="N1688" s="3">
        <v>186</v>
      </c>
      <c r="O1688" t="s">
        <v>24</v>
      </c>
      <c r="P1688" t="s">
        <v>79</v>
      </c>
      <c r="R1688">
        <f>tblDailySchedule[[#This Row],[Capacity Approx]]*'[1]Load Factor Sheet June Acft  '!$B$5</f>
        <v>150.61772727272728</v>
      </c>
      <c r="S1688">
        <f>tblDailySchedule[[#This Row],[Capacity Approx]]*'[1]Load Factor Sheet June Acft  '!$D$5</f>
        <v>163.08818181818182</v>
      </c>
      <c r="T1688" s="22">
        <f>tblDailySchedule[[#This Row],[STD]]</f>
        <v>0.88888888888888884</v>
      </c>
    </row>
    <row r="1689" spans="1:20" hidden="1" x14ac:dyDescent="0.35">
      <c r="A1689" s="11">
        <v>46170</v>
      </c>
      <c r="B1689" s="3">
        <v>4</v>
      </c>
      <c r="C1689" t="s">
        <v>114</v>
      </c>
      <c r="D1689" t="s">
        <v>18</v>
      </c>
      <c r="E1689" s="3">
        <v>27</v>
      </c>
      <c r="F1689" t="s">
        <v>19</v>
      </c>
      <c r="G1689" t="s">
        <v>95</v>
      </c>
      <c r="H1689" t="s">
        <v>21</v>
      </c>
      <c r="I1689" s="12">
        <v>0.86805555555555558</v>
      </c>
      <c r="J1689" t="s">
        <v>96</v>
      </c>
      <c r="K1689" t="s">
        <v>21</v>
      </c>
      <c r="L1689" s="12">
        <v>0.89583333333333337</v>
      </c>
      <c r="M1689" t="s">
        <v>29</v>
      </c>
      <c r="N1689" s="3">
        <v>186</v>
      </c>
      <c r="O1689" t="s">
        <v>24</v>
      </c>
      <c r="P1689" t="s">
        <v>79</v>
      </c>
      <c r="R1689">
        <f>tblDailySchedule[[#This Row],[Capacity Approx]]*'[1]Load Factor Sheet June Acft  '!$B$5</f>
        <v>150.61772727272728</v>
      </c>
      <c r="S1689">
        <f>tblDailySchedule[[#This Row],[Capacity Approx]]*'[1]Load Factor Sheet June Acft  '!$D$5</f>
        <v>163.08818181818182</v>
      </c>
      <c r="T1689" s="22">
        <f>tblDailySchedule[[#This Row],[STD]]</f>
        <v>0.89583333333333337</v>
      </c>
    </row>
    <row r="1690" spans="1:20" hidden="1" x14ac:dyDescent="0.35">
      <c r="A1690" s="11">
        <v>46170</v>
      </c>
      <c r="B1690" s="3">
        <v>4</v>
      </c>
      <c r="C1690" t="s">
        <v>114</v>
      </c>
      <c r="D1690" t="s">
        <v>18</v>
      </c>
      <c r="E1690" s="3">
        <v>28</v>
      </c>
      <c r="F1690" t="s">
        <v>19</v>
      </c>
      <c r="G1690" t="s">
        <v>97</v>
      </c>
      <c r="H1690" t="s">
        <v>49</v>
      </c>
      <c r="I1690" s="12">
        <v>0.90277777777777779</v>
      </c>
      <c r="J1690" t="s">
        <v>97</v>
      </c>
      <c r="K1690" t="s">
        <v>61</v>
      </c>
      <c r="L1690" s="12">
        <v>0.92361111111111116</v>
      </c>
      <c r="M1690" t="s">
        <v>33</v>
      </c>
      <c r="N1690" s="3">
        <v>189</v>
      </c>
      <c r="O1690" t="s">
        <v>24</v>
      </c>
      <c r="P1690" t="s">
        <v>79</v>
      </c>
      <c r="R1690">
        <f>tblDailySchedule[[#This Row],[Capacity Approx]]*'[1]Load Factor Sheet June Acft  '!$B$5</f>
        <v>153.04704545454547</v>
      </c>
      <c r="S1690">
        <f>tblDailySchedule[[#This Row],[Capacity Approx]]*'[1]Load Factor Sheet June Acft  '!$D$5</f>
        <v>165.71863636363636</v>
      </c>
      <c r="T1690" s="22">
        <f>tblDailySchedule[[#This Row],[STD]]</f>
        <v>0.92361111111111116</v>
      </c>
    </row>
    <row r="1691" spans="1:20" hidden="1" x14ac:dyDescent="0.35">
      <c r="A1691" s="11">
        <v>46170</v>
      </c>
      <c r="B1691" s="3">
        <v>4</v>
      </c>
      <c r="C1691" t="s">
        <v>114</v>
      </c>
      <c r="D1691" t="s">
        <v>18</v>
      </c>
      <c r="E1691" s="3">
        <v>29</v>
      </c>
      <c r="F1691" t="s">
        <v>19</v>
      </c>
      <c r="G1691" t="s">
        <v>98</v>
      </c>
      <c r="H1691" t="s">
        <v>21</v>
      </c>
      <c r="I1691" s="12">
        <v>0.92013888888888884</v>
      </c>
      <c r="J1691" t="s">
        <v>99</v>
      </c>
      <c r="K1691" t="s">
        <v>21</v>
      </c>
      <c r="L1691" s="12">
        <v>0.94791666666666663</v>
      </c>
      <c r="M1691" t="s">
        <v>63</v>
      </c>
      <c r="N1691" s="3">
        <v>232</v>
      </c>
      <c r="O1691" t="s">
        <v>24</v>
      </c>
      <c r="P1691" t="s">
        <v>79</v>
      </c>
      <c r="R1691">
        <f>tblDailySchedule[[#This Row],[Capacity Approx]]*'[1]Load Factor Sheet June Acft  '!$B$5</f>
        <v>187.86727272727273</v>
      </c>
      <c r="S1691">
        <f>tblDailySchedule[[#This Row],[Capacity Approx]]*'[1]Load Factor Sheet June Acft  '!$D$5</f>
        <v>203.4218181818182</v>
      </c>
      <c r="T1691" s="22">
        <f>tblDailySchedule[[#This Row],[STD]]</f>
        <v>0.94791666666666663</v>
      </c>
    </row>
    <row r="1692" spans="1:20" hidden="1" x14ac:dyDescent="0.35">
      <c r="A1692" s="11">
        <v>46171</v>
      </c>
      <c r="B1692" s="3">
        <v>5</v>
      </c>
      <c r="C1692" t="s">
        <v>115</v>
      </c>
      <c r="D1692" t="s">
        <v>18</v>
      </c>
      <c r="E1692" s="3">
        <v>2</v>
      </c>
      <c r="F1692" t="s">
        <v>19</v>
      </c>
      <c r="G1692" t="s">
        <v>20</v>
      </c>
      <c r="H1692" t="s">
        <v>21</v>
      </c>
      <c r="I1692" s="12">
        <v>0.31944444444444442</v>
      </c>
      <c r="J1692" t="s">
        <v>22</v>
      </c>
      <c r="K1692" t="s">
        <v>21</v>
      </c>
      <c r="L1692" s="12">
        <v>0.34722222222222221</v>
      </c>
      <c r="M1692" t="s">
        <v>23</v>
      </c>
      <c r="N1692" s="3">
        <v>186</v>
      </c>
      <c r="O1692" t="s">
        <v>24</v>
      </c>
      <c r="P1692" t="s">
        <v>25</v>
      </c>
      <c r="R1692">
        <f>tblDailySchedule[[#This Row],[Capacity Approx]]*'[1]Load Factor Sheet June Acft  '!$B$5</f>
        <v>150.61772727272728</v>
      </c>
      <c r="S1692">
        <f>tblDailySchedule[[#This Row],[Capacity Approx]]*'[1]Load Factor Sheet June Acft  '!$D$5</f>
        <v>163.08818181818182</v>
      </c>
      <c r="T1692" s="22">
        <f>tblDailySchedule[[#This Row],[STD]]</f>
        <v>0.34722222222222221</v>
      </c>
    </row>
    <row r="1693" spans="1:20" hidden="1" x14ac:dyDescent="0.35">
      <c r="A1693" s="11">
        <v>46171</v>
      </c>
      <c r="B1693" s="3">
        <v>5</v>
      </c>
      <c r="C1693" t="s">
        <v>115</v>
      </c>
      <c r="D1693" t="s">
        <v>18</v>
      </c>
      <c r="E1693" s="3">
        <v>3</v>
      </c>
      <c r="F1693" t="s">
        <v>19</v>
      </c>
      <c r="G1693" t="s">
        <v>26</v>
      </c>
      <c r="H1693" t="s">
        <v>27</v>
      </c>
      <c r="I1693" s="12">
        <v>0.3263888888888889</v>
      </c>
      <c r="J1693" t="s">
        <v>28</v>
      </c>
      <c r="K1693" t="s">
        <v>27</v>
      </c>
      <c r="L1693" s="12">
        <v>0.35416666666666669</v>
      </c>
      <c r="M1693" t="s">
        <v>29</v>
      </c>
      <c r="N1693" s="3">
        <v>186</v>
      </c>
      <c r="O1693" t="s">
        <v>24</v>
      </c>
      <c r="P1693" t="s">
        <v>25</v>
      </c>
      <c r="R1693">
        <f>tblDailySchedule[[#This Row],[Capacity Approx]]*'[1]Load Factor Sheet June Acft  '!$B$5</f>
        <v>150.61772727272728</v>
      </c>
      <c r="S1693">
        <f>tblDailySchedule[[#This Row],[Capacity Approx]]*'[1]Load Factor Sheet June Acft  '!$D$5</f>
        <v>163.08818181818182</v>
      </c>
      <c r="T1693" s="22">
        <f>tblDailySchedule[[#This Row],[STD]]</f>
        <v>0.35416666666666669</v>
      </c>
    </row>
    <row r="1694" spans="1:20" hidden="1" x14ac:dyDescent="0.35">
      <c r="A1694" s="11">
        <v>46171</v>
      </c>
      <c r="B1694" s="3">
        <v>5</v>
      </c>
      <c r="C1694" t="s">
        <v>115</v>
      </c>
      <c r="D1694" t="s">
        <v>18</v>
      </c>
      <c r="E1694" s="3">
        <v>4</v>
      </c>
      <c r="F1694" t="s">
        <v>19</v>
      </c>
      <c r="G1694" t="s">
        <v>30</v>
      </c>
      <c r="H1694" t="s">
        <v>31</v>
      </c>
      <c r="I1694" s="12">
        <v>0.34722222222222221</v>
      </c>
      <c r="J1694" t="s">
        <v>32</v>
      </c>
      <c r="K1694" t="s">
        <v>31</v>
      </c>
      <c r="L1694" s="12">
        <v>0.36805555555555558</v>
      </c>
      <c r="M1694" t="s">
        <v>33</v>
      </c>
      <c r="N1694" s="3">
        <v>189</v>
      </c>
      <c r="O1694" t="s">
        <v>24</v>
      </c>
      <c r="P1694" t="s">
        <v>25</v>
      </c>
      <c r="R1694">
        <f>tblDailySchedule[[#This Row],[Capacity Approx]]*'[1]Load Factor Sheet June Acft  '!$B$5</f>
        <v>153.04704545454547</v>
      </c>
      <c r="S1694">
        <f>tblDailySchedule[[#This Row],[Capacity Approx]]*'[1]Load Factor Sheet June Acft  '!$D$5</f>
        <v>165.71863636363636</v>
      </c>
      <c r="T1694" s="22">
        <f>tblDailySchedule[[#This Row],[STD]]</f>
        <v>0.36805555555555558</v>
      </c>
    </row>
    <row r="1695" spans="1:20" hidden="1" x14ac:dyDescent="0.35">
      <c r="A1695" s="13">
        <v>46171</v>
      </c>
      <c r="B1695" s="7">
        <v>5</v>
      </c>
      <c r="C1695" s="14" t="s">
        <v>115</v>
      </c>
      <c r="D1695" s="14" t="s">
        <v>18</v>
      </c>
      <c r="E1695" s="7">
        <v>6</v>
      </c>
      <c r="F1695" s="14" t="s">
        <v>34</v>
      </c>
      <c r="G1695" s="14" t="s">
        <v>35</v>
      </c>
      <c r="H1695" s="14" t="s">
        <v>36</v>
      </c>
      <c r="I1695" s="15">
        <v>0.34722222222222221</v>
      </c>
      <c r="J1695" s="14" t="s">
        <v>37</v>
      </c>
      <c r="K1695" s="14" t="s">
        <v>36</v>
      </c>
      <c r="L1695" s="15">
        <v>0.40972222222222221</v>
      </c>
      <c r="M1695" s="14" t="s">
        <v>38</v>
      </c>
      <c r="N1695" s="7">
        <v>186</v>
      </c>
      <c r="O1695" s="14" t="s">
        <v>39</v>
      </c>
      <c r="P1695" s="14" t="s">
        <v>25</v>
      </c>
      <c r="Q1695" s="14" t="s">
        <v>39</v>
      </c>
      <c r="R1695">
        <f>tblDailySchedule[[#This Row],[Capacity Approx]]*'[1]Load Factor Sheet June Acft  '!$B$5</f>
        <v>150.61772727272728</v>
      </c>
      <c r="S1695">
        <f>tblDailySchedule[[#This Row],[Capacity Approx]]*'[1]Load Factor Sheet June Acft  '!$D$5</f>
        <v>163.08818181818182</v>
      </c>
      <c r="T1695" s="22">
        <f>tblDailySchedule[[#This Row],[STD]]</f>
        <v>0.40972222222222221</v>
      </c>
    </row>
    <row r="1696" spans="1:20" hidden="1" x14ac:dyDescent="0.35">
      <c r="A1696" s="11">
        <v>46171</v>
      </c>
      <c r="B1696" s="3">
        <v>5</v>
      </c>
      <c r="C1696" t="s">
        <v>115</v>
      </c>
      <c r="D1696" t="s">
        <v>18</v>
      </c>
      <c r="E1696" s="3">
        <v>5</v>
      </c>
      <c r="F1696" t="s">
        <v>19</v>
      </c>
      <c r="G1696" t="s">
        <v>40</v>
      </c>
      <c r="H1696" t="s">
        <v>31</v>
      </c>
      <c r="I1696" s="12">
        <v>0.35069444444444442</v>
      </c>
      <c r="J1696" t="s">
        <v>41</v>
      </c>
      <c r="K1696" t="s">
        <v>31</v>
      </c>
      <c r="L1696" s="12">
        <v>0.37152777777777779</v>
      </c>
      <c r="M1696" t="s">
        <v>23</v>
      </c>
      <c r="N1696" s="3">
        <v>186</v>
      </c>
      <c r="O1696" t="s">
        <v>24</v>
      </c>
      <c r="P1696" t="s">
        <v>25</v>
      </c>
      <c r="R1696">
        <f>tblDailySchedule[[#This Row],[Capacity Approx]]*'[1]Load Factor Sheet June Acft  '!$B$5</f>
        <v>150.61772727272728</v>
      </c>
      <c r="S1696">
        <f>tblDailySchedule[[#This Row],[Capacity Approx]]*'[1]Load Factor Sheet June Acft  '!$D$5</f>
        <v>163.08818181818182</v>
      </c>
      <c r="T1696" s="22">
        <f>tblDailySchedule[[#This Row],[STD]]</f>
        <v>0.37152777777777779</v>
      </c>
    </row>
    <row r="1697" spans="1:20" hidden="1" x14ac:dyDescent="0.35">
      <c r="A1697" s="11">
        <v>46171</v>
      </c>
      <c r="B1697" s="3">
        <v>5</v>
      </c>
      <c r="C1697" t="s">
        <v>115</v>
      </c>
      <c r="D1697" t="s">
        <v>18</v>
      </c>
      <c r="E1697" s="3">
        <v>7</v>
      </c>
      <c r="F1697" t="s">
        <v>19</v>
      </c>
      <c r="G1697" t="s">
        <v>42</v>
      </c>
      <c r="H1697" t="s">
        <v>43</v>
      </c>
      <c r="I1697" s="12">
        <v>0.3923611111111111</v>
      </c>
      <c r="J1697" t="s">
        <v>44</v>
      </c>
      <c r="K1697" t="s">
        <v>43</v>
      </c>
      <c r="L1697" s="12">
        <v>0.40277777777777779</v>
      </c>
      <c r="M1697" t="s">
        <v>45</v>
      </c>
      <c r="N1697" s="3">
        <v>9</v>
      </c>
      <c r="O1697" t="s">
        <v>24</v>
      </c>
      <c r="P1697" t="s">
        <v>25</v>
      </c>
      <c r="R1697">
        <f>tblDailySchedule[[#This Row],[Capacity Approx]]*'[1]Load Factor Sheet June Acft  '!$B$5</f>
        <v>7.2879545454545456</v>
      </c>
      <c r="S1697">
        <f>tblDailySchedule[[#This Row],[Capacity Approx]]*'[1]Load Factor Sheet June Acft  '!$D$5</f>
        <v>7.8913636363636366</v>
      </c>
      <c r="T1697" s="22">
        <f>tblDailySchedule[[#This Row],[STD]]</f>
        <v>0.40277777777777779</v>
      </c>
    </row>
    <row r="1698" spans="1:20" hidden="1" x14ac:dyDescent="0.35">
      <c r="A1698" s="11">
        <v>46171</v>
      </c>
      <c r="B1698" s="3">
        <v>5</v>
      </c>
      <c r="C1698" t="s">
        <v>115</v>
      </c>
      <c r="D1698" t="s">
        <v>18</v>
      </c>
      <c r="E1698" s="3">
        <v>8</v>
      </c>
      <c r="F1698" t="s">
        <v>19</v>
      </c>
      <c r="G1698" t="s">
        <v>46</v>
      </c>
      <c r="H1698" t="s">
        <v>31</v>
      </c>
      <c r="I1698" s="12">
        <v>0.4201388888888889</v>
      </c>
      <c r="J1698" t="s">
        <v>47</v>
      </c>
      <c r="K1698" t="s">
        <v>31</v>
      </c>
      <c r="L1698" s="12">
        <v>0.44444444444444442</v>
      </c>
      <c r="M1698" t="s">
        <v>29</v>
      </c>
      <c r="N1698" s="3">
        <v>186</v>
      </c>
      <c r="O1698" t="s">
        <v>24</v>
      </c>
      <c r="P1698" t="s">
        <v>25</v>
      </c>
      <c r="R1698">
        <f>tblDailySchedule[[#This Row],[Capacity Approx]]*'[1]Load Factor Sheet June Acft  '!$B$5</f>
        <v>150.61772727272728</v>
      </c>
      <c r="S1698">
        <f>tblDailySchedule[[#This Row],[Capacity Approx]]*'[1]Load Factor Sheet June Acft  '!$D$5</f>
        <v>163.08818181818182</v>
      </c>
      <c r="T1698" s="22">
        <f>tblDailySchedule[[#This Row],[STD]]</f>
        <v>0.44444444444444442</v>
      </c>
    </row>
    <row r="1699" spans="1:20" hidden="1" x14ac:dyDescent="0.35">
      <c r="A1699" s="11">
        <v>46171</v>
      </c>
      <c r="B1699" s="3">
        <v>5</v>
      </c>
      <c r="C1699" t="s">
        <v>115</v>
      </c>
      <c r="D1699" t="s">
        <v>18</v>
      </c>
      <c r="E1699" s="3">
        <v>9</v>
      </c>
      <c r="F1699" t="s">
        <v>19</v>
      </c>
      <c r="G1699" t="s">
        <v>48</v>
      </c>
      <c r="H1699" t="s">
        <v>49</v>
      </c>
      <c r="I1699" s="12">
        <v>0.4375</v>
      </c>
      <c r="J1699" t="s">
        <v>50</v>
      </c>
      <c r="K1699" t="s">
        <v>49</v>
      </c>
      <c r="L1699" s="12">
        <v>0.45833333333333331</v>
      </c>
      <c r="M1699" t="s">
        <v>51</v>
      </c>
      <c r="N1699" s="3">
        <v>78</v>
      </c>
      <c r="O1699" t="s">
        <v>24</v>
      </c>
      <c r="P1699" t="s">
        <v>25</v>
      </c>
      <c r="R1699">
        <f>tblDailySchedule[[#This Row],[Capacity Approx]]*'[1]Load Factor Sheet June Acft  '!$B$5</f>
        <v>63.162272727272729</v>
      </c>
      <c r="S1699">
        <f>tblDailySchedule[[#This Row],[Capacity Approx]]*'[1]Load Factor Sheet June Acft  '!$D$5</f>
        <v>68.391818181818181</v>
      </c>
      <c r="T1699" s="22">
        <f>tblDailySchedule[[#This Row],[STD]]</f>
        <v>0.45833333333333331</v>
      </c>
    </row>
    <row r="1700" spans="1:20" hidden="1" x14ac:dyDescent="0.35">
      <c r="A1700" s="11">
        <v>46171</v>
      </c>
      <c r="B1700" s="3">
        <v>5</v>
      </c>
      <c r="C1700" t="s">
        <v>115</v>
      </c>
      <c r="D1700" t="s">
        <v>18</v>
      </c>
      <c r="E1700" s="3">
        <v>10</v>
      </c>
      <c r="F1700" t="s">
        <v>19</v>
      </c>
      <c r="G1700" t="s">
        <v>52</v>
      </c>
      <c r="H1700" t="s">
        <v>27</v>
      </c>
      <c r="I1700" s="12">
        <v>0.4826388888888889</v>
      </c>
      <c r="J1700" t="s">
        <v>53</v>
      </c>
      <c r="K1700" t="s">
        <v>27</v>
      </c>
      <c r="L1700" s="12">
        <v>0.51041666666666663</v>
      </c>
      <c r="M1700" t="s">
        <v>23</v>
      </c>
      <c r="N1700" s="3">
        <v>186</v>
      </c>
      <c r="O1700" t="s">
        <v>24</v>
      </c>
      <c r="P1700" t="s">
        <v>25</v>
      </c>
      <c r="R1700">
        <f>tblDailySchedule[[#This Row],[Capacity Approx]]*'[1]Load Factor Sheet June Acft  '!$B$5</f>
        <v>150.61772727272728</v>
      </c>
      <c r="S1700">
        <f>tblDailySchedule[[#This Row],[Capacity Approx]]*'[1]Load Factor Sheet June Acft  '!$D$5</f>
        <v>163.08818181818182</v>
      </c>
      <c r="T1700" s="22">
        <f>tblDailySchedule[[#This Row],[STD]]</f>
        <v>0.51041666666666663</v>
      </c>
    </row>
    <row r="1701" spans="1:20" hidden="1" x14ac:dyDescent="0.35">
      <c r="A1701" s="11">
        <v>46171</v>
      </c>
      <c r="B1701" s="3">
        <v>5</v>
      </c>
      <c r="C1701" t="s">
        <v>115</v>
      </c>
      <c r="D1701" t="s">
        <v>18</v>
      </c>
      <c r="E1701" s="3">
        <v>11</v>
      </c>
      <c r="F1701" t="s">
        <v>19</v>
      </c>
      <c r="G1701" t="s">
        <v>54</v>
      </c>
      <c r="H1701" t="s">
        <v>31</v>
      </c>
      <c r="I1701" s="12">
        <v>0.51388888888888884</v>
      </c>
      <c r="J1701" t="s">
        <v>55</v>
      </c>
      <c r="K1701" t="s">
        <v>31</v>
      </c>
      <c r="L1701" s="12">
        <v>0.54166666666666663</v>
      </c>
      <c r="M1701" t="s">
        <v>23</v>
      </c>
      <c r="N1701" s="3">
        <v>186</v>
      </c>
      <c r="O1701" t="s">
        <v>24</v>
      </c>
      <c r="P1701" t="s">
        <v>56</v>
      </c>
      <c r="R1701">
        <f>tblDailySchedule[[#This Row],[Capacity Approx]]*'[1]Load Factor Sheet June Acft  '!$B$5</f>
        <v>150.61772727272728</v>
      </c>
      <c r="S1701">
        <f>tblDailySchedule[[#This Row],[Capacity Approx]]*'[1]Load Factor Sheet June Acft  '!$D$5</f>
        <v>163.08818181818182</v>
      </c>
      <c r="T1701" s="22">
        <f>tblDailySchedule[[#This Row],[STD]]</f>
        <v>0.54166666666666663</v>
      </c>
    </row>
    <row r="1702" spans="1:20" hidden="1" x14ac:dyDescent="0.35">
      <c r="A1702" s="11">
        <v>46171</v>
      </c>
      <c r="B1702" s="3">
        <v>5</v>
      </c>
      <c r="C1702" t="s">
        <v>115</v>
      </c>
      <c r="D1702" t="s">
        <v>18</v>
      </c>
      <c r="E1702" s="3">
        <v>13</v>
      </c>
      <c r="F1702" t="s">
        <v>19</v>
      </c>
      <c r="G1702" t="s">
        <v>57</v>
      </c>
      <c r="H1702" t="s">
        <v>58</v>
      </c>
      <c r="I1702" s="12">
        <v>0.55902777777777779</v>
      </c>
      <c r="J1702" t="s">
        <v>59</v>
      </c>
      <c r="K1702" t="s">
        <v>58</v>
      </c>
      <c r="L1702" s="12">
        <v>0.57638888888888884</v>
      </c>
      <c r="M1702" t="s">
        <v>51</v>
      </c>
      <c r="N1702" s="3">
        <v>78</v>
      </c>
      <c r="O1702" t="s">
        <v>24</v>
      </c>
      <c r="P1702" t="s">
        <v>56</v>
      </c>
      <c r="R1702">
        <f>tblDailySchedule[[#This Row],[Capacity Approx]]*'[1]Load Factor Sheet June Acft  '!$B$5</f>
        <v>63.162272727272729</v>
      </c>
      <c r="S1702">
        <f>tblDailySchedule[[#This Row],[Capacity Approx]]*'[1]Load Factor Sheet June Acft  '!$D$5</f>
        <v>68.391818181818181</v>
      </c>
      <c r="T1702" s="22">
        <f>tblDailySchedule[[#This Row],[STD]]</f>
        <v>0.57638888888888884</v>
      </c>
    </row>
    <row r="1703" spans="1:20" hidden="1" x14ac:dyDescent="0.35">
      <c r="A1703" s="11">
        <v>46171</v>
      </c>
      <c r="B1703" s="3">
        <v>5</v>
      </c>
      <c r="C1703" t="s">
        <v>115</v>
      </c>
      <c r="D1703" t="s">
        <v>18</v>
      </c>
      <c r="E1703" s="3">
        <v>14</v>
      </c>
      <c r="F1703" t="s">
        <v>19</v>
      </c>
      <c r="G1703" t="s">
        <v>60</v>
      </c>
      <c r="H1703" t="s">
        <v>61</v>
      </c>
      <c r="I1703" s="12">
        <v>0.59027777777777779</v>
      </c>
      <c r="J1703" t="s">
        <v>62</v>
      </c>
      <c r="K1703" t="s">
        <v>61</v>
      </c>
      <c r="L1703" s="12">
        <v>0.62152777777777779</v>
      </c>
      <c r="M1703" t="s">
        <v>63</v>
      </c>
      <c r="N1703" s="3">
        <v>232</v>
      </c>
      <c r="O1703" t="s">
        <v>24</v>
      </c>
      <c r="P1703" t="s">
        <v>56</v>
      </c>
      <c r="R1703">
        <f>tblDailySchedule[[#This Row],[Capacity Approx]]*'[1]Load Factor Sheet June Acft  '!$B$5</f>
        <v>187.86727272727273</v>
      </c>
      <c r="S1703">
        <f>tblDailySchedule[[#This Row],[Capacity Approx]]*'[1]Load Factor Sheet June Acft  '!$D$5</f>
        <v>203.4218181818182</v>
      </c>
      <c r="T1703" s="22">
        <f>tblDailySchedule[[#This Row],[STD]]</f>
        <v>0.62152777777777779</v>
      </c>
    </row>
    <row r="1704" spans="1:20" hidden="1" x14ac:dyDescent="0.35">
      <c r="A1704" s="11">
        <v>46171</v>
      </c>
      <c r="B1704" s="3">
        <v>5</v>
      </c>
      <c r="C1704" t="s">
        <v>115</v>
      </c>
      <c r="D1704" t="s">
        <v>18</v>
      </c>
      <c r="E1704" s="3">
        <v>15</v>
      </c>
      <c r="F1704" t="s">
        <v>19</v>
      </c>
      <c r="G1704" t="s">
        <v>64</v>
      </c>
      <c r="H1704" t="s">
        <v>31</v>
      </c>
      <c r="I1704" s="12">
        <v>0.60069444444444442</v>
      </c>
      <c r="J1704" t="s">
        <v>65</v>
      </c>
      <c r="K1704" t="s">
        <v>66</v>
      </c>
      <c r="L1704" s="12">
        <v>0.62847222222222221</v>
      </c>
      <c r="M1704" t="s">
        <v>63</v>
      </c>
      <c r="N1704" s="3">
        <v>232</v>
      </c>
      <c r="O1704" t="s">
        <v>24</v>
      </c>
      <c r="P1704" t="s">
        <v>56</v>
      </c>
      <c r="R1704">
        <f>tblDailySchedule[[#This Row],[Capacity Approx]]*'[1]Load Factor Sheet June Acft  '!$B$5</f>
        <v>187.86727272727273</v>
      </c>
      <c r="S1704">
        <f>tblDailySchedule[[#This Row],[Capacity Approx]]*'[1]Load Factor Sheet June Acft  '!$D$5</f>
        <v>203.4218181818182</v>
      </c>
      <c r="T1704" s="22">
        <f>tblDailySchedule[[#This Row],[STD]]</f>
        <v>0.62847222222222221</v>
      </c>
    </row>
    <row r="1705" spans="1:20" hidden="1" x14ac:dyDescent="0.35">
      <c r="A1705" s="11">
        <v>46171</v>
      </c>
      <c r="B1705" s="3">
        <v>5</v>
      </c>
      <c r="C1705" t="s">
        <v>115</v>
      </c>
      <c r="D1705" t="s">
        <v>18</v>
      </c>
      <c r="E1705" s="3">
        <v>16</v>
      </c>
      <c r="F1705" t="s">
        <v>19</v>
      </c>
      <c r="G1705" t="s">
        <v>67</v>
      </c>
      <c r="H1705" t="s">
        <v>31</v>
      </c>
      <c r="I1705" s="12">
        <v>0.65625</v>
      </c>
      <c r="J1705" t="s">
        <v>68</v>
      </c>
      <c r="K1705" t="s">
        <v>31</v>
      </c>
      <c r="L1705" s="12">
        <v>0.68402777777777779</v>
      </c>
      <c r="M1705" t="s">
        <v>63</v>
      </c>
      <c r="N1705" s="3">
        <v>232</v>
      </c>
      <c r="O1705" t="s">
        <v>24</v>
      </c>
      <c r="P1705" t="s">
        <v>56</v>
      </c>
      <c r="R1705">
        <f>tblDailySchedule[[#This Row],[Capacity Approx]]*'[1]Load Factor Sheet June Acft  '!$B$5</f>
        <v>187.86727272727273</v>
      </c>
      <c r="S1705">
        <f>tblDailySchedule[[#This Row],[Capacity Approx]]*'[1]Load Factor Sheet June Acft  '!$D$5</f>
        <v>203.4218181818182</v>
      </c>
      <c r="T1705" s="22">
        <f>tblDailySchedule[[#This Row],[STD]]</f>
        <v>0.68402777777777779</v>
      </c>
    </row>
    <row r="1706" spans="1:20" hidden="1" x14ac:dyDescent="0.35">
      <c r="A1706" s="11">
        <v>46171</v>
      </c>
      <c r="B1706" s="3">
        <v>5</v>
      </c>
      <c r="C1706" t="s">
        <v>115</v>
      </c>
      <c r="D1706" t="s">
        <v>18</v>
      </c>
      <c r="E1706" s="3">
        <v>17</v>
      </c>
      <c r="F1706" t="s">
        <v>19</v>
      </c>
      <c r="G1706" t="s">
        <v>69</v>
      </c>
      <c r="H1706" t="s">
        <v>31</v>
      </c>
      <c r="I1706" s="12">
        <v>0.66319444444444442</v>
      </c>
      <c r="J1706" t="s">
        <v>70</v>
      </c>
      <c r="K1706" t="s">
        <v>31</v>
      </c>
      <c r="L1706" s="12">
        <v>0.69097222222222221</v>
      </c>
      <c r="M1706" t="s">
        <v>33</v>
      </c>
      <c r="N1706" s="3">
        <v>189</v>
      </c>
      <c r="O1706" t="s">
        <v>24</v>
      </c>
      <c r="P1706" t="s">
        <v>56</v>
      </c>
      <c r="R1706">
        <f>tblDailySchedule[[#This Row],[Capacity Approx]]*'[1]Load Factor Sheet June Acft  '!$B$5</f>
        <v>153.04704545454547</v>
      </c>
      <c r="S1706">
        <f>tblDailySchedule[[#This Row],[Capacity Approx]]*'[1]Load Factor Sheet June Acft  '!$D$5</f>
        <v>165.71863636363636</v>
      </c>
      <c r="T1706" s="22">
        <f>tblDailySchedule[[#This Row],[STD]]</f>
        <v>0.69097222222222221</v>
      </c>
    </row>
    <row r="1707" spans="1:20" hidden="1" x14ac:dyDescent="0.35">
      <c r="A1707" s="11">
        <v>46171</v>
      </c>
      <c r="B1707" s="3">
        <v>5</v>
      </c>
      <c r="C1707" t="s">
        <v>115</v>
      </c>
      <c r="D1707" t="s">
        <v>18</v>
      </c>
      <c r="E1707" s="3">
        <v>18</v>
      </c>
      <c r="F1707" t="s">
        <v>19</v>
      </c>
      <c r="G1707" t="s">
        <v>71</v>
      </c>
      <c r="H1707" t="s">
        <v>21</v>
      </c>
      <c r="I1707" s="12">
        <v>0.67013888888888884</v>
      </c>
      <c r="J1707" t="s">
        <v>72</v>
      </c>
      <c r="K1707" t="s">
        <v>21</v>
      </c>
      <c r="L1707" s="12">
        <v>0.69791666666666663</v>
      </c>
      <c r="M1707" t="s">
        <v>63</v>
      </c>
      <c r="N1707" s="3">
        <v>232</v>
      </c>
      <c r="O1707" t="s">
        <v>24</v>
      </c>
      <c r="P1707" t="s">
        <v>56</v>
      </c>
      <c r="R1707">
        <f>tblDailySchedule[[#This Row],[Capacity Approx]]*'[1]Load Factor Sheet June Acft  '!$B$5</f>
        <v>187.86727272727273</v>
      </c>
      <c r="S1707">
        <f>tblDailySchedule[[#This Row],[Capacity Approx]]*'[1]Load Factor Sheet June Acft  '!$D$5</f>
        <v>203.4218181818182</v>
      </c>
      <c r="T1707" s="22">
        <f>tblDailySchedule[[#This Row],[STD]]</f>
        <v>0.69791666666666663</v>
      </c>
    </row>
    <row r="1708" spans="1:20" hidden="1" x14ac:dyDescent="0.35">
      <c r="A1708" s="11">
        <v>46171</v>
      </c>
      <c r="B1708" s="3">
        <v>5</v>
      </c>
      <c r="C1708" t="s">
        <v>115</v>
      </c>
      <c r="D1708" t="s">
        <v>18</v>
      </c>
      <c r="E1708" s="3">
        <v>19</v>
      </c>
      <c r="F1708" t="s">
        <v>19</v>
      </c>
      <c r="G1708" t="s">
        <v>73</v>
      </c>
      <c r="H1708" t="s">
        <v>27</v>
      </c>
      <c r="I1708" s="12">
        <v>0.74652777777777779</v>
      </c>
      <c r="J1708" t="s">
        <v>74</v>
      </c>
      <c r="K1708" t="s">
        <v>27</v>
      </c>
      <c r="L1708" s="12">
        <v>0.77430555555555558</v>
      </c>
      <c r="M1708" t="s">
        <v>63</v>
      </c>
      <c r="N1708" s="3">
        <v>232</v>
      </c>
      <c r="O1708" t="s">
        <v>24</v>
      </c>
      <c r="P1708" t="s">
        <v>56</v>
      </c>
      <c r="R1708">
        <f>tblDailySchedule[[#This Row],[Capacity Approx]]*'[1]Load Factor Sheet June Acft  '!$B$5</f>
        <v>187.86727272727273</v>
      </c>
      <c r="S1708">
        <f>tblDailySchedule[[#This Row],[Capacity Approx]]*'[1]Load Factor Sheet June Acft  '!$D$5</f>
        <v>203.4218181818182</v>
      </c>
      <c r="T1708" s="22">
        <f>tblDailySchedule[[#This Row],[STD]]</f>
        <v>0.77430555555555558</v>
      </c>
    </row>
    <row r="1709" spans="1:20" hidden="1" x14ac:dyDescent="0.35">
      <c r="A1709" s="11">
        <v>46171</v>
      </c>
      <c r="B1709" s="3">
        <v>5</v>
      </c>
      <c r="C1709" t="s">
        <v>115</v>
      </c>
      <c r="D1709" t="s">
        <v>18</v>
      </c>
      <c r="E1709" s="3">
        <v>20</v>
      </c>
      <c r="F1709" t="s">
        <v>34</v>
      </c>
      <c r="G1709" t="s">
        <v>75</v>
      </c>
      <c r="H1709" t="s">
        <v>76</v>
      </c>
      <c r="I1709" s="12">
        <v>0.76388888888888884</v>
      </c>
      <c r="J1709" t="s">
        <v>77</v>
      </c>
      <c r="K1709" t="s">
        <v>78</v>
      </c>
      <c r="L1709" s="12">
        <v>0.78472222222222221</v>
      </c>
      <c r="M1709" t="s">
        <v>51</v>
      </c>
      <c r="N1709" s="3">
        <v>78</v>
      </c>
      <c r="O1709" t="s">
        <v>24</v>
      </c>
      <c r="P1709" t="s">
        <v>79</v>
      </c>
      <c r="Q1709" s="16" t="s">
        <v>80</v>
      </c>
      <c r="R1709">
        <f>tblDailySchedule[[#This Row],[Capacity Approx]]*'[1]Load Factor Sheet June Acft  '!$B$5</f>
        <v>63.162272727272729</v>
      </c>
      <c r="S1709">
        <f>tblDailySchedule[[#This Row],[Capacity Approx]]*'[1]Load Factor Sheet June Acft  '!$D$5</f>
        <v>68.391818181818181</v>
      </c>
      <c r="T1709" s="22">
        <f>tblDailySchedule[[#This Row],[STD]]</f>
        <v>0.78472222222222221</v>
      </c>
    </row>
    <row r="1710" spans="1:20" hidden="1" x14ac:dyDescent="0.35">
      <c r="A1710" s="11">
        <v>46171</v>
      </c>
      <c r="B1710" s="3">
        <v>5</v>
      </c>
      <c r="C1710" t="s">
        <v>115</v>
      </c>
      <c r="D1710" t="s">
        <v>18</v>
      </c>
      <c r="E1710" s="3">
        <v>21</v>
      </c>
      <c r="F1710" t="s">
        <v>19</v>
      </c>
      <c r="G1710" t="s">
        <v>81</v>
      </c>
      <c r="H1710" t="s">
        <v>61</v>
      </c>
      <c r="I1710" s="12">
        <v>0.77083333333333337</v>
      </c>
      <c r="J1710" t="s">
        <v>82</v>
      </c>
      <c r="K1710" t="s">
        <v>49</v>
      </c>
      <c r="L1710" s="12">
        <v>0.79166666666666663</v>
      </c>
      <c r="M1710" t="s">
        <v>33</v>
      </c>
      <c r="N1710" s="3">
        <v>189</v>
      </c>
      <c r="O1710" t="s">
        <v>24</v>
      </c>
      <c r="P1710" t="s">
        <v>79</v>
      </c>
      <c r="R1710">
        <f>tblDailySchedule[[#This Row],[Capacity Approx]]*'[1]Load Factor Sheet June Acft  '!$B$5</f>
        <v>153.04704545454547</v>
      </c>
      <c r="S1710">
        <f>tblDailySchedule[[#This Row],[Capacity Approx]]*'[1]Load Factor Sheet June Acft  '!$D$5</f>
        <v>165.71863636363636</v>
      </c>
      <c r="T1710" s="22">
        <f>tblDailySchedule[[#This Row],[STD]]</f>
        <v>0.79166666666666663</v>
      </c>
    </row>
    <row r="1711" spans="1:20" hidden="1" x14ac:dyDescent="0.35">
      <c r="A1711" s="11">
        <v>46171</v>
      </c>
      <c r="B1711" s="3">
        <v>5</v>
      </c>
      <c r="C1711" t="s">
        <v>115</v>
      </c>
      <c r="D1711" t="s">
        <v>18</v>
      </c>
      <c r="E1711" s="3">
        <v>22</v>
      </c>
      <c r="F1711" t="s">
        <v>19</v>
      </c>
      <c r="G1711" t="s">
        <v>83</v>
      </c>
      <c r="H1711" t="s">
        <v>31</v>
      </c>
      <c r="I1711" s="12">
        <v>0.77777777777777779</v>
      </c>
      <c r="J1711" t="s">
        <v>84</v>
      </c>
      <c r="K1711" t="s">
        <v>31</v>
      </c>
      <c r="L1711" s="12">
        <v>0.80555555555555558</v>
      </c>
      <c r="M1711" t="s">
        <v>63</v>
      </c>
      <c r="N1711" s="3">
        <v>232</v>
      </c>
      <c r="O1711" t="s">
        <v>24</v>
      </c>
      <c r="P1711" t="s">
        <v>79</v>
      </c>
      <c r="R1711">
        <f>tblDailySchedule[[#This Row],[Capacity Approx]]*'[1]Load Factor Sheet June Acft  '!$B$5</f>
        <v>187.86727272727273</v>
      </c>
      <c r="S1711">
        <f>tblDailySchedule[[#This Row],[Capacity Approx]]*'[1]Load Factor Sheet June Acft  '!$D$5</f>
        <v>203.4218181818182</v>
      </c>
      <c r="T1711" s="22">
        <f>tblDailySchedule[[#This Row],[STD]]</f>
        <v>0.80555555555555558</v>
      </c>
    </row>
    <row r="1712" spans="1:20" hidden="1" x14ac:dyDescent="0.35">
      <c r="A1712" s="11">
        <v>46171</v>
      </c>
      <c r="B1712" s="3">
        <v>5</v>
      </c>
      <c r="C1712" t="s">
        <v>115</v>
      </c>
      <c r="D1712" t="s">
        <v>18</v>
      </c>
      <c r="E1712" s="3">
        <v>23</v>
      </c>
      <c r="F1712" t="s">
        <v>19</v>
      </c>
      <c r="G1712" t="s">
        <v>85</v>
      </c>
      <c r="H1712" t="s">
        <v>86</v>
      </c>
      <c r="I1712" s="12">
        <v>0.79861111111111116</v>
      </c>
      <c r="J1712" t="s">
        <v>87</v>
      </c>
      <c r="K1712" t="s">
        <v>86</v>
      </c>
      <c r="L1712" s="12">
        <v>0.82638888888888884</v>
      </c>
      <c r="M1712" t="s">
        <v>63</v>
      </c>
      <c r="N1712" s="3">
        <v>232</v>
      </c>
      <c r="O1712" t="s">
        <v>24</v>
      </c>
      <c r="P1712" t="s">
        <v>79</v>
      </c>
      <c r="R1712">
        <f>tblDailySchedule[[#This Row],[Capacity Approx]]*'[1]Load Factor Sheet June Acft  '!$B$5</f>
        <v>187.86727272727273</v>
      </c>
      <c r="S1712">
        <f>tblDailySchedule[[#This Row],[Capacity Approx]]*'[1]Load Factor Sheet June Acft  '!$D$5</f>
        <v>203.4218181818182</v>
      </c>
      <c r="T1712" s="22">
        <f>tblDailySchedule[[#This Row],[STD]]</f>
        <v>0.82638888888888884</v>
      </c>
    </row>
    <row r="1713" spans="1:20" hidden="1" x14ac:dyDescent="0.35">
      <c r="A1713" s="11">
        <v>46171</v>
      </c>
      <c r="B1713" s="3">
        <v>5</v>
      </c>
      <c r="C1713" t="s">
        <v>115</v>
      </c>
      <c r="D1713" t="s">
        <v>18</v>
      </c>
      <c r="E1713" s="3">
        <v>24</v>
      </c>
      <c r="F1713" t="s">
        <v>19</v>
      </c>
      <c r="G1713" t="s">
        <v>88</v>
      </c>
      <c r="H1713" t="s">
        <v>89</v>
      </c>
      <c r="I1713" s="12">
        <v>0.83333333333333337</v>
      </c>
      <c r="J1713" t="s">
        <v>90</v>
      </c>
      <c r="K1713" t="s">
        <v>31</v>
      </c>
      <c r="L1713" s="12">
        <v>0.86111111111111116</v>
      </c>
      <c r="M1713" t="s">
        <v>63</v>
      </c>
      <c r="N1713" s="3">
        <v>232</v>
      </c>
      <c r="O1713" t="s">
        <v>24</v>
      </c>
      <c r="P1713" t="s">
        <v>79</v>
      </c>
      <c r="R1713">
        <f>tblDailySchedule[[#This Row],[Capacity Approx]]*'[1]Load Factor Sheet June Acft  '!$B$5</f>
        <v>187.86727272727273</v>
      </c>
      <c r="S1713">
        <f>tblDailySchedule[[#This Row],[Capacity Approx]]*'[1]Load Factor Sheet June Acft  '!$D$5</f>
        <v>203.4218181818182</v>
      </c>
      <c r="T1713" s="22">
        <f>tblDailySchedule[[#This Row],[STD]]</f>
        <v>0.86111111111111116</v>
      </c>
    </row>
    <row r="1714" spans="1:20" hidden="1" x14ac:dyDescent="0.35">
      <c r="A1714" s="11">
        <v>46171</v>
      </c>
      <c r="B1714" s="3">
        <v>5</v>
      </c>
      <c r="C1714" t="s">
        <v>115</v>
      </c>
      <c r="D1714" t="s">
        <v>18</v>
      </c>
      <c r="E1714" s="3">
        <v>25</v>
      </c>
      <c r="F1714" t="s">
        <v>19</v>
      </c>
      <c r="G1714" t="s">
        <v>91</v>
      </c>
      <c r="H1714" t="s">
        <v>61</v>
      </c>
      <c r="I1714" s="12">
        <v>0.85416666666666663</v>
      </c>
      <c r="J1714" t="s">
        <v>92</v>
      </c>
      <c r="K1714" t="s">
        <v>61</v>
      </c>
      <c r="L1714" s="12">
        <v>0.88194444444444442</v>
      </c>
      <c r="M1714" t="s">
        <v>63</v>
      </c>
      <c r="N1714" s="3">
        <v>232</v>
      </c>
      <c r="O1714" t="s">
        <v>24</v>
      </c>
      <c r="P1714" t="s">
        <v>79</v>
      </c>
      <c r="R1714">
        <f>tblDailySchedule[[#This Row],[Capacity Approx]]*'[1]Load Factor Sheet June Acft  '!$B$5</f>
        <v>187.86727272727273</v>
      </c>
      <c r="S1714">
        <f>tblDailySchedule[[#This Row],[Capacity Approx]]*'[1]Load Factor Sheet June Acft  '!$D$5</f>
        <v>203.4218181818182</v>
      </c>
      <c r="T1714" s="22">
        <f>tblDailySchedule[[#This Row],[STD]]</f>
        <v>0.88194444444444442</v>
      </c>
    </row>
    <row r="1715" spans="1:20" hidden="1" x14ac:dyDescent="0.35">
      <c r="A1715" s="11">
        <v>46171</v>
      </c>
      <c r="B1715" s="3">
        <v>5</v>
      </c>
      <c r="C1715" t="s">
        <v>115</v>
      </c>
      <c r="D1715" t="s">
        <v>18</v>
      </c>
      <c r="E1715" s="3">
        <v>26</v>
      </c>
      <c r="F1715" t="s">
        <v>19</v>
      </c>
      <c r="G1715" t="s">
        <v>93</v>
      </c>
      <c r="H1715" t="s">
        <v>31</v>
      </c>
      <c r="I1715" s="12">
        <v>0.86111111111111116</v>
      </c>
      <c r="J1715" t="s">
        <v>94</v>
      </c>
      <c r="K1715" t="s">
        <v>31</v>
      </c>
      <c r="L1715" s="12">
        <v>0.88888888888888884</v>
      </c>
      <c r="M1715" t="s">
        <v>23</v>
      </c>
      <c r="N1715" s="3">
        <v>186</v>
      </c>
      <c r="O1715" t="s">
        <v>24</v>
      </c>
      <c r="P1715" t="s">
        <v>79</v>
      </c>
      <c r="R1715">
        <f>tblDailySchedule[[#This Row],[Capacity Approx]]*'[1]Load Factor Sheet June Acft  '!$B$5</f>
        <v>150.61772727272728</v>
      </c>
      <c r="S1715">
        <f>tblDailySchedule[[#This Row],[Capacity Approx]]*'[1]Load Factor Sheet June Acft  '!$D$5</f>
        <v>163.08818181818182</v>
      </c>
      <c r="T1715" s="22">
        <f>tblDailySchedule[[#This Row],[STD]]</f>
        <v>0.88888888888888884</v>
      </c>
    </row>
    <row r="1716" spans="1:20" hidden="1" x14ac:dyDescent="0.35">
      <c r="A1716" s="11">
        <v>46171</v>
      </c>
      <c r="B1716" s="3">
        <v>5</v>
      </c>
      <c r="C1716" t="s">
        <v>115</v>
      </c>
      <c r="D1716" t="s">
        <v>18</v>
      </c>
      <c r="E1716" s="3">
        <v>27</v>
      </c>
      <c r="F1716" t="s">
        <v>19</v>
      </c>
      <c r="G1716" t="s">
        <v>95</v>
      </c>
      <c r="H1716" t="s">
        <v>21</v>
      </c>
      <c r="I1716" s="12">
        <v>0.86805555555555558</v>
      </c>
      <c r="J1716" t="s">
        <v>96</v>
      </c>
      <c r="K1716" t="s">
        <v>21</v>
      </c>
      <c r="L1716" s="12">
        <v>0.89583333333333337</v>
      </c>
      <c r="M1716" t="s">
        <v>29</v>
      </c>
      <c r="N1716" s="3">
        <v>186</v>
      </c>
      <c r="O1716" t="s">
        <v>24</v>
      </c>
      <c r="P1716" t="s">
        <v>79</v>
      </c>
      <c r="R1716">
        <f>tblDailySchedule[[#This Row],[Capacity Approx]]*'[1]Load Factor Sheet June Acft  '!$B$5</f>
        <v>150.61772727272728</v>
      </c>
      <c r="S1716">
        <f>tblDailySchedule[[#This Row],[Capacity Approx]]*'[1]Load Factor Sheet June Acft  '!$D$5</f>
        <v>163.08818181818182</v>
      </c>
      <c r="T1716" s="22">
        <f>tblDailySchedule[[#This Row],[STD]]</f>
        <v>0.89583333333333337</v>
      </c>
    </row>
    <row r="1717" spans="1:20" hidden="1" x14ac:dyDescent="0.35">
      <c r="A1717" s="11">
        <v>46171</v>
      </c>
      <c r="B1717" s="3">
        <v>5</v>
      </c>
      <c r="C1717" t="s">
        <v>115</v>
      </c>
      <c r="D1717" t="s">
        <v>18</v>
      </c>
      <c r="E1717" s="3">
        <v>28</v>
      </c>
      <c r="F1717" t="s">
        <v>19</v>
      </c>
      <c r="G1717" t="s">
        <v>97</v>
      </c>
      <c r="H1717" t="s">
        <v>49</v>
      </c>
      <c r="I1717" s="12">
        <v>0.90277777777777779</v>
      </c>
      <c r="J1717" t="s">
        <v>97</v>
      </c>
      <c r="K1717" t="s">
        <v>61</v>
      </c>
      <c r="L1717" s="12">
        <v>0.92361111111111116</v>
      </c>
      <c r="M1717" t="s">
        <v>33</v>
      </c>
      <c r="N1717" s="3">
        <v>189</v>
      </c>
      <c r="O1717" t="s">
        <v>24</v>
      </c>
      <c r="P1717" t="s">
        <v>79</v>
      </c>
      <c r="R1717">
        <f>tblDailySchedule[[#This Row],[Capacity Approx]]*'[1]Load Factor Sheet June Acft  '!$B$5</f>
        <v>153.04704545454547</v>
      </c>
      <c r="S1717">
        <f>tblDailySchedule[[#This Row],[Capacity Approx]]*'[1]Load Factor Sheet June Acft  '!$D$5</f>
        <v>165.71863636363636</v>
      </c>
      <c r="T1717" s="22">
        <f>tblDailySchedule[[#This Row],[STD]]</f>
        <v>0.92361111111111116</v>
      </c>
    </row>
    <row r="1718" spans="1:20" hidden="1" x14ac:dyDescent="0.35">
      <c r="A1718" s="11">
        <v>46171</v>
      </c>
      <c r="B1718" s="3">
        <v>5</v>
      </c>
      <c r="C1718" t="s">
        <v>115</v>
      </c>
      <c r="D1718" t="s">
        <v>18</v>
      </c>
      <c r="E1718" s="3">
        <v>29</v>
      </c>
      <c r="F1718" t="s">
        <v>19</v>
      </c>
      <c r="G1718" t="s">
        <v>98</v>
      </c>
      <c r="H1718" t="s">
        <v>21</v>
      </c>
      <c r="I1718" s="12">
        <v>0.92013888888888884</v>
      </c>
      <c r="J1718" t="s">
        <v>99</v>
      </c>
      <c r="K1718" t="s">
        <v>21</v>
      </c>
      <c r="L1718" s="12">
        <v>0.94791666666666663</v>
      </c>
      <c r="M1718" t="s">
        <v>63</v>
      </c>
      <c r="N1718" s="3">
        <v>232</v>
      </c>
      <c r="O1718" t="s">
        <v>24</v>
      </c>
      <c r="P1718" t="s">
        <v>79</v>
      </c>
      <c r="R1718">
        <f>tblDailySchedule[[#This Row],[Capacity Approx]]*'[1]Load Factor Sheet June Acft  '!$B$5</f>
        <v>187.86727272727273</v>
      </c>
      <c r="S1718">
        <f>tblDailySchedule[[#This Row],[Capacity Approx]]*'[1]Load Factor Sheet June Acft  '!$D$5</f>
        <v>203.4218181818182</v>
      </c>
      <c r="T1718" s="22">
        <f>tblDailySchedule[[#This Row],[STD]]</f>
        <v>0.94791666666666663</v>
      </c>
    </row>
    <row r="1719" spans="1:20" hidden="1" x14ac:dyDescent="0.35">
      <c r="A1719" s="13">
        <v>46171</v>
      </c>
      <c r="B1719" s="7">
        <v>5</v>
      </c>
      <c r="C1719" s="14" t="s">
        <v>115</v>
      </c>
      <c r="D1719" s="14" t="s">
        <v>18</v>
      </c>
      <c r="E1719" s="7">
        <v>30</v>
      </c>
      <c r="F1719" s="14" t="s">
        <v>104</v>
      </c>
      <c r="G1719" s="14" t="s">
        <v>105</v>
      </c>
      <c r="H1719" s="14" t="s">
        <v>106</v>
      </c>
      <c r="I1719" s="15">
        <v>0.92708333333333337</v>
      </c>
      <c r="J1719" s="14" t="s">
        <v>107</v>
      </c>
      <c r="K1719" s="14" t="s">
        <v>106</v>
      </c>
      <c r="L1719" s="15">
        <v>0.95833333333333337</v>
      </c>
      <c r="M1719" s="14" t="s">
        <v>38</v>
      </c>
      <c r="N1719" s="7">
        <v>186</v>
      </c>
      <c r="O1719" s="14" t="s">
        <v>39</v>
      </c>
      <c r="P1719" s="14" t="s">
        <v>79</v>
      </c>
      <c r="Q1719" s="14" t="s">
        <v>39</v>
      </c>
      <c r="R1719">
        <f>tblDailySchedule[[#This Row],[Capacity Approx]]*'[1]Load Factor Sheet June Acft  '!$B$5</f>
        <v>150.61772727272728</v>
      </c>
      <c r="S1719">
        <f>tblDailySchedule[[#This Row],[Capacity Approx]]*'[1]Load Factor Sheet June Acft  '!$D$5</f>
        <v>163.08818181818182</v>
      </c>
      <c r="T1719" s="22">
        <f>tblDailySchedule[[#This Row],[STD]]</f>
        <v>0.95833333333333337</v>
      </c>
    </row>
    <row r="1720" spans="1:20" hidden="1" x14ac:dyDescent="0.35">
      <c r="A1720" s="11">
        <v>46172</v>
      </c>
      <c r="B1720" s="3">
        <v>6</v>
      </c>
      <c r="C1720" t="s">
        <v>116</v>
      </c>
      <c r="D1720" t="s">
        <v>18</v>
      </c>
      <c r="E1720" s="3">
        <v>1</v>
      </c>
      <c r="F1720" t="s">
        <v>101</v>
      </c>
      <c r="G1720" t="s">
        <v>102</v>
      </c>
      <c r="H1720" t="s">
        <v>61</v>
      </c>
      <c r="I1720" s="12">
        <v>0.3125</v>
      </c>
      <c r="J1720" t="s">
        <v>103</v>
      </c>
      <c r="K1720" t="s">
        <v>61</v>
      </c>
      <c r="L1720" s="12">
        <v>0.33333333333333331</v>
      </c>
      <c r="M1720" t="s">
        <v>33</v>
      </c>
      <c r="N1720" s="3">
        <v>189</v>
      </c>
      <c r="O1720" t="s">
        <v>24</v>
      </c>
      <c r="P1720" t="s">
        <v>25</v>
      </c>
      <c r="R1720">
        <f>tblDailySchedule[[#This Row],[Capacity Approx]]*'[1]Load Factor Sheet June Acft  '!$B$5</f>
        <v>153.04704545454547</v>
      </c>
      <c r="S1720">
        <f>tblDailySchedule[[#This Row],[Capacity Approx]]*'[1]Load Factor Sheet June Acft  '!$D$5</f>
        <v>165.71863636363636</v>
      </c>
      <c r="T1720" s="22">
        <f>tblDailySchedule[[#This Row],[STD]]</f>
        <v>0.33333333333333331</v>
      </c>
    </row>
    <row r="1721" spans="1:20" hidden="1" x14ac:dyDescent="0.35">
      <c r="A1721" s="11">
        <v>46172</v>
      </c>
      <c r="B1721" s="3">
        <v>6</v>
      </c>
      <c r="C1721" t="s">
        <v>116</v>
      </c>
      <c r="D1721" t="s">
        <v>18</v>
      </c>
      <c r="E1721" s="3">
        <v>2</v>
      </c>
      <c r="F1721" t="s">
        <v>19</v>
      </c>
      <c r="G1721" t="s">
        <v>20</v>
      </c>
      <c r="H1721" t="s">
        <v>21</v>
      </c>
      <c r="I1721" s="12">
        <v>0.31944444444444442</v>
      </c>
      <c r="J1721" t="s">
        <v>22</v>
      </c>
      <c r="K1721" t="s">
        <v>21</v>
      </c>
      <c r="L1721" s="12">
        <v>0.34722222222222221</v>
      </c>
      <c r="M1721" t="s">
        <v>23</v>
      </c>
      <c r="N1721" s="3">
        <v>186</v>
      </c>
      <c r="O1721" t="s">
        <v>24</v>
      </c>
      <c r="P1721" t="s">
        <v>25</v>
      </c>
      <c r="R1721">
        <f>tblDailySchedule[[#This Row],[Capacity Approx]]*'[1]Load Factor Sheet June Acft  '!$B$5</f>
        <v>150.61772727272728</v>
      </c>
      <c r="S1721">
        <f>tblDailySchedule[[#This Row],[Capacity Approx]]*'[1]Load Factor Sheet June Acft  '!$D$5</f>
        <v>163.08818181818182</v>
      </c>
      <c r="T1721" s="22">
        <f>tblDailySchedule[[#This Row],[STD]]</f>
        <v>0.34722222222222221</v>
      </c>
    </row>
    <row r="1722" spans="1:20" hidden="1" x14ac:dyDescent="0.35">
      <c r="A1722" s="11">
        <v>46172</v>
      </c>
      <c r="B1722" s="3">
        <v>6</v>
      </c>
      <c r="C1722" t="s">
        <v>116</v>
      </c>
      <c r="D1722" t="s">
        <v>18</v>
      </c>
      <c r="E1722" s="3">
        <v>3</v>
      </c>
      <c r="F1722" t="s">
        <v>19</v>
      </c>
      <c r="G1722" t="s">
        <v>26</v>
      </c>
      <c r="H1722" t="s">
        <v>27</v>
      </c>
      <c r="I1722" s="12">
        <v>0.3263888888888889</v>
      </c>
      <c r="J1722" t="s">
        <v>28</v>
      </c>
      <c r="K1722" t="s">
        <v>27</v>
      </c>
      <c r="L1722" s="12">
        <v>0.35416666666666669</v>
      </c>
      <c r="M1722" t="s">
        <v>29</v>
      </c>
      <c r="N1722" s="3">
        <v>186</v>
      </c>
      <c r="O1722" t="s">
        <v>24</v>
      </c>
      <c r="P1722" t="s">
        <v>25</v>
      </c>
      <c r="R1722">
        <f>tblDailySchedule[[#This Row],[Capacity Approx]]*'[1]Load Factor Sheet June Acft  '!$B$5</f>
        <v>150.61772727272728</v>
      </c>
      <c r="S1722">
        <f>tblDailySchedule[[#This Row],[Capacity Approx]]*'[1]Load Factor Sheet June Acft  '!$D$5</f>
        <v>163.08818181818182</v>
      </c>
      <c r="T1722" s="22">
        <f>tblDailySchedule[[#This Row],[STD]]</f>
        <v>0.35416666666666669</v>
      </c>
    </row>
    <row r="1723" spans="1:20" hidden="1" x14ac:dyDescent="0.35">
      <c r="A1723" s="11">
        <v>46172</v>
      </c>
      <c r="B1723" s="3">
        <v>6</v>
      </c>
      <c r="C1723" t="s">
        <v>116</v>
      </c>
      <c r="D1723" t="s">
        <v>18</v>
      </c>
      <c r="E1723" s="3">
        <v>4</v>
      </c>
      <c r="F1723" t="s">
        <v>19</v>
      </c>
      <c r="G1723" t="s">
        <v>30</v>
      </c>
      <c r="H1723" t="s">
        <v>31</v>
      </c>
      <c r="I1723" s="12">
        <v>0.34722222222222221</v>
      </c>
      <c r="J1723" t="s">
        <v>32</v>
      </c>
      <c r="K1723" t="s">
        <v>31</v>
      </c>
      <c r="L1723" s="12">
        <v>0.36805555555555558</v>
      </c>
      <c r="M1723" t="s">
        <v>33</v>
      </c>
      <c r="N1723" s="3">
        <v>189</v>
      </c>
      <c r="O1723" t="s">
        <v>24</v>
      </c>
      <c r="P1723" t="s">
        <v>25</v>
      </c>
      <c r="R1723">
        <f>tblDailySchedule[[#This Row],[Capacity Approx]]*'[1]Load Factor Sheet June Acft  '!$B$5</f>
        <v>153.04704545454547</v>
      </c>
      <c r="S1723">
        <f>tblDailySchedule[[#This Row],[Capacity Approx]]*'[1]Load Factor Sheet June Acft  '!$D$5</f>
        <v>165.71863636363636</v>
      </c>
      <c r="T1723" s="22">
        <f>tblDailySchedule[[#This Row],[STD]]</f>
        <v>0.36805555555555558</v>
      </c>
    </row>
    <row r="1724" spans="1:20" hidden="1" x14ac:dyDescent="0.35">
      <c r="A1724" s="11">
        <v>46172</v>
      </c>
      <c r="B1724" s="3">
        <v>6</v>
      </c>
      <c r="C1724" t="s">
        <v>116</v>
      </c>
      <c r="D1724" t="s">
        <v>18</v>
      </c>
      <c r="E1724" s="3">
        <v>5</v>
      </c>
      <c r="F1724" t="s">
        <v>19</v>
      </c>
      <c r="G1724" t="s">
        <v>40</v>
      </c>
      <c r="H1724" t="s">
        <v>31</v>
      </c>
      <c r="I1724" s="12">
        <v>0.35069444444444442</v>
      </c>
      <c r="J1724" t="s">
        <v>41</v>
      </c>
      <c r="K1724" t="s">
        <v>31</v>
      </c>
      <c r="L1724" s="12">
        <v>0.37152777777777779</v>
      </c>
      <c r="M1724" t="s">
        <v>23</v>
      </c>
      <c r="N1724" s="3">
        <v>186</v>
      </c>
      <c r="O1724" t="s">
        <v>24</v>
      </c>
      <c r="P1724" t="s">
        <v>25</v>
      </c>
      <c r="R1724">
        <f>tblDailySchedule[[#This Row],[Capacity Approx]]*'[1]Load Factor Sheet June Acft  '!$B$5</f>
        <v>150.61772727272728</v>
      </c>
      <c r="S1724">
        <f>tblDailySchedule[[#This Row],[Capacity Approx]]*'[1]Load Factor Sheet June Acft  '!$D$5</f>
        <v>163.08818181818182</v>
      </c>
      <c r="T1724" s="22">
        <f>tblDailySchedule[[#This Row],[STD]]</f>
        <v>0.37152777777777779</v>
      </c>
    </row>
    <row r="1725" spans="1:20" hidden="1" x14ac:dyDescent="0.35">
      <c r="A1725" s="11">
        <v>46172</v>
      </c>
      <c r="B1725" s="3">
        <v>6</v>
      </c>
      <c r="C1725" t="s">
        <v>116</v>
      </c>
      <c r="D1725" t="s">
        <v>18</v>
      </c>
      <c r="E1725" s="3">
        <v>7</v>
      </c>
      <c r="F1725" t="s">
        <v>19</v>
      </c>
      <c r="G1725" t="s">
        <v>42</v>
      </c>
      <c r="H1725" t="s">
        <v>43</v>
      </c>
      <c r="I1725" s="12">
        <v>0.3923611111111111</v>
      </c>
      <c r="J1725" t="s">
        <v>44</v>
      </c>
      <c r="K1725" t="s">
        <v>43</v>
      </c>
      <c r="L1725" s="12">
        <v>0.40277777777777779</v>
      </c>
      <c r="M1725" t="s">
        <v>45</v>
      </c>
      <c r="N1725" s="3">
        <v>9</v>
      </c>
      <c r="O1725" t="s">
        <v>24</v>
      </c>
      <c r="P1725" t="s">
        <v>25</v>
      </c>
      <c r="R1725">
        <f>tblDailySchedule[[#This Row],[Capacity Approx]]*'[1]Load Factor Sheet June Acft  '!$B$5</f>
        <v>7.2879545454545456</v>
      </c>
      <c r="S1725">
        <f>tblDailySchedule[[#This Row],[Capacity Approx]]*'[1]Load Factor Sheet June Acft  '!$D$5</f>
        <v>7.8913636363636366</v>
      </c>
      <c r="T1725" s="22">
        <f>tblDailySchedule[[#This Row],[STD]]</f>
        <v>0.40277777777777779</v>
      </c>
    </row>
    <row r="1726" spans="1:20" hidden="1" x14ac:dyDescent="0.35">
      <c r="A1726" s="11">
        <v>46172</v>
      </c>
      <c r="B1726" s="3">
        <v>6</v>
      </c>
      <c r="C1726" t="s">
        <v>116</v>
      </c>
      <c r="D1726" t="s">
        <v>18</v>
      </c>
      <c r="E1726" s="3">
        <v>8</v>
      </c>
      <c r="F1726" t="s">
        <v>19</v>
      </c>
      <c r="G1726" t="s">
        <v>46</v>
      </c>
      <c r="H1726" t="s">
        <v>31</v>
      </c>
      <c r="I1726" s="12">
        <v>0.4201388888888889</v>
      </c>
      <c r="J1726" t="s">
        <v>47</v>
      </c>
      <c r="K1726" t="s">
        <v>31</v>
      </c>
      <c r="L1726" s="12">
        <v>0.44444444444444442</v>
      </c>
      <c r="M1726" t="s">
        <v>29</v>
      </c>
      <c r="N1726" s="3">
        <v>186</v>
      </c>
      <c r="O1726" t="s">
        <v>24</v>
      </c>
      <c r="P1726" t="s">
        <v>25</v>
      </c>
      <c r="R1726">
        <f>tblDailySchedule[[#This Row],[Capacity Approx]]*'[1]Load Factor Sheet June Acft  '!$B$5</f>
        <v>150.61772727272728</v>
      </c>
      <c r="S1726">
        <f>tblDailySchedule[[#This Row],[Capacity Approx]]*'[1]Load Factor Sheet June Acft  '!$D$5</f>
        <v>163.08818181818182</v>
      </c>
      <c r="T1726" s="22">
        <f>tblDailySchedule[[#This Row],[STD]]</f>
        <v>0.44444444444444442</v>
      </c>
    </row>
    <row r="1727" spans="1:20" hidden="1" x14ac:dyDescent="0.35">
      <c r="A1727" s="11">
        <v>46172</v>
      </c>
      <c r="B1727" s="3">
        <v>6</v>
      </c>
      <c r="C1727" t="s">
        <v>116</v>
      </c>
      <c r="D1727" t="s">
        <v>18</v>
      </c>
      <c r="E1727" s="3">
        <v>9</v>
      </c>
      <c r="F1727" t="s">
        <v>19</v>
      </c>
      <c r="G1727" t="s">
        <v>48</v>
      </c>
      <c r="H1727" t="s">
        <v>49</v>
      </c>
      <c r="I1727" s="12">
        <v>0.4375</v>
      </c>
      <c r="J1727" t="s">
        <v>50</v>
      </c>
      <c r="K1727" t="s">
        <v>49</v>
      </c>
      <c r="L1727" s="12">
        <v>0.45833333333333331</v>
      </c>
      <c r="M1727" t="s">
        <v>51</v>
      </c>
      <c r="N1727" s="3">
        <v>78</v>
      </c>
      <c r="O1727" t="s">
        <v>24</v>
      </c>
      <c r="P1727" t="s">
        <v>25</v>
      </c>
      <c r="R1727">
        <f>tblDailySchedule[[#This Row],[Capacity Approx]]*'[1]Load Factor Sheet June Acft  '!$B$5</f>
        <v>63.162272727272729</v>
      </c>
      <c r="S1727">
        <f>tblDailySchedule[[#This Row],[Capacity Approx]]*'[1]Load Factor Sheet June Acft  '!$D$5</f>
        <v>68.391818181818181</v>
      </c>
      <c r="T1727" s="22">
        <f>tblDailySchedule[[#This Row],[STD]]</f>
        <v>0.45833333333333331</v>
      </c>
    </row>
    <row r="1728" spans="1:20" hidden="1" x14ac:dyDescent="0.35">
      <c r="A1728" s="11">
        <v>46172</v>
      </c>
      <c r="B1728" s="3">
        <v>6</v>
      </c>
      <c r="C1728" t="s">
        <v>116</v>
      </c>
      <c r="D1728" t="s">
        <v>18</v>
      </c>
      <c r="E1728" s="3">
        <v>10</v>
      </c>
      <c r="F1728" t="s">
        <v>19</v>
      </c>
      <c r="G1728" t="s">
        <v>52</v>
      </c>
      <c r="H1728" t="s">
        <v>27</v>
      </c>
      <c r="I1728" s="12">
        <v>0.4826388888888889</v>
      </c>
      <c r="J1728" t="s">
        <v>53</v>
      </c>
      <c r="K1728" t="s">
        <v>27</v>
      </c>
      <c r="L1728" s="12">
        <v>0.51041666666666663</v>
      </c>
      <c r="M1728" t="s">
        <v>23</v>
      </c>
      <c r="N1728" s="3">
        <v>186</v>
      </c>
      <c r="O1728" t="s">
        <v>24</v>
      </c>
      <c r="P1728" t="s">
        <v>25</v>
      </c>
      <c r="R1728">
        <f>tblDailySchedule[[#This Row],[Capacity Approx]]*'[1]Load Factor Sheet June Acft  '!$B$5</f>
        <v>150.61772727272728</v>
      </c>
      <c r="S1728">
        <f>tblDailySchedule[[#This Row],[Capacity Approx]]*'[1]Load Factor Sheet June Acft  '!$D$5</f>
        <v>163.08818181818182</v>
      </c>
      <c r="T1728" s="22">
        <f>tblDailySchedule[[#This Row],[STD]]</f>
        <v>0.51041666666666663</v>
      </c>
    </row>
    <row r="1729" spans="1:20" hidden="1" x14ac:dyDescent="0.35">
      <c r="A1729" s="11">
        <v>46172</v>
      </c>
      <c r="B1729" s="3">
        <v>6</v>
      </c>
      <c r="C1729" t="s">
        <v>116</v>
      </c>
      <c r="D1729" t="s">
        <v>18</v>
      </c>
      <c r="E1729" s="3">
        <v>11</v>
      </c>
      <c r="F1729" t="s">
        <v>19</v>
      </c>
      <c r="G1729" t="s">
        <v>54</v>
      </c>
      <c r="H1729" t="s">
        <v>31</v>
      </c>
      <c r="I1729" s="12">
        <v>0.51388888888888884</v>
      </c>
      <c r="J1729" t="s">
        <v>55</v>
      </c>
      <c r="K1729" t="s">
        <v>31</v>
      </c>
      <c r="L1729" s="12">
        <v>0.54166666666666663</v>
      </c>
      <c r="M1729" t="s">
        <v>23</v>
      </c>
      <c r="N1729" s="3">
        <v>186</v>
      </c>
      <c r="O1729" t="s">
        <v>24</v>
      </c>
      <c r="P1729" t="s">
        <v>56</v>
      </c>
      <c r="R1729">
        <f>tblDailySchedule[[#This Row],[Capacity Approx]]*'[1]Load Factor Sheet June Acft  '!$B$5</f>
        <v>150.61772727272728</v>
      </c>
      <c r="S1729">
        <f>tblDailySchedule[[#This Row],[Capacity Approx]]*'[1]Load Factor Sheet June Acft  '!$D$5</f>
        <v>163.08818181818182</v>
      </c>
      <c r="T1729" s="22">
        <f>tblDailySchedule[[#This Row],[STD]]</f>
        <v>0.54166666666666663</v>
      </c>
    </row>
    <row r="1730" spans="1:20" hidden="1" x14ac:dyDescent="0.35">
      <c r="A1730" s="11">
        <v>46172</v>
      </c>
      <c r="B1730" s="3">
        <v>6</v>
      </c>
      <c r="C1730" t="s">
        <v>116</v>
      </c>
      <c r="D1730" t="s">
        <v>18</v>
      </c>
      <c r="E1730" s="3">
        <v>12</v>
      </c>
      <c r="F1730" t="s">
        <v>109</v>
      </c>
      <c r="G1730" t="s">
        <v>110</v>
      </c>
      <c r="H1730" t="s">
        <v>111</v>
      </c>
      <c r="I1730" s="12">
        <v>0.55555555555555558</v>
      </c>
      <c r="J1730" t="s">
        <v>112</v>
      </c>
      <c r="K1730" t="s">
        <v>111</v>
      </c>
      <c r="L1730" s="12">
        <v>0.56944444444444442</v>
      </c>
      <c r="M1730" t="s">
        <v>51</v>
      </c>
      <c r="N1730" s="3">
        <v>78</v>
      </c>
      <c r="O1730" t="s">
        <v>24</v>
      </c>
      <c r="P1730" t="s">
        <v>56</v>
      </c>
      <c r="R1730">
        <f>tblDailySchedule[[#This Row],[Capacity Approx]]*'[1]Load Factor Sheet June Acft  '!$B$5</f>
        <v>63.162272727272729</v>
      </c>
      <c r="S1730">
        <f>tblDailySchedule[[#This Row],[Capacity Approx]]*'[1]Load Factor Sheet June Acft  '!$D$5</f>
        <v>68.391818181818181</v>
      </c>
      <c r="T1730" s="22">
        <f>tblDailySchedule[[#This Row],[STD]]</f>
        <v>0.56944444444444442</v>
      </c>
    </row>
    <row r="1731" spans="1:20" hidden="1" x14ac:dyDescent="0.35">
      <c r="A1731" s="11">
        <v>46172</v>
      </c>
      <c r="B1731" s="3">
        <v>6</v>
      </c>
      <c r="C1731" t="s">
        <v>116</v>
      </c>
      <c r="D1731" t="s">
        <v>18</v>
      </c>
      <c r="E1731" s="3">
        <v>13</v>
      </c>
      <c r="F1731" t="s">
        <v>19</v>
      </c>
      <c r="G1731" t="s">
        <v>57</v>
      </c>
      <c r="H1731" t="s">
        <v>58</v>
      </c>
      <c r="I1731" s="12">
        <v>0.55902777777777779</v>
      </c>
      <c r="J1731" t="s">
        <v>59</v>
      </c>
      <c r="K1731" t="s">
        <v>58</v>
      </c>
      <c r="L1731" s="12">
        <v>0.57638888888888884</v>
      </c>
      <c r="M1731" t="s">
        <v>51</v>
      </c>
      <c r="N1731" s="3">
        <v>78</v>
      </c>
      <c r="O1731" t="s">
        <v>24</v>
      </c>
      <c r="P1731" t="s">
        <v>56</v>
      </c>
      <c r="R1731">
        <f>tblDailySchedule[[#This Row],[Capacity Approx]]*'[1]Load Factor Sheet June Acft  '!$B$5</f>
        <v>63.162272727272729</v>
      </c>
      <c r="S1731">
        <f>tblDailySchedule[[#This Row],[Capacity Approx]]*'[1]Load Factor Sheet June Acft  '!$D$5</f>
        <v>68.391818181818181</v>
      </c>
      <c r="T1731" s="22">
        <f>tblDailySchedule[[#This Row],[STD]]</f>
        <v>0.57638888888888884</v>
      </c>
    </row>
    <row r="1732" spans="1:20" hidden="1" x14ac:dyDescent="0.35">
      <c r="A1732" s="11">
        <v>46172</v>
      </c>
      <c r="B1732" s="3">
        <v>6</v>
      </c>
      <c r="C1732" t="s">
        <v>116</v>
      </c>
      <c r="D1732" t="s">
        <v>18</v>
      </c>
      <c r="E1732" s="3">
        <v>14</v>
      </c>
      <c r="F1732" t="s">
        <v>19</v>
      </c>
      <c r="G1732" t="s">
        <v>60</v>
      </c>
      <c r="H1732" t="s">
        <v>61</v>
      </c>
      <c r="I1732" s="12">
        <v>0.59027777777777779</v>
      </c>
      <c r="J1732" t="s">
        <v>62</v>
      </c>
      <c r="K1732" t="s">
        <v>61</v>
      </c>
      <c r="L1732" s="12">
        <v>0.62152777777777779</v>
      </c>
      <c r="M1732" t="s">
        <v>63</v>
      </c>
      <c r="N1732" s="3">
        <v>232</v>
      </c>
      <c r="O1732" t="s">
        <v>24</v>
      </c>
      <c r="P1732" t="s">
        <v>56</v>
      </c>
      <c r="R1732">
        <f>tblDailySchedule[[#This Row],[Capacity Approx]]*'[1]Load Factor Sheet June Acft  '!$B$5</f>
        <v>187.86727272727273</v>
      </c>
      <c r="S1732">
        <f>tblDailySchedule[[#This Row],[Capacity Approx]]*'[1]Load Factor Sheet June Acft  '!$D$5</f>
        <v>203.4218181818182</v>
      </c>
      <c r="T1732" s="22">
        <f>tblDailySchedule[[#This Row],[STD]]</f>
        <v>0.62152777777777779</v>
      </c>
    </row>
    <row r="1733" spans="1:20" hidden="1" x14ac:dyDescent="0.35">
      <c r="A1733" s="11">
        <v>46172</v>
      </c>
      <c r="B1733" s="3">
        <v>6</v>
      </c>
      <c r="C1733" t="s">
        <v>116</v>
      </c>
      <c r="D1733" t="s">
        <v>18</v>
      </c>
      <c r="E1733" s="3">
        <v>15</v>
      </c>
      <c r="F1733" t="s">
        <v>19</v>
      </c>
      <c r="G1733" t="s">
        <v>64</v>
      </c>
      <c r="H1733" t="s">
        <v>31</v>
      </c>
      <c r="I1733" s="12">
        <v>0.60069444444444442</v>
      </c>
      <c r="J1733" t="s">
        <v>65</v>
      </c>
      <c r="K1733" t="s">
        <v>66</v>
      </c>
      <c r="L1733" s="12">
        <v>0.62847222222222221</v>
      </c>
      <c r="M1733" t="s">
        <v>63</v>
      </c>
      <c r="N1733" s="3">
        <v>232</v>
      </c>
      <c r="O1733" t="s">
        <v>24</v>
      </c>
      <c r="P1733" t="s">
        <v>56</v>
      </c>
      <c r="R1733">
        <f>tblDailySchedule[[#This Row],[Capacity Approx]]*'[1]Load Factor Sheet June Acft  '!$B$5</f>
        <v>187.86727272727273</v>
      </c>
      <c r="S1733">
        <f>tblDailySchedule[[#This Row],[Capacity Approx]]*'[1]Load Factor Sheet June Acft  '!$D$5</f>
        <v>203.4218181818182</v>
      </c>
      <c r="T1733" s="22">
        <f>tblDailySchedule[[#This Row],[STD]]</f>
        <v>0.62847222222222221</v>
      </c>
    </row>
    <row r="1734" spans="1:20" hidden="1" x14ac:dyDescent="0.35">
      <c r="A1734" s="11">
        <v>46172</v>
      </c>
      <c r="B1734" s="3">
        <v>6</v>
      </c>
      <c r="C1734" t="s">
        <v>116</v>
      </c>
      <c r="D1734" t="s">
        <v>18</v>
      </c>
      <c r="E1734" s="3">
        <v>16</v>
      </c>
      <c r="F1734" t="s">
        <v>19</v>
      </c>
      <c r="G1734" t="s">
        <v>67</v>
      </c>
      <c r="H1734" t="s">
        <v>31</v>
      </c>
      <c r="I1734" s="12">
        <v>0.65625</v>
      </c>
      <c r="J1734" t="s">
        <v>68</v>
      </c>
      <c r="K1734" t="s">
        <v>31</v>
      </c>
      <c r="L1734" s="12">
        <v>0.68402777777777779</v>
      </c>
      <c r="M1734" t="s">
        <v>63</v>
      </c>
      <c r="N1734" s="3">
        <v>232</v>
      </c>
      <c r="O1734" t="s">
        <v>24</v>
      </c>
      <c r="P1734" t="s">
        <v>56</v>
      </c>
      <c r="R1734">
        <f>tblDailySchedule[[#This Row],[Capacity Approx]]*'[1]Load Factor Sheet June Acft  '!$B$5</f>
        <v>187.86727272727273</v>
      </c>
      <c r="S1734">
        <f>tblDailySchedule[[#This Row],[Capacity Approx]]*'[1]Load Factor Sheet June Acft  '!$D$5</f>
        <v>203.4218181818182</v>
      </c>
      <c r="T1734" s="22">
        <f>tblDailySchedule[[#This Row],[STD]]</f>
        <v>0.68402777777777779</v>
      </c>
    </row>
    <row r="1735" spans="1:20" hidden="1" x14ac:dyDescent="0.35">
      <c r="A1735" s="11">
        <v>46172</v>
      </c>
      <c r="B1735" s="3">
        <v>6</v>
      </c>
      <c r="C1735" t="s">
        <v>116</v>
      </c>
      <c r="D1735" t="s">
        <v>18</v>
      </c>
      <c r="E1735" s="3">
        <v>17</v>
      </c>
      <c r="F1735" t="s">
        <v>19</v>
      </c>
      <c r="G1735" t="s">
        <v>69</v>
      </c>
      <c r="H1735" t="s">
        <v>31</v>
      </c>
      <c r="I1735" s="12">
        <v>0.66319444444444442</v>
      </c>
      <c r="J1735" t="s">
        <v>70</v>
      </c>
      <c r="K1735" t="s">
        <v>31</v>
      </c>
      <c r="L1735" s="12">
        <v>0.69097222222222221</v>
      </c>
      <c r="M1735" t="s">
        <v>33</v>
      </c>
      <c r="N1735" s="3">
        <v>189</v>
      </c>
      <c r="O1735" t="s">
        <v>24</v>
      </c>
      <c r="P1735" t="s">
        <v>56</v>
      </c>
      <c r="R1735">
        <f>tblDailySchedule[[#This Row],[Capacity Approx]]*'[1]Load Factor Sheet June Acft  '!$B$5</f>
        <v>153.04704545454547</v>
      </c>
      <c r="S1735">
        <f>tblDailySchedule[[#This Row],[Capacity Approx]]*'[1]Load Factor Sheet June Acft  '!$D$5</f>
        <v>165.71863636363636</v>
      </c>
      <c r="T1735" s="22">
        <f>tblDailySchedule[[#This Row],[STD]]</f>
        <v>0.69097222222222221</v>
      </c>
    </row>
    <row r="1736" spans="1:20" hidden="1" x14ac:dyDescent="0.35">
      <c r="A1736" s="11">
        <v>46172</v>
      </c>
      <c r="B1736" s="3">
        <v>6</v>
      </c>
      <c r="C1736" t="s">
        <v>116</v>
      </c>
      <c r="D1736" t="s">
        <v>18</v>
      </c>
      <c r="E1736" s="3">
        <v>18</v>
      </c>
      <c r="F1736" t="s">
        <v>19</v>
      </c>
      <c r="G1736" t="s">
        <v>71</v>
      </c>
      <c r="H1736" t="s">
        <v>21</v>
      </c>
      <c r="I1736" s="12">
        <v>0.67013888888888884</v>
      </c>
      <c r="J1736" t="s">
        <v>72</v>
      </c>
      <c r="K1736" t="s">
        <v>21</v>
      </c>
      <c r="L1736" s="12">
        <v>0.69791666666666663</v>
      </c>
      <c r="M1736" t="s">
        <v>63</v>
      </c>
      <c r="N1736" s="3">
        <v>232</v>
      </c>
      <c r="O1736" t="s">
        <v>24</v>
      </c>
      <c r="P1736" t="s">
        <v>56</v>
      </c>
      <c r="R1736">
        <f>tblDailySchedule[[#This Row],[Capacity Approx]]*'[1]Load Factor Sheet June Acft  '!$B$5</f>
        <v>187.86727272727273</v>
      </c>
      <c r="S1736">
        <f>tblDailySchedule[[#This Row],[Capacity Approx]]*'[1]Load Factor Sheet June Acft  '!$D$5</f>
        <v>203.4218181818182</v>
      </c>
      <c r="T1736" s="22">
        <f>tblDailySchedule[[#This Row],[STD]]</f>
        <v>0.69791666666666663</v>
      </c>
    </row>
    <row r="1737" spans="1:20" hidden="1" x14ac:dyDescent="0.35">
      <c r="A1737" s="11">
        <v>46172</v>
      </c>
      <c r="B1737" s="3">
        <v>6</v>
      </c>
      <c r="C1737" t="s">
        <v>116</v>
      </c>
      <c r="D1737" t="s">
        <v>18</v>
      </c>
      <c r="E1737" s="3">
        <v>19</v>
      </c>
      <c r="F1737" t="s">
        <v>19</v>
      </c>
      <c r="G1737" t="s">
        <v>73</v>
      </c>
      <c r="H1737" t="s">
        <v>27</v>
      </c>
      <c r="I1737" s="12">
        <v>0.74652777777777779</v>
      </c>
      <c r="J1737" t="s">
        <v>74</v>
      </c>
      <c r="K1737" t="s">
        <v>27</v>
      </c>
      <c r="L1737" s="12">
        <v>0.77430555555555558</v>
      </c>
      <c r="M1737" t="s">
        <v>63</v>
      </c>
      <c r="N1737" s="3">
        <v>232</v>
      </c>
      <c r="O1737" t="s">
        <v>24</v>
      </c>
      <c r="P1737" t="s">
        <v>56</v>
      </c>
      <c r="R1737">
        <f>tblDailySchedule[[#This Row],[Capacity Approx]]*'[1]Load Factor Sheet June Acft  '!$B$5</f>
        <v>187.86727272727273</v>
      </c>
      <c r="S1737">
        <f>tblDailySchedule[[#This Row],[Capacity Approx]]*'[1]Load Factor Sheet June Acft  '!$D$5</f>
        <v>203.4218181818182</v>
      </c>
      <c r="T1737" s="22">
        <f>tblDailySchedule[[#This Row],[STD]]</f>
        <v>0.77430555555555558</v>
      </c>
    </row>
    <row r="1738" spans="1:20" hidden="1" x14ac:dyDescent="0.35">
      <c r="A1738" s="11">
        <v>46172</v>
      </c>
      <c r="B1738" s="3">
        <v>6</v>
      </c>
      <c r="C1738" t="s">
        <v>116</v>
      </c>
      <c r="D1738" t="s">
        <v>18</v>
      </c>
      <c r="E1738" s="3">
        <v>21</v>
      </c>
      <c r="F1738" t="s">
        <v>19</v>
      </c>
      <c r="G1738" t="s">
        <v>81</v>
      </c>
      <c r="H1738" t="s">
        <v>61</v>
      </c>
      <c r="I1738" s="12">
        <v>0.77083333333333337</v>
      </c>
      <c r="J1738" t="s">
        <v>82</v>
      </c>
      <c r="K1738" t="s">
        <v>49</v>
      </c>
      <c r="L1738" s="12">
        <v>0.79166666666666663</v>
      </c>
      <c r="M1738" t="s">
        <v>33</v>
      </c>
      <c r="N1738" s="3">
        <v>189</v>
      </c>
      <c r="O1738" t="s">
        <v>24</v>
      </c>
      <c r="P1738" t="s">
        <v>79</v>
      </c>
      <c r="R1738">
        <f>tblDailySchedule[[#This Row],[Capacity Approx]]*'[1]Load Factor Sheet June Acft  '!$B$5</f>
        <v>153.04704545454547</v>
      </c>
      <c r="S1738">
        <f>tblDailySchedule[[#This Row],[Capacity Approx]]*'[1]Load Factor Sheet June Acft  '!$D$5</f>
        <v>165.71863636363636</v>
      </c>
      <c r="T1738" s="22">
        <f>tblDailySchedule[[#This Row],[STD]]</f>
        <v>0.79166666666666663</v>
      </c>
    </row>
    <row r="1739" spans="1:20" hidden="1" x14ac:dyDescent="0.35">
      <c r="A1739" s="11">
        <v>46172</v>
      </c>
      <c r="B1739" s="3">
        <v>6</v>
      </c>
      <c r="C1739" t="s">
        <v>116</v>
      </c>
      <c r="D1739" t="s">
        <v>18</v>
      </c>
      <c r="E1739" s="3">
        <v>22</v>
      </c>
      <c r="F1739" t="s">
        <v>19</v>
      </c>
      <c r="G1739" t="s">
        <v>83</v>
      </c>
      <c r="H1739" t="s">
        <v>31</v>
      </c>
      <c r="I1739" s="12">
        <v>0.77777777777777779</v>
      </c>
      <c r="J1739" t="s">
        <v>84</v>
      </c>
      <c r="K1739" t="s">
        <v>31</v>
      </c>
      <c r="L1739" s="12">
        <v>0.80555555555555558</v>
      </c>
      <c r="M1739" t="s">
        <v>63</v>
      </c>
      <c r="N1739" s="3">
        <v>232</v>
      </c>
      <c r="O1739" t="s">
        <v>24</v>
      </c>
      <c r="P1739" t="s">
        <v>79</v>
      </c>
      <c r="R1739">
        <f>tblDailySchedule[[#This Row],[Capacity Approx]]*'[1]Load Factor Sheet June Acft  '!$B$5</f>
        <v>187.86727272727273</v>
      </c>
      <c r="S1739">
        <f>tblDailySchedule[[#This Row],[Capacity Approx]]*'[1]Load Factor Sheet June Acft  '!$D$5</f>
        <v>203.4218181818182</v>
      </c>
      <c r="T1739" s="22">
        <f>tblDailySchedule[[#This Row],[STD]]</f>
        <v>0.80555555555555558</v>
      </c>
    </row>
    <row r="1740" spans="1:20" hidden="1" x14ac:dyDescent="0.35">
      <c r="A1740" s="11">
        <v>46172</v>
      </c>
      <c r="B1740" s="3">
        <v>6</v>
      </c>
      <c r="C1740" t="s">
        <v>116</v>
      </c>
      <c r="D1740" t="s">
        <v>18</v>
      </c>
      <c r="E1740" s="3">
        <v>23</v>
      </c>
      <c r="F1740" t="s">
        <v>19</v>
      </c>
      <c r="G1740" t="s">
        <v>85</v>
      </c>
      <c r="H1740" t="s">
        <v>86</v>
      </c>
      <c r="I1740" s="12">
        <v>0.79861111111111116</v>
      </c>
      <c r="J1740" t="s">
        <v>87</v>
      </c>
      <c r="K1740" t="s">
        <v>86</v>
      </c>
      <c r="L1740" s="12">
        <v>0.82638888888888884</v>
      </c>
      <c r="M1740" t="s">
        <v>63</v>
      </c>
      <c r="N1740" s="3">
        <v>232</v>
      </c>
      <c r="O1740" t="s">
        <v>24</v>
      </c>
      <c r="P1740" t="s">
        <v>79</v>
      </c>
      <c r="R1740">
        <f>tblDailySchedule[[#This Row],[Capacity Approx]]*'[1]Load Factor Sheet June Acft  '!$B$5</f>
        <v>187.86727272727273</v>
      </c>
      <c r="S1740">
        <f>tblDailySchedule[[#This Row],[Capacity Approx]]*'[1]Load Factor Sheet June Acft  '!$D$5</f>
        <v>203.4218181818182</v>
      </c>
      <c r="T1740" s="22">
        <f>tblDailySchedule[[#This Row],[STD]]</f>
        <v>0.82638888888888884</v>
      </c>
    </row>
    <row r="1741" spans="1:20" hidden="1" x14ac:dyDescent="0.35">
      <c r="A1741" s="11">
        <v>46172</v>
      </c>
      <c r="B1741" s="3">
        <v>6</v>
      </c>
      <c r="C1741" t="s">
        <v>116</v>
      </c>
      <c r="D1741" t="s">
        <v>18</v>
      </c>
      <c r="E1741" s="3">
        <v>24</v>
      </c>
      <c r="F1741" t="s">
        <v>19</v>
      </c>
      <c r="G1741" t="s">
        <v>88</v>
      </c>
      <c r="H1741" t="s">
        <v>89</v>
      </c>
      <c r="I1741" s="12">
        <v>0.83333333333333337</v>
      </c>
      <c r="J1741" t="s">
        <v>90</v>
      </c>
      <c r="K1741" t="s">
        <v>31</v>
      </c>
      <c r="L1741" s="12">
        <v>0.86111111111111116</v>
      </c>
      <c r="M1741" t="s">
        <v>63</v>
      </c>
      <c r="N1741" s="3">
        <v>232</v>
      </c>
      <c r="O1741" t="s">
        <v>24</v>
      </c>
      <c r="P1741" t="s">
        <v>79</v>
      </c>
      <c r="R1741">
        <f>tblDailySchedule[[#This Row],[Capacity Approx]]*'[1]Load Factor Sheet June Acft  '!$B$5</f>
        <v>187.86727272727273</v>
      </c>
      <c r="S1741">
        <f>tblDailySchedule[[#This Row],[Capacity Approx]]*'[1]Load Factor Sheet June Acft  '!$D$5</f>
        <v>203.4218181818182</v>
      </c>
      <c r="T1741" s="22">
        <f>tblDailySchedule[[#This Row],[STD]]</f>
        <v>0.86111111111111116</v>
      </c>
    </row>
    <row r="1742" spans="1:20" hidden="1" x14ac:dyDescent="0.35">
      <c r="A1742" s="11">
        <v>46172</v>
      </c>
      <c r="B1742" s="3">
        <v>6</v>
      </c>
      <c r="C1742" t="s">
        <v>116</v>
      </c>
      <c r="D1742" t="s">
        <v>18</v>
      </c>
      <c r="E1742" s="3">
        <v>25</v>
      </c>
      <c r="F1742" t="s">
        <v>19</v>
      </c>
      <c r="G1742" t="s">
        <v>91</v>
      </c>
      <c r="H1742" t="s">
        <v>61</v>
      </c>
      <c r="I1742" s="12">
        <v>0.85416666666666663</v>
      </c>
      <c r="J1742" t="s">
        <v>92</v>
      </c>
      <c r="K1742" t="s">
        <v>61</v>
      </c>
      <c r="L1742" s="12">
        <v>0.88194444444444442</v>
      </c>
      <c r="M1742" t="s">
        <v>63</v>
      </c>
      <c r="N1742" s="3">
        <v>232</v>
      </c>
      <c r="O1742" t="s">
        <v>24</v>
      </c>
      <c r="P1742" t="s">
        <v>79</v>
      </c>
      <c r="R1742">
        <f>tblDailySchedule[[#This Row],[Capacity Approx]]*'[1]Load Factor Sheet June Acft  '!$B$5</f>
        <v>187.86727272727273</v>
      </c>
      <c r="S1742">
        <f>tblDailySchedule[[#This Row],[Capacity Approx]]*'[1]Load Factor Sheet June Acft  '!$D$5</f>
        <v>203.4218181818182</v>
      </c>
      <c r="T1742" s="22">
        <f>tblDailySchedule[[#This Row],[STD]]</f>
        <v>0.88194444444444442</v>
      </c>
    </row>
    <row r="1743" spans="1:20" hidden="1" x14ac:dyDescent="0.35">
      <c r="A1743" s="11">
        <v>46172</v>
      </c>
      <c r="B1743" s="3">
        <v>6</v>
      </c>
      <c r="C1743" t="s">
        <v>116</v>
      </c>
      <c r="D1743" t="s">
        <v>18</v>
      </c>
      <c r="E1743" s="3">
        <v>26</v>
      </c>
      <c r="F1743" t="s">
        <v>19</v>
      </c>
      <c r="G1743" t="s">
        <v>93</v>
      </c>
      <c r="H1743" t="s">
        <v>31</v>
      </c>
      <c r="I1743" s="12">
        <v>0.86111111111111116</v>
      </c>
      <c r="J1743" t="s">
        <v>94</v>
      </c>
      <c r="K1743" t="s">
        <v>31</v>
      </c>
      <c r="L1743" s="12">
        <v>0.88888888888888884</v>
      </c>
      <c r="M1743" t="s">
        <v>23</v>
      </c>
      <c r="N1743" s="3">
        <v>186</v>
      </c>
      <c r="O1743" t="s">
        <v>24</v>
      </c>
      <c r="P1743" t="s">
        <v>79</v>
      </c>
      <c r="R1743">
        <f>tblDailySchedule[[#This Row],[Capacity Approx]]*'[1]Load Factor Sheet June Acft  '!$B$5</f>
        <v>150.61772727272728</v>
      </c>
      <c r="S1743">
        <f>tblDailySchedule[[#This Row],[Capacity Approx]]*'[1]Load Factor Sheet June Acft  '!$D$5</f>
        <v>163.08818181818182</v>
      </c>
      <c r="T1743" s="22">
        <f>tblDailySchedule[[#This Row],[STD]]</f>
        <v>0.88888888888888884</v>
      </c>
    </row>
    <row r="1744" spans="1:20" hidden="1" x14ac:dyDescent="0.35">
      <c r="A1744" s="11">
        <v>46172</v>
      </c>
      <c r="B1744" s="3">
        <v>6</v>
      </c>
      <c r="C1744" t="s">
        <v>116</v>
      </c>
      <c r="D1744" t="s">
        <v>18</v>
      </c>
      <c r="E1744" s="3">
        <v>27</v>
      </c>
      <c r="F1744" t="s">
        <v>19</v>
      </c>
      <c r="G1744" t="s">
        <v>95</v>
      </c>
      <c r="H1744" t="s">
        <v>21</v>
      </c>
      <c r="I1744" s="12">
        <v>0.86805555555555558</v>
      </c>
      <c r="J1744" t="s">
        <v>96</v>
      </c>
      <c r="K1744" t="s">
        <v>21</v>
      </c>
      <c r="L1744" s="12">
        <v>0.89583333333333337</v>
      </c>
      <c r="M1744" t="s">
        <v>29</v>
      </c>
      <c r="N1744" s="3">
        <v>186</v>
      </c>
      <c r="O1744" t="s">
        <v>24</v>
      </c>
      <c r="P1744" t="s">
        <v>79</v>
      </c>
      <c r="R1744">
        <f>tblDailySchedule[[#This Row],[Capacity Approx]]*'[1]Load Factor Sheet June Acft  '!$B$5</f>
        <v>150.61772727272728</v>
      </c>
      <c r="S1744">
        <f>tblDailySchedule[[#This Row],[Capacity Approx]]*'[1]Load Factor Sheet June Acft  '!$D$5</f>
        <v>163.08818181818182</v>
      </c>
      <c r="T1744" s="22">
        <f>tblDailySchedule[[#This Row],[STD]]</f>
        <v>0.89583333333333337</v>
      </c>
    </row>
    <row r="1745" spans="1:20" hidden="1" x14ac:dyDescent="0.35">
      <c r="A1745" s="11">
        <v>46172</v>
      </c>
      <c r="B1745" s="3">
        <v>6</v>
      </c>
      <c r="C1745" t="s">
        <v>116</v>
      </c>
      <c r="D1745" t="s">
        <v>18</v>
      </c>
      <c r="E1745" s="3">
        <v>28</v>
      </c>
      <c r="F1745" t="s">
        <v>19</v>
      </c>
      <c r="G1745" t="s">
        <v>97</v>
      </c>
      <c r="H1745" t="s">
        <v>49</v>
      </c>
      <c r="I1745" s="12">
        <v>0.90277777777777779</v>
      </c>
      <c r="J1745" t="s">
        <v>97</v>
      </c>
      <c r="K1745" t="s">
        <v>61</v>
      </c>
      <c r="L1745" s="12">
        <v>0.92361111111111116</v>
      </c>
      <c r="M1745" t="s">
        <v>33</v>
      </c>
      <c r="N1745" s="3">
        <v>189</v>
      </c>
      <c r="O1745" t="s">
        <v>24</v>
      </c>
      <c r="P1745" t="s">
        <v>79</v>
      </c>
      <c r="R1745">
        <f>tblDailySchedule[[#This Row],[Capacity Approx]]*'[1]Load Factor Sheet June Acft  '!$B$5</f>
        <v>153.04704545454547</v>
      </c>
      <c r="S1745">
        <f>tblDailySchedule[[#This Row],[Capacity Approx]]*'[1]Load Factor Sheet June Acft  '!$D$5</f>
        <v>165.71863636363636</v>
      </c>
      <c r="T1745" s="22">
        <f>tblDailySchedule[[#This Row],[STD]]</f>
        <v>0.92361111111111116</v>
      </c>
    </row>
    <row r="1746" spans="1:20" hidden="1" x14ac:dyDescent="0.35">
      <c r="A1746" s="11">
        <v>46172</v>
      </c>
      <c r="B1746" s="3">
        <v>6</v>
      </c>
      <c r="C1746" t="s">
        <v>116</v>
      </c>
      <c r="D1746" t="s">
        <v>18</v>
      </c>
      <c r="E1746" s="3">
        <v>29</v>
      </c>
      <c r="F1746" t="s">
        <v>19</v>
      </c>
      <c r="G1746" t="s">
        <v>98</v>
      </c>
      <c r="H1746" t="s">
        <v>21</v>
      </c>
      <c r="I1746" s="12">
        <v>0.92013888888888884</v>
      </c>
      <c r="J1746" t="s">
        <v>99</v>
      </c>
      <c r="K1746" t="s">
        <v>21</v>
      </c>
      <c r="L1746" s="12">
        <v>0.94791666666666663</v>
      </c>
      <c r="M1746" t="s">
        <v>63</v>
      </c>
      <c r="N1746" s="3">
        <v>232</v>
      </c>
      <c r="O1746" t="s">
        <v>24</v>
      </c>
      <c r="P1746" t="s">
        <v>79</v>
      </c>
      <c r="R1746">
        <f>tblDailySchedule[[#This Row],[Capacity Approx]]*'[1]Load Factor Sheet June Acft  '!$B$5</f>
        <v>187.86727272727273</v>
      </c>
      <c r="S1746">
        <f>tblDailySchedule[[#This Row],[Capacity Approx]]*'[1]Load Factor Sheet June Acft  '!$D$5</f>
        <v>203.4218181818182</v>
      </c>
      <c r="T1746" s="22">
        <f>tblDailySchedule[[#This Row],[STD]]</f>
        <v>0.94791666666666663</v>
      </c>
    </row>
    <row r="1747" spans="1:20" hidden="1" x14ac:dyDescent="0.35">
      <c r="A1747" s="13">
        <v>46172</v>
      </c>
      <c r="B1747" s="7">
        <v>6</v>
      </c>
      <c r="C1747" s="14" t="s">
        <v>116</v>
      </c>
      <c r="D1747" s="14" t="s">
        <v>18</v>
      </c>
      <c r="E1747" s="7">
        <v>30</v>
      </c>
      <c r="F1747" s="14" t="s">
        <v>104</v>
      </c>
      <c r="G1747" s="14" t="s">
        <v>105</v>
      </c>
      <c r="H1747" s="14" t="s">
        <v>106</v>
      </c>
      <c r="I1747" s="15">
        <v>0.92708333333333337</v>
      </c>
      <c r="J1747" s="14" t="s">
        <v>107</v>
      </c>
      <c r="K1747" s="14" t="s">
        <v>106</v>
      </c>
      <c r="L1747" s="15">
        <v>0.95833333333333337</v>
      </c>
      <c r="M1747" s="14" t="s">
        <v>38</v>
      </c>
      <c r="N1747" s="7">
        <v>186</v>
      </c>
      <c r="O1747" s="14" t="s">
        <v>39</v>
      </c>
      <c r="P1747" s="14" t="s">
        <v>79</v>
      </c>
      <c r="Q1747" s="14" t="s">
        <v>39</v>
      </c>
      <c r="R1747">
        <f>tblDailySchedule[[#This Row],[Capacity Approx]]*'[1]Load Factor Sheet June Acft  '!$B$5</f>
        <v>150.61772727272728</v>
      </c>
      <c r="S1747">
        <f>tblDailySchedule[[#This Row],[Capacity Approx]]*'[1]Load Factor Sheet June Acft  '!$D$5</f>
        <v>163.08818181818182</v>
      </c>
      <c r="T1747" s="22">
        <f>tblDailySchedule[[#This Row],[STD]]</f>
        <v>0.95833333333333337</v>
      </c>
    </row>
    <row r="1748" spans="1:20" hidden="1" x14ac:dyDescent="0.35">
      <c r="A1748" s="11">
        <v>46173</v>
      </c>
      <c r="B1748" s="3">
        <v>7</v>
      </c>
      <c r="C1748" t="s">
        <v>17</v>
      </c>
      <c r="D1748" t="s">
        <v>18</v>
      </c>
      <c r="E1748" s="3">
        <v>2</v>
      </c>
      <c r="F1748" t="s">
        <v>19</v>
      </c>
      <c r="G1748" t="s">
        <v>20</v>
      </c>
      <c r="H1748" t="s">
        <v>21</v>
      </c>
      <c r="I1748" s="12">
        <v>0.31944444444444442</v>
      </c>
      <c r="J1748" t="s">
        <v>22</v>
      </c>
      <c r="K1748" t="s">
        <v>21</v>
      </c>
      <c r="L1748" s="12">
        <v>0.34722222222222221</v>
      </c>
      <c r="M1748" t="s">
        <v>23</v>
      </c>
      <c r="N1748" s="3">
        <v>186</v>
      </c>
      <c r="O1748" t="s">
        <v>24</v>
      </c>
      <c r="P1748" t="s">
        <v>25</v>
      </c>
      <c r="R1748">
        <f>tblDailySchedule[[#This Row],[Capacity Approx]]*'[1]Load Factor Sheet June Acft  '!$B$5</f>
        <v>150.61772727272728</v>
      </c>
      <c r="S1748">
        <f>tblDailySchedule[[#This Row],[Capacity Approx]]*'[1]Load Factor Sheet June Acft  '!$D$5</f>
        <v>163.08818181818182</v>
      </c>
      <c r="T1748" s="22">
        <f>tblDailySchedule[[#This Row],[STD]]</f>
        <v>0.34722222222222221</v>
      </c>
    </row>
    <row r="1749" spans="1:20" hidden="1" x14ac:dyDescent="0.35">
      <c r="A1749" s="11">
        <v>46173</v>
      </c>
      <c r="B1749" s="3">
        <v>7</v>
      </c>
      <c r="C1749" t="s">
        <v>17</v>
      </c>
      <c r="D1749" t="s">
        <v>18</v>
      </c>
      <c r="E1749" s="3">
        <v>3</v>
      </c>
      <c r="F1749" t="s">
        <v>19</v>
      </c>
      <c r="G1749" t="s">
        <v>26</v>
      </c>
      <c r="H1749" t="s">
        <v>27</v>
      </c>
      <c r="I1749" s="12">
        <v>0.3263888888888889</v>
      </c>
      <c r="J1749" t="s">
        <v>28</v>
      </c>
      <c r="K1749" t="s">
        <v>27</v>
      </c>
      <c r="L1749" s="12">
        <v>0.35416666666666669</v>
      </c>
      <c r="M1749" t="s">
        <v>29</v>
      </c>
      <c r="N1749" s="3">
        <v>186</v>
      </c>
      <c r="O1749" t="s">
        <v>24</v>
      </c>
      <c r="P1749" t="s">
        <v>25</v>
      </c>
      <c r="R1749">
        <f>tblDailySchedule[[#This Row],[Capacity Approx]]*'[1]Load Factor Sheet June Acft  '!$B$5</f>
        <v>150.61772727272728</v>
      </c>
      <c r="S1749">
        <f>tblDailySchedule[[#This Row],[Capacity Approx]]*'[1]Load Factor Sheet June Acft  '!$D$5</f>
        <v>163.08818181818182</v>
      </c>
      <c r="T1749" s="22">
        <f>tblDailySchedule[[#This Row],[STD]]</f>
        <v>0.35416666666666669</v>
      </c>
    </row>
    <row r="1750" spans="1:20" hidden="1" x14ac:dyDescent="0.35">
      <c r="A1750" s="11">
        <v>46173</v>
      </c>
      <c r="B1750" s="3">
        <v>7</v>
      </c>
      <c r="C1750" t="s">
        <v>17</v>
      </c>
      <c r="D1750" t="s">
        <v>18</v>
      </c>
      <c r="E1750" s="3">
        <v>4</v>
      </c>
      <c r="F1750" t="s">
        <v>19</v>
      </c>
      <c r="G1750" t="s">
        <v>30</v>
      </c>
      <c r="H1750" t="s">
        <v>31</v>
      </c>
      <c r="I1750" s="12">
        <v>0.34722222222222221</v>
      </c>
      <c r="J1750" t="s">
        <v>32</v>
      </c>
      <c r="K1750" t="s">
        <v>31</v>
      </c>
      <c r="L1750" s="12">
        <v>0.36805555555555558</v>
      </c>
      <c r="M1750" t="s">
        <v>33</v>
      </c>
      <c r="N1750" s="3">
        <v>189</v>
      </c>
      <c r="O1750" t="s">
        <v>24</v>
      </c>
      <c r="P1750" t="s">
        <v>25</v>
      </c>
      <c r="R1750">
        <f>tblDailySchedule[[#This Row],[Capacity Approx]]*'[1]Load Factor Sheet June Acft  '!$B$5</f>
        <v>153.04704545454547</v>
      </c>
      <c r="S1750">
        <f>tblDailySchedule[[#This Row],[Capacity Approx]]*'[1]Load Factor Sheet June Acft  '!$D$5</f>
        <v>165.71863636363636</v>
      </c>
      <c r="T1750" s="22">
        <f>tblDailySchedule[[#This Row],[STD]]</f>
        <v>0.36805555555555558</v>
      </c>
    </row>
    <row r="1751" spans="1:20" hidden="1" x14ac:dyDescent="0.35">
      <c r="A1751" s="13">
        <v>46173</v>
      </c>
      <c r="B1751" s="7">
        <v>7</v>
      </c>
      <c r="C1751" s="14" t="s">
        <v>17</v>
      </c>
      <c r="D1751" s="14" t="s">
        <v>18</v>
      </c>
      <c r="E1751" s="7">
        <v>6</v>
      </c>
      <c r="F1751" s="14" t="s">
        <v>34</v>
      </c>
      <c r="G1751" s="14" t="s">
        <v>35</v>
      </c>
      <c r="H1751" s="14" t="s">
        <v>36</v>
      </c>
      <c r="I1751" s="15">
        <v>0.34722222222222221</v>
      </c>
      <c r="J1751" s="14" t="s">
        <v>37</v>
      </c>
      <c r="K1751" s="14" t="s">
        <v>36</v>
      </c>
      <c r="L1751" s="15">
        <v>0.40972222222222221</v>
      </c>
      <c r="M1751" s="14" t="s">
        <v>38</v>
      </c>
      <c r="N1751" s="7">
        <v>186</v>
      </c>
      <c r="O1751" s="14" t="s">
        <v>39</v>
      </c>
      <c r="P1751" s="14" t="s">
        <v>25</v>
      </c>
      <c r="Q1751" s="14" t="s">
        <v>39</v>
      </c>
      <c r="R1751">
        <f>tblDailySchedule[[#This Row],[Capacity Approx]]*'[1]Load Factor Sheet June Acft  '!$B$5</f>
        <v>150.61772727272728</v>
      </c>
      <c r="S1751">
        <f>tblDailySchedule[[#This Row],[Capacity Approx]]*'[1]Load Factor Sheet June Acft  '!$D$5</f>
        <v>163.08818181818182</v>
      </c>
      <c r="T1751" s="22">
        <f>tblDailySchedule[[#This Row],[STD]]</f>
        <v>0.40972222222222221</v>
      </c>
    </row>
    <row r="1752" spans="1:20" hidden="1" x14ac:dyDescent="0.35">
      <c r="A1752" s="11">
        <v>46173</v>
      </c>
      <c r="B1752" s="3">
        <v>7</v>
      </c>
      <c r="C1752" t="s">
        <v>17</v>
      </c>
      <c r="D1752" t="s">
        <v>18</v>
      </c>
      <c r="E1752" s="3">
        <v>5</v>
      </c>
      <c r="F1752" t="s">
        <v>19</v>
      </c>
      <c r="G1752" t="s">
        <v>40</v>
      </c>
      <c r="H1752" t="s">
        <v>31</v>
      </c>
      <c r="I1752" s="12">
        <v>0.35069444444444442</v>
      </c>
      <c r="J1752" t="s">
        <v>41</v>
      </c>
      <c r="K1752" t="s">
        <v>31</v>
      </c>
      <c r="L1752" s="12">
        <v>0.37152777777777779</v>
      </c>
      <c r="M1752" t="s">
        <v>23</v>
      </c>
      <c r="N1752" s="3">
        <v>186</v>
      </c>
      <c r="O1752" t="s">
        <v>24</v>
      </c>
      <c r="P1752" t="s">
        <v>25</v>
      </c>
      <c r="R1752">
        <f>tblDailySchedule[[#This Row],[Capacity Approx]]*'[1]Load Factor Sheet June Acft  '!$B$5</f>
        <v>150.61772727272728</v>
      </c>
      <c r="S1752">
        <f>tblDailySchedule[[#This Row],[Capacity Approx]]*'[1]Load Factor Sheet June Acft  '!$D$5</f>
        <v>163.08818181818182</v>
      </c>
      <c r="T1752" s="22">
        <f>tblDailySchedule[[#This Row],[STD]]</f>
        <v>0.37152777777777779</v>
      </c>
    </row>
    <row r="1753" spans="1:20" hidden="1" x14ac:dyDescent="0.35">
      <c r="A1753" s="11">
        <v>46173</v>
      </c>
      <c r="B1753" s="3">
        <v>7</v>
      </c>
      <c r="C1753" t="s">
        <v>17</v>
      </c>
      <c r="D1753" t="s">
        <v>18</v>
      </c>
      <c r="E1753" s="3">
        <v>7</v>
      </c>
      <c r="F1753" t="s">
        <v>19</v>
      </c>
      <c r="G1753" t="s">
        <v>42</v>
      </c>
      <c r="H1753" t="s">
        <v>43</v>
      </c>
      <c r="I1753" s="12">
        <v>0.3923611111111111</v>
      </c>
      <c r="J1753" t="s">
        <v>44</v>
      </c>
      <c r="K1753" t="s">
        <v>43</v>
      </c>
      <c r="L1753" s="12">
        <v>0.40277777777777779</v>
      </c>
      <c r="M1753" t="s">
        <v>45</v>
      </c>
      <c r="N1753" s="3">
        <v>9</v>
      </c>
      <c r="O1753" t="s">
        <v>24</v>
      </c>
      <c r="P1753" t="s">
        <v>25</v>
      </c>
      <c r="R1753">
        <f>tblDailySchedule[[#This Row],[Capacity Approx]]*'[1]Load Factor Sheet June Acft  '!$B$5</f>
        <v>7.2879545454545456</v>
      </c>
      <c r="S1753">
        <f>tblDailySchedule[[#This Row],[Capacity Approx]]*'[1]Load Factor Sheet June Acft  '!$D$5</f>
        <v>7.8913636363636366</v>
      </c>
      <c r="T1753" s="22">
        <f>tblDailySchedule[[#This Row],[STD]]</f>
        <v>0.40277777777777779</v>
      </c>
    </row>
    <row r="1754" spans="1:20" hidden="1" x14ac:dyDescent="0.35">
      <c r="A1754" s="11">
        <v>46173</v>
      </c>
      <c r="B1754" s="3">
        <v>7</v>
      </c>
      <c r="C1754" t="s">
        <v>17</v>
      </c>
      <c r="D1754" t="s">
        <v>18</v>
      </c>
      <c r="E1754" s="3">
        <v>8</v>
      </c>
      <c r="F1754" t="s">
        <v>19</v>
      </c>
      <c r="G1754" t="s">
        <v>46</v>
      </c>
      <c r="H1754" t="s">
        <v>31</v>
      </c>
      <c r="I1754" s="12">
        <v>0.4201388888888889</v>
      </c>
      <c r="J1754" t="s">
        <v>47</v>
      </c>
      <c r="K1754" t="s">
        <v>31</v>
      </c>
      <c r="L1754" s="12">
        <v>0.44444444444444442</v>
      </c>
      <c r="M1754" t="s">
        <v>29</v>
      </c>
      <c r="N1754" s="3">
        <v>186</v>
      </c>
      <c r="O1754" t="s">
        <v>24</v>
      </c>
      <c r="P1754" t="s">
        <v>25</v>
      </c>
      <c r="R1754">
        <f>tblDailySchedule[[#This Row],[Capacity Approx]]*'[1]Load Factor Sheet June Acft  '!$B$5</f>
        <v>150.61772727272728</v>
      </c>
      <c r="S1754">
        <f>tblDailySchedule[[#This Row],[Capacity Approx]]*'[1]Load Factor Sheet June Acft  '!$D$5</f>
        <v>163.08818181818182</v>
      </c>
      <c r="T1754" s="22">
        <f>tblDailySchedule[[#This Row],[STD]]</f>
        <v>0.44444444444444442</v>
      </c>
    </row>
    <row r="1755" spans="1:20" hidden="1" x14ac:dyDescent="0.35">
      <c r="A1755" s="11">
        <v>46173</v>
      </c>
      <c r="B1755" s="3">
        <v>7</v>
      </c>
      <c r="C1755" t="s">
        <v>17</v>
      </c>
      <c r="D1755" t="s">
        <v>18</v>
      </c>
      <c r="E1755" s="3">
        <v>9</v>
      </c>
      <c r="F1755" t="s">
        <v>19</v>
      </c>
      <c r="G1755" t="s">
        <v>48</v>
      </c>
      <c r="H1755" t="s">
        <v>49</v>
      </c>
      <c r="I1755" s="12">
        <v>0.4375</v>
      </c>
      <c r="J1755" t="s">
        <v>50</v>
      </c>
      <c r="K1755" t="s">
        <v>49</v>
      </c>
      <c r="L1755" s="12">
        <v>0.45833333333333331</v>
      </c>
      <c r="M1755" t="s">
        <v>51</v>
      </c>
      <c r="N1755" s="3">
        <v>78</v>
      </c>
      <c r="O1755" t="s">
        <v>24</v>
      </c>
      <c r="P1755" t="s">
        <v>25</v>
      </c>
      <c r="R1755">
        <f>tblDailySchedule[[#This Row],[Capacity Approx]]*'[1]Load Factor Sheet June Acft  '!$B$5</f>
        <v>63.162272727272729</v>
      </c>
      <c r="S1755">
        <f>tblDailySchedule[[#This Row],[Capacity Approx]]*'[1]Load Factor Sheet June Acft  '!$D$5</f>
        <v>68.391818181818181</v>
      </c>
      <c r="T1755" s="22">
        <f>tblDailySchedule[[#This Row],[STD]]</f>
        <v>0.45833333333333331</v>
      </c>
    </row>
    <row r="1756" spans="1:20" hidden="1" x14ac:dyDescent="0.35">
      <c r="A1756" s="11">
        <v>46173</v>
      </c>
      <c r="B1756" s="3">
        <v>7</v>
      </c>
      <c r="C1756" t="s">
        <v>17</v>
      </c>
      <c r="D1756" t="s">
        <v>18</v>
      </c>
      <c r="E1756" s="3">
        <v>10</v>
      </c>
      <c r="F1756" t="s">
        <v>19</v>
      </c>
      <c r="G1756" t="s">
        <v>52</v>
      </c>
      <c r="H1756" t="s">
        <v>27</v>
      </c>
      <c r="I1756" s="12">
        <v>0.4826388888888889</v>
      </c>
      <c r="J1756" t="s">
        <v>53</v>
      </c>
      <c r="K1756" t="s">
        <v>27</v>
      </c>
      <c r="L1756" s="12">
        <v>0.51041666666666663</v>
      </c>
      <c r="M1756" t="s">
        <v>23</v>
      </c>
      <c r="N1756" s="3">
        <v>186</v>
      </c>
      <c r="O1756" t="s">
        <v>24</v>
      </c>
      <c r="P1756" t="s">
        <v>25</v>
      </c>
      <c r="R1756">
        <f>tblDailySchedule[[#This Row],[Capacity Approx]]*'[1]Load Factor Sheet June Acft  '!$B$5</f>
        <v>150.61772727272728</v>
      </c>
      <c r="S1756">
        <f>tblDailySchedule[[#This Row],[Capacity Approx]]*'[1]Load Factor Sheet June Acft  '!$D$5</f>
        <v>163.08818181818182</v>
      </c>
      <c r="T1756" s="22">
        <f>tblDailySchedule[[#This Row],[STD]]</f>
        <v>0.51041666666666663</v>
      </c>
    </row>
    <row r="1757" spans="1:20" hidden="1" x14ac:dyDescent="0.35">
      <c r="A1757" s="11">
        <v>46173</v>
      </c>
      <c r="B1757" s="3">
        <v>7</v>
      </c>
      <c r="C1757" t="s">
        <v>17</v>
      </c>
      <c r="D1757" t="s">
        <v>18</v>
      </c>
      <c r="E1757" s="3">
        <v>11</v>
      </c>
      <c r="F1757" t="s">
        <v>19</v>
      </c>
      <c r="G1757" t="s">
        <v>54</v>
      </c>
      <c r="H1757" t="s">
        <v>31</v>
      </c>
      <c r="I1757" s="12">
        <v>0.51388888888888884</v>
      </c>
      <c r="J1757" t="s">
        <v>55</v>
      </c>
      <c r="K1757" t="s">
        <v>31</v>
      </c>
      <c r="L1757" s="12">
        <v>0.54166666666666663</v>
      </c>
      <c r="M1757" t="s">
        <v>23</v>
      </c>
      <c r="N1757" s="3">
        <v>186</v>
      </c>
      <c r="O1757" t="s">
        <v>24</v>
      </c>
      <c r="P1757" t="s">
        <v>56</v>
      </c>
      <c r="R1757">
        <f>tblDailySchedule[[#This Row],[Capacity Approx]]*'[1]Load Factor Sheet June Acft  '!$B$5</f>
        <v>150.61772727272728</v>
      </c>
      <c r="S1757">
        <f>tblDailySchedule[[#This Row],[Capacity Approx]]*'[1]Load Factor Sheet June Acft  '!$D$5</f>
        <v>163.08818181818182</v>
      </c>
      <c r="T1757" s="22">
        <f>tblDailySchedule[[#This Row],[STD]]</f>
        <v>0.54166666666666663</v>
      </c>
    </row>
    <row r="1758" spans="1:20" hidden="1" x14ac:dyDescent="0.35">
      <c r="A1758" s="11">
        <v>46173</v>
      </c>
      <c r="B1758" s="3">
        <v>7</v>
      </c>
      <c r="C1758" t="s">
        <v>17</v>
      </c>
      <c r="D1758" t="s">
        <v>18</v>
      </c>
      <c r="E1758" s="3">
        <v>13</v>
      </c>
      <c r="F1758" t="s">
        <v>19</v>
      </c>
      <c r="G1758" t="s">
        <v>57</v>
      </c>
      <c r="H1758" t="s">
        <v>58</v>
      </c>
      <c r="I1758" s="12">
        <v>0.55902777777777779</v>
      </c>
      <c r="J1758" t="s">
        <v>59</v>
      </c>
      <c r="K1758" t="s">
        <v>58</v>
      </c>
      <c r="L1758" s="12">
        <v>0.57638888888888884</v>
      </c>
      <c r="M1758" t="s">
        <v>51</v>
      </c>
      <c r="N1758" s="3">
        <v>78</v>
      </c>
      <c r="O1758" t="s">
        <v>24</v>
      </c>
      <c r="P1758" t="s">
        <v>56</v>
      </c>
      <c r="R1758">
        <f>tblDailySchedule[[#This Row],[Capacity Approx]]*'[1]Load Factor Sheet June Acft  '!$B$5</f>
        <v>63.162272727272729</v>
      </c>
      <c r="S1758">
        <f>tblDailySchedule[[#This Row],[Capacity Approx]]*'[1]Load Factor Sheet June Acft  '!$D$5</f>
        <v>68.391818181818181</v>
      </c>
      <c r="T1758" s="22">
        <f>tblDailySchedule[[#This Row],[STD]]</f>
        <v>0.57638888888888884</v>
      </c>
    </row>
    <row r="1759" spans="1:20" hidden="1" x14ac:dyDescent="0.35">
      <c r="A1759" s="11">
        <v>46173</v>
      </c>
      <c r="B1759" s="3">
        <v>7</v>
      </c>
      <c r="C1759" t="s">
        <v>17</v>
      </c>
      <c r="D1759" t="s">
        <v>18</v>
      </c>
      <c r="E1759" s="3">
        <v>14</v>
      </c>
      <c r="F1759" t="s">
        <v>19</v>
      </c>
      <c r="G1759" t="s">
        <v>60</v>
      </c>
      <c r="H1759" t="s">
        <v>61</v>
      </c>
      <c r="I1759" s="12">
        <v>0.59027777777777779</v>
      </c>
      <c r="J1759" t="s">
        <v>62</v>
      </c>
      <c r="K1759" t="s">
        <v>61</v>
      </c>
      <c r="L1759" s="12">
        <v>0.62152777777777779</v>
      </c>
      <c r="M1759" t="s">
        <v>63</v>
      </c>
      <c r="N1759" s="3">
        <v>232</v>
      </c>
      <c r="O1759" t="s">
        <v>24</v>
      </c>
      <c r="P1759" t="s">
        <v>56</v>
      </c>
      <c r="R1759">
        <f>tblDailySchedule[[#This Row],[Capacity Approx]]*'[1]Load Factor Sheet June Acft  '!$B$5</f>
        <v>187.86727272727273</v>
      </c>
      <c r="S1759">
        <f>tblDailySchedule[[#This Row],[Capacity Approx]]*'[1]Load Factor Sheet June Acft  '!$D$5</f>
        <v>203.4218181818182</v>
      </c>
      <c r="T1759" s="22">
        <f>tblDailySchedule[[#This Row],[STD]]</f>
        <v>0.62152777777777779</v>
      </c>
    </row>
    <row r="1760" spans="1:20" hidden="1" x14ac:dyDescent="0.35">
      <c r="A1760" s="11">
        <v>46173</v>
      </c>
      <c r="B1760" s="3">
        <v>7</v>
      </c>
      <c r="C1760" t="s">
        <v>17</v>
      </c>
      <c r="D1760" t="s">
        <v>18</v>
      </c>
      <c r="E1760" s="3">
        <v>15</v>
      </c>
      <c r="F1760" t="s">
        <v>19</v>
      </c>
      <c r="G1760" t="s">
        <v>64</v>
      </c>
      <c r="H1760" t="s">
        <v>31</v>
      </c>
      <c r="I1760" s="12">
        <v>0.60069444444444442</v>
      </c>
      <c r="J1760" t="s">
        <v>65</v>
      </c>
      <c r="K1760" t="s">
        <v>66</v>
      </c>
      <c r="L1760" s="12">
        <v>0.62847222222222221</v>
      </c>
      <c r="M1760" t="s">
        <v>63</v>
      </c>
      <c r="N1760" s="3">
        <v>232</v>
      </c>
      <c r="O1760" t="s">
        <v>24</v>
      </c>
      <c r="P1760" t="s">
        <v>56</v>
      </c>
      <c r="R1760">
        <f>tblDailySchedule[[#This Row],[Capacity Approx]]*'[1]Load Factor Sheet June Acft  '!$B$5</f>
        <v>187.86727272727273</v>
      </c>
      <c r="S1760">
        <f>tblDailySchedule[[#This Row],[Capacity Approx]]*'[1]Load Factor Sheet June Acft  '!$D$5</f>
        <v>203.4218181818182</v>
      </c>
      <c r="T1760" s="22">
        <f>tblDailySchedule[[#This Row],[STD]]</f>
        <v>0.62847222222222221</v>
      </c>
    </row>
    <row r="1761" spans="1:20" hidden="1" x14ac:dyDescent="0.35">
      <c r="A1761" s="11">
        <v>46173</v>
      </c>
      <c r="B1761" s="3">
        <v>7</v>
      </c>
      <c r="C1761" t="s">
        <v>17</v>
      </c>
      <c r="D1761" t="s">
        <v>18</v>
      </c>
      <c r="E1761" s="3">
        <v>16</v>
      </c>
      <c r="F1761" t="s">
        <v>19</v>
      </c>
      <c r="G1761" t="s">
        <v>67</v>
      </c>
      <c r="H1761" t="s">
        <v>31</v>
      </c>
      <c r="I1761" s="12">
        <v>0.65625</v>
      </c>
      <c r="J1761" t="s">
        <v>68</v>
      </c>
      <c r="K1761" t="s">
        <v>31</v>
      </c>
      <c r="L1761" s="12">
        <v>0.68402777777777779</v>
      </c>
      <c r="M1761" t="s">
        <v>63</v>
      </c>
      <c r="N1761" s="3">
        <v>232</v>
      </c>
      <c r="O1761" t="s">
        <v>24</v>
      </c>
      <c r="P1761" t="s">
        <v>56</v>
      </c>
      <c r="R1761">
        <f>tblDailySchedule[[#This Row],[Capacity Approx]]*'[1]Load Factor Sheet June Acft  '!$B$5</f>
        <v>187.86727272727273</v>
      </c>
      <c r="S1761">
        <f>tblDailySchedule[[#This Row],[Capacity Approx]]*'[1]Load Factor Sheet June Acft  '!$D$5</f>
        <v>203.4218181818182</v>
      </c>
      <c r="T1761" s="22">
        <f>tblDailySchedule[[#This Row],[STD]]</f>
        <v>0.68402777777777779</v>
      </c>
    </row>
    <row r="1762" spans="1:20" hidden="1" x14ac:dyDescent="0.35">
      <c r="A1762" s="11">
        <v>46173</v>
      </c>
      <c r="B1762" s="3">
        <v>7</v>
      </c>
      <c r="C1762" t="s">
        <v>17</v>
      </c>
      <c r="D1762" t="s">
        <v>18</v>
      </c>
      <c r="E1762" s="3">
        <v>17</v>
      </c>
      <c r="F1762" t="s">
        <v>19</v>
      </c>
      <c r="G1762" t="s">
        <v>69</v>
      </c>
      <c r="H1762" t="s">
        <v>31</v>
      </c>
      <c r="I1762" s="12">
        <v>0.66319444444444442</v>
      </c>
      <c r="J1762" t="s">
        <v>70</v>
      </c>
      <c r="K1762" t="s">
        <v>31</v>
      </c>
      <c r="L1762" s="12">
        <v>0.69097222222222221</v>
      </c>
      <c r="M1762" t="s">
        <v>33</v>
      </c>
      <c r="N1762" s="3">
        <v>189</v>
      </c>
      <c r="O1762" t="s">
        <v>24</v>
      </c>
      <c r="P1762" t="s">
        <v>56</v>
      </c>
      <c r="R1762">
        <f>tblDailySchedule[[#This Row],[Capacity Approx]]*'[1]Load Factor Sheet June Acft  '!$B$5</f>
        <v>153.04704545454547</v>
      </c>
      <c r="S1762">
        <f>tblDailySchedule[[#This Row],[Capacity Approx]]*'[1]Load Factor Sheet June Acft  '!$D$5</f>
        <v>165.71863636363636</v>
      </c>
      <c r="T1762" s="22">
        <f>tblDailySchedule[[#This Row],[STD]]</f>
        <v>0.69097222222222221</v>
      </c>
    </row>
    <row r="1763" spans="1:20" hidden="1" x14ac:dyDescent="0.35">
      <c r="A1763" s="11">
        <v>46173</v>
      </c>
      <c r="B1763" s="3">
        <v>7</v>
      </c>
      <c r="C1763" t="s">
        <v>17</v>
      </c>
      <c r="D1763" t="s">
        <v>18</v>
      </c>
      <c r="E1763" s="3">
        <v>18</v>
      </c>
      <c r="F1763" t="s">
        <v>19</v>
      </c>
      <c r="G1763" t="s">
        <v>71</v>
      </c>
      <c r="H1763" t="s">
        <v>21</v>
      </c>
      <c r="I1763" s="12">
        <v>0.67013888888888884</v>
      </c>
      <c r="J1763" t="s">
        <v>72</v>
      </c>
      <c r="K1763" t="s">
        <v>21</v>
      </c>
      <c r="L1763" s="12">
        <v>0.69791666666666663</v>
      </c>
      <c r="M1763" t="s">
        <v>63</v>
      </c>
      <c r="N1763" s="3">
        <v>232</v>
      </c>
      <c r="O1763" t="s">
        <v>24</v>
      </c>
      <c r="P1763" t="s">
        <v>56</v>
      </c>
      <c r="R1763">
        <f>tblDailySchedule[[#This Row],[Capacity Approx]]*'[1]Load Factor Sheet June Acft  '!$B$5</f>
        <v>187.86727272727273</v>
      </c>
      <c r="S1763">
        <f>tblDailySchedule[[#This Row],[Capacity Approx]]*'[1]Load Factor Sheet June Acft  '!$D$5</f>
        <v>203.4218181818182</v>
      </c>
      <c r="T1763" s="22">
        <f>tblDailySchedule[[#This Row],[STD]]</f>
        <v>0.69791666666666663</v>
      </c>
    </row>
    <row r="1764" spans="1:20" hidden="1" x14ac:dyDescent="0.35">
      <c r="A1764" s="11">
        <v>46173</v>
      </c>
      <c r="B1764" s="3">
        <v>7</v>
      </c>
      <c r="C1764" t="s">
        <v>17</v>
      </c>
      <c r="D1764" t="s">
        <v>18</v>
      </c>
      <c r="E1764" s="3">
        <v>19</v>
      </c>
      <c r="F1764" t="s">
        <v>19</v>
      </c>
      <c r="G1764" t="s">
        <v>73</v>
      </c>
      <c r="H1764" t="s">
        <v>27</v>
      </c>
      <c r="I1764" s="12">
        <v>0.74652777777777779</v>
      </c>
      <c r="J1764" t="s">
        <v>74</v>
      </c>
      <c r="K1764" t="s">
        <v>27</v>
      </c>
      <c r="L1764" s="12">
        <v>0.77430555555555558</v>
      </c>
      <c r="M1764" t="s">
        <v>63</v>
      </c>
      <c r="N1764" s="3">
        <v>232</v>
      </c>
      <c r="O1764" t="s">
        <v>24</v>
      </c>
      <c r="P1764" t="s">
        <v>56</v>
      </c>
      <c r="R1764">
        <f>tblDailySchedule[[#This Row],[Capacity Approx]]*'[1]Load Factor Sheet June Acft  '!$B$5</f>
        <v>187.86727272727273</v>
      </c>
      <c r="S1764">
        <f>tblDailySchedule[[#This Row],[Capacity Approx]]*'[1]Load Factor Sheet June Acft  '!$D$5</f>
        <v>203.4218181818182</v>
      </c>
      <c r="T1764" s="22">
        <f>tblDailySchedule[[#This Row],[STD]]</f>
        <v>0.77430555555555558</v>
      </c>
    </row>
    <row r="1765" spans="1:20" hidden="1" x14ac:dyDescent="0.35">
      <c r="A1765" s="11">
        <v>46173</v>
      </c>
      <c r="B1765" s="3">
        <v>7</v>
      </c>
      <c r="C1765" t="s">
        <v>17</v>
      </c>
      <c r="D1765" t="s">
        <v>18</v>
      </c>
      <c r="E1765" s="3">
        <v>20</v>
      </c>
      <c r="F1765" t="s">
        <v>34</v>
      </c>
      <c r="G1765" t="s">
        <v>75</v>
      </c>
      <c r="H1765" t="s">
        <v>76</v>
      </c>
      <c r="I1765" s="12">
        <v>0.76388888888888884</v>
      </c>
      <c r="J1765" t="s">
        <v>77</v>
      </c>
      <c r="K1765" t="s">
        <v>78</v>
      </c>
      <c r="L1765" s="12">
        <v>0.78472222222222221</v>
      </c>
      <c r="M1765" t="s">
        <v>51</v>
      </c>
      <c r="N1765" s="3">
        <v>78</v>
      </c>
      <c r="O1765" t="s">
        <v>24</v>
      </c>
      <c r="P1765" t="s">
        <v>79</v>
      </c>
      <c r="Q1765" s="16" t="s">
        <v>80</v>
      </c>
      <c r="R1765">
        <f>tblDailySchedule[[#This Row],[Capacity Approx]]*'[1]Load Factor Sheet June Acft  '!$B$5</f>
        <v>63.162272727272729</v>
      </c>
      <c r="S1765">
        <f>tblDailySchedule[[#This Row],[Capacity Approx]]*'[1]Load Factor Sheet June Acft  '!$D$5</f>
        <v>68.391818181818181</v>
      </c>
      <c r="T1765" s="22">
        <f>tblDailySchedule[[#This Row],[STD]]</f>
        <v>0.78472222222222221</v>
      </c>
    </row>
    <row r="1766" spans="1:20" hidden="1" x14ac:dyDescent="0.35">
      <c r="A1766" s="11">
        <v>46173</v>
      </c>
      <c r="B1766" s="3">
        <v>7</v>
      </c>
      <c r="C1766" t="s">
        <v>17</v>
      </c>
      <c r="D1766" t="s">
        <v>18</v>
      </c>
      <c r="E1766" s="3">
        <v>21</v>
      </c>
      <c r="F1766" t="s">
        <v>19</v>
      </c>
      <c r="G1766" t="s">
        <v>81</v>
      </c>
      <c r="H1766" t="s">
        <v>61</v>
      </c>
      <c r="I1766" s="12">
        <v>0.77083333333333337</v>
      </c>
      <c r="J1766" t="s">
        <v>82</v>
      </c>
      <c r="K1766" t="s">
        <v>49</v>
      </c>
      <c r="L1766" s="12">
        <v>0.79166666666666663</v>
      </c>
      <c r="M1766" t="s">
        <v>33</v>
      </c>
      <c r="N1766" s="3">
        <v>189</v>
      </c>
      <c r="O1766" t="s">
        <v>24</v>
      </c>
      <c r="P1766" t="s">
        <v>79</v>
      </c>
      <c r="R1766">
        <f>tblDailySchedule[[#This Row],[Capacity Approx]]*'[1]Load Factor Sheet June Acft  '!$B$5</f>
        <v>153.04704545454547</v>
      </c>
      <c r="S1766">
        <f>tblDailySchedule[[#This Row],[Capacity Approx]]*'[1]Load Factor Sheet June Acft  '!$D$5</f>
        <v>165.71863636363636</v>
      </c>
      <c r="T1766" s="22">
        <f>tblDailySchedule[[#This Row],[STD]]</f>
        <v>0.79166666666666663</v>
      </c>
    </row>
    <row r="1767" spans="1:20" hidden="1" x14ac:dyDescent="0.35">
      <c r="A1767" s="11">
        <v>46173</v>
      </c>
      <c r="B1767" s="3">
        <v>7</v>
      </c>
      <c r="C1767" t="s">
        <v>17</v>
      </c>
      <c r="D1767" t="s">
        <v>18</v>
      </c>
      <c r="E1767" s="3">
        <v>22</v>
      </c>
      <c r="F1767" t="s">
        <v>19</v>
      </c>
      <c r="G1767" t="s">
        <v>83</v>
      </c>
      <c r="H1767" t="s">
        <v>31</v>
      </c>
      <c r="I1767" s="12">
        <v>0.77777777777777779</v>
      </c>
      <c r="J1767" t="s">
        <v>84</v>
      </c>
      <c r="K1767" t="s">
        <v>31</v>
      </c>
      <c r="L1767" s="12">
        <v>0.80555555555555558</v>
      </c>
      <c r="M1767" t="s">
        <v>63</v>
      </c>
      <c r="N1767" s="3">
        <v>232</v>
      </c>
      <c r="O1767" t="s">
        <v>24</v>
      </c>
      <c r="P1767" t="s">
        <v>79</v>
      </c>
      <c r="R1767">
        <f>tblDailySchedule[[#This Row],[Capacity Approx]]*'[1]Load Factor Sheet June Acft  '!$B$5</f>
        <v>187.86727272727273</v>
      </c>
      <c r="S1767">
        <f>tblDailySchedule[[#This Row],[Capacity Approx]]*'[1]Load Factor Sheet June Acft  '!$D$5</f>
        <v>203.4218181818182</v>
      </c>
      <c r="T1767" s="22">
        <f>tblDailySchedule[[#This Row],[STD]]</f>
        <v>0.80555555555555558</v>
      </c>
    </row>
    <row r="1768" spans="1:20" hidden="1" x14ac:dyDescent="0.35">
      <c r="A1768" s="11">
        <v>46173</v>
      </c>
      <c r="B1768" s="3">
        <v>7</v>
      </c>
      <c r="C1768" t="s">
        <v>17</v>
      </c>
      <c r="D1768" t="s">
        <v>18</v>
      </c>
      <c r="E1768" s="3">
        <v>23</v>
      </c>
      <c r="F1768" t="s">
        <v>19</v>
      </c>
      <c r="G1768" t="s">
        <v>85</v>
      </c>
      <c r="H1768" t="s">
        <v>86</v>
      </c>
      <c r="I1768" s="12">
        <v>0.79861111111111116</v>
      </c>
      <c r="J1768" t="s">
        <v>87</v>
      </c>
      <c r="K1768" t="s">
        <v>86</v>
      </c>
      <c r="L1768" s="12">
        <v>0.82638888888888884</v>
      </c>
      <c r="M1768" t="s">
        <v>63</v>
      </c>
      <c r="N1768" s="3">
        <v>232</v>
      </c>
      <c r="O1768" t="s">
        <v>24</v>
      </c>
      <c r="P1768" t="s">
        <v>79</v>
      </c>
      <c r="R1768">
        <f>tblDailySchedule[[#This Row],[Capacity Approx]]*'[1]Load Factor Sheet June Acft  '!$B$5</f>
        <v>187.86727272727273</v>
      </c>
      <c r="S1768">
        <f>tblDailySchedule[[#This Row],[Capacity Approx]]*'[1]Load Factor Sheet June Acft  '!$D$5</f>
        <v>203.4218181818182</v>
      </c>
      <c r="T1768" s="22">
        <f>tblDailySchedule[[#This Row],[STD]]</f>
        <v>0.82638888888888884</v>
      </c>
    </row>
    <row r="1769" spans="1:20" hidden="1" x14ac:dyDescent="0.35">
      <c r="A1769" s="11">
        <v>46173</v>
      </c>
      <c r="B1769" s="3">
        <v>7</v>
      </c>
      <c r="C1769" t="s">
        <v>17</v>
      </c>
      <c r="D1769" t="s">
        <v>18</v>
      </c>
      <c r="E1769" s="3">
        <v>24</v>
      </c>
      <c r="F1769" t="s">
        <v>19</v>
      </c>
      <c r="G1769" t="s">
        <v>88</v>
      </c>
      <c r="H1769" t="s">
        <v>89</v>
      </c>
      <c r="I1769" s="12">
        <v>0.83333333333333337</v>
      </c>
      <c r="J1769" t="s">
        <v>90</v>
      </c>
      <c r="K1769" t="s">
        <v>31</v>
      </c>
      <c r="L1769" s="12">
        <v>0.86111111111111116</v>
      </c>
      <c r="M1769" t="s">
        <v>63</v>
      </c>
      <c r="N1769" s="3">
        <v>232</v>
      </c>
      <c r="O1769" t="s">
        <v>24</v>
      </c>
      <c r="P1769" t="s">
        <v>79</v>
      </c>
      <c r="R1769">
        <f>tblDailySchedule[[#This Row],[Capacity Approx]]*'[1]Load Factor Sheet June Acft  '!$B$5</f>
        <v>187.86727272727273</v>
      </c>
      <c r="S1769">
        <f>tblDailySchedule[[#This Row],[Capacity Approx]]*'[1]Load Factor Sheet June Acft  '!$D$5</f>
        <v>203.4218181818182</v>
      </c>
      <c r="T1769" s="22">
        <f>tblDailySchedule[[#This Row],[STD]]</f>
        <v>0.86111111111111116</v>
      </c>
    </row>
    <row r="1770" spans="1:20" hidden="1" x14ac:dyDescent="0.35">
      <c r="A1770" s="11">
        <v>46173</v>
      </c>
      <c r="B1770" s="3">
        <v>7</v>
      </c>
      <c r="C1770" t="s">
        <v>17</v>
      </c>
      <c r="D1770" t="s">
        <v>18</v>
      </c>
      <c r="E1770" s="3">
        <v>25</v>
      </c>
      <c r="F1770" t="s">
        <v>19</v>
      </c>
      <c r="G1770" t="s">
        <v>91</v>
      </c>
      <c r="H1770" t="s">
        <v>61</v>
      </c>
      <c r="I1770" s="12">
        <v>0.85416666666666663</v>
      </c>
      <c r="J1770" t="s">
        <v>92</v>
      </c>
      <c r="K1770" t="s">
        <v>61</v>
      </c>
      <c r="L1770" s="12">
        <v>0.88194444444444442</v>
      </c>
      <c r="M1770" t="s">
        <v>63</v>
      </c>
      <c r="N1770" s="3">
        <v>232</v>
      </c>
      <c r="O1770" t="s">
        <v>24</v>
      </c>
      <c r="P1770" t="s">
        <v>79</v>
      </c>
      <c r="R1770">
        <f>tblDailySchedule[[#This Row],[Capacity Approx]]*'[1]Load Factor Sheet June Acft  '!$B$5</f>
        <v>187.86727272727273</v>
      </c>
      <c r="S1770">
        <f>tblDailySchedule[[#This Row],[Capacity Approx]]*'[1]Load Factor Sheet June Acft  '!$D$5</f>
        <v>203.4218181818182</v>
      </c>
      <c r="T1770" s="22">
        <f>tblDailySchedule[[#This Row],[STD]]</f>
        <v>0.88194444444444442</v>
      </c>
    </row>
    <row r="1771" spans="1:20" hidden="1" x14ac:dyDescent="0.35">
      <c r="A1771" s="11">
        <v>46173</v>
      </c>
      <c r="B1771" s="3">
        <v>7</v>
      </c>
      <c r="C1771" t="s">
        <v>17</v>
      </c>
      <c r="D1771" t="s">
        <v>18</v>
      </c>
      <c r="E1771" s="3">
        <v>26</v>
      </c>
      <c r="F1771" t="s">
        <v>19</v>
      </c>
      <c r="G1771" t="s">
        <v>93</v>
      </c>
      <c r="H1771" t="s">
        <v>31</v>
      </c>
      <c r="I1771" s="12">
        <v>0.86111111111111116</v>
      </c>
      <c r="J1771" t="s">
        <v>94</v>
      </c>
      <c r="K1771" t="s">
        <v>31</v>
      </c>
      <c r="L1771" s="12">
        <v>0.88888888888888884</v>
      </c>
      <c r="M1771" t="s">
        <v>23</v>
      </c>
      <c r="N1771" s="3">
        <v>186</v>
      </c>
      <c r="O1771" t="s">
        <v>24</v>
      </c>
      <c r="P1771" t="s">
        <v>79</v>
      </c>
      <c r="R1771">
        <f>tblDailySchedule[[#This Row],[Capacity Approx]]*'[1]Load Factor Sheet June Acft  '!$B$5</f>
        <v>150.61772727272728</v>
      </c>
      <c r="S1771">
        <f>tblDailySchedule[[#This Row],[Capacity Approx]]*'[1]Load Factor Sheet June Acft  '!$D$5</f>
        <v>163.08818181818182</v>
      </c>
      <c r="T1771" s="22">
        <f>tblDailySchedule[[#This Row],[STD]]</f>
        <v>0.88888888888888884</v>
      </c>
    </row>
    <row r="1772" spans="1:20" hidden="1" x14ac:dyDescent="0.35">
      <c r="A1772" s="11">
        <v>46173</v>
      </c>
      <c r="B1772" s="3">
        <v>7</v>
      </c>
      <c r="C1772" t="s">
        <v>17</v>
      </c>
      <c r="D1772" t="s">
        <v>18</v>
      </c>
      <c r="E1772" s="3">
        <v>27</v>
      </c>
      <c r="F1772" t="s">
        <v>19</v>
      </c>
      <c r="G1772" t="s">
        <v>95</v>
      </c>
      <c r="H1772" t="s">
        <v>21</v>
      </c>
      <c r="I1772" s="12">
        <v>0.86805555555555558</v>
      </c>
      <c r="J1772" t="s">
        <v>96</v>
      </c>
      <c r="K1772" t="s">
        <v>21</v>
      </c>
      <c r="L1772" s="12">
        <v>0.89583333333333337</v>
      </c>
      <c r="M1772" t="s">
        <v>29</v>
      </c>
      <c r="N1772" s="3">
        <v>186</v>
      </c>
      <c r="O1772" t="s">
        <v>24</v>
      </c>
      <c r="P1772" t="s">
        <v>79</v>
      </c>
      <c r="R1772">
        <f>tblDailySchedule[[#This Row],[Capacity Approx]]*'[1]Load Factor Sheet June Acft  '!$B$5</f>
        <v>150.61772727272728</v>
      </c>
      <c r="S1772">
        <f>tblDailySchedule[[#This Row],[Capacity Approx]]*'[1]Load Factor Sheet June Acft  '!$D$5</f>
        <v>163.08818181818182</v>
      </c>
      <c r="T1772" s="22">
        <f>tblDailySchedule[[#This Row],[STD]]</f>
        <v>0.89583333333333337</v>
      </c>
    </row>
    <row r="1773" spans="1:20" hidden="1" x14ac:dyDescent="0.35">
      <c r="A1773" s="11">
        <v>46173</v>
      </c>
      <c r="B1773" s="3">
        <v>7</v>
      </c>
      <c r="C1773" t="s">
        <v>17</v>
      </c>
      <c r="D1773" t="s">
        <v>18</v>
      </c>
      <c r="E1773" s="3">
        <v>28</v>
      </c>
      <c r="F1773" t="s">
        <v>19</v>
      </c>
      <c r="G1773" t="s">
        <v>97</v>
      </c>
      <c r="H1773" t="s">
        <v>49</v>
      </c>
      <c r="I1773" s="12">
        <v>0.90277777777777779</v>
      </c>
      <c r="J1773" t="s">
        <v>97</v>
      </c>
      <c r="K1773" t="s">
        <v>61</v>
      </c>
      <c r="L1773" s="12">
        <v>0.92361111111111116</v>
      </c>
      <c r="M1773" t="s">
        <v>33</v>
      </c>
      <c r="N1773" s="3">
        <v>189</v>
      </c>
      <c r="O1773" t="s">
        <v>24</v>
      </c>
      <c r="P1773" t="s">
        <v>79</v>
      </c>
      <c r="R1773">
        <f>tblDailySchedule[[#This Row],[Capacity Approx]]*'[1]Load Factor Sheet June Acft  '!$B$5</f>
        <v>153.04704545454547</v>
      </c>
      <c r="S1773">
        <f>tblDailySchedule[[#This Row],[Capacity Approx]]*'[1]Load Factor Sheet June Acft  '!$D$5</f>
        <v>165.71863636363636</v>
      </c>
      <c r="T1773" s="22">
        <f>tblDailySchedule[[#This Row],[STD]]</f>
        <v>0.92361111111111116</v>
      </c>
    </row>
    <row r="1774" spans="1:20" hidden="1" x14ac:dyDescent="0.35">
      <c r="A1774" s="11">
        <v>46173</v>
      </c>
      <c r="B1774" s="3">
        <v>7</v>
      </c>
      <c r="C1774" t="s">
        <v>17</v>
      </c>
      <c r="D1774" t="s">
        <v>18</v>
      </c>
      <c r="E1774" s="3">
        <v>29</v>
      </c>
      <c r="F1774" t="s">
        <v>19</v>
      </c>
      <c r="G1774" t="s">
        <v>98</v>
      </c>
      <c r="H1774" t="s">
        <v>21</v>
      </c>
      <c r="I1774" s="12">
        <v>0.92013888888888884</v>
      </c>
      <c r="J1774" t="s">
        <v>99</v>
      </c>
      <c r="K1774" t="s">
        <v>21</v>
      </c>
      <c r="L1774" s="12">
        <v>0.94791666666666663</v>
      </c>
      <c r="M1774" t="s">
        <v>63</v>
      </c>
      <c r="N1774" s="3">
        <v>232</v>
      </c>
      <c r="O1774" t="s">
        <v>24</v>
      </c>
      <c r="P1774" t="s">
        <v>79</v>
      </c>
      <c r="R1774">
        <f>tblDailySchedule[[#This Row],[Capacity Approx]]*'[1]Load Factor Sheet June Acft  '!$B$5</f>
        <v>187.86727272727273</v>
      </c>
      <c r="S1774">
        <f>tblDailySchedule[[#This Row],[Capacity Approx]]*'[1]Load Factor Sheet June Acft  '!$D$5</f>
        <v>203.4218181818182</v>
      </c>
      <c r="T1774" s="22">
        <f>tblDailySchedule[[#This Row],[STD]]</f>
        <v>0.94791666666666663</v>
      </c>
    </row>
    <row r="1775" spans="1:20" hidden="1" x14ac:dyDescent="0.35">
      <c r="A1775" s="11">
        <v>46174</v>
      </c>
      <c r="B1775" s="3">
        <v>1</v>
      </c>
      <c r="C1775" t="s">
        <v>100</v>
      </c>
      <c r="D1775" t="s">
        <v>18</v>
      </c>
      <c r="E1775" s="3">
        <v>1</v>
      </c>
      <c r="F1775" t="s">
        <v>101</v>
      </c>
      <c r="G1775" t="s">
        <v>102</v>
      </c>
      <c r="H1775" t="s">
        <v>61</v>
      </c>
      <c r="I1775" s="12">
        <v>0.3125</v>
      </c>
      <c r="J1775" t="s">
        <v>103</v>
      </c>
      <c r="K1775" t="s">
        <v>61</v>
      </c>
      <c r="L1775" s="12">
        <v>0.33333333333333331</v>
      </c>
      <c r="M1775" t="s">
        <v>33</v>
      </c>
      <c r="N1775" s="3">
        <v>189</v>
      </c>
      <c r="O1775" t="s">
        <v>24</v>
      </c>
      <c r="P1775" t="s">
        <v>25</v>
      </c>
      <c r="R1775">
        <f>tblDailySchedule[[#This Row],[Capacity Approx]]*'[1]Load Factor Sheet June Acft  '!$B$5</f>
        <v>153.04704545454547</v>
      </c>
      <c r="S1775">
        <f>tblDailySchedule[[#This Row],[Capacity Approx]]*'[1]Load Factor Sheet June Acft  '!$D$5</f>
        <v>165.71863636363636</v>
      </c>
      <c r="T1775" s="22">
        <f>tblDailySchedule[[#This Row],[STD]]</f>
        <v>0.33333333333333331</v>
      </c>
    </row>
    <row r="1776" spans="1:20" hidden="1" x14ac:dyDescent="0.35">
      <c r="A1776" s="11">
        <v>46174</v>
      </c>
      <c r="B1776" s="3">
        <v>1</v>
      </c>
      <c r="C1776" t="s">
        <v>100</v>
      </c>
      <c r="D1776" t="s">
        <v>18</v>
      </c>
      <c r="E1776" s="3">
        <v>2</v>
      </c>
      <c r="F1776" t="s">
        <v>19</v>
      </c>
      <c r="G1776" t="s">
        <v>20</v>
      </c>
      <c r="H1776" t="s">
        <v>21</v>
      </c>
      <c r="I1776" s="12">
        <v>0.31944444444444442</v>
      </c>
      <c r="J1776" t="s">
        <v>22</v>
      </c>
      <c r="K1776" t="s">
        <v>21</v>
      </c>
      <c r="L1776" s="12">
        <v>0.34722222222222221</v>
      </c>
      <c r="M1776" t="s">
        <v>23</v>
      </c>
      <c r="N1776" s="3">
        <v>186</v>
      </c>
      <c r="O1776" t="s">
        <v>24</v>
      </c>
      <c r="P1776" t="s">
        <v>25</v>
      </c>
      <c r="R1776">
        <f>tblDailySchedule[[#This Row],[Capacity Approx]]*'[1]Load Factor Sheet June Acft  '!$B$5</f>
        <v>150.61772727272728</v>
      </c>
      <c r="S1776">
        <f>tblDailySchedule[[#This Row],[Capacity Approx]]*'[1]Load Factor Sheet June Acft  '!$D$5</f>
        <v>163.08818181818182</v>
      </c>
      <c r="T1776" s="22">
        <f>tblDailySchedule[[#This Row],[STD]]</f>
        <v>0.34722222222222221</v>
      </c>
    </row>
    <row r="1777" spans="1:20" hidden="1" x14ac:dyDescent="0.35">
      <c r="A1777" s="11">
        <v>46174</v>
      </c>
      <c r="B1777" s="3">
        <v>1</v>
      </c>
      <c r="C1777" t="s">
        <v>100</v>
      </c>
      <c r="D1777" t="s">
        <v>18</v>
      </c>
      <c r="E1777" s="3">
        <v>3</v>
      </c>
      <c r="F1777" t="s">
        <v>19</v>
      </c>
      <c r="G1777" t="s">
        <v>26</v>
      </c>
      <c r="H1777" t="s">
        <v>27</v>
      </c>
      <c r="I1777" s="12">
        <v>0.3263888888888889</v>
      </c>
      <c r="J1777" t="s">
        <v>28</v>
      </c>
      <c r="K1777" t="s">
        <v>27</v>
      </c>
      <c r="L1777" s="12">
        <v>0.35416666666666669</v>
      </c>
      <c r="M1777" t="s">
        <v>29</v>
      </c>
      <c r="N1777" s="3">
        <v>186</v>
      </c>
      <c r="O1777" t="s">
        <v>24</v>
      </c>
      <c r="P1777" t="s">
        <v>25</v>
      </c>
      <c r="R1777">
        <f>tblDailySchedule[[#This Row],[Capacity Approx]]*'[1]Load Factor Sheet June Acft  '!$B$5</f>
        <v>150.61772727272728</v>
      </c>
      <c r="S1777">
        <f>tblDailySchedule[[#This Row],[Capacity Approx]]*'[1]Load Factor Sheet June Acft  '!$D$5</f>
        <v>163.08818181818182</v>
      </c>
      <c r="T1777" s="22">
        <f>tblDailySchedule[[#This Row],[STD]]</f>
        <v>0.35416666666666669</v>
      </c>
    </row>
    <row r="1778" spans="1:20" hidden="1" x14ac:dyDescent="0.35">
      <c r="A1778" s="11">
        <v>46174</v>
      </c>
      <c r="B1778" s="3">
        <v>1</v>
      </c>
      <c r="C1778" t="s">
        <v>100</v>
      </c>
      <c r="D1778" t="s">
        <v>18</v>
      </c>
      <c r="E1778" s="3">
        <v>4</v>
      </c>
      <c r="F1778" t="s">
        <v>19</v>
      </c>
      <c r="G1778" t="s">
        <v>30</v>
      </c>
      <c r="H1778" t="s">
        <v>31</v>
      </c>
      <c r="I1778" s="12">
        <v>0.34722222222222221</v>
      </c>
      <c r="J1778" t="s">
        <v>32</v>
      </c>
      <c r="K1778" t="s">
        <v>31</v>
      </c>
      <c r="L1778" s="12">
        <v>0.36805555555555558</v>
      </c>
      <c r="M1778" t="s">
        <v>33</v>
      </c>
      <c r="N1778" s="3">
        <v>189</v>
      </c>
      <c r="O1778" t="s">
        <v>24</v>
      </c>
      <c r="P1778" t="s">
        <v>25</v>
      </c>
      <c r="R1778">
        <f>tblDailySchedule[[#This Row],[Capacity Approx]]*'[1]Load Factor Sheet June Acft  '!$B$5</f>
        <v>153.04704545454547</v>
      </c>
      <c r="S1778">
        <f>tblDailySchedule[[#This Row],[Capacity Approx]]*'[1]Load Factor Sheet June Acft  '!$D$5</f>
        <v>165.71863636363636</v>
      </c>
      <c r="T1778" s="22">
        <f>tblDailySchedule[[#This Row],[STD]]</f>
        <v>0.36805555555555558</v>
      </c>
    </row>
    <row r="1779" spans="1:20" hidden="1" x14ac:dyDescent="0.35">
      <c r="A1779" s="13">
        <v>46174</v>
      </c>
      <c r="B1779" s="7">
        <v>1</v>
      </c>
      <c r="C1779" s="14" t="s">
        <v>100</v>
      </c>
      <c r="D1779" s="14" t="s">
        <v>18</v>
      </c>
      <c r="E1779" s="7">
        <v>6</v>
      </c>
      <c r="F1779" s="14" t="s">
        <v>34</v>
      </c>
      <c r="G1779" s="14" t="s">
        <v>35</v>
      </c>
      <c r="H1779" s="14" t="s">
        <v>36</v>
      </c>
      <c r="I1779" s="15">
        <v>0.34722222222222221</v>
      </c>
      <c r="J1779" s="14" t="s">
        <v>37</v>
      </c>
      <c r="K1779" s="14" t="s">
        <v>36</v>
      </c>
      <c r="L1779" s="15">
        <v>0.40972222222222221</v>
      </c>
      <c r="M1779" s="14" t="s">
        <v>38</v>
      </c>
      <c r="N1779" s="7">
        <v>186</v>
      </c>
      <c r="O1779" s="14" t="s">
        <v>39</v>
      </c>
      <c r="P1779" s="14" t="s">
        <v>25</v>
      </c>
      <c r="Q1779" s="14" t="s">
        <v>39</v>
      </c>
      <c r="R1779">
        <f>tblDailySchedule[[#This Row],[Capacity Approx]]*'[1]Load Factor Sheet June Acft  '!$B$5</f>
        <v>150.61772727272728</v>
      </c>
      <c r="S1779">
        <f>tblDailySchedule[[#This Row],[Capacity Approx]]*'[1]Load Factor Sheet June Acft  '!$D$5</f>
        <v>163.08818181818182</v>
      </c>
      <c r="T1779" s="22">
        <f>tblDailySchedule[[#This Row],[STD]]</f>
        <v>0.40972222222222221</v>
      </c>
    </row>
    <row r="1780" spans="1:20" hidden="1" x14ac:dyDescent="0.35">
      <c r="A1780" s="11">
        <v>46174</v>
      </c>
      <c r="B1780" s="3">
        <v>1</v>
      </c>
      <c r="C1780" t="s">
        <v>100</v>
      </c>
      <c r="D1780" t="s">
        <v>18</v>
      </c>
      <c r="E1780" s="3">
        <v>5</v>
      </c>
      <c r="F1780" t="s">
        <v>19</v>
      </c>
      <c r="G1780" t="s">
        <v>40</v>
      </c>
      <c r="H1780" t="s">
        <v>31</v>
      </c>
      <c r="I1780" s="12">
        <v>0.35069444444444442</v>
      </c>
      <c r="J1780" t="s">
        <v>41</v>
      </c>
      <c r="K1780" t="s">
        <v>31</v>
      </c>
      <c r="L1780" s="12">
        <v>0.37152777777777779</v>
      </c>
      <c r="M1780" t="s">
        <v>23</v>
      </c>
      <c r="N1780" s="3">
        <v>186</v>
      </c>
      <c r="O1780" t="s">
        <v>24</v>
      </c>
      <c r="P1780" t="s">
        <v>25</v>
      </c>
      <c r="R1780">
        <f>tblDailySchedule[[#This Row],[Capacity Approx]]*'[1]Load Factor Sheet June Acft  '!$B$5</f>
        <v>150.61772727272728</v>
      </c>
      <c r="S1780">
        <f>tblDailySchedule[[#This Row],[Capacity Approx]]*'[1]Load Factor Sheet June Acft  '!$D$5</f>
        <v>163.08818181818182</v>
      </c>
      <c r="T1780" s="22">
        <f>tblDailySchedule[[#This Row],[STD]]</f>
        <v>0.37152777777777779</v>
      </c>
    </row>
    <row r="1781" spans="1:20" hidden="1" x14ac:dyDescent="0.35">
      <c r="A1781" s="11">
        <v>46174</v>
      </c>
      <c r="B1781" s="3">
        <v>1</v>
      </c>
      <c r="C1781" t="s">
        <v>100</v>
      </c>
      <c r="D1781" t="s">
        <v>18</v>
      </c>
      <c r="E1781" s="3">
        <v>7</v>
      </c>
      <c r="F1781" t="s">
        <v>19</v>
      </c>
      <c r="G1781" t="s">
        <v>42</v>
      </c>
      <c r="H1781" t="s">
        <v>43</v>
      </c>
      <c r="I1781" s="12">
        <v>0.3923611111111111</v>
      </c>
      <c r="J1781" t="s">
        <v>44</v>
      </c>
      <c r="K1781" t="s">
        <v>43</v>
      </c>
      <c r="L1781" s="12">
        <v>0.40277777777777779</v>
      </c>
      <c r="M1781" t="s">
        <v>45</v>
      </c>
      <c r="N1781" s="3">
        <v>9</v>
      </c>
      <c r="O1781" t="s">
        <v>24</v>
      </c>
      <c r="P1781" t="s">
        <v>25</v>
      </c>
      <c r="R1781">
        <f>tblDailySchedule[[#This Row],[Capacity Approx]]*'[1]Load Factor Sheet June Acft  '!$B$5</f>
        <v>7.2879545454545456</v>
      </c>
      <c r="S1781">
        <f>tblDailySchedule[[#This Row],[Capacity Approx]]*'[1]Load Factor Sheet June Acft  '!$D$5</f>
        <v>7.8913636363636366</v>
      </c>
      <c r="T1781" s="22">
        <f>tblDailySchedule[[#This Row],[STD]]</f>
        <v>0.40277777777777779</v>
      </c>
    </row>
    <row r="1782" spans="1:20" hidden="1" x14ac:dyDescent="0.35">
      <c r="A1782" s="11">
        <v>46174</v>
      </c>
      <c r="B1782" s="3">
        <v>1</v>
      </c>
      <c r="C1782" t="s">
        <v>100</v>
      </c>
      <c r="D1782" t="s">
        <v>18</v>
      </c>
      <c r="E1782" s="3">
        <v>8</v>
      </c>
      <c r="F1782" t="s">
        <v>19</v>
      </c>
      <c r="G1782" t="s">
        <v>46</v>
      </c>
      <c r="H1782" t="s">
        <v>31</v>
      </c>
      <c r="I1782" s="12">
        <v>0.4201388888888889</v>
      </c>
      <c r="J1782" t="s">
        <v>47</v>
      </c>
      <c r="K1782" t="s">
        <v>31</v>
      </c>
      <c r="L1782" s="12">
        <v>0.44444444444444442</v>
      </c>
      <c r="M1782" t="s">
        <v>29</v>
      </c>
      <c r="N1782" s="3">
        <v>186</v>
      </c>
      <c r="O1782" t="s">
        <v>24</v>
      </c>
      <c r="P1782" t="s">
        <v>25</v>
      </c>
      <c r="R1782">
        <f>tblDailySchedule[[#This Row],[Capacity Approx]]*'[1]Load Factor Sheet June Acft  '!$B$5</f>
        <v>150.61772727272728</v>
      </c>
      <c r="S1782">
        <f>tblDailySchedule[[#This Row],[Capacity Approx]]*'[1]Load Factor Sheet June Acft  '!$D$5</f>
        <v>163.08818181818182</v>
      </c>
      <c r="T1782" s="22">
        <f>tblDailySchedule[[#This Row],[STD]]</f>
        <v>0.44444444444444442</v>
      </c>
    </row>
    <row r="1783" spans="1:20" hidden="1" x14ac:dyDescent="0.35">
      <c r="A1783" s="11">
        <v>46174</v>
      </c>
      <c r="B1783" s="3">
        <v>1</v>
      </c>
      <c r="C1783" t="s">
        <v>100</v>
      </c>
      <c r="D1783" t="s">
        <v>18</v>
      </c>
      <c r="E1783" s="3">
        <v>9</v>
      </c>
      <c r="F1783" t="s">
        <v>19</v>
      </c>
      <c r="G1783" t="s">
        <v>48</v>
      </c>
      <c r="H1783" t="s">
        <v>49</v>
      </c>
      <c r="I1783" s="12">
        <v>0.4375</v>
      </c>
      <c r="J1783" t="s">
        <v>50</v>
      </c>
      <c r="K1783" t="s">
        <v>49</v>
      </c>
      <c r="L1783" s="12">
        <v>0.45833333333333331</v>
      </c>
      <c r="M1783" t="s">
        <v>51</v>
      </c>
      <c r="N1783" s="3">
        <v>78</v>
      </c>
      <c r="O1783" t="s">
        <v>24</v>
      </c>
      <c r="P1783" t="s">
        <v>25</v>
      </c>
      <c r="R1783">
        <f>tblDailySchedule[[#This Row],[Capacity Approx]]*'[1]Load Factor Sheet June Acft  '!$B$5</f>
        <v>63.162272727272729</v>
      </c>
      <c r="S1783">
        <f>tblDailySchedule[[#This Row],[Capacity Approx]]*'[1]Load Factor Sheet June Acft  '!$D$5</f>
        <v>68.391818181818181</v>
      </c>
      <c r="T1783" s="22">
        <f>tblDailySchedule[[#This Row],[STD]]</f>
        <v>0.45833333333333331</v>
      </c>
    </row>
    <row r="1784" spans="1:20" hidden="1" x14ac:dyDescent="0.35">
      <c r="A1784" s="11">
        <v>46174</v>
      </c>
      <c r="B1784" s="3">
        <v>1</v>
      </c>
      <c r="C1784" t="s">
        <v>100</v>
      </c>
      <c r="D1784" t="s">
        <v>18</v>
      </c>
      <c r="E1784" s="3">
        <v>10</v>
      </c>
      <c r="F1784" t="s">
        <v>19</v>
      </c>
      <c r="G1784" t="s">
        <v>52</v>
      </c>
      <c r="H1784" t="s">
        <v>27</v>
      </c>
      <c r="I1784" s="12">
        <v>0.4826388888888889</v>
      </c>
      <c r="J1784" t="s">
        <v>53</v>
      </c>
      <c r="K1784" t="s">
        <v>27</v>
      </c>
      <c r="L1784" s="12">
        <v>0.51041666666666663</v>
      </c>
      <c r="M1784" t="s">
        <v>23</v>
      </c>
      <c r="N1784" s="3">
        <v>186</v>
      </c>
      <c r="O1784" t="s">
        <v>24</v>
      </c>
      <c r="P1784" t="s">
        <v>25</v>
      </c>
      <c r="R1784">
        <f>tblDailySchedule[[#This Row],[Capacity Approx]]*'[1]Load Factor Sheet June Acft  '!$B$5</f>
        <v>150.61772727272728</v>
      </c>
      <c r="S1784">
        <f>tblDailySchedule[[#This Row],[Capacity Approx]]*'[1]Load Factor Sheet June Acft  '!$D$5</f>
        <v>163.08818181818182</v>
      </c>
      <c r="T1784" s="22">
        <f>tblDailySchedule[[#This Row],[STD]]</f>
        <v>0.51041666666666663</v>
      </c>
    </row>
    <row r="1785" spans="1:20" hidden="1" x14ac:dyDescent="0.35">
      <c r="A1785" s="11">
        <v>46174</v>
      </c>
      <c r="B1785" s="3">
        <v>1</v>
      </c>
      <c r="C1785" t="s">
        <v>100</v>
      </c>
      <c r="D1785" t="s">
        <v>18</v>
      </c>
      <c r="E1785" s="3">
        <v>11</v>
      </c>
      <c r="F1785" t="s">
        <v>19</v>
      </c>
      <c r="G1785" t="s">
        <v>54</v>
      </c>
      <c r="H1785" t="s">
        <v>31</v>
      </c>
      <c r="I1785" s="12">
        <v>0.51388888888888884</v>
      </c>
      <c r="J1785" t="s">
        <v>55</v>
      </c>
      <c r="K1785" t="s">
        <v>31</v>
      </c>
      <c r="L1785" s="12">
        <v>0.54166666666666663</v>
      </c>
      <c r="M1785" t="s">
        <v>23</v>
      </c>
      <c r="N1785" s="3">
        <v>186</v>
      </c>
      <c r="O1785" t="s">
        <v>24</v>
      </c>
      <c r="P1785" t="s">
        <v>56</v>
      </c>
      <c r="R1785">
        <f>tblDailySchedule[[#This Row],[Capacity Approx]]*'[1]Load Factor Sheet June Acft  '!$B$5</f>
        <v>150.61772727272728</v>
      </c>
      <c r="S1785">
        <f>tblDailySchedule[[#This Row],[Capacity Approx]]*'[1]Load Factor Sheet June Acft  '!$D$5</f>
        <v>163.08818181818182</v>
      </c>
      <c r="T1785" s="22">
        <f>tblDailySchedule[[#This Row],[STD]]</f>
        <v>0.54166666666666663</v>
      </c>
    </row>
    <row r="1786" spans="1:20" hidden="1" x14ac:dyDescent="0.35">
      <c r="A1786" s="11">
        <v>46174</v>
      </c>
      <c r="B1786" s="3">
        <v>1</v>
      </c>
      <c r="C1786" t="s">
        <v>100</v>
      </c>
      <c r="D1786" t="s">
        <v>18</v>
      </c>
      <c r="E1786" s="3">
        <v>13</v>
      </c>
      <c r="F1786" t="s">
        <v>19</v>
      </c>
      <c r="G1786" t="s">
        <v>57</v>
      </c>
      <c r="H1786" t="s">
        <v>58</v>
      </c>
      <c r="I1786" s="12">
        <v>0.55902777777777779</v>
      </c>
      <c r="J1786" t="s">
        <v>59</v>
      </c>
      <c r="K1786" t="s">
        <v>58</v>
      </c>
      <c r="L1786" s="12">
        <v>0.57638888888888884</v>
      </c>
      <c r="M1786" t="s">
        <v>51</v>
      </c>
      <c r="N1786" s="3">
        <v>78</v>
      </c>
      <c r="O1786" t="s">
        <v>24</v>
      </c>
      <c r="P1786" t="s">
        <v>56</v>
      </c>
      <c r="R1786">
        <f>tblDailySchedule[[#This Row],[Capacity Approx]]*'[1]Load Factor Sheet June Acft  '!$B$5</f>
        <v>63.162272727272729</v>
      </c>
      <c r="S1786">
        <f>tblDailySchedule[[#This Row],[Capacity Approx]]*'[1]Load Factor Sheet June Acft  '!$D$5</f>
        <v>68.391818181818181</v>
      </c>
      <c r="T1786" s="22">
        <f>tblDailySchedule[[#This Row],[STD]]</f>
        <v>0.57638888888888884</v>
      </c>
    </row>
    <row r="1787" spans="1:20" hidden="1" x14ac:dyDescent="0.35">
      <c r="A1787" s="11">
        <v>46174</v>
      </c>
      <c r="B1787" s="3">
        <v>1</v>
      </c>
      <c r="C1787" t="s">
        <v>100</v>
      </c>
      <c r="D1787" t="s">
        <v>18</v>
      </c>
      <c r="E1787" s="3">
        <v>14</v>
      </c>
      <c r="F1787" t="s">
        <v>19</v>
      </c>
      <c r="G1787" t="s">
        <v>60</v>
      </c>
      <c r="H1787" t="s">
        <v>61</v>
      </c>
      <c r="I1787" s="12">
        <v>0.59027777777777779</v>
      </c>
      <c r="J1787" t="s">
        <v>62</v>
      </c>
      <c r="K1787" t="s">
        <v>61</v>
      </c>
      <c r="L1787" s="12">
        <v>0.62152777777777779</v>
      </c>
      <c r="M1787" t="s">
        <v>63</v>
      </c>
      <c r="N1787" s="3">
        <v>232</v>
      </c>
      <c r="O1787" t="s">
        <v>24</v>
      </c>
      <c r="P1787" t="s">
        <v>56</v>
      </c>
      <c r="R1787">
        <f>tblDailySchedule[[#This Row],[Capacity Approx]]*'[1]Load Factor Sheet June Acft  '!$B$5</f>
        <v>187.86727272727273</v>
      </c>
      <c r="S1787">
        <f>tblDailySchedule[[#This Row],[Capacity Approx]]*'[1]Load Factor Sheet June Acft  '!$D$5</f>
        <v>203.4218181818182</v>
      </c>
      <c r="T1787" s="22">
        <f>tblDailySchedule[[#This Row],[STD]]</f>
        <v>0.62152777777777779</v>
      </c>
    </row>
    <row r="1788" spans="1:20" hidden="1" x14ac:dyDescent="0.35">
      <c r="A1788" s="11">
        <v>46174</v>
      </c>
      <c r="B1788" s="3">
        <v>1</v>
      </c>
      <c r="C1788" t="s">
        <v>100</v>
      </c>
      <c r="D1788" t="s">
        <v>18</v>
      </c>
      <c r="E1788" s="3">
        <v>15</v>
      </c>
      <c r="F1788" t="s">
        <v>19</v>
      </c>
      <c r="G1788" t="s">
        <v>64</v>
      </c>
      <c r="H1788" t="s">
        <v>31</v>
      </c>
      <c r="I1788" s="12">
        <v>0.60069444444444442</v>
      </c>
      <c r="J1788" t="s">
        <v>65</v>
      </c>
      <c r="K1788" t="s">
        <v>66</v>
      </c>
      <c r="L1788" s="12">
        <v>0.62847222222222221</v>
      </c>
      <c r="M1788" t="s">
        <v>63</v>
      </c>
      <c r="N1788" s="3">
        <v>232</v>
      </c>
      <c r="O1788" t="s">
        <v>24</v>
      </c>
      <c r="P1788" t="s">
        <v>56</v>
      </c>
      <c r="R1788">
        <f>tblDailySchedule[[#This Row],[Capacity Approx]]*'[1]Load Factor Sheet June Acft  '!$B$5</f>
        <v>187.86727272727273</v>
      </c>
      <c r="S1788">
        <f>tblDailySchedule[[#This Row],[Capacity Approx]]*'[1]Load Factor Sheet June Acft  '!$D$5</f>
        <v>203.4218181818182</v>
      </c>
      <c r="T1788" s="22">
        <f>tblDailySchedule[[#This Row],[STD]]</f>
        <v>0.62847222222222221</v>
      </c>
    </row>
    <row r="1789" spans="1:20" hidden="1" x14ac:dyDescent="0.35">
      <c r="A1789" s="11">
        <v>46174</v>
      </c>
      <c r="B1789" s="3">
        <v>1</v>
      </c>
      <c r="C1789" t="s">
        <v>100</v>
      </c>
      <c r="D1789" t="s">
        <v>18</v>
      </c>
      <c r="E1789" s="3">
        <v>16</v>
      </c>
      <c r="F1789" t="s">
        <v>19</v>
      </c>
      <c r="G1789" t="s">
        <v>67</v>
      </c>
      <c r="H1789" t="s">
        <v>31</v>
      </c>
      <c r="I1789" s="12">
        <v>0.65625</v>
      </c>
      <c r="J1789" t="s">
        <v>68</v>
      </c>
      <c r="K1789" t="s">
        <v>31</v>
      </c>
      <c r="L1789" s="12">
        <v>0.68402777777777779</v>
      </c>
      <c r="M1789" t="s">
        <v>63</v>
      </c>
      <c r="N1789" s="3">
        <v>232</v>
      </c>
      <c r="O1789" t="s">
        <v>24</v>
      </c>
      <c r="P1789" t="s">
        <v>56</v>
      </c>
      <c r="R1789">
        <f>tblDailySchedule[[#This Row],[Capacity Approx]]*'[1]Load Factor Sheet June Acft  '!$B$5</f>
        <v>187.86727272727273</v>
      </c>
      <c r="S1789">
        <f>tblDailySchedule[[#This Row],[Capacity Approx]]*'[1]Load Factor Sheet June Acft  '!$D$5</f>
        <v>203.4218181818182</v>
      </c>
      <c r="T1789" s="22">
        <f>tblDailySchedule[[#This Row],[STD]]</f>
        <v>0.68402777777777779</v>
      </c>
    </row>
    <row r="1790" spans="1:20" hidden="1" x14ac:dyDescent="0.35">
      <c r="A1790" s="11">
        <v>46174</v>
      </c>
      <c r="B1790" s="3">
        <v>1</v>
      </c>
      <c r="C1790" t="s">
        <v>100</v>
      </c>
      <c r="D1790" t="s">
        <v>18</v>
      </c>
      <c r="E1790" s="3">
        <v>17</v>
      </c>
      <c r="F1790" t="s">
        <v>19</v>
      </c>
      <c r="G1790" t="s">
        <v>69</v>
      </c>
      <c r="H1790" t="s">
        <v>31</v>
      </c>
      <c r="I1790" s="12">
        <v>0.66319444444444442</v>
      </c>
      <c r="J1790" t="s">
        <v>70</v>
      </c>
      <c r="K1790" t="s">
        <v>31</v>
      </c>
      <c r="L1790" s="12">
        <v>0.69097222222222221</v>
      </c>
      <c r="M1790" t="s">
        <v>33</v>
      </c>
      <c r="N1790" s="3">
        <v>189</v>
      </c>
      <c r="O1790" t="s">
        <v>24</v>
      </c>
      <c r="P1790" t="s">
        <v>56</v>
      </c>
      <c r="R1790">
        <f>tblDailySchedule[[#This Row],[Capacity Approx]]*'[1]Load Factor Sheet June Acft  '!$B$5</f>
        <v>153.04704545454547</v>
      </c>
      <c r="S1790">
        <f>tblDailySchedule[[#This Row],[Capacity Approx]]*'[1]Load Factor Sheet June Acft  '!$D$5</f>
        <v>165.71863636363636</v>
      </c>
      <c r="T1790" s="22">
        <f>tblDailySchedule[[#This Row],[STD]]</f>
        <v>0.69097222222222221</v>
      </c>
    </row>
    <row r="1791" spans="1:20" hidden="1" x14ac:dyDescent="0.35">
      <c r="A1791" s="11">
        <v>46174</v>
      </c>
      <c r="B1791" s="3">
        <v>1</v>
      </c>
      <c r="C1791" t="s">
        <v>100</v>
      </c>
      <c r="D1791" t="s">
        <v>18</v>
      </c>
      <c r="E1791" s="3">
        <v>18</v>
      </c>
      <c r="F1791" t="s">
        <v>19</v>
      </c>
      <c r="G1791" t="s">
        <v>71</v>
      </c>
      <c r="H1791" t="s">
        <v>21</v>
      </c>
      <c r="I1791" s="12">
        <v>0.67013888888888884</v>
      </c>
      <c r="J1791" t="s">
        <v>72</v>
      </c>
      <c r="K1791" t="s">
        <v>21</v>
      </c>
      <c r="L1791" s="12">
        <v>0.69791666666666663</v>
      </c>
      <c r="M1791" t="s">
        <v>63</v>
      </c>
      <c r="N1791" s="3">
        <v>232</v>
      </c>
      <c r="O1791" t="s">
        <v>24</v>
      </c>
      <c r="P1791" t="s">
        <v>56</v>
      </c>
      <c r="R1791">
        <f>tblDailySchedule[[#This Row],[Capacity Approx]]*'[1]Load Factor Sheet June Acft  '!$B$5</f>
        <v>187.86727272727273</v>
      </c>
      <c r="S1791">
        <f>tblDailySchedule[[#This Row],[Capacity Approx]]*'[1]Load Factor Sheet June Acft  '!$D$5</f>
        <v>203.4218181818182</v>
      </c>
      <c r="T1791" s="22">
        <f>tblDailySchedule[[#This Row],[STD]]</f>
        <v>0.69791666666666663</v>
      </c>
    </row>
    <row r="1792" spans="1:20" hidden="1" x14ac:dyDescent="0.35">
      <c r="A1792" s="11">
        <v>46174</v>
      </c>
      <c r="B1792" s="3">
        <v>1</v>
      </c>
      <c r="C1792" t="s">
        <v>100</v>
      </c>
      <c r="D1792" t="s">
        <v>18</v>
      </c>
      <c r="E1792" s="3">
        <v>19</v>
      </c>
      <c r="F1792" t="s">
        <v>19</v>
      </c>
      <c r="G1792" t="s">
        <v>73</v>
      </c>
      <c r="H1792" t="s">
        <v>27</v>
      </c>
      <c r="I1792" s="12">
        <v>0.74652777777777779</v>
      </c>
      <c r="J1792" t="s">
        <v>74</v>
      </c>
      <c r="K1792" t="s">
        <v>27</v>
      </c>
      <c r="L1792" s="12">
        <v>0.77430555555555558</v>
      </c>
      <c r="M1792" t="s">
        <v>63</v>
      </c>
      <c r="N1792" s="3">
        <v>232</v>
      </c>
      <c r="O1792" t="s">
        <v>24</v>
      </c>
      <c r="P1792" t="s">
        <v>56</v>
      </c>
      <c r="R1792">
        <f>tblDailySchedule[[#This Row],[Capacity Approx]]*'[1]Load Factor Sheet June Acft  '!$B$5</f>
        <v>187.86727272727273</v>
      </c>
      <c r="S1792">
        <f>tblDailySchedule[[#This Row],[Capacity Approx]]*'[1]Load Factor Sheet June Acft  '!$D$5</f>
        <v>203.4218181818182</v>
      </c>
      <c r="T1792" s="22">
        <f>tblDailySchedule[[#This Row],[STD]]</f>
        <v>0.77430555555555558</v>
      </c>
    </row>
    <row r="1793" spans="1:20" hidden="1" x14ac:dyDescent="0.35">
      <c r="A1793" s="11">
        <v>46174</v>
      </c>
      <c r="B1793" s="3">
        <v>1</v>
      </c>
      <c r="C1793" t="s">
        <v>100</v>
      </c>
      <c r="D1793" t="s">
        <v>18</v>
      </c>
      <c r="E1793" s="3">
        <v>20</v>
      </c>
      <c r="F1793" t="s">
        <v>34</v>
      </c>
      <c r="G1793" t="s">
        <v>75</v>
      </c>
      <c r="H1793" t="s">
        <v>76</v>
      </c>
      <c r="I1793" s="12">
        <v>0.76388888888888884</v>
      </c>
      <c r="J1793" t="s">
        <v>77</v>
      </c>
      <c r="K1793" t="s">
        <v>78</v>
      </c>
      <c r="L1793" s="12">
        <v>0.78472222222222221</v>
      </c>
      <c r="M1793" t="s">
        <v>51</v>
      </c>
      <c r="N1793" s="3">
        <v>78</v>
      </c>
      <c r="O1793" t="s">
        <v>24</v>
      </c>
      <c r="P1793" t="s">
        <v>79</v>
      </c>
      <c r="Q1793" s="16" t="s">
        <v>80</v>
      </c>
      <c r="R1793">
        <f>tblDailySchedule[[#This Row],[Capacity Approx]]*'[1]Load Factor Sheet June Acft  '!$B$5</f>
        <v>63.162272727272729</v>
      </c>
      <c r="S1793">
        <f>tblDailySchedule[[#This Row],[Capacity Approx]]*'[1]Load Factor Sheet June Acft  '!$D$5</f>
        <v>68.391818181818181</v>
      </c>
      <c r="T1793" s="22">
        <f>tblDailySchedule[[#This Row],[STD]]</f>
        <v>0.78472222222222221</v>
      </c>
    </row>
    <row r="1794" spans="1:20" hidden="1" x14ac:dyDescent="0.35">
      <c r="A1794" s="11">
        <v>46174</v>
      </c>
      <c r="B1794" s="3">
        <v>1</v>
      </c>
      <c r="C1794" t="s">
        <v>100</v>
      </c>
      <c r="D1794" t="s">
        <v>18</v>
      </c>
      <c r="E1794" s="3">
        <v>21</v>
      </c>
      <c r="F1794" t="s">
        <v>19</v>
      </c>
      <c r="G1794" t="s">
        <v>81</v>
      </c>
      <c r="H1794" t="s">
        <v>61</v>
      </c>
      <c r="I1794" s="12">
        <v>0.77083333333333337</v>
      </c>
      <c r="J1794" t="s">
        <v>82</v>
      </c>
      <c r="K1794" t="s">
        <v>49</v>
      </c>
      <c r="L1794" s="12">
        <v>0.79166666666666663</v>
      </c>
      <c r="M1794" t="s">
        <v>33</v>
      </c>
      <c r="N1794" s="3">
        <v>189</v>
      </c>
      <c r="O1794" t="s">
        <v>24</v>
      </c>
      <c r="P1794" t="s">
        <v>79</v>
      </c>
      <c r="R1794">
        <f>tblDailySchedule[[#This Row],[Capacity Approx]]*'[1]Load Factor Sheet June Acft  '!$B$5</f>
        <v>153.04704545454547</v>
      </c>
      <c r="S1794">
        <f>tblDailySchedule[[#This Row],[Capacity Approx]]*'[1]Load Factor Sheet June Acft  '!$D$5</f>
        <v>165.71863636363636</v>
      </c>
      <c r="T1794" s="22">
        <f>tblDailySchedule[[#This Row],[STD]]</f>
        <v>0.79166666666666663</v>
      </c>
    </row>
    <row r="1795" spans="1:20" hidden="1" x14ac:dyDescent="0.35">
      <c r="A1795" s="11">
        <v>46174</v>
      </c>
      <c r="B1795" s="3">
        <v>1</v>
      </c>
      <c r="C1795" t="s">
        <v>100</v>
      </c>
      <c r="D1795" t="s">
        <v>18</v>
      </c>
      <c r="E1795" s="3">
        <v>22</v>
      </c>
      <c r="F1795" t="s">
        <v>19</v>
      </c>
      <c r="G1795" t="s">
        <v>83</v>
      </c>
      <c r="H1795" t="s">
        <v>31</v>
      </c>
      <c r="I1795" s="12">
        <v>0.77777777777777779</v>
      </c>
      <c r="J1795" t="s">
        <v>84</v>
      </c>
      <c r="K1795" t="s">
        <v>31</v>
      </c>
      <c r="L1795" s="12">
        <v>0.80555555555555558</v>
      </c>
      <c r="M1795" t="s">
        <v>63</v>
      </c>
      <c r="N1795" s="3">
        <v>232</v>
      </c>
      <c r="O1795" t="s">
        <v>24</v>
      </c>
      <c r="P1795" t="s">
        <v>79</v>
      </c>
      <c r="R1795">
        <f>tblDailySchedule[[#This Row],[Capacity Approx]]*'[1]Load Factor Sheet June Acft  '!$B$5</f>
        <v>187.86727272727273</v>
      </c>
      <c r="S1795">
        <f>tblDailySchedule[[#This Row],[Capacity Approx]]*'[1]Load Factor Sheet June Acft  '!$D$5</f>
        <v>203.4218181818182</v>
      </c>
      <c r="T1795" s="22">
        <f>tblDailySchedule[[#This Row],[STD]]</f>
        <v>0.80555555555555558</v>
      </c>
    </row>
    <row r="1796" spans="1:20" hidden="1" x14ac:dyDescent="0.35">
      <c r="A1796" s="11">
        <v>46174</v>
      </c>
      <c r="B1796" s="3">
        <v>1</v>
      </c>
      <c r="C1796" t="s">
        <v>100</v>
      </c>
      <c r="D1796" t="s">
        <v>18</v>
      </c>
      <c r="E1796" s="3">
        <v>23</v>
      </c>
      <c r="F1796" t="s">
        <v>19</v>
      </c>
      <c r="G1796" t="s">
        <v>85</v>
      </c>
      <c r="H1796" t="s">
        <v>86</v>
      </c>
      <c r="I1796" s="12">
        <v>0.79861111111111116</v>
      </c>
      <c r="J1796" t="s">
        <v>87</v>
      </c>
      <c r="K1796" t="s">
        <v>86</v>
      </c>
      <c r="L1796" s="12">
        <v>0.82638888888888884</v>
      </c>
      <c r="M1796" t="s">
        <v>63</v>
      </c>
      <c r="N1796" s="3">
        <v>232</v>
      </c>
      <c r="O1796" t="s">
        <v>24</v>
      </c>
      <c r="P1796" t="s">
        <v>79</v>
      </c>
      <c r="R1796">
        <f>tblDailySchedule[[#This Row],[Capacity Approx]]*'[1]Load Factor Sheet June Acft  '!$B$5</f>
        <v>187.86727272727273</v>
      </c>
      <c r="S1796">
        <f>tblDailySchedule[[#This Row],[Capacity Approx]]*'[1]Load Factor Sheet June Acft  '!$D$5</f>
        <v>203.4218181818182</v>
      </c>
      <c r="T1796" s="22">
        <f>tblDailySchedule[[#This Row],[STD]]</f>
        <v>0.82638888888888884</v>
      </c>
    </row>
    <row r="1797" spans="1:20" hidden="1" x14ac:dyDescent="0.35">
      <c r="A1797" s="11">
        <v>46174</v>
      </c>
      <c r="B1797" s="3">
        <v>1</v>
      </c>
      <c r="C1797" t="s">
        <v>100</v>
      </c>
      <c r="D1797" t="s">
        <v>18</v>
      </c>
      <c r="E1797" s="3">
        <v>24</v>
      </c>
      <c r="F1797" t="s">
        <v>19</v>
      </c>
      <c r="G1797" t="s">
        <v>88</v>
      </c>
      <c r="H1797" t="s">
        <v>89</v>
      </c>
      <c r="I1797" s="12">
        <v>0.83333333333333337</v>
      </c>
      <c r="J1797" t="s">
        <v>90</v>
      </c>
      <c r="K1797" t="s">
        <v>31</v>
      </c>
      <c r="L1797" s="12">
        <v>0.86111111111111116</v>
      </c>
      <c r="M1797" t="s">
        <v>63</v>
      </c>
      <c r="N1797" s="3">
        <v>232</v>
      </c>
      <c r="O1797" t="s">
        <v>24</v>
      </c>
      <c r="P1797" t="s">
        <v>79</v>
      </c>
      <c r="R1797">
        <f>tblDailySchedule[[#This Row],[Capacity Approx]]*'[1]Load Factor Sheet June Acft  '!$B$5</f>
        <v>187.86727272727273</v>
      </c>
      <c r="S1797">
        <f>tblDailySchedule[[#This Row],[Capacity Approx]]*'[1]Load Factor Sheet June Acft  '!$D$5</f>
        <v>203.4218181818182</v>
      </c>
      <c r="T1797" s="22">
        <f>tblDailySchedule[[#This Row],[STD]]</f>
        <v>0.86111111111111116</v>
      </c>
    </row>
    <row r="1798" spans="1:20" hidden="1" x14ac:dyDescent="0.35">
      <c r="A1798" s="11">
        <v>46174</v>
      </c>
      <c r="B1798" s="3">
        <v>1</v>
      </c>
      <c r="C1798" t="s">
        <v>100</v>
      </c>
      <c r="D1798" t="s">
        <v>18</v>
      </c>
      <c r="E1798" s="3">
        <v>25</v>
      </c>
      <c r="F1798" t="s">
        <v>19</v>
      </c>
      <c r="G1798" t="s">
        <v>91</v>
      </c>
      <c r="H1798" t="s">
        <v>61</v>
      </c>
      <c r="I1798" s="12">
        <v>0.85416666666666663</v>
      </c>
      <c r="J1798" t="s">
        <v>92</v>
      </c>
      <c r="K1798" t="s">
        <v>61</v>
      </c>
      <c r="L1798" s="12">
        <v>0.88194444444444442</v>
      </c>
      <c r="M1798" t="s">
        <v>63</v>
      </c>
      <c r="N1798" s="3">
        <v>232</v>
      </c>
      <c r="O1798" t="s">
        <v>24</v>
      </c>
      <c r="P1798" t="s">
        <v>79</v>
      </c>
      <c r="R1798">
        <f>tblDailySchedule[[#This Row],[Capacity Approx]]*'[1]Load Factor Sheet June Acft  '!$B$5</f>
        <v>187.86727272727273</v>
      </c>
      <c r="S1798">
        <f>tblDailySchedule[[#This Row],[Capacity Approx]]*'[1]Load Factor Sheet June Acft  '!$D$5</f>
        <v>203.4218181818182</v>
      </c>
      <c r="T1798" s="22">
        <f>tblDailySchedule[[#This Row],[STD]]</f>
        <v>0.88194444444444442</v>
      </c>
    </row>
    <row r="1799" spans="1:20" hidden="1" x14ac:dyDescent="0.35">
      <c r="A1799" s="11">
        <v>46174</v>
      </c>
      <c r="B1799" s="3">
        <v>1</v>
      </c>
      <c r="C1799" t="s">
        <v>100</v>
      </c>
      <c r="D1799" t="s">
        <v>18</v>
      </c>
      <c r="E1799" s="3">
        <v>26</v>
      </c>
      <c r="F1799" t="s">
        <v>19</v>
      </c>
      <c r="G1799" t="s">
        <v>93</v>
      </c>
      <c r="H1799" t="s">
        <v>31</v>
      </c>
      <c r="I1799" s="12">
        <v>0.86111111111111116</v>
      </c>
      <c r="J1799" t="s">
        <v>94</v>
      </c>
      <c r="K1799" t="s">
        <v>31</v>
      </c>
      <c r="L1799" s="12">
        <v>0.88888888888888884</v>
      </c>
      <c r="M1799" t="s">
        <v>23</v>
      </c>
      <c r="N1799" s="3">
        <v>186</v>
      </c>
      <c r="O1799" t="s">
        <v>24</v>
      </c>
      <c r="P1799" t="s">
        <v>79</v>
      </c>
      <c r="R1799">
        <f>tblDailySchedule[[#This Row],[Capacity Approx]]*'[1]Load Factor Sheet June Acft  '!$B$5</f>
        <v>150.61772727272728</v>
      </c>
      <c r="S1799">
        <f>tblDailySchedule[[#This Row],[Capacity Approx]]*'[1]Load Factor Sheet June Acft  '!$D$5</f>
        <v>163.08818181818182</v>
      </c>
      <c r="T1799" s="22">
        <f>tblDailySchedule[[#This Row],[STD]]</f>
        <v>0.88888888888888884</v>
      </c>
    </row>
    <row r="1800" spans="1:20" hidden="1" x14ac:dyDescent="0.35">
      <c r="A1800" s="11">
        <v>46174</v>
      </c>
      <c r="B1800" s="3">
        <v>1</v>
      </c>
      <c r="C1800" t="s">
        <v>100</v>
      </c>
      <c r="D1800" t="s">
        <v>18</v>
      </c>
      <c r="E1800" s="3">
        <v>27</v>
      </c>
      <c r="F1800" t="s">
        <v>19</v>
      </c>
      <c r="G1800" t="s">
        <v>95</v>
      </c>
      <c r="H1800" t="s">
        <v>21</v>
      </c>
      <c r="I1800" s="12">
        <v>0.86805555555555558</v>
      </c>
      <c r="J1800" t="s">
        <v>96</v>
      </c>
      <c r="K1800" t="s">
        <v>21</v>
      </c>
      <c r="L1800" s="12">
        <v>0.89583333333333337</v>
      </c>
      <c r="M1800" t="s">
        <v>29</v>
      </c>
      <c r="N1800" s="3">
        <v>186</v>
      </c>
      <c r="O1800" t="s">
        <v>24</v>
      </c>
      <c r="P1800" t="s">
        <v>79</v>
      </c>
      <c r="R1800">
        <f>tblDailySchedule[[#This Row],[Capacity Approx]]*'[1]Load Factor Sheet June Acft  '!$B$5</f>
        <v>150.61772727272728</v>
      </c>
      <c r="S1800">
        <f>tblDailySchedule[[#This Row],[Capacity Approx]]*'[1]Load Factor Sheet June Acft  '!$D$5</f>
        <v>163.08818181818182</v>
      </c>
      <c r="T1800" s="22">
        <f>tblDailySchedule[[#This Row],[STD]]</f>
        <v>0.89583333333333337</v>
      </c>
    </row>
    <row r="1801" spans="1:20" hidden="1" x14ac:dyDescent="0.35">
      <c r="A1801" s="11">
        <v>46174</v>
      </c>
      <c r="B1801" s="3">
        <v>1</v>
      </c>
      <c r="C1801" t="s">
        <v>100</v>
      </c>
      <c r="D1801" t="s">
        <v>18</v>
      </c>
      <c r="E1801" s="3">
        <v>28</v>
      </c>
      <c r="F1801" t="s">
        <v>19</v>
      </c>
      <c r="G1801" t="s">
        <v>97</v>
      </c>
      <c r="H1801" t="s">
        <v>49</v>
      </c>
      <c r="I1801" s="12">
        <v>0.90277777777777779</v>
      </c>
      <c r="J1801" t="s">
        <v>97</v>
      </c>
      <c r="K1801" t="s">
        <v>61</v>
      </c>
      <c r="L1801" s="12">
        <v>0.92361111111111116</v>
      </c>
      <c r="M1801" t="s">
        <v>33</v>
      </c>
      <c r="N1801" s="3">
        <v>189</v>
      </c>
      <c r="O1801" t="s">
        <v>24</v>
      </c>
      <c r="P1801" t="s">
        <v>79</v>
      </c>
      <c r="R1801">
        <f>tblDailySchedule[[#This Row],[Capacity Approx]]*'[1]Load Factor Sheet June Acft  '!$B$5</f>
        <v>153.04704545454547</v>
      </c>
      <c r="S1801">
        <f>tblDailySchedule[[#This Row],[Capacity Approx]]*'[1]Load Factor Sheet June Acft  '!$D$5</f>
        <v>165.71863636363636</v>
      </c>
      <c r="T1801" s="22">
        <f>tblDailySchedule[[#This Row],[STD]]</f>
        <v>0.92361111111111116</v>
      </c>
    </row>
    <row r="1802" spans="1:20" hidden="1" x14ac:dyDescent="0.35">
      <c r="A1802" s="11">
        <v>46174</v>
      </c>
      <c r="B1802" s="3">
        <v>1</v>
      </c>
      <c r="C1802" t="s">
        <v>100</v>
      </c>
      <c r="D1802" t="s">
        <v>18</v>
      </c>
      <c r="E1802" s="3">
        <v>29</v>
      </c>
      <c r="F1802" t="s">
        <v>19</v>
      </c>
      <c r="G1802" t="s">
        <v>98</v>
      </c>
      <c r="H1802" t="s">
        <v>21</v>
      </c>
      <c r="I1802" s="12">
        <v>0.92013888888888884</v>
      </c>
      <c r="J1802" t="s">
        <v>99</v>
      </c>
      <c r="K1802" t="s">
        <v>21</v>
      </c>
      <c r="L1802" s="12">
        <v>0.94791666666666663</v>
      </c>
      <c r="M1802" t="s">
        <v>63</v>
      </c>
      <c r="N1802" s="3">
        <v>232</v>
      </c>
      <c r="O1802" t="s">
        <v>24</v>
      </c>
      <c r="P1802" t="s">
        <v>79</v>
      </c>
      <c r="R1802">
        <f>tblDailySchedule[[#This Row],[Capacity Approx]]*'[1]Load Factor Sheet June Acft  '!$B$5</f>
        <v>187.86727272727273</v>
      </c>
      <c r="S1802">
        <f>tblDailySchedule[[#This Row],[Capacity Approx]]*'[1]Load Factor Sheet June Acft  '!$D$5</f>
        <v>203.4218181818182</v>
      </c>
      <c r="T1802" s="22">
        <f>tblDailySchedule[[#This Row],[STD]]</f>
        <v>0.94791666666666663</v>
      </c>
    </row>
    <row r="1803" spans="1:20" hidden="1" x14ac:dyDescent="0.35">
      <c r="A1803" s="13">
        <v>46174</v>
      </c>
      <c r="B1803" s="7">
        <v>1</v>
      </c>
      <c r="C1803" s="14" t="s">
        <v>100</v>
      </c>
      <c r="D1803" s="14" t="s">
        <v>18</v>
      </c>
      <c r="E1803" s="7">
        <v>30</v>
      </c>
      <c r="F1803" s="14" t="s">
        <v>104</v>
      </c>
      <c r="G1803" s="14" t="s">
        <v>105</v>
      </c>
      <c r="H1803" s="14" t="s">
        <v>106</v>
      </c>
      <c r="I1803" s="15">
        <v>0.92708333333333337</v>
      </c>
      <c r="J1803" s="14" t="s">
        <v>107</v>
      </c>
      <c r="K1803" s="14" t="s">
        <v>106</v>
      </c>
      <c r="L1803" s="15">
        <v>0.95833333333333337</v>
      </c>
      <c r="M1803" s="14" t="s">
        <v>38</v>
      </c>
      <c r="N1803" s="7">
        <v>186</v>
      </c>
      <c r="O1803" s="14" t="s">
        <v>39</v>
      </c>
      <c r="P1803" s="14" t="s">
        <v>79</v>
      </c>
      <c r="Q1803" s="14" t="s">
        <v>39</v>
      </c>
      <c r="R1803">
        <f>tblDailySchedule[[#This Row],[Capacity Approx]]*'[1]Load Factor Sheet June Acft  '!$B$5</f>
        <v>150.61772727272728</v>
      </c>
      <c r="S1803">
        <f>tblDailySchedule[[#This Row],[Capacity Approx]]*'[1]Load Factor Sheet June Acft  '!$D$5</f>
        <v>163.08818181818182</v>
      </c>
      <c r="T1803" s="22">
        <f>tblDailySchedule[[#This Row],[STD]]</f>
        <v>0.95833333333333337</v>
      </c>
    </row>
    <row r="1804" spans="1:20" hidden="1" x14ac:dyDescent="0.35">
      <c r="A1804" s="11">
        <v>46175</v>
      </c>
      <c r="B1804" s="3">
        <v>2</v>
      </c>
      <c r="C1804" t="s">
        <v>108</v>
      </c>
      <c r="D1804" t="s">
        <v>18</v>
      </c>
      <c r="E1804" s="3">
        <v>1</v>
      </c>
      <c r="F1804" t="s">
        <v>101</v>
      </c>
      <c r="G1804" t="s">
        <v>102</v>
      </c>
      <c r="H1804" t="s">
        <v>61</v>
      </c>
      <c r="I1804" s="12">
        <v>0.3125</v>
      </c>
      <c r="J1804" t="s">
        <v>103</v>
      </c>
      <c r="K1804" t="s">
        <v>61</v>
      </c>
      <c r="L1804" s="12">
        <v>0.33333333333333331</v>
      </c>
      <c r="M1804" t="s">
        <v>33</v>
      </c>
      <c r="N1804" s="3">
        <v>189</v>
      </c>
      <c r="O1804" t="s">
        <v>24</v>
      </c>
      <c r="P1804" t="s">
        <v>25</v>
      </c>
      <c r="R1804">
        <f>tblDailySchedule[[#This Row],[Capacity Approx]]*'[1]Load Factor Sheet June Acft  '!$B$5</f>
        <v>153.04704545454547</v>
      </c>
      <c r="S1804">
        <f>tblDailySchedule[[#This Row],[Capacity Approx]]*'[1]Load Factor Sheet June Acft  '!$D$5</f>
        <v>165.71863636363636</v>
      </c>
      <c r="T1804" s="22">
        <f>tblDailySchedule[[#This Row],[STD]]</f>
        <v>0.33333333333333331</v>
      </c>
    </row>
    <row r="1805" spans="1:20" hidden="1" x14ac:dyDescent="0.35">
      <c r="A1805" s="11">
        <v>46175</v>
      </c>
      <c r="B1805" s="3">
        <v>2</v>
      </c>
      <c r="C1805" t="s">
        <v>108</v>
      </c>
      <c r="D1805" t="s">
        <v>18</v>
      </c>
      <c r="E1805" s="3">
        <v>2</v>
      </c>
      <c r="F1805" t="s">
        <v>19</v>
      </c>
      <c r="G1805" t="s">
        <v>20</v>
      </c>
      <c r="H1805" t="s">
        <v>21</v>
      </c>
      <c r="I1805" s="12">
        <v>0.31944444444444442</v>
      </c>
      <c r="J1805" t="s">
        <v>22</v>
      </c>
      <c r="K1805" t="s">
        <v>21</v>
      </c>
      <c r="L1805" s="12">
        <v>0.34722222222222221</v>
      </c>
      <c r="M1805" t="s">
        <v>23</v>
      </c>
      <c r="N1805" s="3">
        <v>186</v>
      </c>
      <c r="O1805" t="s">
        <v>24</v>
      </c>
      <c r="P1805" t="s">
        <v>25</v>
      </c>
      <c r="R1805">
        <f>tblDailySchedule[[#This Row],[Capacity Approx]]*'[1]Load Factor Sheet June Acft  '!$B$5</f>
        <v>150.61772727272728</v>
      </c>
      <c r="S1805">
        <f>tblDailySchedule[[#This Row],[Capacity Approx]]*'[1]Load Factor Sheet June Acft  '!$D$5</f>
        <v>163.08818181818182</v>
      </c>
      <c r="T1805" s="22">
        <f>tblDailySchedule[[#This Row],[STD]]</f>
        <v>0.34722222222222221</v>
      </c>
    </row>
    <row r="1806" spans="1:20" hidden="1" x14ac:dyDescent="0.35">
      <c r="A1806" s="11">
        <v>46175</v>
      </c>
      <c r="B1806" s="3">
        <v>2</v>
      </c>
      <c r="C1806" t="s">
        <v>108</v>
      </c>
      <c r="D1806" t="s">
        <v>18</v>
      </c>
      <c r="E1806" s="3">
        <v>3</v>
      </c>
      <c r="F1806" t="s">
        <v>19</v>
      </c>
      <c r="G1806" t="s">
        <v>26</v>
      </c>
      <c r="H1806" t="s">
        <v>27</v>
      </c>
      <c r="I1806" s="12">
        <v>0.3263888888888889</v>
      </c>
      <c r="J1806" t="s">
        <v>28</v>
      </c>
      <c r="K1806" t="s">
        <v>27</v>
      </c>
      <c r="L1806" s="12">
        <v>0.35416666666666669</v>
      </c>
      <c r="M1806" t="s">
        <v>29</v>
      </c>
      <c r="N1806" s="3">
        <v>186</v>
      </c>
      <c r="O1806" t="s">
        <v>24</v>
      </c>
      <c r="P1806" t="s">
        <v>25</v>
      </c>
      <c r="R1806">
        <f>tblDailySchedule[[#This Row],[Capacity Approx]]*'[1]Load Factor Sheet June Acft  '!$B$5</f>
        <v>150.61772727272728</v>
      </c>
      <c r="S1806">
        <f>tblDailySchedule[[#This Row],[Capacity Approx]]*'[1]Load Factor Sheet June Acft  '!$D$5</f>
        <v>163.08818181818182</v>
      </c>
      <c r="T1806" s="22">
        <f>tblDailySchedule[[#This Row],[STD]]</f>
        <v>0.35416666666666669</v>
      </c>
    </row>
    <row r="1807" spans="1:20" hidden="1" x14ac:dyDescent="0.35">
      <c r="A1807" s="11">
        <v>46175</v>
      </c>
      <c r="B1807" s="3">
        <v>2</v>
      </c>
      <c r="C1807" t="s">
        <v>108</v>
      </c>
      <c r="D1807" t="s">
        <v>18</v>
      </c>
      <c r="E1807" s="3">
        <v>4</v>
      </c>
      <c r="F1807" t="s">
        <v>19</v>
      </c>
      <c r="G1807" t="s">
        <v>30</v>
      </c>
      <c r="H1807" t="s">
        <v>31</v>
      </c>
      <c r="I1807" s="12">
        <v>0.34722222222222221</v>
      </c>
      <c r="J1807" t="s">
        <v>32</v>
      </c>
      <c r="K1807" t="s">
        <v>31</v>
      </c>
      <c r="L1807" s="12">
        <v>0.36805555555555558</v>
      </c>
      <c r="M1807" t="s">
        <v>33</v>
      </c>
      <c r="N1807" s="3">
        <v>189</v>
      </c>
      <c r="O1807" t="s">
        <v>24</v>
      </c>
      <c r="P1807" t="s">
        <v>25</v>
      </c>
      <c r="R1807">
        <f>tblDailySchedule[[#This Row],[Capacity Approx]]*'[1]Load Factor Sheet June Acft  '!$B$5</f>
        <v>153.04704545454547</v>
      </c>
      <c r="S1807">
        <f>tblDailySchedule[[#This Row],[Capacity Approx]]*'[1]Load Factor Sheet June Acft  '!$D$5</f>
        <v>165.71863636363636</v>
      </c>
      <c r="T1807" s="22">
        <f>tblDailySchedule[[#This Row],[STD]]</f>
        <v>0.36805555555555558</v>
      </c>
    </row>
    <row r="1808" spans="1:20" hidden="1" x14ac:dyDescent="0.35">
      <c r="A1808" s="11">
        <v>46175</v>
      </c>
      <c r="B1808" s="3">
        <v>2</v>
      </c>
      <c r="C1808" t="s">
        <v>108</v>
      </c>
      <c r="D1808" t="s">
        <v>18</v>
      </c>
      <c r="E1808" s="3">
        <v>5</v>
      </c>
      <c r="F1808" t="s">
        <v>19</v>
      </c>
      <c r="G1808" t="s">
        <v>40</v>
      </c>
      <c r="H1808" t="s">
        <v>31</v>
      </c>
      <c r="I1808" s="12">
        <v>0.35069444444444442</v>
      </c>
      <c r="J1808" t="s">
        <v>41</v>
      </c>
      <c r="K1808" t="s">
        <v>31</v>
      </c>
      <c r="L1808" s="12">
        <v>0.37152777777777779</v>
      </c>
      <c r="M1808" t="s">
        <v>23</v>
      </c>
      <c r="N1808" s="3">
        <v>186</v>
      </c>
      <c r="O1808" t="s">
        <v>24</v>
      </c>
      <c r="P1808" t="s">
        <v>25</v>
      </c>
      <c r="R1808">
        <f>tblDailySchedule[[#This Row],[Capacity Approx]]*'[1]Load Factor Sheet June Acft  '!$B$5</f>
        <v>150.61772727272728</v>
      </c>
      <c r="S1808">
        <f>tblDailySchedule[[#This Row],[Capacity Approx]]*'[1]Load Factor Sheet June Acft  '!$D$5</f>
        <v>163.08818181818182</v>
      </c>
      <c r="T1808" s="22">
        <f>tblDailySchedule[[#This Row],[STD]]</f>
        <v>0.37152777777777779</v>
      </c>
    </row>
    <row r="1809" spans="1:20" hidden="1" x14ac:dyDescent="0.35">
      <c r="A1809" s="11">
        <v>46175</v>
      </c>
      <c r="B1809" s="3">
        <v>2</v>
      </c>
      <c r="C1809" t="s">
        <v>108</v>
      </c>
      <c r="D1809" t="s">
        <v>18</v>
      </c>
      <c r="E1809" s="3">
        <v>7</v>
      </c>
      <c r="F1809" t="s">
        <v>19</v>
      </c>
      <c r="G1809" t="s">
        <v>42</v>
      </c>
      <c r="H1809" t="s">
        <v>43</v>
      </c>
      <c r="I1809" s="12">
        <v>0.3923611111111111</v>
      </c>
      <c r="J1809" t="s">
        <v>44</v>
      </c>
      <c r="K1809" t="s">
        <v>43</v>
      </c>
      <c r="L1809" s="12">
        <v>0.40277777777777779</v>
      </c>
      <c r="M1809" t="s">
        <v>45</v>
      </c>
      <c r="N1809" s="3">
        <v>9</v>
      </c>
      <c r="O1809" t="s">
        <v>24</v>
      </c>
      <c r="P1809" t="s">
        <v>25</v>
      </c>
      <c r="R1809">
        <f>tblDailySchedule[[#This Row],[Capacity Approx]]*'[1]Load Factor Sheet June Acft  '!$B$5</f>
        <v>7.2879545454545456</v>
      </c>
      <c r="S1809">
        <f>tblDailySchedule[[#This Row],[Capacity Approx]]*'[1]Load Factor Sheet June Acft  '!$D$5</f>
        <v>7.8913636363636366</v>
      </c>
      <c r="T1809" s="22">
        <f>tblDailySchedule[[#This Row],[STD]]</f>
        <v>0.40277777777777779</v>
      </c>
    </row>
    <row r="1810" spans="1:20" hidden="1" x14ac:dyDescent="0.35">
      <c r="A1810" s="11">
        <v>46175</v>
      </c>
      <c r="B1810" s="3">
        <v>2</v>
      </c>
      <c r="C1810" t="s">
        <v>108</v>
      </c>
      <c r="D1810" t="s">
        <v>18</v>
      </c>
      <c r="E1810" s="3">
        <v>8</v>
      </c>
      <c r="F1810" t="s">
        <v>19</v>
      </c>
      <c r="G1810" t="s">
        <v>46</v>
      </c>
      <c r="H1810" t="s">
        <v>31</v>
      </c>
      <c r="I1810" s="12">
        <v>0.4201388888888889</v>
      </c>
      <c r="J1810" t="s">
        <v>47</v>
      </c>
      <c r="K1810" t="s">
        <v>31</v>
      </c>
      <c r="L1810" s="12">
        <v>0.44444444444444442</v>
      </c>
      <c r="M1810" t="s">
        <v>29</v>
      </c>
      <c r="N1810" s="3">
        <v>186</v>
      </c>
      <c r="O1810" t="s">
        <v>24</v>
      </c>
      <c r="P1810" t="s">
        <v>25</v>
      </c>
      <c r="R1810">
        <f>tblDailySchedule[[#This Row],[Capacity Approx]]*'[1]Load Factor Sheet June Acft  '!$B$5</f>
        <v>150.61772727272728</v>
      </c>
      <c r="S1810">
        <f>tblDailySchedule[[#This Row],[Capacity Approx]]*'[1]Load Factor Sheet June Acft  '!$D$5</f>
        <v>163.08818181818182</v>
      </c>
      <c r="T1810" s="22">
        <f>tblDailySchedule[[#This Row],[STD]]</f>
        <v>0.44444444444444442</v>
      </c>
    </row>
    <row r="1811" spans="1:20" hidden="1" x14ac:dyDescent="0.35">
      <c r="A1811" s="11">
        <v>46175</v>
      </c>
      <c r="B1811" s="3">
        <v>2</v>
      </c>
      <c r="C1811" t="s">
        <v>108</v>
      </c>
      <c r="D1811" t="s">
        <v>18</v>
      </c>
      <c r="E1811" s="3">
        <v>9</v>
      </c>
      <c r="F1811" t="s">
        <v>19</v>
      </c>
      <c r="G1811" t="s">
        <v>48</v>
      </c>
      <c r="H1811" t="s">
        <v>49</v>
      </c>
      <c r="I1811" s="12">
        <v>0.4375</v>
      </c>
      <c r="J1811" t="s">
        <v>50</v>
      </c>
      <c r="K1811" t="s">
        <v>49</v>
      </c>
      <c r="L1811" s="12">
        <v>0.45833333333333331</v>
      </c>
      <c r="M1811" t="s">
        <v>51</v>
      </c>
      <c r="N1811" s="3">
        <v>78</v>
      </c>
      <c r="O1811" t="s">
        <v>24</v>
      </c>
      <c r="P1811" t="s">
        <v>25</v>
      </c>
      <c r="R1811">
        <f>tblDailySchedule[[#This Row],[Capacity Approx]]*'[1]Load Factor Sheet June Acft  '!$B$5</f>
        <v>63.162272727272729</v>
      </c>
      <c r="S1811">
        <f>tblDailySchedule[[#This Row],[Capacity Approx]]*'[1]Load Factor Sheet June Acft  '!$D$5</f>
        <v>68.391818181818181</v>
      </c>
      <c r="T1811" s="22">
        <f>tblDailySchedule[[#This Row],[STD]]</f>
        <v>0.45833333333333331</v>
      </c>
    </row>
    <row r="1812" spans="1:20" hidden="1" x14ac:dyDescent="0.35">
      <c r="A1812" s="11">
        <v>46175</v>
      </c>
      <c r="B1812" s="3">
        <v>2</v>
      </c>
      <c r="C1812" t="s">
        <v>108</v>
      </c>
      <c r="D1812" t="s">
        <v>18</v>
      </c>
      <c r="E1812" s="3">
        <v>10</v>
      </c>
      <c r="F1812" t="s">
        <v>19</v>
      </c>
      <c r="G1812" t="s">
        <v>52</v>
      </c>
      <c r="H1812" t="s">
        <v>27</v>
      </c>
      <c r="I1812" s="12">
        <v>0.4826388888888889</v>
      </c>
      <c r="J1812" t="s">
        <v>53</v>
      </c>
      <c r="K1812" t="s">
        <v>27</v>
      </c>
      <c r="L1812" s="12">
        <v>0.51041666666666663</v>
      </c>
      <c r="M1812" t="s">
        <v>23</v>
      </c>
      <c r="N1812" s="3">
        <v>186</v>
      </c>
      <c r="O1812" t="s">
        <v>24</v>
      </c>
      <c r="P1812" t="s">
        <v>25</v>
      </c>
      <c r="R1812">
        <f>tblDailySchedule[[#This Row],[Capacity Approx]]*'[1]Load Factor Sheet June Acft  '!$B$5</f>
        <v>150.61772727272728</v>
      </c>
      <c r="S1812">
        <f>tblDailySchedule[[#This Row],[Capacity Approx]]*'[1]Load Factor Sheet June Acft  '!$D$5</f>
        <v>163.08818181818182</v>
      </c>
      <c r="T1812" s="22">
        <f>tblDailySchedule[[#This Row],[STD]]</f>
        <v>0.51041666666666663</v>
      </c>
    </row>
    <row r="1813" spans="1:20" hidden="1" x14ac:dyDescent="0.35">
      <c r="A1813" s="11">
        <v>46175</v>
      </c>
      <c r="B1813" s="3">
        <v>2</v>
      </c>
      <c r="C1813" t="s">
        <v>108</v>
      </c>
      <c r="D1813" t="s">
        <v>18</v>
      </c>
      <c r="E1813" s="3">
        <v>11</v>
      </c>
      <c r="F1813" t="s">
        <v>19</v>
      </c>
      <c r="G1813" t="s">
        <v>54</v>
      </c>
      <c r="H1813" t="s">
        <v>31</v>
      </c>
      <c r="I1813" s="12">
        <v>0.51388888888888884</v>
      </c>
      <c r="J1813" t="s">
        <v>55</v>
      </c>
      <c r="K1813" t="s">
        <v>31</v>
      </c>
      <c r="L1813" s="12">
        <v>0.54166666666666663</v>
      </c>
      <c r="M1813" t="s">
        <v>23</v>
      </c>
      <c r="N1813" s="3">
        <v>186</v>
      </c>
      <c r="O1813" t="s">
        <v>24</v>
      </c>
      <c r="P1813" t="s">
        <v>56</v>
      </c>
      <c r="R1813">
        <f>tblDailySchedule[[#This Row],[Capacity Approx]]*'[1]Load Factor Sheet June Acft  '!$B$5</f>
        <v>150.61772727272728</v>
      </c>
      <c r="S1813">
        <f>tblDailySchedule[[#This Row],[Capacity Approx]]*'[1]Load Factor Sheet June Acft  '!$D$5</f>
        <v>163.08818181818182</v>
      </c>
      <c r="T1813" s="22">
        <f>tblDailySchedule[[#This Row],[STD]]</f>
        <v>0.54166666666666663</v>
      </c>
    </row>
    <row r="1814" spans="1:20" hidden="1" x14ac:dyDescent="0.35">
      <c r="A1814" s="11">
        <v>46175</v>
      </c>
      <c r="B1814" s="3">
        <v>2</v>
      </c>
      <c r="C1814" t="s">
        <v>108</v>
      </c>
      <c r="D1814" t="s">
        <v>18</v>
      </c>
      <c r="E1814" s="3">
        <v>12</v>
      </c>
      <c r="F1814" t="s">
        <v>109</v>
      </c>
      <c r="G1814" t="s">
        <v>110</v>
      </c>
      <c r="H1814" t="s">
        <v>111</v>
      </c>
      <c r="I1814" s="12">
        <v>0.55555555555555558</v>
      </c>
      <c r="J1814" t="s">
        <v>112</v>
      </c>
      <c r="K1814" t="s">
        <v>111</v>
      </c>
      <c r="L1814" s="12">
        <v>0.56944444444444442</v>
      </c>
      <c r="M1814" t="s">
        <v>51</v>
      </c>
      <c r="N1814" s="3">
        <v>78</v>
      </c>
      <c r="O1814" t="s">
        <v>24</v>
      </c>
      <c r="P1814" t="s">
        <v>56</v>
      </c>
      <c r="R1814">
        <f>tblDailySchedule[[#This Row],[Capacity Approx]]*'[1]Load Factor Sheet June Acft  '!$B$5</f>
        <v>63.162272727272729</v>
      </c>
      <c r="S1814">
        <f>tblDailySchedule[[#This Row],[Capacity Approx]]*'[1]Load Factor Sheet June Acft  '!$D$5</f>
        <v>68.391818181818181</v>
      </c>
      <c r="T1814" s="22">
        <f>tblDailySchedule[[#This Row],[STD]]</f>
        <v>0.56944444444444442</v>
      </c>
    </row>
    <row r="1815" spans="1:20" hidden="1" x14ac:dyDescent="0.35">
      <c r="A1815" s="11">
        <v>46175</v>
      </c>
      <c r="B1815" s="3">
        <v>2</v>
      </c>
      <c r="C1815" t="s">
        <v>108</v>
      </c>
      <c r="D1815" t="s">
        <v>18</v>
      </c>
      <c r="E1815" s="3">
        <v>13</v>
      </c>
      <c r="F1815" t="s">
        <v>19</v>
      </c>
      <c r="G1815" t="s">
        <v>57</v>
      </c>
      <c r="H1815" t="s">
        <v>58</v>
      </c>
      <c r="I1815" s="12">
        <v>0.55902777777777779</v>
      </c>
      <c r="J1815" t="s">
        <v>59</v>
      </c>
      <c r="K1815" t="s">
        <v>58</v>
      </c>
      <c r="L1815" s="12">
        <v>0.57638888888888884</v>
      </c>
      <c r="M1815" t="s">
        <v>51</v>
      </c>
      <c r="N1815" s="3">
        <v>78</v>
      </c>
      <c r="O1815" t="s">
        <v>24</v>
      </c>
      <c r="P1815" t="s">
        <v>56</v>
      </c>
      <c r="R1815">
        <f>tblDailySchedule[[#This Row],[Capacity Approx]]*'[1]Load Factor Sheet June Acft  '!$B$5</f>
        <v>63.162272727272729</v>
      </c>
      <c r="S1815">
        <f>tblDailySchedule[[#This Row],[Capacity Approx]]*'[1]Load Factor Sheet June Acft  '!$D$5</f>
        <v>68.391818181818181</v>
      </c>
      <c r="T1815" s="22">
        <f>tblDailySchedule[[#This Row],[STD]]</f>
        <v>0.57638888888888884</v>
      </c>
    </row>
    <row r="1816" spans="1:20" hidden="1" x14ac:dyDescent="0.35">
      <c r="A1816" s="11">
        <v>46175</v>
      </c>
      <c r="B1816" s="3">
        <v>2</v>
      </c>
      <c r="C1816" t="s">
        <v>108</v>
      </c>
      <c r="D1816" t="s">
        <v>18</v>
      </c>
      <c r="E1816" s="3">
        <v>14</v>
      </c>
      <c r="F1816" t="s">
        <v>19</v>
      </c>
      <c r="G1816" t="s">
        <v>60</v>
      </c>
      <c r="H1816" t="s">
        <v>61</v>
      </c>
      <c r="I1816" s="12">
        <v>0.59027777777777779</v>
      </c>
      <c r="J1816" t="s">
        <v>62</v>
      </c>
      <c r="K1816" t="s">
        <v>61</v>
      </c>
      <c r="L1816" s="12">
        <v>0.62152777777777779</v>
      </c>
      <c r="M1816" t="s">
        <v>63</v>
      </c>
      <c r="N1816" s="3">
        <v>232</v>
      </c>
      <c r="O1816" t="s">
        <v>24</v>
      </c>
      <c r="P1816" t="s">
        <v>56</v>
      </c>
      <c r="R1816">
        <f>tblDailySchedule[[#This Row],[Capacity Approx]]*'[1]Load Factor Sheet June Acft  '!$B$5</f>
        <v>187.86727272727273</v>
      </c>
      <c r="S1816">
        <f>tblDailySchedule[[#This Row],[Capacity Approx]]*'[1]Load Factor Sheet June Acft  '!$D$5</f>
        <v>203.4218181818182</v>
      </c>
      <c r="T1816" s="22">
        <f>tblDailySchedule[[#This Row],[STD]]</f>
        <v>0.62152777777777779</v>
      </c>
    </row>
    <row r="1817" spans="1:20" hidden="1" x14ac:dyDescent="0.35">
      <c r="A1817" s="11">
        <v>46175</v>
      </c>
      <c r="B1817" s="3">
        <v>2</v>
      </c>
      <c r="C1817" t="s">
        <v>108</v>
      </c>
      <c r="D1817" t="s">
        <v>18</v>
      </c>
      <c r="E1817" s="3">
        <v>15</v>
      </c>
      <c r="F1817" t="s">
        <v>19</v>
      </c>
      <c r="G1817" t="s">
        <v>64</v>
      </c>
      <c r="H1817" t="s">
        <v>31</v>
      </c>
      <c r="I1817" s="12">
        <v>0.60069444444444442</v>
      </c>
      <c r="J1817" t="s">
        <v>65</v>
      </c>
      <c r="K1817" t="s">
        <v>66</v>
      </c>
      <c r="L1817" s="12">
        <v>0.62847222222222221</v>
      </c>
      <c r="M1817" t="s">
        <v>63</v>
      </c>
      <c r="N1817" s="3">
        <v>232</v>
      </c>
      <c r="O1817" t="s">
        <v>24</v>
      </c>
      <c r="P1817" t="s">
        <v>56</v>
      </c>
      <c r="R1817">
        <f>tblDailySchedule[[#This Row],[Capacity Approx]]*'[1]Load Factor Sheet June Acft  '!$B$5</f>
        <v>187.86727272727273</v>
      </c>
      <c r="S1817">
        <f>tblDailySchedule[[#This Row],[Capacity Approx]]*'[1]Load Factor Sheet June Acft  '!$D$5</f>
        <v>203.4218181818182</v>
      </c>
      <c r="T1817" s="22">
        <f>tblDailySchedule[[#This Row],[STD]]</f>
        <v>0.62847222222222221</v>
      </c>
    </row>
    <row r="1818" spans="1:20" hidden="1" x14ac:dyDescent="0.35">
      <c r="A1818" s="11">
        <v>46175</v>
      </c>
      <c r="B1818" s="3">
        <v>2</v>
      </c>
      <c r="C1818" t="s">
        <v>108</v>
      </c>
      <c r="D1818" t="s">
        <v>18</v>
      </c>
      <c r="E1818" s="3">
        <v>16</v>
      </c>
      <c r="F1818" t="s">
        <v>19</v>
      </c>
      <c r="G1818" t="s">
        <v>67</v>
      </c>
      <c r="H1818" t="s">
        <v>31</v>
      </c>
      <c r="I1818" s="12">
        <v>0.65625</v>
      </c>
      <c r="J1818" t="s">
        <v>68</v>
      </c>
      <c r="K1818" t="s">
        <v>31</v>
      </c>
      <c r="L1818" s="12">
        <v>0.68402777777777779</v>
      </c>
      <c r="M1818" t="s">
        <v>63</v>
      </c>
      <c r="N1818" s="3">
        <v>232</v>
      </c>
      <c r="O1818" t="s">
        <v>24</v>
      </c>
      <c r="P1818" t="s">
        <v>56</v>
      </c>
      <c r="R1818">
        <f>tblDailySchedule[[#This Row],[Capacity Approx]]*'[1]Load Factor Sheet June Acft  '!$B$5</f>
        <v>187.86727272727273</v>
      </c>
      <c r="S1818">
        <f>tblDailySchedule[[#This Row],[Capacity Approx]]*'[1]Load Factor Sheet June Acft  '!$D$5</f>
        <v>203.4218181818182</v>
      </c>
      <c r="T1818" s="22">
        <f>tblDailySchedule[[#This Row],[STD]]</f>
        <v>0.68402777777777779</v>
      </c>
    </row>
    <row r="1819" spans="1:20" hidden="1" x14ac:dyDescent="0.35">
      <c r="A1819" s="11">
        <v>46175</v>
      </c>
      <c r="B1819" s="3">
        <v>2</v>
      </c>
      <c r="C1819" t="s">
        <v>108</v>
      </c>
      <c r="D1819" t="s">
        <v>18</v>
      </c>
      <c r="E1819" s="3">
        <v>17</v>
      </c>
      <c r="F1819" t="s">
        <v>19</v>
      </c>
      <c r="G1819" t="s">
        <v>69</v>
      </c>
      <c r="H1819" t="s">
        <v>31</v>
      </c>
      <c r="I1819" s="12">
        <v>0.66319444444444442</v>
      </c>
      <c r="J1819" t="s">
        <v>70</v>
      </c>
      <c r="K1819" t="s">
        <v>31</v>
      </c>
      <c r="L1819" s="12">
        <v>0.69097222222222221</v>
      </c>
      <c r="M1819" t="s">
        <v>33</v>
      </c>
      <c r="N1819" s="3">
        <v>189</v>
      </c>
      <c r="O1819" t="s">
        <v>24</v>
      </c>
      <c r="P1819" t="s">
        <v>56</v>
      </c>
      <c r="R1819">
        <f>tblDailySchedule[[#This Row],[Capacity Approx]]*'[1]Load Factor Sheet June Acft  '!$B$5</f>
        <v>153.04704545454547</v>
      </c>
      <c r="S1819">
        <f>tblDailySchedule[[#This Row],[Capacity Approx]]*'[1]Load Factor Sheet June Acft  '!$D$5</f>
        <v>165.71863636363636</v>
      </c>
      <c r="T1819" s="22">
        <f>tblDailySchedule[[#This Row],[STD]]</f>
        <v>0.69097222222222221</v>
      </c>
    </row>
    <row r="1820" spans="1:20" hidden="1" x14ac:dyDescent="0.35">
      <c r="A1820" s="11">
        <v>46175</v>
      </c>
      <c r="B1820" s="3">
        <v>2</v>
      </c>
      <c r="C1820" t="s">
        <v>108</v>
      </c>
      <c r="D1820" t="s">
        <v>18</v>
      </c>
      <c r="E1820" s="3">
        <v>18</v>
      </c>
      <c r="F1820" t="s">
        <v>19</v>
      </c>
      <c r="G1820" t="s">
        <v>71</v>
      </c>
      <c r="H1820" t="s">
        <v>21</v>
      </c>
      <c r="I1820" s="12">
        <v>0.67013888888888884</v>
      </c>
      <c r="J1820" t="s">
        <v>72</v>
      </c>
      <c r="K1820" t="s">
        <v>21</v>
      </c>
      <c r="L1820" s="12">
        <v>0.69791666666666663</v>
      </c>
      <c r="M1820" t="s">
        <v>63</v>
      </c>
      <c r="N1820" s="3">
        <v>232</v>
      </c>
      <c r="O1820" t="s">
        <v>24</v>
      </c>
      <c r="P1820" t="s">
        <v>56</v>
      </c>
      <c r="R1820">
        <f>tblDailySchedule[[#This Row],[Capacity Approx]]*'[1]Load Factor Sheet June Acft  '!$B$5</f>
        <v>187.86727272727273</v>
      </c>
      <c r="S1820">
        <f>tblDailySchedule[[#This Row],[Capacity Approx]]*'[1]Load Factor Sheet June Acft  '!$D$5</f>
        <v>203.4218181818182</v>
      </c>
      <c r="T1820" s="22">
        <f>tblDailySchedule[[#This Row],[STD]]</f>
        <v>0.69791666666666663</v>
      </c>
    </row>
    <row r="1821" spans="1:20" hidden="1" x14ac:dyDescent="0.35">
      <c r="A1821" s="11">
        <v>46175</v>
      </c>
      <c r="B1821" s="3">
        <v>2</v>
      </c>
      <c r="C1821" t="s">
        <v>108</v>
      </c>
      <c r="D1821" t="s">
        <v>18</v>
      </c>
      <c r="E1821" s="3">
        <v>19</v>
      </c>
      <c r="F1821" t="s">
        <v>19</v>
      </c>
      <c r="G1821" t="s">
        <v>73</v>
      </c>
      <c r="H1821" t="s">
        <v>27</v>
      </c>
      <c r="I1821" s="12">
        <v>0.74652777777777779</v>
      </c>
      <c r="J1821" t="s">
        <v>74</v>
      </c>
      <c r="K1821" t="s">
        <v>27</v>
      </c>
      <c r="L1821" s="12">
        <v>0.77430555555555558</v>
      </c>
      <c r="M1821" t="s">
        <v>63</v>
      </c>
      <c r="N1821" s="3">
        <v>232</v>
      </c>
      <c r="O1821" t="s">
        <v>24</v>
      </c>
      <c r="P1821" t="s">
        <v>56</v>
      </c>
      <c r="R1821">
        <f>tblDailySchedule[[#This Row],[Capacity Approx]]*'[1]Load Factor Sheet June Acft  '!$B$5</f>
        <v>187.86727272727273</v>
      </c>
      <c r="S1821">
        <f>tblDailySchedule[[#This Row],[Capacity Approx]]*'[1]Load Factor Sheet June Acft  '!$D$5</f>
        <v>203.4218181818182</v>
      </c>
      <c r="T1821" s="22">
        <f>tblDailySchedule[[#This Row],[STD]]</f>
        <v>0.77430555555555558</v>
      </c>
    </row>
    <row r="1822" spans="1:20" hidden="1" x14ac:dyDescent="0.35">
      <c r="A1822" s="11">
        <v>46175</v>
      </c>
      <c r="B1822" s="3">
        <v>2</v>
      </c>
      <c r="C1822" t="s">
        <v>108</v>
      </c>
      <c r="D1822" t="s">
        <v>18</v>
      </c>
      <c r="E1822" s="3">
        <v>21</v>
      </c>
      <c r="F1822" t="s">
        <v>19</v>
      </c>
      <c r="G1822" t="s">
        <v>81</v>
      </c>
      <c r="H1822" t="s">
        <v>61</v>
      </c>
      <c r="I1822" s="12">
        <v>0.77083333333333337</v>
      </c>
      <c r="J1822" t="s">
        <v>82</v>
      </c>
      <c r="K1822" t="s">
        <v>49</v>
      </c>
      <c r="L1822" s="12">
        <v>0.79166666666666663</v>
      </c>
      <c r="M1822" t="s">
        <v>33</v>
      </c>
      <c r="N1822" s="3">
        <v>189</v>
      </c>
      <c r="O1822" t="s">
        <v>24</v>
      </c>
      <c r="P1822" t="s">
        <v>79</v>
      </c>
      <c r="R1822">
        <f>tblDailySchedule[[#This Row],[Capacity Approx]]*'[1]Load Factor Sheet June Acft  '!$B$5</f>
        <v>153.04704545454547</v>
      </c>
      <c r="S1822">
        <f>tblDailySchedule[[#This Row],[Capacity Approx]]*'[1]Load Factor Sheet June Acft  '!$D$5</f>
        <v>165.71863636363636</v>
      </c>
      <c r="T1822" s="22">
        <f>tblDailySchedule[[#This Row],[STD]]</f>
        <v>0.79166666666666663</v>
      </c>
    </row>
    <row r="1823" spans="1:20" hidden="1" x14ac:dyDescent="0.35">
      <c r="A1823" s="11">
        <v>46175</v>
      </c>
      <c r="B1823" s="3">
        <v>2</v>
      </c>
      <c r="C1823" t="s">
        <v>108</v>
      </c>
      <c r="D1823" t="s">
        <v>18</v>
      </c>
      <c r="E1823" s="3">
        <v>22</v>
      </c>
      <c r="F1823" t="s">
        <v>19</v>
      </c>
      <c r="G1823" t="s">
        <v>83</v>
      </c>
      <c r="H1823" t="s">
        <v>31</v>
      </c>
      <c r="I1823" s="12">
        <v>0.77777777777777779</v>
      </c>
      <c r="J1823" t="s">
        <v>84</v>
      </c>
      <c r="K1823" t="s">
        <v>31</v>
      </c>
      <c r="L1823" s="12">
        <v>0.80555555555555558</v>
      </c>
      <c r="M1823" t="s">
        <v>63</v>
      </c>
      <c r="N1823" s="3">
        <v>232</v>
      </c>
      <c r="O1823" t="s">
        <v>24</v>
      </c>
      <c r="P1823" t="s">
        <v>79</v>
      </c>
      <c r="R1823">
        <f>tblDailySchedule[[#This Row],[Capacity Approx]]*'[1]Load Factor Sheet June Acft  '!$B$5</f>
        <v>187.86727272727273</v>
      </c>
      <c r="S1823">
        <f>tblDailySchedule[[#This Row],[Capacity Approx]]*'[1]Load Factor Sheet June Acft  '!$D$5</f>
        <v>203.4218181818182</v>
      </c>
      <c r="T1823" s="22">
        <f>tblDailySchedule[[#This Row],[STD]]</f>
        <v>0.80555555555555558</v>
      </c>
    </row>
    <row r="1824" spans="1:20" hidden="1" x14ac:dyDescent="0.35">
      <c r="A1824" s="11">
        <v>46175</v>
      </c>
      <c r="B1824" s="3">
        <v>2</v>
      </c>
      <c r="C1824" t="s">
        <v>108</v>
      </c>
      <c r="D1824" t="s">
        <v>18</v>
      </c>
      <c r="E1824" s="3">
        <v>23</v>
      </c>
      <c r="F1824" t="s">
        <v>19</v>
      </c>
      <c r="G1824" t="s">
        <v>85</v>
      </c>
      <c r="H1824" t="s">
        <v>86</v>
      </c>
      <c r="I1824" s="12">
        <v>0.79861111111111116</v>
      </c>
      <c r="J1824" t="s">
        <v>87</v>
      </c>
      <c r="K1824" t="s">
        <v>86</v>
      </c>
      <c r="L1824" s="12">
        <v>0.82638888888888884</v>
      </c>
      <c r="M1824" t="s">
        <v>63</v>
      </c>
      <c r="N1824" s="3">
        <v>232</v>
      </c>
      <c r="O1824" t="s">
        <v>24</v>
      </c>
      <c r="P1824" t="s">
        <v>79</v>
      </c>
      <c r="R1824">
        <f>tblDailySchedule[[#This Row],[Capacity Approx]]*'[1]Load Factor Sheet June Acft  '!$B$5</f>
        <v>187.86727272727273</v>
      </c>
      <c r="S1824">
        <f>tblDailySchedule[[#This Row],[Capacity Approx]]*'[1]Load Factor Sheet June Acft  '!$D$5</f>
        <v>203.4218181818182</v>
      </c>
      <c r="T1824" s="22">
        <f>tblDailySchedule[[#This Row],[STD]]</f>
        <v>0.82638888888888884</v>
      </c>
    </row>
    <row r="1825" spans="1:20" hidden="1" x14ac:dyDescent="0.35">
      <c r="A1825" s="11">
        <v>46175</v>
      </c>
      <c r="B1825" s="3">
        <v>2</v>
      </c>
      <c r="C1825" t="s">
        <v>108</v>
      </c>
      <c r="D1825" t="s">
        <v>18</v>
      </c>
      <c r="E1825" s="3">
        <v>24</v>
      </c>
      <c r="F1825" t="s">
        <v>19</v>
      </c>
      <c r="G1825" t="s">
        <v>88</v>
      </c>
      <c r="H1825" t="s">
        <v>89</v>
      </c>
      <c r="I1825" s="12">
        <v>0.83333333333333337</v>
      </c>
      <c r="J1825" t="s">
        <v>90</v>
      </c>
      <c r="K1825" t="s">
        <v>31</v>
      </c>
      <c r="L1825" s="12">
        <v>0.86111111111111116</v>
      </c>
      <c r="M1825" t="s">
        <v>63</v>
      </c>
      <c r="N1825" s="3">
        <v>232</v>
      </c>
      <c r="O1825" t="s">
        <v>24</v>
      </c>
      <c r="P1825" t="s">
        <v>79</v>
      </c>
      <c r="R1825">
        <f>tblDailySchedule[[#This Row],[Capacity Approx]]*'[1]Load Factor Sheet June Acft  '!$B$5</f>
        <v>187.86727272727273</v>
      </c>
      <c r="S1825">
        <f>tblDailySchedule[[#This Row],[Capacity Approx]]*'[1]Load Factor Sheet June Acft  '!$D$5</f>
        <v>203.4218181818182</v>
      </c>
      <c r="T1825" s="22">
        <f>tblDailySchedule[[#This Row],[STD]]</f>
        <v>0.86111111111111116</v>
      </c>
    </row>
    <row r="1826" spans="1:20" hidden="1" x14ac:dyDescent="0.35">
      <c r="A1826" s="11">
        <v>46175</v>
      </c>
      <c r="B1826" s="3">
        <v>2</v>
      </c>
      <c r="C1826" t="s">
        <v>108</v>
      </c>
      <c r="D1826" t="s">
        <v>18</v>
      </c>
      <c r="E1826" s="3">
        <v>25</v>
      </c>
      <c r="F1826" t="s">
        <v>19</v>
      </c>
      <c r="G1826" t="s">
        <v>91</v>
      </c>
      <c r="H1826" t="s">
        <v>61</v>
      </c>
      <c r="I1826" s="12">
        <v>0.85416666666666663</v>
      </c>
      <c r="J1826" t="s">
        <v>92</v>
      </c>
      <c r="K1826" t="s">
        <v>61</v>
      </c>
      <c r="L1826" s="12">
        <v>0.88194444444444442</v>
      </c>
      <c r="M1826" t="s">
        <v>63</v>
      </c>
      <c r="N1826" s="3">
        <v>232</v>
      </c>
      <c r="O1826" t="s">
        <v>24</v>
      </c>
      <c r="P1826" t="s">
        <v>79</v>
      </c>
      <c r="R1826">
        <f>tblDailySchedule[[#This Row],[Capacity Approx]]*'[1]Load Factor Sheet June Acft  '!$B$5</f>
        <v>187.86727272727273</v>
      </c>
      <c r="S1826">
        <f>tblDailySchedule[[#This Row],[Capacity Approx]]*'[1]Load Factor Sheet June Acft  '!$D$5</f>
        <v>203.4218181818182</v>
      </c>
      <c r="T1826" s="22">
        <f>tblDailySchedule[[#This Row],[STD]]</f>
        <v>0.88194444444444442</v>
      </c>
    </row>
    <row r="1827" spans="1:20" hidden="1" x14ac:dyDescent="0.35">
      <c r="A1827" s="11">
        <v>46175</v>
      </c>
      <c r="B1827" s="3">
        <v>2</v>
      </c>
      <c r="C1827" t="s">
        <v>108</v>
      </c>
      <c r="D1827" t="s">
        <v>18</v>
      </c>
      <c r="E1827" s="3">
        <v>26</v>
      </c>
      <c r="F1827" t="s">
        <v>19</v>
      </c>
      <c r="G1827" t="s">
        <v>93</v>
      </c>
      <c r="H1827" t="s">
        <v>31</v>
      </c>
      <c r="I1827" s="12">
        <v>0.86111111111111116</v>
      </c>
      <c r="J1827" t="s">
        <v>94</v>
      </c>
      <c r="K1827" t="s">
        <v>31</v>
      </c>
      <c r="L1827" s="12">
        <v>0.88888888888888884</v>
      </c>
      <c r="M1827" t="s">
        <v>23</v>
      </c>
      <c r="N1827" s="3">
        <v>186</v>
      </c>
      <c r="O1827" t="s">
        <v>24</v>
      </c>
      <c r="P1827" t="s">
        <v>79</v>
      </c>
      <c r="R1827">
        <f>tblDailySchedule[[#This Row],[Capacity Approx]]*'[1]Load Factor Sheet June Acft  '!$B$5</f>
        <v>150.61772727272728</v>
      </c>
      <c r="S1827">
        <f>tblDailySchedule[[#This Row],[Capacity Approx]]*'[1]Load Factor Sheet June Acft  '!$D$5</f>
        <v>163.08818181818182</v>
      </c>
      <c r="T1827" s="22">
        <f>tblDailySchedule[[#This Row],[STD]]</f>
        <v>0.88888888888888884</v>
      </c>
    </row>
    <row r="1828" spans="1:20" hidden="1" x14ac:dyDescent="0.35">
      <c r="A1828" s="11">
        <v>46175</v>
      </c>
      <c r="B1828" s="3">
        <v>2</v>
      </c>
      <c r="C1828" t="s">
        <v>108</v>
      </c>
      <c r="D1828" t="s">
        <v>18</v>
      </c>
      <c r="E1828" s="3">
        <v>27</v>
      </c>
      <c r="F1828" t="s">
        <v>19</v>
      </c>
      <c r="G1828" t="s">
        <v>95</v>
      </c>
      <c r="H1828" t="s">
        <v>21</v>
      </c>
      <c r="I1828" s="12">
        <v>0.86805555555555558</v>
      </c>
      <c r="J1828" t="s">
        <v>96</v>
      </c>
      <c r="K1828" t="s">
        <v>21</v>
      </c>
      <c r="L1828" s="12">
        <v>0.89583333333333337</v>
      </c>
      <c r="M1828" t="s">
        <v>29</v>
      </c>
      <c r="N1828" s="3">
        <v>186</v>
      </c>
      <c r="O1828" t="s">
        <v>24</v>
      </c>
      <c r="P1828" t="s">
        <v>79</v>
      </c>
      <c r="R1828">
        <f>tblDailySchedule[[#This Row],[Capacity Approx]]*'[1]Load Factor Sheet June Acft  '!$B$5</f>
        <v>150.61772727272728</v>
      </c>
      <c r="S1828">
        <f>tblDailySchedule[[#This Row],[Capacity Approx]]*'[1]Load Factor Sheet June Acft  '!$D$5</f>
        <v>163.08818181818182</v>
      </c>
      <c r="T1828" s="22">
        <f>tblDailySchedule[[#This Row],[STD]]</f>
        <v>0.89583333333333337</v>
      </c>
    </row>
    <row r="1829" spans="1:20" hidden="1" x14ac:dyDescent="0.35">
      <c r="A1829" s="11">
        <v>46175</v>
      </c>
      <c r="B1829" s="3">
        <v>2</v>
      </c>
      <c r="C1829" t="s">
        <v>108</v>
      </c>
      <c r="D1829" t="s">
        <v>18</v>
      </c>
      <c r="E1829" s="3">
        <v>28</v>
      </c>
      <c r="F1829" t="s">
        <v>19</v>
      </c>
      <c r="G1829" t="s">
        <v>97</v>
      </c>
      <c r="H1829" t="s">
        <v>49</v>
      </c>
      <c r="I1829" s="12">
        <v>0.90277777777777779</v>
      </c>
      <c r="J1829" t="s">
        <v>97</v>
      </c>
      <c r="K1829" t="s">
        <v>61</v>
      </c>
      <c r="L1829" s="12">
        <v>0.92361111111111116</v>
      </c>
      <c r="M1829" t="s">
        <v>33</v>
      </c>
      <c r="N1829" s="3">
        <v>189</v>
      </c>
      <c r="O1829" t="s">
        <v>24</v>
      </c>
      <c r="P1829" t="s">
        <v>79</v>
      </c>
      <c r="R1829">
        <f>tblDailySchedule[[#This Row],[Capacity Approx]]*'[1]Load Factor Sheet June Acft  '!$B$5</f>
        <v>153.04704545454547</v>
      </c>
      <c r="S1829">
        <f>tblDailySchedule[[#This Row],[Capacity Approx]]*'[1]Load Factor Sheet June Acft  '!$D$5</f>
        <v>165.71863636363636</v>
      </c>
      <c r="T1829" s="22">
        <f>tblDailySchedule[[#This Row],[STD]]</f>
        <v>0.92361111111111116</v>
      </c>
    </row>
    <row r="1830" spans="1:20" hidden="1" x14ac:dyDescent="0.35">
      <c r="A1830" s="11">
        <v>46175</v>
      </c>
      <c r="B1830" s="3">
        <v>2</v>
      </c>
      <c r="C1830" t="s">
        <v>108</v>
      </c>
      <c r="D1830" t="s">
        <v>18</v>
      </c>
      <c r="E1830" s="3">
        <v>29</v>
      </c>
      <c r="F1830" t="s">
        <v>19</v>
      </c>
      <c r="G1830" t="s">
        <v>98</v>
      </c>
      <c r="H1830" t="s">
        <v>21</v>
      </c>
      <c r="I1830" s="12">
        <v>0.92013888888888884</v>
      </c>
      <c r="J1830" t="s">
        <v>99</v>
      </c>
      <c r="K1830" t="s">
        <v>21</v>
      </c>
      <c r="L1830" s="12">
        <v>0.94791666666666663</v>
      </c>
      <c r="M1830" t="s">
        <v>63</v>
      </c>
      <c r="N1830" s="3">
        <v>232</v>
      </c>
      <c r="O1830" t="s">
        <v>24</v>
      </c>
      <c r="P1830" t="s">
        <v>79</v>
      </c>
      <c r="R1830">
        <f>tblDailySchedule[[#This Row],[Capacity Approx]]*'[1]Load Factor Sheet June Acft  '!$B$5</f>
        <v>187.86727272727273</v>
      </c>
      <c r="S1830">
        <f>tblDailySchedule[[#This Row],[Capacity Approx]]*'[1]Load Factor Sheet June Acft  '!$D$5</f>
        <v>203.4218181818182</v>
      </c>
      <c r="T1830" s="22">
        <f>tblDailySchedule[[#This Row],[STD]]</f>
        <v>0.94791666666666663</v>
      </c>
    </row>
    <row r="1831" spans="1:20" hidden="1" x14ac:dyDescent="0.35">
      <c r="A1831" s="11">
        <v>46176</v>
      </c>
      <c r="B1831" s="3">
        <v>3</v>
      </c>
      <c r="C1831" t="s">
        <v>113</v>
      </c>
      <c r="D1831" t="s">
        <v>18</v>
      </c>
      <c r="E1831" s="3">
        <v>2</v>
      </c>
      <c r="F1831" t="s">
        <v>19</v>
      </c>
      <c r="G1831" t="s">
        <v>20</v>
      </c>
      <c r="H1831" t="s">
        <v>21</v>
      </c>
      <c r="I1831" s="12">
        <v>0.31944444444444442</v>
      </c>
      <c r="J1831" t="s">
        <v>22</v>
      </c>
      <c r="K1831" t="s">
        <v>21</v>
      </c>
      <c r="L1831" s="12">
        <v>0.34722222222222221</v>
      </c>
      <c r="M1831" t="s">
        <v>23</v>
      </c>
      <c r="N1831" s="3">
        <v>186</v>
      </c>
      <c r="O1831" t="s">
        <v>24</v>
      </c>
      <c r="P1831" t="s">
        <v>25</v>
      </c>
      <c r="R1831">
        <f>tblDailySchedule[[#This Row],[Capacity Approx]]*'[1]Load Factor Sheet June Acft  '!$B$5</f>
        <v>150.61772727272728</v>
      </c>
      <c r="S1831">
        <f>tblDailySchedule[[#This Row],[Capacity Approx]]*'[1]Load Factor Sheet June Acft  '!$D$5</f>
        <v>163.08818181818182</v>
      </c>
      <c r="T1831" s="22">
        <f>tblDailySchedule[[#This Row],[STD]]</f>
        <v>0.34722222222222221</v>
      </c>
    </row>
    <row r="1832" spans="1:20" hidden="1" x14ac:dyDescent="0.35">
      <c r="A1832" s="11">
        <v>46176</v>
      </c>
      <c r="B1832" s="3">
        <v>3</v>
      </c>
      <c r="C1832" t="s">
        <v>113</v>
      </c>
      <c r="D1832" t="s">
        <v>18</v>
      </c>
      <c r="E1832" s="3">
        <v>3</v>
      </c>
      <c r="F1832" t="s">
        <v>19</v>
      </c>
      <c r="G1832" t="s">
        <v>26</v>
      </c>
      <c r="H1832" t="s">
        <v>27</v>
      </c>
      <c r="I1832" s="12">
        <v>0.3263888888888889</v>
      </c>
      <c r="J1832" t="s">
        <v>28</v>
      </c>
      <c r="K1832" t="s">
        <v>27</v>
      </c>
      <c r="L1832" s="12">
        <v>0.35416666666666669</v>
      </c>
      <c r="M1832" t="s">
        <v>29</v>
      </c>
      <c r="N1832" s="3">
        <v>186</v>
      </c>
      <c r="O1832" t="s">
        <v>24</v>
      </c>
      <c r="P1832" t="s">
        <v>25</v>
      </c>
      <c r="R1832">
        <f>tblDailySchedule[[#This Row],[Capacity Approx]]*'[1]Load Factor Sheet June Acft  '!$B$5</f>
        <v>150.61772727272728</v>
      </c>
      <c r="S1832">
        <f>tblDailySchedule[[#This Row],[Capacity Approx]]*'[1]Load Factor Sheet June Acft  '!$D$5</f>
        <v>163.08818181818182</v>
      </c>
      <c r="T1832" s="22">
        <f>tblDailySchedule[[#This Row],[STD]]</f>
        <v>0.35416666666666669</v>
      </c>
    </row>
    <row r="1833" spans="1:20" hidden="1" x14ac:dyDescent="0.35">
      <c r="A1833" s="11">
        <v>46176</v>
      </c>
      <c r="B1833" s="3">
        <v>3</v>
      </c>
      <c r="C1833" t="s">
        <v>113</v>
      </c>
      <c r="D1833" t="s">
        <v>18</v>
      </c>
      <c r="E1833" s="3">
        <v>4</v>
      </c>
      <c r="F1833" t="s">
        <v>19</v>
      </c>
      <c r="G1833" t="s">
        <v>30</v>
      </c>
      <c r="H1833" t="s">
        <v>31</v>
      </c>
      <c r="I1833" s="12">
        <v>0.34722222222222221</v>
      </c>
      <c r="J1833" t="s">
        <v>32</v>
      </c>
      <c r="K1833" t="s">
        <v>31</v>
      </c>
      <c r="L1833" s="12">
        <v>0.36805555555555558</v>
      </c>
      <c r="M1833" t="s">
        <v>33</v>
      </c>
      <c r="N1833" s="3">
        <v>189</v>
      </c>
      <c r="O1833" t="s">
        <v>24</v>
      </c>
      <c r="P1833" t="s">
        <v>25</v>
      </c>
      <c r="R1833">
        <f>tblDailySchedule[[#This Row],[Capacity Approx]]*'[1]Load Factor Sheet June Acft  '!$B$5</f>
        <v>153.04704545454547</v>
      </c>
      <c r="S1833">
        <f>tblDailySchedule[[#This Row],[Capacity Approx]]*'[1]Load Factor Sheet June Acft  '!$D$5</f>
        <v>165.71863636363636</v>
      </c>
      <c r="T1833" s="22">
        <f>tblDailySchedule[[#This Row],[STD]]</f>
        <v>0.36805555555555558</v>
      </c>
    </row>
    <row r="1834" spans="1:20" hidden="1" x14ac:dyDescent="0.35">
      <c r="A1834" s="13">
        <v>46176</v>
      </c>
      <c r="B1834" s="7">
        <v>3</v>
      </c>
      <c r="C1834" s="14" t="s">
        <v>113</v>
      </c>
      <c r="D1834" s="14" t="s">
        <v>18</v>
      </c>
      <c r="E1834" s="7">
        <v>6</v>
      </c>
      <c r="F1834" s="14" t="s">
        <v>34</v>
      </c>
      <c r="G1834" s="14" t="s">
        <v>35</v>
      </c>
      <c r="H1834" s="14" t="s">
        <v>36</v>
      </c>
      <c r="I1834" s="15">
        <v>0.34722222222222221</v>
      </c>
      <c r="J1834" s="14" t="s">
        <v>37</v>
      </c>
      <c r="K1834" s="14" t="s">
        <v>36</v>
      </c>
      <c r="L1834" s="15">
        <v>0.40972222222222221</v>
      </c>
      <c r="M1834" s="14" t="s">
        <v>38</v>
      </c>
      <c r="N1834" s="7">
        <v>186</v>
      </c>
      <c r="O1834" s="14" t="s">
        <v>39</v>
      </c>
      <c r="P1834" s="14" t="s">
        <v>25</v>
      </c>
      <c r="Q1834" s="14" t="s">
        <v>39</v>
      </c>
      <c r="R1834">
        <f>tblDailySchedule[[#This Row],[Capacity Approx]]*'[1]Load Factor Sheet June Acft  '!$B$5</f>
        <v>150.61772727272728</v>
      </c>
      <c r="S1834">
        <f>tblDailySchedule[[#This Row],[Capacity Approx]]*'[1]Load Factor Sheet June Acft  '!$D$5</f>
        <v>163.08818181818182</v>
      </c>
      <c r="T1834" s="22">
        <f>tblDailySchedule[[#This Row],[STD]]</f>
        <v>0.40972222222222221</v>
      </c>
    </row>
    <row r="1835" spans="1:20" hidden="1" x14ac:dyDescent="0.35">
      <c r="A1835" s="11">
        <v>46176</v>
      </c>
      <c r="B1835" s="3">
        <v>3</v>
      </c>
      <c r="C1835" t="s">
        <v>113</v>
      </c>
      <c r="D1835" t="s">
        <v>18</v>
      </c>
      <c r="E1835" s="3">
        <v>5</v>
      </c>
      <c r="F1835" t="s">
        <v>19</v>
      </c>
      <c r="G1835" t="s">
        <v>40</v>
      </c>
      <c r="H1835" t="s">
        <v>31</v>
      </c>
      <c r="I1835" s="12">
        <v>0.35069444444444442</v>
      </c>
      <c r="J1835" t="s">
        <v>41</v>
      </c>
      <c r="K1835" t="s">
        <v>31</v>
      </c>
      <c r="L1835" s="12">
        <v>0.37152777777777779</v>
      </c>
      <c r="M1835" t="s">
        <v>23</v>
      </c>
      <c r="N1835" s="3">
        <v>186</v>
      </c>
      <c r="O1835" t="s">
        <v>24</v>
      </c>
      <c r="P1835" t="s">
        <v>25</v>
      </c>
      <c r="R1835">
        <f>tblDailySchedule[[#This Row],[Capacity Approx]]*'[1]Load Factor Sheet June Acft  '!$B$5</f>
        <v>150.61772727272728</v>
      </c>
      <c r="S1835">
        <f>tblDailySchedule[[#This Row],[Capacity Approx]]*'[1]Load Factor Sheet June Acft  '!$D$5</f>
        <v>163.08818181818182</v>
      </c>
      <c r="T1835" s="22">
        <f>tblDailySchedule[[#This Row],[STD]]</f>
        <v>0.37152777777777779</v>
      </c>
    </row>
    <row r="1836" spans="1:20" hidden="1" x14ac:dyDescent="0.35">
      <c r="A1836" s="11">
        <v>46176</v>
      </c>
      <c r="B1836" s="3">
        <v>3</v>
      </c>
      <c r="C1836" t="s">
        <v>113</v>
      </c>
      <c r="D1836" t="s">
        <v>18</v>
      </c>
      <c r="E1836" s="3">
        <v>7</v>
      </c>
      <c r="F1836" t="s">
        <v>19</v>
      </c>
      <c r="G1836" t="s">
        <v>42</v>
      </c>
      <c r="H1836" t="s">
        <v>43</v>
      </c>
      <c r="I1836" s="12">
        <v>0.3923611111111111</v>
      </c>
      <c r="J1836" t="s">
        <v>44</v>
      </c>
      <c r="K1836" t="s">
        <v>43</v>
      </c>
      <c r="L1836" s="12">
        <v>0.40277777777777779</v>
      </c>
      <c r="M1836" t="s">
        <v>45</v>
      </c>
      <c r="N1836" s="3">
        <v>9</v>
      </c>
      <c r="O1836" t="s">
        <v>24</v>
      </c>
      <c r="P1836" t="s">
        <v>25</v>
      </c>
      <c r="R1836">
        <f>tblDailySchedule[[#This Row],[Capacity Approx]]*'[1]Load Factor Sheet June Acft  '!$B$5</f>
        <v>7.2879545454545456</v>
      </c>
      <c r="S1836">
        <f>tblDailySchedule[[#This Row],[Capacity Approx]]*'[1]Load Factor Sheet June Acft  '!$D$5</f>
        <v>7.8913636363636366</v>
      </c>
      <c r="T1836" s="22">
        <f>tblDailySchedule[[#This Row],[STD]]</f>
        <v>0.40277777777777779</v>
      </c>
    </row>
    <row r="1837" spans="1:20" hidden="1" x14ac:dyDescent="0.35">
      <c r="A1837" s="11">
        <v>46176</v>
      </c>
      <c r="B1837" s="3">
        <v>3</v>
      </c>
      <c r="C1837" t="s">
        <v>113</v>
      </c>
      <c r="D1837" t="s">
        <v>18</v>
      </c>
      <c r="E1837" s="3">
        <v>8</v>
      </c>
      <c r="F1837" t="s">
        <v>19</v>
      </c>
      <c r="G1837" t="s">
        <v>46</v>
      </c>
      <c r="H1837" t="s">
        <v>31</v>
      </c>
      <c r="I1837" s="12">
        <v>0.4201388888888889</v>
      </c>
      <c r="J1837" t="s">
        <v>47</v>
      </c>
      <c r="K1837" t="s">
        <v>31</v>
      </c>
      <c r="L1837" s="12">
        <v>0.44444444444444442</v>
      </c>
      <c r="M1837" t="s">
        <v>29</v>
      </c>
      <c r="N1837" s="3">
        <v>186</v>
      </c>
      <c r="O1837" t="s">
        <v>24</v>
      </c>
      <c r="P1837" t="s">
        <v>25</v>
      </c>
      <c r="R1837">
        <f>tblDailySchedule[[#This Row],[Capacity Approx]]*'[1]Load Factor Sheet June Acft  '!$B$5</f>
        <v>150.61772727272728</v>
      </c>
      <c r="S1837">
        <f>tblDailySchedule[[#This Row],[Capacity Approx]]*'[1]Load Factor Sheet June Acft  '!$D$5</f>
        <v>163.08818181818182</v>
      </c>
      <c r="T1837" s="22">
        <f>tblDailySchedule[[#This Row],[STD]]</f>
        <v>0.44444444444444442</v>
      </c>
    </row>
    <row r="1838" spans="1:20" hidden="1" x14ac:dyDescent="0.35">
      <c r="A1838" s="11">
        <v>46176</v>
      </c>
      <c r="B1838" s="3">
        <v>3</v>
      </c>
      <c r="C1838" t="s">
        <v>113</v>
      </c>
      <c r="D1838" t="s">
        <v>18</v>
      </c>
      <c r="E1838" s="3">
        <v>9</v>
      </c>
      <c r="F1838" t="s">
        <v>19</v>
      </c>
      <c r="G1838" t="s">
        <v>48</v>
      </c>
      <c r="H1838" t="s">
        <v>49</v>
      </c>
      <c r="I1838" s="12">
        <v>0.4375</v>
      </c>
      <c r="J1838" t="s">
        <v>50</v>
      </c>
      <c r="K1838" t="s">
        <v>49</v>
      </c>
      <c r="L1838" s="12">
        <v>0.45833333333333331</v>
      </c>
      <c r="M1838" t="s">
        <v>51</v>
      </c>
      <c r="N1838" s="3">
        <v>78</v>
      </c>
      <c r="O1838" t="s">
        <v>24</v>
      </c>
      <c r="P1838" t="s">
        <v>25</v>
      </c>
      <c r="R1838">
        <f>tblDailySchedule[[#This Row],[Capacity Approx]]*'[1]Load Factor Sheet June Acft  '!$B$5</f>
        <v>63.162272727272729</v>
      </c>
      <c r="S1838">
        <f>tblDailySchedule[[#This Row],[Capacity Approx]]*'[1]Load Factor Sheet June Acft  '!$D$5</f>
        <v>68.391818181818181</v>
      </c>
      <c r="T1838" s="22">
        <f>tblDailySchedule[[#This Row],[STD]]</f>
        <v>0.45833333333333331</v>
      </c>
    </row>
    <row r="1839" spans="1:20" hidden="1" x14ac:dyDescent="0.35">
      <c r="A1839" s="11">
        <v>46176</v>
      </c>
      <c r="B1839" s="3">
        <v>3</v>
      </c>
      <c r="C1839" t="s">
        <v>113</v>
      </c>
      <c r="D1839" t="s">
        <v>18</v>
      </c>
      <c r="E1839" s="3">
        <v>10</v>
      </c>
      <c r="F1839" t="s">
        <v>19</v>
      </c>
      <c r="G1839" t="s">
        <v>52</v>
      </c>
      <c r="H1839" t="s">
        <v>27</v>
      </c>
      <c r="I1839" s="12">
        <v>0.4826388888888889</v>
      </c>
      <c r="J1839" t="s">
        <v>53</v>
      </c>
      <c r="K1839" t="s">
        <v>27</v>
      </c>
      <c r="L1839" s="12">
        <v>0.51041666666666663</v>
      </c>
      <c r="M1839" t="s">
        <v>23</v>
      </c>
      <c r="N1839" s="3">
        <v>186</v>
      </c>
      <c r="O1839" t="s">
        <v>24</v>
      </c>
      <c r="P1839" t="s">
        <v>25</v>
      </c>
      <c r="R1839">
        <f>tblDailySchedule[[#This Row],[Capacity Approx]]*'[1]Load Factor Sheet June Acft  '!$B$5</f>
        <v>150.61772727272728</v>
      </c>
      <c r="S1839">
        <f>tblDailySchedule[[#This Row],[Capacity Approx]]*'[1]Load Factor Sheet June Acft  '!$D$5</f>
        <v>163.08818181818182</v>
      </c>
      <c r="T1839" s="22">
        <f>tblDailySchedule[[#This Row],[STD]]</f>
        <v>0.51041666666666663</v>
      </c>
    </row>
    <row r="1840" spans="1:20" hidden="1" x14ac:dyDescent="0.35">
      <c r="A1840" s="11">
        <v>46176</v>
      </c>
      <c r="B1840" s="3">
        <v>3</v>
      </c>
      <c r="C1840" t="s">
        <v>113</v>
      </c>
      <c r="D1840" t="s">
        <v>18</v>
      </c>
      <c r="E1840" s="3">
        <v>11</v>
      </c>
      <c r="F1840" t="s">
        <v>19</v>
      </c>
      <c r="G1840" t="s">
        <v>54</v>
      </c>
      <c r="H1840" t="s">
        <v>31</v>
      </c>
      <c r="I1840" s="12">
        <v>0.51388888888888884</v>
      </c>
      <c r="J1840" t="s">
        <v>55</v>
      </c>
      <c r="K1840" t="s">
        <v>31</v>
      </c>
      <c r="L1840" s="12">
        <v>0.54166666666666663</v>
      </c>
      <c r="M1840" t="s">
        <v>23</v>
      </c>
      <c r="N1840" s="3">
        <v>186</v>
      </c>
      <c r="O1840" t="s">
        <v>24</v>
      </c>
      <c r="P1840" t="s">
        <v>56</v>
      </c>
      <c r="R1840">
        <f>tblDailySchedule[[#This Row],[Capacity Approx]]*'[1]Load Factor Sheet June Acft  '!$B$5</f>
        <v>150.61772727272728</v>
      </c>
      <c r="S1840">
        <f>tblDailySchedule[[#This Row],[Capacity Approx]]*'[1]Load Factor Sheet June Acft  '!$D$5</f>
        <v>163.08818181818182</v>
      </c>
      <c r="T1840" s="22">
        <f>tblDailySchedule[[#This Row],[STD]]</f>
        <v>0.54166666666666663</v>
      </c>
    </row>
    <row r="1841" spans="1:20" hidden="1" x14ac:dyDescent="0.35">
      <c r="A1841" s="11">
        <v>46176</v>
      </c>
      <c r="B1841" s="3">
        <v>3</v>
      </c>
      <c r="C1841" t="s">
        <v>113</v>
      </c>
      <c r="D1841" t="s">
        <v>18</v>
      </c>
      <c r="E1841" s="3">
        <v>13</v>
      </c>
      <c r="F1841" t="s">
        <v>19</v>
      </c>
      <c r="G1841" t="s">
        <v>57</v>
      </c>
      <c r="H1841" t="s">
        <v>58</v>
      </c>
      <c r="I1841" s="12">
        <v>0.55902777777777779</v>
      </c>
      <c r="J1841" t="s">
        <v>59</v>
      </c>
      <c r="K1841" t="s">
        <v>58</v>
      </c>
      <c r="L1841" s="12">
        <v>0.57638888888888884</v>
      </c>
      <c r="M1841" t="s">
        <v>51</v>
      </c>
      <c r="N1841" s="3">
        <v>78</v>
      </c>
      <c r="O1841" t="s">
        <v>24</v>
      </c>
      <c r="P1841" t="s">
        <v>56</v>
      </c>
      <c r="R1841">
        <f>tblDailySchedule[[#This Row],[Capacity Approx]]*'[1]Load Factor Sheet June Acft  '!$B$5</f>
        <v>63.162272727272729</v>
      </c>
      <c r="S1841">
        <f>tblDailySchedule[[#This Row],[Capacity Approx]]*'[1]Load Factor Sheet June Acft  '!$D$5</f>
        <v>68.391818181818181</v>
      </c>
      <c r="T1841" s="22">
        <f>tblDailySchedule[[#This Row],[STD]]</f>
        <v>0.57638888888888884</v>
      </c>
    </row>
    <row r="1842" spans="1:20" hidden="1" x14ac:dyDescent="0.35">
      <c r="A1842" s="11">
        <v>46176</v>
      </c>
      <c r="B1842" s="3">
        <v>3</v>
      </c>
      <c r="C1842" t="s">
        <v>113</v>
      </c>
      <c r="D1842" t="s">
        <v>18</v>
      </c>
      <c r="E1842" s="3">
        <v>14</v>
      </c>
      <c r="F1842" t="s">
        <v>19</v>
      </c>
      <c r="G1842" t="s">
        <v>60</v>
      </c>
      <c r="H1842" t="s">
        <v>61</v>
      </c>
      <c r="I1842" s="12">
        <v>0.59027777777777779</v>
      </c>
      <c r="J1842" t="s">
        <v>62</v>
      </c>
      <c r="K1842" t="s">
        <v>61</v>
      </c>
      <c r="L1842" s="12">
        <v>0.62152777777777779</v>
      </c>
      <c r="M1842" t="s">
        <v>63</v>
      </c>
      <c r="N1842" s="3">
        <v>232</v>
      </c>
      <c r="O1842" t="s">
        <v>24</v>
      </c>
      <c r="P1842" t="s">
        <v>56</v>
      </c>
      <c r="R1842">
        <f>tblDailySchedule[[#This Row],[Capacity Approx]]*'[1]Load Factor Sheet June Acft  '!$B$5</f>
        <v>187.86727272727273</v>
      </c>
      <c r="S1842">
        <f>tblDailySchedule[[#This Row],[Capacity Approx]]*'[1]Load Factor Sheet June Acft  '!$D$5</f>
        <v>203.4218181818182</v>
      </c>
      <c r="T1842" s="22">
        <f>tblDailySchedule[[#This Row],[STD]]</f>
        <v>0.62152777777777779</v>
      </c>
    </row>
    <row r="1843" spans="1:20" hidden="1" x14ac:dyDescent="0.35">
      <c r="A1843" s="11">
        <v>46176</v>
      </c>
      <c r="B1843" s="3">
        <v>3</v>
      </c>
      <c r="C1843" t="s">
        <v>113</v>
      </c>
      <c r="D1843" t="s">
        <v>18</v>
      </c>
      <c r="E1843" s="3">
        <v>15</v>
      </c>
      <c r="F1843" t="s">
        <v>19</v>
      </c>
      <c r="G1843" t="s">
        <v>64</v>
      </c>
      <c r="H1843" t="s">
        <v>31</v>
      </c>
      <c r="I1843" s="12">
        <v>0.60069444444444442</v>
      </c>
      <c r="J1843" t="s">
        <v>65</v>
      </c>
      <c r="K1843" t="s">
        <v>66</v>
      </c>
      <c r="L1843" s="12">
        <v>0.62847222222222221</v>
      </c>
      <c r="M1843" t="s">
        <v>63</v>
      </c>
      <c r="N1843" s="3">
        <v>232</v>
      </c>
      <c r="O1843" t="s">
        <v>24</v>
      </c>
      <c r="P1843" t="s">
        <v>56</v>
      </c>
      <c r="R1843">
        <f>tblDailySchedule[[#This Row],[Capacity Approx]]*'[1]Load Factor Sheet June Acft  '!$B$5</f>
        <v>187.86727272727273</v>
      </c>
      <c r="S1843">
        <f>tblDailySchedule[[#This Row],[Capacity Approx]]*'[1]Load Factor Sheet June Acft  '!$D$5</f>
        <v>203.4218181818182</v>
      </c>
      <c r="T1843" s="22">
        <f>tblDailySchedule[[#This Row],[STD]]</f>
        <v>0.62847222222222221</v>
      </c>
    </row>
    <row r="1844" spans="1:20" hidden="1" x14ac:dyDescent="0.35">
      <c r="A1844" s="11">
        <v>46176</v>
      </c>
      <c r="B1844" s="3">
        <v>3</v>
      </c>
      <c r="C1844" t="s">
        <v>113</v>
      </c>
      <c r="D1844" t="s">
        <v>18</v>
      </c>
      <c r="E1844" s="3">
        <v>16</v>
      </c>
      <c r="F1844" t="s">
        <v>19</v>
      </c>
      <c r="G1844" t="s">
        <v>67</v>
      </c>
      <c r="H1844" t="s">
        <v>31</v>
      </c>
      <c r="I1844" s="12">
        <v>0.65625</v>
      </c>
      <c r="J1844" t="s">
        <v>68</v>
      </c>
      <c r="K1844" t="s">
        <v>31</v>
      </c>
      <c r="L1844" s="12">
        <v>0.68402777777777779</v>
      </c>
      <c r="M1844" t="s">
        <v>63</v>
      </c>
      <c r="N1844" s="3">
        <v>232</v>
      </c>
      <c r="O1844" t="s">
        <v>24</v>
      </c>
      <c r="P1844" t="s">
        <v>56</v>
      </c>
      <c r="R1844">
        <f>tblDailySchedule[[#This Row],[Capacity Approx]]*'[1]Load Factor Sheet June Acft  '!$B$5</f>
        <v>187.86727272727273</v>
      </c>
      <c r="S1844">
        <f>tblDailySchedule[[#This Row],[Capacity Approx]]*'[1]Load Factor Sheet June Acft  '!$D$5</f>
        <v>203.4218181818182</v>
      </c>
      <c r="T1844" s="22">
        <f>tblDailySchedule[[#This Row],[STD]]</f>
        <v>0.68402777777777779</v>
      </c>
    </row>
    <row r="1845" spans="1:20" hidden="1" x14ac:dyDescent="0.35">
      <c r="A1845" s="11">
        <v>46176</v>
      </c>
      <c r="B1845" s="3">
        <v>3</v>
      </c>
      <c r="C1845" t="s">
        <v>113</v>
      </c>
      <c r="D1845" t="s">
        <v>18</v>
      </c>
      <c r="E1845" s="3">
        <v>17</v>
      </c>
      <c r="F1845" t="s">
        <v>19</v>
      </c>
      <c r="G1845" t="s">
        <v>69</v>
      </c>
      <c r="H1845" t="s">
        <v>31</v>
      </c>
      <c r="I1845" s="12">
        <v>0.66319444444444442</v>
      </c>
      <c r="J1845" t="s">
        <v>70</v>
      </c>
      <c r="K1845" t="s">
        <v>31</v>
      </c>
      <c r="L1845" s="12">
        <v>0.69097222222222221</v>
      </c>
      <c r="M1845" t="s">
        <v>33</v>
      </c>
      <c r="N1845" s="3">
        <v>189</v>
      </c>
      <c r="O1845" t="s">
        <v>24</v>
      </c>
      <c r="P1845" t="s">
        <v>56</v>
      </c>
      <c r="R1845">
        <f>tblDailySchedule[[#This Row],[Capacity Approx]]*'[1]Load Factor Sheet June Acft  '!$B$5</f>
        <v>153.04704545454547</v>
      </c>
      <c r="S1845">
        <f>tblDailySchedule[[#This Row],[Capacity Approx]]*'[1]Load Factor Sheet June Acft  '!$D$5</f>
        <v>165.71863636363636</v>
      </c>
      <c r="T1845" s="22">
        <f>tblDailySchedule[[#This Row],[STD]]</f>
        <v>0.69097222222222221</v>
      </c>
    </row>
    <row r="1846" spans="1:20" hidden="1" x14ac:dyDescent="0.35">
      <c r="A1846" s="11">
        <v>46176</v>
      </c>
      <c r="B1846" s="3">
        <v>3</v>
      </c>
      <c r="C1846" t="s">
        <v>113</v>
      </c>
      <c r="D1846" t="s">
        <v>18</v>
      </c>
      <c r="E1846" s="3">
        <v>18</v>
      </c>
      <c r="F1846" t="s">
        <v>19</v>
      </c>
      <c r="G1846" t="s">
        <v>71</v>
      </c>
      <c r="H1846" t="s">
        <v>21</v>
      </c>
      <c r="I1846" s="12">
        <v>0.67013888888888884</v>
      </c>
      <c r="J1846" t="s">
        <v>72</v>
      </c>
      <c r="K1846" t="s">
        <v>21</v>
      </c>
      <c r="L1846" s="12">
        <v>0.69791666666666663</v>
      </c>
      <c r="M1846" t="s">
        <v>63</v>
      </c>
      <c r="N1846" s="3">
        <v>232</v>
      </c>
      <c r="O1846" t="s">
        <v>24</v>
      </c>
      <c r="P1846" t="s">
        <v>56</v>
      </c>
      <c r="R1846">
        <f>tblDailySchedule[[#This Row],[Capacity Approx]]*'[1]Load Factor Sheet June Acft  '!$B$5</f>
        <v>187.86727272727273</v>
      </c>
      <c r="S1846">
        <f>tblDailySchedule[[#This Row],[Capacity Approx]]*'[1]Load Factor Sheet June Acft  '!$D$5</f>
        <v>203.4218181818182</v>
      </c>
      <c r="T1846" s="22">
        <f>tblDailySchedule[[#This Row],[STD]]</f>
        <v>0.69791666666666663</v>
      </c>
    </row>
    <row r="1847" spans="1:20" hidden="1" x14ac:dyDescent="0.35">
      <c r="A1847" s="11">
        <v>46176</v>
      </c>
      <c r="B1847" s="3">
        <v>3</v>
      </c>
      <c r="C1847" t="s">
        <v>113</v>
      </c>
      <c r="D1847" t="s">
        <v>18</v>
      </c>
      <c r="E1847" s="3">
        <v>19</v>
      </c>
      <c r="F1847" t="s">
        <v>19</v>
      </c>
      <c r="G1847" t="s">
        <v>73</v>
      </c>
      <c r="H1847" t="s">
        <v>27</v>
      </c>
      <c r="I1847" s="12">
        <v>0.74652777777777779</v>
      </c>
      <c r="J1847" t="s">
        <v>74</v>
      </c>
      <c r="K1847" t="s">
        <v>27</v>
      </c>
      <c r="L1847" s="12">
        <v>0.77430555555555558</v>
      </c>
      <c r="M1847" t="s">
        <v>63</v>
      </c>
      <c r="N1847" s="3">
        <v>232</v>
      </c>
      <c r="O1847" t="s">
        <v>24</v>
      </c>
      <c r="P1847" t="s">
        <v>56</v>
      </c>
      <c r="R1847">
        <f>tblDailySchedule[[#This Row],[Capacity Approx]]*'[1]Load Factor Sheet June Acft  '!$B$5</f>
        <v>187.86727272727273</v>
      </c>
      <c r="S1847">
        <f>tblDailySchedule[[#This Row],[Capacity Approx]]*'[1]Load Factor Sheet June Acft  '!$D$5</f>
        <v>203.4218181818182</v>
      </c>
      <c r="T1847" s="22">
        <f>tblDailySchedule[[#This Row],[STD]]</f>
        <v>0.77430555555555558</v>
      </c>
    </row>
    <row r="1848" spans="1:20" hidden="1" x14ac:dyDescent="0.35">
      <c r="A1848" s="11">
        <v>46176</v>
      </c>
      <c r="B1848" s="3">
        <v>3</v>
      </c>
      <c r="C1848" t="s">
        <v>113</v>
      </c>
      <c r="D1848" t="s">
        <v>18</v>
      </c>
      <c r="E1848" s="3">
        <v>20</v>
      </c>
      <c r="F1848" t="s">
        <v>34</v>
      </c>
      <c r="G1848" t="s">
        <v>75</v>
      </c>
      <c r="H1848" t="s">
        <v>76</v>
      </c>
      <c r="I1848" s="12">
        <v>0.76388888888888884</v>
      </c>
      <c r="J1848" t="s">
        <v>77</v>
      </c>
      <c r="K1848" t="s">
        <v>78</v>
      </c>
      <c r="L1848" s="12">
        <v>0.78472222222222221</v>
      </c>
      <c r="M1848" t="s">
        <v>51</v>
      </c>
      <c r="N1848" s="3">
        <v>78</v>
      </c>
      <c r="O1848" t="s">
        <v>24</v>
      </c>
      <c r="P1848" t="s">
        <v>79</v>
      </c>
      <c r="Q1848" s="16" t="s">
        <v>80</v>
      </c>
      <c r="R1848">
        <f>tblDailySchedule[[#This Row],[Capacity Approx]]*'[1]Load Factor Sheet June Acft  '!$B$5</f>
        <v>63.162272727272729</v>
      </c>
      <c r="S1848">
        <f>tblDailySchedule[[#This Row],[Capacity Approx]]*'[1]Load Factor Sheet June Acft  '!$D$5</f>
        <v>68.391818181818181</v>
      </c>
      <c r="T1848" s="22">
        <f>tblDailySchedule[[#This Row],[STD]]</f>
        <v>0.78472222222222221</v>
      </c>
    </row>
    <row r="1849" spans="1:20" hidden="1" x14ac:dyDescent="0.35">
      <c r="A1849" s="11">
        <v>46176</v>
      </c>
      <c r="B1849" s="3">
        <v>3</v>
      </c>
      <c r="C1849" t="s">
        <v>113</v>
      </c>
      <c r="D1849" t="s">
        <v>18</v>
      </c>
      <c r="E1849" s="3">
        <v>21</v>
      </c>
      <c r="F1849" t="s">
        <v>19</v>
      </c>
      <c r="G1849" t="s">
        <v>81</v>
      </c>
      <c r="H1849" t="s">
        <v>61</v>
      </c>
      <c r="I1849" s="12">
        <v>0.77083333333333337</v>
      </c>
      <c r="J1849" t="s">
        <v>82</v>
      </c>
      <c r="K1849" t="s">
        <v>49</v>
      </c>
      <c r="L1849" s="12">
        <v>0.79166666666666663</v>
      </c>
      <c r="M1849" t="s">
        <v>33</v>
      </c>
      <c r="N1849" s="3">
        <v>189</v>
      </c>
      <c r="O1849" t="s">
        <v>24</v>
      </c>
      <c r="P1849" t="s">
        <v>79</v>
      </c>
      <c r="R1849">
        <f>tblDailySchedule[[#This Row],[Capacity Approx]]*'[1]Load Factor Sheet June Acft  '!$B$5</f>
        <v>153.04704545454547</v>
      </c>
      <c r="S1849">
        <f>tblDailySchedule[[#This Row],[Capacity Approx]]*'[1]Load Factor Sheet June Acft  '!$D$5</f>
        <v>165.71863636363636</v>
      </c>
      <c r="T1849" s="22">
        <f>tblDailySchedule[[#This Row],[STD]]</f>
        <v>0.79166666666666663</v>
      </c>
    </row>
    <row r="1850" spans="1:20" hidden="1" x14ac:dyDescent="0.35">
      <c r="A1850" s="11">
        <v>46176</v>
      </c>
      <c r="B1850" s="3">
        <v>3</v>
      </c>
      <c r="C1850" t="s">
        <v>113</v>
      </c>
      <c r="D1850" t="s">
        <v>18</v>
      </c>
      <c r="E1850" s="3">
        <v>22</v>
      </c>
      <c r="F1850" t="s">
        <v>19</v>
      </c>
      <c r="G1850" t="s">
        <v>83</v>
      </c>
      <c r="H1850" t="s">
        <v>31</v>
      </c>
      <c r="I1850" s="12">
        <v>0.77777777777777779</v>
      </c>
      <c r="J1850" t="s">
        <v>84</v>
      </c>
      <c r="K1850" t="s">
        <v>31</v>
      </c>
      <c r="L1850" s="12">
        <v>0.80555555555555558</v>
      </c>
      <c r="M1850" t="s">
        <v>63</v>
      </c>
      <c r="N1850" s="3">
        <v>232</v>
      </c>
      <c r="O1850" t="s">
        <v>24</v>
      </c>
      <c r="P1850" t="s">
        <v>79</v>
      </c>
      <c r="R1850">
        <f>tblDailySchedule[[#This Row],[Capacity Approx]]*'[1]Load Factor Sheet June Acft  '!$B$5</f>
        <v>187.86727272727273</v>
      </c>
      <c r="S1850">
        <f>tblDailySchedule[[#This Row],[Capacity Approx]]*'[1]Load Factor Sheet June Acft  '!$D$5</f>
        <v>203.4218181818182</v>
      </c>
      <c r="T1850" s="22">
        <f>tblDailySchedule[[#This Row],[STD]]</f>
        <v>0.80555555555555558</v>
      </c>
    </row>
    <row r="1851" spans="1:20" hidden="1" x14ac:dyDescent="0.35">
      <c r="A1851" s="11">
        <v>46176</v>
      </c>
      <c r="B1851" s="3">
        <v>3</v>
      </c>
      <c r="C1851" t="s">
        <v>113</v>
      </c>
      <c r="D1851" t="s">
        <v>18</v>
      </c>
      <c r="E1851" s="3">
        <v>23</v>
      </c>
      <c r="F1851" t="s">
        <v>19</v>
      </c>
      <c r="G1851" t="s">
        <v>85</v>
      </c>
      <c r="H1851" t="s">
        <v>86</v>
      </c>
      <c r="I1851" s="12">
        <v>0.79861111111111116</v>
      </c>
      <c r="J1851" t="s">
        <v>87</v>
      </c>
      <c r="K1851" t="s">
        <v>86</v>
      </c>
      <c r="L1851" s="12">
        <v>0.82638888888888884</v>
      </c>
      <c r="M1851" t="s">
        <v>63</v>
      </c>
      <c r="N1851" s="3">
        <v>232</v>
      </c>
      <c r="O1851" t="s">
        <v>24</v>
      </c>
      <c r="P1851" t="s">
        <v>79</v>
      </c>
      <c r="R1851">
        <f>tblDailySchedule[[#This Row],[Capacity Approx]]*'[1]Load Factor Sheet June Acft  '!$B$5</f>
        <v>187.86727272727273</v>
      </c>
      <c r="S1851">
        <f>tblDailySchedule[[#This Row],[Capacity Approx]]*'[1]Load Factor Sheet June Acft  '!$D$5</f>
        <v>203.4218181818182</v>
      </c>
      <c r="T1851" s="22">
        <f>tblDailySchedule[[#This Row],[STD]]</f>
        <v>0.82638888888888884</v>
      </c>
    </row>
    <row r="1852" spans="1:20" hidden="1" x14ac:dyDescent="0.35">
      <c r="A1852" s="11">
        <v>46176</v>
      </c>
      <c r="B1852" s="3">
        <v>3</v>
      </c>
      <c r="C1852" t="s">
        <v>113</v>
      </c>
      <c r="D1852" t="s">
        <v>18</v>
      </c>
      <c r="E1852" s="3">
        <v>24</v>
      </c>
      <c r="F1852" t="s">
        <v>19</v>
      </c>
      <c r="G1852" t="s">
        <v>88</v>
      </c>
      <c r="H1852" t="s">
        <v>89</v>
      </c>
      <c r="I1852" s="12">
        <v>0.83333333333333337</v>
      </c>
      <c r="J1852" t="s">
        <v>90</v>
      </c>
      <c r="K1852" t="s">
        <v>31</v>
      </c>
      <c r="L1852" s="12">
        <v>0.86111111111111116</v>
      </c>
      <c r="M1852" t="s">
        <v>63</v>
      </c>
      <c r="N1852" s="3">
        <v>232</v>
      </c>
      <c r="O1852" t="s">
        <v>24</v>
      </c>
      <c r="P1852" t="s">
        <v>79</v>
      </c>
      <c r="R1852">
        <f>tblDailySchedule[[#This Row],[Capacity Approx]]*'[1]Load Factor Sheet June Acft  '!$B$5</f>
        <v>187.86727272727273</v>
      </c>
      <c r="S1852">
        <f>tblDailySchedule[[#This Row],[Capacity Approx]]*'[1]Load Factor Sheet June Acft  '!$D$5</f>
        <v>203.4218181818182</v>
      </c>
      <c r="T1852" s="22">
        <f>tblDailySchedule[[#This Row],[STD]]</f>
        <v>0.86111111111111116</v>
      </c>
    </row>
    <row r="1853" spans="1:20" hidden="1" x14ac:dyDescent="0.35">
      <c r="A1853" s="11">
        <v>46176</v>
      </c>
      <c r="B1853" s="3">
        <v>3</v>
      </c>
      <c r="C1853" t="s">
        <v>113</v>
      </c>
      <c r="D1853" t="s">
        <v>18</v>
      </c>
      <c r="E1853" s="3">
        <v>25</v>
      </c>
      <c r="F1853" t="s">
        <v>19</v>
      </c>
      <c r="G1853" t="s">
        <v>91</v>
      </c>
      <c r="H1853" t="s">
        <v>61</v>
      </c>
      <c r="I1853" s="12">
        <v>0.85416666666666663</v>
      </c>
      <c r="J1853" t="s">
        <v>92</v>
      </c>
      <c r="K1853" t="s">
        <v>61</v>
      </c>
      <c r="L1853" s="12">
        <v>0.88194444444444442</v>
      </c>
      <c r="M1853" t="s">
        <v>63</v>
      </c>
      <c r="N1853" s="3">
        <v>232</v>
      </c>
      <c r="O1853" t="s">
        <v>24</v>
      </c>
      <c r="P1853" t="s">
        <v>79</v>
      </c>
      <c r="R1853">
        <f>tblDailySchedule[[#This Row],[Capacity Approx]]*'[1]Load Factor Sheet June Acft  '!$B$5</f>
        <v>187.86727272727273</v>
      </c>
      <c r="S1853">
        <f>tblDailySchedule[[#This Row],[Capacity Approx]]*'[1]Load Factor Sheet June Acft  '!$D$5</f>
        <v>203.4218181818182</v>
      </c>
      <c r="T1853" s="22">
        <f>tblDailySchedule[[#This Row],[STD]]</f>
        <v>0.88194444444444442</v>
      </c>
    </row>
    <row r="1854" spans="1:20" hidden="1" x14ac:dyDescent="0.35">
      <c r="A1854" s="11">
        <v>46176</v>
      </c>
      <c r="B1854" s="3">
        <v>3</v>
      </c>
      <c r="C1854" t="s">
        <v>113</v>
      </c>
      <c r="D1854" t="s">
        <v>18</v>
      </c>
      <c r="E1854" s="3">
        <v>26</v>
      </c>
      <c r="F1854" t="s">
        <v>19</v>
      </c>
      <c r="G1854" t="s">
        <v>93</v>
      </c>
      <c r="H1854" t="s">
        <v>31</v>
      </c>
      <c r="I1854" s="12">
        <v>0.86111111111111116</v>
      </c>
      <c r="J1854" t="s">
        <v>94</v>
      </c>
      <c r="K1854" t="s">
        <v>31</v>
      </c>
      <c r="L1854" s="12">
        <v>0.88888888888888884</v>
      </c>
      <c r="M1854" t="s">
        <v>23</v>
      </c>
      <c r="N1854" s="3">
        <v>186</v>
      </c>
      <c r="O1854" t="s">
        <v>24</v>
      </c>
      <c r="P1854" t="s">
        <v>79</v>
      </c>
      <c r="R1854">
        <f>tblDailySchedule[[#This Row],[Capacity Approx]]*'[1]Load Factor Sheet June Acft  '!$B$5</f>
        <v>150.61772727272728</v>
      </c>
      <c r="S1854">
        <f>tblDailySchedule[[#This Row],[Capacity Approx]]*'[1]Load Factor Sheet June Acft  '!$D$5</f>
        <v>163.08818181818182</v>
      </c>
      <c r="T1854" s="22">
        <f>tblDailySchedule[[#This Row],[STD]]</f>
        <v>0.88888888888888884</v>
      </c>
    </row>
    <row r="1855" spans="1:20" hidden="1" x14ac:dyDescent="0.35">
      <c r="A1855" s="11">
        <v>46176</v>
      </c>
      <c r="B1855" s="3">
        <v>3</v>
      </c>
      <c r="C1855" t="s">
        <v>113</v>
      </c>
      <c r="D1855" t="s">
        <v>18</v>
      </c>
      <c r="E1855" s="3">
        <v>27</v>
      </c>
      <c r="F1855" t="s">
        <v>19</v>
      </c>
      <c r="G1855" t="s">
        <v>95</v>
      </c>
      <c r="H1855" t="s">
        <v>21</v>
      </c>
      <c r="I1855" s="12">
        <v>0.86805555555555558</v>
      </c>
      <c r="J1855" t="s">
        <v>96</v>
      </c>
      <c r="K1855" t="s">
        <v>21</v>
      </c>
      <c r="L1855" s="12">
        <v>0.89583333333333337</v>
      </c>
      <c r="M1855" t="s">
        <v>29</v>
      </c>
      <c r="N1855" s="3">
        <v>186</v>
      </c>
      <c r="O1855" t="s">
        <v>24</v>
      </c>
      <c r="P1855" t="s">
        <v>79</v>
      </c>
      <c r="R1855">
        <f>tblDailySchedule[[#This Row],[Capacity Approx]]*'[1]Load Factor Sheet June Acft  '!$B$5</f>
        <v>150.61772727272728</v>
      </c>
      <c r="S1855">
        <f>tblDailySchedule[[#This Row],[Capacity Approx]]*'[1]Load Factor Sheet June Acft  '!$D$5</f>
        <v>163.08818181818182</v>
      </c>
      <c r="T1855" s="22">
        <f>tblDailySchedule[[#This Row],[STD]]</f>
        <v>0.89583333333333337</v>
      </c>
    </row>
    <row r="1856" spans="1:20" hidden="1" x14ac:dyDescent="0.35">
      <c r="A1856" s="11">
        <v>46176</v>
      </c>
      <c r="B1856" s="3">
        <v>3</v>
      </c>
      <c r="C1856" t="s">
        <v>113</v>
      </c>
      <c r="D1856" t="s">
        <v>18</v>
      </c>
      <c r="E1856" s="3">
        <v>28</v>
      </c>
      <c r="F1856" t="s">
        <v>19</v>
      </c>
      <c r="G1856" t="s">
        <v>97</v>
      </c>
      <c r="H1856" t="s">
        <v>49</v>
      </c>
      <c r="I1856" s="12">
        <v>0.90277777777777779</v>
      </c>
      <c r="J1856" t="s">
        <v>97</v>
      </c>
      <c r="K1856" t="s">
        <v>61</v>
      </c>
      <c r="L1856" s="12">
        <v>0.92361111111111116</v>
      </c>
      <c r="M1856" t="s">
        <v>33</v>
      </c>
      <c r="N1856" s="3">
        <v>189</v>
      </c>
      <c r="O1856" t="s">
        <v>24</v>
      </c>
      <c r="P1856" t="s">
        <v>79</v>
      </c>
      <c r="R1856">
        <f>tblDailySchedule[[#This Row],[Capacity Approx]]*'[1]Load Factor Sheet June Acft  '!$B$5</f>
        <v>153.04704545454547</v>
      </c>
      <c r="S1856">
        <f>tblDailySchedule[[#This Row],[Capacity Approx]]*'[1]Load Factor Sheet June Acft  '!$D$5</f>
        <v>165.71863636363636</v>
      </c>
      <c r="T1856" s="22">
        <f>tblDailySchedule[[#This Row],[STD]]</f>
        <v>0.92361111111111116</v>
      </c>
    </row>
    <row r="1857" spans="1:20" hidden="1" x14ac:dyDescent="0.35">
      <c r="A1857" s="11">
        <v>46176</v>
      </c>
      <c r="B1857" s="3">
        <v>3</v>
      </c>
      <c r="C1857" t="s">
        <v>113</v>
      </c>
      <c r="D1857" t="s">
        <v>18</v>
      </c>
      <c r="E1857" s="3">
        <v>29</v>
      </c>
      <c r="F1857" t="s">
        <v>19</v>
      </c>
      <c r="G1857" t="s">
        <v>98</v>
      </c>
      <c r="H1857" t="s">
        <v>21</v>
      </c>
      <c r="I1857" s="12">
        <v>0.92013888888888884</v>
      </c>
      <c r="J1857" t="s">
        <v>99</v>
      </c>
      <c r="K1857" t="s">
        <v>21</v>
      </c>
      <c r="L1857" s="12">
        <v>0.94791666666666663</v>
      </c>
      <c r="M1857" t="s">
        <v>63</v>
      </c>
      <c r="N1857" s="3">
        <v>232</v>
      </c>
      <c r="O1857" t="s">
        <v>24</v>
      </c>
      <c r="P1857" t="s">
        <v>79</v>
      </c>
      <c r="R1857">
        <f>tblDailySchedule[[#This Row],[Capacity Approx]]*'[1]Load Factor Sheet June Acft  '!$B$5</f>
        <v>187.86727272727273</v>
      </c>
      <c r="S1857">
        <f>tblDailySchedule[[#This Row],[Capacity Approx]]*'[1]Load Factor Sheet June Acft  '!$D$5</f>
        <v>203.4218181818182</v>
      </c>
      <c r="T1857" s="22">
        <f>tblDailySchedule[[#This Row],[STD]]</f>
        <v>0.94791666666666663</v>
      </c>
    </row>
    <row r="1858" spans="1:20" hidden="1" x14ac:dyDescent="0.35">
      <c r="A1858" s="13">
        <v>46176</v>
      </c>
      <c r="B1858" s="7">
        <v>3</v>
      </c>
      <c r="C1858" s="14" t="s">
        <v>113</v>
      </c>
      <c r="D1858" s="14" t="s">
        <v>18</v>
      </c>
      <c r="E1858" s="7">
        <v>30</v>
      </c>
      <c r="F1858" s="14" t="s">
        <v>104</v>
      </c>
      <c r="G1858" s="14" t="s">
        <v>105</v>
      </c>
      <c r="H1858" s="14" t="s">
        <v>106</v>
      </c>
      <c r="I1858" s="15">
        <v>0.92708333333333337</v>
      </c>
      <c r="J1858" s="14" t="s">
        <v>107</v>
      </c>
      <c r="K1858" s="14" t="s">
        <v>106</v>
      </c>
      <c r="L1858" s="15">
        <v>0.95833333333333337</v>
      </c>
      <c r="M1858" s="14" t="s">
        <v>38</v>
      </c>
      <c r="N1858" s="7">
        <v>186</v>
      </c>
      <c r="O1858" s="14" t="s">
        <v>39</v>
      </c>
      <c r="P1858" s="14" t="s">
        <v>79</v>
      </c>
      <c r="Q1858" s="14" t="s">
        <v>39</v>
      </c>
      <c r="R1858">
        <f>tblDailySchedule[[#This Row],[Capacity Approx]]*'[1]Load Factor Sheet June Acft  '!$B$5</f>
        <v>150.61772727272728</v>
      </c>
      <c r="S1858">
        <f>tblDailySchedule[[#This Row],[Capacity Approx]]*'[1]Load Factor Sheet June Acft  '!$D$5</f>
        <v>163.08818181818182</v>
      </c>
      <c r="T1858" s="22">
        <f>tblDailySchedule[[#This Row],[STD]]</f>
        <v>0.95833333333333337</v>
      </c>
    </row>
    <row r="1859" spans="1:20" hidden="1" x14ac:dyDescent="0.35">
      <c r="A1859" s="11">
        <v>46177</v>
      </c>
      <c r="B1859" s="3">
        <v>4</v>
      </c>
      <c r="C1859" t="s">
        <v>114</v>
      </c>
      <c r="D1859" t="s">
        <v>18</v>
      </c>
      <c r="E1859" s="3">
        <v>1</v>
      </c>
      <c r="F1859" t="s">
        <v>101</v>
      </c>
      <c r="G1859" t="s">
        <v>102</v>
      </c>
      <c r="H1859" t="s">
        <v>61</v>
      </c>
      <c r="I1859" s="12">
        <v>0.3125</v>
      </c>
      <c r="J1859" t="s">
        <v>103</v>
      </c>
      <c r="K1859" t="s">
        <v>61</v>
      </c>
      <c r="L1859" s="12">
        <v>0.33333333333333331</v>
      </c>
      <c r="M1859" t="s">
        <v>33</v>
      </c>
      <c r="N1859" s="3">
        <v>189</v>
      </c>
      <c r="O1859" t="s">
        <v>24</v>
      </c>
      <c r="P1859" t="s">
        <v>25</v>
      </c>
      <c r="R1859">
        <f>tblDailySchedule[[#This Row],[Capacity Approx]]*'[1]Load Factor Sheet June Acft  '!$B$5</f>
        <v>153.04704545454547</v>
      </c>
      <c r="S1859">
        <f>tblDailySchedule[[#This Row],[Capacity Approx]]*'[1]Load Factor Sheet June Acft  '!$D$5</f>
        <v>165.71863636363636</v>
      </c>
      <c r="T1859" s="22">
        <f>tblDailySchedule[[#This Row],[STD]]</f>
        <v>0.33333333333333331</v>
      </c>
    </row>
    <row r="1860" spans="1:20" hidden="1" x14ac:dyDescent="0.35">
      <c r="A1860" s="11">
        <v>46177</v>
      </c>
      <c r="B1860" s="3">
        <v>4</v>
      </c>
      <c r="C1860" t="s">
        <v>114</v>
      </c>
      <c r="D1860" t="s">
        <v>18</v>
      </c>
      <c r="E1860" s="3">
        <v>2</v>
      </c>
      <c r="F1860" t="s">
        <v>19</v>
      </c>
      <c r="G1860" t="s">
        <v>20</v>
      </c>
      <c r="H1860" t="s">
        <v>21</v>
      </c>
      <c r="I1860" s="12">
        <v>0.31944444444444442</v>
      </c>
      <c r="J1860" t="s">
        <v>22</v>
      </c>
      <c r="K1860" t="s">
        <v>21</v>
      </c>
      <c r="L1860" s="12">
        <v>0.34722222222222221</v>
      </c>
      <c r="M1860" t="s">
        <v>23</v>
      </c>
      <c r="N1860" s="3">
        <v>186</v>
      </c>
      <c r="O1860" t="s">
        <v>24</v>
      </c>
      <c r="P1860" t="s">
        <v>25</v>
      </c>
      <c r="R1860">
        <f>tblDailySchedule[[#This Row],[Capacity Approx]]*'[1]Load Factor Sheet June Acft  '!$B$5</f>
        <v>150.61772727272728</v>
      </c>
      <c r="S1860">
        <f>tblDailySchedule[[#This Row],[Capacity Approx]]*'[1]Load Factor Sheet June Acft  '!$D$5</f>
        <v>163.08818181818182</v>
      </c>
      <c r="T1860" s="22">
        <f>tblDailySchedule[[#This Row],[STD]]</f>
        <v>0.34722222222222221</v>
      </c>
    </row>
    <row r="1861" spans="1:20" hidden="1" x14ac:dyDescent="0.35">
      <c r="A1861" s="11">
        <v>46177</v>
      </c>
      <c r="B1861" s="3">
        <v>4</v>
      </c>
      <c r="C1861" t="s">
        <v>114</v>
      </c>
      <c r="D1861" t="s">
        <v>18</v>
      </c>
      <c r="E1861" s="3">
        <v>3</v>
      </c>
      <c r="F1861" t="s">
        <v>19</v>
      </c>
      <c r="G1861" t="s">
        <v>26</v>
      </c>
      <c r="H1861" t="s">
        <v>27</v>
      </c>
      <c r="I1861" s="12">
        <v>0.3263888888888889</v>
      </c>
      <c r="J1861" t="s">
        <v>28</v>
      </c>
      <c r="K1861" t="s">
        <v>27</v>
      </c>
      <c r="L1861" s="12">
        <v>0.35416666666666669</v>
      </c>
      <c r="M1861" t="s">
        <v>29</v>
      </c>
      <c r="N1861" s="3">
        <v>186</v>
      </c>
      <c r="O1861" t="s">
        <v>24</v>
      </c>
      <c r="P1861" t="s">
        <v>25</v>
      </c>
      <c r="R1861">
        <f>tblDailySchedule[[#This Row],[Capacity Approx]]*'[1]Load Factor Sheet June Acft  '!$B$5</f>
        <v>150.61772727272728</v>
      </c>
      <c r="S1861">
        <f>tblDailySchedule[[#This Row],[Capacity Approx]]*'[1]Load Factor Sheet June Acft  '!$D$5</f>
        <v>163.08818181818182</v>
      </c>
      <c r="T1861" s="22">
        <f>tblDailySchedule[[#This Row],[STD]]</f>
        <v>0.35416666666666669</v>
      </c>
    </row>
    <row r="1862" spans="1:20" hidden="1" x14ac:dyDescent="0.35">
      <c r="A1862" s="11">
        <v>46177</v>
      </c>
      <c r="B1862" s="3">
        <v>4</v>
      </c>
      <c r="C1862" t="s">
        <v>114</v>
      </c>
      <c r="D1862" t="s">
        <v>18</v>
      </c>
      <c r="E1862" s="3">
        <v>4</v>
      </c>
      <c r="F1862" t="s">
        <v>19</v>
      </c>
      <c r="G1862" t="s">
        <v>30</v>
      </c>
      <c r="H1862" t="s">
        <v>31</v>
      </c>
      <c r="I1862" s="12">
        <v>0.34722222222222221</v>
      </c>
      <c r="J1862" t="s">
        <v>32</v>
      </c>
      <c r="K1862" t="s">
        <v>31</v>
      </c>
      <c r="L1862" s="12">
        <v>0.36805555555555558</v>
      </c>
      <c r="M1862" t="s">
        <v>33</v>
      </c>
      <c r="N1862" s="3">
        <v>189</v>
      </c>
      <c r="O1862" t="s">
        <v>24</v>
      </c>
      <c r="P1862" t="s">
        <v>25</v>
      </c>
      <c r="R1862">
        <f>tblDailySchedule[[#This Row],[Capacity Approx]]*'[1]Load Factor Sheet June Acft  '!$B$5</f>
        <v>153.04704545454547</v>
      </c>
      <c r="S1862">
        <f>tblDailySchedule[[#This Row],[Capacity Approx]]*'[1]Load Factor Sheet June Acft  '!$D$5</f>
        <v>165.71863636363636</v>
      </c>
      <c r="T1862" s="22">
        <f>tblDailySchedule[[#This Row],[STD]]</f>
        <v>0.36805555555555558</v>
      </c>
    </row>
    <row r="1863" spans="1:20" hidden="1" x14ac:dyDescent="0.35">
      <c r="A1863" s="11">
        <v>46177</v>
      </c>
      <c r="B1863" s="3">
        <v>4</v>
      </c>
      <c r="C1863" t="s">
        <v>114</v>
      </c>
      <c r="D1863" t="s">
        <v>18</v>
      </c>
      <c r="E1863" s="3">
        <v>5</v>
      </c>
      <c r="F1863" t="s">
        <v>19</v>
      </c>
      <c r="G1863" t="s">
        <v>40</v>
      </c>
      <c r="H1863" t="s">
        <v>31</v>
      </c>
      <c r="I1863" s="12">
        <v>0.35069444444444442</v>
      </c>
      <c r="J1863" t="s">
        <v>41</v>
      </c>
      <c r="K1863" t="s">
        <v>31</v>
      </c>
      <c r="L1863" s="12">
        <v>0.37152777777777779</v>
      </c>
      <c r="M1863" t="s">
        <v>23</v>
      </c>
      <c r="N1863" s="3">
        <v>186</v>
      </c>
      <c r="O1863" t="s">
        <v>24</v>
      </c>
      <c r="P1863" t="s">
        <v>25</v>
      </c>
      <c r="R1863">
        <f>tblDailySchedule[[#This Row],[Capacity Approx]]*'[1]Load Factor Sheet June Acft  '!$B$5</f>
        <v>150.61772727272728</v>
      </c>
      <c r="S1863">
        <f>tblDailySchedule[[#This Row],[Capacity Approx]]*'[1]Load Factor Sheet June Acft  '!$D$5</f>
        <v>163.08818181818182</v>
      </c>
      <c r="T1863" s="22">
        <f>tblDailySchedule[[#This Row],[STD]]</f>
        <v>0.37152777777777779</v>
      </c>
    </row>
    <row r="1864" spans="1:20" hidden="1" x14ac:dyDescent="0.35">
      <c r="A1864" s="11">
        <v>46177</v>
      </c>
      <c r="B1864" s="3">
        <v>4</v>
      </c>
      <c r="C1864" t="s">
        <v>114</v>
      </c>
      <c r="D1864" t="s">
        <v>18</v>
      </c>
      <c r="E1864" s="3">
        <v>7</v>
      </c>
      <c r="F1864" t="s">
        <v>19</v>
      </c>
      <c r="G1864" t="s">
        <v>42</v>
      </c>
      <c r="H1864" t="s">
        <v>43</v>
      </c>
      <c r="I1864" s="12">
        <v>0.3923611111111111</v>
      </c>
      <c r="J1864" t="s">
        <v>44</v>
      </c>
      <c r="K1864" t="s">
        <v>43</v>
      </c>
      <c r="L1864" s="12">
        <v>0.40277777777777779</v>
      </c>
      <c r="M1864" t="s">
        <v>45</v>
      </c>
      <c r="N1864" s="3">
        <v>9</v>
      </c>
      <c r="O1864" t="s">
        <v>24</v>
      </c>
      <c r="P1864" t="s">
        <v>25</v>
      </c>
      <c r="R1864">
        <f>tblDailySchedule[[#This Row],[Capacity Approx]]*'[1]Load Factor Sheet June Acft  '!$B$5</f>
        <v>7.2879545454545456</v>
      </c>
      <c r="S1864">
        <f>tblDailySchedule[[#This Row],[Capacity Approx]]*'[1]Load Factor Sheet June Acft  '!$D$5</f>
        <v>7.8913636363636366</v>
      </c>
      <c r="T1864" s="22">
        <f>tblDailySchedule[[#This Row],[STD]]</f>
        <v>0.40277777777777779</v>
      </c>
    </row>
    <row r="1865" spans="1:20" hidden="1" x14ac:dyDescent="0.35">
      <c r="A1865" s="11">
        <v>46177</v>
      </c>
      <c r="B1865" s="3">
        <v>4</v>
      </c>
      <c r="C1865" t="s">
        <v>114</v>
      </c>
      <c r="D1865" t="s">
        <v>18</v>
      </c>
      <c r="E1865" s="3">
        <v>8</v>
      </c>
      <c r="F1865" t="s">
        <v>19</v>
      </c>
      <c r="G1865" t="s">
        <v>46</v>
      </c>
      <c r="H1865" t="s">
        <v>31</v>
      </c>
      <c r="I1865" s="12">
        <v>0.4201388888888889</v>
      </c>
      <c r="J1865" t="s">
        <v>47</v>
      </c>
      <c r="K1865" t="s">
        <v>31</v>
      </c>
      <c r="L1865" s="12">
        <v>0.44444444444444442</v>
      </c>
      <c r="M1865" t="s">
        <v>29</v>
      </c>
      <c r="N1865" s="3">
        <v>186</v>
      </c>
      <c r="O1865" t="s">
        <v>24</v>
      </c>
      <c r="P1865" t="s">
        <v>25</v>
      </c>
      <c r="R1865">
        <f>tblDailySchedule[[#This Row],[Capacity Approx]]*'[1]Load Factor Sheet June Acft  '!$B$5</f>
        <v>150.61772727272728</v>
      </c>
      <c r="S1865">
        <f>tblDailySchedule[[#This Row],[Capacity Approx]]*'[1]Load Factor Sheet June Acft  '!$D$5</f>
        <v>163.08818181818182</v>
      </c>
      <c r="T1865" s="22">
        <f>tblDailySchedule[[#This Row],[STD]]</f>
        <v>0.44444444444444442</v>
      </c>
    </row>
    <row r="1866" spans="1:20" hidden="1" x14ac:dyDescent="0.35">
      <c r="A1866" s="11">
        <v>46177</v>
      </c>
      <c r="B1866" s="3">
        <v>4</v>
      </c>
      <c r="C1866" t="s">
        <v>114</v>
      </c>
      <c r="D1866" t="s">
        <v>18</v>
      </c>
      <c r="E1866" s="3">
        <v>9</v>
      </c>
      <c r="F1866" t="s">
        <v>19</v>
      </c>
      <c r="G1866" t="s">
        <v>48</v>
      </c>
      <c r="H1866" t="s">
        <v>49</v>
      </c>
      <c r="I1866" s="12">
        <v>0.4375</v>
      </c>
      <c r="J1866" t="s">
        <v>50</v>
      </c>
      <c r="K1866" t="s">
        <v>49</v>
      </c>
      <c r="L1866" s="12">
        <v>0.45833333333333331</v>
      </c>
      <c r="M1866" t="s">
        <v>51</v>
      </c>
      <c r="N1866" s="3">
        <v>78</v>
      </c>
      <c r="O1866" t="s">
        <v>24</v>
      </c>
      <c r="P1866" t="s">
        <v>25</v>
      </c>
      <c r="R1866">
        <f>tblDailySchedule[[#This Row],[Capacity Approx]]*'[1]Load Factor Sheet June Acft  '!$B$5</f>
        <v>63.162272727272729</v>
      </c>
      <c r="S1866">
        <f>tblDailySchedule[[#This Row],[Capacity Approx]]*'[1]Load Factor Sheet June Acft  '!$D$5</f>
        <v>68.391818181818181</v>
      </c>
      <c r="T1866" s="22">
        <f>tblDailySchedule[[#This Row],[STD]]</f>
        <v>0.45833333333333331</v>
      </c>
    </row>
    <row r="1867" spans="1:20" hidden="1" x14ac:dyDescent="0.35">
      <c r="A1867" s="11">
        <v>46177</v>
      </c>
      <c r="B1867" s="3">
        <v>4</v>
      </c>
      <c r="C1867" t="s">
        <v>114</v>
      </c>
      <c r="D1867" t="s">
        <v>18</v>
      </c>
      <c r="E1867" s="3">
        <v>10</v>
      </c>
      <c r="F1867" t="s">
        <v>19</v>
      </c>
      <c r="G1867" t="s">
        <v>52</v>
      </c>
      <c r="H1867" t="s">
        <v>27</v>
      </c>
      <c r="I1867" s="12">
        <v>0.4826388888888889</v>
      </c>
      <c r="J1867" t="s">
        <v>53</v>
      </c>
      <c r="K1867" t="s">
        <v>27</v>
      </c>
      <c r="L1867" s="12">
        <v>0.51041666666666663</v>
      </c>
      <c r="M1867" t="s">
        <v>23</v>
      </c>
      <c r="N1867" s="3">
        <v>186</v>
      </c>
      <c r="O1867" t="s">
        <v>24</v>
      </c>
      <c r="P1867" t="s">
        <v>25</v>
      </c>
      <c r="R1867">
        <f>tblDailySchedule[[#This Row],[Capacity Approx]]*'[1]Load Factor Sheet June Acft  '!$B$5</f>
        <v>150.61772727272728</v>
      </c>
      <c r="S1867">
        <f>tblDailySchedule[[#This Row],[Capacity Approx]]*'[1]Load Factor Sheet June Acft  '!$D$5</f>
        <v>163.08818181818182</v>
      </c>
      <c r="T1867" s="22">
        <f>tblDailySchedule[[#This Row],[STD]]</f>
        <v>0.51041666666666663</v>
      </c>
    </row>
    <row r="1868" spans="1:20" hidden="1" x14ac:dyDescent="0.35">
      <c r="A1868" s="11">
        <v>46177</v>
      </c>
      <c r="B1868" s="3">
        <v>4</v>
      </c>
      <c r="C1868" t="s">
        <v>114</v>
      </c>
      <c r="D1868" t="s">
        <v>18</v>
      </c>
      <c r="E1868" s="3">
        <v>11</v>
      </c>
      <c r="F1868" t="s">
        <v>19</v>
      </c>
      <c r="G1868" t="s">
        <v>54</v>
      </c>
      <c r="H1868" t="s">
        <v>31</v>
      </c>
      <c r="I1868" s="12">
        <v>0.51388888888888884</v>
      </c>
      <c r="J1868" t="s">
        <v>55</v>
      </c>
      <c r="K1868" t="s">
        <v>31</v>
      </c>
      <c r="L1868" s="12">
        <v>0.54166666666666663</v>
      </c>
      <c r="M1868" t="s">
        <v>23</v>
      </c>
      <c r="N1868" s="3">
        <v>186</v>
      </c>
      <c r="O1868" t="s">
        <v>24</v>
      </c>
      <c r="P1868" t="s">
        <v>56</v>
      </c>
      <c r="R1868">
        <f>tblDailySchedule[[#This Row],[Capacity Approx]]*'[1]Load Factor Sheet June Acft  '!$B$5</f>
        <v>150.61772727272728</v>
      </c>
      <c r="S1868">
        <f>tblDailySchedule[[#This Row],[Capacity Approx]]*'[1]Load Factor Sheet June Acft  '!$D$5</f>
        <v>163.08818181818182</v>
      </c>
      <c r="T1868" s="22">
        <f>tblDailySchedule[[#This Row],[STD]]</f>
        <v>0.54166666666666663</v>
      </c>
    </row>
    <row r="1869" spans="1:20" hidden="1" x14ac:dyDescent="0.35">
      <c r="A1869" s="11">
        <v>46177</v>
      </c>
      <c r="B1869" s="3">
        <v>4</v>
      </c>
      <c r="C1869" t="s">
        <v>114</v>
      </c>
      <c r="D1869" t="s">
        <v>18</v>
      </c>
      <c r="E1869" s="3">
        <v>12</v>
      </c>
      <c r="F1869" t="s">
        <v>109</v>
      </c>
      <c r="G1869" t="s">
        <v>110</v>
      </c>
      <c r="H1869" t="s">
        <v>111</v>
      </c>
      <c r="I1869" s="12">
        <v>0.55555555555555558</v>
      </c>
      <c r="J1869" t="s">
        <v>112</v>
      </c>
      <c r="K1869" t="s">
        <v>111</v>
      </c>
      <c r="L1869" s="12">
        <v>0.56944444444444442</v>
      </c>
      <c r="M1869" t="s">
        <v>51</v>
      </c>
      <c r="N1869" s="3">
        <v>78</v>
      </c>
      <c r="O1869" t="s">
        <v>24</v>
      </c>
      <c r="P1869" t="s">
        <v>56</v>
      </c>
      <c r="R1869">
        <f>tblDailySchedule[[#This Row],[Capacity Approx]]*'[1]Load Factor Sheet June Acft  '!$B$5</f>
        <v>63.162272727272729</v>
      </c>
      <c r="S1869">
        <f>tblDailySchedule[[#This Row],[Capacity Approx]]*'[1]Load Factor Sheet June Acft  '!$D$5</f>
        <v>68.391818181818181</v>
      </c>
      <c r="T1869" s="22">
        <f>tblDailySchedule[[#This Row],[STD]]</f>
        <v>0.56944444444444442</v>
      </c>
    </row>
    <row r="1870" spans="1:20" hidden="1" x14ac:dyDescent="0.35">
      <c r="A1870" s="11">
        <v>46177</v>
      </c>
      <c r="B1870" s="3">
        <v>4</v>
      </c>
      <c r="C1870" t="s">
        <v>114</v>
      </c>
      <c r="D1870" t="s">
        <v>18</v>
      </c>
      <c r="E1870" s="3">
        <v>13</v>
      </c>
      <c r="F1870" t="s">
        <v>19</v>
      </c>
      <c r="G1870" t="s">
        <v>57</v>
      </c>
      <c r="H1870" t="s">
        <v>58</v>
      </c>
      <c r="I1870" s="12">
        <v>0.55902777777777779</v>
      </c>
      <c r="J1870" t="s">
        <v>59</v>
      </c>
      <c r="K1870" t="s">
        <v>58</v>
      </c>
      <c r="L1870" s="12">
        <v>0.57638888888888884</v>
      </c>
      <c r="M1870" t="s">
        <v>51</v>
      </c>
      <c r="N1870" s="3">
        <v>78</v>
      </c>
      <c r="O1870" t="s">
        <v>24</v>
      </c>
      <c r="P1870" t="s">
        <v>56</v>
      </c>
      <c r="R1870">
        <f>tblDailySchedule[[#This Row],[Capacity Approx]]*'[1]Load Factor Sheet June Acft  '!$B$5</f>
        <v>63.162272727272729</v>
      </c>
      <c r="S1870">
        <f>tblDailySchedule[[#This Row],[Capacity Approx]]*'[1]Load Factor Sheet June Acft  '!$D$5</f>
        <v>68.391818181818181</v>
      </c>
      <c r="T1870" s="22">
        <f>tblDailySchedule[[#This Row],[STD]]</f>
        <v>0.57638888888888884</v>
      </c>
    </row>
    <row r="1871" spans="1:20" hidden="1" x14ac:dyDescent="0.35">
      <c r="A1871" s="11">
        <v>46177</v>
      </c>
      <c r="B1871" s="3">
        <v>4</v>
      </c>
      <c r="C1871" t="s">
        <v>114</v>
      </c>
      <c r="D1871" t="s">
        <v>18</v>
      </c>
      <c r="E1871" s="3">
        <v>14</v>
      </c>
      <c r="F1871" t="s">
        <v>19</v>
      </c>
      <c r="G1871" t="s">
        <v>60</v>
      </c>
      <c r="H1871" t="s">
        <v>61</v>
      </c>
      <c r="I1871" s="12">
        <v>0.59027777777777779</v>
      </c>
      <c r="J1871" t="s">
        <v>62</v>
      </c>
      <c r="K1871" t="s">
        <v>61</v>
      </c>
      <c r="L1871" s="12">
        <v>0.62152777777777779</v>
      </c>
      <c r="M1871" t="s">
        <v>63</v>
      </c>
      <c r="N1871" s="3">
        <v>232</v>
      </c>
      <c r="O1871" t="s">
        <v>24</v>
      </c>
      <c r="P1871" t="s">
        <v>56</v>
      </c>
      <c r="R1871">
        <f>tblDailySchedule[[#This Row],[Capacity Approx]]*'[1]Load Factor Sheet June Acft  '!$B$5</f>
        <v>187.86727272727273</v>
      </c>
      <c r="S1871">
        <f>tblDailySchedule[[#This Row],[Capacity Approx]]*'[1]Load Factor Sheet June Acft  '!$D$5</f>
        <v>203.4218181818182</v>
      </c>
      <c r="T1871" s="22">
        <f>tblDailySchedule[[#This Row],[STD]]</f>
        <v>0.62152777777777779</v>
      </c>
    </row>
    <row r="1872" spans="1:20" hidden="1" x14ac:dyDescent="0.35">
      <c r="A1872" s="11">
        <v>46177</v>
      </c>
      <c r="B1872" s="3">
        <v>4</v>
      </c>
      <c r="C1872" t="s">
        <v>114</v>
      </c>
      <c r="D1872" t="s">
        <v>18</v>
      </c>
      <c r="E1872" s="3">
        <v>15</v>
      </c>
      <c r="F1872" t="s">
        <v>19</v>
      </c>
      <c r="G1872" t="s">
        <v>64</v>
      </c>
      <c r="H1872" t="s">
        <v>31</v>
      </c>
      <c r="I1872" s="12">
        <v>0.60069444444444442</v>
      </c>
      <c r="J1872" t="s">
        <v>65</v>
      </c>
      <c r="K1872" t="s">
        <v>66</v>
      </c>
      <c r="L1872" s="12">
        <v>0.62847222222222221</v>
      </c>
      <c r="M1872" t="s">
        <v>63</v>
      </c>
      <c r="N1872" s="3">
        <v>232</v>
      </c>
      <c r="O1872" t="s">
        <v>24</v>
      </c>
      <c r="P1872" t="s">
        <v>56</v>
      </c>
      <c r="R1872">
        <f>tblDailySchedule[[#This Row],[Capacity Approx]]*'[1]Load Factor Sheet June Acft  '!$B$5</f>
        <v>187.86727272727273</v>
      </c>
      <c r="S1872">
        <f>tblDailySchedule[[#This Row],[Capacity Approx]]*'[1]Load Factor Sheet June Acft  '!$D$5</f>
        <v>203.4218181818182</v>
      </c>
      <c r="T1872" s="22">
        <f>tblDailySchedule[[#This Row],[STD]]</f>
        <v>0.62847222222222221</v>
      </c>
    </row>
    <row r="1873" spans="1:20" hidden="1" x14ac:dyDescent="0.35">
      <c r="A1873" s="11">
        <v>46177</v>
      </c>
      <c r="B1873" s="3">
        <v>4</v>
      </c>
      <c r="C1873" t="s">
        <v>114</v>
      </c>
      <c r="D1873" t="s">
        <v>18</v>
      </c>
      <c r="E1873" s="3">
        <v>16</v>
      </c>
      <c r="F1873" t="s">
        <v>19</v>
      </c>
      <c r="G1873" t="s">
        <v>67</v>
      </c>
      <c r="H1873" t="s">
        <v>31</v>
      </c>
      <c r="I1873" s="12">
        <v>0.65625</v>
      </c>
      <c r="J1873" t="s">
        <v>68</v>
      </c>
      <c r="K1873" t="s">
        <v>31</v>
      </c>
      <c r="L1873" s="12">
        <v>0.68402777777777779</v>
      </c>
      <c r="M1873" t="s">
        <v>63</v>
      </c>
      <c r="N1873" s="3">
        <v>232</v>
      </c>
      <c r="O1873" t="s">
        <v>24</v>
      </c>
      <c r="P1873" t="s">
        <v>56</v>
      </c>
      <c r="R1873">
        <f>tblDailySchedule[[#This Row],[Capacity Approx]]*'[1]Load Factor Sheet June Acft  '!$B$5</f>
        <v>187.86727272727273</v>
      </c>
      <c r="S1873">
        <f>tblDailySchedule[[#This Row],[Capacity Approx]]*'[1]Load Factor Sheet June Acft  '!$D$5</f>
        <v>203.4218181818182</v>
      </c>
      <c r="T1873" s="22">
        <f>tblDailySchedule[[#This Row],[STD]]</f>
        <v>0.68402777777777779</v>
      </c>
    </row>
    <row r="1874" spans="1:20" hidden="1" x14ac:dyDescent="0.35">
      <c r="A1874" s="11">
        <v>46177</v>
      </c>
      <c r="B1874" s="3">
        <v>4</v>
      </c>
      <c r="C1874" t="s">
        <v>114</v>
      </c>
      <c r="D1874" t="s">
        <v>18</v>
      </c>
      <c r="E1874" s="3">
        <v>17</v>
      </c>
      <c r="F1874" t="s">
        <v>19</v>
      </c>
      <c r="G1874" t="s">
        <v>69</v>
      </c>
      <c r="H1874" t="s">
        <v>31</v>
      </c>
      <c r="I1874" s="12">
        <v>0.66319444444444442</v>
      </c>
      <c r="J1874" t="s">
        <v>70</v>
      </c>
      <c r="K1874" t="s">
        <v>31</v>
      </c>
      <c r="L1874" s="12">
        <v>0.69097222222222221</v>
      </c>
      <c r="M1874" t="s">
        <v>33</v>
      </c>
      <c r="N1874" s="3">
        <v>189</v>
      </c>
      <c r="O1874" t="s">
        <v>24</v>
      </c>
      <c r="P1874" t="s">
        <v>56</v>
      </c>
      <c r="R1874">
        <f>tblDailySchedule[[#This Row],[Capacity Approx]]*'[1]Load Factor Sheet June Acft  '!$B$5</f>
        <v>153.04704545454547</v>
      </c>
      <c r="S1874">
        <f>tblDailySchedule[[#This Row],[Capacity Approx]]*'[1]Load Factor Sheet June Acft  '!$D$5</f>
        <v>165.71863636363636</v>
      </c>
      <c r="T1874" s="22">
        <f>tblDailySchedule[[#This Row],[STD]]</f>
        <v>0.69097222222222221</v>
      </c>
    </row>
    <row r="1875" spans="1:20" hidden="1" x14ac:dyDescent="0.35">
      <c r="A1875" s="11">
        <v>46177</v>
      </c>
      <c r="B1875" s="3">
        <v>4</v>
      </c>
      <c r="C1875" t="s">
        <v>114</v>
      </c>
      <c r="D1875" t="s">
        <v>18</v>
      </c>
      <c r="E1875" s="3">
        <v>18</v>
      </c>
      <c r="F1875" t="s">
        <v>19</v>
      </c>
      <c r="G1875" t="s">
        <v>71</v>
      </c>
      <c r="H1875" t="s">
        <v>21</v>
      </c>
      <c r="I1875" s="12">
        <v>0.67013888888888884</v>
      </c>
      <c r="J1875" t="s">
        <v>72</v>
      </c>
      <c r="K1875" t="s">
        <v>21</v>
      </c>
      <c r="L1875" s="12">
        <v>0.69791666666666663</v>
      </c>
      <c r="M1875" t="s">
        <v>63</v>
      </c>
      <c r="N1875" s="3">
        <v>232</v>
      </c>
      <c r="O1875" t="s">
        <v>24</v>
      </c>
      <c r="P1875" t="s">
        <v>56</v>
      </c>
      <c r="R1875">
        <f>tblDailySchedule[[#This Row],[Capacity Approx]]*'[1]Load Factor Sheet June Acft  '!$B$5</f>
        <v>187.86727272727273</v>
      </c>
      <c r="S1875">
        <f>tblDailySchedule[[#This Row],[Capacity Approx]]*'[1]Load Factor Sheet June Acft  '!$D$5</f>
        <v>203.4218181818182</v>
      </c>
      <c r="T1875" s="22">
        <f>tblDailySchedule[[#This Row],[STD]]</f>
        <v>0.69791666666666663</v>
      </c>
    </row>
    <row r="1876" spans="1:20" hidden="1" x14ac:dyDescent="0.35">
      <c r="A1876" s="11">
        <v>46177</v>
      </c>
      <c r="B1876" s="3">
        <v>4</v>
      </c>
      <c r="C1876" t="s">
        <v>114</v>
      </c>
      <c r="D1876" t="s">
        <v>18</v>
      </c>
      <c r="E1876" s="3">
        <v>19</v>
      </c>
      <c r="F1876" t="s">
        <v>19</v>
      </c>
      <c r="G1876" t="s">
        <v>73</v>
      </c>
      <c r="H1876" t="s">
        <v>27</v>
      </c>
      <c r="I1876" s="12">
        <v>0.74652777777777779</v>
      </c>
      <c r="J1876" t="s">
        <v>74</v>
      </c>
      <c r="K1876" t="s">
        <v>27</v>
      </c>
      <c r="L1876" s="12">
        <v>0.77430555555555558</v>
      </c>
      <c r="M1876" t="s">
        <v>63</v>
      </c>
      <c r="N1876" s="3">
        <v>232</v>
      </c>
      <c r="O1876" t="s">
        <v>24</v>
      </c>
      <c r="P1876" t="s">
        <v>56</v>
      </c>
      <c r="R1876">
        <f>tblDailySchedule[[#This Row],[Capacity Approx]]*'[1]Load Factor Sheet June Acft  '!$B$5</f>
        <v>187.86727272727273</v>
      </c>
      <c r="S1876">
        <f>tblDailySchedule[[#This Row],[Capacity Approx]]*'[1]Load Factor Sheet June Acft  '!$D$5</f>
        <v>203.4218181818182</v>
      </c>
      <c r="T1876" s="22">
        <f>tblDailySchedule[[#This Row],[STD]]</f>
        <v>0.77430555555555558</v>
      </c>
    </row>
    <row r="1877" spans="1:20" hidden="1" x14ac:dyDescent="0.35">
      <c r="A1877" s="11">
        <v>46177</v>
      </c>
      <c r="B1877" s="3">
        <v>4</v>
      </c>
      <c r="C1877" t="s">
        <v>114</v>
      </c>
      <c r="D1877" t="s">
        <v>18</v>
      </c>
      <c r="E1877" s="3">
        <v>21</v>
      </c>
      <c r="F1877" t="s">
        <v>19</v>
      </c>
      <c r="G1877" t="s">
        <v>81</v>
      </c>
      <c r="H1877" t="s">
        <v>61</v>
      </c>
      <c r="I1877" s="12">
        <v>0.77083333333333337</v>
      </c>
      <c r="J1877" t="s">
        <v>82</v>
      </c>
      <c r="K1877" t="s">
        <v>49</v>
      </c>
      <c r="L1877" s="12">
        <v>0.79166666666666663</v>
      </c>
      <c r="M1877" t="s">
        <v>33</v>
      </c>
      <c r="N1877" s="3">
        <v>189</v>
      </c>
      <c r="O1877" t="s">
        <v>24</v>
      </c>
      <c r="P1877" t="s">
        <v>79</v>
      </c>
      <c r="R1877">
        <f>tblDailySchedule[[#This Row],[Capacity Approx]]*'[1]Load Factor Sheet June Acft  '!$B$5</f>
        <v>153.04704545454547</v>
      </c>
      <c r="S1877">
        <f>tblDailySchedule[[#This Row],[Capacity Approx]]*'[1]Load Factor Sheet June Acft  '!$D$5</f>
        <v>165.71863636363636</v>
      </c>
      <c r="T1877" s="22">
        <f>tblDailySchedule[[#This Row],[STD]]</f>
        <v>0.79166666666666663</v>
      </c>
    </row>
    <row r="1878" spans="1:20" hidden="1" x14ac:dyDescent="0.35">
      <c r="A1878" s="11">
        <v>46177</v>
      </c>
      <c r="B1878" s="3">
        <v>4</v>
      </c>
      <c r="C1878" t="s">
        <v>114</v>
      </c>
      <c r="D1878" t="s">
        <v>18</v>
      </c>
      <c r="E1878" s="3">
        <v>22</v>
      </c>
      <c r="F1878" t="s">
        <v>19</v>
      </c>
      <c r="G1878" t="s">
        <v>83</v>
      </c>
      <c r="H1878" t="s">
        <v>31</v>
      </c>
      <c r="I1878" s="12">
        <v>0.77777777777777779</v>
      </c>
      <c r="J1878" t="s">
        <v>84</v>
      </c>
      <c r="K1878" t="s">
        <v>31</v>
      </c>
      <c r="L1878" s="12">
        <v>0.80555555555555558</v>
      </c>
      <c r="M1878" t="s">
        <v>63</v>
      </c>
      <c r="N1878" s="3">
        <v>232</v>
      </c>
      <c r="O1878" t="s">
        <v>24</v>
      </c>
      <c r="P1878" t="s">
        <v>79</v>
      </c>
      <c r="R1878">
        <f>tblDailySchedule[[#This Row],[Capacity Approx]]*'[1]Load Factor Sheet June Acft  '!$B$5</f>
        <v>187.86727272727273</v>
      </c>
      <c r="S1878">
        <f>tblDailySchedule[[#This Row],[Capacity Approx]]*'[1]Load Factor Sheet June Acft  '!$D$5</f>
        <v>203.4218181818182</v>
      </c>
      <c r="T1878" s="22">
        <f>tblDailySchedule[[#This Row],[STD]]</f>
        <v>0.80555555555555558</v>
      </c>
    </row>
    <row r="1879" spans="1:20" hidden="1" x14ac:dyDescent="0.35">
      <c r="A1879" s="11">
        <v>46177</v>
      </c>
      <c r="B1879" s="3">
        <v>4</v>
      </c>
      <c r="C1879" t="s">
        <v>114</v>
      </c>
      <c r="D1879" t="s">
        <v>18</v>
      </c>
      <c r="E1879" s="3">
        <v>23</v>
      </c>
      <c r="F1879" t="s">
        <v>19</v>
      </c>
      <c r="G1879" t="s">
        <v>85</v>
      </c>
      <c r="H1879" t="s">
        <v>86</v>
      </c>
      <c r="I1879" s="12">
        <v>0.79861111111111116</v>
      </c>
      <c r="J1879" t="s">
        <v>87</v>
      </c>
      <c r="K1879" t="s">
        <v>86</v>
      </c>
      <c r="L1879" s="12">
        <v>0.82638888888888884</v>
      </c>
      <c r="M1879" t="s">
        <v>63</v>
      </c>
      <c r="N1879" s="3">
        <v>232</v>
      </c>
      <c r="O1879" t="s">
        <v>24</v>
      </c>
      <c r="P1879" t="s">
        <v>79</v>
      </c>
      <c r="R1879">
        <f>tblDailySchedule[[#This Row],[Capacity Approx]]*'[1]Load Factor Sheet June Acft  '!$B$5</f>
        <v>187.86727272727273</v>
      </c>
      <c r="S1879">
        <f>tblDailySchedule[[#This Row],[Capacity Approx]]*'[1]Load Factor Sheet June Acft  '!$D$5</f>
        <v>203.4218181818182</v>
      </c>
      <c r="T1879" s="22">
        <f>tblDailySchedule[[#This Row],[STD]]</f>
        <v>0.82638888888888884</v>
      </c>
    </row>
    <row r="1880" spans="1:20" hidden="1" x14ac:dyDescent="0.35">
      <c r="A1880" s="11">
        <v>46177</v>
      </c>
      <c r="B1880" s="3">
        <v>4</v>
      </c>
      <c r="C1880" t="s">
        <v>114</v>
      </c>
      <c r="D1880" t="s">
        <v>18</v>
      </c>
      <c r="E1880" s="3">
        <v>24</v>
      </c>
      <c r="F1880" t="s">
        <v>19</v>
      </c>
      <c r="G1880" t="s">
        <v>88</v>
      </c>
      <c r="H1880" t="s">
        <v>89</v>
      </c>
      <c r="I1880" s="12">
        <v>0.83333333333333337</v>
      </c>
      <c r="J1880" t="s">
        <v>90</v>
      </c>
      <c r="K1880" t="s">
        <v>31</v>
      </c>
      <c r="L1880" s="12">
        <v>0.86111111111111116</v>
      </c>
      <c r="M1880" t="s">
        <v>63</v>
      </c>
      <c r="N1880" s="3">
        <v>232</v>
      </c>
      <c r="O1880" t="s">
        <v>24</v>
      </c>
      <c r="P1880" t="s">
        <v>79</v>
      </c>
      <c r="R1880">
        <f>tblDailySchedule[[#This Row],[Capacity Approx]]*'[1]Load Factor Sheet June Acft  '!$B$5</f>
        <v>187.86727272727273</v>
      </c>
      <c r="S1880">
        <f>tblDailySchedule[[#This Row],[Capacity Approx]]*'[1]Load Factor Sheet June Acft  '!$D$5</f>
        <v>203.4218181818182</v>
      </c>
      <c r="T1880" s="22">
        <f>tblDailySchedule[[#This Row],[STD]]</f>
        <v>0.86111111111111116</v>
      </c>
    </row>
    <row r="1881" spans="1:20" hidden="1" x14ac:dyDescent="0.35">
      <c r="A1881" s="11">
        <v>46177</v>
      </c>
      <c r="B1881" s="3">
        <v>4</v>
      </c>
      <c r="C1881" t="s">
        <v>114</v>
      </c>
      <c r="D1881" t="s">
        <v>18</v>
      </c>
      <c r="E1881" s="3">
        <v>25</v>
      </c>
      <c r="F1881" t="s">
        <v>19</v>
      </c>
      <c r="G1881" t="s">
        <v>91</v>
      </c>
      <c r="H1881" t="s">
        <v>61</v>
      </c>
      <c r="I1881" s="12">
        <v>0.85416666666666663</v>
      </c>
      <c r="J1881" t="s">
        <v>92</v>
      </c>
      <c r="K1881" t="s">
        <v>61</v>
      </c>
      <c r="L1881" s="12">
        <v>0.88194444444444442</v>
      </c>
      <c r="M1881" t="s">
        <v>63</v>
      </c>
      <c r="N1881" s="3">
        <v>232</v>
      </c>
      <c r="O1881" t="s">
        <v>24</v>
      </c>
      <c r="P1881" t="s">
        <v>79</v>
      </c>
      <c r="R1881">
        <f>tblDailySchedule[[#This Row],[Capacity Approx]]*'[1]Load Factor Sheet June Acft  '!$B$5</f>
        <v>187.86727272727273</v>
      </c>
      <c r="S1881">
        <f>tblDailySchedule[[#This Row],[Capacity Approx]]*'[1]Load Factor Sheet June Acft  '!$D$5</f>
        <v>203.4218181818182</v>
      </c>
      <c r="T1881" s="22">
        <f>tblDailySchedule[[#This Row],[STD]]</f>
        <v>0.88194444444444442</v>
      </c>
    </row>
    <row r="1882" spans="1:20" hidden="1" x14ac:dyDescent="0.35">
      <c r="A1882" s="11">
        <v>46177</v>
      </c>
      <c r="B1882" s="3">
        <v>4</v>
      </c>
      <c r="C1882" t="s">
        <v>114</v>
      </c>
      <c r="D1882" t="s">
        <v>18</v>
      </c>
      <c r="E1882" s="3">
        <v>26</v>
      </c>
      <c r="F1882" t="s">
        <v>19</v>
      </c>
      <c r="G1882" t="s">
        <v>93</v>
      </c>
      <c r="H1882" t="s">
        <v>31</v>
      </c>
      <c r="I1882" s="12">
        <v>0.86111111111111116</v>
      </c>
      <c r="J1882" t="s">
        <v>94</v>
      </c>
      <c r="K1882" t="s">
        <v>31</v>
      </c>
      <c r="L1882" s="12">
        <v>0.88888888888888884</v>
      </c>
      <c r="M1882" t="s">
        <v>23</v>
      </c>
      <c r="N1882" s="3">
        <v>186</v>
      </c>
      <c r="O1882" t="s">
        <v>24</v>
      </c>
      <c r="P1882" t="s">
        <v>79</v>
      </c>
      <c r="R1882">
        <f>tblDailySchedule[[#This Row],[Capacity Approx]]*'[1]Load Factor Sheet June Acft  '!$B$5</f>
        <v>150.61772727272728</v>
      </c>
      <c r="S1882">
        <f>tblDailySchedule[[#This Row],[Capacity Approx]]*'[1]Load Factor Sheet June Acft  '!$D$5</f>
        <v>163.08818181818182</v>
      </c>
      <c r="T1882" s="22">
        <f>tblDailySchedule[[#This Row],[STD]]</f>
        <v>0.88888888888888884</v>
      </c>
    </row>
    <row r="1883" spans="1:20" hidden="1" x14ac:dyDescent="0.35">
      <c r="A1883" s="11">
        <v>46177</v>
      </c>
      <c r="B1883" s="3">
        <v>4</v>
      </c>
      <c r="C1883" t="s">
        <v>114</v>
      </c>
      <c r="D1883" t="s">
        <v>18</v>
      </c>
      <c r="E1883" s="3">
        <v>27</v>
      </c>
      <c r="F1883" t="s">
        <v>19</v>
      </c>
      <c r="G1883" t="s">
        <v>95</v>
      </c>
      <c r="H1883" t="s">
        <v>21</v>
      </c>
      <c r="I1883" s="12">
        <v>0.86805555555555558</v>
      </c>
      <c r="J1883" t="s">
        <v>96</v>
      </c>
      <c r="K1883" t="s">
        <v>21</v>
      </c>
      <c r="L1883" s="12">
        <v>0.89583333333333337</v>
      </c>
      <c r="M1883" t="s">
        <v>29</v>
      </c>
      <c r="N1883" s="3">
        <v>186</v>
      </c>
      <c r="O1883" t="s">
        <v>24</v>
      </c>
      <c r="P1883" t="s">
        <v>79</v>
      </c>
      <c r="R1883">
        <f>tblDailySchedule[[#This Row],[Capacity Approx]]*'[1]Load Factor Sheet June Acft  '!$B$5</f>
        <v>150.61772727272728</v>
      </c>
      <c r="S1883">
        <f>tblDailySchedule[[#This Row],[Capacity Approx]]*'[1]Load Factor Sheet June Acft  '!$D$5</f>
        <v>163.08818181818182</v>
      </c>
      <c r="T1883" s="22">
        <f>tblDailySchedule[[#This Row],[STD]]</f>
        <v>0.89583333333333337</v>
      </c>
    </row>
    <row r="1884" spans="1:20" hidden="1" x14ac:dyDescent="0.35">
      <c r="A1884" s="11">
        <v>46177</v>
      </c>
      <c r="B1884" s="3">
        <v>4</v>
      </c>
      <c r="C1884" t="s">
        <v>114</v>
      </c>
      <c r="D1884" t="s">
        <v>18</v>
      </c>
      <c r="E1884" s="3">
        <v>28</v>
      </c>
      <c r="F1884" t="s">
        <v>19</v>
      </c>
      <c r="G1884" t="s">
        <v>97</v>
      </c>
      <c r="H1884" t="s">
        <v>49</v>
      </c>
      <c r="I1884" s="12">
        <v>0.90277777777777779</v>
      </c>
      <c r="J1884" t="s">
        <v>97</v>
      </c>
      <c r="K1884" t="s">
        <v>61</v>
      </c>
      <c r="L1884" s="12">
        <v>0.92361111111111116</v>
      </c>
      <c r="M1884" t="s">
        <v>33</v>
      </c>
      <c r="N1884" s="3">
        <v>189</v>
      </c>
      <c r="O1884" t="s">
        <v>24</v>
      </c>
      <c r="P1884" t="s">
        <v>79</v>
      </c>
      <c r="R1884">
        <f>tblDailySchedule[[#This Row],[Capacity Approx]]*'[1]Load Factor Sheet June Acft  '!$B$5</f>
        <v>153.04704545454547</v>
      </c>
      <c r="S1884">
        <f>tblDailySchedule[[#This Row],[Capacity Approx]]*'[1]Load Factor Sheet June Acft  '!$D$5</f>
        <v>165.71863636363636</v>
      </c>
      <c r="T1884" s="22">
        <f>tblDailySchedule[[#This Row],[STD]]</f>
        <v>0.92361111111111116</v>
      </c>
    </row>
    <row r="1885" spans="1:20" hidden="1" x14ac:dyDescent="0.35">
      <c r="A1885" s="11">
        <v>46177</v>
      </c>
      <c r="B1885" s="3">
        <v>4</v>
      </c>
      <c r="C1885" t="s">
        <v>114</v>
      </c>
      <c r="D1885" t="s">
        <v>18</v>
      </c>
      <c r="E1885" s="3">
        <v>29</v>
      </c>
      <c r="F1885" t="s">
        <v>19</v>
      </c>
      <c r="G1885" t="s">
        <v>98</v>
      </c>
      <c r="H1885" t="s">
        <v>21</v>
      </c>
      <c r="I1885" s="12">
        <v>0.92013888888888884</v>
      </c>
      <c r="J1885" t="s">
        <v>99</v>
      </c>
      <c r="K1885" t="s">
        <v>21</v>
      </c>
      <c r="L1885" s="12">
        <v>0.94791666666666663</v>
      </c>
      <c r="M1885" t="s">
        <v>63</v>
      </c>
      <c r="N1885" s="3">
        <v>232</v>
      </c>
      <c r="O1885" t="s">
        <v>24</v>
      </c>
      <c r="P1885" t="s">
        <v>79</v>
      </c>
      <c r="R1885">
        <f>tblDailySchedule[[#This Row],[Capacity Approx]]*'[1]Load Factor Sheet June Acft  '!$B$5</f>
        <v>187.86727272727273</v>
      </c>
      <c r="S1885">
        <f>tblDailySchedule[[#This Row],[Capacity Approx]]*'[1]Load Factor Sheet June Acft  '!$D$5</f>
        <v>203.4218181818182</v>
      </c>
      <c r="T1885" s="22">
        <f>tblDailySchedule[[#This Row],[STD]]</f>
        <v>0.94791666666666663</v>
      </c>
    </row>
    <row r="1886" spans="1:20" hidden="1" x14ac:dyDescent="0.35">
      <c r="A1886" s="11">
        <v>46178</v>
      </c>
      <c r="B1886" s="3">
        <v>5</v>
      </c>
      <c r="C1886" t="s">
        <v>115</v>
      </c>
      <c r="D1886" t="s">
        <v>18</v>
      </c>
      <c r="E1886" s="3">
        <v>2</v>
      </c>
      <c r="F1886" t="s">
        <v>19</v>
      </c>
      <c r="G1886" t="s">
        <v>20</v>
      </c>
      <c r="H1886" t="s">
        <v>21</v>
      </c>
      <c r="I1886" s="12">
        <v>0.31944444444444442</v>
      </c>
      <c r="J1886" t="s">
        <v>22</v>
      </c>
      <c r="K1886" t="s">
        <v>21</v>
      </c>
      <c r="L1886" s="12">
        <v>0.34722222222222221</v>
      </c>
      <c r="M1886" t="s">
        <v>23</v>
      </c>
      <c r="N1886" s="3">
        <v>186</v>
      </c>
      <c r="O1886" t="s">
        <v>24</v>
      </c>
      <c r="P1886" t="s">
        <v>25</v>
      </c>
      <c r="R1886">
        <f>tblDailySchedule[[#This Row],[Capacity Approx]]*'[1]Load Factor Sheet June Acft  '!$B$5</f>
        <v>150.61772727272728</v>
      </c>
      <c r="S1886">
        <f>tblDailySchedule[[#This Row],[Capacity Approx]]*'[1]Load Factor Sheet June Acft  '!$D$5</f>
        <v>163.08818181818182</v>
      </c>
      <c r="T1886" s="22">
        <f>tblDailySchedule[[#This Row],[STD]]</f>
        <v>0.34722222222222221</v>
      </c>
    </row>
    <row r="1887" spans="1:20" hidden="1" x14ac:dyDescent="0.35">
      <c r="A1887" s="11">
        <v>46178</v>
      </c>
      <c r="B1887" s="3">
        <v>5</v>
      </c>
      <c r="C1887" t="s">
        <v>115</v>
      </c>
      <c r="D1887" t="s">
        <v>18</v>
      </c>
      <c r="E1887" s="3">
        <v>3</v>
      </c>
      <c r="F1887" t="s">
        <v>19</v>
      </c>
      <c r="G1887" t="s">
        <v>26</v>
      </c>
      <c r="H1887" t="s">
        <v>27</v>
      </c>
      <c r="I1887" s="12">
        <v>0.3263888888888889</v>
      </c>
      <c r="J1887" t="s">
        <v>28</v>
      </c>
      <c r="K1887" t="s">
        <v>27</v>
      </c>
      <c r="L1887" s="12">
        <v>0.35416666666666669</v>
      </c>
      <c r="M1887" t="s">
        <v>29</v>
      </c>
      <c r="N1887" s="3">
        <v>186</v>
      </c>
      <c r="O1887" t="s">
        <v>24</v>
      </c>
      <c r="P1887" t="s">
        <v>25</v>
      </c>
      <c r="R1887">
        <f>tblDailySchedule[[#This Row],[Capacity Approx]]*'[1]Load Factor Sheet June Acft  '!$B$5</f>
        <v>150.61772727272728</v>
      </c>
      <c r="S1887">
        <f>tblDailySchedule[[#This Row],[Capacity Approx]]*'[1]Load Factor Sheet June Acft  '!$D$5</f>
        <v>163.08818181818182</v>
      </c>
      <c r="T1887" s="22">
        <f>tblDailySchedule[[#This Row],[STD]]</f>
        <v>0.35416666666666669</v>
      </c>
    </row>
    <row r="1888" spans="1:20" hidden="1" x14ac:dyDescent="0.35">
      <c r="A1888" s="11">
        <v>46178</v>
      </c>
      <c r="B1888" s="3">
        <v>5</v>
      </c>
      <c r="C1888" t="s">
        <v>115</v>
      </c>
      <c r="D1888" t="s">
        <v>18</v>
      </c>
      <c r="E1888" s="3">
        <v>4</v>
      </c>
      <c r="F1888" t="s">
        <v>19</v>
      </c>
      <c r="G1888" t="s">
        <v>30</v>
      </c>
      <c r="H1888" t="s">
        <v>31</v>
      </c>
      <c r="I1888" s="12">
        <v>0.34722222222222221</v>
      </c>
      <c r="J1888" t="s">
        <v>32</v>
      </c>
      <c r="K1888" t="s">
        <v>31</v>
      </c>
      <c r="L1888" s="12">
        <v>0.36805555555555558</v>
      </c>
      <c r="M1888" t="s">
        <v>33</v>
      </c>
      <c r="N1888" s="3">
        <v>189</v>
      </c>
      <c r="O1888" t="s">
        <v>24</v>
      </c>
      <c r="P1888" t="s">
        <v>25</v>
      </c>
      <c r="R1888">
        <f>tblDailySchedule[[#This Row],[Capacity Approx]]*'[1]Load Factor Sheet June Acft  '!$B$5</f>
        <v>153.04704545454547</v>
      </c>
      <c r="S1888">
        <f>tblDailySchedule[[#This Row],[Capacity Approx]]*'[1]Load Factor Sheet June Acft  '!$D$5</f>
        <v>165.71863636363636</v>
      </c>
      <c r="T1888" s="22">
        <f>tblDailySchedule[[#This Row],[STD]]</f>
        <v>0.36805555555555558</v>
      </c>
    </row>
    <row r="1889" spans="1:20" hidden="1" x14ac:dyDescent="0.35">
      <c r="A1889" s="13">
        <v>46178</v>
      </c>
      <c r="B1889" s="7">
        <v>5</v>
      </c>
      <c r="C1889" s="14" t="s">
        <v>115</v>
      </c>
      <c r="D1889" s="14" t="s">
        <v>18</v>
      </c>
      <c r="E1889" s="7">
        <v>6</v>
      </c>
      <c r="F1889" s="14" t="s">
        <v>34</v>
      </c>
      <c r="G1889" s="14" t="s">
        <v>35</v>
      </c>
      <c r="H1889" s="14" t="s">
        <v>36</v>
      </c>
      <c r="I1889" s="15">
        <v>0.34722222222222221</v>
      </c>
      <c r="J1889" s="14" t="s">
        <v>37</v>
      </c>
      <c r="K1889" s="14" t="s">
        <v>36</v>
      </c>
      <c r="L1889" s="15">
        <v>0.40972222222222221</v>
      </c>
      <c r="M1889" s="14" t="s">
        <v>38</v>
      </c>
      <c r="N1889" s="7">
        <v>186</v>
      </c>
      <c r="O1889" s="14" t="s">
        <v>39</v>
      </c>
      <c r="P1889" s="14" t="s">
        <v>25</v>
      </c>
      <c r="Q1889" s="14" t="s">
        <v>39</v>
      </c>
      <c r="R1889">
        <f>tblDailySchedule[[#This Row],[Capacity Approx]]*'[1]Load Factor Sheet June Acft  '!$B$5</f>
        <v>150.61772727272728</v>
      </c>
      <c r="S1889">
        <f>tblDailySchedule[[#This Row],[Capacity Approx]]*'[1]Load Factor Sheet June Acft  '!$D$5</f>
        <v>163.08818181818182</v>
      </c>
      <c r="T1889" s="22">
        <f>tblDailySchedule[[#This Row],[STD]]</f>
        <v>0.40972222222222221</v>
      </c>
    </row>
    <row r="1890" spans="1:20" hidden="1" x14ac:dyDescent="0.35">
      <c r="A1890" s="11">
        <v>46178</v>
      </c>
      <c r="B1890" s="3">
        <v>5</v>
      </c>
      <c r="C1890" t="s">
        <v>115</v>
      </c>
      <c r="D1890" t="s">
        <v>18</v>
      </c>
      <c r="E1890" s="3">
        <v>5</v>
      </c>
      <c r="F1890" t="s">
        <v>19</v>
      </c>
      <c r="G1890" t="s">
        <v>40</v>
      </c>
      <c r="H1890" t="s">
        <v>31</v>
      </c>
      <c r="I1890" s="12">
        <v>0.35069444444444442</v>
      </c>
      <c r="J1890" t="s">
        <v>41</v>
      </c>
      <c r="K1890" t="s">
        <v>31</v>
      </c>
      <c r="L1890" s="12">
        <v>0.37152777777777779</v>
      </c>
      <c r="M1890" t="s">
        <v>23</v>
      </c>
      <c r="N1890" s="3">
        <v>186</v>
      </c>
      <c r="O1890" t="s">
        <v>24</v>
      </c>
      <c r="P1890" t="s">
        <v>25</v>
      </c>
      <c r="R1890">
        <f>tblDailySchedule[[#This Row],[Capacity Approx]]*'[1]Load Factor Sheet June Acft  '!$B$5</f>
        <v>150.61772727272728</v>
      </c>
      <c r="S1890">
        <f>tblDailySchedule[[#This Row],[Capacity Approx]]*'[1]Load Factor Sheet June Acft  '!$D$5</f>
        <v>163.08818181818182</v>
      </c>
      <c r="T1890" s="22">
        <f>tblDailySchedule[[#This Row],[STD]]</f>
        <v>0.37152777777777779</v>
      </c>
    </row>
    <row r="1891" spans="1:20" hidden="1" x14ac:dyDescent="0.35">
      <c r="A1891" s="11">
        <v>46178</v>
      </c>
      <c r="B1891" s="3">
        <v>5</v>
      </c>
      <c r="C1891" t="s">
        <v>115</v>
      </c>
      <c r="D1891" t="s">
        <v>18</v>
      </c>
      <c r="E1891" s="3">
        <v>7</v>
      </c>
      <c r="F1891" t="s">
        <v>19</v>
      </c>
      <c r="G1891" t="s">
        <v>42</v>
      </c>
      <c r="H1891" t="s">
        <v>43</v>
      </c>
      <c r="I1891" s="12">
        <v>0.3923611111111111</v>
      </c>
      <c r="J1891" t="s">
        <v>44</v>
      </c>
      <c r="K1891" t="s">
        <v>43</v>
      </c>
      <c r="L1891" s="12">
        <v>0.40277777777777779</v>
      </c>
      <c r="M1891" t="s">
        <v>45</v>
      </c>
      <c r="N1891" s="3">
        <v>9</v>
      </c>
      <c r="O1891" t="s">
        <v>24</v>
      </c>
      <c r="P1891" t="s">
        <v>25</v>
      </c>
      <c r="R1891">
        <f>tblDailySchedule[[#This Row],[Capacity Approx]]*'[1]Load Factor Sheet June Acft  '!$B$5</f>
        <v>7.2879545454545456</v>
      </c>
      <c r="S1891">
        <f>tblDailySchedule[[#This Row],[Capacity Approx]]*'[1]Load Factor Sheet June Acft  '!$D$5</f>
        <v>7.8913636363636366</v>
      </c>
      <c r="T1891" s="22">
        <f>tblDailySchedule[[#This Row],[STD]]</f>
        <v>0.40277777777777779</v>
      </c>
    </row>
    <row r="1892" spans="1:20" hidden="1" x14ac:dyDescent="0.35">
      <c r="A1892" s="11">
        <v>46178</v>
      </c>
      <c r="B1892" s="3">
        <v>5</v>
      </c>
      <c r="C1892" t="s">
        <v>115</v>
      </c>
      <c r="D1892" t="s">
        <v>18</v>
      </c>
      <c r="E1892" s="3">
        <v>8</v>
      </c>
      <c r="F1892" t="s">
        <v>19</v>
      </c>
      <c r="G1892" t="s">
        <v>46</v>
      </c>
      <c r="H1892" t="s">
        <v>31</v>
      </c>
      <c r="I1892" s="12">
        <v>0.4201388888888889</v>
      </c>
      <c r="J1892" t="s">
        <v>47</v>
      </c>
      <c r="K1892" t="s">
        <v>31</v>
      </c>
      <c r="L1892" s="12">
        <v>0.44444444444444442</v>
      </c>
      <c r="M1892" t="s">
        <v>29</v>
      </c>
      <c r="N1892" s="3">
        <v>186</v>
      </c>
      <c r="O1892" t="s">
        <v>24</v>
      </c>
      <c r="P1892" t="s">
        <v>25</v>
      </c>
      <c r="R1892">
        <f>tblDailySchedule[[#This Row],[Capacity Approx]]*'[1]Load Factor Sheet June Acft  '!$B$5</f>
        <v>150.61772727272728</v>
      </c>
      <c r="S1892">
        <f>tblDailySchedule[[#This Row],[Capacity Approx]]*'[1]Load Factor Sheet June Acft  '!$D$5</f>
        <v>163.08818181818182</v>
      </c>
      <c r="T1892" s="22">
        <f>tblDailySchedule[[#This Row],[STD]]</f>
        <v>0.44444444444444442</v>
      </c>
    </row>
    <row r="1893" spans="1:20" hidden="1" x14ac:dyDescent="0.35">
      <c r="A1893" s="11">
        <v>46178</v>
      </c>
      <c r="B1893" s="3">
        <v>5</v>
      </c>
      <c r="C1893" t="s">
        <v>115</v>
      </c>
      <c r="D1893" t="s">
        <v>18</v>
      </c>
      <c r="E1893" s="3">
        <v>9</v>
      </c>
      <c r="F1893" t="s">
        <v>19</v>
      </c>
      <c r="G1893" t="s">
        <v>48</v>
      </c>
      <c r="H1893" t="s">
        <v>49</v>
      </c>
      <c r="I1893" s="12">
        <v>0.4375</v>
      </c>
      <c r="J1893" t="s">
        <v>50</v>
      </c>
      <c r="K1893" t="s">
        <v>49</v>
      </c>
      <c r="L1893" s="12">
        <v>0.45833333333333331</v>
      </c>
      <c r="M1893" t="s">
        <v>51</v>
      </c>
      <c r="N1893" s="3">
        <v>78</v>
      </c>
      <c r="O1893" t="s">
        <v>24</v>
      </c>
      <c r="P1893" t="s">
        <v>25</v>
      </c>
      <c r="R1893">
        <f>tblDailySchedule[[#This Row],[Capacity Approx]]*'[1]Load Factor Sheet June Acft  '!$B$5</f>
        <v>63.162272727272729</v>
      </c>
      <c r="S1893">
        <f>tblDailySchedule[[#This Row],[Capacity Approx]]*'[1]Load Factor Sheet June Acft  '!$D$5</f>
        <v>68.391818181818181</v>
      </c>
      <c r="T1893" s="22">
        <f>tblDailySchedule[[#This Row],[STD]]</f>
        <v>0.45833333333333331</v>
      </c>
    </row>
    <row r="1894" spans="1:20" hidden="1" x14ac:dyDescent="0.35">
      <c r="A1894" s="11">
        <v>46178</v>
      </c>
      <c r="B1894" s="3">
        <v>5</v>
      </c>
      <c r="C1894" t="s">
        <v>115</v>
      </c>
      <c r="D1894" t="s">
        <v>18</v>
      </c>
      <c r="E1894" s="3">
        <v>10</v>
      </c>
      <c r="F1894" t="s">
        <v>19</v>
      </c>
      <c r="G1894" t="s">
        <v>52</v>
      </c>
      <c r="H1894" t="s">
        <v>27</v>
      </c>
      <c r="I1894" s="12">
        <v>0.4826388888888889</v>
      </c>
      <c r="J1894" t="s">
        <v>53</v>
      </c>
      <c r="K1894" t="s">
        <v>27</v>
      </c>
      <c r="L1894" s="12">
        <v>0.51041666666666663</v>
      </c>
      <c r="M1894" t="s">
        <v>23</v>
      </c>
      <c r="N1894" s="3">
        <v>186</v>
      </c>
      <c r="O1894" t="s">
        <v>24</v>
      </c>
      <c r="P1894" t="s">
        <v>25</v>
      </c>
      <c r="R1894">
        <f>tblDailySchedule[[#This Row],[Capacity Approx]]*'[1]Load Factor Sheet June Acft  '!$B$5</f>
        <v>150.61772727272728</v>
      </c>
      <c r="S1894">
        <f>tblDailySchedule[[#This Row],[Capacity Approx]]*'[1]Load Factor Sheet June Acft  '!$D$5</f>
        <v>163.08818181818182</v>
      </c>
      <c r="T1894" s="22">
        <f>tblDailySchedule[[#This Row],[STD]]</f>
        <v>0.51041666666666663</v>
      </c>
    </row>
    <row r="1895" spans="1:20" hidden="1" x14ac:dyDescent="0.35">
      <c r="A1895" s="11">
        <v>46178</v>
      </c>
      <c r="B1895" s="3">
        <v>5</v>
      </c>
      <c r="C1895" t="s">
        <v>115</v>
      </c>
      <c r="D1895" t="s">
        <v>18</v>
      </c>
      <c r="E1895" s="3">
        <v>11</v>
      </c>
      <c r="F1895" t="s">
        <v>19</v>
      </c>
      <c r="G1895" t="s">
        <v>54</v>
      </c>
      <c r="H1895" t="s">
        <v>31</v>
      </c>
      <c r="I1895" s="12">
        <v>0.51388888888888884</v>
      </c>
      <c r="J1895" t="s">
        <v>55</v>
      </c>
      <c r="K1895" t="s">
        <v>31</v>
      </c>
      <c r="L1895" s="12">
        <v>0.54166666666666663</v>
      </c>
      <c r="M1895" t="s">
        <v>23</v>
      </c>
      <c r="N1895" s="3">
        <v>186</v>
      </c>
      <c r="O1895" t="s">
        <v>24</v>
      </c>
      <c r="P1895" t="s">
        <v>56</v>
      </c>
      <c r="R1895">
        <f>tblDailySchedule[[#This Row],[Capacity Approx]]*'[1]Load Factor Sheet June Acft  '!$B$5</f>
        <v>150.61772727272728</v>
      </c>
      <c r="S1895">
        <f>tblDailySchedule[[#This Row],[Capacity Approx]]*'[1]Load Factor Sheet June Acft  '!$D$5</f>
        <v>163.08818181818182</v>
      </c>
      <c r="T1895" s="22">
        <f>tblDailySchedule[[#This Row],[STD]]</f>
        <v>0.54166666666666663</v>
      </c>
    </row>
    <row r="1896" spans="1:20" hidden="1" x14ac:dyDescent="0.35">
      <c r="A1896" s="11">
        <v>46178</v>
      </c>
      <c r="B1896" s="3">
        <v>5</v>
      </c>
      <c r="C1896" t="s">
        <v>115</v>
      </c>
      <c r="D1896" t="s">
        <v>18</v>
      </c>
      <c r="E1896" s="3">
        <v>13</v>
      </c>
      <c r="F1896" t="s">
        <v>19</v>
      </c>
      <c r="G1896" t="s">
        <v>57</v>
      </c>
      <c r="H1896" t="s">
        <v>58</v>
      </c>
      <c r="I1896" s="12">
        <v>0.55902777777777779</v>
      </c>
      <c r="J1896" t="s">
        <v>59</v>
      </c>
      <c r="K1896" t="s">
        <v>58</v>
      </c>
      <c r="L1896" s="12">
        <v>0.57638888888888884</v>
      </c>
      <c r="M1896" t="s">
        <v>51</v>
      </c>
      <c r="N1896" s="3">
        <v>78</v>
      </c>
      <c r="O1896" t="s">
        <v>24</v>
      </c>
      <c r="P1896" t="s">
        <v>56</v>
      </c>
      <c r="R1896">
        <f>tblDailySchedule[[#This Row],[Capacity Approx]]*'[1]Load Factor Sheet June Acft  '!$B$5</f>
        <v>63.162272727272729</v>
      </c>
      <c r="S1896">
        <f>tblDailySchedule[[#This Row],[Capacity Approx]]*'[1]Load Factor Sheet June Acft  '!$D$5</f>
        <v>68.391818181818181</v>
      </c>
      <c r="T1896" s="22">
        <f>tblDailySchedule[[#This Row],[STD]]</f>
        <v>0.57638888888888884</v>
      </c>
    </row>
    <row r="1897" spans="1:20" hidden="1" x14ac:dyDescent="0.35">
      <c r="A1897" s="11">
        <v>46178</v>
      </c>
      <c r="B1897" s="3">
        <v>5</v>
      </c>
      <c r="C1897" t="s">
        <v>115</v>
      </c>
      <c r="D1897" t="s">
        <v>18</v>
      </c>
      <c r="E1897" s="3">
        <v>14</v>
      </c>
      <c r="F1897" t="s">
        <v>19</v>
      </c>
      <c r="G1897" t="s">
        <v>60</v>
      </c>
      <c r="H1897" t="s">
        <v>61</v>
      </c>
      <c r="I1897" s="12">
        <v>0.59027777777777779</v>
      </c>
      <c r="J1897" t="s">
        <v>62</v>
      </c>
      <c r="K1897" t="s">
        <v>61</v>
      </c>
      <c r="L1897" s="12">
        <v>0.62152777777777779</v>
      </c>
      <c r="M1897" t="s">
        <v>63</v>
      </c>
      <c r="N1897" s="3">
        <v>232</v>
      </c>
      <c r="O1897" t="s">
        <v>24</v>
      </c>
      <c r="P1897" t="s">
        <v>56</v>
      </c>
      <c r="R1897">
        <f>tblDailySchedule[[#This Row],[Capacity Approx]]*'[1]Load Factor Sheet June Acft  '!$B$5</f>
        <v>187.86727272727273</v>
      </c>
      <c r="S1897">
        <f>tblDailySchedule[[#This Row],[Capacity Approx]]*'[1]Load Factor Sheet June Acft  '!$D$5</f>
        <v>203.4218181818182</v>
      </c>
      <c r="T1897" s="22">
        <f>tblDailySchedule[[#This Row],[STD]]</f>
        <v>0.62152777777777779</v>
      </c>
    </row>
    <row r="1898" spans="1:20" hidden="1" x14ac:dyDescent="0.35">
      <c r="A1898" s="11">
        <v>46178</v>
      </c>
      <c r="B1898" s="3">
        <v>5</v>
      </c>
      <c r="C1898" t="s">
        <v>115</v>
      </c>
      <c r="D1898" t="s">
        <v>18</v>
      </c>
      <c r="E1898" s="3">
        <v>15</v>
      </c>
      <c r="F1898" t="s">
        <v>19</v>
      </c>
      <c r="G1898" t="s">
        <v>64</v>
      </c>
      <c r="H1898" t="s">
        <v>31</v>
      </c>
      <c r="I1898" s="12">
        <v>0.60069444444444442</v>
      </c>
      <c r="J1898" t="s">
        <v>65</v>
      </c>
      <c r="K1898" t="s">
        <v>66</v>
      </c>
      <c r="L1898" s="12">
        <v>0.62847222222222221</v>
      </c>
      <c r="M1898" t="s">
        <v>63</v>
      </c>
      <c r="N1898" s="3">
        <v>232</v>
      </c>
      <c r="O1898" t="s">
        <v>24</v>
      </c>
      <c r="P1898" t="s">
        <v>56</v>
      </c>
      <c r="R1898">
        <f>tblDailySchedule[[#This Row],[Capacity Approx]]*'[1]Load Factor Sheet June Acft  '!$B$5</f>
        <v>187.86727272727273</v>
      </c>
      <c r="S1898">
        <f>tblDailySchedule[[#This Row],[Capacity Approx]]*'[1]Load Factor Sheet June Acft  '!$D$5</f>
        <v>203.4218181818182</v>
      </c>
      <c r="T1898" s="22">
        <f>tblDailySchedule[[#This Row],[STD]]</f>
        <v>0.62847222222222221</v>
      </c>
    </row>
    <row r="1899" spans="1:20" hidden="1" x14ac:dyDescent="0.35">
      <c r="A1899" s="11">
        <v>46178</v>
      </c>
      <c r="B1899" s="3">
        <v>5</v>
      </c>
      <c r="C1899" t="s">
        <v>115</v>
      </c>
      <c r="D1899" t="s">
        <v>18</v>
      </c>
      <c r="E1899" s="3">
        <v>16</v>
      </c>
      <c r="F1899" t="s">
        <v>19</v>
      </c>
      <c r="G1899" t="s">
        <v>67</v>
      </c>
      <c r="H1899" t="s">
        <v>31</v>
      </c>
      <c r="I1899" s="12">
        <v>0.65625</v>
      </c>
      <c r="J1899" t="s">
        <v>68</v>
      </c>
      <c r="K1899" t="s">
        <v>31</v>
      </c>
      <c r="L1899" s="12">
        <v>0.68402777777777779</v>
      </c>
      <c r="M1899" t="s">
        <v>63</v>
      </c>
      <c r="N1899" s="3">
        <v>232</v>
      </c>
      <c r="O1899" t="s">
        <v>24</v>
      </c>
      <c r="P1899" t="s">
        <v>56</v>
      </c>
      <c r="R1899">
        <f>tblDailySchedule[[#This Row],[Capacity Approx]]*'[1]Load Factor Sheet June Acft  '!$B$5</f>
        <v>187.86727272727273</v>
      </c>
      <c r="S1899">
        <f>tblDailySchedule[[#This Row],[Capacity Approx]]*'[1]Load Factor Sheet June Acft  '!$D$5</f>
        <v>203.4218181818182</v>
      </c>
      <c r="T1899" s="22">
        <f>tblDailySchedule[[#This Row],[STD]]</f>
        <v>0.68402777777777779</v>
      </c>
    </row>
    <row r="1900" spans="1:20" hidden="1" x14ac:dyDescent="0.35">
      <c r="A1900" s="11">
        <v>46178</v>
      </c>
      <c r="B1900" s="3">
        <v>5</v>
      </c>
      <c r="C1900" t="s">
        <v>115</v>
      </c>
      <c r="D1900" t="s">
        <v>18</v>
      </c>
      <c r="E1900" s="3">
        <v>17</v>
      </c>
      <c r="F1900" t="s">
        <v>19</v>
      </c>
      <c r="G1900" t="s">
        <v>69</v>
      </c>
      <c r="H1900" t="s">
        <v>31</v>
      </c>
      <c r="I1900" s="12">
        <v>0.66319444444444442</v>
      </c>
      <c r="J1900" t="s">
        <v>70</v>
      </c>
      <c r="K1900" t="s">
        <v>31</v>
      </c>
      <c r="L1900" s="12">
        <v>0.69097222222222221</v>
      </c>
      <c r="M1900" t="s">
        <v>33</v>
      </c>
      <c r="N1900" s="3">
        <v>189</v>
      </c>
      <c r="O1900" t="s">
        <v>24</v>
      </c>
      <c r="P1900" t="s">
        <v>56</v>
      </c>
      <c r="R1900">
        <f>tblDailySchedule[[#This Row],[Capacity Approx]]*'[1]Load Factor Sheet June Acft  '!$B$5</f>
        <v>153.04704545454547</v>
      </c>
      <c r="S1900">
        <f>tblDailySchedule[[#This Row],[Capacity Approx]]*'[1]Load Factor Sheet June Acft  '!$D$5</f>
        <v>165.71863636363636</v>
      </c>
      <c r="T1900" s="22">
        <f>tblDailySchedule[[#This Row],[STD]]</f>
        <v>0.69097222222222221</v>
      </c>
    </row>
    <row r="1901" spans="1:20" hidden="1" x14ac:dyDescent="0.35">
      <c r="A1901" s="11">
        <v>46178</v>
      </c>
      <c r="B1901" s="3">
        <v>5</v>
      </c>
      <c r="C1901" t="s">
        <v>115</v>
      </c>
      <c r="D1901" t="s">
        <v>18</v>
      </c>
      <c r="E1901" s="3">
        <v>18</v>
      </c>
      <c r="F1901" t="s">
        <v>19</v>
      </c>
      <c r="G1901" t="s">
        <v>71</v>
      </c>
      <c r="H1901" t="s">
        <v>21</v>
      </c>
      <c r="I1901" s="12">
        <v>0.67013888888888884</v>
      </c>
      <c r="J1901" t="s">
        <v>72</v>
      </c>
      <c r="K1901" t="s">
        <v>21</v>
      </c>
      <c r="L1901" s="12">
        <v>0.69791666666666663</v>
      </c>
      <c r="M1901" t="s">
        <v>63</v>
      </c>
      <c r="N1901" s="3">
        <v>232</v>
      </c>
      <c r="O1901" t="s">
        <v>24</v>
      </c>
      <c r="P1901" t="s">
        <v>56</v>
      </c>
      <c r="R1901">
        <f>tblDailySchedule[[#This Row],[Capacity Approx]]*'[1]Load Factor Sheet June Acft  '!$B$5</f>
        <v>187.86727272727273</v>
      </c>
      <c r="S1901">
        <f>tblDailySchedule[[#This Row],[Capacity Approx]]*'[1]Load Factor Sheet June Acft  '!$D$5</f>
        <v>203.4218181818182</v>
      </c>
      <c r="T1901" s="22">
        <f>tblDailySchedule[[#This Row],[STD]]</f>
        <v>0.69791666666666663</v>
      </c>
    </row>
    <row r="1902" spans="1:20" hidden="1" x14ac:dyDescent="0.35">
      <c r="A1902" s="11">
        <v>46178</v>
      </c>
      <c r="B1902" s="3">
        <v>5</v>
      </c>
      <c r="C1902" t="s">
        <v>115</v>
      </c>
      <c r="D1902" t="s">
        <v>18</v>
      </c>
      <c r="E1902" s="3">
        <v>19</v>
      </c>
      <c r="F1902" t="s">
        <v>19</v>
      </c>
      <c r="G1902" t="s">
        <v>73</v>
      </c>
      <c r="H1902" t="s">
        <v>27</v>
      </c>
      <c r="I1902" s="12">
        <v>0.74652777777777779</v>
      </c>
      <c r="J1902" t="s">
        <v>74</v>
      </c>
      <c r="K1902" t="s">
        <v>27</v>
      </c>
      <c r="L1902" s="12">
        <v>0.77430555555555558</v>
      </c>
      <c r="M1902" t="s">
        <v>63</v>
      </c>
      <c r="N1902" s="3">
        <v>232</v>
      </c>
      <c r="O1902" t="s">
        <v>24</v>
      </c>
      <c r="P1902" t="s">
        <v>56</v>
      </c>
      <c r="R1902">
        <f>tblDailySchedule[[#This Row],[Capacity Approx]]*'[1]Load Factor Sheet June Acft  '!$B$5</f>
        <v>187.86727272727273</v>
      </c>
      <c r="S1902">
        <f>tblDailySchedule[[#This Row],[Capacity Approx]]*'[1]Load Factor Sheet June Acft  '!$D$5</f>
        <v>203.4218181818182</v>
      </c>
      <c r="T1902" s="22">
        <f>tblDailySchedule[[#This Row],[STD]]</f>
        <v>0.77430555555555558</v>
      </c>
    </row>
    <row r="1903" spans="1:20" hidden="1" x14ac:dyDescent="0.35">
      <c r="A1903" s="11">
        <v>46178</v>
      </c>
      <c r="B1903" s="3">
        <v>5</v>
      </c>
      <c r="C1903" t="s">
        <v>115</v>
      </c>
      <c r="D1903" t="s">
        <v>18</v>
      </c>
      <c r="E1903" s="3">
        <v>20</v>
      </c>
      <c r="F1903" t="s">
        <v>34</v>
      </c>
      <c r="G1903" t="s">
        <v>75</v>
      </c>
      <c r="H1903" t="s">
        <v>76</v>
      </c>
      <c r="I1903" s="12">
        <v>0.76388888888888884</v>
      </c>
      <c r="J1903" t="s">
        <v>77</v>
      </c>
      <c r="K1903" t="s">
        <v>78</v>
      </c>
      <c r="L1903" s="12">
        <v>0.78472222222222221</v>
      </c>
      <c r="M1903" t="s">
        <v>51</v>
      </c>
      <c r="N1903" s="3">
        <v>78</v>
      </c>
      <c r="O1903" t="s">
        <v>24</v>
      </c>
      <c r="P1903" t="s">
        <v>79</v>
      </c>
      <c r="Q1903" s="16" t="s">
        <v>80</v>
      </c>
      <c r="R1903">
        <f>tblDailySchedule[[#This Row],[Capacity Approx]]*'[1]Load Factor Sheet June Acft  '!$B$5</f>
        <v>63.162272727272729</v>
      </c>
      <c r="S1903">
        <f>tblDailySchedule[[#This Row],[Capacity Approx]]*'[1]Load Factor Sheet June Acft  '!$D$5</f>
        <v>68.391818181818181</v>
      </c>
      <c r="T1903" s="22">
        <f>tblDailySchedule[[#This Row],[STD]]</f>
        <v>0.78472222222222221</v>
      </c>
    </row>
    <row r="1904" spans="1:20" hidden="1" x14ac:dyDescent="0.35">
      <c r="A1904" s="11">
        <v>46178</v>
      </c>
      <c r="B1904" s="3">
        <v>5</v>
      </c>
      <c r="C1904" t="s">
        <v>115</v>
      </c>
      <c r="D1904" t="s">
        <v>18</v>
      </c>
      <c r="E1904" s="3">
        <v>21</v>
      </c>
      <c r="F1904" t="s">
        <v>19</v>
      </c>
      <c r="G1904" t="s">
        <v>81</v>
      </c>
      <c r="H1904" t="s">
        <v>61</v>
      </c>
      <c r="I1904" s="12">
        <v>0.77083333333333337</v>
      </c>
      <c r="J1904" t="s">
        <v>82</v>
      </c>
      <c r="K1904" t="s">
        <v>49</v>
      </c>
      <c r="L1904" s="12">
        <v>0.79166666666666663</v>
      </c>
      <c r="M1904" t="s">
        <v>33</v>
      </c>
      <c r="N1904" s="3">
        <v>189</v>
      </c>
      <c r="O1904" t="s">
        <v>24</v>
      </c>
      <c r="P1904" t="s">
        <v>79</v>
      </c>
      <c r="R1904">
        <f>tblDailySchedule[[#This Row],[Capacity Approx]]*'[1]Load Factor Sheet June Acft  '!$B$5</f>
        <v>153.04704545454547</v>
      </c>
      <c r="S1904">
        <f>tblDailySchedule[[#This Row],[Capacity Approx]]*'[1]Load Factor Sheet June Acft  '!$D$5</f>
        <v>165.71863636363636</v>
      </c>
      <c r="T1904" s="22">
        <f>tblDailySchedule[[#This Row],[STD]]</f>
        <v>0.79166666666666663</v>
      </c>
    </row>
    <row r="1905" spans="1:20" hidden="1" x14ac:dyDescent="0.35">
      <c r="A1905" s="11">
        <v>46178</v>
      </c>
      <c r="B1905" s="3">
        <v>5</v>
      </c>
      <c r="C1905" t="s">
        <v>115</v>
      </c>
      <c r="D1905" t="s">
        <v>18</v>
      </c>
      <c r="E1905" s="3">
        <v>22</v>
      </c>
      <c r="F1905" t="s">
        <v>19</v>
      </c>
      <c r="G1905" t="s">
        <v>83</v>
      </c>
      <c r="H1905" t="s">
        <v>31</v>
      </c>
      <c r="I1905" s="12">
        <v>0.77777777777777779</v>
      </c>
      <c r="J1905" t="s">
        <v>84</v>
      </c>
      <c r="K1905" t="s">
        <v>31</v>
      </c>
      <c r="L1905" s="12">
        <v>0.80555555555555558</v>
      </c>
      <c r="M1905" t="s">
        <v>63</v>
      </c>
      <c r="N1905" s="3">
        <v>232</v>
      </c>
      <c r="O1905" t="s">
        <v>24</v>
      </c>
      <c r="P1905" t="s">
        <v>79</v>
      </c>
      <c r="R1905">
        <f>tblDailySchedule[[#This Row],[Capacity Approx]]*'[1]Load Factor Sheet June Acft  '!$B$5</f>
        <v>187.86727272727273</v>
      </c>
      <c r="S1905">
        <f>tblDailySchedule[[#This Row],[Capacity Approx]]*'[1]Load Factor Sheet June Acft  '!$D$5</f>
        <v>203.4218181818182</v>
      </c>
      <c r="T1905" s="22">
        <f>tblDailySchedule[[#This Row],[STD]]</f>
        <v>0.80555555555555558</v>
      </c>
    </row>
    <row r="1906" spans="1:20" hidden="1" x14ac:dyDescent="0.35">
      <c r="A1906" s="11">
        <v>46178</v>
      </c>
      <c r="B1906" s="3">
        <v>5</v>
      </c>
      <c r="C1906" t="s">
        <v>115</v>
      </c>
      <c r="D1906" t="s">
        <v>18</v>
      </c>
      <c r="E1906" s="3">
        <v>23</v>
      </c>
      <c r="F1906" t="s">
        <v>19</v>
      </c>
      <c r="G1906" t="s">
        <v>85</v>
      </c>
      <c r="H1906" t="s">
        <v>86</v>
      </c>
      <c r="I1906" s="12">
        <v>0.79861111111111116</v>
      </c>
      <c r="J1906" t="s">
        <v>87</v>
      </c>
      <c r="K1906" t="s">
        <v>86</v>
      </c>
      <c r="L1906" s="12">
        <v>0.82638888888888884</v>
      </c>
      <c r="M1906" t="s">
        <v>63</v>
      </c>
      <c r="N1906" s="3">
        <v>232</v>
      </c>
      <c r="O1906" t="s">
        <v>24</v>
      </c>
      <c r="P1906" t="s">
        <v>79</v>
      </c>
      <c r="R1906">
        <f>tblDailySchedule[[#This Row],[Capacity Approx]]*'[1]Load Factor Sheet June Acft  '!$B$5</f>
        <v>187.86727272727273</v>
      </c>
      <c r="S1906">
        <f>tblDailySchedule[[#This Row],[Capacity Approx]]*'[1]Load Factor Sheet June Acft  '!$D$5</f>
        <v>203.4218181818182</v>
      </c>
      <c r="T1906" s="22">
        <f>tblDailySchedule[[#This Row],[STD]]</f>
        <v>0.82638888888888884</v>
      </c>
    </row>
    <row r="1907" spans="1:20" hidden="1" x14ac:dyDescent="0.35">
      <c r="A1907" s="11">
        <v>46178</v>
      </c>
      <c r="B1907" s="3">
        <v>5</v>
      </c>
      <c r="C1907" t="s">
        <v>115</v>
      </c>
      <c r="D1907" t="s">
        <v>18</v>
      </c>
      <c r="E1907" s="3">
        <v>24</v>
      </c>
      <c r="F1907" t="s">
        <v>19</v>
      </c>
      <c r="G1907" t="s">
        <v>88</v>
      </c>
      <c r="H1907" t="s">
        <v>89</v>
      </c>
      <c r="I1907" s="12">
        <v>0.83333333333333337</v>
      </c>
      <c r="J1907" t="s">
        <v>90</v>
      </c>
      <c r="K1907" t="s">
        <v>31</v>
      </c>
      <c r="L1907" s="12">
        <v>0.86111111111111116</v>
      </c>
      <c r="M1907" t="s">
        <v>63</v>
      </c>
      <c r="N1907" s="3">
        <v>232</v>
      </c>
      <c r="O1907" t="s">
        <v>24</v>
      </c>
      <c r="P1907" t="s">
        <v>79</v>
      </c>
      <c r="R1907">
        <f>tblDailySchedule[[#This Row],[Capacity Approx]]*'[1]Load Factor Sheet June Acft  '!$B$5</f>
        <v>187.86727272727273</v>
      </c>
      <c r="S1907">
        <f>tblDailySchedule[[#This Row],[Capacity Approx]]*'[1]Load Factor Sheet June Acft  '!$D$5</f>
        <v>203.4218181818182</v>
      </c>
      <c r="T1907" s="22">
        <f>tblDailySchedule[[#This Row],[STD]]</f>
        <v>0.86111111111111116</v>
      </c>
    </row>
    <row r="1908" spans="1:20" hidden="1" x14ac:dyDescent="0.35">
      <c r="A1908" s="11">
        <v>46178</v>
      </c>
      <c r="B1908" s="3">
        <v>5</v>
      </c>
      <c r="C1908" t="s">
        <v>115</v>
      </c>
      <c r="D1908" t="s">
        <v>18</v>
      </c>
      <c r="E1908" s="3">
        <v>25</v>
      </c>
      <c r="F1908" t="s">
        <v>19</v>
      </c>
      <c r="G1908" t="s">
        <v>91</v>
      </c>
      <c r="H1908" t="s">
        <v>61</v>
      </c>
      <c r="I1908" s="12">
        <v>0.85416666666666663</v>
      </c>
      <c r="J1908" t="s">
        <v>92</v>
      </c>
      <c r="K1908" t="s">
        <v>61</v>
      </c>
      <c r="L1908" s="12">
        <v>0.88194444444444442</v>
      </c>
      <c r="M1908" t="s">
        <v>63</v>
      </c>
      <c r="N1908" s="3">
        <v>232</v>
      </c>
      <c r="O1908" t="s">
        <v>24</v>
      </c>
      <c r="P1908" t="s">
        <v>79</v>
      </c>
      <c r="R1908">
        <f>tblDailySchedule[[#This Row],[Capacity Approx]]*'[1]Load Factor Sheet June Acft  '!$B$5</f>
        <v>187.86727272727273</v>
      </c>
      <c r="S1908">
        <f>tblDailySchedule[[#This Row],[Capacity Approx]]*'[1]Load Factor Sheet June Acft  '!$D$5</f>
        <v>203.4218181818182</v>
      </c>
      <c r="T1908" s="22">
        <f>tblDailySchedule[[#This Row],[STD]]</f>
        <v>0.88194444444444442</v>
      </c>
    </row>
    <row r="1909" spans="1:20" hidden="1" x14ac:dyDescent="0.35">
      <c r="A1909" s="11">
        <v>46178</v>
      </c>
      <c r="B1909" s="3">
        <v>5</v>
      </c>
      <c r="C1909" t="s">
        <v>115</v>
      </c>
      <c r="D1909" t="s">
        <v>18</v>
      </c>
      <c r="E1909" s="3">
        <v>26</v>
      </c>
      <c r="F1909" t="s">
        <v>19</v>
      </c>
      <c r="G1909" t="s">
        <v>93</v>
      </c>
      <c r="H1909" t="s">
        <v>31</v>
      </c>
      <c r="I1909" s="12">
        <v>0.86111111111111116</v>
      </c>
      <c r="J1909" t="s">
        <v>94</v>
      </c>
      <c r="K1909" t="s">
        <v>31</v>
      </c>
      <c r="L1909" s="12">
        <v>0.88888888888888884</v>
      </c>
      <c r="M1909" t="s">
        <v>23</v>
      </c>
      <c r="N1909" s="3">
        <v>186</v>
      </c>
      <c r="O1909" t="s">
        <v>24</v>
      </c>
      <c r="P1909" t="s">
        <v>79</v>
      </c>
      <c r="R1909">
        <f>tblDailySchedule[[#This Row],[Capacity Approx]]*'[1]Load Factor Sheet June Acft  '!$B$5</f>
        <v>150.61772727272728</v>
      </c>
      <c r="S1909">
        <f>tblDailySchedule[[#This Row],[Capacity Approx]]*'[1]Load Factor Sheet June Acft  '!$D$5</f>
        <v>163.08818181818182</v>
      </c>
      <c r="T1909" s="22">
        <f>tblDailySchedule[[#This Row],[STD]]</f>
        <v>0.88888888888888884</v>
      </c>
    </row>
    <row r="1910" spans="1:20" hidden="1" x14ac:dyDescent="0.35">
      <c r="A1910" s="11">
        <v>46178</v>
      </c>
      <c r="B1910" s="3">
        <v>5</v>
      </c>
      <c r="C1910" t="s">
        <v>115</v>
      </c>
      <c r="D1910" t="s">
        <v>18</v>
      </c>
      <c r="E1910" s="3">
        <v>27</v>
      </c>
      <c r="F1910" t="s">
        <v>19</v>
      </c>
      <c r="G1910" t="s">
        <v>95</v>
      </c>
      <c r="H1910" t="s">
        <v>21</v>
      </c>
      <c r="I1910" s="12">
        <v>0.86805555555555558</v>
      </c>
      <c r="J1910" t="s">
        <v>96</v>
      </c>
      <c r="K1910" t="s">
        <v>21</v>
      </c>
      <c r="L1910" s="12">
        <v>0.89583333333333337</v>
      </c>
      <c r="M1910" t="s">
        <v>29</v>
      </c>
      <c r="N1910" s="3">
        <v>186</v>
      </c>
      <c r="O1910" t="s">
        <v>24</v>
      </c>
      <c r="P1910" t="s">
        <v>79</v>
      </c>
      <c r="R1910">
        <f>tblDailySchedule[[#This Row],[Capacity Approx]]*'[1]Load Factor Sheet June Acft  '!$B$5</f>
        <v>150.61772727272728</v>
      </c>
      <c r="S1910">
        <f>tblDailySchedule[[#This Row],[Capacity Approx]]*'[1]Load Factor Sheet June Acft  '!$D$5</f>
        <v>163.08818181818182</v>
      </c>
      <c r="T1910" s="22">
        <f>tblDailySchedule[[#This Row],[STD]]</f>
        <v>0.89583333333333337</v>
      </c>
    </row>
    <row r="1911" spans="1:20" hidden="1" x14ac:dyDescent="0.35">
      <c r="A1911" s="11">
        <v>46178</v>
      </c>
      <c r="B1911" s="3">
        <v>5</v>
      </c>
      <c r="C1911" t="s">
        <v>115</v>
      </c>
      <c r="D1911" t="s">
        <v>18</v>
      </c>
      <c r="E1911" s="3">
        <v>28</v>
      </c>
      <c r="F1911" t="s">
        <v>19</v>
      </c>
      <c r="G1911" t="s">
        <v>97</v>
      </c>
      <c r="H1911" t="s">
        <v>49</v>
      </c>
      <c r="I1911" s="12">
        <v>0.90277777777777779</v>
      </c>
      <c r="J1911" t="s">
        <v>97</v>
      </c>
      <c r="K1911" t="s">
        <v>61</v>
      </c>
      <c r="L1911" s="12">
        <v>0.92361111111111116</v>
      </c>
      <c r="M1911" t="s">
        <v>33</v>
      </c>
      <c r="N1911" s="3">
        <v>189</v>
      </c>
      <c r="O1911" t="s">
        <v>24</v>
      </c>
      <c r="P1911" t="s">
        <v>79</v>
      </c>
      <c r="R1911">
        <f>tblDailySchedule[[#This Row],[Capacity Approx]]*'[1]Load Factor Sheet June Acft  '!$B$5</f>
        <v>153.04704545454547</v>
      </c>
      <c r="S1911">
        <f>tblDailySchedule[[#This Row],[Capacity Approx]]*'[1]Load Factor Sheet June Acft  '!$D$5</f>
        <v>165.71863636363636</v>
      </c>
      <c r="T1911" s="22">
        <f>tblDailySchedule[[#This Row],[STD]]</f>
        <v>0.92361111111111116</v>
      </c>
    </row>
    <row r="1912" spans="1:20" hidden="1" x14ac:dyDescent="0.35">
      <c r="A1912" s="11">
        <v>46178</v>
      </c>
      <c r="B1912" s="3">
        <v>5</v>
      </c>
      <c r="C1912" t="s">
        <v>115</v>
      </c>
      <c r="D1912" t="s">
        <v>18</v>
      </c>
      <c r="E1912" s="3">
        <v>29</v>
      </c>
      <c r="F1912" t="s">
        <v>19</v>
      </c>
      <c r="G1912" t="s">
        <v>98</v>
      </c>
      <c r="H1912" t="s">
        <v>21</v>
      </c>
      <c r="I1912" s="12">
        <v>0.92013888888888884</v>
      </c>
      <c r="J1912" t="s">
        <v>99</v>
      </c>
      <c r="K1912" t="s">
        <v>21</v>
      </c>
      <c r="L1912" s="12">
        <v>0.94791666666666663</v>
      </c>
      <c r="M1912" t="s">
        <v>63</v>
      </c>
      <c r="N1912" s="3">
        <v>232</v>
      </c>
      <c r="O1912" t="s">
        <v>24</v>
      </c>
      <c r="P1912" t="s">
        <v>79</v>
      </c>
      <c r="R1912">
        <f>tblDailySchedule[[#This Row],[Capacity Approx]]*'[1]Load Factor Sheet June Acft  '!$B$5</f>
        <v>187.86727272727273</v>
      </c>
      <c r="S1912">
        <f>tblDailySchedule[[#This Row],[Capacity Approx]]*'[1]Load Factor Sheet June Acft  '!$D$5</f>
        <v>203.4218181818182</v>
      </c>
      <c r="T1912" s="22">
        <f>tblDailySchedule[[#This Row],[STD]]</f>
        <v>0.94791666666666663</v>
      </c>
    </row>
    <row r="1913" spans="1:20" hidden="1" x14ac:dyDescent="0.35">
      <c r="A1913" s="13">
        <v>46178</v>
      </c>
      <c r="B1913" s="7">
        <v>5</v>
      </c>
      <c r="C1913" s="14" t="s">
        <v>115</v>
      </c>
      <c r="D1913" s="14" t="s">
        <v>18</v>
      </c>
      <c r="E1913" s="7">
        <v>30</v>
      </c>
      <c r="F1913" s="14" t="s">
        <v>104</v>
      </c>
      <c r="G1913" s="14" t="s">
        <v>105</v>
      </c>
      <c r="H1913" s="14" t="s">
        <v>106</v>
      </c>
      <c r="I1913" s="15">
        <v>0.92708333333333337</v>
      </c>
      <c r="J1913" s="14" t="s">
        <v>107</v>
      </c>
      <c r="K1913" s="14" t="s">
        <v>106</v>
      </c>
      <c r="L1913" s="15">
        <v>0.95833333333333337</v>
      </c>
      <c r="M1913" s="14" t="s">
        <v>38</v>
      </c>
      <c r="N1913" s="7">
        <v>186</v>
      </c>
      <c r="O1913" s="14" t="s">
        <v>39</v>
      </c>
      <c r="P1913" s="14" t="s">
        <v>79</v>
      </c>
      <c r="Q1913" s="14" t="s">
        <v>39</v>
      </c>
      <c r="R1913">
        <f>tblDailySchedule[[#This Row],[Capacity Approx]]*'[1]Load Factor Sheet June Acft  '!$B$5</f>
        <v>150.61772727272728</v>
      </c>
      <c r="S1913">
        <f>tblDailySchedule[[#This Row],[Capacity Approx]]*'[1]Load Factor Sheet June Acft  '!$D$5</f>
        <v>163.08818181818182</v>
      </c>
      <c r="T1913" s="22">
        <f>tblDailySchedule[[#This Row],[STD]]</f>
        <v>0.95833333333333337</v>
      </c>
    </row>
    <row r="1914" spans="1:20" hidden="1" x14ac:dyDescent="0.35">
      <c r="A1914" s="11">
        <v>46179</v>
      </c>
      <c r="B1914" s="3">
        <v>6</v>
      </c>
      <c r="C1914" t="s">
        <v>116</v>
      </c>
      <c r="D1914" t="s">
        <v>18</v>
      </c>
      <c r="E1914" s="3">
        <v>1</v>
      </c>
      <c r="F1914" t="s">
        <v>101</v>
      </c>
      <c r="G1914" t="s">
        <v>102</v>
      </c>
      <c r="H1914" t="s">
        <v>61</v>
      </c>
      <c r="I1914" s="12">
        <v>0.3125</v>
      </c>
      <c r="J1914" t="s">
        <v>103</v>
      </c>
      <c r="K1914" t="s">
        <v>61</v>
      </c>
      <c r="L1914" s="12">
        <v>0.33333333333333331</v>
      </c>
      <c r="M1914" t="s">
        <v>33</v>
      </c>
      <c r="N1914" s="3">
        <v>189</v>
      </c>
      <c r="O1914" t="s">
        <v>24</v>
      </c>
      <c r="P1914" t="s">
        <v>25</v>
      </c>
      <c r="R1914">
        <f>tblDailySchedule[[#This Row],[Capacity Approx]]*'[1]Load Factor Sheet June Acft  '!$B$5</f>
        <v>153.04704545454547</v>
      </c>
      <c r="S1914">
        <f>tblDailySchedule[[#This Row],[Capacity Approx]]*'[1]Load Factor Sheet June Acft  '!$D$5</f>
        <v>165.71863636363636</v>
      </c>
      <c r="T1914" s="22">
        <f>tblDailySchedule[[#This Row],[STD]]</f>
        <v>0.33333333333333331</v>
      </c>
    </row>
    <row r="1915" spans="1:20" hidden="1" x14ac:dyDescent="0.35">
      <c r="A1915" s="11">
        <v>46179</v>
      </c>
      <c r="B1915" s="3">
        <v>6</v>
      </c>
      <c r="C1915" t="s">
        <v>116</v>
      </c>
      <c r="D1915" t="s">
        <v>18</v>
      </c>
      <c r="E1915" s="3">
        <v>2</v>
      </c>
      <c r="F1915" t="s">
        <v>19</v>
      </c>
      <c r="G1915" t="s">
        <v>20</v>
      </c>
      <c r="H1915" t="s">
        <v>21</v>
      </c>
      <c r="I1915" s="12">
        <v>0.31944444444444442</v>
      </c>
      <c r="J1915" t="s">
        <v>22</v>
      </c>
      <c r="K1915" t="s">
        <v>21</v>
      </c>
      <c r="L1915" s="12">
        <v>0.34722222222222221</v>
      </c>
      <c r="M1915" t="s">
        <v>23</v>
      </c>
      <c r="N1915" s="3">
        <v>186</v>
      </c>
      <c r="O1915" t="s">
        <v>24</v>
      </c>
      <c r="P1915" t="s">
        <v>25</v>
      </c>
      <c r="R1915">
        <f>tblDailySchedule[[#This Row],[Capacity Approx]]*'[1]Load Factor Sheet June Acft  '!$B$5</f>
        <v>150.61772727272728</v>
      </c>
      <c r="S1915">
        <f>tblDailySchedule[[#This Row],[Capacity Approx]]*'[1]Load Factor Sheet June Acft  '!$D$5</f>
        <v>163.08818181818182</v>
      </c>
      <c r="T1915" s="22">
        <f>tblDailySchedule[[#This Row],[STD]]</f>
        <v>0.34722222222222221</v>
      </c>
    </row>
    <row r="1916" spans="1:20" hidden="1" x14ac:dyDescent="0.35">
      <c r="A1916" s="11">
        <v>46179</v>
      </c>
      <c r="B1916" s="3">
        <v>6</v>
      </c>
      <c r="C1916" t="s">
        <v>116</v>
      </c>
      <c r="D1916" t="s">
        <v>18</v>
      </c>
      <c r="E1916" s="3">
        <v>3</v>
      </c>
      <c r="F1916" t="s">
        <v>19</v>
      </c>
      <c r="G1916" t="s">
        <v>26</v>
      </c>
      <c r="H1916" t="s">
        <v>27</v>
      </c>
      <c r="I1916" s="12">
        <v>0.3263888888888889</v>
      </c>
      <c r="J1916" t="s">
        <v>28</v>
      </c>
      <c r="K1916" t="s">
        <v>27</v>
      </c>
      <c r="L1916" s="12">
        <v>0.35416666666666669</v>
      </c>
      <c r="M1916" t="s">
        <v>29</v>
      </c>
      <c r="N1916" s="3">
        <v>186</v>
      </c>
      <c r="O1916" t="s">
        <v>24</v>
      </c>
      <c r="P1916" t="s">
        <v>25</v>
      </c>
      <c r="R1916">
        <f>tblDailySchedule[[#This Row],[Capacity Approx]]*'[1]Load Factor Sheet June Acft  '!$B$5</f>
        <v>150.61772727272728</v>
      </c>
      <c r="S1916">
        <f>tblDailySchedule[[#This Row],[Capacity Approx]]*'[1]Load Factor Sheet June Acft  '!$D$5</f>
        <v>163.08818181818182</v>
      </c>
      <c r="T1916" s="22">
        <f>tblDailySchedule[[#This Row],[STD]]</f>
        <v>0.35416666666666669</v>
      </c>
    </row>
    <row r="1917" spans="1:20" hidden="1" x14ac:dyDescent="0.35">
      <c r="A1917" s="11">
        <v>46179</v>
      </c>
      <c r="B1917" s="3">
        <v>6</v>
      </c>
      <c r="C1917" t="s">
        <v>116</v>
      </c>
      <c r="D1917" t="s">
        <v>18</v>
      </c>
      <c r="E1917" s="3">
        <v>4</v>
      </c>
      <c r="F1917" t="s">
        <v>19</v>
      </c>
      <c r="G1917" t="s">
        <v>30</v>
      </c>
      <c r="H1917" t="s">
        <v>31</v>
      </c>
      <c r="I1917" s="12">
        <v>0.34722222222222221</v>
      </c>
      <c r="J1917" t="s">
        <v>32</v>
      </c>
      <c r="K1917" t="s">
        <v>31</v>
      </c>
      <c r="L1917" s="12">
        <v>0.36805555555555558</v>
      </c>
      <c r="M1917" t="s">
        <v>33</v>
      </c>
      <c r="N1917" s="3">
        <v>189</v>
      </c>
      <c r="O1917" t="s">
        <v>24</v>
      </c>
      <c r="P1917" t="s">
        <v>25</v>
      </c>
      <c r="R1917">
        <f>tblDailySchedule[[#This Row],[Capacity Approx]]*'[1]Load Factor Sheet June Acft  '!$B$5</f>
        <v>153.04704545454547</v>
      </c>
      <c r="S1917">
        <f>tblDailySchedule[[#This Row],[Capacity Approx]]*'[1]Load Factor Sheet June Acft  '!$D$5</f>
        <v>165.71863636363636</v>
      </c>
      <c r="T1917" s="22">
        <f>tblDailySchedule[[#This Row],[STD]]</f>
        <v>0.36805555555555558</v>
      </c>
    </row>
    <row r="1918" spans="1:20" hidden="1" x14ac:dyDescent="0.35">
      <c r="A1918" s="11">
        <v>46179</v>
      </c>
      <c r="B1918" s="3">
        <v>6</v>
      </c>
      <c r="C1918" t="s">
        <v>116</v>
      </c>
      <c r="D1918" t="s">
        <v>18</v>
      </c>
      <c r="E1918" s="3">
        <v>5</v>
      </c>
      <c r="F1918" t="s">
        <v>19</v>
      </c>
      <c r="G1918" t="s">
        <v>40</v>
      </c>
      <c r="H1918" t="s">
        <v>31</v>
      </c>
      <c r="I1918" s="12">
        <v>0.35069444444444442</v>
      </c>
      <c r="J1918" t="s">
        <v>41</v>
      </c>
      <c r="K1918" t="s">
        <v>31</v>
      </c>
      <c r="L1918" s="12">
        <v>0.37152777777777779</v>
      </c>
      <c r="M1918" t="s">
        <v>23</v>
      </c>
      <c r="N1918" s="3">
        <v>186</v>
      </c>
      <c r="O1918" t="s">
        <v>24</v>
      </c>
      <c r="P1918" t="s">
        <v>25</v>
      </c>
      <c r="R1918">
        <f>tblDailySchedule[[#This Row],[Capacity Approx]]*'[1]Load Factor Sheet June Acft  '!$B$5</f>
        <v>150.61772727272728</v>
      </c>
      <c r="S1918">
        <f>tblDailySchedule[[#This Row],[Capacity Approx]]*'[1]Load Factor Sheet June Acft  '!$D$5</f>
        <v>163.08818181818182</v>
      </c>
      <c r="T1918" s="22">
        <f>tblDailySchedule[[#This Row],[STD]]</f>
        <v>0.37152777777777779</v>
      </c>
    </row>
    <row r="1919" spans="1:20" hidden="1" x14ac:dyDescent="0.35">
      <c r="A1919" s="11">
        <v>46179</v>
      </c>
      <c r="B1919" s="3">
        <v>6</v>
      </c>
      <c r="C1919" t="s">
        <v>116</v>
      </c>
      <c r="D1919" t="s">
        <v>18</v>
      </c>
      <c r="E1919" s="3">
        <v>7</v>
      </c>
      <c r="F1919" t="s">
        <v>19</v>
      </c>
      <c r="G1919" t="s">
        <v>42</v>
      </c>
      <c r="H1919" t="s">
        <v>43</v>
      </c>
      <c r="I1919" s="12">
        <v>0.3923611111111111</v>
      </c>
      <c r="J1919" t="s">
        <v>44</v>
      </c>
      <c r="K1919" t="s">
        <v>43</v>
      </c>
      <c r="L1919" s="12">
        <v>0.40277777777777779</v>
      </c>
      <c r="M1919" t="s">
        <v>45</v>
      </c>
      <c r="N1919" s="3">
        <v>9</v>
      </c>
      <c r="O1919" t="s">
        <v>24</v>
      </c>
      <c r="P1919" t="s">
        <v>25</v>
      </c>
      <c r="R1919">
        <f>tblDailySchedule[[#This Row],[Capacity Approx]]*'[1]Load Factor Sheet June Acft  '!$B$5</f>
        <v>7.2879545454545456</v>
      </c>
      <c r="S1919">
        <f>tblDailySchedule[[#This Row],[Capacity Approx]]*'[1]Load Factor Sheet June Acft  '!$D$5</f>
        <v>7.8913636363636366</v>
      </c>
      <c r="T1919" s="22">
        <f>tblDailySchedule[[#This Row],[STD]]</f>
        <v>0.40277777777777779</v>
      </c>
    </row>
    <row r="1920" spans="1:20" hidden="1" x14ac:dyDescent="0.35">
      <c r="A1920" s="11">
        <v>46179</v>
      </c>
      <c r="B1920" s="3">
        <v>6</v>
      </c>
      <c r="C1920" t="s">
        <v>116</v>
      </c>
      <c r="D1920" t="s">
        <v>18</v>
      </c>
      <c r="E1920" s="3">
        <v>8</v>
      </c>
      <c r="F1920" t="s">
        <v>19</v>
      </c>
      <c r="G1920" t="s">
        <v>46</v>
      </c>
      <c r="H1920" t="s">
        <v>31</v>
      </c>
      <c r="I1920" s="12">
        <v>0.4201388888888889</v>
      </c>
      <c r="J1920" t="s">
        <v>47</v>
      </c>
      <c r="K1920" t="s">
        <v>31</v>
      </c>
      <c r="L1920" s="12">
        <v>0.44444444444444442</v>
      </c>
      <c r="M1920" t="s">
        <v>29</v>
      </c>
      <c r="N1920" s="3">
        <v>186</v>
      </c>
      <c r="O1920" t="s">
        <v>24</v>
      </c>
      <c r="P1920" t="s">
        <v>25</v>
      </c>
      <c r="R1920">
        <f>tblDailySchedule[[#This Row],[Capacity Approx]]*'[1]Load Factor Sheet June Acft  '!$B$5</f>
        <v>150.61772727272728</v>
      </c>
      <c r="S1920">
        <f>tblDailySchedule[[#This Row],[Capacity Approx]]*'[1]Load Factor Sheet June Acft  '!$D$5</f>
        <v>163.08818181818182</v>
      </c>
      <c r="T1920" s="22">
        <f>tblDailySchedule[[#This Row],[STD]]</f>
        <v>0.44444444444444442</v>
      </c>
    </row>
    <row r="1921" spans="1:20" hidden="1" x14ac:dyDescent="0.35">
      <c r="A1921" s="11">
        <v>46179</v>
      </c>
      <c r="B1921" s="3">
        <v>6</v>
      </c>
      <c r="C1921" t="s">
        <v>116</v>
      </c>
      <c r="D1921" t="s">
        <v>18</v>
      </c>
      <c r="E1921" s="3">
        <v>9</v>
      </c>
      <c r="F1921" t="s">
        <v>19</v>
      </c>
      <c r="G1921" t="s">
        <v>48</v>
      </c>
      <c r="H1921" t="s">
        <v>49</v>
      </c>
      <c r="I1921" s="12">
        <v>0.4375</v>
      </c>
      <c r="J1921" t="s">
        <v>50</v>
      </c>
      <c r="K1921" t="s">
        <v>49</v>
      </c>
      <c r="L1921" s="12">
        <v>0.45833333333333331</v>
      </c>
      <c r="M1921" t="s">
        <v>51</v>
      </c>
      <c r="N1921" s="3">
        <v>78</v>
      </c>
      <c r="O1921" t="s">
        <v>24</v>
      </c>
      <c r="P1921" t="s">
        <v>25</v>
      </c>
      <c r="R1921">
        <f>tblDailySchedule[[#This Row],[Capacity Approx]]*'[1]Load Factor Sheet June Acft  '!$B$5</f>
        <v>63.162272727272729</v>
      </c>
      <c r="S1921">
        <f>tblDailySchedule[[#This Row],[Capacity Approx]]*'[1]Load Factor Sheet June Acft  '!$D$5</f>
        <v>68.391818181818181</v>
      </c>
      <c r="T1921" s="22">
        <f>tblDailySchedule[[#This Row],[STD]]</f>
        <v>0.45833333333333331</v>
      </c>
    </row>
    <row r="1922" spans="1:20" hidden="1" x14ac:dyDescent="0.35">
      <c r="A1922" s="11">
        <v>46179</v>
      </c>
      <c r="B1922" s="3">
        <v>6</v>
      </c>
      <c r="C1922" t="s">
        <v>116</v>
      </c>
      <c r="D1922" t="s">
        <v>18</v>
      </c>
      <c r="E1922" s="3">
        <v>10</v>
      </c>
      <c r="F1922" t="s">
        <v>19</v>
      </c>
      <c r="G1922" t="s">
        <v>52</v>
      </c>
      <c r="H1922" t="s">
        <v>27</v>
      </c>
      <c r="I1922" s="12">
        <v>0.4826388888888889</v>
      </c>
      <c r="J1922" t="s">
        <v>53</v>
      </c>
      <c r="K1922" t="s">
        <v>27</v>
      </c>
      <c r="L1922" s="12">
        <v>0.51041666666666663</v>
      </c>
      <c r="M1922" t="s">
        <v>23</v>
      </c>
      <c r="N1922" s="3">
        <v>186</v>
      </c>
      <c r="O1922" t="s">
        <v>24</v>
      </c>
      <c r="P1922" t="s">
        <v>25</v>
      </c>
      <c r="R1922">
        <f>tblDailySchedule[[#This Row],[Capacity Approx]]*'[1]Load Factor Sheet June Acft  '!$B$5</f>
        <v>150.61772727272728</v>
      </c>
      <c r="S1922">
        <f>tblDailySchedule[[#This Row],[Capacity Approx]]*'[1]Load Factor Sheet June Acft  '!$D$5</f>
        <v>163.08818181818182</v>
      </c>
      <c r="T1922" s="22">
        <f>tblDailySchedule[[#This Row],[STD]]</f>
        <v>0.51041666666666663</v>
      </c>
    </row>
    <row r="1923" spans="1:20" hidden="1" x14ac:dyDescent="0.35">
      <c r="A1923" s="11">
        <v>46179</v>
      </c>
      <c r="B1923" s="3">
        <v>6</v>
      </c>
      <c r="C1923" t="s">
        <v>116</v>
      </c>
      <c r="D1923" t="s">
        <v>18</v>
      </c>
      <c r="E1923" s="3">
        <v>11</v>
      </c>
      <c r="F1923" t="s">
        <v>19</v>
      </c>
      <c r="G1923" t="s">
        <v>54</v>
      </c>
      <c r="H1923" t="s">
        <v>31</v>
      </c>
      <c r="I1923" s="12">
        <v>0.51388888888888884</v>
      </c>
      <c r="J1923" t="s">
        <v>55</v>
      </c>
      <c r="K1923" t="s">
        <v>31</v>
      </c>
      <c r="L1923" s="12">
        <v>0.54166666666666663</v>
      </c>
      <c r="M1923" t="s">
        <v>23</v>
      </c>
      <c r="N1923" s="3">
        <v>186</v>
      </c>
      <c r="O1923" t="s">
        <v>24</v>
      </c>
      <c r="P1923" t="s">
        <v>56</v>
      </c>
      <c r="R1923">
        <f>tblDailySchedule[[#This Row],[Capacity Approx]]*'[1]Load Factor Sheet June Acft  '!$B$5</f>
        <v>150.61772727272728</v>
      </c>
      <c r="S1923">
        <f>tblDailySchedule[[#This Row],[Capacity Approx]]*'[1]Load Factor Sheet June Acft  '!$D$5</f>
        <v>163.08818181818182</v>
      </c>
      <c r="T1923" s="22">
        <f>tblDailySchedule[[#This Row],[STD]]</f>
        <v>0.54166666666666663</v>
      </c>
    </row>
    <row r="1924" spans="1:20" hidden="1" x14ac:dyDescent="0.35">
      <c r="A1924" s="11">
        <v>46179</v>
      </c>
      <c r="B1924" s="3">
        <v>6</v>
      </c>
      <c r="C1924" t="s">
        <v>116</v>
      </c>
      <c r="D1924" t="s">
        <v>18</v>
      </c>
      <c r="E1924" s="3">
        <v>12</v>
      </c>
      <c r="F1924" t="s">
        <v>109</v>
      </c>
      <c r="G1924" t="s">
        <v>110</v>
      </c>
      <c r="H1924" t="s">
        <v>111</v>
      </c>
      <c r="I1924" s="12">
        <v>0.55555555555555558</v>
      </c>
      <c r="J1924" t="s">
        <v>112</v>
      </c>
      <c r="K1924" t="s">
        <v>111</v>
      </c>
      <c r="L1924" s="12">
        <v>0.56944444444444442</v>
      </c>
      <c r="M1924" t="s">
        <v>51</v>
      </c>
      <c r="N1924" s="3">
        <v>78</v>
      </c>
      <c r="O1924" t="s">
        <v>24</v>
      </c>
      <c r="P1924" t="s">
        <v>56</v>
      </c>
      <c r="R1924">
        <f>tblDailySchedule[[#This Row],[Capacity Approx]]*'[1]Load Factor Sheet June Acft  '!$B$5</f>
        <v>63.162272727272729</v>
      </c>
      <c r="S1924">
        <f>tblDailySchedule[[#This Row],[Capacity Approx]]*'[1]Load Factor Sheet June Acft  '!$D$5</f>
        <v>68.391818181818181</v>
      </c>
      <c r="T1924" s="22">
        <f>tblDailySchedule[[#This Row],[STD]]</f>
        <v>0.56944444444444442</v>
      </c>
    </row>
    <row r="1925" spans="1:20" hidden="1" x14ac:dyDescent="0.35">
      <c r="A1925" s="11">
        <v>46179</v>
      </c>
      <c r="B1925" s="3">
        <v>6</v>
      </c>
      <c r="C1925" t="s">
        <v>116</v>
      </c>
      <c r="D1925" t="s">
        <v>18</v>
      </c>
      <c r="E1925" s="3">
        <v>13</v>
      </c>
      <c r="F1925" t="s">
        <v>19</v>
      </c>
      <c r="G1925" t="s">
        <v>57</v>
      </c>
      <c r="H1925" t="s">
        <v>58</v>
      </c>
      <c r="I1925" s="12">
        <v>0.55902777777777779</v>
      </c>
      <c r="J1925" t="s">
        <v>59</v>
      </c>
      <c r="K1925" t="s">
        <v>58</v>
      </c>
      <c r="L1925" s="12">
        <v>0.57638888888888884</v>
      </c>
      <c r="M1925" t="s">
        <v>51</v>
      </c>
      <c r="N1925" s="3">
        <v>78</v>
      </c>
      <c r="O1925" t="s">
        <v>24</v>
      </c>
      <c r="P1925" t="s">
        <v>56</v>
      </c>
      <c r="R1925">
        <f>tblDailySchedule[[#This Row],[Capacity Approx]]*'[1]Load Factor Sheet June Acft  '!$B$5</f>
        <v>63.162272727272729</v>
      </c>
      <c r="S1925">
        <f>tblDailySchedule[[#This Row],[Capacity Approx]]*'[1]Load Factor Sheet June Acft  '!$D$5</f>
        <v>68.391818181818181</v>
      </c>
      <c r="T1925" s="22">
        <f>tblDailySchedule[[#This Row],[STD]]</f>
        <v>0.57638888888888884</v>
      </c>
    </row>
    <row r="1926" spans="1:20" hidden="1" x14ac:dyDescent="0.35">
      <c r="A1926" s="11">
        <v>46179</v>
      </c>
      <c r="B1926" s="3">
        <v>6</v>
      </c>
      <c r="C1926" t="s">
        <v>116</v>
      </c>
      <c r="D1926" t="s">
        <v>18</v>
      </c>
      <c r="E1926" s="3">
        <v>14</v>
      </c>
      <c r="F1926" t="s">
        <v>19</v>
      </c>
      <c r="G1926" t="s">
        <v>60</v>
      </c>
      <c r="H1926" t="s">
        <v>61</v>
      </c>
      <c r="I1926" s="12">
        <v>0.59027777777777779</v>
      </c>
      <c r="J1926" t="s">
        <v>62</v>
      </c>
      <c r="K1926" t="s">
        <v>61</v>
      </c>
      <c r="L1926" s="12">
        <v>0.62152777777777779</v>
      </c>
      <c r="M1926" t="s">
        <v>63</v>
      </c>
      <c r="N1926" s="3">
        <v>232</v>
      </c>
      <c r="O1926" t="s">
        <v>24</v>
      </c>
      <c r="P1926" t="s">
        <v>56</v>
      </c>
      <c r="R1926">
        <f>tblDailySchedule[[#This Row],[Capacity Approx]]*'[1]Load Factor Sheet June Acft  '!$B$5</f>
        <v>187.86727272727273</v>
      </c>
      <c r="S1926">
        <f>tblDailySchedule[[#This Row],[Capacity Approx]]*'[1]Load Factor Sheet June Acft  '!$D$5</f>
        <v>203.4218181818182</v>
      </c>
      <c r="T1926" s="22">
        <f>tblDailySchedule[[#This Row],[STD]]</f>
        <v>0.62152777777777779</v>
      </c>
    </row>
    <row r="1927" spans="1:20" hidden="1" x14ac:dyDescent="0.35">
      <c r="A1927" s="11">
        <v>46179</v>
      </c>
      <c r="B1927" s="3">
        <v>6</v>
      </c>
      <c r="C1927" t="s">
        <v>116</v>
      </c>
      <c r="D1927" t="s">
        <v>18</v>
      </c>
      <c r="E1927" s="3">
        <v>15</v>
      </c>
      <c r="F1927" t="s">
        <v>19</v>
      </c>
      <c r="G1927" t="s">
        <v>64</v>
      </c>
      <c r="H1927" t="s">
        <v>31</v>
      </c>
      <c r="I1927" s="12">
        <v>0.60069444444444442</v>
      </c>
      <c r="J1927" t="s">
        <v>65</v>
      </c>
      <c r="K1927" t="s">
        <v>66</v>
      </c>
      <c r="L1927" s="12">
        <v>0.62847222222222221</v>
      </c>
      <c r="M1927" t="s">
        <v>63</v>
      </c>
      <c r="N1927" s="3">
        <v>232</v>
      </c>
      <c r="O1927" t="s">
        <v>24</v>
      </c>
      <c r="P1927" t="s">
        <v>56</v>
      </c>
      <c r="R1927">
        <f>tblDailySchedule[[#This Row],[Capacity Approx]]*'[1]Load Factor Sheet June Acft  '!$B$5</f>
        <v>187.86727272727273</v>
      </c>
      <c r="S1927">
        <f>tblDailySchedule[[#This Row],[Capacity Approx]]*'[1]Load Factor Sheet June Acft  '!$D$5</f>
        <v>203.4218181818182</v>
      </c>
      <c r="T1927" s="22">
        <f>tblDailySchedule[[#This Row],[STD]]</f>
        <v>0.62847222222222221</v>
      </c>
    </row>
    <row r="1928" spans="1:20" hidden="1" x14ac:dyDescent="0.35">
      <c r="A1928" s="11">
        <v>46179</v>
      </c>
      <c r="B1928" s="3">
        <v>6</v>
      </c>
      <c r="C1928" t="s">
        <v>116</v>
      </c>
      <c r="D1928" t="s">
        <v>18</v>
      </c>
      <c r="E1928" s="3">
        <v>16</v>
      </c>
      <c r="F1928" t="s">
        <v>19</v>
      </c>
      <c r="G1928" t="s">
        <v>67</v>
      </c>
      <c r="H1928" t="s">
        <v>31</v>
      </c>
      <c r="I1928" s="12">
        <v>0.65625</v>
      </c>
      <c r="J1928" t="s">
        <v>68</v>
      </c>
      <c r="K1928" t="s">
        <v>31</v>
      </c>
      <c r="L1928" s="12">
        <v>0.68402777777777779</v>
      </c>
      <c r="M1928" t="s">
        <v>63</v>
      </c>
      <c r="N1928" s="3">
        <v>232</v>
      </c>
      <c r="O1928" t="s">
        <v>24</v>
      </c>
      <c r="P1928" t="s">
        <v>56</v>
      </c>
      <c r="R1928">
        <f>tblDailySchedule[[#This Row],[Capacity Approx]]*'[1]Load Factor Sheet June Acft  '!$B$5</f>
        <v>187.86727272727273</v>
      </c>
      <c r="S1928">
        <f>tblDailySchedule[[#This Row],[Capacity Approx]]*'[1]Load Factor Sheet June Acft  '!$D$5</f>
        <v>203.4218181818182</v>
      </c>
      <c r="T1928" s="22">
        <f>tblDailySchedule[[#This Row],[STD]]</f>
        <v>0.68402777777777779</v>
      </c>
    </row>
    <row r="1929" spans="1:20" hidden="1" x14ac:dyDescent="0.35">
      <c r="A1929" s="11">
        <v>46179</v>
      </c>
      <c r="B1929" s="3">
        <v>6</v>
      </c>
      <c r="C1929" t="s">
        <v>116</v>
      </c>
      <c r="D1929" t="s">
        <v>18</v>
      </c>
      <c r="E1929" s="3">
        <v>17</v>
      </c>
      <c r="F1929" t="s">
        <v>19</v>
      </c>
      <c r="G1929" t="s">
        <v>69</v>
      </c>
      <c r="H1929" t="s">
        <v>31</v>
      </c>
      <c r="I1929" s="12">
        <v>0.66319444444444442</v>
      </c>
      <c r="J1929" t="s">
        <v>70</v>
      </c>
      <c r="K1929" t="s">
        <v>31</v>
      </c>
      <c r="L1929" s="12">
        <v>0.69097222222222221</v>
      </c>
      <c r="M1929" t="s">
        <v>33</v>
      </c>
      <c r="N1929" s="3">
        <v>189</v>
      </c>
      <c r="O1929" t="s">
        <v>24</v>
      </c>
      <c r="P1929" t="s">
        <v>56</v>
      </c>
      <c r="R1929">
        <f>tblDailySchedule[[#This Row],[Capacity Approx]]*'[1]Load Factor Sheet June Acft  '!$B$5</f>
        <v>153.04704545454547</v>
      </c>
      <c r="S1929">
        <f>tblDailySchedule[[#This Row],[Capacity Approx]]*'[1]Load Factor Sheet June Acft  '!$D$5</f>
        <v>165.71863636363636</v>
      </c>
      <c r="T1929" s="22">
        <f>tblDailySchedule[[#This Row],[STD]]</f>
        <v>0.69097222222222221</v>
      </c>
    </row>
    <row r="1930" spans="1:20" hidden="1" x14ac:dyDescent="0.35">
      <c r="A1930" s="11">
        <v>46179</v>
      </c>
      <c r="B1930" s="3">
        <v>6</v>
      </c>
      <c r="C1930" t="s">
        <v>116</v>
      </c>
      <c r="D1930" t="s">
        <v>18</v>
      </c>
      <c r="E1930" s="3">
        <v>18</v>
      </c>
      <c r="F1930" t="s">
        <v>19</v>
      </c>
      <c r="G1930" t="s">
        <v>71</v>
      </c>
      <c r="H1930" t="s">
        <v>21</v>
      </c>
      <c r="I1930" s="12">
        <v>0.67013888888888884</v>
      </c>
      <c r="J1930" t="s">
        <v>72</v>
      </c>
      <c r="K1930" t="s">
        <v>21</v>
      </c>
      <c r="L1930" s="12">
        <v>0.69791666666666663</v>
      </c>
      <c r="M1930" t="s">
        <v>63</v>
      </c>
      <c r="N1930" s="3">
        <v>232</v>
      </c>
      <c r="O1930" t="s">
        <v>24</v>
      </c>
      <c r="P1930" t="s">
        <v>56</v>
      </c>
      <c r="R1930">
        <f>tblDailySchedule[[#This Row],[Capacity Approx]]*'[1]Load Factor Sheet June Acft  '!$B$5</f>
        <v>187.86727272727273</v>
      </c>
      <c r="S1930">
        <f>tblDailySchedule[[#This Row],[Capacity Approx]]*'[1]Load Factor Sheet June Acft  '!$D$5</f>
        <v>203.4218181818182</v>
      </c>
      <c r="T1930" s="22">
        <f>tblDailySchedule[[#This Row],[STD]]</f>
        <v>0.69791666666666663</v>
      </c>
    </row>
    <row r="1931" spans="1:20" hidden="1" x14ac:dyDescent="0.35">
      <c r="A1931" s="11">
        <v>46179</v>
      </c>
      <c r="B1931" s="3">
        <v>6</v>
      </c>
      <c r="C1931" t="s">
        <v>116</v>
      </c>
      <c r="D1931" t="s">
        <v>18</v>
      </c>
      <c r="E1931" s="3">
        <v>19</v>
      </c>
      <c r="F1931" t="s">
        <v>19</v>
      </c>
      <c r="G1931" t="s">
        <v>73</v>
      </c>
      <c r="H1931" t="s">
        <v>27</v>
      </c>
      <c r="I1931" s="12">
        <v>0.74652777777777779</v>
      </c>
      <c r="J1931" t="s">
        <v>74</v>
      </c>
      <c r="K1931" t="s">
        <v>27</v>
      </c>
      <c r="L1931" s="12">
        <v>0.77430555555555558</v>
      </c>
      <c r="M1931" t="s">
        <v>63</v>
      </c>
      <c r="N1931" s="3">
        <v>232</v>
      </c>
      <c r="O1931" t="s">
        <v>24</v>
      </c>
      <c r="P1931" t="s">
        <v>56</v>
      </c>
      <c r="R1931">
        <f>tblDailySchedule[[#This Row],[Capacity Approx]]*'[1]Load Factor Sheet June Acft  '!$B$5</f>
        <v>187.86727272727273</v>
      </c>
      <c r="S1931">
        <f>tblDailySchedule[[#This Row],[Capacity Approx]]*'[1]Load Factor Sheet June Acft  '!$D$5</f>
        <v>203.4218181818182</v>
      </c>
      <c r="T1931" s="22">
        <f>tblDailySchedule[[#This Row],[STD]]</f>
        <v>0.77430555555555558</v>
      </c>
    </row>
    <row r="1932" spans="1:20" hidden="1" x14ac:dyDescent="0.35">
      <c r="A1932" s="11">
        <v>46179</v>
      </c>
      <c r="B1932" s="3">
        <v>6</v>
      </c>
      <c r="C1932" t="s">
        <v>116</v>
      </c>
      <c r="D1932" t="s">
        <v>18</v>
      </c>
      <c r="E1932" s="3">
        <v>21</v>
      </c>
      <c r="F1932" t="s">
        <v>19</v>
      </c>
      <c r="G1932" t="s">
        <v>81</v>
      </c>
      <c r="H1932" t="s">
        <v>61</v>
      </c>
      <c r="I1932" s="12">
        <v>0.77083333333333337</v>
      </c>
      <c r="J1932" t="s">
        <v>82</v>
      </c>
      <c r="K1932" t="s">
        <v>49</v>
      </c>
      <c r="L1932" s="12">
        <v>0.79166666666666663</v>
      </c>
      <c r="M1932" t="s">
        <v>33</v>
      </c>
      <c r="N1932" s="3">
        <v>189</v>
      </c>
      <c r="O1932" t="s">
        <v>24</v>
      </c>
      <c r="P1932" t="s">
        <v>79</v>
      </c>
      <c r="R1932">
        <f>tblDailySchedule[[#This Row],[Capacity Approx]]*'[1]Load Factor Sheet June Acft  '!$B$5</f>
        <v>153.04704545454547</v>
      </c>
      <c r="S1932">
        <f>tblDailySchedule[[#This Row],[Capacity Approx]]*'[1]Load Factor Sheet June Acft  '!$D$5</f>
        <v>165.71863636363636</v>
      </c>
      <c r="T1932" s="22">
        <f>tblDailySchedule[[#This Row],[STD]]</f>
        <v>0.79166666666666663</v>
      </c>
    </row>
    <row r="1933" spans="1:20" hidden="1" x14ac:dyDescent="0.35">
      <c r="A1933" s="11">
        <v>46179</v>
      </c>
      <c r="B1933" s="3">
        <v>6</v>
      </c>
      <c r="C1933" t="s">
        <v>116</v>
      </c>
      <c r="D1933" t="s">
        <v>18</v>
      </c>
      <c r="E1933" s="3">
        <v>22</v>
      </c>
      <c r="F1933" t="s">
        <v>19</v>
      </c>
      <c r="G1933" t="s">
        <v>83</v>
      </c>
      <c r="H1933" t="s">
        <v>31</v>
      </c>
      <c r="I1933" s="12">
        <v>0.77777777777777779</v>
      </c>
      <c r="J1933" t="s">
        <v>84</v>
      </c>
      <c r="K1933" t="s">
        <v>31</v>
      </c>
      <c r="L1933" s="12">
        <v>0.80555555555555558</v>
      </c>
      <c r="M1933" t="s">
        <v>63</v>
      </c>
      <c r="N1933" s="3">
        <v>232</v>
      </c>
      <c r="O1933" t="s">
        <v>24</v>
      </c>
      <c r="P1933" t="s">
        <v>79</v>
      </c>
      <c r="R1933">
        <f>tblDailySchedule[[#This Row],[Capacity Approx]]*'[1]Load Factor Sheet June Acft  '!$B$5</f>
        <v>187.86727272727273</v>
      </c>
      <c r="S1933">
        <f>tblDailySchedule[[#This Row],[Capacity Approx]]*'[1]Load Factor Sheet June Acft  '!$D$5</f>
        <v>203.4218181818182</v>
      </c>
      <c r="T1933" s="22">
        <f>tblDailySchedule[[#This Row],[STD]]</f>
        <v>0.80555555555555558</v>
      </c>
    </row>
    <row r="1934" spans="1:20" hidden="1" x14ac:dyDescent="0.35">
      <c r="A1934" s="11">
        <v>46179</v>
      </c>
      <c r="B1934" s="3">
        <v>6</v>
      </c>
      <c r="C1934" t="s">
        <v>116</v>
      </c>
      <c r="D1934" t="s">
        <v>18</v>
      </c>
      <c r="E1934" s="3">
        <v>23</v>
      </c>
      <c r="F1934" t="s">
        <v>19</v>
      </c>
      <c r="G1934" t="s">
        <v>85</v>
      </c>
      <c r="H1934" t="s">
        <v>86</v>
      </c>
      <c r="I1934" s="12">
        <v>0.79861111111111116</v>
      </c>
      <c r="J1934" t="s">
        <v>87</v>
      </c>
      <c r="K1934" t="s">
        <v>86</v>
      </c>
      <c r="L1934" s="12">
        <v>0.82638888888888884</v>
      </c>
      <c r="M1934" t="s">
        <v>63</v>
      </c>
      <c r="N1934" s="3">
        <v>232</v>
      </c>
      <c r="O1934" t="s">
        <v>24</v>
      </c>
      <c r="P1934" t="s">
        <v>79</v>
      </c>
      <c r="R1934">
        <f>tblDailySchedule[[#This Row],[Capacity Approx]]*'[1]Load Factor Sheet June Acft  '!$B$5</f>
        <v>187.86727272727273</v>
      </c>
      <c r="S1934">
        <f>tblDailySchedule[[#This Row],[Capacity Approx]]*'[1]Load Factor Sheet June Acft  '!$D$5</f>
        <v>203.4218181818182</v>
      </c>
      <c r="T1934" s="22">
        <f>tblDailySchedule[[#This Row],[STD]]</f>
        <v>0.82638888888888884</v>
      </c>
    </row>
    <row r="1935" spans="1:20" hidden="1" x14ac:dyDescent="0.35">
      <c r="A1935" s="11">
        <v>46179</v>
      </c>
      <c r="B1935" s="3">
        <v>6</v>
      </c>
      <c r="C1935" t="s">
        <v>116</v>
      </c>
      <c r="D1935" t="s">
        <v>18</v>
      </c>
      <c r="E1935" s="3">
        <v>24</v>
      </c>
      <c r="F1935" t="s">
        <v>19</v>
      </c>
      <c r="G1935" t="s">
        <v>88</v>
      </c>
      <c r="H1935" t="s">
        <v>89</v>
      </c>
      <c r="I1935" s="12">
        <v>0.83333333333333337</v>
      </c>
      <c r="J1935" t="s">
        <v>90</v>
      </c>
      <c r="K1935" t="s">
        <v>31</v>
      </c>
      <c r="L1935" s="12">
        <v>0.86111111111111116</v>
      </c>
      <c r="M1935" t="s">
        <v>63</v>
      </c>
      <c r="N1935" s="3">
        <v>232</v>
      </c>
      <c r="O1935" t="s">
        <v>24</v>
      </c>
      <c r="P1935" t="s">
        <v>79</v>
      </c>
      <c r="R1935">
        <f>tblDailySchedule[[#This Row],[Capacity Approx]]*'[1]Load Factor Sheet June Acft  '!$B$5</f>
        <v>187.86727272727273</v>
      </c>
      <c r="S1935">
        <f>tblDailySchedule[[#This Row],[Capacity Approx]]*'[1]Load Factor Sheet June Acft  '!$D$5</f>
        <v>203.4218181818182</v>
      </c>
      <c r="T1935" s="22">
        <f>tblDailySchedule[[#This Row],[STD]]</f>
        <v>0.86111111111111116</v>
      </c>
    </row>
    <row r="1936" spans="1:20" hidden="1" x14ac:dyDescent="0.35">
      <c r="A1936" s="11">
        <v>46179</v>
      </c>
      <c r="B1936" s="3">
        <v>6</v>
      </c>
      <c r="C1936" t="s">
        <v>116</v>
      </c>
      <c r="D1936" t="s">
        <v>18</v>
      </c>
      <c r="E1936" s="3">
        <v>25</v>
      </c>
      <c r="F1936" t="s">
        <v>19</v>
      </c>
      <c r="G1936" t="s">
        <v>91</v>
      </c>
      <c r="H1936" t="s">
        <v>61</v>
      </c>
      <c r="I1936" s="12">
        <v>0.85416666666666663</v>
      </c>
      <c r="J1936" t="s">
        <v>92</v>
      </c>
      <c r="K1936" t="s">
        <v>61</v>
      </c>
      <c r="L1936" s="12">
        <v>0.88194444444444442</v>
      </c>
      <c r="M1936" t="s">
        <v>63</v>
      </c>
      <c r="N1936" s="3">
        <v>232</v>
      </c>
      <c r="O1936" t="s">
        <v>24</v>
      </c>
      <c r="P1936" t="s">
        <v>79</v>
      </c>
      <c r="R1936">
        <f>tblDailySchedule[[#This Row],[Capacity Approx]]*'[1]Load Factor Sheet June Acft  '!$B$5</f>
        <v>187.86727272727273</v>
      </c>
      <c r="S1936">
        <f>tblDailySchedule[[#This Row],[Capacity Approx]]*'[1]Load Factor Sheet June Acft  '!$D$5</f>
        <v>203.4218181818182</v>
      </c>
      <c r="T1936" s="22">
        <f>tblDailySchedule[[#This Row],[STD]]</f>
        <v>0.88194444444444442</v>
      </c>
    </row>
    <row r="1937" spans="1:20" hidden="1" x14ac:dyDescent="0.35">
      <c r="A1937" s="11">
        <v>46179</v>
      </c>
      <c r="B1937" s="3">
        <v>6</v>
      </c>
      <c r="C1937" t="s">
        <v>116</v>
      </c>
      <c r="D1937" t="s">
        <v>18</v>
      </c>
      <c r="E1937" s="3">
        <v>26</v>
      </c>
      <c r="F1937" t="s">
        <v>19</v>
      </c>
      <c r="G1937" t="s">
        <v>93</v>
      </c>
      <c r="H1937" t="s">
        <v>31</v>
      </c>
      <c r="I1937" s="12">
        <v>0.86111111111111116</v>
      </c>
      <c r="J1937" t="s">
        <v>94</v>
      </c>
      <c r="K1937" t="s">
        <v>31</v>
      </c>
      <c r="L1937" s="12">
        <v>0.88888888888888884</v>
      </c>
      <c r="M1937" t="s">
        <v>23</v>
      </c>
      <c r="N1937" s="3">
        <v>186</v>
      </c>
      <c r="O1937" t="s">
        <v>24</v>
      </c>
      <c r="P1937" t="s">
        <v>79</v>
      </c>
      <c r="R1937">
        <f>tblDailySchedule[[#This Row],[Capacity Approx]]*'[1]Load Factor Sheet June Acft  '!$B$5</f>
        <v>150.61772727272728</v>
      </c>
      <c r="S1937">
        <f>tblDailySchedule[[#This Row],[Capacity Approx]]*'[1]Load Factor Sheet June Acft  '!$D$5</f>
        <v>163.08818181818182</v>
      </c>
      <c r="T1937" s="22">
        <f>tblDailySchedule[[#This Row],[STD]]</f>
        <v>0.88888888888888884</v>
      </c>
    </row>
    <row r="1938" spans="1:20" hidden="1" x14ac:dyDescent="0.35">
      <c r="A1938" s="11">
        <v>46179</v>
      </c>
      <c r="B1938" s="3">
        <v>6</v>
      </c>
      <c r="C1938" t="s">
        <v>116</v>
      </c>
      <c r="D1938" t="s">
        <v>18</v>
      </c>
      <c r="E1938" s="3">
        <v>27</v>
      </c>
      <c r="F1938" t="s">
        <v>19</v>
      </c>
      <c r="G1938" t="s">
        <v>95</v>
      </c>
      <c r="H1938" t="s">
        <v>21</v>
      </c>
      <c r="I1938" s="12">
        <v>0.86805555555555558</v>
      </c>
      <c r="J1938" t="s">
        <v>96</v>
      </c>
      <c r="K1938" t="s">
        <v>21</v>
      </c>
      <c r="L1938" s="12">
        <v>0.89583333333333337</v>
      </c>
      <c r="M1938" t="s">
        <v>29</v>
      </c>
      <c r="N1938" s="3">
        <v>186</v>
      </c>
      <c r="O1938" t="s">
        <v>24</v>
      </c>
      <c r="P1938" t="s">
        <v>79</v>
      </c>
      <c r="R1938">
        <f>tblDailySchedule[[#This Row],[Capacity Approx]]*'[1]Load Factor Sheet June Acft  '!$B$5</f>
        <v>150.61772727272728</v>
      </c>
      <c r="S1938">
        <f>tblDailySchedule[[#This Row],[Capacity Approx]]*'[1]Load Factor Sheet June Acft  '!$D$5</f>
        <v>163.08818181818182</v>
      </c>
      <c r="T1938" s="22">
        <f>tblDailySchedule[[#This Row],[STD]]</f>
        <v>0.89583333333333337</v>
      </c>
    </row>
    <row r="1939" spans="1:20" hidden="1" x14ac:dyDescent="0.35">
      <c r="A1939" s="11">
        <v>46179</v>
      </c>
      <c r="B1939" s="3">
        <v>6</v>
      </c>
      <c r="C1939" t="s">
        <v>116</v>
      </c>
      <c r="D1939" t="s">
        <v>18</v>
      </c>
      <c r="E1939" s="3">
        <v>28</v>
      </c>
      <c r="F1939" t="s">
        <v>19</v>
      </c>
      <c r="G1939" t="s">
        <v>97</v>
      </c>
      <c r="H1939" t="s">
        <v>49</v>
      </c>
      <c r="I1939" s="12">
        <v>0.90277777777777779</v>
      </c>
      <c r="J1939" t="s">
        <v>97</v>
      </c>
      <c r="K1939" t="s">
        <v>61</v>
      </c>
      <c r="L1939" s="12">
        <v>0.92361111111111116</v>
      </c>
      <c r="M1939" t="s">
        <v>33</v>
      </c>
      <c r="N1939" s="3">
        <v>189</v>
      </c>
      <c r="O1939" t="s">
        <v>24</v>
      </c>
      <c r="P1939" t="s">
        <v>79</v>
      </c>
      <c r="R1939">
        <f>tblDailySchedule[[#This Row],[Capacity Approx]]*'[1]Load Factor Sheet June Acft  '!$B$5</f>
        <v>153.04704545454547</v>
      </c>
      <c r="S1939">
        <f>tblDailySchedule[[#This Row],[Capacity Approx]]*'[1]Load Factor Sheet June Acft  '!$D$5</f>
        <v>165.71863636363636</v>
      </c>
      <c r="T1939" s="22">
        <f>tblDailySchedule[[#This Row],[STD]]</f>
        <v>0.92361111111111116</v>
      </c>
    </row>
    <row r="1940" spans="1:20" hidden="1" x14ac:dyDescent="0.35">
      <c r="A1940" s="11">
        <v>46179</v>
      </c>
      <c r="B1940" s="3">
        <v>6</v>
      </c>
      <c r="C1940" t="s">
        <v>116</v>
      </c>
      <c r="D1940" t="s">
        <v>18</v>
      </c>
      <c r="E1940" s="3">
        <v>29</v>
      </c>
      <c r="F1940" t="s">
        <v>19</v>
      </c>
      <c r="G1940" t="s">
        <v>98</v>
      </c>
      <c r="H1940" t="s">
        <v>21</v>
      </c>
      <c r="I1940" s="12">
        <v>0.92013888888888884</v>
      </c>
      <c r="J1940" t="s">
        <v>99</v>
      </c>
      <c r="K1940" t="s">
        <v>21</v>
      </c>
      <c r="L1940" s="12">
        <v>0.94791666666666663</v>
      </c>
      <c r="M1940" t="s">
        <v>63</v>
      </c>
      <c r="N1940" s="3">
        <v>232</v>
      </c>
      <c r="O1940" t="s">
        <v>24</v>
      </c>
      <c r="P1940" t="s">
        <v>79</v>
      </c>
      <c r="R1940">
        <f>tblDailySchedule[[#This Row],[Capacity Approx]]*'[1]Load Factor Sheet June Acft  '!$B$5</f>
        <v>187.86727272727273</v>
      </c>
      <c r="S1940">
        <f>tblDailySchedule[[#This Row],[Capacity Approx]]*'[1]Load Factor Sheet June Acft  '!$D$5</f>
        <v>203.4218181818182</v>
      </c>
      <c r="T1940" s="22">
        <f>tblDailySchedule[[#This Row],[STD]]</f>
        <v>0.94791666666666663</v>
      </c>
    </row>
    <row r="1941" spans="1:20" hidden="1" x14ac:dyDescent="0.35">
      <c r="A1941" s="13">
        <v>46179</v>
      </c>
      <c r="B1941" s="7">
        <v>6</v>
      </c>
      <c r="C1941" s="14" t="s">
        <v>116</v>
      </c>
      <c r="D1941" s="14" t="s">
        <v>18</v>
      </c>
      <c r="E1941" s="7">
        <v>30</v>
      </c>
      <c r="F1941" s="14" t="s">
        <v>104</v>
      </c>
      <c r="G1941" s="14" t="s">
        <v>105</v>
      </c>
      <c r="H1941" s="14" t="s">
        <v>106</v>
      </c>
      <c r="I1941" s="15">
        <v>0.92708333333333337</v>
      </c>
      <c r="J1941" s="14" t="s">
        <v>107</v>
      </c>
      <c r="K1941" s="14" t="s">
        <v>106</v>
      </c>
      <c r="L1941" s="15">
        <v>0.95833333333333337</v>
      </c>
      <c r="M1941" s="14" t="s">
        <v>38</v>
      </c>
      <c r="N1941" s="7">
        <v>186</v>
      </c>
      <c r="O1941" s="14" t="s">
        <v>39</v>
      </c>
      <c r="P1941" s="14" t="s">
        <v>79</v>
      </c>
      <c r="Q1941" s="14" t="s">
        <v>39</v>
      </c>
      <c r="R1941">
        <f>tblDailySchedule[[#This Row],[Capacity Approx]]*'[1]Load Factor Sheet June Acft  '!$B$5</f>
        <v>150.61772727272728</v>
      </c>
      <c r="S1941">
        <f>tblDailySchedule[[#This Row],[Capacity Approx]]*'[1]Load Factor Sheet June Acft  '!$D$5</f>
        <v>163.08818181818182</v>
      </c>
      <c r="T1941" s="22">
        <f>tblDailySchedule[[#This Row],[STD]]</f>
        <v>0.95833333333333337</v>
      </c>
    </row>
    <row r="1942" spans="1:20" hidden="1" x14ac:dyDescent="0.35">
      <c r="A1942" s="11">
        <v>46180</v>
      </c>
      <c r="B1942" s="3">
        <v>7</v>
      </c>
      <c r="C1942" t="s">
        <v>17</v>
      </c>
      <c r="D1942" t="s">
        <v>18</v>
      </c>
      <c r="E1942" s="3">
        <v>2</v>
      </c>
      <c r="F1942" t="s">
        <v>19</v>
      </c>
      <c r="G1942" t="s">
        <v>20</v>
      </c>
      <c r="H1942" t="s">
        <v>21</v>
      </c>
      <c r="I1942" s="12">
        <v>0.31944444444444442</v>
      </c>
      <c r="J1942" t="s">
        <v>22</v>
      </c>
      <c r="K1942" t="s">
        <v>21</v>
      </c>
      <c r="L1942" s="12">
        <v>0.34722222222222221</v>
      </c>
      <c r="M1942" t="s">
        <v>23</v>
      </c>
      <c r="N1942" s="3">
        <v>186</v>
      </c>
      <c r="O1942" t="s">
        <v>24</v>
      </c>
      <c r="P1942" t="s">
        <v>25</v>
      </c>
      <c r="R1942">
        <f>tblDailySchedule[[#This Row],[Capacity Approx]]*'[1]Load Factor Sheet June Acft  '!$B$5</f>
        <v>150.61772727272728</v>
      </c>
      <c r="S1942">
        <f>tblDailySchedule[[#This Row],[Capacity Approx]]*'[1]Load Factor Sheet June Acft  '!$D$5</f>
        <v>163.08818181818182</v>
      </c>
      <c r="T1942" s="22">
        <f>tblDailySchedule[[#This Row],[STD]]</f>
        <v>0.34722222222222221</v>
      </c>
    </row>
    <row r="1943" spans="1:20" hidden="1" x14ac:dyDescent="0.35">
      <c r="A1943" s="11">
        <v>46180</v>
      </c>
      <c r="B1943" s="3">
        <v>7</v>
      </c>
      <c r="C1943" t="s">
        <v>17</v>
      </c>
      <c r="D1943" t="s">
        <v>18</v>
      </c>
      <c r="E1943" s="3">
        <v>3</v>
      </c>
      <c r="F1943" t="s">
        <v>19</v>
      </c>
      <c r="G1943" t="s">
        <v>26</v>
      </c>
      <c r="H1943" t="s">
        <v>27</v>
      </c>
      <c r="I1943" s="12">
        <v>0.3263888888888889</v>
      </c>
      <c r="J1943" t="s">
        <v>28</v>
      </c>
      <c r="K1943" t="s">
        <v>27</v>
      </c>
      <c r="L1943" s="12">
        <v>0.35416666666666669</v>
      </c>
      <c r="M1943" t="s">
        <v>29</v>
      </c>
      <c r="N1943" s="3">
        <v>186</v>
      </c>
      <c r="O1943" t="s">
        <v>24</v>
      </c>
      <c r="P1943" t="s">
        <v>25</v>
      </c>
      <c r="R1943">
        <f>tblDailySchedule[[#This Row],[Capacity Approx]]*'[1]Load Factor Sheet June Acft  '!$B$5</f>
        <v>150.61772727272728</v>
      </c>
      <c r="S1943">
        <f>tblDailySchedule[[#This Row],[Capacity Approx]]*'[1]Load Factor Sheet June Acft  '!$D$5</f>
        <v>163.08818181818182</v>
      </c>
      <c r="T1943" s="22">
        <f>tblDailySchedule[[#This Row],[STD]]</f>
        <v>0.35416666666666669</v>
      </c>
    </row>
    <row r="1944" spans="1:20" hidden="1" x14ac:dyDescent="0.35">
      <c r="A1944" s="11">
        <v>46180</v>
      </c>
      <c r="B1944" s="3">
        <v>7</v>
      </c>
      <c r="C1944" t="s">
        <v>17</v>
      </c>
      <c r="D1944" t="s">
        <v>18</v>
      </c>
      <c r="E1944" s="3">
        <v>4</v>
      </c>
      <c r="F1944" t="s">
        <v>19</v>
      </c>
      <c r="G1944" t="s">
        <v>30</v>
      </c>
      <c r="H1944" t="s">
        <v>31</v>
      </c>
      <c r="I1944" s="12">
        <v>0.34722222222222221</v>
      </c>
      <c r="J1944" t="s">
        <v>32</v>
      </c>
      <c r="K1944" t="s">
        <v>31</v>
      </c>
      <c r="L1944" s="12">
        <v>0.36805555555555558</v>
      </c>
      <c r="M1944" t="s">
        <v>33</v>
      </c>
      <c r="N1944" s="3">
        <v>189</v>
      </c>
      <c r="O1944" t="s">
        <v>24</v>
      </c>
      <c r="P1944" t="s">
        <v>25</v>
      </c>
      <c r="R1944">
        <f>tblDailySchedule[[#This Row],[Capacity Approx]]*'[1]Load Factor Sheet June Acft  '!$B$5</f>
        <v>153.04704545454547</v>
      </c>
      <c r="S1944">
        <f>tblDailySchedule[[#This Row],[Capacity Approx]]*'[1]Load Factor Sheet June Acft  '!$D$5</f>
        <v>165.71863636363636</v>
      </c>
      <c r="T1944" s="22">
        <f>tblDailySchedule[[#This Row],[STD]]</f>
        <v>0.36805555555555558</v>
      </c>
    </row>
    <row r="1945" spans="1:20" hidden="1" x14ac:dyDescent="0.35">
      <c r="A1945" s="13">
        <v>46180</v>
      </c>
      <c r="B1945" s="7">
        <v>7</v>
      </c>
      <c r="C1945" s="14" t="s">
        <v>17</v>
      </c>
      <c r="D1945" s="14" t="s">
        <v>18</v>
      </c>
      <c r="E1945" s="7">
        <v>6</v>
      </c>
      <c r="F1945" s="14" t="s">
        <v>34</v>
      </c>
      <c r="G1945" s="14" t="s">
        <v>35</v>
      </c>
      <c r="H1945" s="14" t="s">
        <v>36</v>
      </c>
      <c r="I1945" s="15">
        <v>0.34722222222222221</v>
      </c>
      <c r="J1945" s="14" t="s">
        <v>37</v>
      </c>
      <c r="K1945" s="14" t="s">
        <v>36</v>
      </c>
      <c r="L1945" s="15">
        <v>0.40972222222222221</v>
      </c>
      <c r="M1945" s="14" t="s">
        <v>38</v>
      </c>
      <c r="N1945" s="7">
        <v>186</v>
      </c>
      <c r="O1945" s="14" t="s">
        <v>39</v>
      </c>
      <c r="P1945" s="14" t="s">
        <v>25</v>
      </c>
      <c r="Q1945" s="14" t="s">
        <v>39</v>
      </c>
      <c r="R1945">
        <f>tblDailySchedule[[#This Row],[Capacity Approx]]*'[1]Load Factor Sheet June Acft  '!$B$5</f>
        <v>150.61772727272728</v>
      </c>
      <c r="S1945">
        <f>tblDailySchedule[[#This Row],[Capacity Approx]]*'[1]Load Factor Sheet June Acft  '!$D$5</f>
        <v>163.08818181818182</v>
      </c>
      <c r="T1945" s="22">
        <f>tblDailySchedule[[#This Row],[STD]]</f>
        <v>0.40972222222222221</v>
      </c>
    </row>
    <row r="1946" spans="1:20" hidden="1" x14ac:dyDescent="0.35">
      <c r="A1946" s="11">
        <v>46180</v>
      </c>
      <c r="B1946" s="3">
        <v>7</v>
      </c>
      <c r="C1946" t="s">
        <v>17</v>
      </c>
      <c r="D1946" t="s">
        <v>18</v>
      </c>
      <c r="E1946" s="3">
        <v>5</v>
      </c>
      <c r="F1946" t="s">
        <v>19</v>
      </c>
      <c r="G1946" t="s">
        <v>40</v>
      </c>
      <c r="H1946" t="s">
        <v>31</v>
      </c>
      <c r="I1946" s="12">
        <v>0.35069444444444442</v>
      </c>
      <c r="J1946" t="s">
        <v>41</v>
      </c>
      <c r="K1946" t="s">
        <v>31</v>
      </c>
      <c r="L1946" s="12">
        <v>0.37152777777777779</v>
      </c>
      <c r="M1946" t="s">
        <v>23</v>
      </c>
      <c r="N1946" s="3">
        <v>186</v>
      </c>
      <c r="O1946" t="s">
        <v>24</v>
      </c>
      <c r="P1946" t="s">
        <v>25</v>
      </c>
      <c r="R1946">
        <f>tblDailySchedule[[#This Row],[Capacity Approx]]*'[1]Load Factor Sheet June Acft  '!$B$5</f>
        <v>150.61772727272728</v>
      </c>
      <c r="S1946">
        <f>tblDailySchedule[[#This Row],[Capacity Approx]]*'[1]Load Factor Sheet June Acft  '!$D$5</f>
        <v>163.08818181818182</v>
      </c>
      <c r="T1946" s="22">
        <f>tblDailySchedule[[#This Row],[STD]]</f>
        <v>0.37152777777777779</v>
      </c>
    </row>
    <row r="1947" spans="1:20" hidden="1" x14ac:dyDescent="0.35">
      <c r="A1947" s="11">
        <v>46180</v>
      </c>
      <c r="B1947" s="3">
        <v>7</v>
      </c>
      <c r="C1947" t="s">
        <v>17</v>
      </c>
      <c r="D1947" t="s">
        <v>18</v>
      </c>
      <c r="E1947" s="3">
        <v>7</v>
      </c>
      <c r="F1947" t="s">
        <v>19</v>
      </c>
      <c r="G1947" t="s">
        <v>42</v>
      </c>
      <c r="H1947" t="s">
        <v>43</v>
      </c>
      <c r="I1947" s="12">
        <v>0.3923611111111111</v>
      </c>
      <c r="J1947" t="s">
        <v>44</v>
      </c>
      <c r="K1947" t="s">
        <v>43</v>
      </c>
      <c r="L1947" s="12">
        <v>0.40277777777777779</v>
      </c>
      <c r="M1947" t="s">
        <v>45</v>
      </c>
      <c r="N1947" s="3">
        <v>9</v>
      </c>
      <c r="O1947" t="s">
        <v>24</v>
      </c>
      <c r="P1947" t="s">
        <v>25</v>
      </c>
      <c r="R1947">
        <f>tblDailySchedule[[#This Row],[Capacity Approx]]*'[1]Load Factor Sheet June Acft  '!$B$5</f>
        <v>7.2879545454545456</v>
      </c>
      <c r="S1947">
        <f>tblDailySchedule[[#This Row],[Capacity Approx]]*'[1]Load Factor Sheet June Acft  '!$D$5</f>
        <v>7.8913636363636366</v>
      </c>
      <c r="T1947" s="22">
        <f>tblDailySchedule[[#This Row],[STD]]</f>
        <v>0.40277777777777779</v>
      </c>
    </row>
    <row r="1948" spans="1:20" hidden="1" x14ac:dyDescent="0.35">
      <c r="A1948" s="11">
        <v>46180</v>
      </c>
      <c r="B1948" s="3">
        <v>7</v>
      </c>
      <c r="C1948" t="s">
        <v>17</v>
      </c>
      <c r="D1948" t="s">
        <v>18</v>
      </c>
      <c r="E1948" s="3">
        <v>8</v>
      </c>
      <c r="F1948" t="s">
        <v>19</v>
      </c>
      <c r="G1948" t="s">
        <v>46</v>
      </c>
      <c r="H1948" t="s">
        <v>31</v>
      </c>
      <c r="I1948" s="12">
        <v>0.4201388888888889</v>
      </c>
      <c r="J1948" t="s">
        <v>47</v>
      </c>
      <c r="K1948" t="s">
        <v>31</v>
      </c>
      <c r="L1948" s="12">
        <v>0.44444444444444442</v>
      </c>
      <c r="M1948" t="s">
        <v>29</v>
      </c>
      <c r="N1948" s="3">
        <v>186</v>
      </c>
      <c r="O1948" t="s">
        <v>24</v>
      </c>
      <c r="P1948" t="s">
        <v>25</v>
      </c>
      <c r="R1948">
        <f>tblDailySchedule[[#This Row],[Capacity Approx]]*'[1]Load Factor Sheet June Acft  '!$B$5</f>
        <v>150.61772727272728</v>
      </c>
      <c r="S1948">
        <f>tblDailySchedule[[#This Row],[Capacity Approx]]*'[1]Load Factor Sheet June Acft  '!$D$5</f>
        <v>163.08818181818182</v>
      </c>
      <c r="T1948" s="22">
        <f>tblDailySchedule[[#This Row],[STD]]</f>
        <v>0.44444444444444442</v>
      </c>
    </row>
    <row r="1949" spans="1:20" hidden="1" x14ac:dyDescent="0.35">
      <c r="A1949" s="11">
        <v>46180</v>
      </c>
      <c r="B1949" s="3">
        <v>7</v>
      </c>
      <c r="C1949" t="s">
        <v>17</v>
      </c>
      <c r="D1949" t="s">
        <v>18</v>
      </c>
      <c r="E1949" s="3">
        <v>9</v>
      </c>
      <c r="F1949" t="s">
        <v>19</v>
      </c>
      <c r="G1949" t="s">
        <v>48</v>
      </c>
      <c r="H1949" t="s">
        <v>49</v>
      </c>
      <c r="I1949" s="12">
        <v>0.4375</v>
      </c>
      <c r="J1949" t="s">
        <v>50</v>
      </c>
      <c r="K1949" t="s">
        <v>49</v>
      </c>
      <c r="L1949" s="12">
        <v>0.45833333333333331</v>
      </c>
      <c r="M1949" t="s">
        <v>51</v>
      </c>
      <c r="N1949" s="3">
        <v>78</v>
      </c>
      <c r="O1949" t="s">
        <v>24</v>
      </c>
      <c r="P1949" t="s">
        <v>25</v>
      </c>
      <c r="R1949">
        <f>tblDailySchedule[[#This Row],[Capacity Approx]]*'[1]Load Factor Sheet June Acft  '!$B$5</f>
        <v>63.162272727272729</v>
      </c>
      <c r="S1949">
        <f>tblDailySchedule[[#This Row],[Capacity Approx]]*'[1]Load Factor Sheet June Acft  '!$D$5</f>
        <v>68.391818181818181</v>
      </c>
      <c r="T1949" s="22">
        <f>tblDailySchedule[[#This Row],[STD]]</f>
        <v>0.45833333333333331</v>
      </c>
    </row>
    <row r="1950" spans="1:20" hidden="1" x14ac:dyDescent="0.35">
      <c r="A1950" s="11">
        <v>46180</v>
      </c>
      <c r="B1950" s="3">
        <v>7</v>
      </c>
      <c r="C1950" t="s">
        <v>17</v>
      </c>
      <c r="D1950" t="s">
        <v>18</v>
      </c>
      <c r="E1950" s="3">
        <v>10</v>
      </c>
      <c r="F1950" t="s">
        <v>19</v>
      </c>
      <c r="G1950" t="s">
        <v>52</v>
      </c>
      <c r="H1950" t="s">
        <v>27</v>
      </c>
      <c r="I1950" s="12">
        <v>0.4826388888888889</v>
      </c>
      <c r="J1950" t="s">
        <v>53</v>
      </c>
      <c r="K1950" t="s">
        <v>27</v>
      </c>
      <c r="L1950" s="12">
        <v>0.51041666666666663</v>
      </c>
      <c r="M1950" t="s">
        <v>23</v>
      </c>
      <c r="N1950" s="3">
        <v>186</v>
      </c>
      <c r="O1950" t="s">
        <v>24</v>
      </c>
      <c r="P1950" t="s">
        <v>25</v>
      </c>
      <c r="R1950">
        <f>tblDailySchedule[[#This Row],[Capacity Approx]]*'[1]Load Factor Sheet June Acft  '!$B$5</f>
        <v>150.61772727272728</v>
      </c>
      <c r="S1950">
        <f>tblDailySchedule[[#This Row],[Capacity Approx]]*'[1]Load Factor Sheet June Acft  '!$D$5</f>
        <v>163.08818181818182</v>
      </c>
      <c r="T1950" s="22">
        <f>tblDailySchedule[[#This Row],[STD]]</f>
        <v>0.51041666666666663</v>
      </c>
    </row>
    <row r="1951" spans="1:20" hidden="1" x14ac:dyDescent="0.35">
      <c r="A1951" s="11">
        <v>46180</v>
      </c>
      <c r="B1951" s="3">
        <v>7</v>
      </c>
      <c r="C1951" t="s">
        <v>17</v>
      </c>
      <c r="D1951" t="s">
        <v>18</v>
      </c>
      <c r="E1951" s="3">
        <v>11</v>
      </c>
      <c r="F1951" t="s">
        <v>19</v>
      </c>
      <c r="G1951" t="s">
        <v>54</v>
      </c>
      <c r="H1951" t="s">
        <v>31</v>
      </c>
      <c r="I1951" s="12">
        <v>0.51388888888888884</v>
      </c>
      <c r="J1951" t="s">
        <v>55</v>
      </c>
      <c r="K1951" t="s">
        <v>31</v>
      </c>
      <c r="L1951" s="12">
        <v>0.54166666666666663</v>
      </c>
      <c r="M1951" t="s">
        <v>23</v>
      </c>
      <c r="N1951" s="3">
        <v>186</v>
      </c>
      <c r="O1951" t="s">
        <v>24</v>
      </c>
      <c r="P1951" t="s">
        <v>56</v>
      </c>
      <c r="R1951">
        <f>tblDailySchedule[[#This Row],[Capacity Approx]]*'[1]Load Factor Sheet June Acft  '!$B$5</f>
        <v>150.61772727272728</v>
      </c>
      <c r="S1951">
        <f>tblDailySchedule[[#This Row],[Capacity Approx]]*'[1]Load Factor Sheet June Acft  '!$D$5</f>
        <v>163.08818181818182</v>
      </c>
      <c r="T1951" s="22">
        <f>tblDailySchedule[[#This Row],[STD]]</f>
        <v>0.54166666666666663</v>
      </c>
    </row>
    <row r="1952" spans="1:20" hidden="1" x14ac:dyDescent="0.35">
      <c r="A1952" s="11">
        <v>46180</v>
      </c>
      <c r="B1952" s="3">
        <v>7</v>
      </c>
      <c r="C1952" t="s">
        <v>17</v>
      </c>
      <c r="D1952" t="s">
        <v>18</v>
      </c>
      <c r="E1952" s="3">
        <v>13</v>
      </c>
      <c r="F1952" t="s">
        <v>19</v>
      </c>
      <c r="G1952" t="s">
        <v>57</v>
      </c>
      <c r="H1952" t="s">
        <v>58</v>
      </c>
      <c r="I1952" s="12">
        <v>0.55902777777777779</v>
      </c>
      <c r="J1952" t="s">
        <v>59</v>
      </c>
      <c r="K1952" t="s">
        <v>58</v>
      </c>
      <c r="L1952" s="12">
        <v>0.57638888888888884</v>
      </c>
      <c r="M1952" t="s">
        <v>51</v>
      </c>
      <c r="N1952" s="3">
        <v>78</v>
      </c>
      <c r="O1952" t="s">
        <v>24</v>
      </c>
      <c r="P1952" t="s">
        <v>56</v>
      </c>
      <c r="R1952">
        <f>tblDailySchedule[[#This Row],[Capacity Approx]]*'[1]Load Factor Sheet June Acft  '!$B$5</f>
        <v>63.162272727272729</v>
      </c>
      <c r="S1952">
        <f>tblDailySchedule[[#This Row],[Capacity Approx]]*'[1]Load Factor Sheet June Acft  '!$D$5</f>
        <v>68.391818181818181</v>
      </c>
      <c r="T1952" s="22">
        <f>tblDailySchedule[[#This Row],[STD]]</f>
        <v>0.57638888888888884</v>
      </c>
    </row>
    <row r="1953" spans="1:20" hidden="1" x14ac:dyDescent="0.35">
      <c r="A1953" s="11">
        <v>46180</v>
      </c>
      <c r="B1953" s="3">
        <v>7</v>
      </c>
      <c r="C1953" t="s">
        <v>17</v>
      </c>
      <c r="D1953" t="s">
        <v>18</v>
      </c>
      <c r="E1953" s="3">
        <v>14</v>
      </c>
      <c r="F1953" t="s">
        <v>19</v>
      </c>
      <c r="G1953" t="s">
        <v>60</v>
      </c>
      <c r="H1953" t="s">
        <v>61</v>
      </c>
      <c r="I1953" s="12">
        <v>0.59027777777777779</v>
      </c>
      <c r="J1953" t="s">
        <v>62</v>
      </c>
      <c r="K1953" t="s">
        <v>61</v>
      </c>
      <c r="L1953" s="12">
        <v>0.62152777777777779</v>
      </c>
      <c r="M1953" t="s">
        <v>63</v>
      </c>
      <c r="N1953" s="3">
        <v>232</v>
      </c>
      <c r="O1953" t="s">
        <v>24</v>
      </c>
      <c r="P1953" t="s">
        <v>56</v>
      </c>
      <c r="R1953">
        <f>tblDailySchedule[[#This Row],[Capacity Approx]]*'[1]Load Factor Sheet June Acft  '!$B$5</f>
        <v>187.86727272727273</v>
      </c>
      <c r="S1953">
        <f>tblDailySchedule[[#This Row],[Capacity Approx]]*'[1]Load Factor Sheet June Acft  '!$D$5</f>
        <v>203.4218181818182</v>
      </c>
      <c r="T1953" s="22">
        <f>tblDailySchedule[[#This Row],[STD]]</f>
        <v>0.62152777777777779</v>
      </c>
    </row>
    <row r="1954" spans="1:20" hidden="1" x14ac:dyDescent="0.35">
      <c r="A1954" s="11">
        <v>46180</v>
      </c>
      <c r="B1954" s="3">
        <v>7</v>
      </c>
      <c r="C1954" t="s">
        <v>17</v>
      </c>
      <c r="D1954" t="s">
        <v>18</v>
      </c>
      <c r="E1954" s="3">
        <v>15</v>
      </c>
      <c r="F1954" t="s">
        <v>19</v>
      </c>
      <c r="G1954" t="s">
        <v>64</v>
      </c>
      <c r="H1954" t="s">
        <v>31</v>
      </c>
      <c r="I1954" s="12">
        <v>0.60069444444444442</v>
      </c>
      <c r="J1954" t="s">
        <v>65</v>
      </c>
      <c r="K1954" t="s">
        <v>66</v>
      </c>
      <c r="L1954" s="12">
        <v>0.62847222222222221</v>
      </c>
      <c r="M1954" t="s">
        <v>63</v>
      </c>
      <c r="N1954" s="3">
        <v>232</v>
      </c>
      <c r="O1954" t="s">
        <v>24</v>
      </c>
      <c r="P1954" t="s">
        <v>56</v>
      </c>
      <c r="R1954">
        <f>tblDailySchedule[[#This Row],[Capacity Approx]]*'[1]Load Factor Sheet June Acft  '!$B$5</f>
        <v>187.86727272727273</v>
      </c>
      <c r="S1954">
        <f>tblDailySchedule[[#This Row],[Capacity Approx]]*'[1]Load Factor Sheet June Acft  '!$D$5</f>
        <v>203.4218181818182</v>
      </c>
      <c r="T1954" s="22">
        <f>tblDailySchedule[[#This Row],[STD]]</f>
        <v>0.62847222222222221</v>
      </c>
    </row>
    <row r="1955" spans="1:20" hidden="1" x14ac:dyDescent="0.35">
      <c r="A1955" s="11">
        <v>46180</v>
      </c>
      <c r="B1955" s="3">
        <v>7</v>
      </c>
      <c r="C1955" t="s">
        <v>17</v>
      </c>
      <c r="D1955" t="s">
        <v>18</v>
      </c>
      <c r="E1955" s="3">
        <v>16</v>
      </c>
      <c r="F1955" t="s">
        <v>19</v>
      </c>
      <c r="G1955" t="s">
        <v>67</v>
      </c>
      <c r="H1955" t="s">
        <v>31</v>
      </c>
      <c r="I1955" s="12">
        <v>0.65625</v>
      </c>
      <c r="J1955" t="s">
        <v>68</v>
      </c>
      <c r="K1955" t="s">
        <v>31</v>
      </c>
      <c r="L1955" s="12">
        <v>0.68402777777777779</v>
      </c>
      <c r="M1955" t="s">
        <v>63</v>
      </c>
      <c r="N1955" s="3">
        <v>232</v>
      </c>
      <c r="O1955" t="s">
        <v>24</v>
      </c>
      <c r="P1955" t="s">
        <v>56</v>
      </c>
      <c r="R1955">
        <f>tblDailySchedule[[#This Row],[Capacity Approx]]*'[1]Load Factor Sheet June Acft  '!$B$5</f>
        <v>187.86727272727273</v>
      </c>
      <c r="S1955">
        <f>tblDailySchedule[[#This Row],[Capacity Approx]]*'[1]Load Factor Sheet June Acft  '!$D$5</f>
        <v>203.4218181818182</v>
      </c>
      <c r="T1955" s="22">
        <f>tblDailySchedule[[#This Row],[STD]]</f>
        <v>0.68402777777777779</v>
      </c>
    </row>
    <row r="1956" spans="1:20" hidden="1" x14ac:dyDescent="0.35">
      <c r="A1956" s="11">
        <v>46180</v>
      </c>
      <c r="B1956" s="3">
        <v>7</v>
      </c>
      <c r="C1956" t="s">
        <v>17</v>
      </c>
      <c r="D1956" t="s">
        <v>18</v>
      </c>
      <c r="E1956" s="3">
        <v>17</v>
      </c>
      <c r="F1956" t="s">
        <v>19</v>
      </c>
      <c r="G1956" t="s">
        <v>69</v>
      </c>
      <c r="H1956" t="s">
        <v>31</v>
      </c>
      <c r="I1956" s="12">
        <v>0.66319444444444442</v>
      </c>
      <c r="J1956" t="s">
        <v>70</v>
      </c>
      <c r="K1956" t="s">
        <v>31</v>
      </c>
      <c r="L1956" s="12">
        <v>0.69097222222222221</v>
      </c>
      <c r="M1956" t="s">
        <v>33</v>
      </c>
      <c r="N1956" s="3">
        <v>189</v>
      </c>
      <c r="O1956" t="s">
        <v>24</v>
      </c>
      <c r="P1956" t="s">
        <v>56</v>
      </c>
      <c r="R1956">
        <f>tblDailySchedule[[#This Row],[Capacity Approx]]*'[1]Load Factor Sheet June Acft  '!$B$5</f>
        <v>153.04704545454547</v>
      </c>
      <c r="S1956">
        <f>tblDailySchedule[[#This Row],[Capacity Approx]]*'[1]Load Factor Sheet June Acft  '!$D$5</f>
        <v>165.71863636363636</v>
      </c>
      <c r="T1956" s="22">
        <f>tblDailySchedule[[#This Row],[STD]]</f>
        <v>0.69097222222222221</v>
      </c>
    </row>
    <row r="1957" spans="1:20" hidden="1" x14ac:dyDescent="0.35">
      <c r="A1957" s="11">
        <v>46180</v>
      </c>
      <c r="B1957" s="3">
        <v>7</v>
      </c>
      <c r="C1957" t="s">
        <v>17</v>
      </c>
      <c r="D1957" t="s">
        <v>18</v>
      </c>
      <c r="E1957" s="3">
        <v>18</v>
      </c>
      <c r="F1957" t="s">
        <v>19</v>
      </c>
      <c r="G1957" t="s">
        <v>71</v>
      </c>
      <c r="H1957" t="s">
        <v>21</v>
      </c>
      <c r="I1957" s="12">
        <v>0.67013888888888884</v>
      </c>
      <c r="J1957" t="s">
        <v>72</v>
      </c>
      <c r="K1957" t="s">
        <v>21</v>
      </c>
      <c r="L1957" s="12">
        <v>0.69791666666666663</v>
      </c>
      <c r="M1957" t="s">
        <v>63</v>
      </c>
      <c r="N1957" s="3">
        <v>232</v>
      </c>
      <c r="O1957" t="s">
        <v>24</v>
      </c>
      <c r="P1957" t="s">
        <v>56</v>
      </c>
      <c r="R1957">
        <f>tblDailySchedule[[#This Row],[Capacity Approx]]*'[1]Load Factor Sheet June Acft  '!$B$5</f>
        <v>187.86727272727273</v>
      </c>
      <c r="S1957">
        <f>tblDailySchedule[[#This Row],[Capacity Approx]]*'[1]Load Factor Sheet June Acft  '!$D$5</f>
        <v>203.4218181818182</v>
      </c>
      <c r="T1957" s="22">
        <f>tblDailySchedule[[#This Row],[STD]]</f>
        <v>0.69791666666666663</v>
      </c>
    </row>
    <row r="1958" spans="1:20" hidden="1" x14ac:dyDescent="0.35">
      <c r="A1958" s="11">
        <v>46180</v>
      </c>
      <c r="B1958" s="3">
        <v>7</v>
      </c>
      <c r="C1958" t="s">
        <v>17</v>
      </c>
      <c r="D1958" t="s">
        <v>18</v>
      </c>
      <c r="E1958" s="3">
        <v>19</v>
      </c>
      <c r="F1958" t="s">
        <v>19</v>
      </c>
      <c r="G1958" t="s">
        <v>73</v>
      </c>
      <c r="H1958" t="s">
        <v>27</v>
      </c>
      <c r="I1958" s="12">
        <v>0.74652777777777779</v>
      </c>
      <c r="J1958" t="s">
        <v>74</v>
      </c>
      <c r="K1958" t="s">
        <v>27</v>
      </c>
      <c r="L1958" s="12">
        <v>0.77430555555555558</v>
      </c>
      <c r="M1958" t="s">
        <v>63</v>
      </c>
      <c r="N1958" s="3">
        <v>232</v>
      </c>
      <c r="O1958" t="s">
        <v>24</v>
      </c>
      <c r="P1958" t="s">
        <v>56</v>
      </c>
      <c r="R1958">
        <f>tblDailySchedule[[#This Row],[Capacity Approx]]*'[1]Load Factor Sheet June Acft  '!$B$5</f>
        <v>187.86727272727273</v>
      </c>
      <c r="S1958">
        <f>tblDailySchedule[[#This Row],[Capacity Approx]]*'[1]Load Factor Sheet June Acft  '!$D$5</f>
        <v>203.4218181818182</v>
      </c>
      <c r="T1958" s="22">
        <f>tblDailySchedule[[#This Row],[STD]]</f>
        <v>0.77430555555555558</v>
      </c>
    </row>
    <row r="1959" spans="1:20" hidden="1" x14ac:dyDescent="0.35">
      <c r="A1959" s="11">
        <v>46180</v>
      </c>
      <c r="B1959" s="3">
        <v>7</v>
      </c>
      <c r="C1959" t="s">
        <v>17</v>
      </c>
      <c r="D1959" t="s">
        <v>18</v>
      </c>
      <c r="E1959" s="3">
        <v>20</v>
      </c>
      <c r="F1959" t="s">
        <v>34</v>
      </c>
      <c r="G1959" t="s">
        <v>75</v>
      </c>
      <c r="H1959" t="s">
        <v>76</v>
      </c>
      <c r="I1959" s="12">
        <v>0.76388888888888884</v>
      </c>
      <c r="J1959" t="s">
        <v>77</v>
      </c>
      <c r="K1959" t="s">
        <v>78</v>
      </c>
      <c r="L1959" s="12">
        <v>0.78472222222222221</v>
      </c>
      <c r="M1959" t="s">
        <v>51</v>
      </c>
      <c r="N1959" s="3">
        <v>78</v>
      </c>
      <c r="O1959" t="s">
        <v>24</v>
      </c>
      <c r="P1959" t="s">
        <v>79</v>
      </c>
      <c r="Q1959" s="16" t="s">
        <v>80</v>
      </c>
      <c r="R1959">
        <f>tblDailySchedule[[#This Row],[Capacity Approx]]*'[1]Load Factor Sheet June Acft  '!$B$5</f>
        <v>63.162272727272729</v>
      </c>
      <c r="S1959">
        <f>tblDailySchedule[[#This Row],[Capacity Approx]]*'[1]Load Factor Sheet June Acft  '!$D$5</f>
        <v>68.391818181818181</v>
      </c>
      <c r="T1959" s="22">
        <f>tblDailySchedule[[#This Row],[STD]]</f>
        <v>0.78472222222222221</v>
      </c>
    </row>
    <row r="1960" spans="1:20" hidden="1" x14ac:dyDescent="0.35">
      <c r="A1960" s="11">
        <v>46180</v>
      </c>
      <c r="B1960" s="3">
        <v>7</v>
      </c>
      <c r="C1960" t="s">
        <v>17</v>
      </c>
      <c r="D1960" t="s">
        <v>18</v>
      </c>
      <c r="E1960" s="3">
        <v>21</v>
      </c>
      <c r="F1960" t="s">
        <v>19</v>
      </c>
      <c r="G1960" t="s">
        <v>81</v>
      </c>
      <c r="H1960" t="s">
        <v>61</v>
      </c>
      <c r="I1960" s="12">
        <v>0.77083333333333337</v>
      </c>
      <c r="J1960" t="s">
        <v>82</v>
      </c>
      <c r="K1960" t="s">
        <v>49</v>
      </c>
      <c r="L1960" s="12">
        <v>0.79166666666666663</v>
      </c>
      <c r="M1960" t="s">
        <v>33</v>
      </c>
      <c r="N1960" s="3">
        <v>189</v>
      </c>
      <c r="O1960" t="s">
        <v>24</v>
      </c>
      <c r="P1960" t="s">
        <v>79</v>
      </c>
      <c r="R1960">
        <f>tblDailySchedule[[#This Row],[Capacity Approx]]*'[1]Load Factor Sheet June Acft  '!$B$5</f>
        <v>153.04704545454547</v>
      </c>
      <c r="S1960">
        <f>tblDailySchedule[[#This Row],[Capacity Approx]]*'[1]Load Factor Sheet June Acft  '!$D$5</f>
        <v>165.71863636363636</v>
      </c>
      <c r="T1960" s="22">
        <f>tblDailySchedule[[#This Row],[STD]]</f>
        <v>0.79166666666666663</v>
      </c>
    </row>
    <row r="1961" spans="1:20" hidden="1" x14ac:dyDescent="0.35">
      <c r="A1961" s="11">
        <v>46180</v>
      </c>
      <c r="B1961" s="3">
        <v>7</v>
      </c>
      <c r="C1961" t="s">
        <v>17</v>
      </c>
      <c r="D1961" t="s">
        <v>18</v>
      </c>
      <c r="E1961" s="3">
        <v>22</v>
      </c>
      <c r="F1961" t="s">
        <v>19</v>
      </c>
      <c r="G1961" t="s">
        <v>83</v>
      </c>
      <c r="H1961" t="s">
        <v>31</v>
      </c>
      <c r="I1961" s="12">
        <v>0.77777777777777779</v>
      </c>
      <c r="J1961" t="s">
        <v>84</v>
      </c>
      <c r="K1961" t="s">
        <v>31</v>
      </c>
      <c r="L1961" s="12">
        <v>0.80555555555555558</v>
      </c>
      <c r="M1961" t="s">
        <v>63</v>
      </c>
      <c r="N1961" s="3">
        <v>232</v>
      </c>
      <c r="O1961" t="s">
        <v>24</v>
      </c>
      <c r="P1961" t="s">
        <v>79</v>
      </c>
      <c r="R1961">
        <f>tblDailySchedule[[#This Row],[Capacity Approx]]*'[1]Load Factor Sheet June Acft  '!$B$5</f>
        <v>187.86727272727273</v>
      </c>
      <c r="S1961">
        <f>tblDailySchedule[[#This Row],[Capacity Approx]]*'[1]Load Factor Sheet June Acft  '!$D$5</f>
        <v>203.4218181818182</v>
      </c>
      <c r="T1961" s="22">
        <f>tblDailySchedule[[#This Row],[STD]]</f>
        <v>0.80555555555555558</v>
      </c>
    </row>
    <row r="1962" spans="1:20" hidden="1" x14ac:dyDescent="0.35">
      <c r="A1962" s="11">
        <v>46180</v>
      </c>
      <c r="B1962" s="3">
        <v>7</v>
      </c>
      <c r="C1962" t="s">
        <v>17</v>
      </c>
      <c r="D1962" t="s">
        <v>18</v>
      </c>
      <c r="E1962" s="3">
        <v>23</v>
      </c>
      <c r="F1962" t="s">
        <v>19</v>
      </c>
      <c r="G1962" t="s">
        <v>85</v>
      </c>
      <c r="H1962" t="s">
        <v>86</v>
      </c>
      <c r="I1962" s="12">
        <v>0.79861111111111116</v>
      </c>
      <c r="J1962" t="s">
        <v>87</v>
      </c>
      <c r="K1962" t="s">
        <v>86</v>
      </c>
      <c r="L1962" s="12">
        <v>0.82638888888888884</v>
      </c>
      <c r="M1962" t="s">
        <v>63</v>
      </c>
      <c r="N1962" s="3">
        <v>232</v>
      </c>
      <c r="O1962" t="s">
        <v>24</v>
      </c>
      <c r="P1962" t="s">
        <v>79</v>
      </c>
      <c r="R1962">
        <f>tblDailySchedule[[#This Row],[Capacity Approx]]*'[1]Load Factor Sheet June Acft  '!$B$5</f>
        <v>187.86727272727273</v>
      </c>
      <c r="S1962">
        <f>tblDailySchedule[[#This Row],[Capacity Approx]]*'[1]Load Factor Sheet June Acft  '!$D$5</f>
        <v>203.4218181818182</v>
      </c>
      <c r="T1962" s="22">
        <f>tblDailySchedule[[#This Row],[STD]]</f>
        <v>0.82638888888888884</v>
      </c>
    </row>
    <row r="1963" spans="1:20" hidden="1" x14ac:dyDescent="0.35">
      <c r="A1963" s="11">
        <v>46180</v>
      </c>
      <c r="B1963" s="3">
        <v>7</v>
      </c>
      <c r="C1963" t="s">
        <v>17</v>
      </c>
      <c r="D1963" t="s">
        <v>18</v>
      </c>
      <c r="E1963" s="3">
        <v>24</v>
      </c>
      <c r="F1963" t="s">
        <v>19</v>
      </c>
      <c r="G1963" t="s">
        <v>88</v>
      </c>
      <c r="H1963" t="s">
        <v>89</v>
      </c>
      <c r="I1963" s="12">
        <v>0.83333333333333337</v>
      </c>
      <c r="J1963" t="s">
        <v>90</v>
      </c>
      <c r="K1963" t="s">
        <v>31</v>
      </c>
      <c r="L1963" s="12">
        <v>0.86111111111111116</v>
      </c>
      <c r="M1963" t="s">
        <v>63</v>
      </c>
      <c r="N1963" s="3">
        <v>232</v>
      </c>
      <c r="O1963" t="s">
        <v>24</v>
      </c>
      <c r="P1963" t="s">
        <v>79</v>
      </c>
      <c r="R1963">
        <f>tblDailySchedule[[#This Row],[Capacity Approx]]*'[1]Load Factor Sheet June Acft  '!$B$5</f>
        <v>187.86727272727273</v>
      </c>
      <c r="S1963">
        <f>tblDailySchedule[[#This Row],[Capacity Approx]]*'[1]Load Factor Sheet June Acft  '!$D$5</f>
        <v>203.4218181818182</v>
      </c>
      <c r="T1963" s="22">
        <f>tblDailySchedule[[#This Row],[STD]]</f>
        <v>0.86111111111111116</v>
      </c>
    </row>
    <row r="1964" spans="1:20" hidden="1" x14ac:dyDescent="0.35">
      <c r="A1964" s="11">
        <v>46180</v>
      </c>
      <c r="B1964" s="3">
        <v>7</v>
      </c>
      <c r="C1964" t="s">
        <v>17</v>
      </c>
      <c r="D1964" t="s">
        <v>18</v>
      </c>
      <c r="E1964" s="3">
        <v>25</v>
      </c>
      <c r="F1964" t="s">
        <v>19</v>
      </c>
      <c r="G1964" t="s">
        <v>91</v>
      </c>
      <c r="H1964" t="s">
        <v>61</v>
      </c>
      <c r="I1964" s="12">
        <v>0.85416666666666663</v>
      </c>
      <c r="J1964" t="s">
        <v>92</v>
      </c>
      <c r="K1964" t="s">
        <v>61</v>
      </c>
      <c r="L1964" s="12">
        <v>0.88194444444444442</v>
      </c>
      <c r="M1964" t="s">
        <v>63</v>
      </c>
      <c r="N1964" s="3">
        <v>232</v>
      </c>
      <c r="O1964" t="s">
        <v>24</v>
      </c>
      <c r="P1964" t="s">
        <v>79</v>
      </c>
      <c r="R1964">
        <f>tblDailySchedule[[#This Row],[Capacity Approx]]*'[1]Load Factor Sheet June Acft  '!$B$5</f>
        <v>187.86727272727273</v>
      </c>
      <c r="S1964">
        <f>tblDailySchedule[[#This Row],[Capacity Approx]]*'[1]Load Factor Sheet June Acft  '!$D$5</f>
        <v>203.4218181818182</v>
      </c>
      <c r="T1964" s="22">
        <f>tblDailySchedule[[#This Row],[STD]]</f>
        <v>0.88194444444444442</v>
      </c>
    </row>
    <row r="1965" spans="1:20" hidden="1" x14ac:dyDescent="0.35">
      <c r="A1965" s="11">
        <v>46180</v>
      </c>
      <c r="B1965" s="3">
        <v>7</v>
      </c>
      <c r="C1965" t="s">
        <v>17</v>
      </c>
      <c r="D1965" t="s">
        <v>18</v>
      </c>
      <c r="E1965" s="3">
        <v>26</v>
      </c>
      <c r="F1965" t="s">
        <v>19</v>
      </c>
      <c r="G1965" t="s">
        <v>93</v>
      </c>
      <c r="H1965" t="s">
        <v>31</v>
      </c>
      <c r="I1965" s="12">
        <v>0.86111111111111116</v>
      </c>
      <c r="J1965" t="s">
        <v>94</v>
      </c>
      <c r="K1965" t="s">
        <v>31</v>
      </c>
      <c r="L1965" s="12">
        <v>0.88888888888888884</v>
      </c>
      <c r="M1965" t="s">
        <v>23</v>
      </c>
      <c r="N1965" s="3">
        <v>186</v>
      </c>
      <c r="O1965" t="s">
        <v>24</v>
      </c>
      <c r="P1965" t="s">
        <v>79</v>
      </c>
      <c r="R1965">
        <f>tblDailySchedule[[#This Row],[Capacity Approx]]*'[1]Load Factor Sheet June Acft  '!$B$5</f>
        <v>150.61772727272728</v>
      </c>
      <c r="S1965">
        <f>tblDailySchedule[[#This Row],[Capacity Approx]]*'[1]Load Factor Sheet June Acft  '!$D$5</f>
        <v>163.08818181818182</v>
      </c>
      <c r="T1965" s="22">
        <f>tblDailySchedule[[#This Row],[STD]]</f>
        <v>0.88888888888888884</v>
      </c>
    </row>
    <row r="1966" spans="1:20" hidden="1" x14ac:dyDescent="0.35">
      <c r="A1966" s="11">
        <v>46180</v>
      </c>
      <c r="B1966" s="3">
        <v>7</v>
      </c>
      <c r="C1966" t="s">
        <v>17</v>
      </c>
      <c r="D1966" t="s">
        <v>18</v>
      </c>
      <c r="E1966" s="3">
        <v>27</v>
      </c>
      <c r="F1966" t="s">
        <v>19</v>
      </c>
      <c r="G1966" t="s">
        <v>95</v>
      </c>
      <c r="H1966" t="s">
        <v>21</v>
      </c>
      <c r="I1966" s="12">
        <v>0.86805555555555558</v>
      </c>
      <c r="J1966" t="s">
        <v>96</v>
      </c>
      <c r="K1966" t="s">
        <v>21</v>
      </c>
      <c r="L1966" s="12">
        <v>0.89583333333333337</v>
      </c>
      <c r="M1966" t="s">
        <v>29</v>
      </c>
      <c r="N1966" s="3">
        <v>186</v>
      </c>
      <c r="O1966" t="s">
        <v>24</v>
      </c>
      <c r="P1966" t="s">
        <v>79</v>
      </c>
      <c r="R1966">
        <f>tblDailySchedule[[#This Row],[Capacity Approx]]*'[1]Load Factor Sheet June Acft  '!$B$5</f>
        <v>150.61772727272728</v>
      </c>
      <c r="S1966">
        <f>tblDailySchedule[[#This Row],[Capacity Approx]]*'[1]Load Factor Sheet June Acft  '!$D$5</f>
        <v>163.08818181818182</v>
      </c>
      <c r="T1966" s="22">
        <f>tblDailySchedule[[#This Row],[STD]]</f>
        <v>0.89583333333333337</v>
      </c>
    </row>
    <row r="1967" spans="1:20" hidden="1" x14ac:dyDescent="0.35">
      <c r="A1967" s="11">
        <v>46180</v>
      </c>
      <c r="B1967" s="3">
        <v>7</v>
      </c>
      <c r="C1967" t="s">
        <v>17</v>
      </c>
      <c r="D1967" t="s">
        <v>18</v>
      </c>
      <c r="E1967" s="3">
        <v>28</v>
      </c>
      <c r="F1967" t="s">
        <v>19</v>
      </c>
      <c r="G1967" t="s">
        <v>97</v>
      </c>
      <c r="H1967" t="s">
        <v>49</v>
      </c>
      <c r="I1967" s="12">
        <v>0.90277777777777779</v>
      </c>
      <c r="J1967" t="s">
        <v>97</v>
      </c>
      <c r="K1967" t="s">
        <v>61</v>
      </c>
      <c r="L1967" s="12">
        <v>0.92361111111111116</v>
      </c>
      <c r="M1967" t="s">
        <v>33</v>
      </c>
      <c r="N1967" s="3">
        <v>189</v>
      </c>
      <c r="O1967" t="s">
        <v>24</v>
      </c>
      <c r="P1967" t="s">
        <v>79</v>
      </c>
      <c r="R1967">
        <f>tblDailySchedule[[#This Row],[Capacity Approx]]*'[1]Load Factor Sheet June Acft  '!$B$5</f>
        <v>153.04704545454547</v>
      </c>
      <c r="S1967">
        <f>tblDailySchedule[[#This Row],[Capacity Approx]]*'[1]Load Factor Sheet June Acft  '!$D$5</f>
        <v>165.71863636363636</v>
      </c>
      <c r="T1967" s="22">
        <f>tblDailySchedule[[#This Row],[STD]]</f>
        <v>0.92361111111111116</v>
      </c>
    </row>
    <row r="1968" spans="1:20" hidden="1" x14ac:dyDescent="0.35">
      <c r="A1968" s="11">
        <v>46180</v>
      </c>
      <c r="B1968" s="3">
        <v>7</v>
      </c>
      <c r="C1968" t="s">
        <v>17</v>
      </c>
      <c r="D1968" t="s">
        <v>18</v>
      </c>
      <c r="E1968" s="3">
        <v>29</v>
      </c>
      <c r="F1968" t="s">
        <v>19</v>
      </c>
      <c r="G1968" t="s">
        <v>98</v>
      </c>
      <c r="H1968" t="s">
        <v>21</v>
      </c>
      <c r="I1968" s="12">
        <v>0.92013888888888884</v>
      </c>
      <c r="J1968" t="s">
        <v>99</v>
      </c>
      <c r="K1968" t="s">
        <v>21</v>
      </c>
      <c r="L1968" s="12">
        <v>0.94791666666666663</v>
      </c>
      <c r="M1968" t="s">
        <v>63</v>
      </c>
      <c r="N1968" s="3">
        <v>232</v>
      </c>
      <c r="O1968" t="s">
        <v>24</v>
      </c>
      <c r="P1968" t="s">
        <v>79</v>
      </c>
      <c r="R1968">
        <f>tblDailySchedule[[#This Row],[Capacity Approx]]*'[1]Load Factor Sheet June Acft  '!$B$5</f>
        <v>187.86727272727273</v>
      </c>
      <c r="S1968">
        <f>tblDailySchedule[[#This Row],[Capacity Approx]]*'[1]Load Factor Sheet June Acft  '!$D$5</f>
        <v>203.4218181818182</v>
      </c>
      <c r="T1968" s="22">
        <f>tblDailySchedule[[#This Row],[STD]]</f>
        <v>0.94791666666666663</v>
      </c>
    </row>
    <row r="1969" spans="1:20" hidden="1" x14ac:dyDescent="0.35">
      <c r="A1969" s="11">
        <v>46181</v>
      </c>
      <c r="B1969" s="3">
        <v>1</v>
      </c>
      <c r="C1969" t="s">
        <v>100</v>
      </c>
      <c r="D1969" t="s">
        <v>18</v>
      </c>
      <c r="E1969" s="3">
        <v>1</v>
      </c>
      <c r="F1969" t="s">
        <v>101</v>
      </c>
      <c r="G1969" t="s">
        <v>102</v>
      </c>
      <c r="H1969" t="s">
        <v>61</v>
      </c>
      <c r="I1969" s="12">
        <v>0.3125</v>
      </c>
      <c r="J1969" t="s">
        <v>103</v>
      </c>
      <c r="K1969" t="s">
        <v>61</v>
      </c>
      <c r="L1969" s="12">
        <v>0.33333333333333331</v>
      </c>
      <c r="M1969" t="s">
        <v>33</v>
      </c>
      <c r="N1969" s="3">
        <v>189</v>
      </c>
      <c r="O1969" t="s">
        <v>24</v>
      </c>
      <c r="P1969" t="s">
        <v>25</v>
      </c>
      <c r="R1969">
        <f>tblDailySchedule[[#This Row],[Capacity Approx]]*'[1]Load Factor Sheet June Acft  '!$B$5</f>
        <v>153.04704545454547</v>
      </c>
      <c r="S1969">
        <f>tblDailySchedule[[#This Row],[Capacity Approx]]*'[1]Load Factor Sheet June Acft  '!$D$5</f>
        <v>165.71863636363636</v>
      </c>
      <c r="T1969" s="22">
        <f>tblDailySchedule[[#This Row],[STD]]</f>
        <v>0.33333333333333331</v>
      </c>
    </row>
    <row r="1970" spans="1:20" hidden="1" x14ac:dyDescent="0.35">
      <c r="A1970" s="11">
        <v>46181</v>
      </c>
      <c r="B1970" s="3">
        <v>1</v>
      </c>
      <c r="C1970" t="s">
        <v>100</v>
      </c>
      <c r="D1970" t="s">
        <v>18</v>
      </c>
      <c r="E1970" s="3">
        <v>2</v>
      </c>
      <c r="F1970" t="s">
        <v>19</v>
      </c>
      <c r="G1970" t="s">
        <v>20</v>
      </c>
      <c r="H1970" t="s">
        <v>21</v>
      </c>
      <c r="I1970" s="12">
        <v>0.31944444444444442</v>
      </c>
      <c r="J1970" t="s">
        <v>22</v>
      </c>
      <c r="K1970" t="s">
        <v>21</v>
      </c>
      <c r="L1970" s="12">
        <v>0.34722222222222221</v>
      </c>
      <c r="M1970" t="s">
        <v>23</v>
      </c>
      <c r="N1970" s="3">
        <v>186</v>
      </c>
      <c r="O1970" t="s">
        <v>24</v>
      </c>
      <c r="P1970" t="s">
        <v>25</v>
      </c>
      <c r="R1970">
        <f>tblDailySchedule[[#This Row],[Capacity Approx]]*'[1]Load Factor Sheet June Acft  '!$B$5</f>
        <v>150.61772727272728</v>
      </c>
      <c r="S1970">
        <f>tblDailySchedule[[#This Row],[Capacity Approx]]*'[1]Load Factor Sheet June Acft  '!$D$5</f>
        <v>163.08818181818182</v>
      </c>
      <c r="T1970" s="22">
        <f>tblDailySchedule[[#This Row],[STD]]</f>
        <v>0.34722222222222221</v>
      </c>
    </row>
    <row r="1971" spans="1:20" hidden="1" x14ac:dyDescent="0.35">
      <c r="A1971" s="11">
        <v>46181</v>
      </c>
      <c r="B1971" s="3">
        <v>1</v>
      </c>
      <c r="C1971" t="s">
        <v>100</v>
      </c>
      <c r="D1971" t="s">
        <v>18</v>
      </c>
      <c r="E1971" s="3">
        <v>3</v>
      </c>
      <c r="F1971" t="s">
        <v>19</v>
      </c>
      <c r="G1971" t="s">
        <v>26</v>
      </c>
      <c r="H1971" t="s">
        <v>27</v>
      </c>
      <c r="I1971" s="12">
        <v>0.3263888888888889</v>
      </c>
      <c r="J1971" t="s">
        <v>28</v>
      </c>
      <c r="K1971" t="s">
        <v>27</v>
      </c>
      <c r="L1971" s="12">
        <v>0.35416666666666669</v>
      </c>
      <c r="M1971" t="s">
        <v>29</v>
      </c>
      <c r="N1971" s="3">
        <v>186</v>
      </c>
      <c r="O1971" t="s">
        <v>24</v>
      </c>
      <c r="P1971" t="s">
        <v>25</v>
      </c>
      <c r="R1971">
        <f>tblDailySchedule[[#This Row],[Capacity Approx]]*'[1]Load Factor Sheet June Acft  '!$B$5</f>
        <v>150.61772727272728</v>
      </c>
      <c r="S1971">
        <f>tblDailySchedule[[#This Row],[Capacity Approx]]*'[1]Load Factor Sheet June Acft  '!$D$5</f>
        <v>163.08818181818182</v>
      </c>
      <c r="T1971" s="22">
        <f>tblDailySchedule[[#This Row],[STD]]</f>
        <v>0.35416666666666669</v>
      </c>
    </row>
    <row r="1972" spans="1:20" hidden="1" x14ac:dyDescent="0.35">
      <c r="A1972" s="11">
        <v>46181</v>
      </c>
      <c r="B1972" s="3">
        <v>1</v>
      </c>
      <c r="C1972" t="s">
        <v>100</v>
      </c>
      <c r="D1972" t="s">
        <v>18</v>
      </c>
      <c r="E1972" s="3">
        <v>4</v>
      </c>
      <c r="F1972" t="s">
        <v>19</v>
      </c>
      <c r="G1972" t="s">
        <v>30</v>
      </c>
      <c r="H1972" t="s">
        <v>31</v>
      </c>
      <c r="I1972" s="12">
        <v>0.34722222222222221</v>
      </c>
      <c r="J1972" t="s">
        <v>32</v>
      </c>
      <c r="K1972" t="s">
        <v>31</v>
      </c>
      <c r="L1972" s="12">
        <v>0.36805555555555558</v>
      </c>
      <c r="M1972" t="s">
        <v>33</v>
      </c>
      <c r="N1972" s="3">
        <v>189</v>
      </c>
      <c r="O1972" t="s">
        <v>24</v>
      </c>
      <c r="P1972" t="s">
        <v>25</v>
      </c>
      <c r="R1972">
        <f>tblDailySchedule[[#This Row],[Capacity Approx]]*'[1]Load Factor Sheet June Acft  '!$B$5</f>
        <v>153.04704545454547</v>
      </c>
      <c r="S1972">
        <f>tblDailySchedule[[#This Row],[Capacity Approx]]*'[1]Load Factor Sheet June Acft  '!$D$5</f>
        <v>165.71863636363636</v>
      </c>
      <c r="T1972" s="22">
        <f>tblDailySchedule[[#This Row],[STD]]</f>
        <v>0.36805555555555558</v>
      </c>
    </row>
    <row r="1973" spans="1:20" hidden="1" x14ac:dyDescent="0.35">
      <c r="A1973" s="13">
        <v>46181</v>
      </c>
      <c r="B1973" s="7">
        <v>1</v>
      </c>
      <c r="C1973" s="14" t="s">
        <v>100</v>
      </c>
      <c r="D1973" s="14" t="s">
        <v>18</v>
      </c>
      <c r="E1973" s="7">
        <v>6</v>
      </c>
      <c r="F1973" s="14" t="s">
        <v>34</v>
      </c>
      <c r="G1973" s="14" t="s">
        <v>35</v>
      </c>
      <c r="H1973" s="14" t="s">
        <v>36</v>
      </c>
      <c r="I1973" s="15">
        <v>0.34722222222222221</v>
      </c>
      <c r="J1973" s="14" t="s">
        <v>37</v>
      </c>
      <c r="K1973" s="14" t="s">
        <v>36</v>
      </c>
      <c r="L1973" s="15">
        <v>0.40972222222222221</v>
      </c>
      <c r="M1973" s="14" t="s">
        <v>38</v>
      </c>
      <c r="N1973" s="7">
        <v>186</v>
      </c>
      <c r="O1973" s="14" t="s">
        <v>39</v>
      </c>
      <c r="P1973" s="14" t="s">
        <v>25</v>
      </c>
      <c r="Q1973" s="14" t="s">
        <v>39</v>
      </c>
      <c r="R1973">
        <f>tblDailySchedule[[#This Row],[Capacity Approx]]*'[1]Load Factor Sheet June Acft  '!$B$5</f>
        <v>150.61772727272728</v>
      </c>
      <c r="S1973">
        <f>tblDailySchedule[[#This Row],[Capacity Approx]]*'[1]Load Factor Sheet June Acft  '!$D$5</f>
        <v>163.08818181818182</v>
      </c>
      <c r="T1973" s="22">
        <f>tblDailySchedule[[#This Row],[STD]]</f>
        <v>0.40972222222222221</v>
      </c>
    </row>
    <row r="1974" spans="1:20" hidden="1" x14ac:dyDescent="0.35">
      <c r="A1974" s="11">
        <v>46181</v>
      </c>
      <c r="B1974" s="3">
        <v>1</v>
      </c>
      <c r="C1974" t="s">
        <v>100</v>
      </c>
      <c r="D1974" t="s">
        <v>18</v>
      </c>
      <c r="E1974" s="3">
        <v>5</v>
      </c>
      <c r="F1974" t="s">
        <v>19</v>
      </c>
      <c r="G1974" t="s">
        <v>40</v>
      </c>
      <c r="H1974" t="s">
        <v>31</v>
      </c>
      <c r="I1974" s="12">
        <v>0.35069444444444442</v>
      </c>
      <c r="J1974" t="s">
        <v>41</v>
      </c>
      <c r="K1974" t="s">
        <v>31</v>
      </c>
      <c r="L1974" s="12">
        <v>0.37152777777777779</v>
      </c>
      <c r="M1974" t="s">
        <v>23</v>
      </c>
      <c r="N1974" s="3">
        <v>186</v>
      </c>
      <c r="O1974" t="s">
        <v>24</v>
      </c>
      <c r="P1974" t="s">
        <v>25</v>
      </c>
      <c r="R1974">
        <f>tblDailySchedule[[#This Row],[Capacity Approx]]*'[1]Load Factor Sheet June Acft  '!$B$5</f>
        <v>150.61772727272728</v>
      </c>
      <c r="S1974">
        <f>tblDailySchedule[[#This Row],[Capacity Approx]]*'[1]Load Factor Sheet June Acft  '!$D$5</f>
        <v>163.08818181818182</v>
      </c>
      <c r="T1974" s="22">
        <f>tblDailySchedule[[#This Row],[STD]]</f>
        <v>0.37152777777777779</v>
      </c>
    </row>
    <row r="1975" spans="1:20" hidden="1" x14ac:dyDescent="0.35">
      <c r="A1975" s="11">
        <v>46181</v>
      </c>
      <c r="B1975" s="3">
        <v>1</v>
      </c>
      <c r="C1975" t="s">
        <v>100</v>
      </c>
      <c r="D1975" t="s">
        <v>18</v>
      </c>
      <c r="E1975" s="3">
        <v>7</v>
      </c>
      <c r="F1975" t="s">
        <v>19</v>
      </c>
      <c r="G1975" t="s">
        <v>42</v>
      </c>
      <c r="H1975" t="s">
        <v>43</v>
      </c>
      <c r="I1975" s="12">
        <v>0.3923611111111111</v>
      </c>
      <c r="J1975" t="s">
        <v>44</v>
      </c>
      <c r="K1975" t="s">
        <v>43</v>
      </c>
      <c r="L1975" s="12">
        <v>0.40277777777777779</v>
      </c>
      <c r="M1975" t="s">
        <v>45</v>
      </c>
      <c r="N1975" s="3">
        <v>9</v>
      </c>
      <c r="O1975" t="s">
        <v>24</v>
      </c>
      <c r="P1975" t="s">
        <v>25</v>
      </c>
      <c r="R1975">
        <f>tblDailySchedule[[#This Row],[Capacity Approx]]*'[1]Load Factor Sheet June Acft  '!$B$5</f>
        <v>7.2879545454545456</v>
      </c>
      <c r="S1975">
        <f>tblDailySchedule[[#This Row],[Capacity Approx]]*'[1]Load Factor Sheet June Acft  '!$D$5</f>
        <v>7.8913636363636366</v>
      </c>
      <c r="T1975" s="22">
        <f>tblDailySchedule[[#This Row],[STD]]</f>
        <v>0.40277777777777779</v>
      </c>
    </row>
    <row r="1976" spans="1:20" hidden="1" x14ac:dyDescent="0.35">
      <c r="A1976" s="11">
        <v>46181</v>
      </c>
      <c r="B1976" s="3">
        <v>1</v>
      </c>
      <c r="C1976" t="s">
        <v>100</v>
      </c>
      <c r="D1976" t="s">
        <v>18</v>
      </c>
      <c r="E1976" s="3">
        <v>8</v>
      </c>
      <c r="F1976" t="s">
        <v>19</v>
      </c>
      <c r="G1976" t="s">
        <v>46</v>
      </c>
      <c r="H1976" t="s">
        <v>31</v>
      </c>
      <c r="I1976" s="12">
        <v>0.4201388888888889</v>
      </c>
      <c r="J1976" t="s">
        <v>47</v>
      </c>
      <c r="K1976" t="s">
        <v>31</v>
      </c>
      <c r="L1976" s="12">
        <v>0.44444444444444442</v>
      </c>
      <c r="M1976" t="s">
        <v>29</v>
      </c>
      <c r="N1976" s="3">
        <v>186</v>
      </c>
      <c r="O1976" t="s">
        <v>24</v>
      </c>
      <c r="P1976" t="s">
        <v>25</v>
      </c>
      <c r="R1976">
        <f>tblDailySchedule[[#This Row],[Capacity Approx]]*'[1]Load Factor Sheet June Acft  '!$B$5</f>
        <v>150.61772727272728</v>
      </c>
      <c r="S1976">
        <f>tblDailySchedule[[#This Row],[Capacity Approx]]*'[1]Load Factor Sheet June Acft  '!$D$5</f>
        <v>163.08818181818182</v>
      </c>
      <c r="T1976" s="22">
        <f>tblDailySchedule[[#This Row],[STD]]</f>
        <v>0.44444444444444442</v>
      </c>
    </row>
    <row r="1977" spans="1:20" hidden="1" x14ac:dyDescent="0.35">
      <c r="A1977" s="11">
        <v>46181</v>
      </c>
      <c r="B1977" s="3">
        <v>1</v>
      </c>
      <c r="C1977" t="s">
        <v>100</v>
      </c>
      <c r="D1977" t="s">
        <v>18</v>
      </c>
      <c r="E1977" s="3">
        <v>9</v>
      </c>
      <c r="F1977" t="s">
        <v>19</v>
      </c>
      <c r="G1977" t="s">
        <v>48</v>
      </c>
      <c r="H1977" t="s">
        <v>49</v>
      </c>
      <c r="I1977" s="12">
        <v>0.4375</v>
      </c>
      <c r="J1977" t="s">
        <v>50</v>
      </c>
      <c r="K1977" t="s">
        <v>49</v>
      </c>
      <c r="L1977" s="12">
        <v>0.45833333333333331</v>
      </c>
      <c r="M1977" t="s">
        <v>51</v>
      </c>
      <c r="N1977" s="3">
        <v>78</v>
      </c>
      <c r="O1977" t="s">
        <v>24</v>
      </c>
      <c r="P1977" t="s">
        <v>25</v>
      </c>
      <c r="R1977">
        <f>tblDailySchedule[[#This Row],[Capacity Approx]]*'[1]Load Factor Sheet June Acft  '!$B$5</f>
        <v>63.162272727272729</v>
      </c>
      <c r="S1977">
        <f>tblDailySchedule[[#This Row],[Capacity Approx]]*'[1]Load Factor Sheet June Acft  '!$D$5</f>
        <v>68.391818181818181</v>
      </c>
      <c r="T1977" s="22">
        <f>tblDailySchedule[[#This Row],[STD]]</f>
        <v>0.45833333333333331</v>
      </c>
    </row>
    <row r="1978" spans="1:20" hidden="1" x14ac:dyDescent="0.35">
      <c r="A1978" s="11">
        <v>46181</v>
      </c>
      <c r="B1978" s="3">
        <v>1</v>
      </c>
      <c r="C1978" t="s">
        <v>100</v>
      </c>
      <c r="D1978" t="s">
        <v>18</v>
      </c>
      <c r="E1978" s="3">
        <v>10</v>
      </c>
      <c r="F1978" t="s">
        <v>19</v>
      </c>
      <c r="G1978" t="s">
        <v>52</v>
      </c>
      <c r="H1978" t="s">
        <v>27</v>
      </c>
      <c r="I1978" s="12">
        <v>0.4826388888888889</v>
      </c>
      <c r="J1978" t="s">
        <v>53</v>
      </c>
      <c r="K1978" t="s">
        <v>27</v>
      </c>
      <c r="L1978" s="12">
        <v>0.51041666666666663</v>
      </c>
      <c r="M1978" t="s">
        <v>23</v>
      </c>
      <c r="N1978" s="3">
        <v>186</v>
      </c>
      <c r="O1978" t="s">
        <v>24</v>
      </c>
      <c r="P1978" t="s">
        <v>25</v>
      </c>
      <c r="R1978">
        <f>tblDailySchedule[[#This Row],[Capacity Approx]]*'[1]Load Factor Sheet June Acft  '!$B$5</f>
        <v>150.61772727272728</v>
      </c>
      <c r="S1978">
        <f>tblDailySchedule[[#This Row],[Capacity Approx]]*'[1]Load Factor Sheet June Acft  '!$D$5</f>
        <v>163.08818181818182</v>
      </c>
      <c r="T1978" s="22">
        <f>tblDailySchedule[[#This Row],[STD]]</f>
        <v>0.51041666666666663</v>
      </c>
    </row>
    <row r="1979" spans="1:20" hidden="1" x14ac:dyDescent="0.35">
      <c r="A1979" s="11">
        <v>46181</v>
      </c>
      <c r="B1979" s="3">
        <v>1</v>
      </c>
      <c r="C1979" t="s">
        <v>100</v>
      </c>
      <c r="D1979" t="s">
        <v>18</v>
      </c>
      <c r="E1979" s="3">
        <v>11</v>
      </c>
      <c r="F1979" t="s">
        <v>19</v>
      </c>
      <c r="G1979" t="s">
        <v>54</v>
      </c>
      <c r="H1979" t="s">
        <v>31</v>
      </c>
      <c r="I1979" s="12">
        <v>0.51388888888888884</v>
      </c>
      <c r="J1979" t="s">
        <v>55</v>
      </c>
      <c r="K1979" t="s">
        <v>31</v>
      </c>
      <c r="L1979" s="12">
        <v>0.54166666666666663</v>
      </c>
      <c r="M1979" t="s">
        <v>23</v>
      </c>
      <c r="N1979" s="3">
        <v>186</v>
      </c>
      <c r="O1979" t="s">
        <v>24</v>
      </c>
      <c r="P1979" t="s">
        <v>56</v>
      </c>
      <c r="R1979">
        <f>tblDailySchedule[[#This Row],[Capacity Approx]]*'[1]Load Factor Sheet June Acft  '!$B$5</f>
        <v>150.61772727272728</v>
      </c>
      <c r="S1979">
        <f>tblDailySchedule[[#This Row],[Capacity Approx]]*'[1]Load Factor Sheet June Acft  '!$D$5</f>
        <v>163.08818181818182</v>
      </c>
      <c r="T1979" s="22">
        <f>tblDailySchedule[[#This Row],[STD]]</f>
        <v>0.54166666666666663</v>
      </c>
    </row>
    <row r="1980" spans="1:20" hidden="1" x14ac:dyDescent="0.35">
      <c r="A1980" s="11">
        <v>46181</v>
      </c>
      <c r="B1980" s="3">
        <v>1</v>
      </c>
      <c r="C1980" t="s">
        <v>100</v>
      </c>
      <c r="D1980" t="s">
        <v>18</v>
      </c>
      <c r="E1980" s="3">
        <v>13</v>
      </c>
      <c r="F1980" t="s">
        <v>19</v>
      </c>
      <c r="G1980" t="s">
        <v>57</v>
      </c>
      <c r="H1980" t="s">
        <v>58</v>
      </c>
      <c r="I1980" s="12">
        <v>0.55902777777777779</v>
      </c>
      <c r="J1980" t="s">
        <v>59</v>
      </c>
      <c r="K1980" t="s">
        <v>58</v>
      </c>
      <c r="L1980" s="12">
        <v>0.57638888888888884</v>
      </c>
      <c r="M1980" t="s">
        <v>51</v>
      </c>
      <c r="N1980" s="3">
        <v>78</v>
      </c>
      <c r="O1980" t="s">
        <v>24</v>
      </c>
      <c r="P1980" t="s">
        <v>56</v>
      </c>
      <c r="R1980">
        <f>tblDailySchedule[[#This Row],[Capacity Approx]]*'[1]Load Factor Sheet June Acft  '!$B$5</f>
        <v>63.162272727272729</v>
      </c>
      <c r="S1980">
        <f>tblDailySchedule[[#This Row],[Capacity Approx]]*'[1]Load Factor Sheet June Acft  '!$D$5</f>
        <v>68.391818181818181</v>
      </c>
      <c r="T1980" s="22">
        <f>tblDailySchedule[[#This Row],[STD]]</f>
        <v>0.57638888888888884</v>
      </c>
    </row>
    <row r="1981" spans="1:20" hidden="1" x14ac:dyDescent="0.35">
      <c r="A1981" s="11">
        <v>46181</v>
      </c>
      <c r="B1981" s="3">
        <v>1</v>
      </c>
      <c r="C1981" t="s">
        <v>100</v>
      </c>
      <c r="D1981" t="s">
        <v>18</v>
      </c>
      <c r="E1981" s="3">
        <v>14</v>
      </c>
      <c r="F1981" t="s">
        <v>19</v>
      </c>
      <c r="G1981" t="s">
        <v>60</v>
      </c>
      <c r="H1981" t="s">
        <v>61</v>
      </c>
      <c r="I1981" s="12">
        <v>0.59027777777777779</v>
      </c>
      <c r="J1981" t="s">
        <v>62</v>
      </c>
      <c r="K1981" t="s">
        <v>61</v>
      </c>
      <c r="L1981" s="12">
        <v>0.62152777777777779</v>
      </c>
      <c r="M1981" t="s">
        <v>63</v>
      </c>
      <c r="N1981" s="3">
        <v>232</v>
      </c>
      <c r="O1981" t="s">
        <v>24</v>
      </c>
      <c r="P1981" t="s">
        <v>56</v>
      </c>
      <c r="R1981">
        <f>tblDailySchedule[[#This Row],[Capacity Approx]]*'[1]Load Factor Sheet June Acft  '!$B$5</f>
        <v>187.86727272727273</v>
      </c>
      <c r="S1981">
        <f>tblDailySchedule[[#This Row],[Capacity Approx]]*'[1]Load Factor Sheet June Acft  '!$D$5</f>
        <v>203.4218181818182</v>
      </c>
      <c r="T1981" s="22">
        <f>tblDailySchedule[[#This Row],[STD]]</f>
        <v>0.62152777777777779</v>
      </c>
    </row>
    <row r="1982" spans="1:20" hidden="1" x14ac:dyDescent="0.35">
      <c r="A1982" s="11">
        <v>46181</v>
      </c>
      <c r="B1982" s="3">
        <v>1</v>
      </c>
      <c r="C1982" t="s">
        <v>100</v>
      </c>
      <c r="D1982" t="s">
        <v>18</v>
      </c>
      <c r="E1982" s="3">
        <v>15</v>
      </c>
      <c r="F1982" t="s">
        <v>19</v>
      </c>
      <c r="G1982" t="s">
        <v>64</v>
      </c>
      <c r="H1982" t="s">
        <v>31</v>
      </c>
      <c r="I1982" s="12">
        <v>0.60069444444444442</v>
      </c>
      <c r="J1982" t="s">
        <v>65</v>
      </c>
      <c r="K1982" t="s">
        <v>66</v>
      </c>
      <c r="L1982" s="12">
        <v>0.62847222222222221</v>
      </c>
      <c r="M1982" t="s">
        <v>63</v>
      </c>
      <c r="N1982" s="3">
        <v>232</v>
      </c>
      <c r="O1982" t="s">
        <v>24</v>
      </c>
      <c r="P1982" t="s">
        <v>56</v>
      </c>
      <c r="R1982">
        <f>tblDailySchedule[[#This Row],[Capacity Approx]]*'[1]Load Factor Sheet June Acft  '!$B$5</f>
        <v>187.86727272727273</v>
      </c>
      <c r="S1982">
        <f>tblDailySchedule[[#This Row],[Capacity Approx]]*'[1]Load Factor Sheet June Acft  '!$D$5</f>
        <v>203.4218181818182</v>
      </c>
      <c r="T1982" s="22">
        <f>tblDailySchedule[[#This Row],[STD]]</f>
        <v>0.62847222222222221</v>
      </c>
    </row>
    <row r="1983" spans="1:20" hidden="1" x14ac:dyDescent="0.35">
      <c r="A1983" s="11">
        <v>46181</v>
      </c>
      <c r="B1983" s="3">
        <v>1</v>
      </c>
      <c r="C1983" t="s">
        <v>100</v>
      </c>
      <c r="D1983" t="s">
        <v>18</v>
      </c>
      <c r="E1983" s="3">
        <v>16</v>
      </c>
      <c r="F1983" t="s">
        <v>19</v>
      </c>
      <c r="G1983" t="s">
        <v>67</v>
      </c>
      <c r="H1983" t="s">
        <v>31</v>
      </c>
      <c r="I1983" s="12">
        <v>0.65625</v>
      </c>
      <c r="J1983" t="s">
        <v>68</v>
      </c>
      <c r="K1983" t="s">
        <v>31</v>
      </c>
      <c r="L1983" s="12">
        <v>0.68402777777777779</v>
      </c>
      <c r="M1983" t="s">
        <v>63</v>
      </c>
      <c r="N1983" s="3">
        <v>232</v>
      </c>
      <c r="O1983" t="s">
        <v>24</v>
      </c>
      <c r="P1983" t="s">
        <v>56</v>
      </c>
      <c r="R1983">
        <f>tblDailySchedule[[#This Row],[Capacity Approx]]*'[1]Load Factor Sheet June Acft  '!$B$5</f>
        <v>187.86727272727273</v>
      </c>
      <c r="S1983">
        <f>tblDailySchedule[[#This Row],[Capacity Approx]]*'[1]Load Factor Sheet June Acft  '!$D$5</f>
        <v>203.4218181818182</v>
      </c>
      <c r="T1983" s="22">
        <f>tblDailySchedule[[#This Row],[STD]]</f>
        <v>0.68402777777777779</v>
      </c>
    </row>
    <row r="1984" spans="1:20" hidden="1" x14ac:dyDescent="0.35">
      <c r="A1984" s="11">
        <v>46181</v>
      </c>
      <c r="B1984" s="3">
        <v>1</v>
      </c>
      <c r="C1984" t="s">
        <v>100</v>
      </c>
      <c r="D1984" t="s">
        <v>18</v>
      </c>
      <c r="E1984" s="3">
        <v>17</v>
      </c>
      <c r="F1984" t="s">
        <v>19</v>
      </c>
      <c r="G1984" t="s">
        <v>69</v>
      </c>
      <c r="H1984" t="s">
        <v>31</v>
      </c>
      <c r="I1984" s="12">
        <v>0.66319444444444442</v>
      </c>
      <c r="J1984" t="s">
        <v>70</v>
      </c>
      <c r="K1984" t="s">
        <v>31</v>
      </c>
      <c r="L1984" s="12">
        <v>0.69097222222222221</v>
      </c>
      <c r="M1984" t="s">
        <v>33</v>
      </c>
      <c r="N1984" s="3">
        <v>189</v>
      </c>
      <c r="O1984" t="s">
        <v>24</v>
      </c>
      <c r="P1984" t="s">
        <v>56</v>
      </c>
      <c r="R1984">
        <f>tblDailySchedule[[#This Row],[Capacity Approx]]*'[1]Load Factor Sheet June Acft  '!$B$5</f>
        <v>153.04704545454547</v>
      </c>
      <c r="S1984">
        <f>tblDailySchedule[[#This Row],[Capacity Approx]]*'[1]Load Factor Sheet June Acft  '!$D$5</f>
        <v>165.71863636363636</v>
      </c>
      <c r="T1984" s="22">
        <f>tblDailySchedule[[#This Row],[STD]]</f>
        <v>0.69097222222222221</v>
      </c>
    </row>
    <row r="1985" spans="1:20" hidden="1" x14ac:dyDescent="0.35">
      <c r="A1985" s="11">
        <v>46181</v>
      </c>
      <c r="B1985" s="3">
        <v>1</v>
      </c>
      <c r="C1985" t="s">
        <v>100</v>
      </c>
      <c r="D1985" t="s">
        <v>18</v>
      </c>
      <c r="E1985" s="3">
        <v>18</v>
      </c>
      <c r="F1985" t="s">
        <v>19</v>
      </c>
      <c r="G1985" t="s">
        <v>71</v>
      </c>
      <c r="H1985" t="s">
        <v>21</v>
      </c>
      <c r="I1985" s="12">
        <v>0.67013888888888884</v>
      </c>
      <c r="J1985" t="s">
        <v>72</v>
      </c>
      <c r="K1985" t="s">
        <v>21</v>
      </c>
      <c r="L1985" s="12">
        <v>0.69791666666666663</v>
      </c>
      <c r="M1985" t="s">
        <v>63</v>
      </c>
      <c r="N1985" s="3">
        <v>232</v>
      </c>
      <c r="O1985" t="s">
        <v>24</v>
      </c>
      <c r="P1985" t="s">
        <v>56</v>
      </c>
      <c r="R1985">
        <f>tblDailySchedule[[#This Row],[Capacity Approx]]*'[1]Load Factor Sheet June Acft  '!$B$5</f>
        <v>187.86727272727273</v>
      </c>
      <c r="S1985">
        <f>tblDailySchedule[[#This Row],[Capacity Approx]]*'[1]Load Factor Sheet June Acft  '!$D$5</f>
        <v>203.4218181818182</v>
      </c>
      <c r="T1985" s="22">
        <f>tblDailySchedule[[#This Row],[STD]]</f>
        <v>0.69791666666666663</v>
      </c>
    </row>
    <row r="1986" spans="1:20" hidden="1" x14ac:dyDescent="0.35">
      <c r="A1986" s="11">
        <v>46181</v>
      </c>
      <c r="B1986" s="3">
        <v>1</v>
      </c>
      <c r="C1986" t="s">
        <v>100</v>
      </c>
      <c r="D1986" t="s">
        <v>18</v>
      </c>
      <c r="E1986" s="3">
        <v>19</v>
      </c>
      <c r="F1986" t="s">
        <v>19</v>
      </c>
      <c r="G1986" t="s">
        <v>73</v>
      </c>
      <c r="H1986" t="s">
        <v>27</v>
      </c>
      <c r="I1986" s="12">
        <v>0.74652777777777779</v>
      </c>
      <c r="J1986" t="s">
        <v>74</v>
      </c>
      <c r="K1986" t="s">
        <v>27</v>
      </c>
      <c r="L1986" s="12">
        <v>0.77430555555555558</v>
      </c>
      <c r="M1986" t="s">
        <v>63</v>
      </c>
      <c r="N1986" s="3">
        <v>232</v>
      </c>
      <c r="O1986" t="s">
        <v>24</v>
      </c>
      <c r="P1986" t="s">
        <v>56</v>
      </c>
      <c r="R1986">
        <f>tblDailySchedule[[#This Row],[Capacity Approx]]*'[1]Load Factor Sheet June Acft  '!$B$5</f>
        <v>187.86727272727273</v>
      </c>
      <c r="S1986">
        <f>tblDailySchedule[[#This Row],[Capacity Approx]]*'[1]Load Factor Sheet June Acft  '!$D$5</f>
        <v>203.4218181818182</v>
      </c>
      <c r="T1986" s="22">
        <f>tblDailySchedule[[#This Row],[STD]]</f>
        <v>0.77430555555555558</v>
      </c>
    </row>
    <row r="1987" spans="1:20" hidden="1" x14ac:dyDescent="0.35">
      <c r="A1987" s="11">
        <v>46181</v>
      </c>
      <c r="B1987" s="3">
        <v>1</v>
      </c>
      <c r="C1987" t="s">
        <v>100</v>
      </c>
      <c r="D1987" t="s">
        <v>18</v>
      </c>
      <c r="E1987" s="3">
        <v>20</v>
      </c>
      <c r="F1987" t="s">
        <v>34</v>
      </c>
      <c r="G1987" t="s">
        <v>75</v>
      </c>
      <c r="H1987" t="s">
        <v>76</v>
      </c>
      <c r="I1987" s="12">
        <v>0.76388888888888884</v>
      </c>
      <c r="J1987" t="s">
        <v>77</v>
      </c>
      <c r="K1987" t="s">
        <v>78</v>
      </c>
      <c r="L1987" s="12">
        <v>0.78472222222222221</v>
      </c>
      <c r="M1987" t="s">
        <v>51</v>
      </c>
      <c r="N1987" s="3">
        <v>78</v>
      </c>
      <c r="O1987" t="s">
        <v>24</v>
      </c>
      <c r="P1987" t="s">
        <v>79</v>
      </c>
      <c r="Q1987" s="16" t="s">
        <v>80</v>
      </c>
      <c r="R1987">
        <f>tblDailySchedule[[#This Row],[Capacity Approx]]*'[1]Load Factor Sheet June Acft  '!$B$5</f>
        <v>63.162272727272729</v>
      </c>
      <c r="S1987">
        <f>tblDailySchedule[[#This Row],[Capacity Approx]]*'[1]Load Factor Sheet June Acft  '!$D$5</f>
        <v>68.391818181818181</v>
      </c>
      <c r="T1987" s="22">
        <f>tblDailySchedule[[#This Row],[STD]]</f>
        <v>0.78472222222222221</v>
      </c>
    </row>
    <row r="1988" spans="1:20" hidden="1" x14ac:dyDescent="0.35">
      <c r="A1988" s="11">
        <v>46181</v>
      </c>
      <c r="B1988" s="3">
        <v>1</v>
      </c>
      <c r="C1988" t="s">
        <v>100</v>
      </c>
      <c r="D1988" t="s">
        <v>18</v>
      </c>
      <c r="E1988" s="3">
        <v>21</v>
      </c>
      <c r="F1988" t="s">
        <v>19</v>
      </c>
      <c r="G1988" t="s">
        <v>81</v>
      </c>
      <c r="H1988" t="s">
        <v>61</v>
      </c>
      <c r="I1988" s="12">
        <v>0.77083333333333337</v>
      </c>
      <c r="J1988" t="s">
        <v>82</v>
      </c>
      <c r="K1988" t="s">
        <v>49</v>
      </c>
      <c r="L1988" s="12">
        <v>0.79166666666666663</v>
      </c>
      <c r="M1988" t="s">
        <v>33</v>
      </c>
      <c r="N1988" s="3">
        <v>189</v>
      </c>
      <c r="O1988" t="s">
        <v>24</v>
      </c>
      <c r="P1988" t="s">
        <v>79</v>
      </c>
      <c r="R1988">
        <f>tblDailySchedule[[#This Row],[Capacity Approx]]*'[1]Load Factor Sheet June Acft  '!$B$5</f>
        <v>153.04704545454547</v>
      </c>
      <c r="S1988">
        <f>tblDailySchedule[[#This Row],[Capacity Approx]]*'[1]Load Factor Sheet June Acft  '!$D$5</f>
        <v>165.71863636363636</v>
      </c>
      <c r="T1988" s="22">
        <f>tblDailySchedule[[#This Row],[STD]]</f>
        <v>0.79166666666666663</v>
      </c>
    </row>
    <row r="1989" spans="1:20" hidden="1" x14ac:dyDescent="0.35">
      <c r="A1989" s="11">
        <v>46181</v>
      </c>
      <c r="B1989" s="3">
        <v>1</v>
      </c>
      <c r="C1989" t="s">
        <v>100</v>
      </c>
      <c r="D1989" t="s">
        <v>18</v>
      </c>
      <c r="E1989" s="3">
        <v>22</v>
      </c>
      <c r="F1989" t="s">
        <v>19</v>
      </c>
      <c r="G1989" t="s">
        <v>83</v>
      </c>
      <c r="H1989" t="s">
        <v>31</v>
      </c>
      <c r="I1989" s="12">
        <v>0.77777777777777779</v>
      </c>
      <c r="J1989" t="s">
        <v>84</v>
      </c>
      <c r="K1989" t="s">
        <v>31</v>
      </c>
      <c r="L1989" s="12">
        <v>0.80555555555555558</v>
      </c>
      <c r="M1989" t="s">
        <v>63</v>
      </c>
      <c r="N1989" s="3">
        <v>232</v>
      </c>
      <c r="O1989" t="s">
        <v>24</v>
      </c>
      <c r="P1989" t="s">
        <v>79</v>
      </c>
      <c r="R1989">
        <f>tblDailySchedule[[#This Row],[Capacity Approx]]*'[1]Load Factor Sheet June Acft  '!$B$5</f>
        <v>187.86727272727273</v>
      </c>
      <c r="S1989">
        <f>tblDailySchedule[[#This Row],[Capacity Approx]]*'[1]Load Factor Sheet June Acft  '!$D$5</f>
        <v>203.4218181818182</v>
      </c>
      <c r="T1989" s="22">
        <f>tblDailySchedule[[#This Row],[STD]]</f>
        <v>0.80555555555555558</v>
      </c>
    </row>
    <row r="1990" spans="1:20" hidden="1" x14ac:dyDescent="0.35">
      <c r="A1990" s="11">
        <v>46181</v>
      </c>
      <c r="B1990" s="3">
        <v>1</v>
      </c>
      <c r="C1990" t="s">
        <v>100</v>
      </c>
      <c r="D1990" t="s">
        <v>18</v>
      </c>
      <c r="E1990" s="3">
        <v>23</v>
      </c>
      <c r="F1990" t="s">
        <v>19</v>
      </c>
      <c r="G1990" t="s">
        <v>85</v>
      </c>
      <c r="H1990" t="s">
        <v>86</v>
      </c>
      <c r="I1990" s="12">
        <v>0.79861111111111116</v>
      </c>
      <c r="J1990" t="s">
        <v>87</v>
      </c>
      <c r="K1990" t="s">
        <v>86</v>
      </c>
      <c r="L1990" s="12">
        <v>0.82638888888888884</v>
      </c>
      <c r="M1990" t="s">
        <v>63</v>
      </c>
      <c r="N1990" s="3">
        <v>232</v>
      </c>
      <c r="O1990" t="s">
        <v>24</v>
      </c>
      <c r="P1990" t="s">
        <v>79</v>
      </c>
      <c r="R1990">
        <f>tblDailySchedule[[#This Row],[Capacity Approx]]*'[1]Load Factor Sheet June Acft  '!$B$5</f>
        <v>187.86727272727273</v>
      </c>
      <c r="S1990">
        <f>tblDailySchedule[[#This Row],[Capacity Approx]]*'[1]Load Factor Sheet June Acft  '!$D$5</f>
        <v>203.4218181818182</v>
      </c>
      <c r="T1990" s="22">
        <f>tblDailySchedule[[#This Row],[STD]]</f>
        <v>0.82638888888888884</v>
      </c>
    </row>
    <row r="1991" spans="1:20" hidden="1" x14ac:dyDescent="0.35">
      <c r="A1991" s="11">
        <v>46181</v>
      </c>
      <c r="B1991" s="3">
        <v>1</v>
      </c>
      <c r="C1991" t="s">
        <v>100</v>
      </c>
      <c r="D1991" t="s">
        <v>18</v>
      </c>
      <c r="E1991" s="3">
        <v>24</v>
      </c>
      <c r="F1991" t="s">
        <v>19</v>
      </c>
      <c r="G1991" t="s">
        <v>88</v>
      </c>
      <c r="H1991" t="s">
        <v>89</v>
      </c>
      <c r="I1991" s="12">
        <v>0.83333333333333337</v>
      </c>
      <c r="J1991" t="s">
        <v>90</v>
      </c>
      <c r="K1991" t="s">
        <v>31</v>
      </c>
      <c r="L1991" s="12">
        <v>0.86111111111111116</v>
      </c>
      <c r="M1991" t="s">
        <v>63</v>
      </c>
      <c r="N1991" s="3">
        <v>232</v>
      </c>
      <c r="O1991" t="s">
        <v>24</v>
      </c>
      <c r="P1991" t="s">
        <v>79</v>
      </c>
      <c r="R1991">
        <f>tblDailySchedule[[#This Row],[Capacity Approx]]*'[1]Load Factor Sheet June Acft  '!$B$5</f>
        <v>187.86727272727273</v>
      </c>
      <c r="S1991">
        <f>tblDailySchedule[[#This Row],[Capacity Approx]]*'[1]Load Factor Sheet June Acft  '!$D$5</f>
        <v>203.4218181818182</v>
      </c>
      <c r="T1991" s="22">
        <f>tblDailySchedule[[#This Row],[STD]]</f>
        <v>0.86111111111111116</v>
      </c>
    </row>
    <row r="1992" spans="1:20" hidden="1" x14ac:dyDescent="0.35">
      <c r="A1992" s="11">
        <v>46181</v>
      </c>
      <c r="B1992" s="3">
        <v>1</v>
      </c>
      <c r="C1992" t="s">
        <v>100</v>
      </c>
      <c r="D1992" t="s">
        <v>18</v>
      </c>
      <c r="E1992" s="3">
        <v>25</v>
      </c>
      <c r="F1992" t="s">
        <v>19</v>
      </c>
      <c r="G1992" t="s">
        <v>91</v>
      </c>
      <c r="H1992" t="s">
        <v>61</v>
      </c>
      <c r="I1992" s="12">
        <v>0.85416666666666663</v>
      </c>
      <c r="J1992" t="s">
        <v>92</v>
      </c>
      <c r="K1992" t="s">
        <v>61</v>
      </c>
      <c r="L1992" s="12">
        <v>0.88194444444444442</v>
      </c>
      <c r="M1992" t="s">
        <v>63</v>
      </c>
      <c r="N1992" s="3">
        <v>232</v>
      </c>
      <c r="O1992" t="s">
        <v>24</v>
      </c>
      <c r="P1992" t="s">
        <v>79</v>
      </c>
      <c r="R1992">
        <f>tblDailySchedule[[#This Row],[Capacity Approx]]*'[1]Load Factor Sheet June Acft  '!$B$5</f>
        <v>187.86727272727273</v>
      </c>
      <c r="S1992">
        <f>tblDailySchedule[[#This Row],[Capacity Approx]]*'[1]Load Factor Sheet June Acft  '!$D$5</f>
        <v>203.4218181818182</v>
      </c>
      <c r="T1992" s="22">
        <f>tblDailySchedule[[#This Row],[STD]]</f>
        <v>0.88194444444444442</v>
      </c>
    </row>
    <row r="1993" spans="1:20" hidden="1" x14ac:dyDescent="0.35">
      <c r="A1993" s="11">
        <v>46181</v>
      </c>
      <c r="B1993" s="3">
        <v>1</v>
      </c>
      <c r="C1993" t="s">
        <v>100</v>
      </c>
      <c r="D1993" t="s">
        <v>18</v>
      </c>
      <c r="E1993" s="3">
        <v>26</v>
      </c>
      <c r="F1993" t="s">
        <v>19</v>
      </c>
      <c r="G1993" t="s">
        <v>93</v>
      </c>
      <c r="H1993" t="s">
        <v>31</v>
      </c>
      <c r="I1993" s="12">
        <v>0.86111111111111116</v>
      </c>
      <c r="J1993" t="s">
        <v>94</v>
      </c>
      <c r="K1993" t="s">
        <v>31</v>
      </c>
      <c r="L1993" s="12">
        <v>0.88888888888888884</v>
      </c>
      <c r="M1993" t="s">
        <v>23</v>
      </c>
      <c r="N1993" s="3">
        <v>186</v>
      </c>
      <c r="O1993" t="s">
        <v>24</v>
      </c>
      <c r="P1993" t="s">
        <v>79</v>
      </c>
      <c r="R1993">
        <f>tblDailySchedule[[#This Row],[Capacity Approx]]*'[1]Load Factor Sheet June Acft  '!$B$5</f>
        <v>150.61772727272728</v>
      </c>
      <c r="S1993">
        <f>tblDailySchedule[[#This Row],[Capacity Approx]]*'[1]Load Factor Sheet June Acft  '!$D$5</f>
        <v>163.08818181818182</v>
      </c>
      <c r="T1993" s="22">
        <f>tblDailySchedule[[#This Row],[STD]]</f>
        <v>0.88888888888888884</v>
      </c>
    </row>
    <row r="1994" spans="1:20" hidden="1" x14ac:dyDescent="0.35">
      <c r="A1994" s="11">
        <v>46181</v>
      </c>
      <c r="B1994" s="3">
        <v>1</v>
      </c>
      <c r="C1994" t="s">
        <v>100</v>
      </c>
      <c r="D1994" t="s">
        <v>18</v>
      </c>
      <c r="E1994" s="3">
        <v>27</v>
      </c>
      <c r="F1994" t="s">
        <v>19</v>
      </c>
      <c r="G1994" t="s">
        <v>95</v>
      </c>
      <c r="H1994" t="s">
        <v>21</v>
      </c>
      <c r="I1994" s="12">
        <v>0.86805555555555558</v>
      </c>
      <c r="J1994" t="s">
        <v>96</v>
      </c>
      <c r="K1994" t="s">
        <v>21</v>
      </c>
      <c r="L1994" s="12">
        <v>0.89583333333333337</v>
      </c>
      <c r="M1994" t="s">
        <v>29</v>
      </c>
      <c r="N1994" s="3">
        <v>186</v>
      </c>
      <c r="O1994" t="s">
        <v>24</v>
      </c>
      <c r="P1994" t="s">
        <v>79</v>
      </c>
      <c r="R1994">
        <f>tblDailySchedule[[#This Row],[Capacity Approx]]*'[1]Load Factor Sheet June Acft  '!$B$5</f>
        <v>150.61772727272728</v>
      </c>
      <c r="S1994">
        <f>tblDailySchedule[[#This Row],[Capacity Approx]]*'[1]Load Factor Sheet June Acft  '!$D$5</f>
        <v>163.08818181818182</v>
      </c>
      <c r="T1994" s="22">
        <f>tblDailySchedule[[#This Row],[STD]]</f>
        <v>0.89583333333333337</v>
      </c>
    </row>
    <row r="1995" spans="1:20" hidden="1" x14ac:dyDescent="0.35">
      <c r="A1995" s="11">
        <v>46181</v>
      </c>
      <c r="B1995" s="3">
        <v>1</v>
      </c>
      <c r="C1995" t="s">
        <v>100</v>
      </c>
      <c r="D1995" t="s">
        <v>18</v>
      </c>
      <c r="E1995" s="3">
        <v>28</v>
      </c>
      <c r="F1995" t="s">
        <v>19</v>
      </c>
      <c r="G1995" t="s">
        <v>97</v>
      </c>
      <c r="H1995" t="s">
        <v>49</v>
      </c>
      <c r="I1995" s="12">
        <v>0.90277777777777779</v>
      </c>
      <c r="J1995" t="s">
        <v>97</v>
      </c>
      <c r="K1995" t="s">
        <v>61</v>
      </c>
      <c r="L1995" s="12">
        <v>0.92361111111111116</v>
      </c>
      <c r="M1995" t="s">
        <v>33</v>
      </c>
      <c r="N1995" s="3">
        <v>189</v>
      </c>
      <c r="O1995" t="s">
        <v>24</v>
      </c>
      <c r="P1995" t="s">
        <v>79</v>
      </c>
      <c r="R1995">
        <f>tblDailySchedule[[#This Row],[Capacity Approx]]*'[1]Load Factor Sheet June Acft  '!$B$5</f>
        <v>153.04704545454547</v>
      </c>
      <c r="S1995">
        <f>tblDailySchedule[[#This Row],[Capacity Approx]]*'[1]Load Factor Sheet June Acft  '!$D$5</f>
        <v>165.71863636363636</v>
      </c>
      <c r="T1995" s="22">
        <f>tblDailySchedule[[#This Row],[STD]]</f>
        <v>0.92361111111111116</v>
      </c>
    </row>
    <row r="1996" spans="1:20" hidden="1" x14ac:dyDescent="0.35">
      <c r="A1996" s="11">
        <v>46181</v>
      </c>
      <c r="B1996" s="3">
        <v>1</v>
      </c>
      <c r="C1996" t="s">
        <v>100</v>
      </c>
      <c r="D1996" t="s">
        <v>18</v>
      </c>
      <c r="E1996" s="3">
        <v>29</v>
      </c>
      <c r="F1996" t="s">
        <v>19</v>
      </c>
      <c r="G1996" t="s">
        <v>98</v>
      </c>
      <c r="H1996" t="s">
        <v>21</v>
      </c>
      <c r="I1996" s="12">
        <v>0.92013888888888884</v>
      </c>
      <c r="J1996" t="s">
        <v>99</v>
      </c>
      <c r="K1996" t="s">
        <v>21</v>
      </c>
      <c r="L1996" s="12">
        <v>0.94791666666666663</v>
      </c>
      <c r="M1996" t="s">
        <v>63</v>
      </c>
      <c r="N1996" s="3">
        <v>232</v>
      </c>
      <c r="O1996" t="s">
        <v>24</v>
      </c>
      <c r="P1996" t="s">
        <v>79</v>
      </c>
      <c r="R1996">
        <f>tblDailySchedule[[#This Row],[Capacity Approx]]*'[1]Load Factor Sheet June Acft  '!$B$5</f>
        <v>187.86727272727273</v>
      </c>
      <c r="S1996">
        <f>tblDailySchedule[[#This Row],[Capacity Approx]]*'[1]Load Factor Sheet June Acft  '!$D$5</f>
        <v>203.4218181818182</v>
      </c>
      <c r="T1996" s="22">
        <f>tblDailySchedule[[#This Row],[STD]]</f>
        <v>0.94791666666666663</v>
      </c>
    </row>
    <row r="1997" spans="1:20" hidden="1" x14ac:dyDescent="0.35">
      <c r="A1997" s="13">
        <v>46181</v>
      </c>
      <c r="B1997" s="7">
        <v>1</v>
      </c>
      <c r="C1997" s="14" t="s">
        <v>100</v>
      </c>
      <c r="D1997" s="14" t="s">
        <v>18</v>
      </c>
      <c r="E1997" s="7">
        <v>30</v>
      </c>
      <c r="F1997" s="14" t="s">
        <v>104</v>
      </c>
      <c r="G1997" s="14" t="s">
        <v>105</v>
      </c>
      <c r="H1997" s="14" t="s">
        <v>106</v>
      </c>
      <c r="I1997" s="15">
        <v>0.92708333333333337</v>
      </c>
      <c r="J1997" s="14" t="s">
        <v>107</v>
      </c>
      <c r="K1997" s="14" t="s">
        <v>106</v>
      </c>
      <c r="L1997" s="15">
        <v>0.95833333333333337</v>
      </c>
      <c r="M1997" s="14" t="s">
        <v>38</v>
      </c>
      <c r="N1997" s="7">
        <v>186</v>
      </c>
      <c r="O1997" s="14" t="s">
        <v>39</v>
      </c>
      <c r="P1997" s="14" t="s">
        <v>79</v>
      </c>
      <c r="Q1997" s="14" t="s">
        <v>39</v>
      </c>
      <c r="R1997">
        <f>tblDailySchedule[[#This Row],[Capacity Approx]]*'[1]Load Factor Sheet June Acft  '!$B$5</f>
        <v>150.61772727272728</v>
      </c>
      <c r="S1997">
        <f>tblDailySchedule[[#This Row],[Capacity Approx]]*'[1]Load Factor Sheet June Acft  '!$D$5</f>
        <v>163.08818181818182</v>
      </c>
      <c r="T1997" s="22">
        <f>tblDailySchedule[[#This Row],[STD]]</f>
        <v>0.95833333333333337</v>
      </c>
    </row>
    <row r="1998" spans="1:20" hidden="1" x14ac:dyDescent="0.35">
      <c r="A1998" s="11">
        <v>46182</v>
      </c>
      <c r="B1998" s="3">
        <v>2</v>
      </c>
      <c r="C1998" t="s">
        <v>108</v>
      </c>
      <c r="D1998" t="s">
        <v>18</v>
      </c>
      <c r="E1998" s="3">
        <v>1</v>
      </c>
      <c r="F1998" t="s">
        <v>101</v>
      </c>
      <c r="G1998" t="s">
        <v>102</v>
      </c>
      <c r="H1998" t="s">
        <v>61</v>
      </c>
      <c r="I1998" s="12">
        <v>0.3125</v>
      </c>
      <c r="J1998" t="s">
        <v>103</v>
      </c>
      <c r="K1998" t="s">
        <v>61</v>
      </c>
      <c r="L1998" s="12">
        <v>0.33333333333333331</v>
      </c>
      <c r="M1998" t="s">
        <v>33</v>
      </c>
      <c r="N1998" s="3">
        <v>189</v>
      </c>
      <c r="O1998" t="s">
        <v>24</v>
      </c>
      <c r="P1998" t="s">
        <v>25</v>
      </c>
      <c r="R1998">
        <f>tblDailySchedule[[#This Row],[Capacity Approx]]*'[1]Load Factor Sheet June Acft  '!$B$5</f>
        <v>153.04704545454547</v>
      </c>
      <c r="S1998">
        <f>tblDailySchedule[[#This Row],[Capacity Approx]]*'[1]Load Factor Sheet June Acft  '!$D$5</f>
        <v>165.71863636363636</v>
      </c>
      <c r="T1998" s="22">
        <f>tblDailySchedule[[#This Row],[STD]]</f>
        <v>0.33333333333333331</v>
      </c>
    </row>
    <row r="1999" spans="1:20" hidden="1" x14ac:dyDescent="0.35">
      <c r="A1999" s="11">
        <v>46182</v>
      </c>
      <c r="B1999" s="3">
        <v>2</v>
      </c>
      <c r="C1999" t="s">
        <v>108</v>
      </c>
      <c r="D1999" t="s">
        <v>18</v>
      </c>
      <c r="E1999" s="3">
        <v>2</v>
      </c>
      <c r="F1999" t="s">
        <v>19</v>
      </c>
      <c r="G1999" t="s">
        <v>20</v>
      </c>
      <c r="H1999" t="s">
        <v>21</v>
      </c>
      <c r="I1999" s="12">
        <v>0.31944444444444442</v>
      </c>
      <c r="J1999" t="s">
        <v>22</v>
      </c>
      <c r="K1999" t="s">
        <v>21</v>
      </c>
      <c r="L1999" s="12">
        <v>0.34722222222222221</v>
      </c>
      <c r="M1999" t="s">
        <v>23</v>
      </c>
      <c r="N1999" s="3">
        <v>186</v>
      </c>
      <c r="O1999" t="s">
        <v>24</v>
      </c>
      <c r="P1999" t="s">
        <v>25</v>
      </c>
      <c r="R1999">
        <f>tblDailySchedule[[#This Row],[Capacity Approx]]*'[1]Load Factor Sheet June Acft  '!$B$5</f>
        <v>150.61772727272728</v>
      </c>
      <c r="S1999">
        <f>tblDailySchedule[[#This Row],[Capacity Approx]]*'[1]Load Factor Sheet June Acft  '!$D$5</f>
        <v>163.08818181818182</v>
      </c>
      <c r="T1999" s="22">
        <f>tblDailySchedule[[#This Row],[STD]]</f>
        <v>0.34722222222222221</v>
      </c>
    </row>
    <row r="2000" spans="1:20" hidden="1" x14ac:dyDescent="0.35">
      <c r="A2000" s="11">
        <v>46182</v>
      </c>
      <c r="B2000" s="3">
        <v>2</v>
      </c>
      <c r="C2000" t="s">
        <v>108</v>
      </c>
      <c r="D2000" t="s">
        <v>18</v>
      </c>
      <c r="E2000" s="3">
        <v>3</v>
      </c>
      <c r="F2000" t="s">
        <v>19</v>
      </c>
      <c r="G2000" t="s">
        <v>26</v>
      </c>
      <c r="H2000" t="s">
        <v>27</v>
      </c>
      <c r="I2000" s="12">
        <v>0.3263888888888889</v>
      </c>
      <c r="J2000" t="s">
        <v>28</v>
      </c>
      <c r="K2000" t="s">
        <v>27</v>
      </c>
      <c r="L2000" s="12">
        <v>0.35416666666666669</v>
      </c>
      <c r="M2000" t="s">
        <v>29</v>
      </c>
      <c r="N2000" s="3">
        <v>186</v>
      </c>
      <c r="O2000" t="s">
        <v>24</v>
      </c>
      <c r="P2000" t="s">
        <v>25</v>
      </c>
      <c r="R2000">
        <f>tblDailySchedule[[#This Row],[Capacity Approx]]*'[1]Load Factor Sheet June Acft  '!$B$5</f>
        <v>150.61772727272728</v>
      </c>
      <c r="S2000">
        <f>tblDailySchedule[[#This Row],[Capacity Approx]]*'[1]Load Factor Sheet June Acft  '!$D$5</f>
        <v>163.08818181818182</v>
      </c>
      <c r="T2000" s="22">
        <f>tblDailySchedule[[#This Row],[STD]]</f>
        <v>0.35416666666666669</v>
      </c>
    </row>
    <row r="2001" spans="1:20" hidden="1" x14ac:dyDescent="0.35">
      <c r="A2001" s="11">
        <v>46182</v>
      </c>
      <c r="B2001" s="3">
        <v>2</v>
      </c>
      <c r="C2001" t="s">
        <v>108</v>
      </c>
      <c r="D2001" t="s">
        <v>18</v>
      </c>
      <c r="E2001" s="3">
        <v>4</v>
      </c>
      <c r="F2001" t="s">
        <v>19</v>
      </c>
      <c r="G2001" t="s">
        <v>30</v>
      </c>
      <c r="H2001" t="s">
        <v>31</v>
      </c>
      <c r="I2001" s="12">
        <v>0.34722222222222221</v>
      </c>
      <c r="J2001" t="s">
        <v>32</v>
      </c>
      <c r="K2001" t="s">
        <v>31</v>
      </c>
      <c r="L2001" s="12">
        <v>0.36805555555555558</v>
      </c>
      <c r="M2001" t="s">
        <v>33</v>
      </c>
      <c r="N2001" s="3">
        <v>189</v>
      </c>
      <c r="O2001" t="s">
        <v>24</v>
      </c>
      <c r="P2001" t="s">
        <v>25</v>
      </c>
      <c r="R2001">
        <f>tblDailySchedule[[#This Row],[Capacity Approx]]*'[1]Load Factor Sheet June Acft  '!$B$5</f>
        <v>153.04704545454547</v>
      </c>
      <c r="S2001">
        <f>tblDailySchedule[[#This Row],[Capacity Approx]]*'[1]Load Factor Sheet June Acft  '!$D$5</f>
        <v>165.71863636363636</v>
      </c>
      <c r="T2001" s="22">
        <f>tblDailySchedule[[#This Row],[STD]]</f>
        <v>0.36805555555555558</v>
      </c>
    </row>
    <row r="2002" spans="1:20" hidden="1" x14ac:dyDescent="0.35">
      <c r="A2002" s="11">
        <v>46182</v>
      </c>
      <c r="B2002" s="3">
        <v>2</v>
      </c>
      <c r="C2002" t="s">
        <v>108</v>
      </c>
      <c r="D2002" t="s">
        <v>18</v>
      </c>
      <c r="E2002" s="3">
        <v>5</v>
      </c>
      <c r="F2002" t="s">
        <v>19</v>
      </c>
      <c r="G2002" t="s">
        <v>40</v>
      </c>
      <c r="H2002" t="s">
        <v>31</v>
      </c>
      <c r="I2002" s="12">
        <v>0.35069444444444442</v>
      </c>
      <c r="J2002" t="s">
        <v>41</v>
      </c>
      <c r="K2002" t="s">
        <v>31</v>
      </c>
      <c r="L2002" s="12">
        <v>0.37152777777777779</v>
      </c>
      <c r="M2002" t="s">
        <v>23</v>
      </c>
      <c r="N2002" s="3">
        <v>186</v>
      </c>
      <c r="O2002" t="s">
        <v>24</v>
      </c>
      <c r="P2002" t="s">
        <v>25</v>
      </c>
      <c r="R2002">
        <f>tblDailySchedule[[#This Row],[Capacity Approx]]*'[1]Load Factor Sheet June Acft  '!$B$5</f>
        <v>150.61772727272728</v>
      </c>
      <c r="S2002">
        <f>tblDailySchedule[[#This Row],[Capacity Approx]]*'[1]Load Factor Sheet June Acft  '!$D$5</f>
        <v>163.08818181818182</v>
      </c>
      <c r="T2002" s="22">
        <f>tblDailySchedule[[#This Row],[STD]]</f>
        <v>0.37152777777777779</v>
      </c>
    </row>
    <row r="2003" spans="1:20" hidden="1" x14ac:dyDescent="0.35">
      <c r="A2003" s="11">
        <v>46182</v>
      </c>
      <c r="B2003" s="3">
        <v>2</v>
      </c>
      <c r="C2003" t="s">
        <v>108</v>
      </c>
      <c r="D2003" t="s">
        <v>18</v>
      </c>
      <c r="E2003" s="3">
        <v>7</v>
      </c>
      <c r="F2003" t="s">
        <v>19</v>
      </c>
      <c r="G2003" t="s">
        <v>42</v>
      </c>
      <c r="H2003" t="s">
        <v>43</v>
      </c>
      <c r="I2003" s="12">
        <v>0.3923611111111111</v>
      </c>
      <c r="J2003" t="s">
        <v>44</v>
      </c>
      <c r="K2003" t="s">
        <v>43</v>
      </c>
      <c r="L2003" s="12">
        <v>0.40277777777777779</v>
      </c>
      <c r="M2003" t="s">
        <v>45</v>
      </c>
      <c r="N2003" s="3">
        <v>9</v>
      </c>
      <c r="O2003" t="s">
        <v>24</v>
      </c>
      <c r="P2003" t="s">
        <v>25</v>
      </c>
      <c r="R2003">
        <f>tblDailySchedule[[#This Row],[Capacity Approx]]*'[1]Load Factor Sheet June Acft  '!$B$5</f>
        <v>7.2879545454545456</v>
      </c>
      <c r="S2003">
        <f>tblDailySchedule[[#This Row],[Capacity Approx]]*'[1]Load Factor Sheet June Acft  '!$D$5</f>
        <v>7.8913636363636366</v>
      </c>
      <c r="T2003" s="22">
        <f>tblDailySchedule[[#This Row],[STD]]</f>
        <v>0.40277777777777779</v>
      </c>
    </row>
    <row r="2004" spans="1:20" hidden="1" x14ac:dyDescent="0.35">
      <c r="A2004" s="11">
        <v>46182</v>
      </c>
      <c r="B2004" s="3">
        <v>2</v>
      </c>
      <c r="C2004" t="s">
        <v>108</v>
      </c>
      <c r="D2004" t="s">
        <v>18</v>
      </c>
      <c r="E2004" s="3">
        <v>8</v>
      </c>
      <c r="F2004" t="s">
        <v>19</v>
      </c>
      <c r="G2004" t="s">
        <v>46</v>
      </c>
      <c r="H2004" t="s">
        <v>31</v>
      </c>
      <c r="I2004" s="12">
        <v>0.4201388888888889</v>
      </c>
      <c r="J2004" t="s">
        <v>47</v>
      </c>
      <c r="K2004" t="s">
        <v>31</v>
      </c>
      <c r="L2004" s="12">
        <v>0.44444444444444442</v>
      </c>
      <c r="M2004" t="s">
        <v>29</v>
      </c>
      <c r="N2004" s="3">
        <v>186</v>
      </c>
      <c r="O2004" t="s">
        <v>24</v>
      </c>
      <c r="P2004" t="s">
        <v>25</v>
      </c>
      <c r="R2004">
        <f>tblDailySchedule[[#This Row],[Capacity Approx]]*'[1]Load Factor Sheet June Acft  '!$B$5</f>
        <v>150.61772727272728</v>
      </c>
      <c r="S2004">
        <f>tblDailySchedule[[#This Row],[Capacity Approx]]*'[1]Load Factor Sheet June Acft  '!$D$5</f>
        <v>163.08818181818182</v>
      </c>
      <c r="T2004" s="22">
        <f>tblDailySchedule[[#This Row],[STD]]</f>
        <v>0.44444444444444442</v>
      </c>
    </row>
    <row r="2005" spans="1:20" hidden="1" x14ac:dyDescent="0.35">
      <c r="A2005" s="11">
        <v>46182</v>
      </c>
      <c r="B2005" s="3">
        <v>2</v>
      </c>
      <c r="C2005" t="s">
        <v>108</v>
      </c>
      <c r="D2005" t="s">
        <v>18</v>
      </c>
      <c r="E2005" s="3">
        <v>9</v>
      </c>
      <c r="F2005" t="s">
        <v>19</v>
      </c>
      <c r="G2005" t="s">
        <v>48</v>
      </c>
      <c r="H2005" t="s">
        <v>49</v>
      </c>
      <c r="I2005" s="12">
        <v>0.4375</v>
      </c>
      <c r="J2005" t="s">
        <v>50</v>
      </c>
      <c r="K2005" t="s">
        <v>49</v>
      </c>
      <c r="L2005" s="12">
        <v>0.45833333333333331</v>
      </c>
      <c r="M2005" t="s">
        <v>51</v>
      </c>
      <c r="N2005" s="3">
        <v>78</v>
      </c>
      <c r="O2005" t="s">
        <v>24</v>
      </c>
      <c r="P2005" t="s">
        <v>25</v>
      </c>
      <c r="R2005">
        <f>tblDailySchedule[[#This Row],[Capacity Approx]]*'[1]Load Factor Sheet June Acft  '!$B$5</f>
        <v>63.162272727272729</v>
      </c>
      <c r="S2005">
        <f>tblDailySchedule[[#This Row],[Capacity Approx]]*'[1]Load Factor Sheet June Acft  '!$D$5</f>
        <v>68.391818181818181</v>
      </c>
      <c r="T2005" s="22">
        <f>tblDailySchedule[[#This Row],[STD]]</f>
        <v>0.45833333333333331</v>
      </c>
    </row>
    <row r="2006" spans="1:20" hidden="1" x14ac:dyDescent="0.35">
      <c r="A2006" s="11">
        <v>46182</v>
      </c>
      <c r="B2006" s="3">
        <v>2</v>
      </c>
      <c r="C2006" t="s">
        <v>108</v>
      </c>
      <c r="D2006" t="s">
        <v>18</v>
      </c>
      <c r="E2006" s="3">
        <v>10</v>
      </c>
      <c r="F2006" t="s">
        <v>19</v>
      </c>
      <c r="G2006" t="s">
        <v>52</v>
      </c>
      <c r="H2006" t="s">
        <v>27</v>
      </c>
      <c r="I2006" s="12">
        <v>0.4826388888888889</v>
      </c>
      <c r="J2006" t="s">
        <v>53</v>
      </c>
      <c r="K2006" t="s">
        <v>27</v>
      </c>
      <c r="L2006" s="12">
        <v>0.51041666666666663</v>
      </c>
      <c r="M2006" t="s">
        <v>23</v>
      </c>
      <c r="N2006" s="3">
        <v>186</v>
      </c>
      <c r="O2006" t="s">
        <v>24</v>
      </c>
      <c r="P2006" t="s">
        <v>25</v>
      </c>
      <c r="R2006">
        <f>tblDailySchedule[[#This Row],[Capacity Approx]]*'[1]Load Factor Sheet June Acft  '!$B$5</f>
        <v>150.61772727272728</v>
      </c>
      <c r="S2006">
        <f>tblDailySchedule[[#This Row],[Capacity Approx]]*'[1]Load Factor Sheet June Acft  '!$D$5</f>
        <v>163.08818181818182</v>
      </c>
      <c r="T2006" s="22">
        <f>tblDailySchedule[[#This Row],[STD]]</f>
        <v>0.51041666666666663</v>
      </c>
    </row>
    <row r="2007" spans="1:20" hidden="1" x14ac:dyDescent="0.35">
      <c r="A2007" s="11">
        <v>46182</v>
      </c>
      <c r="B2007" s="3">
        <v>2</v>
      </c>
      <c r="C2007" t="s">
        <v>108</v>
      </c>
      <c r="D2007" t="s">
        <v>18</v>
      </c>
      <c r="E2007" s="3">
        <v>11</v>
      </c>
      <c r="F2007" t="s">
        <v>19</v>
      </c>
      <c r="G2007" t="s">
        <v>54</v>
      </c>
      <c r="H2007" t="s">
        <v>31</v>
      </c>
      <c r="I2007" s="12">
        <v>0.51388888888888884</v>
      </c>
      <c r="J2007" t="s">
        <v>55</v>
      </c>
      <c r="K2007" t="s">
        <v>31</v>
      </c>
      <c r="L2007" s="12">
        <v>0.54166666666666663</v>
      </c>
      <c r="M2007" t="s">
        <v>23</v>
      </c>
      <c r="N2007" s="3">
        <v>186</v>
      </c>
      <c r="O2007" t="s">
        <v>24</v>
      </c>
      <c r="P2007" t="s">
        <v>56</v>
      </c>
      <c r="R2007">
        <f>tblDailySchedule[[#This Row],[Capacity Approx]]*'[1]Load Factor Sheet June Acft  '!$B$5</f>
        <v>150.61772727272728</v>
      </c>
      <c r="S2007">
        <f>tblDailySchedule[[#This Row],[Capacity Approx]]*'[1]Load Factor Sheet June Acft  '!$D$5</f>
        <v>163.08818181818182</v>
      </c>
      <c r="T2007" s="22">
        <f>tblDailySchedule[[#This Row],[STD]]</f>
        <v>0.54166666666666663</v>
      </c>
    </row>
    <row r="2008" spans="1:20" hidden="1" x14ac:dyDescent="0.35">
      <c r="A2008" s="11">
        <v>46182</v>
      </c>
      <c r="B2008" s="3">
        <v>2</v>
      </c>
      <c r="C2008" t="s">
        <v>108</v>
      </c>
      <c r="D2008" t="s">
        <v>18</v>
      </c>
      <c r="E2008" s="3">
        <v>12</v>
      </c>
      <c r="F2008" t="s">
        <v>109</v>
      </c>
      <c r="G2008" t="s">
        <v>110</v>
      </c>
      <c r="H2008" t="s">
        <v>111</v>
      </c>
      <c r="I2008" s="12">
        <v>0.55555555555555558</v>
      </c>
      <c r="J2008" t="s">
        <v>112</v>
      </c>
      <c r="K2008" t="s">
        <v>111</v>
      </c>
      <c r="L2008" s="12">
        <v>0.56944444444444442</v>
      </c>
      <c r="M2008" t="s">
        <v>51</v>
      </c>
      <c r="N2008" s="3">
        <v>78</v>
      </c>
      <c r="O2008" t="s">
        <v>24</v>
      </c>
      <c r="P2008" t="s">
        <v>56</v>
      </c>
      <c r="R2008">
        <f>tblDailySchedule[[#This Row],[Capacity Approx]]*'[1]Load Factor Sheet June Acft  '!$B$5</f>
        <v>63.162272727272729</v>
      </c>
      <c r="S2008">
        <f>tblDailySchedule[[#This Row],[Capacity Approx]]*'[1]Load Factor Sheet June Acft  '!$D$5</f>
        <v>68.391818181818181</v>
      </c>
      <c r="T2008" s="22">
        <f>tblDailySchedule[[#This Row],[STD]]</f>
        <v>0.56944444444444442</v>
      </c>
    </row>
    <row r="2009" spans="1:20" hidden="1" x14ac:dyDescent="0.35">
      <c r="A2009" s="11">
        <v>46182</v>
      </c>
      <c r="B2009" s="3">
        <v>2</v>
      </c>
      <c r="C2009" t="s">
        <v>108</v>
      </c>
      <c r="D2009" t="s">
        <v>18</v>
      </c>
      <c r="E2009" s="3">
        <v>13</v>
      </c>
      <c r="F2009" t="s">
        <v>19</v>
      </c>
      <c r="G2009" t="s">
        <v>57</v>
      </c>
      <c r="H2009" t="s">
        <v>58</v>
      </c>
      <c r="I2009" s="12">
        <v>0.55902777777777779</v>
      </c>
      <c r="J2009" t="s">
        <v>59</v>
      </c>
      <c r="K2009" t="s">
        <v>58</v>
      </c>
      <c r="L2009" s="12">
        <v>0.57638888888888884</v>
      </c>
      <c r="M2009" t="s">
        <v>51</v>
      </c>
      <c r="N2009" s="3">
        <v>78</v>
      </c>
      <c r="O2009" t="s">
        <v>24</v>
      </c>
      <c r="P2009" t="s">
        <v>56</v>
      </c>
      <c r="R2009">
        <f>tblDailySchedule[[#This Row],[Capacity Approx]]*'[1]Load Factor Sheet June Acft  '!$B$5</f>
        <v>63.162272727272729</v>
      </c>
      <c r="S2009">
        <f>tblDailySchedule[[#This Row],[Capacity Approx]]*'[1]Load Factor Sheet June Acft  '!$D$5</f>
        <v>68.391818181818181</v>
      </c>
      <c r="T2009" s="22">
        <f>tblDailySchedule[[#This Row],[STD]]</f>
        <v>0.57638888888888884</v>
      </c>
    </row>
    <row r="2010" spans="1:20" hidden="1" x14ac:dyDescent="0.35">
      <c r="A2010" s="11">
        <v>46182</v>
      </c>
      <c r="B2010" s="3">
        <v>2</v>
      </c>
      <c r="C2010" t="s">
        <v>108</v>
      </c>
      <c r="D2010" t="s">
        <v>18</v>
      </c>
      <c r="E2010" s="3">
        <v>14</v>
      </c>
      <c r="F2010" t="s">
        <v>19</v>
      </c>
      <c r="G2010" t="s">
        <v>60</v>
      </c>
      <c r="H2010" t="s">
        <v>61</v>
      </c>
      <c r="I2010" s="12">
        <v>0.59027777777777779</v>
      </c>
      <c r="J2010" t="s">
        <v>62</v>
      </c>
      <c r="K2010" t="s">
        <v>61</v>
      </c>
      <c r="L2010" s="12">
        <v>0.62152777777777779</v>
      </c>
      <c r="M2010" t="s">
        <v>63</v>
      </c>
      <c r="N2010" s="3">
        <v>232</v>
      </c>
      <c r="O2010" t="s">
        <v>24</v>
      </c>
      <c r="P2010" t="s">
        <v>56</v>
      </c>
      <c r="R2010">
        <f>tblDailySchedule[[#This Row],[Capacity Approx]]*'[1]Load Factor Sheet June Acft  '!$B$5</f>
        <v>187.86727272727273</v>
      </c>
      <c r="S2010">
        <f>tblDailySchedule[[#This Row],[Capacity Approx]]*'[1]Load Factor Sheet June Acft  '!$D$5</f>
        <v>203.4218181818182</v>
      </c>
      <c r="T2010" s="22">
        <f>tblDailySchedule[[#This Row],[STD]]</f>
        <v>0.62152777777777779</v>
      </c>
    </row>
    <row r="2011" spans="1:20" hidden="1" x14ac:dyDescent="0.35">
      <c r="A2011" s="11">
        <v>46182</v>
      </c>
      <c r="B2011" s="3">
        <v>2</v>
      </c>
      <c r="C2011" t="s">
        <v>108</v>
      </c>
      <c r="D2011" t="s">
        <v>18</v>
      </c>
      <c r="E2011" s="3">
        <v>15</v>
      </c>
      <c r="F2011" t="s">
        <v>19</v>
      </c>
      <c r="G2011" t="s">
        <v>64</v>
      </c>
      <c r="H2011" t="s">
        <v>31</v>
      </c>
      <c r="I2011" s="12">
        <v>0.60069444444444442</v>
      </c>
      <c r="J2011" t="s">
        <v>65</v>
      </c>
      <c r="K2011" t="s">
        <v>66</v>
      </c>
      <c r="L2011" s="12">
        <v>0.62847222222222221</v>
      </c>
      <c r="M2011" t="s">
        <v>63</v>
      </c>
      <c r="N2011" s="3">
        <v>232</v>
      </c>
      <c r="O2011" t="s">
        <v>24</v>
      </c>
      <c r="P2011" t="s">
        <v>56</v>
      </c>
      <c r="R2011">
        <f>tblDailySchedule[[#This Row],[Capacity Approx]]*'[1]Load Factor Sheet June Acft  '!$B$5</f>
        <v>187.86727272727273</v>
      </c>
      <c r="S2011">
        <f>tblDailySchedule[[#This Row],[Capacity Approx]]*'[1]Load Factor Sheet June Acft  '!$D$5</f>
        <v>203.4218181818182</v>
      </c>
      <c r="T2011" s="22">
        <f>tblDailySchedule[[#This Row],[STD]]</f>
        <v>0.62847222222222221</v>
      </c>
    </row>
    <row r="2012" spans="1:20" hidden="1" x14ac:dyDescent="0.35">
      <c r="A2012" s="11">
        <v>46182</v>
      </c>
      <c r="B2012" s="3">
        <v>2</v>
      </c>
      <c r="C2012" t="s">
        <v>108</v>
      </c>
      <c r="D2012" t="s">
        <v>18</v>
      </c>
      <c r="E2012" s="3">
        <v>16</v>
      </c>
      <c r="F2012" t="s">
        <v>19</v>
      </c>
      <c r="G2012" t="s">
        <v>67</v>
      </c>
      <c r="H2012" t="s">
        <v>31</v>
      </c>
      <c r="I2012" s="12">
        <v>0.65625</v>
      </c>
      <c r="J2012" t="s">
        <v>68</v>
      </c>
      <c r="K2012" t="s">
        <v>31</v>
      </c>
      <c r="L2012" s="12">
        <v>0.68402777777777779</v>
      </c>
      <c r="M2012" t="s">
        <v>63</v>
      </c>
      <c r="N2012" s="3">
        <v>232</v>
      </c>
      <c r="O2012" t="s">
        <v>24</v>
      </c>
      <c r="P2012" t="s">
        <v>56</v>
      </c>
      <c r="R2012">
        <f>tblDailySchedule[[#This Row],[Capacity Approx]]*'[1]Load Factor Sheet June Acft  '!$B$5</f>
        <v>187.86727272727273</v>
      </c>
      <c r="S2012">
        <f>tblDailySchedule[[#This Row],[Capacity Approx]]*'[1]Load Factor Sheet June Acft  '!$D$5</f>
        <v>203.4218181818182</v>
      </c>
      <c r="T2012" s="22">
        <f>tblDailySchedule[[#This Row],[STD]]</f>
        <v>0.68402777777777779</v>
      </c>
    </row>
    <row r="2013" spans="1:20" hidden="1" x14ac:dyDescent="0.35">
      <c r="A2013" s="11">
        <v>46182</v>
      </c>
      <c r="B2013" s="3">
        <v>2</v>
      </c>
      <c r="C2013" t="s">
        <v>108</v>
      </c>
      <c r="D2013" t="s">
        <v>18</v>
      </c>
      <c r="E2013" s="3">
        <v>17</v>
      </c>
      <c r="F2013" t="s">
        <v>19</v>
      </c>
      <c r="G2013" t="s">
        <v>69</v>
      </c>
      <c r="H2013" t="s">
        <v>31</v>
      </c>
      <c r="I2013" s="12">
        <v>0.66319444444444442</v>
      </c>
      <c r="J2013" t="s">
        <v>70</v>
      </c>
      <c r="K2013" t="s">
        <v>31</v>
      </c>
      <c r="L2013" s="12">
        <v>0.69097222222222221</v>
      </c>
      <c r="M2013" t="s">
        <v>33</v>
      </c>
      <c r="N2013" s="3">
        <v>189</v>
      </c>
      <c r="O2013" t="s">
        <v>24</v>
      </c>
      <c r="P2013" t="s">
        <v>56</v>
      </c>
      <c r="R2013">
        <f>tblDailySchedule[[#This Row],[Capacity Approx]]*'[1]Load Factor Sheet June Acft  '!$B$5</f>
        <v>153.04704545454547</v>
      </c>
      <c r="S2013">
        <f>tblDailySchedule[[#This Row],[Capacity Approx]]*'[1]Load Factor Sheet June Acft  '!$D$5</f>
        <v>165.71863636363636</v>
      </c>
      <c r="T2013" s="22">
        <f>tblDailySchedule[[#This Row],[STD]]</f>
        <v>0.69097222222222221</v>
      </c>
    </row>
    <row r="2014" spans="1:20" hidden="1" x14ac:dyDescent="0.35">
      <c r="A2014" s="11">
        <v>46182</v>
      </c>
      <c r="B2014" s="3">
        <v>2</v>
      </c>
      <c r="C2014" t="s">
        <v>108</v>
      </c>
      <c r="D2014" t="s">
        <v>18</v>
      </c>
      <c r="E2014" s="3">
        <v>18</v>
      </c>
      <c r="F2014" t="s">
        <v>19</v>
      </c>
      <c r="G2014" t="s">
        <v>71</v>
      </c>
      <c r="H2014" t="s">
        <v>21</v>
      </c>
      <c r="I2014" s="12">
        <v>0.67013888888888884</v>
      </c>
      <c r="J2014" t="s">
        <v>72</v>
      </c>
      <c r="K2014" t="s">
        <v>21</v>
      </c>
      <c r="L2014" s="12">
        <v>0.69791666666666663</v>
      </c>
      <c r="M2014" t="s">
        <v>63</v>
      </c>
      <c r="N2014" s="3">
        <v>232</v>
      </c>
      <c r="O2014" t="s">
        <v>24</v>
      </c>
      <c r="P2014" t="s">
        <v>56</v>
      </c>
      <c r="R2014">
        <f>tblDailySchedule[[#This Row],[Capacity Approx]]*'[1]Load Factor Sheet June Acft  '!$B$5</f>
        <v>187.86727272727273</v>
      </c>
      <c r="S2014">
        <f>tblDailySchedule[[#This Row],[Capacity Approx]]*'[1]Load Factor Sheet June Acft  '!$D$5</f>
        <v>203.4218181818182</v>
      </c>
      <c r="T2014" s="22">
        <f>tblDailySchedule[[#This Row],[STD]]</f>
        <v>0.69791666666666663</v>
      </c>
    </row>
    <row r="2015" spans="1:20" hidden="1" x14ac:dyDescent="0.35">
      <c r="A2015" s="11">
        <v>46182</v>
      </c>
      <c r="B2015" s="3">
        <v>2</v>
      </c>
      <c r="C2015" t="s">
        <v>108</v>
      </c>
      <c r="D2015" t="s">
        <v>18</v>
      </c>
      <c r="E2015" s="3">
        <v>19</v>
      </c>
      <c r="F2015" t="s">
        <v>19</v>
      </c>
      <c r="G2015" t="s">
        <v>73</v>
      </c>
      <c r="H2015" t="s">
        <v>27</v>
      </c>
      <c r="I2015" s="12">
        <v>0.74652777777777779</v>
      </c>
      <c r="J2015" t="s">
        <v>74</v>
      </c>
      <c r="K2015" t="s">
        <v>27</v>
      </c>
      <c r="L2015" s="12">
        <v>0.77430555555555558</v>
      </c>
      <c r="M2015" t="s">
        <v>63</v>
      </c>
      <c r="N2015" s="3">
        <v>232</v>
      </c>
      <c r="O2015" t="s">
        <v>24</v>
      </c>
      <c r="P2015" t="s">
        <v>56</v>
      </c>
      <c r="R2015">
        <f>tblDailySchedule[[#This Row],[Capacity Approx]]*'[1]Load Factor Sheet June Acft  '!$B$5</f>
        <v>187.86727272727273</v>
      </c>
      <c r="S2015">
        <f>tblDailySchedule[[#This Row],[Capacity Approx]]*'[1]Load Factor Sheet June Acft  '!$D$5</f>
        <v>203.4218181818182</v>
      </c>
      <c r="T2015" s="22">
        <f>tblDailySchedule[[#This Row],[STD]]</f>
        <v>0.77430555555555558</v>
      </c>
    </row>
    <row r="2016" spans="1:20" hidden="1" x14ac:dyDescent="0.35">
      <c r="A2016" s="11">
        <v>46182</v>
      </c>
      <c r="B2016" s="3">
        <v>2</v>
      </c>
      <c r="C2016" t="s">
        <v>108</v>
      </c>
      <c r="D2016" t="s">
        <v>18</v>
      </c>
      <c r="E2016" s="3">
        <v>21</v>
      </c>
      <c r="F2016" t="s">
        <v>19</v>
      </c>
      <c r="G2016" t="s">
        <v>81</v>
      </c>
      <c r="H2016" t="s">
        <v>61</v>
      </c>
      <c r="I2016" s="12">
        <v>0.77083333333333337</v>
      </c>
      <c r="J2016" t="s">
        <v>82</v>
      </c>
      <c r="K2016" t="s">
        <v>49</v>
      </c>
      <c r="L2016" s="12">
        <v>0.79166666666666663</v>
      </c>
      <c r="M2016" t="s">
        <v>33</v>
      </c>
      <c r="N2016" s="3">
        <v>189</v>
      </c>
      <c r="O2016" t="s">
        <v>24</v>
      </c>
      <c r="P2016" t="s">
        <v>79</v>
      </c>
      <c r="R2016">
        <f>tblDailySchedule[[#This Row],[Capacity Approx]]*'[1]Load Factor Sheet June Acft  '!$B$5</f>
        <v>153.04704545454547</v>
      </c>
      <c r="S2016">
        <f>tblDailySchedule[[#This Row],[Capacity Approx]]*'[1]Load Factor Sheet June Acft  '!$D$5</f>
        <v>165.71863636363636</v>
      </c>
      <c r="T2016" s="22">
        <f>tblDailySchedule[[#This Row],[STD]]</f>
        <v>0.79166666666666663</v>
      </c>
    </row>
    <row r="2017" spans="1:20" hidden="1" x14ac:dyDescent="0.35">
      <c r="A2017" s="11">
        <v>46182</v>
      </c>
      <c r="B2017" s="3">
        <v>2</v>
      </c>
      <c r="C2017" t="s">
        <v>108</v>
      </c>
      <c r="D2017" t="s">
        <v>18</v>
      </c>
      <c r="E2017" s="3">
        <v>22</v>
      </c>
      <c r="F2017" t="s">
        <v>19</v>
      </c>
      <c r="G2017" t="s">
        <v>83</v>
      </c>
      <c r="H2017" t="s">
        <v>31</v>
      </c>
      <c r="I2017" s="12">
        <v>0.77777777777777779</v>
      </c>
      <c r="J2017" t="s">
        <v>84</v>
      </c>
      <c r="K2017" t="s">
        <v>31</v>
      </c>
      <c r="L2017" s="12">
        <v>0.80555555555555558</v>
      </c>
      <c r="M2017" t="s">
        <v>63</v>
      </c>
      <c r="N2017" s="3">
        <v>232</v>
      </c>
      <c r="O2017" t="s">
        <v>24</v>
      </c>
      <c r="P2017" t="s">
        <v>79</v>
      </c>
      <c r="R2017">
        <f>tblDailySchedule[[#This Row],[Capacity Approx]]*'[1]Load Factor Sheet June Acft  '!$B$5</f>
        <v>187.86727272727273</v>
      </c>
      <c r="S2017">
        <f>tblDailySchedule[[#This Row],[Capacity Approx]]*'[1]Load Factor Sheet June Acft  '!$D$5</f>
        <v>203.4218181818182</v>
      </c>
      <c r="T2017" s="22">
        <f>tblDailySchedule[[#This Row],[STD]]</f>
        <v>0.80555555555555558</v>
      </c>
    </row>
    <row r="2018" spans="1:20" hidden="1" x14ac:dyDescent="0.35">
      <c r="A2018" s="11">
        <v>46182</v>
      </c>
      <c r="B2018" s="3">
        <v>2</v>
      </c>
      <c r="C2018" t="s">
        <v>108</v>
      </c>
      <c r="D2018" t="s">
        <v>18</v>
      </c>
      <c r="E2018" s="3">
        <v>23</v>
      </c>
      <c r="F2018" t="s">
        <v>19</v>
      </c>
      <c r="G2018" t="s">
        <v>85</v>
      </c>
      <c r="H2018" t="s">
        <v>86</v>
      </c>
      <c r="I2018" s="12">
        <v>0.79861111111111116</v>
      </c>
      <c r="J2018" t="s">
        <v>87</v>
      </c>
      <c r="K2018" t="s">
        <v>86</v>
      </c>
      <c r="L2018" s="12">
        <v>0.82638888888888884</v>
      </c>
      <c r="M2018" t="s">
        <v>63</v>
      </c>
      <c r="N2018" s="3">
        <v>232</v>
      </c>
      <c r="O2018" t="s">
        <v>24</v>
      </c>
      <c r="P2018" t="s">
        <v>79</v>
      </c>
      <c r="R2018">
        <f>tblDailySchedule[[#This Row],[Capacity Approx]]*'[1]Load Factor Sheet June Acft  '!$B$5</f>
        <v>187.86727272727273</v>
      </c>
      <c r="S2018">
        <f>tblDailySchedule[[#This Row],[Capacity Approx]]*'[1]Load Factor Sheet June Acft  '!$D$5</f>
        <v>203.4218181818182</v>
      </c>
      <c r="T2018" s="22">
        <f>tblDailySchedule[[#This Row],[STD]]</f>
        <v>0.82638888888888884</v>
      </c>
    </row>
    <row r="2019" spans="1:20" hidden="1" x14ac:dyDescent="0.35">
      <c r="A2019" s="11">
        <v>46182</v>
      </c>
      <c r="B2019" s="3">
        <v>2</v>
      </c>
      <c r="C2019" t="s">
        <v>108</v>
      </c>
      <c r="D2019" t="s">
        <v>18</v>
      </c>
      <c r="E2019" s="3">
        <v>24</v>
      </c>
      <c r="F2019" t="s">
        <v>19</v>
      </c>
      <c r="G2019" t="s">
        <v>88</v>
      </c>
      <c r="H2019" t="s">
        <v>89</v>
      </c>
      <c r="I2019" s="12">
        <v>0.83333333333333337</v>
      </c>
      <c r="J2019" t="s">
        <v>90</v>
      </c>
      <c r="K2019" t="s">
        <v>31</v>
      </c>
      <c r="L2019" s="12">
        <v>0.86111111111111116</v>
      </c>
      <c r="M2019" t="s">
        <v>63</v>
      </c>
      <c r="N2019" s="3">
        <v>232</v>
      </c>
      <c r="O2019" t="s">
        <v>24</v>
      </c>
      <c r="P2019" t="s">
        <v>79</v>
      </c>
      <c r="R2019">
        <f>tblDailySchedule[[#This Row],[Capacity Approx]]*'[1]Load Factor Sheet June Acft  '!$B$5</f>
        <v>187.86727272727273</v>
      </c>
      <c r="S2019">
        <f>tblDailySchedule[[#This Row],[Capacity Approx]]*'[1]Load Factor Sheet June Acft  '!$D$5</f>
        <v>203.4218181818182</v>
      </c>
      <c r="T2019" s="22">
        <f>tblDailySchedule[[#This Row],[STD]]</f>
        <v>0.86111111111111116</v>
      </c>
    </row>
    <row r="2020" spans="1:20" hidden="1" x14ac:dyDescent="0.35">
      <c r="A2020" s="11">
        <v>46182</v>
      </c>
      <c r="B2020" s="3">
        <v>2</v>
      </c>
      <c r="C2020" t="s">
        <v>108</v>
      </c>
      <c r="D2020" t="s">
        <v>18</v>
      </c>
      <c r="E2020" s="3">
        <v>25</v>
      </c>
      <c r="F2020" t="s">
        <v>19</v>
      </c>
      <c r="G2020" t="s">
        <v>91</v>
      </c>
      <c r="H2020" t="s">
        <v>61</v>
      </c>
      <c r="I2020" s="12">
        <v>0.85416666666666663</v>
      </c>
      <c r="J2020" t="s">
        <v>92</v>
      </c>
      <c r="K2020" t="s">
        <v>61</v>
      </c>
      <c r="L2020" s="12">
        <v>0.88194444444444442</v>
      </c>
      <c r="M2020" t="s">
        <v>63</v>
      </c>
      <c r="N2020" s="3">
        <v>232</v>
      </c>
      <c r="O2020" t="s">
        <v>24</v>
      </c>
      <c r="P2020" t="s">
        <v>79</v>
      </c>
      <c r="R2020">
        <f>tblDailySchedule[[#This Row],[Capacity Approx]]*'[1]Load Factor Sheet June Acft  '!$B$5</f>
        <v>187.86727272727273</v>
      </c>
      <c r="S2020">
        <f>tblDailySchedule[[#This Row],[Capacity Approx]]*'[1]Load Factor Sheet June Acft  '!$D$5</f>
        <v>203.4218181818182</v>
      </c>
      <c r="T2020" s="22">
        <f>tblDailySchedule[[#This Row],[STD]]</f>
        <v>0.88194444444444442</v>
      </c>
    </row>
    <row r="2021" spans="1:20" hidden="1" x14ac:dyDescent="0.35">
      <c r="A2021" s="11">
        <v>46182</v>
      </c>
      <c r="B2021" s="3">
        <v>2</v>
      </c>
      <c r="C2021" t="s">
        <v>108</v>
      </c>
      <c r="D2021" t="s">
        <v>18</v>
      </c>
      <c r="E2021" s="3">
        <v>26</v>
      </c>
      <c r="F2021" t="s">
        <v>19</v>
      </c>
      <c r="G2021" t="s">
        <v>93</v>
      </c>
      <c r="H2021" t="s">
        <v>31</v>
      </c>
      <c r="I2021" s="12">
        <v>0.86111111111111116</v>
      </c>
      <c r="J2021" t="s">
        <v>94</v>
      </c>
      <c r="K2021" t="s">
        <v>31</v>
      </c>
      <c r="L2021" s="12">
        <v>0.88888888888888884</v>
      </c>
      <c r="M2021" t="s">
        <v>23</v>
      </c>
      <c r="N2021" s="3">
        <v>186</v>
      </c>
      <c r="O2021" t="s">
        <v>24</v>
      </c>
      <c r="P2021" t="s">
        <v>79</v>
      </c>
      <c r="R2021">
        <f>tblDailySchedule[[#This Row],[Capacity Approx]]*'[1]Load Factor Sheet June Acft  '!$B$5</f>
        <v>150.61772727272728</v>
      </c>
      <c r="S2021">
        <f>tblDailySchedule[[#This Row],[Capacity Approx]]*'[1]Load Factor Sheet June Acft  '!$D$5</f>
        <v>163.08818181818182</v>
      </c>
      <c r="T2021" s="22">
        <f>tblDailySchedule[[#This Row],[STD]]</f>
        <v>0.88888888888888884</v>
      </c>
    </row>
    <row r="2022" spans="1:20" hidden="1" x14ac:dyDescent="0.35">
      <c r="A2022" s="11">
        <v>46182</v>
      </c>
      <c r="B2022" s="3">
        <v>2</v>
      </c>
      <c r="C2022" t="s">
        <v>108</v>
      </c>
      <c r="D2022" t="s">
        <v>18</v>
      </c>
      <c r="E2022" s="3">
        <v>27</v>
      </c>
      <c r="F2022" t="s">
        <v>19</v>
      </c>
      <c r="G2022" t="s">
        <v>95</v>
      </c>
      <c r="H2022" t="s">
        <v>21</v>
      </c>
      <c r="I2022" s="12">
        <v>0.86805555555555558</v>
      </c>
      <c r="J2022" t="s">
        <v>96</v>
      </c>
      <c r="K2022" t="s">
        <v>21</v>
      </c>
      <c r="L2022" s="12">
        <v>0.89583333333333337</v>
      </c>
      <c r="M2022" t="s">
        <v>29</v>
      </c>
      <c r="N2022" s="3">
        <v>186</v>
      </c>
      <c r="O2022" t="s">
        <v>24</v>
      </c>
      <c r="P2022" t="s">
        <v>79</v>
      </c>
      <c r="R2022">
        <f>tblDailySchedule[[#This Row],[Capacity Approx]]*'[1]Load Factor Sheet June Acft  '!$B$5</f>
        <v>150.61772727272728</v>
      </c>
      <c r="S2022">
        <f>tblDailySchedule[[#This Row],[Capacity Approx]]*'[1]Load Factor Sheet June Acft  '!$D$5</f>
        <v>163.08818181818182</v>
      </c>
      <c r="T2022" s="22">
        <f>tblDailySchedule[[#This Row],[STD]]</f>
        <v>0.89583333333333337</v>
      </c>
    </row>
    <row r="2023" spans="1:20" hidden="1" x14ac:dyDescent="0.35">
      <c r="A2023" s="11">
        <v>46182</v>
      </c>
      <c r="B2023" s="3">
        <v>2</v>
      </c>
      <c r="C2023" t="s">
        <v>108</v>
      </c>
      <c r="D2023" t="s">
        <v>18</v>
      </c>
      <c r="E2023" s="3">
        <v>28</v>
      </c>
      <c r="F2023" t="s">
        <v>19</v>
      </c>
      <c r="G2023" t="s">
        <v>97</v>
      </c>
      <c r="H2023" t="s">
        <v>49</v>
      </c>
      <c r="I2023" s="12">
        <v>0.90277777777777779</v>
      </c>
      <c r="J2023" t="s">
        <v>97</v>
      </c>
      <c r="K2023" t="s">
        <v>61</v>
      </c>
      <c r="L2023" s="12">
        <v>0.92361111111111116</v>
      </c>
      <c r="M2023" t="s">
        <v>33</v>
      </c>
      <c r="N2023" s="3">
        <v>189</v>
      </c>
      <c r="O2023" t="s">
        <v>24</v>
      </c>
      <c r="P2023" t="s">
        <v>79</v>
      </c>
      <c r="R2023">
        <f>tblDailySchedule[[#This Row],[Capacity Approx]]*'[1]Load Factor Sheet June Acft  '!$B$5</f>
        <v>153.04704545454547</v>
      </c>
      <c r="S2023">
        <f>tblDailySchedule[[#This Row],[Capacity Approx]]*'[1]Load Factor Sheet June Acft  '!$D$5</f>
        <v>165.71863636363636</v>
      </c>
      <c r="T2023" s="22">
        <f>tblDailySchedule[[#This Row],[STD]]</f>
        <v>0.92361111111111116</v>
      </c>
    </row>
    <row r="2024" spans="1:20" hidden="1" x14ac:dyDescent="0.35">
      <c r="A2024" s="11">
        <v>46182</v>
      </c>
      <c r="B2024" s="3">
        <v>2</v>
      </c>
      <c r="C2024" t="s">
        <v>108</v>
      </c>
      <c r="D2024" t="s">
        <v>18</v>
      </c>
      <c r="E2024" s="3">
        <v>29</v>
      </c>
      <c r="F2024" t="s">
        <v>19</v>
      </c>
      <c r="G2024" t="s">
        <v>98</v>
      </c>
      <c r="H2024" t="s">
        <v>21</v>
      </c>
      <c r="I2024" s="12">
        <v>0.92013888888888884</v>
      </c>
      <c r="J2024" t="s">
        <v>99</v>
      </c>
      <c r="K2024" t="s">
        <v>21</v>
      </c>
      <c r="L2024" s="12">
        <v>0.94791666666666663</v>
      </c>
      <c r="M2024" t="s">
        <v>63</v>
      </c>
      <c r="N2024" s="3">
        <v>232</v>
      </c>
      <c r="O2024" t="s">
        <v>24</v>
      </c>
      <c r="P2024" t="s">
        <v>79</v>
      </c>
      <c r="R2024">
        <f>tblDailySchedule[[#This Row],[Capacity Approx]]*'[1]Load Factor Sheet June Acft  '!$B$5</f>
        <v>187.86727272727273</v>
      </c>
      <c r="S2024">
        <f>tblDailySchedule[[#This Row],[Capacity Approx]]*'[1]Load Factor Sheet June Acft  '!$D$5</f>
        <v>203.4218181818182</v>
      </c>
      <c r="T2024" s="22">
        <f>tblDailySchedule[[#This Row],[STD]]</f>
        <v>0.94791666666666663</v>
      </c>
    </row>
    <row r="2025" spans="1:20" hidden="1" x14ac:dyDescent="0.35">
      <c r="A2025" s="11">
        <v>46183</v>
      </c>
      <c r="B2025" s="3">
        <v>3</v>
      </c>
      <c r="C2025" t="s">
        <v>113</v>
      </c>
      <c r="D2025" t="s">
        <v>18</v>
      </c>
      <c r="E2025" s="3">
        <v>2</v>
      </c>
      <c r="F2025" t="s">
        <v>19</v>
      </c>
      <c r="G2025" t="s">
        <v>20</v>
      </c>
      <c r="H2025" t="s">
        <v>21</v>
      </c>
      <c r="I2025" s="12">
        <v>0.31944444444444442</v>
      </c>
      <c r="J2025" t="s">
        <v>22</v>
      </c>
      <c r="K2025" t="s">
        <v>21</v>
      </c>
      <c r="L2025" s="12">
        <v>0.34722222222222221</v>
      </c>
      <c r="M2025" t="s">
        <v>23</v>
      </c>
      <c r="N2025" s="3">
        <v>186</v>
      </c>
      <c r="O2025" t="s">
        <v>24</v>
      </c>
      <c r="P2025" t="s">
        <v>25</v>
      </c>
      <c r="R2025">
        <f>tblDailySchedule[[#This Row],[Capacity Approx]]*'[1]Load Factor Sheet June Acft  '!$B$5</f>
        <v>150.61772727272728</v>
      </c>
      <c r="S2025">
        <f>tblDailySchedule[[#This Row],[Capacity Approx]]*'[1]Load Factor Sheet June Acft  '!$D$5</f>
        <v>163.08818181818182</v>
      </c>
      <c r="T2025" s="22">
        <f>tblDailySchedule[[#This Row],[STD]]</f>
        <v>0.34722222222222221</v>
      </c>
    </row>
    <row r="2026" spans="1:20" hidden="1" x14ac:dyDescent="0.35">
      <c r="A2026" s="11">
        <v>46183</v>
      </c>
      <c r="B2026" s="3">
        <v>3</v>
      </c>
      <c r="C2026" t="s">
        <v>113</v>
      </c>
      <c r="D2026" t="s">
        <v>18</v>
      </c>
      <c r="E2026" s="3">
        <v>3</v>
      </c>
      <c r="F2026" t="s">
        <v>19</v>
      </c>
      <c r="G2026" t="s">
        <v>26</v>
      </c>
      <c r="H2026" t="s">
        <v>27</v>
      </c>
      <c r="I2026" s="12">
        <v>0.3263888888888889</v>
      </c>
      <c r="J2026" t="s">
        <v>28</v>
      </c>
      <c r="K2026" t="s">
        <v>27</v>
      </c>
      <c r="L2026" s="12">
        <v>0.35416666666666669</v>
      </c>
      <c r="M2026" t="s">
        <v>29</v>
      </c>
      <c r="N2026" s="3">
        <v>186</v>
      </c>
      <c r="O2026" t="s">
        <v>24</v>
      </c>
      <c r="P2026" t="s">
        <v>25</v>
      </c>
      <c r="R2026">
        <f>tblDailySchedule[[#This Row],[Capacity Approx]]*'[1]Load Factor Sheet June Acft  '!$B$5</f>
        <v>150.61772727272728</v>
      </c>
      <c r="S2026">
        <f>tblDailySchedule[[#This Row],[Capacity Approx]]*'[1]Load Factor Sheet June Acft  '!$D$5</f>
        <v>163.08818181818182</v>
      </c>
      <c r="T2026" s="22">
        <f>tblDailySchedule[[#This Row],[STD]]</f>
        <v>0.35416666666666669</v>
      </c>
    </row>
    <row r="2027" spans="1:20" hidden="1" x14ac:dyDescent="0.35">
      <c r="A2027" s="11">
        <v>46183</v>
      </c>
      <c r="B2027" s="3">
        <v>3</v>
      </c>
      <c r="C2027" t="s">
        <v>113</v>
      </c>
      <c r="D2027" t="s">
        <v>18</v>
      </c>
      <c r="E2027" s="3">
        <v>4</v>
      </c>
      <c r="F2027" t="s">
        <v>19</v>
      </c>
      <c r="G2027" t="s">
        <v>30</v>
      </c>
      <c r="H2027" t="s">
        <v>31</v>
      </c>
      <c r="I2027" s="12">
        <v>0.34722222222222221</v>
      </c>
      <c r="J2027" t="s">
        <v>32</v>
      </c>
      <c r="K2027" t="s">
        <v>31</v>
      </c>
      <c r="L2027" s="12">
        <v>0.36805555555555558</v>
      </c>
      <c r="M2027" t="s">
        <v>33</v>
      </c>
      <c r="N2027" s="3">
        <v>189</v>
      </c>
      <c r="O2027" t="s">
        <v>24</v>
      </c>
      <c r="P2027" t="s">
        <v>25</v>
      </c>
      <c r="R2027">
        <f>tblDailySchedule[[#This Row],[Capacity Approx]]*'[1]Load Factor Sheet June Acft  '!$B$5</f>
        <v>153.04704545454547</v>
      </c>
      <c r="S2027">
        <f>tblDailySchedule[[#This Row],[Capacity Approx]]*'[1]Load Factor Sheet June Acft  '!$D$5</f>
        <v>165.71863636363636</v>
      </c>
      <c r="T2027" s="22">
        <f>tblDailySchedule[[#This Row],[STD]]</f>
        <v>0.36805555555555558</v>
      </c>
    </row>
    <row r="2028" spans="1:20" hidden="1" x14ac:dyDescent="0.35">
      <c r="A2028" s="13">
        <v>46183</v>
      </c>
      <c r="B2028" s="7">
        <v>3</v>
      </c>
      <c r="C2028" s="14" t="s">
        <v>113</v>
      </c>
      <c r="D2028" s="14" t="s">
        <v>18</v>
      </c>
      <c r="E2028" s="7">
        <v>6</v>
      </c>
      <c r="F2028" s="14" t="s">
        <v>34</v>
      </c>
      <c r="G2028" s="14" t="s">
        <v>35</v>
      </c>
      <c r="H2028" s="14" t="s">
        <v>36</v>
      </c>
      <c r="I2028" s="15">
        <v>0.34722222222222221</v>
      </c>
      <c r="J2028" s="14" t="s">
        <v>37</v>
      </c>
      <c r="K2028" s="14" t="s">
        <v>36</v>
      </c>
      <c r="L2028" s="15">
        <v>0.40972222222222221</v>
      </c>
      <c r="M2028" s="14" t="s">
        <v>38</v>
      </c>
      <c r="N2028" s="7">
        <v>186</v>
      </c>
      <c r="O2028" s="14" t="s">
        <v>39</v>
      </c>
      <c r="P2028" s="14" t="s">
        <v>25</v>
      </c>
      <c r="Q2028" s="14" t="s">
        <v>39</v>
      </c>
      <c r="R2028">
        <f>tblDailySchedule[[#This Row],[Capacity Approx]]*'[1]Load Factor Sheet June Acft  '!$B$5</f>
        <v>150.61772727272728</v>
      </c>
      <c r="S2028">
        <f>tblDailySchedule[[#This Row],[Capacity Approx]]*'[1]Load Factor Sheet June Acft  '!$D$5</f>
        <v>163.08818181818182</v>
      </c>
      <c r="T2028" s="22">
        <f>tblDailySchedule[[#This Row],[STD]]</f>
        <v>0.40972222222222221</v>
      </c>
    </row>
    <row r="2029" spans="1:20" hidden="1" x14ac:dyDescent="0.35">
      <c r="A2029" s="11">
        <v>46183</v>
      </c>
      <c r="B2029" s="3">
        <v>3</v>
      </c>
      <c r="C2029" t="s">
        <v>113</v>
      </c>
      <c r="D2029" t="s">
        <v>18</v>
      </c>
      <c r="E2029" s="3">
        <v>5</v>
      </c>
      <c r="F2029" t="s">
        <v>19</v>
      </c>
      <c r="G2029" t="s">
        <v>40</v>
      </c>
      <c r="H2029" t="s">
        <v>31</v>
      </c>
      <c r="I2029" s="12">
        <v>0.35069444444444442</v>
      </c>
      <c r="J2029" t="s">
        <v>41</v>
      </c>
      <c r="K2029" t="s">
        <v>31</v>
      </c>
      <c r="L2029" s="12">
        <v>0.37152777777777779</v>
      </c>
      <c r="M2029" t="s">
        <v>23</v>
      </c>
      <c r="N2029" s="3">
        <v>186</v>
      </c>
      <c r="O2029" t="s">
        <v>24</v>
      </c>
      <c r="P2029" t="s">
        <v>25</v>
      </c>
      <c r="R2029">
        <f>tblDailySchedule[[#This Row],[Capacity Approx]]*'[1]Load Factor Sheet June Acft  '!$B$5</f>
        <v>150.61772727272728</v>
      </c>
      <c r="S2029">
        <f>tblDailySchedule[[#This Row],[Capacity Approx]]*'[1]Load Factor Sheet June Acft  '!$D$5</f>
        <v>163.08818181818182</v>
      </c>
      <c r="T2029" s="22">
        <f>tblDailySchedule[[#This Row],[STD]]</f>
        <v>0.37152777777777779</v>
      </c>
    </row>
    <row r="2030" spans="1:20" hidden="1" x14ac:dyDescent="0.35">
      <c r="A2030" s="11">
        <v>46183</v>
      </c>
      <c r="B2030" s="3">
        <v>3</v>
      </c>
      <c r="C2030" t="s">
        <v>113</v>
      </c>
      <c r="D2030" t="s">
        <v>18</v>
      </c>
      <c r="E2030" s="3">
        <v>7</v>
      </c>
      <c r="F2030" t="s">
        <v>19</v>
      </c>
      <c r="G2030" t="s">
        <v>42</v>
      </c>
      <c r="H2030" t="s">
        <v>43</v>
      </c>
      <c r="I2030" s="12">
        <v>0.3923611111111111</v>
      </c>
      <c r="J2030" t="s">
        <v>44</v>
      </c>
      <c r="K2030" t="s">
        <v>43</v>
      </c>
      <c r="L2030" s="12">
        <v>0.40277777777777779</v>
      </c>
      <c r="M2030" t="s">
        <v>45</v>
      </c>
      <c r="N2030" s="3">
        <v>9</v>
      </c>
      <c r="O2030" t="s">
        <v>24</v>
      </c>
      <c r="P2030" t="s">
        <v>25</v>
      </c>
      <c r="R2030">
        <f>tblDailySchedule[[#This Row],[Capacity Approx]]*'[1]Load Factor Sheet June Acft  '!$B$5</f>
        <v>7.2879545454545456</v>
      </c>
      <c r="S2030">
        <f>tblDailySchedule[[#This Row],[Capacity Approx]]*'[1]Load Factor Sheet June Acft  '!$D$5</f>
        <v>7.8913636363636366</v>
      </c>
      <c r="T2030" s="22">
        <f>tblDailySchedule[[#This Row],[STD]]</f>
        <v>0.40277777777777779</v>
      </c>
    </row>
    <row r="2031" spans="1:20" hidden="1" x14ac:dyDescent="0.35">
      <c r="A2031" s="11">
        <v>46183</v>
      </c>
      <c r="B2031" s="3">
        <v>3</v>
      </c>
      <c r="C2031" t="s">
        <v>113</v>
      </c>
      <c r="D2031" t="s">
        <v>18</v>
      </c>
      <c r="E2031" s="3">
        <v>8</v>
      </c>
      <c r="F2031" t="s">
        <v>19</v>
      </c>
      <c r="G2031" t="s">
        <v>46</v>
      </c>
      <c r="H2031" t="s">
        <v>31</v>
      </c>
      <c r="I2031" s="12">
        <v>0.4201388888888889</v>
      </c>
      <c r="J2031" t="s">
        <v>47</v>
      </c>
      <c r="K2031" t="s">
        <v>31</v>
      </c>
      <c r="L2031" s="12">
        <v>0.44444444444444442</v>
      </c>
      <c r="M2031" t="s">
        <v>29</v>
      </c>
      <c r="N2031" s="3">
        <v>186</v>
      </c>
      <c r="O2031" t="s">
        <v>24</v>
      </c>
      <c r="P2031" t="s">
        <v>25</v>
      </c>
      <c r="R2031">
        <f>tblDailySchedule[[#This Row],[Capacity Approx]]*'[1]Load Factor Sheet June Acft  '!$B$5</f>
        <v>150.61772727272728</v>
      </c>
      <c r="S2031">
        <f>tblDailySchedule[[#This Row],[Capacity Approx]]*'[1]Load Factor Sheet June Acft  '!$D$5</f>
        <v>163.08818181818182</v>
      </c>
      <c r="T2031" s="22">
        <f>tblDailySchedule[[#This Row],[STD]]</f>
        <v>0.44444444444444442</v>
      </c>
    </row>
    <row r="2032" spans="1:20" hidden="1" x14ac:dyDescent="0.35">
      <c r="A2032" s="11">
        <v>46183</v>
      </c>
      <c r="B2032" s="3">
        <v>3</v>
      </c>
      <c r="C2032" t="s">
        <v>113</v>
      </c>
      <c r="D2032" t="s">
        <v>18</v>
      </c>
      <c r="E2032" s="3">
        <v>9</v>
      </c>
      <c r="F2032" t="s">
        <v>19</v>
      </c>
      <c r="G2032" t="s">
        <v>48</v>
      </c>
      <c r="H2032" t="s">
        <v>49</v>
      </c>
      <c r="I2032" s="12">
        <v>0.4375</v>
      </c>
      <c r="J2032" t="s">
        <v>50</v>
      </c>
      <c r="K2032" t="s">
        <v>49</v>
      </c>
      <c r="L2032" s="12">
        <v>0.45833333333333331</v>
      </c>
      <c r="M2032" t="s">
        <v>51</v>
      </c>
      <c r="N2032" s="3">
        <v>78</v>
      </c>
      <c r="O2032" t="s">
        <v>24</v>
      </c>
      <c r="P2032" t="s">
        <v>25</v>
      </c>
      <c r="R2032">
        <f>tblDailySchedule[[#This Row],[Capacity Approx]]*'[1]Load Factor Sheet June Acft  '!$B$5</f>
        <v>63.162272727272729</v>
      </c>
      <c r="S2032">
        <f>tblDailySchedule[[#This Row],[Capacity Approx]]*'[1]Load Factor Sheet June Acft  '!$D$5</f>
        <v>68.391818181818181</v>
      </c>
      <c r="T2032" s="22">
        <f>tblDailySchedule[[#This Row],[STD]]</f>
        <v>0.45833333333333331</v>
      </c>
    </row>
    <row r="2033" spans="1:20" hidden="1" x14ac:dyDescent="0.35">
      <c r="A2033" s="11">
        <v>46183</v>
      </c>
      <c r="B2033" s="3">
        <v>3</v>
      </c>
      <c r="C2033" t="s">
        <v>113</v>
      </c>
      <c r="D2033" t="s">
        <v>18</v>
      </c>
      <c r="E2033" s="3">
        <v>10</v>
      </c>
      <c r="F2033" t="s">
        <v>19</v>
      </c>
      <c r="G2033" t="s">
        <v>52</v>
      </c>
      <c r="H2033" t="s">
        <v>27</v>
      </c>
      <c r="I2033" s="12">
        <v>0.4826388888888889</v>
      </c>
      <c r="J2033" t="s">
        <v>53</v>
      </c>
      <c r="K2033" t="s">
        <v>27</v>
      </c>
      <c r="L2033" s="12">
        <v>0.51041666666666663</v>
      </c>
      <c r="M2033" t="s">
        <v>23</v>
      </c>
      <c r="N2033" s="3">
        <v>186</v>
      </c>
      <c r="O2033" t="s">
        <v>24</v>
      </c>
      <c r="P2033" t="s">
        <v>25</v>
      </c>
      <c r="R2033">
        <f>tblDailySchedule[[#This Row],[Capacity Approx]]*'[1]Load Factor Sheet June Acft  '!$B$5</f>
        <v>150.61772727272728</v>
      </c>
      <c r="S2033">
        <f>tblDailySchedule[[#This Row],[Capacity Approx]]*'[1]Load Factor Sheet June Acft  '!$D$5</f>
        <v>163.08818181818182</v>
      </c>
      <c r="T2033" s="22">
        <f>tblDailySchedule[[#This Row],[STD]]</f>
        <v>0.51041666666666663</v>
      </c>
    </row>
    <row r="2034" spans="1:20" hidden="1" x14ac:dyDescent="0.35">
      <c r="A2034" s="11">
        <v>46183</v>
      </c>
      <c r="B2034" s="3">
        <v>3</v>
      </c>
      <c r="C2034" t="s">
        <v>113</v>
      </c>
      <c r="D2034" t="s">
        <v>18</v>
      </c>
      <c r="E2034" s="3">
        <v>11</v>
      </c>
      <c r="F2034" t="s">
        <v>19</v>
      </c>
      <c r="G2034" t="s">
        <v>54</v>
      </c>
      <c r="H2034" t="s">
        <v>31</v>
      </c>
      <c r="I2034" s="12">
        <v>0.51388888888888884</v>
      </c>
      <c r="J2034" t="s">
        <v>55</v>
      </c>
      <c r="K2034" t="s">
        <v>31</v>
      </c>
      <c r="L2034" s="12">
        <v>0.54166666666666663</v>
      </c>
      <c r="M2034" t="s">
        <v>23</v>
      </c>
      <c r="N2034" s="3">
        <v>186</v>
      </c>
      <c r="O2034" t="s">
        <v>24</v>
      </c>
      <c r="P2034" t="s">
        <v>56</v>
      </c>
      <c r="R2034">
        <f>tblDailySchedule[[#This Row],[Capacity Approx]]*'[1]Load Factor Sheet June Acft  '!$B$5</f>
        <v>150.61772727272728</v>
      </c>
      <c r="S2034">
        <f>tblDailySchedule[[#This Row],[Capacity Approx]]*'[1]Load Factor Sheet June Acft  '!$D$5</f>
        <v>163.08818181818182</v>
      </c>
      <c r="T2034" s="22">
        <f>tblDailySchedule[[#This Row],[STD]]</f>
        <v>0.54166666666666663</v>
      </c>
    </row>
    <row r="2035" spans="1:20" hidden="1" x14ac:dyDescent="0.35">
      <c r="A2035" s="11">
        <v>46183</v>
      </c>
      <c r="B2035" s="3">
        <v>3</v>
      </c>
      <c r="C2035" t="s">
        <v>113</v>
      </c>
      <c r="D2035" t="s">
        <v>18</v>
      </c>
      <c r="E2035" s="3">
        <v>13</v>
      </c>
      <c r="F2035" t="s">
        <v>19</v>
      </c>
      <c r="G2035" t="s">
        <v>57</v>
      </c>
      <c r="H2035" t="s">
        <v>58</v>
      </c>
      <c r="I2035" s="12">
        <v>0.55902777777777779</v>
      </c>
      <c r="J2035" t="s">
        <v>59</v>
      </c>
      <c r="K2035" t="s">
        <v>58</v>
      </c>
      <c r="L2035" s="12">
        <v>0.57638888888888884</v>
      </c>
      <c r="M2035" t="s">
        <v>51</v>
      </c>
      <c r="N2035" s="3">
        <v>78</v>
      </c>
      <c r="O2035" t="s">
        <v>24</v>
      </c>
      <c r="P2035" t="s">
        <v>56</v>
      </c>
      <c r="R2035">
        <f>tblDailySchedule[[#This Row],[Capacity Approx]]*'[1]Load Factor Sheet June Acft  '!$B$5</f>
        <v>63.162272727272729</v>
      </c>
      <c r="S2035">
        <f>tblDailySchedule[[#This Row],[Capacity Approx]]*'[1]Load Factor Sheet June Acft  '!$D$5</f>
        <v>68.391818181818181</v>
      </c>
      <c r="T2035" s="22">
        <f>tblDailySchedule[[#This Row],[STD]]</f>
        <v>0.57638888888888884</v>
      </c>
    </row>
    <row r="2036" spans="1:20" hidden="1" x14ac:dyDescent="0.35">
      <c r="A2036" s="11">
        <v>46183</v>
      </c>
      <c r="B2036" s="3">
        <v>3</v>
      </c>
      <c r="C2036" t="s">
        <v>113</v>
      </c>
      <c r="D2036" t="s">
        <v>18</v>
      </c>
      <c r="E2036" s="3">
        <v>14</v>
      </c>
      <c r="F2036" t="s">
        <v>19</v>
      </c>
      <c r="G2036" t="s">
        <v>60</v>
      </c>
      <c r="H2036" t="s">
        <v>61</v>
      </c>
      <c r="I2036" s="12">
        <v>0.59027777777777779</v>
      </c>
      <c r="J2036" t="s">
        <v>62</v>
      </c>
      <c r="K2036" t="s">
        <v>61</v>
      </c>
      <c r="L2036" s="12">
        <v>0.62152777777777779</v>
      </c>
      <c r="M2036" t="s">
        <v>63</v>
      </c>
      <c r="N2036" s="3">
        <v>232</v>
      </c>
      <c r="O2036" t="s">
        <v>24</v>
      </c>
      <c r="P2036" t="s">
        <v>56</v>
      </c>
      <c r="R2036">
        <f>tblDailySchedule[[#This Row],[Capacity Approx]]*'[1]Load Factor Sheet June Acft  '!$B$5</f>
        <v>187.86727272727273</v>
      </c>
      <c r="S2036">
        <f>tblDailySchedule[[#This Row],[Capacity Approx]]*'[1]Load Factor Sheet June Acft  '!$D$5</f>
        <v>203.4218181818182</v>
      </c>
      <c r="T2036" s="22">
        <f>tblDailySchedule[[#This Row],[STD]]</f>
        <v>0.62152777777777779</v>
      </c>
    </row>
    <row r="2037" spans="1:20" hidden="1" x14ac:dyDescent="0.35">
      <c r="A2037" s="11">
        <v>46183</v>
      </c>
      <c r="B2037" s="3">
        <v>3</v>
      </c>
      <c r="C2037" t="s">
        <v>113</v>
      </c>
      <c r="D2037" t="s">
        <v>18</v>
      </c>
      <c r="E2037" s="3">
        <v>15</v>
      </c>
      <c r="F2037" t="s">
        <v>19</v>
      </c>
      <c r="G2037" t="s">
        <v>64</v>
      </c>
      <c r="H2037" t="s">
        <v>31</v>
      </c>
      <c r="I2037" s="12">
        <v>0.60069444444444442</v>
      </c>
      <c r="J2037" t="s">
        <v>65</v>
      </c>
      <c r="K2037" t="s">
        <v>66</v>
      </c>
      <c r="L2037" s="12">
        <v>0.62847222222222221</v>
      </c>
      <c r="M2037" t="s">
        <v>63</v>
      </c>
      <c r="N2037" s="3">
        <v>232</v>
      </c>
      <c r="O2037" t="s">
        <v>24</v>
      </c>
      <c r="P2037" t="s">
        <v>56</v>
      </c>
      <c r="R2037">
        <f>tblDailySchedule[[#This Row],[Capacity Approx]]*'[1]Load Factor Sheet June Acft  '!$B$5</f>
        <v>187.86727272727273</v>
      </c>
      <c r="S2037">
        <f>tblDailySchedule[[#This Row],[Capacity Approx]]*'[1]Load Factor Sheet June Acft  '!$D$5</f>
        <v>203.4218181818182</v>
      </c>
      <c r="T2037" s="22">
        <f>tblDailySchedule[[#This Row],[STD]]</f>
        <v>0.62847222222222221</v>
      </c>
    </row>
    <row r="2038" spans="1:20" hidden="1" x14ac:dyDescent="0.35">
      <c r="A2038" s="11">
        <v>46183</v>
      </c>
      <c r="B2038" s="3">
        <v>3</v>
      </c>
      <c r="C2038" t="s">
        <v>113</v>
      </c>
      <c r="D2038" t="s">
        <v>18</v>
      </c>
      <c r="E2038" s="3">
        <v>16</v>
      </c>
      <c r="F2038" t="s">
        <v>19</v>
      </c>
      <c r="G2038" t="s">
        <v>67</v>
      </c>
      <c r="H2038" t="s">
        <v>31</v>
      </c>
      <c r="I2038" s="12">
        <v>0.65625</v>
      </c>
      <c r="J2038" t="s">
        <v>68</v>
      </c>
      <c r="K2038" t="s">
        <v>31</v>
      </c>
      <c r="L2038" s="12">
        <v>0.68402777777777779</v>
      </c>
      <c r="M2038" t="s">
        <v>63</v>
      </c>
      <c r="N2038" s="3">
        <v>232</v>
      </c>
      <c r="O2038" t="s">
        <v>24</v>
      </c>
      <c r="P2038" t="s">
        <v>56</v>
      </c>
      <c r="R2038">
        <f>tblDailySchedule[[#This Row],[Capacity Approx]]*'[1]Load Factor Sheet June Acft  '!$B$5</f>
        <v>187.86727272727273</v>
      </c>
      <c r="S2038">
        <f>tblDailySchedule[[#This Row],[Capacity Approx]]*'[1]Load Factor Sheet June Acft  '!$D$5</f>
        <v>203.4218181818182</v>
      </c>
      <c r="T2038" s="22">
        <f>tblDailySchedule[[#This Row],[STD]]</f>
        <v>0.68402777777777779</v>
      </c>
    </row>
    <row r="2039" spans="1:20" hidden="1" x14ac:dyDescent="0.35">
      <c r="A2039" s="11">
        <v>46183</v>
      </c>
      <c r="B2039" s="3">
        <v>3</v>
      </c>
      <c r="C2039" t="s">
        <v>113</v>
      </c>
      <c r="D2039" t="s">
        <v>18</v>
      </c>
      <c r="E2039" s="3">
        <v>17</v>
      </c>
      <c r="F2039" t="s">
        <v>19</v>
      </c>
      <c r="G2039" t="s">
        <v>69</v>
      </c>
      <c r="H2039" t="s">
        <v>31</v>
      </c>
      <c r="I2039" s="12">
        <v>0.66319444444444442</v>
      </c>
      <c r="J2039" t="s">
        <v>70</v>
      </c>
      <c r="K2039" t="s">
        <v>31</v>
      </c>
      <c r="L2039" s="12">
        <v>0.69097222222222221</v>
      </c>
      <c r="M2039" t="s">
        <v>33</v>
      </c>
      <c r="N2039" s="3">
        <v>189</v>
      </c>
      <c r="O2039" t="s">
        <v>24</v>
      </c>
      <c r="P2039" t="s">
        <v>56</v>
      </c>
      <c r="R2039">
        <f>tblDailySchedule[[#This Row],[Capacity Approx]]*'[1]Load Factor Sheet June Acft  '!$B$5</f>
        <v>153.04704545454547</v>
      </c>
      <c r="S2039">
        <f>tblDailySchedule[[#This Row],[Capacity Approx]]*'[1]Load Factor Sheet June Acft  '!$D$5</f>
        <v>165.71863636363636</v>
      </c>
      <c r="T2039" s="22">
        <f>tblDailySchedule[[#This Row],[STD]]</f>
        <v>0.69097222222222221</v>
      </c>
    </row>
    <row r="2040" spans="1:20" hidden="1" x14ac:dyDescent="0.35">
      <c r="A2040" s="11">
        <v>46183</v>
      </c>
      <c r="B2040" s="3">
        <v>3</v>
      </c>
      <c r="C2040" t="s">
        <v>113</v>
      </c>
      <c r="D2040" t="s">
        <v>18</v>
      </c>
      <c r="E2040" s="3">
        <v>18</v>
      </c>
      <c r="F2040" t="s">
        <v>19</v>
      </c>
      <c r="G2040" t="s">
        <v>71</v>
      </c>
      <c r="H2040" t="s">
        <v>21</v>
      </c>
      <c r="I2040" s="12">
        <v>0.67013888888888884</v>
      </c>
      <c r="J2040" t="s">
        <v>72</v>
      </c>
      <c r="K2040" t="s">
        <v>21</v>
      </c>
      <c r="L2040" s="12">
        <v>0.69791666666666663</v>
      </c>
      <c r="M2040" t="s">
        <v>63</v>
      </c>
      <c r="N2040" s="3">
        <v>232</v>
      </c>
      <c r="O2040" t="s">
        <v>24</v>
      </c>
      <c r="P2040" t="s">
        <v>56</v>
      </c>
      <c r="R2040">
        <f>tblDailySchedule[[#This Row],[Capacity Approx]]*'[1]Load Factor Sheet June Acft  '!$B$5</f>
        <v>187.86727272727273</v>
      </c>
      <c r="S2040">
        <f>tblDailySchedule[[#This Row],[Capacity Approx]]*'[1]Load Factor Sheet June Acft  '!$D$5</f>
        <v>203.4218181818182</v>
      </c>
      <c r="T2040" s="22">
        <f>tblDailySchedule[[#This Row],[STD]]</f>
        <v>0.69791666666666663</v>
      </c>
    </row>
    <row r="2041" spans="1:20" hidden="1" x14ac:dyDescent="0.35">
      <c r="A2041" s="11">
        <v>46183</v>
      </c>
      <c r="B2041" s="3">
        <v>3</v>
      </c>
      <c r="C2041" t="s">
        <v>113</v>
      </c>
      <c r="D2041" t="s">
        <v>18</v>
      </c>
      <c r="E2041" s="3">
        <v>19</v>
      </c>
      <c r="F2041" t="s">
        <v>19</v>
      </c>
      <c r="G2041" t="s">
        <v>73</v>
      </c>
      <c r="H2041" t="s">
        <v>27</v>
      </c>
      <c r="I2041" s="12">
        <v>0.74652777777777779</v>
      </c>
      <c r="J2041" t="s">
        <v>74</v>
      </c>
      <c r="K2041" t="s">
        <v>27</v>
      </c>
      <c r="L2041" s="12">
        <v>0.77430555555555558</v>
      </c>
      <c r="M2041" t="s">
        <v>63</v>
      </c>
      <c r="N2041" s="3">
        <v>232</v>
      </c>
      <c r="O2041" t="s">
        <v>24</v>
      </c>
      <c r="P2041" t="s">
        <v>56</v>
      </c>
      <c r="R2041">
        <f>tblDailySchedule[[#This Row],[Capacity Approx]]*'[1]Load Factor Sheet June Acft  '!$B$5</f>
        <v>187.86727272727273</v>
      </c>
      <c r="S2041">
        <f>tblDailySchedule[[#This Row],[Capacity Approx]]*'[1]Load Factor Sheet June Acft  '!$D$5</f>
        <v>203.4218181818182</v>
      </c>
      <c r="T2041" s="22">
        <f>tblDailySchedule[[#This Row],[STD]]</f>
        <v>0.77430555555555558</v>
      </c>
    </row>
    <row r="2042" spans="1:20" hidden="1" x14ac:dyDescent="0.35">
      <c r="A2042" s="11">
        <v>46183</v>
      </c>
      <c r="B2042" s="3">
        <v>3</v>
      </c>
      <c r="C2042" t="s">
        <v>113</v>
      </c>
      <c r="D2042" t="s">
        <v>18</v>
      </c>
      <c r="E2042" s="3">
        <v>20</v>
      </c>
      <c r="F2042" t="s">
        <v>34</v>
      </c>
      <c r="G2042" t="s">
        <v>75</v>
      </c>
      <c r="H2042" t="s">
        <v>76</v>
      </c>
      <c r="I2042" s="12">
        <v>0.76388888888888884</v>
      </c>
      <c r="J2042" t="s">
        <v>77</v>
      </c>
      <c r="K2042" t="s">
        <v>78</v>
      </c>
      <c r="L2042" s="12">
        <v>0.78472222222222221</v>
      </c>
      <c r="M2042" t="s">
        <v>51</v>
      </c>
      <c r="N2042" s="3">
        <v>78</v>
      </c>
      <c r="O2042" t="s">
        <v>24</v>
      </c>
      <c r="P2042" t="s">
        <v>79</v>
      </c>
      <c r="Q2042" s="16" t="s">
        <v>80</v>
      </c>
      <c r="R2042">
        <f>tblDailySchedule[[#This Row],[Capacity Approx]]*'[1]Load Factor Sheet June Acft  '!$B$5</f>
        <v>63.162272727272729</v>
      </c>
      <c r="S2042">
        <f>tblDailySchedule[[#This Row],[Capacity Approx]]*'[1]Load Factor Sheet June Acft  '!$D$5</f>
        <v>68.391818181818181</v>
      </c>
      <c r="T2042" s="22">
        <f>tblDailySchedule[[#This Row],[STD]]</f>
        <v>0.78472222222222221</v>
      </c>
    </row>
    <row r="2043" spans="1:20" hidden="1" x14ac:dyDescent="0.35">
      <c r="A2043" s="11">
        <v>46183</v>
      </c>
      <c r="B2043" s="3">
        <v>3</v>
      </c>
      <c r="C2043" t="s">
        <v>113</v>
      </c>
      <c r="D2043" t="s">
        <v>18</v>
      </c>
      <c r="E2043" s="3">
        <v>21</v>
      </c>
      <c r="F2043" t="s">
        <v>19</v>
      </c>
      <c r="G2043" t="s">
        <v>81</v>
      </c>
      <c r="H2043" t="s">
        <v>61</v>
      </c>
      <c r="I2043" s="12">
        <v>0.77083333333333337</v>
      </c>
      <c r="J2043" t="s">
        <v>82</v>
      </c>
      <c r="K2043" t="s">
        <v>49</v>
      </c>
      <c r="L2043" s="12">
        <v>0.79166666666666663</v>
      </c>
      <c r="M2043" t="s">
        <v>33</v>
      </c>
      <c r="N2043" s="3">
        <v>189</v>
      </c>
      <c r="O2043" t="s">
        <v>24</v>
      </c>
      <c r="P2043" t="s">
        <v>79</v>
      </c>
      <c r="R2043">
        <f>tblDailySchedule[[#This Row],[Capacity Approx]]*'[1]Load Factor Sheet June Acft  '!$B$5</f>
        <v>153.04704545454547</v>
      </c>
      <c r="S2043">
        <f>tblDailySchedule[[#This Row],[Capacity Approx]]*'[1]Load Factor Sheet June Acft  '!$D$5</f>
        <v>165.71863636363636</v>
      </c>
      <c r="T2043" s="22">
        <f>tblDailySchedule[[#This Row],[STD]]</f>
        <v>0.79166666666666663</v>
      </c>
    </row>
    <row r="2044" spans="1:20" hidden="1" x14ac:dyDescent="0.35">
      <c r="A2044" s="11">
        <v>46183</v>
      </c>
      <c r="B2044" s="3">
        <v>3</v>
      </c>
      <c r="C2044" t="s">
        <v>113</v>
      </c>
      <c r="D2044" t="s">
        <v>18</v>
      </c>
      <c r="E2044" s="3">
        <v>22</v>
      </c>
      <c r="F2044" t="s">
        <v>19</v>
      </c>
      <c r="G2044" t="s">
        <v>83</v>
      </c>
      <c r="H2044" t="s">
        <v>31</v>
      </c>
      <c r="I2044" s="12">
        <v>0.77777777777777779</v>
      </c>
      <c r="J2044" t="s">
        <v>84</v>
      </c>
      <c r="K2044" t="s">
        <v>31</v>
      </c>
      <c r="L2044" s="12">
        <v>0.80555555555555558</v>
      </c>
      <c r="M2044" t="s">
        <v>63</v>
      </c>
      <c r="N2044" s="3">
        <v>232</v>
      </c>
      <c r="O2044" t="s">
        <v>24</v>
      </c>
      <c r="P2044" t="s">
        <v>79</v>
      </c>
      <c r="R2044">
        <f>tblDailySchedule[[#This Row],[Capacity Approx]]*'[1]Load Factor Sheet June Acft  '!$B$5</f>
        <v>187.86727272727273</v>
      </c>
      <c r="S2044">
        <f>tblDailySchedule[[#This Row],[Capacity Approx]]*'[1]Load Factor Sheet June Acft  '!$D$5</f>
        <v>203.4218181818182</v>
      </c>
      <c r="T2044" s="22">
        <f>tblDailySchedule[[#This Row],[STD]]</f>
        <v>0.80555555555555558</v>
      </c>
    </row>
    <row r="2045" spans="1:20" hidden="1" x14ac:dyDescent="0.35">
      <c r="A2045" s="11">
        <v>46183</v>
      </c>
      <c r="B2045" s="3">
        <v>3</v>
      </c>
      <c r="C2045" t="s">
        <v>113</v>
      </c>
      <c r="D2045" t="s">
        <v>18</v>
      </c>
      <c r="E2045" s="3">
        <v>23</v>
      </c>
      <c r="F2045" t="s">
        <v>19</v>
      </c>
      <c r="G2045" t="s">
        <v>85</v>
      </c>
      <c r="H2045" t="s">
        <v>86</v>
      </c>
      <c r="I2045" s="12">
        <v>0.79861111111111116</v>
      </c>
      <c r="J2045" t="s">
        <v>87</v>
      </c>
      <c r="K2045" t="s">
        <v>86</v>
      </c>
      <c r="L2045" s="12">
        <v>0.82638888888888884</v>
      </c>
      <c r="M2045" t="s">
        <v>63</v>
      </c>
      <c r="N2045" s="3">
        <v>232</v>
      </c>
      <c r="O2045" t="s">
        <v>24</v>
      </c>
      <c r="P2045" t="s">
        <v>79</v>
      </c>
      <c r="R2045">
        <f>tblDailySchedule[[#This Row],[Capacity Approx]]*'[1]Load Factor Sheet June Acft  '!$B$5</f>
        <v>187.86727272727273</v>
      </c>
      <c r="S2045">
        <f>tblDailySchedule[[#This Row],[Capacity Approx]]*'[1]Load Factor Sheet June Acft  '!$D$5</f>
        <v>203.4218181818182</v>
      </c>
      <c r="T2045" s="22">
        <f>tblDailySchedule[[#This Row],[STD]]</f>
        <v>0.82638888888888884</v>
      </c>
    </row>
    <row r="2046" spans="1:20" hidden="1" x14ac:dyDescent="0.35">
      <c r="A2046" s="11">
        <v>46183</v>
      </c>
      <c r="B2046" s="3">
        <v>3</v>
      </c>
      <c r="C2046" t="s">
        <v>113</v>
      </c>
      <c r="D2046" t="s">
        <v>18</v>
      </c>
      <c r="E2046" s="3">
        <v>24</v>
      </c>
      <c r="F2046" t="s">
        <v>19</v>
      </c>
      <c r="G2046" t="s">
        <v>88</v>
      </c>
      <c r="H2046" t="s">
        <v>89</v>
      </c>
      <c r="I2046" s="12">
        <v>0.83333333333333337</v>
      </c>
      <c r="J2046" t="s">
        <v>90</v>
      </c>
      <c r="K2046" t="s">
        <v>31</v>
      </c>
      <c r="L2046" s="12">
        <v>0.86111111111111116</v>
      </c>
      <c r="M2046" t="s">
        <v>63</v>
      </c>
      <c r="N2046" s="3">
        <v>232</v>
      </c>
      <c r="O2046" t="s">
        <v>24</v>
      </c>
      <c r="P2046" t="s">
        <v>79</v>
      </c>
      <c r="R2046">
        <f>tblDailySchedule[[#This Row],[Capacity Approx]]*'[1]Load Factor Sheet June Acft  '!$B$5</f>
        <v>187.86727272727273</v>
      </c>
      <c r="S2046">
        <f>tblDailySchedule[[#This Row],[Capacity Approx]]*'[1]Load Factor Sheet June Acft  '!$D$5</f>
        <v>203.4218181818182</v>
      </c>
      <c r="T2046" s="22">
        <f>tblDailySchedule[[#This Row],[STD]]</f>
        <v>0.86111111111111116</v>
      </c>
    </row>
    <row r="2047" spans="1:20" hidden="1" x14ac:dyDescent="0.35">
      <c r="A2047" s="11">
        <v>46183</v>
      </c>
      <c r="B2047" s="3">
        <v>3</v>
      </c>
      <c r="C2047" t="s">
        <v>113</v>
      </c>
      <c r="D2047" t="s">
        <v>18</v>
      </c>
      <c r="E2047" s="3">
        <v>25</v>
      </c>
      <c r="F2047" t="s">
        <v>19</v>
      </c>
      <c r="G2047" t="s">
        <v>91</v>
      </c>
      <c r="H2047" t="s">
        <v>61</v>
      </c>
      <c r="I2047" s="12">
        <v>0.85416666666666663</v>
      </c>
      <c r="J2047" t="s">
        <v>92</v>
      </c>
      <c r="K2047" t="s">
        <v>61</v>
      </c>
      <c r="L2047" s="12">
        <v>0.88194444444444442</v>
      </c>
      <c r="M2047" t="s">
        <v>63</v>
      </c>
      <c r="N2047" s="3">
        <v>232</v>
      </c>
      <c r="O2047" t="s">
        <v>24</v>
      </c>
      <c r="P2047" t="s">
        <v>79</v>
      </c>
      <c r="R2047">
        <f>tblDailySchedule[[#This Row],[Capacity Approx]]*'[1]Load Factor Sheet June Acft  '!$B$5</f>
        <v>187.86727272727273</v>
      </c>
      <c r="S2047">
        <f>tblDailySchedule[[#This Row],[Capacity Approx]]*'[1]Load Factor Sheet June Acft  '!$D$5</f>
        <v>203.4218181818182</v>
      </c>
      <c r="T2047" s="22">
        <f>tblDailySchedule[[#This Row],[STD]]</f>
        <v>0.88194444444444442</v>
      </c>
    </row>
    <row r="2048" spans="1:20" hidden="1" x14ac:dyDescent="0.35">
      <c r="A2048" s="11">
        <v>46183</v>
      </c>
      <c r="B2048" s="3">
        <v>3</v>
      </c>
      <c r="C2048" t="s">
        <v>113</v>
      </c>
      <c r="D2048" t="s">
        <v>18</v>
      </c>
      <c r="E2048" s="3">
        <v>26</v>
      </c>
      <c r="F2048" t="s">
        <v>19</v>
      </c>
      <c r="G2048" t="s">
        <v>93</v>
      </c>
      <c r="H2048" t="s">
        <v>31</v>
      </c>
      <c r="I2048" s="12">
        <v>0.86111111111111116</v>
      </c>
      <c r="J2048" t="s">
        <v>94</v>
      </c>
      <c r="K2048" t="s">
        <v>31</v>
      </c>
      <c r="L2048" s="12">
        <v>0.88888888888888884</v>
      </c>
      <c r="M2048" t="s">
        <v>23</v>
      </c>
      <c r="N2048" s="3">
        <v>186</v>
      </c>
      <c r="O2048" t="s">
        <v>24</v>
      </c>
      <c r="P2048" t="s">
        <v>79</v>
      </c>
      <c r="R2048">
        <f>tblDailySchedule[[#This Row],[Capacity Approx]]*'[1]Load Factor Sheet June Acft  '!$B$5</f>
        <v>150.61772727272728</v>
      </c>
      <c r="S2048">
        <f>tblDailySchedule[[#This Row],[Capacity Approx]]*'[1]Load Factor Sheet June Acft  '!$D$5</f>
        <v>163.08818181818182</v>
      </c>
      <c r="T2048" s="22">
        <f>tblDailySchedule[[#This Row],[STD]]</f>
        <v>0.88888888888888884</v>
      </c>
    </row>
    <row r="2049" spans="1:20" hidden="1" x14ac:dyDescent="0.35">
      <c r="A2049" s="11">
        <v>46183</v>
      </c>
      <c r="B2049" s="3">
        <v>3</v>
      </c>
      <c r="C2049" t="s">
        <v>113</v>
      </c>
      <c r="D2049" t="s">
        <v>18</v>
      </c>
      <c r="E2049" s="3">
        <v>27</v>
      </c>
      <c r="F2049" t="s">
        <v>19</v>
      </c>
      <c r="G2049" t="s">
        <v>95</v>
      </c>
      <c r="H2049" t="s">
        <v>21</v>
      </c>
      <c r="I2049" s="12">
        <v>0.86805555555555558</v>
      </c>
      <c r="J2049" t="s">
        <v>96</v>
      </c>
      <c r="K2049" t="s">
        <v>21</v>
      </c>
      <c r="L2049" s="12">
        <v>0.89583333333333337</v>
      </c>
      <c r="M2049" t="s">
        <v>29</v>
      </c>
      <c r="N2049" s="3">
        <v>186</v>
      </c>
      <c r="O2049" t="s">
        <v>24</v>
      </c>
      <c r="P2049" t="s">
        <v>79</v>
      </c>
      <c r="R2049">
        <f>tblDailySchedule[[#This Row],[Capacity Approx]]*'[1]Load Factor Sheet June Acft  '!$B$5</f>
        <v>150.61772727272728</v>
      </c>
      <c r="S2049">
        <f>tblDailySchedule[[#This Row],[Capacity Approx]]*'[1]Load Factor Sheet June Acft  '!$D$5</f>
        <v>163.08818181818182</v>
      </c>
      <c r="T2049" s="22">
        <f>tblDailySchedule[[#This Row],[STD]]</f>
        <v>0.89583333333333337</v>
      </c>
    </row>
    <row r="2050" spans="1:20" hidden="1" x14ac:dyDescent="0.35">
      <c r="A2050" s="11">
        <v>46183</v>
      </c>
      <c r="B2050" s="3">
        <v>3</v>
      </c>
      <c r="C2050" t="s">
        <v>113</v>
      </c>
      <c r="D2050" t="s">
        <v>18</v>
      </c>
      <c r="E2050" s="3">
        <v>28</v>
      </c>
      <c r="F2050" t="s">
        <v>19</v>
      </c>
      <c r="G2050" t="s">
        <v>97</v>
      </c>
      <c r="H2050" t="s">
        <v>49</v>
      </c>
      <c r="I2050" s="12">
        <v>0.90277777777777779</v>
      </c>
      <c r="J2050" t="s">
        <v>97</v>
      </c>
      <c r="K2050" t="s">
        <v>61</v>
      </c>
      <c r="L2050" s="12">
        <v>0.92361111111111116</v>
      </c>
      <c r="M2050" t="s">
        <v>33</v>
      </c>
      <c r="N2050" s="3">
        <v>189</v>
      </c>
      <c r="O2050" t="s">
        <v>24</v>
      </c>
      <c r="P2050" t="s">
        <v>79</v>
      </c>
      <c r="R2050">
        <f>tblDailySchedule[[#This Row],[Capacity Approx]]*'[1]Load Factor Sheet June Acft  '!$B$5</f>
        <v>153.04704545454547</v>
      </c>
      <c r="S2050">
        <f>tblDailySchedule[[#This Row],[Capacity Approx]]*'[1]Load Factor Sheet June Acft  '!$D$5</f>
        <v>165.71863636363636</v>
      </c>
      <c r="T2050" s="22">
        <f>tblDailySchedule[[#This Row],[STD]]</f>
        <v>0.92361111111111116</v>
      </c>
    </row>
    <row r="2051" spans="1:20" hidden="1" x14ac:dyDescent="0.35">
      <c r="A2051" s="11">
        <v>46183</v>
      </c>
      <c r="B2051" s="3">
        <v>3</v>
      </c>
      <c r="C2051" t="s">
        <v>113</v>
      </c>
      <c r="D2051" t="s">
        <v>18</v>
      </c>
      <c r="E2051" s="3">
        <v>29</v>
      </c>
      <c r="F2051" t="s">
        <v>19</v>
      </c>
      <c r="G2051" t="s">
        <v>98</v>
      </c>
      <c r="H2051" t="s">
        <v>21</v>
      </c>
      <c r="I2051" s="12">
        <v>0.92013888888888884</v>
      </c>
      <c r="J2051" t="s">
        <v>99</v>
      </c>
      <c r="K2051" t="s">
        <v>21</v>
      </c>
      <c r="L2051" s="12">
        <v>0.94791666666666663</v>
      </c>
      <c r="M2051" t="s">
        <v>63</v>
      </c>
      <c r="N2051" s="3">
        <v>232</v>
      </c>
      <c r="O2051" t="s">
        <v>24</v>
      </c>
      <c r="P2051" t="s">
        <v>79</v>
      </c>
      <c r="R2051">
        <f>tblDailySchedule[[#This Row],[Capacity Approx]]*'[1]Load Factor Sheet June Acft  '!$B$5</f>
        <v>187.86727272727273</v>
      </c>
      <c r="S2051">
        <f>tblDailySchedule[[#This Row],[Capacity Approx]]*'[1]Load Factor Sheet June Acft  '!$D$5</f>
        <v>203.4218181818182</v>
      </c>
      <c r="T2051" s="22">
        <f>tblDailySchedule[[#This Row],[STD]]</f>
        <v>0.94791666666666663</v>
      </c>
    </row>
    <row r="2052" spans="1:20" hidden="1" x14ac:dyDescent="0.35">
      <c r="A2052" s="13">
        <v>46183</v>
      </c>
      <c r="B2052" s="7">
        <v>3</v>
      </c>
      <c r="C2052" s="14" t="s">
        <v>113</v>
      </c>
      <c r="D2052" s="14" t="s">
        <v>18</v>
      </c>
      <c r="E2052" s="7">
        <v>30</v>
      </c>
      <c r="F2052" s="14" t="s">
        <v>104</v>
      </c>
      <c r="G2052" s="14" t="s">
        <v>105</v>
      </c>
      <c r="H2052" s="14" t="s">
        <v>106</v>
      </c>
      <c r="I2052" s="15">
        <v>0.92708333333333337</v>
      </c>
      <c r="J2052" s="14" t="s">
        <v>107</v>
      </c>
      <c r="K2052" s="14" t="s">
        <v>106</v>
      </c>
      <c r="L2052" s="15">
        <v>0.95833333333333337</v>
      </c>
      <c r="M2052" s="14" t="s">
        <v>38</v>
      </c>
      <c r="N2052" s="7">
        <v>186</v>
      </c>
      <c r="O2052" s="14" t="s">
        <v>39</v>
      </c>
      <c r="P2052" s="14" t="s">
        <v>79</v>
      </c>
      <c r="Q2052" s="14" t="s">
        <v>39</v>
      </c>
      <c r="R2052">
        <f>tblDailySchedule[[#This Row],[Capacity Approx]]*'[1]Load Factor Sheet June Acft  '!$B$5</f>
        <v>150.61772727272728</v>
      </c>
      <c r="S2052">
        <f>tblDailySchedule[[#This Row],[Capacity Approx]]*'[1]Load Factor Sheet June Acft  '!$D$5</f>
        <v>163.08818181818182</v>
      </c>
      <c r="T2052" s="22">
        <f>tblDailySchedule[[#This Row],[STD]]</f>
        <v>0.95833333333333337</v>
      </c>
    </row>
    <row r="2053" spans="1:20" hidden="1" x14ac:dyDescent="0.35">
      <c r="A2053" s="11">
        <v>46184</v>
      </c>
      <c r="B2053" s="3">
        <v>4</v>
      </c>
      <c r="C2053" t="s">
        <v>114</v>
      </c>
      <c r="D2053" t="s">
        <v>18</v>
      </c>
      <c r="E2053" s="3">
        <v>1</v>
      </c>
      <c r="F2053" t="s">
        <v>101</v>
      </c>
      <c r="G2053" t="s">
        <v>102</v>
      </c>
      <c r="H2053" t="s">
        <v>61</v>
      </c>
      <c r="I2053" s="12">
        <v>0.3125</v>
      </c>
      <c r="J2053" t="s">
        <v>103</v>
      </c>
      <c r="K2053" t="s">
        <v>61</v>
      </c>
      <c r="L2053" s="12">
        <v>0.33333333333333331</v>
      </c>
      <c r="M2053" t="s">
        <v>33</v>
      </c>
      <c r="N2053" s="3">
        <v>189</v>
      </c>
      <c r="O2053" t="s">
        <v>24</v>
      </c>
      <c r="P2053" t="s">
        <v>25</v>
      </c>
      <c r="R2053">
        <f>tblDailySchedule[[#This Row],[Capacity Approx]]*'[1]Load Factor Sheet June Acft  '!$B$5</f>
        <v>153.04704545454547</v>
      </c>
      <c r="S2053">
        <f>tblDailySchedule[[#This Row],[Capacity Approx]]*'[1]Load Factor Sheet June Acft  '!$D$5</f>
        <v>165.71863636363636</v>
      </c>
      <c r="T2053" s="22">
        <f>tblDailySchedule[[#This Row],[STD]]</f>
        <v>0.33333333333333331</v>
      </c>
    </row>
    <row r="2054" spans="1:20" hidden="1" x14ac:dyDescent="0.35">
      <c r="A2054" s="11">
        <v>46184</v>
      </c>
      <c r="B2054" s="3">
        <v>4</v>
      </c>
      <c r="C2054" t="s">
        <v>114</v>
      </c>
      <c r="D2054" t="s">
        <v>18</v>
      </c>
      <c r="E2054" s="3">
        <v>2</v>
      </c>
      <c r="F2054" t="s">
        <v>19</v>
      </c>
      <c r="G2054" t="s">
        <v>20</v>
      </c>
      <c r="H2054" t="s">
        <v>21</v>
      </c>
      <c r="I2054" s="12">
        <v>0.31944444444444442</v>
      </c>
      <c r="J2054" t="s">
        <v>22</v>
      </c>
      <c r="K2054" t="s">
        <v>21</v>
      </c>
      <c r="L2054" s="12">
        <v>0.34722222222222221</v>
      </c>
      <c r="M2054" t="s">
        <v>23</v>
      </c>
      <c r="N2054" s="3">
        <v>186</v>
      </c>
      <c r="O2054" t="s">
        <v>24</v>
      </c>
      <c r="P2054" t="s">
        <v>25</v>
      </c>
      <c r="R2054">
        <f>tblDailySchedule[[#This Row],[Capacity Approx]]*'[1]Load Factor Sheet June Acft  '!$B$5</f>
        <v>150.61772727272728</v>
      </c>
      <c r="S2054">
        <f>tblDailySchedule[[#This Row],[Capacity Approx]]*'[1]Load Factor Sheet June Acft  '!$D$5</f>
        <v>163.08818181818182</v>
      </c>
      <c r="T2054" s="22">
        <f>tblDailySchedule[[#This Row],[STD]]</f>
        <v>0.34722222222222221</v>
      </c>
    </row>
    <row r="2055" spans="1:20" hidden="1" x14ac:dyDescent="0.35">
      <c r="A2055" s="11">
        <v>46184</v>
      </c>
      <c r="B2055" s="3">
        <v>4</v>
      </c>
      <c r="C2055" t="s">
        <v>114</v>
      </c>
      <c r="D2055" t="s">
        <v>18</v>
      </c>
      <c r="E2055" s="3">
        <v>3</v>
      </c>
      <c r="F2055" t="s">
        <v>19</v>
      </c>
      <c r="G2055" t="s">
        <v>26</v>
      </c>
      <c r="H2055" t="s">
        <v>27</v>
      </c>
      <c r="I2055" s="12">
        <v>0.3263888888888889</v>
      </c>
      <c r="J2055" t="s">
        <v>28</v>
      </c>
      <c r="K2055" t="s">
        <v>27</v>
      </c>
      <c r="L2055" s="12">
        <v>0.35416666666666669</v>
      </c>
      <c r="M2055" t="s">
        <v>29</v>
      </c>
      <c r="N2055" s="3">
        <v>186</v>
      </c>
      <c r="O2055" t="s">
        <v>24</v>
      </c>
      <c r="P2055" t="s">
        <v>25</v>
      </c>
      <c r="R2055">
        <f>tblDailySchedule[[#This Row],[Capacity Approx]]*'[1]Load Factor Sheet June Acft  '!$B$5</f>
        <v>150.61772727272728</v>
      </c>
      <c r="S2055">
        <f>tblDailySchedule[[#This Row],[Capacity Approx]]*'[1]Load Factor Sheet June Acft  '!$D$5</f>
        <v>163.08818181818182</v>
      </c>
      <c r="T2055" s="22">
        <f>tblDailySchedule[[#This Row],[STD]]</f>
        <v>0.35416666666666669</v>
      </c>
    </row>
    <row r="2056" spans="1:20" hidden="1" x14ac:dyDescent="0.35">
      <c r="A2056" s="11">
        <v>46184</v>
      </c>
      <c r="B2056" s="3">
        <v>4</v>
      </c>
      <c r="C2056" t="s">
        <v>114</v>
      </c>
      <c r="D2056" t="s">
        <v>18</v>
      </c>
      <c r="E2056" s="3">
        <v>4</v>
      </c>
      <c r="F2056" t="s">
        <v>19</v>
      </c>
      <c r="G2056" t="s">
        <v>30</v>
      </c>
      <c r="H2056" t="s">
        <v>31</v>
      </c>
      <c r="I2056" s="12">
        <v>0.34722222222222221</v>
      </c>
      <c r="J2056" t="s">
        <v>32</v>
      </c>
      <c r="K2056" t="s">
        <v>31</v>
      </c>
      <c r="L2056" s="12">
        <v>0.36805555555555558</v>
      </c>
      <c r="M2056" t="s">
        <v>33</v>
      </c>
      <c r="N2056" s="3">
        <v>189</v>
      </c>
      <c r="O2056" t="s">
        <v>24</v>
      </c>
      <c r="P2056" t="s">
        <v>25</v>
      </c>
      <c r="R2056">
        <f>tblDailySchedule[[#This Row],[Capacity Approx]]*'[1]Load Factor Sheet June Acft  '!$B$5</f>
        <v>153.04704545454547</v>
      </c>
      <c r="S2056">
        <f>tblDailySchedule[[#This Row],[Capacity Approx]]*'[1]Load Factor Sheet June Acft  '!$D$5</f>
        <v>165.71863636363636</v>
      </c>
      <c r="T2056" s="22">
        <f>tblDailySchedule[[#This Row],[STD]]</f>
        <v>0.36805555555555558</v>
      </c>
    </row>
    <row r="2057" spans="1:20" hidden="1" x14ac:dyDescent="0.35">
      <c r="A2057" s="11">
        <v>46184</v>
      </c>
      <c r="B2057" s="3">
        <v>4</v>
      </c>
      <c r="C2057" t="s">
        <v>114</v>
      </c>
      <c r="D2057" t="s">
        <v>18</v>
      </c>
      <c r="E2057" s="3">
        <v>5</v>
      </c>
      <c r="F2057" t="s">
        <v>19</v>
      </c>
      <c r="G2057" t="s">
        <v>40</v>
      </c>
      <c r="H2057" t="s">
        <v>31</v>
      </c>
      <c r="I2057" s="12">
        <v>0.35069444444444442</v>
      </c>
      <c r="J2057" t="s">
        <v>41</v>
      </c>
      <c r="K2057" t="s">
        <v>31</v>
      </c>
      <c r="L2057" s="12">
        <v>0.37152777777777779</v>
      </c>
      <c r="M2057" t="s">
        <v>23</v>
      </c>
      <c r="N2057" s="3">
        <v>186</v>
      </c>
      <c r="O2057" t="s">
        <v>24</v>
      </c>
      <c r="P2057" t="s">
        <v>25</v>
      </c>
      <c r="R2057">
        <f>tblDailySchedule[[#This Row],[Capacity Approx]]*'[1]Load Factor Sheet June Acft  '!$B$5</f>
        <v>150.61772727272728</v>
      </c>
      <c r="S2057">
        <f>tblDailySchedule[[#This Row],[Capacity Approx]]*'[1]Load Factor Sheet June Acft  '!$D$5</f>
        <v>163.08818181818182</v>
      </c>
      <c r="T2057" s="22">
        <f>tblDailySchedule[[#This Row],[STD]]</f>
        <v>0.37152777777777779</v>
      </c>
    </row>
    <row r="2058" spans="1:20" hidden="1" x14ac:dyDescent="0.35">
      <c r="A2058" s="11">
        <v>46184</v>
      </c>
      <c r="B2058" s="3">
        <v>4</v>
      </c>
      <c r="C2058" t="s">
        <v>114</v>
      </c>
      <c r="D2058" t="s">
        <v>18</v>
      </c>
      <c r="E2058" s="3">
        <v>7</v>
      </c>
      <c r="F2058" t="s">
        <v>19</v>
      </c>
      <c r="G2058" t="s">
        <v>42</v>
      </c>
      <c r="H2058" t="s">
        <v>43</v>
      </c>
      <c r="I2058" s="12">
        <v>0.3923611111111111</v>
      </c>
      <c r="J2058" t="s">
        <v>44</v>
      </c>
      <c r="K2058" t="s">
        <v>43</v>
      </c>
      <c r="L2058" s="12">
        <v>0.40277777777777779</v>
      </c>
      <c r="M2058" t="s">
        <v>45</v>
      </c>
      <c r="N2058" s="3">
        <v>9</v>
      </c>
      <c r="O2058" t="s">
        <v>24</v>
      </c>
      <c r="P2058" t="s">
        <v>25</v>
      </c>
      <c r="R2058">
        <f>tblDailySchedule[[#This Row],[Capacity Approx]]*'[1]Load Factor Sheet June Acft  '!$B$5</f>
        <v>7.2879545454545456</v>
      </c>
      <c r="S2058">
        <f>tblDailySchedule[[#This Row],[Capacity Approx]]*'[1]Load Factor Sheet June Acft  '!$D$5</f>
        <v>7.8913636363636366</v>
      </c>
      <c r="T2058" s="22">
        <f>tblDailySchedule[[#This Row],[STD]]</f>
        <v>0.40277777777777779</v>
      </c>
    </row>
    <row r="2059" spans="1:20" hidden="1" x14ac:dyDescent="0.35">
      <c r="A2059" s="11">
        <v>46184</v>
      </c>
      <c r="B2059" s="3">
        <v>4</v>
      </c>
      <c r="C2059" t="s">
        <v>114</v>
      </c>
      <c r="D2059" t="s">
        <v>18</v>
      </c>
      <c r="E2059" s="3">
        <v>8</v>
      </c>
      <c r="F2059" t="s">
        <v>19</v>
      </c>
      <c r="G2059" t="s">
        <v>46</v>
      </c>
      <c r="H2059" t="s">
        <v>31</v>
      </c>
      <c r="I2059" s="12">
        <v>0.4201388888888889</v>
      </c>
      <c r="J2059" t="s">
        <v>47</v>
      </c>
      <c r="K2059" t="s">
        <v>31</v>
      </c>
      <c r="L2059" s="12">
        <v>0.44444444444444442</v>
      </c>
      <c r="M2059" t="s">
        <v>29</v>
      </c>
      <c r="N2059" s="3">
        <v>186</v>
      </c>
      <c r="O2059" t="s">
        <v>24</v>
      </c>
      <c r="P2059" t="s">
        <v>25</v>
      </c>
      <c r="R2059">
        <f>tblDailySchedule[[#This Row],[Capacity Approx]]*'[1]Load Factor Sheet June Acft  '!$B$5</f>
        <v>150.61772727272728</v>
      </c>
      <c r="S2059">
        <f>tblDailySchedule[[#This Row],[Capacity Approx]]*'[1]Load Factor Sheet June Acft  '!$D$5</f>
        <v>163.08818181818182</v>
      </c>
      <c r="T2059" s="22">
        <f>tblDailySchedule[[#This Row],[STD]]</f>
        <v>0.44444444444444442</v>
      </c>
    </row>
    <row r="2060" spans="1:20" hidden="1" x14ac:dyDescent="0.35">
      <c r="A2060" s="11">
        <v>46184</v>
      </c>
      <c r="B2060" s="3">
        <v>4</v>
      </c>
      <c r="C2060" t="s">
        <v>114</v>
      </c>
      <c r="D2060" t="s">
        <v>18</v>
      </c>
      <c r="E2060" s="3">
        <v>9</v>
      </c>
      <c r="F2060" t="s">
        <v>19</v>
      </c>
      <c r="G2060" t="s">
        <v>48</v>
      </c>
      <c r="H2060" t="s">
        <v>49</v>
      </c>
      <c r="I2060" s="12">
        <v>0.4375</v>
      </c>
      <c r="J2060" t="s">
        <v>50</v>
      </c>
      <c r="K2060" t="s">
        <v>49</v>
      </c>
      <c r="L2060" s="12">
        <v>0.45833333333333331</v>
      </c>
      <c r="M2060" t="s">
        <v>51</v>
      </c>
      <c r="N2060" s="3">
        <v>78</v>
      </c>
      <c r="O2060" t="s">
        <v>24</v>
      </c>
      <c r="P2060" t="s">
        <v>25</v>
      </c>
      <c r="R2060">
        <f>tblDailySchedule[[#This Row],[Capacity Approx]]*'[1]Load Factor Sheet June Acft  '!$B$5</f>
        <v>63.162272727272729</v>
      </c>
      <c r="S2060">
        <f>tblDailySchedule[[#This Row],[Capacity Approx]]*'[1]Load Factor Sheet June Acft  '!$D$5</f>
        <v>68.391818181818181</v>
      </c>
      <c r="T2060" s="22">
        <f>tblDailySchedule[[#This Row],[STD]]</f>
        <v>0.45833333333333331</v>
      </c>
    </row>
    <row r="2061" spans="1:20" hidden="1" x14ac:dyDescent="0.35">
      <c r="A2061" s="11">
        <v>46184</v>
      </c>
      <c r="B2061" s="3">
        <v>4</v>
      </c>
      <c r="C2061" t="s">
        <v>114</v>
      </c>
      <c r="D2061" t="s">
        <v>18</v>
      </c>
      <c r="E2061" s="3">
        <v>10</v>
      </c>
      <c r="F2061" t="s">
        <v>19</v>
      </c>
      <c r="G2061" t="s">
        <v>52</v>
      </c>
      <c r="H2061" t="s">
        <v>27</v>
      </c>
      <c r="I2061" s="12">
        <v>0.4826388888888889</v>
      </c>
      <c r="J2061" t="s">
        <v>53</v>
      </c>
      <c r="K2061" t="s">
        <v>27</v>
      </c>
      <c r="L2061" s="12">
        <v>0.51041666666666663</v>
      </c>
      <c r="M2061" t="s">
        <v>23</v>
      </c>
      <c r="N2061" s="3">
        <v>186</v>
      </c>
      <c r="O2061" t="s">
        <v>24</v>
      </c>
      <c r="P2061" t="s">
        <v>25</v>
      </c>
      <c r="R2061">
        <f>tblDailySchedule[[#This Row],[Capacity Approx]]*'[1]Load Factor Sheet June Acft  '!$B$5</f>
        <v>150.61772727272728</v>
      </c>
      <c r="S2061">
        <f>tblDailySchedule[[#This Row],[Capacity Approx]]*'[1]Load Factor Sheet June Acft  '!$D$5</f>
        <v>163.08818181818182</v>
      </c>
      <c r="T2061" s="22">
        <f>tblDailySchedule[[#This Row],[STD]]</f>
        <v>0.51041666666666663</v>
      </c>
    </row>
    <row r="2062" spans="1:20" hidden="1" x14ac:dyDescent="0.35">
      <c r="A2062" s="11">
        <v>46184</v>
      </c>
      <c r="B2062" s="3">
        <v>4</v>
      </c>
      <c r="C2062" t="s">
        <v>114</v>
      </c>
      <c r="D2062" t="s">
        <v>18</v>
      </c>
      <c r="E2062" s="3">
        <v>11</v>
      </c>
      <c r="F2062" t="s">
        <v>19</v>
      </c>
      <c r="G2062" t="s">
        <v>54</v>
      </c>
      <c r="H2062" t="s">
        <v>31</v>
      </c>
      <c r="I2062" s="12">
        <v>0.51388888888888884</v>
      </c>
      <c r="J2062" t="s">
        <v>55</v>
      </c>
      <c r="K2062" t="s">
        <v>31</v>
      </c>
      <c r="L2062" s="12">
        <v>0.54166666666666663</v>
      </c>
      <c r="M2062" t="s">
        <v>23</v>
      </c>
      <c r="N2062" s="3">
        <v>186</v>
      </c>
      <c r="O2062" t="s">
        <v>24</v>
      </c>
      <c r="P2062" t="s">
        <v>56</v>
      </c>
      <c r="R2062">
        <f>tblDailySchedule[[#This Row],[Capacity Approx]]*'[1]Load Factor Sheet June Acft  '!$B$5</f>
        <v>150.61772727272728</v>
      </c>
      <c r="S2062">
        <f>tblDailySchedule[[#This Row],[Capacity Approx]]*'[1]Load Factor Sheet June Acft  '!$D$5</f>
        <v>163.08818181818182</v>
      </c>
      <c r="T2062" s="22">
        <f>tblDailySchedule[[#This Row],[STD]]</f>
        <v>0.54166666666666663</v>
      </c>
    </row>
    <row r="2063" spans="1:20" hidden="1" x14ac:dyDescent="0.35">
      <c r="A2063" s="11">
        <v>46184</v>
      </c>
      <c r="B2063" s="3">
        <v>4</v>
      </c>
      <c r="C2063" t="s">
        <v>114</v>
      </c>
      <c r="D2063" t="s">
        <v>18</v>
      </c>
      <c r="E2063" s="3">
        <v>12</v>
      </c>
      <c r="F2063" t="s">
        <v>109</v>
      </c>
      <c r="G2063" t="s">
        <v>110</v>
      </c>
      <c r="H2063" t="s">
        <v>111</v>
      </c>
      <c r="I2063" s="12">
        <v>0.55555555555555558</v>
      </c>
      <c r="J2063" t="s">
        <v>112</v>
      </c>
      <c r="K2063" t="s">
        <v>111</v>
      </c>
      <c r="L2063" s="12">
        <v>0.56944444444444442</v>
      </c>
      <c r="M2063" t="s">
        <v>51</v>
      </c>
      <c r="N2063" s="3">
        <v>78</v>
      </c>
      <c r="O2063" t="s">
        <v>24</v>
      </c>
      <c r="P2063" t="s">
        <v>56</v>
      </c>
      <c r="R2063">
        <f>tblDailySchedule[[#This Row],[Capacity Approx]]*'[1]Load Factor Sheet June Acft  '!$B$5</f>
        <v>63.162272727272729</v>
      </c>
      <c r="S2063">
        <f>tblDailySchedule[[#This Row],[Capacity Approx]]*'[1]Load Factor Sheet June Acft  '!$D$5</f>
        <v>68.391818181818181</v>
      </c>
      <c r="T2063" s="22">
        <f>tblDailySchedule[[#This Row],[STD]]</f>
        <v>0.56944444444444442</v>
      </c>
    </row>
    <row r="2064" spans="1:20" hidden="1" x14ac:dyDescent="0.35">
      <c r="A2064" s="11">
        <v>46184</v>
      </c>
      <c r="B2064" s="3">
        <v>4</v>
      </c>
      <c r="C2064" t="s">
        <v>114</v>
      </c>
      <c r="D2064" t="s">
        <v>18</v>
      </c>
      <c r="E2064" s="3">
        <v>13</v>
      </c>
      <c r="F2064" t="s">
        <v>19</v>
      </c>
      <c r="G2064" t="s">
        <v>57</v>
      </c>
      <c r="H2064" t="s">
        <v>58</v>
      </c>
      <c r="I2064" s="12">
        <v>0.55902777777777779</v>
      </c>
      <c r="J2064" t="s">
        <v>59</v>
      </c>
      <c r="K2064" t="s">
        <v>58</v>
      </c>
      <c r="L2064" s="12">
        <v>0.57638888888888884</v>
      </c>
      <c r="M2064" t="s">
        <v>51</v>
      </c>
      <c r="N2064" s="3">
        <v>78</v>
      </c>
      <c r="O2064" t="s">
        <v>24</v>
      </c>
      <c r="P2064" t="s">
        <v>56</v>
      </c>
      <c r="R2064">
        <f>tblDailySchedule[[#This Row],[Capacity Approx]]*'[1]Load Factor Sheet June Acft  '!$B$5</f>
        <v>63.162272727272729</v>
      </c>
      <c r="S2064">
        <f>tblDailySchedule[[#This Row],[Capacity Approx]]*'[1]Load Factor Sheet June Acft  '!$D$5</f>
        <v>68.391818181818181</v>
      </c>
      <c r="T2064" s="22">
        <f>tblDailySchedule[[#This Row],[STD]]</f>
        <v>0.57638888888888884</v>
      </c>
    </row>
    <row r="2065" spans="1:20" hidden="1" x14ac:dyDescent="0.35">
      <c r="A2065" s="11">
        <v>46184</v>
      </c>
      <c r="B2065" s="3">
        <v>4</v>
      </c>
      <c r="C2065" t="s">
        <v>114</v>
      </c>
      <c r="D2065" t="s">
        <v>18</v>
      </c>
      <c r="E2065" s="3">
        <v>14</v>
      </c>
      <c r="F2065" t="s">
        <v>19</v>
      </c>
      <c r="G2065" t="s">
        <v>60</v>
      </c>
      <c r="H2065" t="s">
        <v>61</v>
      </c>
      <c r="I2065" s="12">
        <v>0.59027777777777779</v>
      </c>
      <c r="J2065" t="s">
        <v>62</v>
      </c>
      <c r="K2065" t="s">
        <v>61</v>
      </c>
      <c r="L2065" s="12">
        <v>0.62152777777777779</v>
      </c>
      <c r="M2065" t="s">
        <v>63</v>
      </c>
      <c r="N2065" s="3">
        <v>232</v>
      </c>
      <c r="O2065" t="s">
        <v>24</v>
      </c>
      <c r="P2065" t="s">
        <v>56</v>
      </c>
      <c r="R2065">
        <f>tblDailySchedule[[#This Row],[Capacity Approx]]*'[1]Load Factor Sheet June Acft  '!$B$5</f>
        <v>187.86727272727273</v>
      </c>
      <c r="S2065">
        <f>tblDailySchedule[[#This Row],[Capacity Approx]]*'[1]Load Factor Sheet June Acft  '!$D$5</f>
        <v>203.4218181818182</v>
      </c>
      <c r="T2065" s="22">
        <f>tblDailySchedule[[#This Row],[STD]]</f>
        <v>0.62152777777777779</v>
      </c>
    </row>
    <row r="2066" spans="1:20" hidden="1" x14ac:dyDescent="0.35">
      <c r="A2066" s="11">
        <v>46184</v>
      </c>
      <c r="B2066" s="3">
        <v>4</v>
      </c>
      <c r="C2066" t="s">
        <v>114</v>
      </c>
      <c r="D2066" t="s">
        <v>18</v>
      </c>
      <c r="E2066" s="3">
        <v>15</v>
      </c>
      <c r="F2066" t="s">
        <v>19</v>
      </c>
      <c r="G2066" t="s">
        <v>64</v>
      </c>
      <c r="H2066" t="s">
        <v>31</v>
      </c>
      <c r="I2066" s="12">
        <v>0.60069444444444442</v>
      </c>
      <c r="J2066" t="s">
        <v>65</v>
      </c>
      <c r="K2066" t="s">
        <v>66</v>
      </c>
      <c r="L2066" s="12">
        <v>0.62847222222222221</v>
      </c>
      <c r="M2066" t="s">
        <v>63</v>
      </c>
      <c r="N2066" s="3">
        <v>232</v>
      </c>
      <c r="O2066" t="s">
        <v>24</v>
      </c>
      <c r="P2066" t="s">
        <v>56</v>
      </c>
      <c r="R2066">
        <f>tblDailySchedule[[#This Row],[Capacity Approx]]*'[1]Load Factor Sheet June Acft  '!$B$5</f>
        <v>187.86727272727273</v>
      </c>
      <c r="S2066">
        <f>tblDailySchedule[[#This Row],[Capacity Approx]]*'[1]Load Factor Sheet June Acft  '!$D$5</f>
        <v>203.4218181818182</v>
      </c>
      <c r="T2066" s="22">
        <f>tblDailySchedule[[#This Row],[STD]]</f>
        <v>0.62847222222222221</v>
      </c>
    </row>
    <row r="2067" spans="1:20" hidden="1" x14ac:dyDescent="0.35">
      <c r="A2067" s="11">
        <v>46184</v>
      </c>
      <c r="B2067" s="3">
        <v>4</v>
      </c>
      <c r="C2067" t="s">
        <v>114</v>
      </c>
      <c r="D2067" t="s">
        <v>18</v>
      </c>
      <c r="E2067" s="3">
        <v>16</v>
      </c>
      <c r="F2067" t="s">
        <v>19</v>
      </c>
      <c r="G2067" t="s">
        <v>67</v>
      </c>
      <c r="H2067" t="s">
        <v>31</v>
      </c>
      <c r="I2067" s="12">
        <v>0.65625</v>
      </c>
      <c r="J2067" t="s">
        <v>68</v>
      </c>
      <c r="K2067" t="s">
        <v>31</v>
      </c>
      <c r="L2067" s="12">
        <v>0.68402777777777779</v>
      </c>
      <c r="M2067" t="s">
        <v>63</v>
      </c>
      <c r="N2067" s="3">
        <v>232</v>
      </c>
      <c r="O2067" t="s">
        <v>24</v>
      </c>
      <c r="P2067" t="s">
        <v>56</v>
      </c>
      <c r="R2067">
        <f>tblDailySchedule[[#This Row],[Capacity Approx]]*'[1]Load Factor Sheet June Acft  '!$B$5</f>
        <v>187.86727272727273</v>
      </c>
      <c r="S2067">
        <f>tblDailySchedule[[#This Row],[Capacity Approx]]*'[1]Load Factor Sheet June Acft  '!$D$5</f>
        <v>203.4218181818182</v>
      </c>
      <c r="T2067" s="22">
        <f>tblDailySchedule[[#This Row],[STD]]</f>
        <v>0.68402777777777779</v>
      </c>
    </row>
    <row r="2068" spans="1:20" hidden="1" x14ac:dyDescent="0.35">
      <c r="A2068" s="11">
        <v>46184</v>
      </c>
      <c r="B2068" s="3">
        <v>4</v>
      </c>
      <c r="C2068" t="s">
        <v>114</v>
      </c>
      <c r="D2068" t="s">
        <v>18</v>
      </c>
      <c r="E2068" s="3">
        <v>17</v>
      </c>
      <c r="F2068" t="s">
        <v>19</v>
      </c>
      <c r="G2068" t="s">
        <v>69</v>
      </c>
      <c r="H2068" t="s">
        <v>31</v>
      </c>
      <c r="I2068" s="12">
        <v>0.66319444444444442</v>
      </c>
      <c r="J2068" t="s">
        <v>70</v>
      </c>
      <c r="K2068" t="s">
        <v>31</v>
      </c>
      <c r="L2068" s="12">
        <v>0.69097222222222221</v>
      </c>
      <c r="M2068" t="s">
        <v>33</v>
      </c>
      <c r="N2068" s="3">
        <v>189</v>
      </c>
      <c r="O2068" t="s">
        <v>24</v>
      </c>
      <c r="P2068" t="s">
        <v>56</v>
      </c>
      <c r="R2068">
        <f>tblDailySchedule[[#This Row],[Capacity Approx]]*'[1]Load Factor Sheet June Acft  '!$B$5</f>
        <v>153.04704545454547</v>
      </c>
      <c r="S2068">
        <f>tblDailySchedule[[#This Row],[Capacity Approx]]*'[1]Load Factor Sheet June Acft  '!$D$5</f>
        <v>165.71863636363636</v>
      </c>
      <c r="T2068" s="22">
        <f>tblDailySchedule[[#This Row],[STD]]</f>
        <v>0.69097222222222221</v>
      </c>
    </row>
    <row r="2069" spans="1:20" hidden="1" x14ac:dyDescent="0.35">
      <c r="A2069" s="11">
        <v>46184</v>
      </c>
      <c r="B2069" s="3">
        <v>4</v>
      </c>
      <c r="C2069" t="s">
        <v>114</v>
      </c>
      <c r="D2069" t="s">
        <v>18</v>
      </c>
      <c r="E2069" s="3">
        <v>18</v>
      </c>
      <c r="F2069" t="s">
        <v>19</v>
      </c>
      <c r="G2069" t="s">
        <v>71</v>
      </c>
      <c r="H2069" t="s">
        <v>21</v>
      </c>
      <c r="I2069" s="12">
        <v>0.67013888888888884</v>
      </c>
      <c r="J2069" t="s">
        <v>72</v>
      </c>
      <c r="K2069" t="s">
        <v>21</v>
      </c>
      <c r="L2069" s="12">
        <v>0.69791666666666663</v>
      </c>
      <c r="M2069" t="s">
        <v>63</v>
      </c>
      <c r="N2069" s="3">
        <v>232</v>
      </c>
      <c r="O2069" t="s">
        <v>24</v>
      </c>
      <c r="P2069" t="s">
        <v>56</v>
      </c>
      <c r="R2069">
        <f>tblDailySchedule[[#This Row],[Capacity Approx]]*'[1]Load Factor Sheet June Acft  '!$B$5</f>
        <v>187.86727272727273</v>
      </c>
      <c r="S2069">
        <f>tblDailySchedule[[#This Row],[Capacity Approx]]*'[1]Load Factor Sheet June Acft  '!$D$5</f>
        <v>203.4218181818182</v>
      </c>
      <c r="T2069" s="22">
        <f>tblDailySchedule[[#This Row],[STD]]</f>
        <v>0.69791666666666663</v>
      </c>
    </row>
    <row r="2070" spans="1:20" hidden="1" x14ac:dyDescent="0.35">
      <c r="A2070" s="11">
        <v>46184</v>
      </c>
      <c r="B2070" s="3">
        <v>4</v>
      </c>
      <c r="C2070" t="s">
        <v>114</v>
      </c>
      <c r="D2070" t="s">
        <v>18</v>
      </c>
      <c r="E2070" s="3">
        <v>19</v>
      </c>
      <c r="F2070" t="s">
        <v>19</v>
      </c>
      <c r="G2070" t="s">
        <v>73</v>
      </c>
      <c r="H2070" t="s">
        <v>27</v>
      </c>
      <c r="I2070" s="12">
        <v>0.74652777777777779</v>
      </c>
      <c r="J2070" t="s">
        <v>74</v>
      </c>
      <c r="K2070" t="s">
        <v>27</v>
      </c>
      <c r="L2070" s="12">
        <v>0.77430555555555558</v>
      </c>
      <c r="M2070" t="s">
        <v>63</v>
      </c>
      <c r="N2070" s="3">
        <v>232</v>
      </c>
      <c r="O2070" t="s">
        <v>24</v>
      </c>
      <c r="P2070" t="s">
        <v>56</v>
      </c>
      <c r="R2070">
        <f>tblDailySchedule[[#This Row],[Capacity Approx]]*'[1]Load Factor Sheet June Acft  '!$B$5</f>
        <v>187.86727272727273</v>
      </c>
      <c r="S2070">
        <f>tblDailySchedule[[#This Row],[Capacity Approx]]*'[1]Load Factor Sheet June Acft  '!$D$5</f>
        <v>203.4218181818182</v>
      </c>
      <c r="T2070" s="22">
        <f>tblDailySchedule[[#This Row],[STD]]</f>
        <v>0.77430555555555558</v>
      </c>
    </row>
    <row r="2071" spans="1:20" hidden="1" x14ac:dyDescent="0.35">
      <c r="A2071" s="11">
        <v>46184</v>
      </c>
      <c r="B2071" s="3">
        <v>4</v>
      </c>
      <c r="C2071" t="s">
        <v>114</v>
      </c>
      <c r="D2071" t="s">
        <v>18</v>
      </c>
      <c r="E2071" s="3">
        <v>21</v>
      </c>
      <c r="F2071" t="s">
        <v>19</v>
      </c>
      <c r="G2071" t="s">
        <v>81</v>
      </c>
      <c r="H2071" t="s">
        <v>61</v>
      </c>
      <c r="I2071" s="12">
        <v>0.77083333333333337</v>
      </c>
      <c r="J2071" t="s">
        <v>82</v>
      </c>
      <c r="K2071" t="s">
        <v>49</v>
      </c>
      <c r="L2071" s="12">
        <v>0.79166666666666663</v>
      </c>
      <c r="M2071" t="s">
        <v>33</v>
      </c>
      <c r="N2071" s="3">
        <v>189</v>
      </c>
      <c r="O2071" t="s">
        <v>24</v>
      </c>
      <c r="P2071" t="s">
        <v>79</v>
      </c>
      <c r="R2071">
        <f>tblDailySchedule[[#This Row],[Capacity Approx]]*'[1]Load Factor Sheet June Acft  '!$B$5</f>
        <v>153.04704545454547</v>
      </c>
      <c r="S2071">
        <f>tblDailySchedule[[#This Row],[Capacity Approx]]*'[1]Load Factor Sheet June Acft  '!$D$5</f>
        <v>165.71863636363636</v>
      </c>
      <c r="T2071" s="22">
        <f>tblDailySchedule[[#This Row],[STD]]</f>
        <v>0.79166666666666663</v>
      </c>
    </row>
    <row r="2072" spans="1:20" hidden="1" x14ac:dyDescent="0.35">
      <c r="A2072" s="11">
        <v>46184</v>
      </c>
      <c r="B2072" s="3">
        <v>4</v>
      </c>
      <c r="C2072" t="s">
        <v>114</v>
      </c>
      <c r="D2072" t="s">
        <v>18</v>
      </c>
      <c r="E2072" s="3">
        <v>22</v>
      </c>
      <c r="F2072" t="s">
        <v>19</v>
      </c>
      <c r="G2072" t="s">
        <v>83</v>
      </c>
      <c r="H2072" t="s">
        <v>31</v>
      </c>
      <c r="I2072" s="12">
        <v>0.77777777777777779</v>
      </c>
      <c r="J2072" t="s">
        <v>84</v>
      </c>
      <c r="K2072" t="s">
        <v>31</v>
      </c>
      <c r="L2072" s="12">
        <v>0.80555555555555558</v>
      </c>
      <c r="M2072" t="s">
        <v>63</v>
      </c>
      <c r="N2072" s="3">
        <v>232</v>
      </c>
      <c r="O2072" t="s">
        <v>24</v>
      </c>
      <c r="P2072" t="s">
        <v>79</v>
      </c>
      <c r="R2072">
        <f>tblDailySchedule[[#This Row],[Capacity Approx]]*'[1]Load Factor Sheet June Acft  '!$B$5</f>
        <v>187.86727272727273</v>
      </c>
      <c r="S2072">
        <f>tblDailySchedule[[#This Row],[Capacity Approx]]*'[1]Load Factor Sheet June Acft  '!$D$5</f>
        <v>203.4218181818182</v>
      </c>
      <c r="T2072" s="22">
        <f>tblDailySchedule[[#This Row],[STD]]</f>
        <v>0.80555555555555558</v>
      </c>
    </row>
    <row r="2073" spans="1:20" hidden="1" x14ac:dyDescent="0.35">
      <c r="A2073" s="11">
        <v>46184</v>
      </c>
      <c r="B2073" s="3">
        <v>4</v>
      </c>
      <c r="C2073" t="s">
        <v>114</v>
      </c>
      <c r="D2073" t="s">
        <v>18</v>
      </c>
      <c r="E2073" s="3">
        <v>23</v>
      </c>
      <c r="F2073" t="s">
        <v>19</v>
      </c>
      <c r="G2073" t="s">
        <v>85</v>
      </c>
      <c r="H2073" t="s">
        <v>86</v>
      </c>
      <c r="I2073" s="12">
        <v>0.79861111111111116</v>
      </c>
      <c r="J2073" t="s">
        <v>87</v>
      </c>
      <c r="K2073" t="s">
        <v>86</v>
      </c>
      <c r="L2073" s="12">
        <v>0.82638888888888884</v>
      </c>
      <c r="M2073" t="s">
        <v>63</v>
      </c>
      <c r="N2073" s="3">
        <v>232</v>
      </c>
      <c r="O2073" t="s">
        <v>24</v>
      </c>
      <c r="P2073" t="s">
        <v>79</v>
      </c>
      <c r="R2073">
        <f>tblDailySchedule[[#This Row],[Capacity Approx]]*'[1]Load Factor Sheet June Acft  '!$B$5</f>
        <v>187.86727272727273</v>
      </c>
      <c r="S2073">
        <f>tblDailySchedule[[#This Row],[Capacity Approx]]*'[1]Load Factor Sheet June Acft  '!$D$5</f>
        <v>203.4218181818182</v>
      </c>
      <c r="T2073" s="22">
        <f>tblDailySchedule[[#This Row],[STD]]</f>
        <v>0.82638888888888884</v>
      </c>
    </row>
    <row r="2074" spans="1:20" hidden="1" x14ac:dyDescent="0.35">
      <c r="A2074" s="11">
        <v>46184</v>
      </c>
      <c r="B2074" s="3">
        <v>4</v>
      </c>
      <c r="C2074" t="s">
        <v>114</v>
      </c>
      <c r="D2074" t="s">
        <v>18</v>
      </c>
      <c r="E2074" s="3">
        <v>24</v>
      </c>
      <c r="F2074" t="s">
        <v>19</v>
      </c>
      <c r="G2074" t="s">
        <v>88</v>
      </c>
      <c r="H2074" t="s">
        <v>89</v>
      </c>
      <c r="I2074" s="12">
        <v>0.83333333333333337</v>
      </c>
      <c r="J2074" t="s">
        <v>90</v>
      </c>
      <c r="K2074" t="s">
        <v>31</v>
      </c>
      <c r="L2074" s="12">
        <v>0.86111111111111116</v>
      </c>
      <c r="M2074" t="s">
        <v>63</v>
      </c>
      <c r="N2074" s="3">
        <v>232</v>
      </c>
      <c r="O2074" t="s">
        <v>24</v>
      </c>
      <c r="P2074" t="s">
        <v>79</v>
      </c>
      <c r="R2074">
        <f>tblDailySchedule[[#This Row],[Capacity Approx]]*'[1]Load Factor Sheet June Acft  '!$B$5</f>
        <v>187.86727272727273</v>
      </c>
      <c r="S2074">
        <f>tblDailySchedule[[#This Row],[Capacity Approx]]*'[1]Load Factor Sheet June Acft  '!$D$5</f>
        <v>203.4218181818182</v>
      </c>
      <c r="T2074" s="22">
        <f>tblDailySchedule[[#This Row],[STD]]</f>
        <v>0.86111111111111116</v>
      </c>
    </row>
    <row r="2075" spans="1:20" hidden="1" x14ac:dyDescent="0.35">
      <c r="A2075" s="11">
        <v>46184</v>
      </c>
      <c r="B2075" s="3">
        <v>4</v>
      </c>
      <c r="C2075" t="s">
        <v>114</v>
      </c>
      <c r="D2075" t="s">
        <v>18</v>
      </c>
      <c r="E2075" s="3">
        <v>25</v>
      </c>
      <c r="F2075" t="s">
        <v>19</v>
      </c>
      <c r="G2075" t="s">
        <v>91</v>
      </c>
      <c r="H2075" t="s">
        <v>61</v>
      </c>
      <c r="I2075" s="12">
        <v>0.85416666666666663</v>
      </c>
      <c r="J2075" t="s">
        <v>92</v>
      </c>
      <c r="K2075" t="s">
        <v>61</v>
      </c>
      <c r="L2075" s="12">
        <v>0.88194444444444442</v>
      </c>
      <c r="M2075" t="s">
        <v>63</v>
      </c>
      <c r="N2075" s="3">
        <v>232</v>
      </c>
      <c r="O2075" t="s">
        <v>24</v>
      </c>
      <c r="P2075" t="s">
        <v>79</v>
      </c>
      <c r="R2075">
        <f>tblDailySchedule[[#This Row],[Capacity Approx]]*'[1]Load Factor Sheet June Acft  '!$B$5</f>
        <v>187.86727272727273</v>
      </c>
      <c r="S2075">
        <f>tblDailySchedule[[#This Row],[Capacity Approx]]*'[1]Load Factor Sheet June Acft  '!$D$5</f>
        <v>203.4218181818182</v>
      </c>
      <c r="T2075" s="22">
        <f>tblDailySchedule[[#This Row],[STD]]</f>
        <v>0.88194444444444442</v>
      </c>
    </row>
    <row r="2076" spans="1:20" hidden="1" x14ac:dyDescent="0.35">
      <c r="A2076" s="11">
        <v>46184</v>
      </c>
      <c r="B2076" s="3">
        <v>4</v>
      </c>
      <c r="C2076" t="s">
        <v>114</v>
      </c>
      <c r="D2076" t="s">
        <v>18</v>
      </c>
      <c r="E2076" s="3">
        <v>26</v>
      </c>
      <c r="F2076" t="s">
        <v>19</v>
      </c>
      <c r="G2076" t="s">
        <v>93</v>
      </c>
      <c r="H2076" t="s">
        <v>31</v>
      </c>
      <c r="I2076" s="12">
        <v>0.86111111111111116</v>
      </c>
      <c r="J2076" t="s">
        <v>94</v>
      </c>
      <c r="K2076" t="s">
        <v>31</v>
      </c>
      <c r="L2076" s="12">
        <v>0.88888888888888884</v>
      </c>
      <c r="M2076" t="s">
        <v>23</v>
      </c>
      <c r="N2076" s="3">
        <v>186</v>
      </c>
      <c r="O2076" t="s">
        <v>24</v>
      </c>
      <c r="P2076" t="s">
        <v>79</v>
      </c>
      <c r="R2076">
        <f>tblDailySchedule[[#This Row],[Capacity Approx]]*'[1]Load Factor Sheet June Acft  '!$B$5</f>
        <v>150.61772727272728</v>
      </c>
      <c r="S2076">
        <f>tblDailySchedule[[#This Row],[Capacity Approx]]*'[1]Load Factor Sheet June Acft  '!$D$5</f>
        <v>163.08818181818182</v>
      </c>
      <c r="T2076" s="22">
        <f>tblDailySchedule[[#This Row],[STD]]</f>
        <v>0.88888888888888884</v>
      </c>
    </row>
    <row r="2077" spans="1:20" hidden="1" x14ac:dyDescent="0.35">
      <c r="A2077" s="11">
        <v>46184</v>
      </c>
      <c r="B2077" s="3">
        <v>4</v>
      </c>
      <c r="C2077" t="s">
        <v>114</v>
      </c>
      <c r="D2077" t="s">
        <v>18</v>
      </c>
      <c r="E2077" s="3">
        <v>27</v>
      </c>
      <c r="F2077" t="s">
        <v>19</v>
      </c>
      <c r="G2077" t="s">
        <v>95</v>
      </c>
      <c r="H2077" t="s">
        <v>21</v>
      </c>
      <c r="I2077" s="12">
        <v>0.86805555555555558</v>
      </c>
      <c r="J2077" t="s">
        <v>96</v>
      </c>
      <c r="K2077" t="s">
        <v>21</v>
      </c>
      <c r="L2077" s="12">
        <v>0.89583333333333337</v>
      </c>
      <c r="M2077" t="s">
        <v>29</v>
      </c>
      <c r="N2077" s="3">
        <v>186</v>
      </c>
      <c r="O2077" t="s">
        <v>24</v>
      </c>
      <c r="P2077" t="s">
        <v>79</v>
      </c>
      <c r="R2077">
        <f>tblDailySchedule[[#This Row],[Capacity Approx]]*'[1]Load Factor Sheet June Acft  '!$B$5</f>
        <v>150.61772727272728</v>
      </c>
      <c r="S2077">
        <f>tblDailySchedule[[#This Row],[Capacity Approx]]*'[1]Load Factor Sheet June Acft  '!$D$5</f>
        <v>163.08818181818182</v>
      </c>
      <c r="T2077" s="22">
        <f>tblDailySchedule[[#This Row],[STD]]</f>
        <v>0.89583333333333337</v>
      </c>
    </row>
    <row r="2078" spans="1:20" hidden="1" x14ac:dyDescent="0.35">
      <c r="A2078" s="11">
        <v>46184</v>
      </c>
      <c r="B2078" s="3">
        <v>4</v>
      </c>
      <c r="C2078" t="s">
        <v>114</v>
      </c>
      <c r="D2078" t="s">
        <v>18</v>
      </c>
      <c r="E2078" s="3">
        <v>28</v>
      </c>
      <c r="F2078" t="s">
        <v>19</v>
      </c>
      <c r="G2078" t="s">
        <v>97</v>
      </c>
      <c r="H2078" t="s">
        <v>49</v>
      </c>
      <c r="I2078" s="12">
        <v>0.90277777777777779</v>
      </c>
      <c r="J2078" t="s">
        <v>97</v>
      </c>
      <c r="K2078" t="s">
        <v>61</v>
      </c>
      <c r="L2078" s="12">
        <v>0.92361111111111116</v>
      </c>
      <c r="M2078" t="s">
        <v>33</v>
      </c>
      <c r="N2078" s="3">
        <v>189</v>
      </c>
      <c r="O2078" t="s">
        <v>24</v>
      </c>
      <c r="P2078" t="s">
        <v>79</v>
      </c>
      <c r="R2078">
        <f>tblDailySchedule[[#This Row],[Capacity Approx]]*'[1]Load Factor Sheet June Acft  '!$B$5</f>
        <v>153.04704545454547</v>
      </c>
      <c r="S2078">
        <f>tblDailySchedule[[#This Row],[Capacity Approx]]*'[1]Load Factor Sheet June Acft  '!$D$5</f>
        <v>165.71863636363636</v>
      </c>
      <c r="T2078" s="22">
        <f>tblDailySchedule[[#This Row],[STD]]</f>
        <v>0.92361111111111116</v>
      </c>
    </row>
    <row r="2079" spans="1:20" hidden="1" x14ac:dyDescent="0.35">
      <c r="A2079" s="11">
        <v>46184</v>
      </c>
      <c r="B2079" s="3">
        <v>4</v>
      </c>
      <c r="C2079" t="s">
        <v>114</v>
      </c>
      <c r="D2079" t="s">
        <v>18</v>
      </c>
      <c r="E2079" s="3">
        <v>29</v>
      </c>
      <c r="F2079" t="s">
        <v>19</v>
      </c>
      <c r="G2079" t="s">
        <v>98</v>
      </c>
      <c r="H2079" t="s">
        <v>21</v>
      </c>
      <c r="I2079" s="12">
        <v>0.92013888888888884</v>
      </c>
      <c r="J2079" t="s">
        <v>99</v>
      </c>
      <c r="K2079" t="s">
        <v>21</v>
      </c>
      <c r="L2079" s="12">
        <v>0.94791666666666663</v>
      </c>
      <c r="M2079" t="s">
        <v>63</v>
      </c>
      <c r="N2079" s="3">
        <v>232</v>
      </c>
      <c r="O2079" t="s">
        <v>24</v>
      </c>
      <c r="P2079" t="s">
        <v>79</v>
      </c>
      <c r="R2079">
        <f>tblDailySchedule[[#This Row],[Capacity Approx]]*'[1]Load Factor Sheet June Acft  '!$B$5</f>
        <v>187.86727272727273</v>
      </c>
      <c r="S2079">
        <f>tblDailySchedule[[#This Row],[Capacity Approx]]*'[1]Load Factor Sheet June Acft  '!$D$5</f>
        <v>203.4218181818182</v>
      </c>
      <c r="T2079" s="22">
        <f>tblDailySchedule[[#This Row],[STD]]</f>
        <v>0.94791666666666663</v>
      </c>
    </row>
    <row r="2080" spans="1:20" hidden="1" x14ac:dyDescent="0.35">
      <c r="A2080" s="11">
        <v>46185</v>
      </c>
      <c r="B2080" s="3">
        <v>5</v>
      </c>
      <c r="C2080" t="s">
        <v>115</v>
      </c>
      <c r="D2080" t="s">
        <v>18</v>
      </c>
      <c r="E2080" s="3">
        <v>2</v>
      </c>
      <c r="F2080" t="s">
        <v>19</v>
      </c>
      <c r="G2080" t="s">
        <v>20</v>
      </c>
      <c r="H2080" t="s">
        <v>21</v>
      </c>
      <c r="I2080" s="12">
        <v>0.31944444444444442</v>
      </c>
      <c r="J2080" t="s">
        <v>22</v>
      </c>
      <c r="K2080" t="s">
        <v>21</v>
      </c>
      <c r="L2080" s="12">
        <v>0.34722222222222221</v>
      </c>
      <c r="M2080" t="s">
        <v>23</v>
      </c>
      <c r="N2080" s="3">
        <v>186</v>
      </c>
      <c r="O2080" t="s">
        <v>24</v>
      </c>
      <c r="P2080" t="s">
        <v>25</v>
      </c>
      <c r="R2080">
        <f>tblDailySchedule[[#This Row],[Capacity Approx]]*'[1]Load Factor Sheet June Acft  '!$B$5</f>
        <v>150.61772727272728</v>
      </c>
      <c r="S2080">
        <f>tblDailySchedule[[#This Row],[Capacity Approx]]*'[1]Load Factor Sheet June Acft  '!$D$5</f>
        <v>163.08818181818182</v>
      </c>
      <c r="T2080" s="22">
        <f>tblDailySchedule[[#This Row],[STD]]</f>
        <v>0.34722222222222221</v>
      </c>
    </row>
    <row r="2081" spans="1:20" hidden="1" x14ac:dyDescent="0.35">
      <c r="A2081" s="11">
        <v>46185</v>
      </c>
      <c r="B2081" s="3">
        <v>5</v>
      </c>
      <c r="C2081" t="s">
        <v>115</v>
      </c>
      <c r="D2081" t="s">
        <v>18</v>
      </c>
      <c r="E2081" s="3">
        <v>3</v>
      </c>
      <c r="F2081" t="s">
        <v>19</v>
      </c>
      <c r="G2081" t="s">
        <v>26</v>
      </c>
      <c r="H2081" t="s">
        <v>27</v>
      </c>
      <c r="I2081" s="12">
        <v>0.3263888888888889</v>
      </c>
      <c r="J2081" t="s">
        <v>28</v>
      </c>
      <c r="K2081" t="s">
        <v>27</v>
      </c>
      <c r="L2081" s="12">
        <v>0.35416666666666669</v>
      </c>
      <c r="M2081" t="s">
        <v>29</v>
      </c>
      <c r="N2081" s="3">
        <v>186</v>
      </c>
      <c r="O2081" t="s">
        <v>24</v>
      </c>
      <c r="P2081" t="s">
        <v>25</v>
      </c>
      <c r="R2081">
        <f>tblDailySchedule[[#This Row],[Capacity Approx]]*'[1]Load Factor Sheet June Acft  '!$B$5</f>
        <v>150.61772727272728</v>
      </c>
      <c r="S2081">
        <f>tblDailySchedule[[#This Row],[Capacity Approx]]*'[1]Load Factor Sheet June Acft  '!$D$5</f>
        <v>163.08818181818182</v>
      </c>
      <c r="T2081" s="22">
        <f>tblDailySchedule[[#This Row],[STD]]</f>
        <v>0.35416666666666669</v>
      </c>
    </row>
    <row r="2082" spans="1:20" hidden="1" x14ac:dyDescent="0.35">
      <c r="A2082" s="11">
        <v>46185</v>
      </c>
      <c r="B2082" s="3">
        <v>5</v>
      </c>
      <c r="C2082" t="s">
        <v>115</v>
      </c>
      <c r="D2082" t="s">
        <v>18</v>
      </c>
      <c r="E2082" s="3">
        <v>4</v>
      </c>
      <c r="F2082" t="s">
        <v>19</v>
      </c>
      <c r="G2082" t="s">
        <v>30</v>
      </c>
      <c r="H2082" t="s">
        <v>31</v>
      </c>
      <c r="I2082" s="12">
        <v>0.34722222222222221</v>
      </c>
      <c r="J2082" t="s">
        <v>32</v>
      </c>
      <c r="K2082" t="s">
        <v>31</v>
      </c>
      <c r="L2082" s="12">
        <v>0.36805555555555558</v>
      </c>
      <c r="M2082" t="s">
        <v>33</v>
      </c>
      <c r="N2082" s="3">
        <v>189</v>
      </c>
      <c r="O2082" t="s">
        <v>24</v>
      </c>
      <c r="P2082" t="s">
        <v>25</v>
      </c>
      <c r="R2082">
        <f>tblDailySchedule[[#This Row],[Capacity Approx]]*'[1]Load Factor Sheet June Acft  '!$B$5</f>
        <v>153.04704545454547</v>
      </c>
      <c r="S2082">
        <f>tblDailySchedule[[#This Row],[Capacity Approx]]*'[1]Load Factor Sheet June Acft  '!$D$5</f>
        <v>165.71863636363636</v>
      </c>
      <c r="T2082" s="22">
        <f>tblDailySchedule[[#This Row],[STD]]</f>
        <v>0.36805555555555558</v>
      </c>
    </row>
    <row r="2083" spans="1:20" hidden="1" x14ac:dyDescent="0.35">
      <c r="A2083" s="13">
        <v>46185</v>
      </c>
      <c r="B2083" s="7">
        <v>5</v>
      </c>
      <c r="C2083" s="14" t="s">
        <v>115</v>
      </c>
      <c r="D2083" s="14" t="s">
        <v>18</v>
      </c>
      <c r="E2083" s="7">
        <v>6</v>
      </c>
      <c r="F2083" s="14" t="s">
        <v>34</v>
      </c>
      <c r="G2083" s="14" t="s">
        <v>35</v>
      </c>
      <c r="H2083" s="14" t="s">
        <v>36</v>
      </c>
      <c r="I2083" s="15">
        <v>0.34722222222222221</v>
      </c>
      <c r="J2083" s="14" t="s">
        <v>37</v>
      </c>
      <c r="K2083" s="14" t="s">
        <v>36</v>
      </c>
      <c r="L2083" s="15">
        <v>0.40972222222222221</v>
      </c>
      <c r="M2083" s="14" t="s">
        <v>38</v>
      </c>
      <c r="N2083" s="7">
        <v>186</v>
      </c>
      <c r="O2083" s="14" t="s">
        <v>39</v>
      </c>
      <c r="P2083" s="14" t="s">
        <v>25</v>
      </c>
      <c r="Q2083" s="14" t="s">
        <v>39</v>
      </c>
      <c r="R2083">
        <f>tblDailySchedule[[#This Row],[Capacity Approx]]*'[1]Load Factor Sheet June Acft  '!$B$5</f>
        <v>150.61772727272728</v>
      </c>
      <c r="S2083">
        <f>tblDailySchedule[[#This Row],[Capacity Approx]]*'[1]Load Factor Sheet June Acft  '!$D$5</f>
        <v>163.08818181818182</v>
      </c>
      <c r="T2083" s="22">
        <f>tblDailySchedule[[#This Row],[STD]]</f>
        <v>0.40972222222222221</v>
      </c>
    </row>
    <row r="2084" spans="1:20" hidden="1" x14ac:dyDescent="0.35">
      <c r="A2084" s="11">
        <v>46185</v>
      </c>
      <c r="B2084" s="3">
        <v>5</v>
      </c>
      <c r="C2084" t="s">
        <v>115</v>
      </c>
      <c r="D2084" t="s">
        <v>18</v>
      </c>
      <c r="E2084" s="3">
        <v>5</v>
      </c>
      <c r="F2084" t="s">
        <v>19</v>
      </c>
      <c r="G2084" t="s">
        <v>40</v>
      </c>
      <c r="H2084" t="s">
        <v>31</v>
      </c>
      <c r="I2084" s="12">
        <v>0.35069444444444442</v>
      </c>
      <c r="J2084" t="s">
        <v>41</v>
      </c>
      <c r="K2084" t="s">
        <v>31</v>
      </c>
      <c r="L2084" s="12">
        <v>0.37152777777777779</v>
      </c>
      <c r="M2084" t="s">
        <v>23</v>
      </c>
      <c r="N2084" s="3">
        <v>186</v>
      </c>
      <c r="O2084" t="s">
        <v>24</v>
      </c>
      <c r="P2084" t="s">
        <v>25</v>
      </c>
      <c r="R2084">
        <f>tblDailySchedule[[#This Row],[Capacity Approx]]*'[1]Load Factor Sheet June Acft  '!$B$5</f>
        <v>150.61772727272728</v>
      </c>
      <c r="S2084">
        <f>tblDailySchedule[[#This Row],[Capacity Approx]]*'[1]Load Factor Sheet June Acft  '!$D$5</f>
        <v>163.08818181818182</v>
      </c>
      <c r="T2084" s="22">
        <f>tblDailySchedule[[#This Row],[STD]]</f>
        <v>0.37152777777777779</v>
      </c>
    </row>
    <row r="2085" spans="1:20" hidden="1" x14ac:dyDescent="0.35">
      <c r="A2085" s="11">
        <v>46185</v>
      </c>
      <c r="B2085" s="3">
        <v>5</v>
      </c>
      <c r="C2085" t="s">
        <v>115</v>
      </c>
      <c r="D2085" t="s">
        <v>18</v>
      </c>
      <c r="E2085" s="3">
        <v>7</v>
      </c>
      <c r="F2085" t="s">
        <v>19</v>
      </c>
      <c r="G2085" t="s">
        <v>42</v>
      </c>
      <c r="H2085" t="s">
        <v>43</v>
      </c>
      <c r="I2085" s="12">
        <v>0.3923611111111111</v>
      </c>
      <c r="J2085" t="s">
        <v>44</v>
      </c>
      <c r="K2085" t="s">
        <v>43</v>
      </c>
      <c r="L2085" s="12">
        <v>0.40277777777777779</v>
      </c>
      <c r="M2085" t="s">
        <v>45</v>
      </c>
      <c r="N2085" s="3">
        <v>9</v>
      </c>
      <c r="O2085" t="s">
        <v>24</v>
      </c>
      <c r="P2085" t="s">
        <v>25</v>
      </c>
      <c r="R2085">
        <f>tblDailySchedule[[#This Row],[Capacity Approx]]*'[1]Load Factor Sheet June Acft  '!$B$5</f>
        <v>7.2879545454545456</v>
      </c>
      <c r="S2085">
        <f>tblDailySchedule[[#This Row],[Capacity Approx]]*'[1]Load Factor Sheet June Acft  '!$D$5</f>
        <v>7.8913636363636366</v>
      </c>
      <c r="T2085" s="22">
        <f>tblDailySchedule[[#This Row],[STD]]</f>
        <v>0.40277777777777779</v>
      </c>
    </row>
    <row r="2086" spans="1:20" hidden="1" x14ac:dyDescent="0.35">
      <c r="A2086" s="11">
        <v>46185</v>
      </c>
      <c r="B2086" s="3">
        <v>5</v>
      </c>
      <c r="C2086" t="s">
        <v>115</v>
      </c>
      <c r="D2086" t="s">
        <v>18</v>
      </c>
      <c r="E2086" s="3">
        <v>8</v>
      </c>
      <c r="F2086" t="s">
        <v>19</v>
      </c>
      <c r="G2086" t="s">
        <v>46</v>
      </c>
      <c r="H2086" t="s">
        <v>31</v>
      </c>
      <c r="I2086" s="12">
        <v>0.4201388888888889</v>
      </c>
      <c r="J2086" t="s">
        <v>47</v>
      </c>
      <c r="K2086" t="s">
        <v>31</v>
      </c>
      <c r="L2086" s="12">
        <v>0.44444444444444442</v>
      </c>
      <c r="M2086" t="s">
        <v>29</v>
      </c>
      <c r="N2086" s="3">
        <v>186</v>
      </c>
      <c r="O2086" t="s">
        <v>24</v>
      </c>
      <c r="P2086" t="s">
        <v>25</v>
      </c>
      <c r="R2086">
        <f>tblDailySchedule[[#This Row],[Capacity Approx]]*'[1]Load Factor Sheet June Acft  '!$B$5</f>
        <v>150.61772727272728</v>
      </c>
      <c r="S2086">
        <f>tblDailySchedule[[#This Row],[Capacity Approx]]*'[1]Load Factor Sheet June Acft  '!$D$5</f>
        <v>163.08818181818182</v>
      </c>
      <c r="T2086" s="22">
        <f>tblDailySchedule[[#This Row],[STD]]</f>
        <v>0.44444444444444442</v>
      </c>
    </row>
    <row r="2087" spans="1:20" hidden="1" x14ac:dyDescent="0.35">
      <c r="A2087" s="11">
        <v>46185</v>
      </c>
      <c r="B2087" s="3">
        <v>5</v>
      </c>
      <c r="C2087" t="s">
        <v>115</v>
      </c>
      <c r="D2087" t="s">
        <v>18</v>
      </c>
      <c r="E2087" s="3">
        <v>9</v>
      </c>
      <c r="F2087" t="s">
        <v>19</v>
      </c>
      <c r="G2087" t="s">
        <v>48</v>
      </c>
      <c r="H2087" t="s">
        <v>49</v>
      </c>
      <c r="I2087" s="12">
        <v>0.4375</v>
      </c>
      <c r="J2087" t="s">
        <v>50</v>
      </c>
      <c r="K2087" t="s">
        <v>49</v>
      </c>
      <c r="L2087" s="12">
        <v>0.45833333333333331</v>
      </c>
      <c r="M2087" t="s">
        <v>51</v>
      </c>
      <c r="N2087" s="3">
        <v>78</v>
      </c>
      <c r="O2087" t="s">
        <v>24</v>
      </c>
      <c r="P2087" t="s">
        <v>25</v>
      </c>
      <c r="R2087">
        <f>tblDailySchedule[[#This Row],[Capacity Approx]]*'[1]Load Factor Sheet June Acft  '!$B$5</f>
        <v>63.162272727272729</v>
      </c>
      <c r="S2087">
        <f>tblDailySchedule[[#This Row],[Capacity Approx]]*'[1]Load Factor Sheet June Acft  '!$D$5</f>
        <v>68.391818181818181</v>
      </c>
      <c r="T2087" s="22">
        <f>tblDailySchedule[[#This Row],[STD]]</f>
        <v>0.45833333333333331</v>
      </c>
    </row>
    <row r="2088" spans="1:20" hidden="1" x14ac:dyDescent="0.35">
      <c r="A2088" s="11">
        <v>46185</v>
      </c>
      <c r="B2088" s="3">
        <v>5</v>
      </c>
      <c r="C2088" t="s">
        <v>115</v>
      </c>
      <c r="D2088" t="s">
        <v>18</v>
      </c>
      <c r="E2088" s="3">
        <v>10</v>
      </c>
      <c r="F2088" t="s">
        <v>19</v>
      </c>
      <c r="G2088" t="s">
        <v>52</v>
      </c>
      <c r="H2088" t="s">
        <v>27</v>
      </c>
      <c r="I2088" s="12">
        <v>0.4826388888888889</v>
      </c>
      <c r="J2088" t="s">
        <v>53</v>
      </c>
      <c r="K2088" t="s">
        <v>27</v>
      </c>
      <c r="L2088" s="12">
        <v>0.51041666666666663</v>
      </c>
      <c r="M2088" t="s">
        <v>23</v>
      </c>
      <c r="N2088" s="3">
        <v>186</v>
      </c>
      <c r="O2088" t="s">
        <v>24</v>
      </c>
      <c r="P2088" t="s">
        <v>25</v>
      </c>
      <c r="R2088">
        <f>tblDailySchedule[[#This Row],[Capacity Approx]]*'[1]Load Factor Sheet June Acft  '!$B$5</f>
        <v>150.61772727272728</v>
      </c>
      <c r="S2088">
        <f>tblDailySchedule[[#This Row],[Capacity Approx]]*'[1]Load Factor Sheet June Acft  '!$D$5</f>
        <v>163.08818181818182</v>
      </c>
      <c r="T2088" s="22">
        <f>tblDailySchedule[[#This Row],[STD]]</f>
        <v>0.51041666666666663</v>
      </c>
    </row>
    <row r="2089" spans="1:20" hidden="1" x14ac:dyDescent="0.35">
      <c r="A2089" s="11">
        <v>46185</v>
      </c>
      <c r="B2089" s="3">
        <v>5</v>
      </c>
      <c r="C2089" t="s">
        <v>115</v>
      </c>
      <c r="D2089" t="s">
        <v>18</v>
      </c>
      <c r="E2089" s="3">
        <v>11</v>
      </c>
      <c r="F2089" t="s">
        <v>19</v>
      </c>
      <c r="G2089" t="s">
        <v>54</v>
      </c>
      <c r="H2089" t="s">
        <v>31</v>
      </c>
      <c r="I2089" s="12">
        <v>0.51388888888888884</v>
      </c>
      <c r="J2089" t="s">
        <v>55</v>
      </c>
      <c r="K2089" t="s">
        <v>31</v>
      </c>
      <c r="L2089" s="12">
        <v>0.54166666666666663</v>
      </c>
      <c r="M2089" t="s">
        <v>23</v>
      </c>
      <c r="N2089" s="3">
        <v>186</v>
      </c>
      <c r="O2089" t="s">
        <v>24</v>
      </c>
      <c r="P2089" t="s">
        <v>56</v>
      </c>
      <c r="R2089">
        <f>tblDailySchedule[[#This Row],[Capacity Approx]]*'[1]Load Factor Sheet June Acft  '!$B$5</f>
        <v>150.61772727272728</v>
      </c>
      <c r="S2089">
        <f>tblDailySchedule[[#This Row],[Capacity Approx]]*'[1]Load Factor Sheet June Acft  '!$D$5</f>
        <v>163.08818181818182</v>
      </c>
      <c r="T2089" s="22">
        <f>tblDailySchedule[[#This Row],[STD]]</f>
        <v>0.54166666666666663</v>
      </c>
    </row>
    <row r="2090" spans="1:20" hidden="1" x14ac:dyDescent="0.35">
      <c r="A2090" s="11">
        <v>46185</v>
      </c>
      <c r="B2090" s="3">
        <v>5</v>
      </c>
      <c r="C2090" t="s">
        <v>115</v>
      </c>
      <c r="D2090" t="s">
        <v>18</v>
      </c>
      <c r="E2090" s="3">
        <v>13</v>
      </c>
      <c r="F2090" t="s">
        <v>19</v>
      </c>
      <c r="G2090" t="s">
        <v>57</v>
      </c>
      <c r="H2090" t="s">
        <v>58</v>
      </c>
      <c r="I2090" s="12">
        <v>0.55902777777777779</v>
      </c>
      <c r="J2090" t="s">
        <v>59</v>
      </c>
      <c r="K2090" t="s">
        <v>58</v>
      </c>
      <c r="L2090" s="12">
        <v>0.57638888888888884</v>
      </c>
      <c r="M2090" t="s">
        <v>51</v>
      </c>
      <c r="N2090" s="3">
        <v>78</v>
      </c>
      <c r="O2090" t="s">
        <v>24</v>
      </c>
      <c r="P2090" t="s">
        <v>56</v>
      </c>
      <c r="R2090">
        <f>tblDailySchedule[[#This Row],[Capacity Approx]]*'[1]Load Factor Sheet June Acft  '!$B$5</f>
        <v>63.162272727272729</v>
      </c>
      <c r="S2090">
        <f>tblDailySchedule[[#This Row],[Capacity Approx]]*'[1]Load Factor Sheet June Acft  '!$D$5</f>
        <v>68.391818181818181</v>
      </c>
      <c r="T2090" s="22">
        <f>tblDailySchedule[[#This Row],[STD]]</f>
        <v>0.57638888888888884</v>
      </c>
    </row>
    <row r="2091" spans="1:20" hidden="1" x14ac:dyDescent="0.35">
      <c r="A2091" s="11">
        <v>46185</v>
      </c>
      <c r="B2091" s="3">
        <v>5</v>
      </c>
      <c r="C2091" t="s">
        <v>115</v>
      </c>
      <c r="D2091" t="s">
        <v>18</v>
      </c>
      <c r="E2091" s="3">
        <v>14</v>
      </c>
      <c r="F2091" t="s">
        <v>19</v>
      </c>
      <c r="G2091" t="s">
        <v>60</v>
      </c>
      <c r="H2091" t="s">
        <v>61</v>
      </c>
      <c r="I2091" s="12">
        <v>0.59027777777777779</v>
      </c>
      <c r="J2091" t="s">
        <v>62</v>
      </c>
      <c r="K2091" t="s">
        <v>61</v>
      </c>
      <c r="L2091" s="12">
        <v>0.62152777777777779</v>
      </c>
      <c r="M2091" t="s">
        <v>63</v>
      </c>
      <c r="N2091" s="3">
        <v>232</v>
      </c>
      <c r="O2091" t="s">
        <v>24</v>
      </c>
      <c r="P2091" t="s">
        <v>56</v>
      </c>
      <c r="R2091">
        <f>tblDailySchedule[[#This Row],[Capacity Approx]]*'[1]Load Factor Sheet June Acft  '!$B$5</f>
        <v>187.86727272727273</v>
      </c>
      <c r="S2091">
        <f>tblDailySchedule[[#This Row],[Capacity Approx]]*'[1]Load Factor Sheet June Acft  '!$D$5</f>
        <v>203.4218181818182</v>
      </c>
      <c r="T2091" s="22">
        <f>tblDailySchedule[[#This Row],[STD]]</f>
        <v>0.62152777777777779</v>
      </c>
    </row>
    <row r="2092" spans="1:20" hidden="1" x14ac:dyDescent="0.35">
      <c r="A2092" s="11">
        <v>46185</v>
      </c>
      <c r="B2092" s="3">
        <v>5</v>
      </c>
      <c r="C2092" t="s">
        <v>115</v>
      </c>
      <c r="D2092" t="s">
        <v>18</v>
      </c>
      <c r="E2092" s="3">
        <v>15</v>
      </c>
      <c r="F2092" t="s">
        <v>19</v>
      </c>
      <c r="G2092" t="s">
        <v>64</v>
      </c>
      <c r="H2092" t="s">
        <v>31</v>
      </c>
      <c r="I2092" s="12">
        <v>0.60069444444444442</v>
      </c>
      <c r="J2092" t="s">
        <v>65</v>
      </c>
      <c r="K2092" t="s">
        <v>66</v>
      </c>
      <c r="L2092" s="12">
        <v>0.62847222222222221</v>
      </c>
      <c r="M2092" t="s">
        <v>63</v>
      </c>
      <c r="N2092" s="3">
        <v>232</v>
      </c>
      <c r="O2092" t="s">
        <v>24</v>
      </c>
      <c r="P2092" t="s">
        <v>56</v>
      </c>
      <c r="R2092">
        <f>tblDailySchedule[[#This Row],[Capacity Approx]]*'[1]Load Factor Sheet June Acft  '!$B$5</f>
        <v>187.86727272727273</v>
      </c>
      <c r="S2092">
        <f>tblDailySchedule[[#This Row],[Capacity Approx]]*'[1]Load Factor Sheet June Acft  '!$D$5</f>
        <v>203.4218181818182</v>
      </c>
      <c r="T2092" s="22">
        <f>tblDailySchedule[[#This Row],[STD]]</f>
        <v>0.62847222222222221</v>
      </c>
    </row>
    <row r="2093" spans="1:20" hidden="1" x14ac:dyDescent="0.35">
      <c r="A2093" s="11">
        <v>46185</v>
      </c>
      <c r="B2093" s="3">
        <v>5</v>
      </c>
      <c r="C2093" t="s">
        <v>115</v>
      </c>
      <c r="D2093" t="s">
        <v>18</v>
      </c>
      <c r="E2093" s="3">
        <v>16</v>
      </c>
      <c r="F2093" t="s">
        <v>19</v>
      </c>
      <c r="G2093" t="s">
        <v>67</v>
      </c>
      <c r="H2093" t="s">
        <v>31</v>
      </c>
      <c r="I2093" s="12">
        <v>0.65625</v>
      </c>
      <c r="J2093" t="s">
        <v>68</v>
      </c>
      <c r="K2093" t="s">
        <v>31</v>
      </c>
      <c r="L2093" s="12">
        <v>0.68402777777777779</v>
      </c>
      <c r="M2093" t="s">
        <v>63</v>
      </c>
      <c r="N2093" s="3">
        <v>232</v>
      </c>
      <c r="O2093" t="s">
        <v>24</v>
      </c>
      <c r="P2093" t="s">
        <v>56</v>
      </c>
      <c r="R2093">
        <f>tblDailySchedule[[#This Row],[Capacity Approx]]*'[1]Load Factor Sheet June Acft  '!$B$5</f>
        <v>187.86727272727273</v>
      </c>
      <c r="S2093">
        <f>tblDailySchedule[[#This Row],[Capacity Approx]]*'[1]Load Factor Sheet June Acft  '!$D$5</f>
        <v>203.4218181818182</v>
      </c>
      <c r="T2093" s="22">
        <f>tblDailySchedule[[#This Row],[STD]]</f>
        <v>0.68402777777777779</v>
      </c>
    </row>
    <row r="2094" spans="1:20" hidden="1" x14ac:dyDescent="0.35">
      <c r="A2094" s="11">
        <v>46185</v>
      </c>
      <c r="B2094" s="3">
        <v>5</v>
      </c>
      <c r="C2094" t="s">
        <v>115</v>
      </c>
      <c r="D2094" t="s">
        <v>18</v>
      </c>
      <c r="E2094" s="3">
        <v>17</v>
      </c>
      <c r="F2094" t="s">
        <v>19</v>
      </c>
      <c r="G2094" t="s">
        <v>69</v>
      </c>
      <c r="H2094" t="s">
        <v>31</v>
      </c>
      <c r="I2094" s="12">
        <v>0.66319444444444442</v>
      </c>
      <c r="J2094" t="s">
        <v>70</v>
      </c>
      <c r="K2094" t="s">
        <v>31</v>
      </c>
      <c r="L2094" s="12">
        <v>0.69097222222222221</v>
      </c>
      <c r="M2094" t="s">
        <v>33</v>
      </c>
      <c r="N2094" s="3">
        <v>189</v>
      </c>
      <c r="O2094" t="s">
        <v>24</v>
      </c>
      <c r="P2094" t="s">
        <v>56</v>
      </c>
      <c r="R2094">
        <f>tblDailySchedule[[#This Row],[Capacity Approx]]*'[1]Load Factor Sheet June Acft  '!$B$5</f>
        <v>153.04704545454547</v>
      </c>
      <c r="S2094">
        <f>tblDailySchedule[[#This Row],[Capacity Approx]]*'[1]Load Factor Sheet June Acft  '!$D$5</f>
        <v>165.71863636363636</v>
      </c>
      <c r="T2094" s="22">
        <f>tblDailySchedule[[#This Row],[STD]]</f>
        <v>0.69097222222222221</v>
      </c>
    </row>
    <row r="2095" spans="1:20" hidden="1" x14ac:dyDescent="0.35">
      <c r="A2095" s="11">
        <v>46185</v>
      </c>
      <c r="B2095" s="3">
        <v>5</v>
      </c>
      <c r="C2095" t="s">
        <v>115</v>
      </c>
      <c r="D2095" t="s">
        <v>18</v>
      </c>
      <c r="E2095" s="3">
        <v>18</v>
      </c>
      <c r="F2095" t="s">
        <v>19</v>
      </c>
      <c r="G2095" t="s">
        <v>71</v>
      </c>
      <c r="H2095" t="s">
        <v>21</v>
      </c>
      <c r="I2095" s="12">
        <v>0.67013888888888884</v>
      </c>
      <c r="J2095" t="s">
        <v>72</v>
      </c>
      <c r="K2095" t="s">
        <v>21</v>
      </c>
      <c r="L2095" s="12">
        <v>0.69791666666666663</v>
      </c>
      <c r="M2095" t="s">
        <v>63</v>
      </c>
      <c r="N2095" s="3">
        <v>232</v>
      </c>
      <c r="O2095" t="s">
        <v>24</v>
      </c>
      <c r="P2095" t="s">
        <v>56</v>
      </c>
      <c r="R2095">
        <f>tblDailySchedule[[#This Row],[Capacity Approx]]*'[1]Load Factor Sheet June Acft  '!$B$5</f>
        <v>187.86727272727273</v>
      </c>
      <c r="S2095">
        <f>tblDailySchedule[[#This Row],[Capacity Approx]]*'[1]Load Factor Sheet June Acft  '!$D$5</f>
        <v>203.4218181818182</v>
      </c>
      <c r="T2095" s="22">
        <f>tblDailySchedule[[#This Row],[STD]]</f>
        <v>0.69791666666666663</v>
      </c>
    </row>
    <row r="2096" spans="1:20" hidden="1" x14ac:dyDescent="0.35">
      <c r="A2096" s="11">
        <v>46185</v>
      </c>
      <c r="B2096" s="3">
        <v>5</v>
      </c>
      <c r="C2096" t="s">
        <v>115</v>
      </c>
      <c r="D2096" t="s">
        <v>18</v>
      </c>
      <c r="E2096" s="3">
        <v>19</v>
      </c>
      <c r="F2096" t="s">
        <v>19</v>
      </c>
      <c r="G2096" t="s">
        <v>73</v>
      </c>
      <c r="H2096" t="s">
        <v>27</v>
      </c>
      <c r="I2096" s="12">
        <v>0.74652777777777779</v>
      </c>
      <c r="J2096" t="s">
        <v>74</v>
      </c>
      <c r="K2096" t="s">
        <v>27</v>
      </c>
      <c r="L2096" s="12">
        <v>0.77430555555555558</v>
      </c>
      <c r="M2096" t="s">
        <v>63</v>
      </c>
      <c r="N2096" s="3">
        <v>232</v>
      </c>
      <c r="O2096" t="s">
        <v>24</v>
      </c>
      <c r="P2096" t="s">
        <v>56</v>
      </c>
      <c r="R2096">
        <f>tblDailySchedule[[#This Row],[Capacity Approx]]*'[1]Load Factor Sheet June Acft  '!$B$5</f>
        <v>187.86727272727273</v>
      </c>
      <c r="S2096">
        <f>tblDailySchedule[[#This Row],[Capacity Approx]]*'[1]Load Factor Sheet June Acft  '!$D$5</f>
        <v>203.4218181818182</v>
      </c>
      <c r="T2096" s="22">
        <f>tblDailySchedule[[#This Row],[STD]]</f>
        <v>0.77430555555555558</v>
      </c>
    </row>
    <row r="2097" spans="1:20" hidden="1" x14ac:dyDescent="0.35">
      <c r="A2097" s="11">
        <v>46185</v>
      </c>
      <c r="B2097" s="3">
        <v>5</v>
      </c>
      <c r="C2097" t="s">
        <v>115</v>
      </c>
      <c r="D2097" t="s">
        <v>18</v>
      </c>
      <c r="E2097" s="3">
        <v>20</v>
      </c>
      <c r="F2097" t="s">
        <v>34</v>
      </c>
      <c r="G2097" t="s">
        <v>75</v>
      </c>
      <c r="H2097" t="s">
        <v>76</v>
      </c>
      <c r="I2097" s="12">
        <v>0.76388888888888884</v>
      </c>
      <c r="J2097" t="s">
        <v>77</v>
      </c>
      <c r="K2097" t="s">
        <v>78</v>
      </c>
      <c r="L2097" s="12">
        <v>0.78472222222222221</v>
      </c>
      <c r="M2097" t="s">
        <v>51</v>
      </c>
      <c r="N2097" s="3">
        <v>78</v>
      </c>
      <c r="O2097" t="s">
        <v>24</v>
      </c>
      <c r="P2097" t="s">
        <v>79</v>
      </c>
      <c r="Q2097" s="16" t="s">
        <v>80</v>
      </c>
      <c r="R2097">
        <f>tblDailySchedule[[#This Row],[Capacity Approx]]*'[1]Load Factor Sheet June Acft  '!$B$5</f>
        <v>63.162272727272729</v>
      </c>
      <c r="S2097">
        <f>tblDailySchedule[[#This Row],[Capacity Approx]]*'[1]Load Factor Sheet June Acft  '!$D$5</f>
        <v>68.391818181818181</v>
      </c>
      <c r="T2097" s="22">
        <f>tblDailySchedule[[#This Row],[STD]]</f>
        <v>0.78472222222222221</v>
      </c>
    </row>
    <row r="2098" spans="1:20" hidden="1" x14ac:dyDescent="0.35">
      <c r="A2098" s="11">
        <v>46185</v>
      </c>
      <c r="B2098" s="3">
        <v>5</v>
      </c>
      <c r="C2098" t="s">
        <v>115</v>
      </c>
      <c r="D2098" t="s">
        <v>18</v>
      </c>
      <c r="E2098" s="3">
        <v>21</v>
      </c>
      <c r="F2098" t="s">
        <v>19</v>
      </c>
      <c r="G2098" t="s">
        <v>81</v>
      </c>
      <c r="H2098" t="s">
        <v>61</v>
      </c>
      <c r="I2098" s="12">
        <v>0.77083333333333337</v>
      </c>
      <c r="J2098" t="s">
        <v>82</v>
      </c>
      <c r="K2098" t="s">
        <v>49</v>
      </c>
      <c r="L2098" s="12">
        <v>0.79166666666666663</v>
      </c>
      <c r="M2098" t="s">
        <v>33</v>
      </c>
      <c r="N2098" s="3">
        <v>189</v>
      </c>
      <c r="O2098" t="s">
        <v>24</v>
      </c>
      <c r="P2098" t="s">
        <v>79</v>
      </c>
      <c r="R2098">
        <f>tblDailySchedule[[#This Row],[Capacity Approx]]*'[1]Load Factor Sheet June Acft  '!$B$5</f>
        <v>153.04704545454547</v>
      </c>
      <c r="S2098">
        <f>tblDailySchedule[[#This Row],[Capacity Approx]]*'[1]Load Factor Sheet June Acft  '!$D$5</f>
        <v>165.71863636363636</v>
      </c>
      <c r="T2098" s="22">
        <f>tblDailySchedule[[#This Row],[STD]]</f>
        <v>0.79166666666666663</v>
      </c>
    </row>
    <row r="2099" spans="1:20" hidden="1" x14ac:dyDescent="0.35">
      <c r="A2099" s="11">
        <v>46185</v>
      </c>
      <c r="B2099" s="3">
        <v>5</v>
      </c>
      <c r="C2099" t="s">
        <v>115</v>
      </c>
      <c r="D2099" t="s">
        <v>18</v>
      </c>
      <c r="E2099" s="3">
        <v>22</v>
      </c>
      <c r="F2099" t="s">
        <v>19</v>
      </c>
      <c r="G2099" t="s">
        <v>83</v>
      </c>
      <c r="H2099" t="s">
        <v>31</v>
      </c>
      <c r="I2099" s="12">
        <v>0.77777777777777779</v>
      </c>
      <c r="J2099" t="s">
        <v>84</v>
      </c>
      <c r="K2099" t="s">
        <v>31</v>
      </c>
      <c r="L2099" s="12">
        <v>0.80555555555555558</v>
      </c>
      <c r="M2099" t="s">
        <v>63</v>
      </c>
      <c r="N2099" s="3">
        <v>232</v>
      </c>
      <c r="O2099" t="s">
        <v>24</v>
      </c>
      <c r="P2099" t="s">
        <v>79</v>
      </c>
      <c r="R2099">
        <f>tblDailySchedule[[#This Row],[Capacity Approx]]*'[1]Load Factor Sheet June Acft  '!$B$5</f>
        <v>187.86727272727273</v>
      </c>
      <c r="S2099">
        <f>tblDailySchedule[[#This Row],[Capacity Approx]]*'[1]Load Factor Sheet June Acft  '!$D$5</f>
        <v>203.4218181818182</v>
      </c>
      <c r="T2099" s="22">
        <f>tblDailySchedule[[#This Row],[STD]]</f>
        <v>0.80555555555555558</v>
      </c>
    </row>
    <row r="2100" spans="1:20" hidden="1" x14ac:dyDescent="0.35">
      <c r="A2100" s="11">
        <v>46185</v>
      </c>
      <c r="B2100" s="3">
        <v>5</v>
      </c>
      <c r="C2100" t="s">
        <v>115</v>
      </c>
      <c r="D2100" t="s">
        <v>18</v>
      </c>
      <c r="E2100" s="3">
        <v>23</v>
      </c>
      <c r="F2100" t="s">
        <v>19</v>
      </c>
      <c r="G2100" t="s">
        <v>85</v>
      </c>
      <c r="H2100" t="s">
        <v>86</v>
      </c>
      <c r="I2100" s="12">
        <v>0.79861111111111116</v>
      </c>
      <c r="J2100" t="s">
        <v>87</v>
      </c>
      <c r="K2100" t="s">
        <v>86</v>
      </c>
      <c r="L2100" s="12">
        <v>0.82638888888888884</v>
      </c>
      <c r="M2100" t="s">
        <v>63</v>
      </c>
      <c r="N2100" s="3">
        <v>232</v>
      </c>
      <c r="O2100" t="s">
        <v>24</v>
      </c>
      <c r="P2100" t="s">
        <v>79</v>
      </c>
      <c r="R2100">
        <f>tblDailySchedule[[#This Row],[Capacity Approx]]*'[1]Load Factor Sheet June Acft  '!$B$5</f>
        <v>187.86727272727273</v>
      </c>
      <c r="S2100">
        <f>tblDailySchedule[[#This Row],[Capacity Approx]]*'[1]Load Factor Sheet June Acft  '!$D$5</f>
        <v>203.4218181818182</v>
      </c>
      <c r="T2100" s="22">
        <f>tblDailySchedule[[#This Row],[STD]]</f>
        <v>0.82638888888888884</v>
      </c>
    </row>
    <row r="2101" spans="1:20" hidden="1" x14ac:dyDescent="0.35">
      <c r="A2101" s="11">
        <v>46185</v>
      </c>
      <c r="B2101" s="3">
        <v>5</v>
      </c>
      <c r="C2101" t="s">
        <v>115</v>
      </c>
      <c r="D2101" t="s">
        <v>18</v>
      </c>
      <c r="E2101" s="3">
        <v>24</v>
      </c>
      <c r="F2101" t="s">
        <v>19</v>
      </c>
      <c r="G2101" t="s">
        <v>88</v>
      </c>
      <c r="H2101" t="s">
        <v>89</v>
      </c>
      <c r="I2101" s="12">
        <v>0.83333333333333337</v>
      </c>
      <c r="J2101" t="s">
        <v>90</v>
      </c>
      <c r="K2101" t="s">
        <v>31</v>
      </c>
      <c r="L2101" s="12">
        <v>0.86111111111111116</v>
      </c>
      <c r="M2101" t="s">
        <v>63</v>
      </c>
      <c r="N2101" s="3">
        <v>232</v>
      </c>
      <c r="O2101" t="s">
        <v>24</v>
      </c>
      <c r="P2101" t="s">
        <v>79</v>
      </c>
      <c r="R2101">
        <f>tblDailySchedule[[#This Row],[Capacity Approx]]*'[1]Load Factor Sheet June Acft  '!$B$5</f>
        <v>187.86727272727273</v>
      </c>
      <c r="S2101">
        <f>tblDailySchedule[[#This Row],[Capacity Approx]]*'[1]Load Factor Sheet June Acft  '!$D$5</f>
        <v>203.4218181818182</v>
      </c>
      <c r="T2101" s="22">
        <f>tblDailySchedule[[#This Row],[STD]]</f>
        <v>0.86111111111111116</v>
      </c>
    </row>
    <row r="2102" spans="1:20" hidden="1" x14ac:dyDescent="0.35">
      <c r="A2102" s="11">
        <v>46185</v>
      </c>
      <c r="B2102" s="3">
        <v>5</v>
      </c>
      <c r="C2102" t="s">
        <v>115</v>
      </c>
      <c r="D2102" t="s">
        <v>18</v>
      </c>
      <c r="E2102" s="3">
        <v>25</v>
      </c>
      <c r="F2102" t="s">
        <v>19</v>
      </c>
      <c r="G2102" t="s">
        <v>91</v>
      </c>
      <c r="H2102" t="s">
        <v>61</v>
      </c>
      <c r="I2102" s="12">
        <v>0.85416666666666663</v>
      </c>
      <c r="J2102" t="s">
        <v>92</v>
      </c>
      <c r="K2102" t="s">
        <v>61</v>
      </c>
      <c r="L2102" s="12">
        <v>0.88194444444444442</v>
      </c>
      <c r="M2102" t="s">
        <v>63</v>
      </c>
      <c r="N2102" s="3">
        <v>232</v>
      </c>
      <c r="O2102" t="s">
        <v>24</v>
      </c>
      <c r="P2102" t="s">
        <v>79</v>
      </c>
      <c r="R2102">
        <f>tblDailySchedule[[#This Row],[Capacity Approx]]*'[1]Load Factor Sheet June Acft  '!$B$5</f>
        <v>187.86727272727273</v>
      </c>
      <c r="S2102">
        <f>tblDailySchedule[[#This Row],[Capacity Approx]]*'[1]Load Factor Sheet June Acft  '!$D$5</f>
        <v>203.4218181818182</v>
      </c>
      <c r="T2102" s="22">
        <f>tblDailySchedule[[#This Row],[STD]]</f>
        <v>0.88194444444444442</v>
      </c>
    </row>
    <row r="2103" spans="1:20" hidden="1" x14ac:dyDescent="0.35">
      <c r="A2103" s="11">
        <v>46185</v>
      </c>
      <c r="B2103" s="3">
        <v>5</v>
      </c>
      <c r="C2103" t="s">
        <v>115</v>
      </c>
      <c r="D2103" t="s">
        <v>18</v>
      </c>
      <c r="E2103" s="3">
        <v>26</v>
      </c>
      <c r="F2103" t="s">
        <v>19</v>
      </c>
      <c r="G2103" t="s">
        <v>93</v>
      </c>
      <c r="H2103" t="s">
        <v>31</v>
      </c>
      <c r="I2103" s="12">
        <v>0.86111111111111116</v>
      </c>
      <c r="J2103" t="s">
        <v>94</v>
      </c>
      <c r="K2103" t="s">
        <v>31</v>
      </c>
      <c r="L2103" s="12">
        <v>0.88888888888888884</v>
      </c>
      <c r="M2103" t="s">
        <v>23</v>
      </c>
      <c r="N2103" s="3">
        <v>186</v>
      </c>
      <c r="O2103" t="s">
        <v>24</v>
      </c>
      <c r="P2103" t="s">
        <v>79</v>
      </c>
      <c r="R2103">
        <f>tblDailySchedule[[#This Row],[Capacity Approx]]*'[1]Load Factor Sheet June Acft  '!$B$5</f>
        <v>150.61772727272728</v>
      </c>
      <c r="S2103">
        <f>tblDailySchedule[[#This Row],[Capacity Approx]]*'[1]Load Factor Sheet June Acft  '!$D$5</f>
        <v>163.08818181818182</v>
      </c>
      <c r="T2103" s="22">
        <f>tblDailySchedule[[#This Row],[STD]]</f>
        <v>0.88888888888888884</v>
      </c>
    </row>
    <row r="2104" spans="1:20" hidden="1" x14ac:dyDescent="0.35">
      <c r="A2104" s="11">
        <v>46185</v>
      </c>
      <c r="B2104" s="3">
        <v>5</v>
      </c>
      <c r="C2104" t="s">
        <v>115</v>
      </c>
      <c r="D2104" t="s">
        <v>18</v>
      </c>
      <c r="E2104" s="3">
        <v>27</v>
      </c>
      <c r="F2104" t="s">
        <v>19</v>
      </c>
      <c r="G2104" t="s">
        <v>95</v>
      </c>
      <c r="H2104" t="s">
        <v>21</v>
      </c>
      <c r="I2104" s="12">
        <v>0.86805555555555558</v>
      </c>
      <c r="J2104" t="s">
        <v>96</v>
      </c>
      <c r="K2104" t="s">
        <v>21</v>
      </c>
      <c r="L2104" s="12">
        <v>0.89583333333333337</v>
      </c>
      <c r="M2104" t="s">
        <v>29</v>
      </c>
      <c r="N2104" s="3">
        <v>186</v>
      </c>
      <c r="O2104" t="s">
        <v>24</v>
      </c>
      <c r="P2104" t="s">
        <v>79</v>
      </c>
      <c r="R2104">
        <f>tblDailySchedule[[#This Row],[Capacity Approx]]*'[1]Load Factor Sheet June Acft  '!$B$5</f>
        <v>150.61772727272728</v>
      </c>
      <c r="S2104">
        <f>tblDailySchedule[[#This Row],[Capacity Approx]]*'[1]Load Factor Sheet June Acft  '!$D$5</f>
        <v>163.08818181818182</v>
      </c>
      <c r="T2104" s="22">
        <f>tblDailySchedule[[#This Row],[STD]]</f>
        <v>0.89583333333333337</v>
      </c>
    </row>
    <row r="2105" spans="1:20" hidden="1" x14ac:dyDescent="0.35">
      <c r="A2105" s="11">
        <v>46185</v>
      </c>
      <c r="B2105" s="3">
        <v>5</v>
      </c>
      <c r="C2105" t="s">
        <v>115</v>
      </c>
      <c r="D2105" t="s">
        <v>18</v>
      </c>
      <c r="E2105" s="3">
        <v>28</v>
      </c>
      <c r="F2105" t="s">
        <v>19</v>
      </c>
      <c r="G2105" t="s">
        <v>97</v>
      </c>
      <c r="H2105" t="s">
        <v>49</v>
      </c>
      <c r="I2105" s="12">
        <v>0.90277777777777779</v>
      </c>
      <c r="J2105" t="s">
        <v>97</v>
      </c>
      <c r="K2105" t="s">
        <v>61</v>
      </c>
      <c r="L2105" s="12">
        <v>0.92361111111111116</v>
      </c>
      <c r="M2105" t="s">
        <v>33</v>
      </c>
      <c r="N2105" s="3">
        <v>189</v>
      </c>
      <c r="O2105" t="s">
        <v>24</v>
      </c>
      <c r="P2105" t="s">
        <v>79</v>
      </c>
      <c r="R2105">
        <f>tblDailySchedule[[#This Row],[Capacity Approx]]*'[1]Load Factor Sheet June Acft  '!$B$5</f>
        <v>153.04704545454547</v>
      </c>
      <c r="S2105">
        <f>tblDailySchedule[[#This Row],[Capacity Approx]]*'[1]Load Factor Sheet June Acft  '!$D$5</f>
        <v>165.71863636363636</v>
      </c>
      <c r="T2105" s="22">
        <f>tblDailySchedule[[#This Row],[STD]]</f>
        <v>0.92361111111111116</v>
      </c>
    </row>
    <row r="2106" spans="1:20" hidden="1" x14ac:dyDescent="0.35">
      <c r="A2106" s="11">
        <v>46185</v>
      </c>
      <c r="B2106" s="3">
        <v>5</v>
      </c>
      <c r="C2106" t="s">
        <v>115</v>
      </c>
      <c r="D2106" t="s">
        <v>18</v>
      </c>
      <c r="E2106" s="3">
        <v>29</v>
      </c>
      <c r="F2106" t="s">
        <v>19</v>
      </c>
      <c r="G2106" t="s">
        <v>98</v>
      </c>
      <c r="H2106" t="s">
        <v>21</v>
      </c>
      <c r="I2106" s="12">
        <v>0.92013888888888884</v>
      </c>
      <c r="J2106" t="s">
        <v>99</v>
      </c>
      <c r="K2106" t="s">
        <v>21</v>
      </c>
      <c r="L2106" s="12">
        <v>0.94791666666666663</v>
      </c>
      <c r="M2106" t="s">
        <v>63</v>
      </c>
      <c r="N2106" s="3">
        <v>232</v>
      </c>
      <c r="O2106" t="s">
        <v>24</v>
      </c>
      <c r="P2106" t="s">
        <v>79</v>
      </c>
      <c r="R2106">
        <f>tblDailySchedule[[#This Row],[Capacity Approx]]*'[1]Load Factor Sheet June Acft  '!$B$5</f>
        <v>187.86727272727273</v>
      </c>
      <c r="S2106">
        <f>tblDailySchedule[[#This Row],[Capacity Approx]]*'[1]Load Factor Sheet June Acft  '!$D$5</f>
        <v>203.4218181818182</v>
      </c>
      <c r="T2106" s="22">
        <f>tblDailySchedule[[#This Row],[STD]]</f>
        <v>0.94791666666666663</v>
      </c>
    </row>
    <row r="2107" spans="1:20" hidden="1" x14ac:dyDescent="0.35">
      <c r="A2107" s="13">
        <v>46185</v>
      </c>
      <c r="B2107" s="7">
        <v>5</v>
      </c>
      <c r="C2107" s="14" t="s">
        <v>115</v>
      </c>
      <c r="D2107" s="14" t="s">
        <v>18</v>
      </c>
      <c r="E2107" s="7">
        <v>30</v>
      </c>
      <c r="F2107" s="14" t="s">
        <v>104</v>
      </c>
      <c r="G2107" s="14" t="s">
        <v>105</v>
      </c>
      <c r="H2107" s="14" t="s">
        <v>106</v>
      </c>
      <c r="I2107" s="15">
        <v>0.92708333333333337</v>
      </c>
      <c r="J2107" s="14" t="s">
        <v>107</v>
      </c>
      <c r="K2107" s="14" t="s">
        <v>106</v>
      </c>
      <c r="L2107" s="15">
        <v>0.95833333333333337</v>
      </c>
      <c r="M2107" s="14" t="s">
        <v>38</v>
      </c>
      <c r="N2107" s="7">
        <v>186</v>
      </c>
      <c r="O2107" s="14" t="s">
        <v>39</v>
      </c>
      <c r="P2107" s="14" t="s">
        <v>79</v>
      </c>
      <c r="Q2107" s="14" t="s">
        <v>39</v>
      </c>
      <c r="R2107">
        <f>tblDailySchedule[[#This Row],[Capacity Approx]]*'[1]Load Factor Sheet June Acft  '!$B$5</f>
        <v>150.61772727272728</v>
      </c>
      <c r="S2107">
        <f>tblDailySchedule[[#This Row],[Capacity Approx]]*'[1]Load Factor Sheet June Acft  '!$D$5</f>
        <v>163.08818181818182</v>
      </c>
      <c r="T2107" s="22">
        <f>tblDailySchedule[[#This Row],[STD]]</f>
        <v>0.95833333333333337</v>
      </c>
    </row>
    <row r="2108" spans="1:20" hidden="1" x14ac:dyDescent="0.35">
      <c r="A2108" s="11">
        <v>46186</v>
      </c>
      <c r="B2108" s="3">
        <v>6</v>
      </c>
      <c r="C2108" t="s">
        <v>116</v>
      </c>
      <c r="D2108" t="s">
        <v>18</v>
      </c>
      <c r="E2108" s="3">
        <v>1</v>
      </c>
      <c r="F2108" t="s">
        <v>101</v>
      </c>
      <c r="G2108" t="s">
        <v>102</v>
      </c>
      <c r="H2108" t="s">
        <v>61</v>
      </c>
      <c r="I2108" s="12">
        <v>0.3125</v>
      </c>
      <c r="J2108" t="s">
        <v>103</v>
      </c>
      <c r="K2108" t="s">
        <v>61</v>
      </c>
      <c r="L2108" s="12">
        <v>0.33333333333333331</v>
      </c>
      <c r="M2108" t="s">
        <v>33</v>
      </c>
      <c r="N2108" s="3">
        <v>189</v>
      </c>
      <c r="O2108" t="s">
        <v>24</v>
      </c>
      <c r="P2108" t="s">
        <v>25</v>
      </c>
      <c r="R2108">
        <f>tblDailySchedule[[#This Row],[Capacity Approx]]*'[1]Load Factor Sheet June Acft  '!$B$5</f>
        <v>153.04704545454547</v>
      </c>
      <c r="S2108">
        <f>tblDailySchedule[[#This Row],[Capacity Approx]]*'[1]Load Factor Sheet June Acft  '!$D$5</f>
        <v>165.71863636363636</v>
      </c>
      <c r="T2108" s="22">
        <f>tblDailySchedule[[#This Row],[STD]]</f>
        <v>0.33333333333333331</v>
      </c>
    </row>
    <row r="2109" spans="1:20" hidden="1" x14ac:dyDescent="0.35">
      <c r="A2109" s="11">
        <v>46186</v>
      </c>
      <c r="B2109" s="3">
        <v>6</v>
      </c>
      <c r="C2109" t="s">
        <v>116</v>
      </c>
      <c r="D2109" t="s">
        <v>18</v>
      </c>
      <c r="E2109" s="3">
        <v>2</v>
      </c>
      <c r="F2109" t="s">
        <v>19</v>
      </c>
      <c r="G2109" t="s">
        <v>20</v>
      </c>
      <c r="H2109" t="s">
        <v>21</v>
      </c>
      <c r="I2109" s="12">
        <v>0.31944444444444442</v>
      </c>
      <c r="J2109" t="s">
        <v>22</v>
      </c>
      <c r="K2109" t="s">
        <v>21</v>
      </c>
      <c r="L2109" s="12">
        <v>0.34722222222222221</v>
      </c>
      <c r="M2109" t="s">
        <v>23</v>
      </c>
      <c r="N2109" s="3">
        <v>186</v>
      </c>
      <c r="O2109" t="s">
        <v>24</v>
      </c>
      <c r="P2109" t="s">
        <v>25</v>
      </c>
      <c r="R2109">
        <f>tblDailySchedule[[#This Row],[Capacity Approx]]*'[1]Load Factor Sheet June Acft  '!$B$5</f>
        <v>150.61772727272728</v>
      </c>
      <c r="S2109">
        <f>tblDailySchedule[[#This Row],[Capacity Approx]]*'[1]Load Factor Sheet June Acft  '!$D$5</f>
        <v>163.08818181818182</v>
      </c>
      <c r="T2109" s="22">
        <f>tblDailySchedule[[#This Row],[STD]]</f>
        <v>0.34722222222222221</v>
      </c>
    </row>
    <row r="2110" spans="1:20" hidden="1" x14ac:dyDescent="0.35">
      <c r="A2110" s="11">
        <v>46186</v>
      </c>
      <c r="B2110" s="3">
        <v>6</v>
      </c>
      <c r="C2110" t="s">
        <v>116</v>
      </c>
      <c r="D2110" t="s">
        <v>18</v>
      </c>
      <c r="E2110" s="3">
        <v>3</v>
      </c>
      <c r="F2110" t="s">
        <v>19</v>
      </c>
      <c r="G2110" t="s">
        <v>26</v>
      </c>
      <c r="H2110" t="s">
        <v>27</v>
      </c>
      <c r="I2110" s="12">
        <v>0.3263888888888889</v>
      </c>
      <c r="J2110" t="s">
        <v>28</v>
      </c>
      <c r="K2110" t="s">
        <v>27</v>
      </c>
      <c r="L2110" s="12">
        <v>0.35416666666666669</v>
      </c>
      <c r="M2110" t="s">
        <v>29</v>
      </c>
      <c r="N2110" s="3">
        <v>186</v>
      </c>
      <c r="O2110" t="s">
        <v>24</v>
      </c>
      <c r="P2110" t="s">
        <v>25</v>
      </c>
      <c r="R2110">
        <f>tblDailySchedule[[#This Row],[Capacity Approx]]*'[1]Load Factor Sheet June Acft  '!$B$5</f>
        <v>150.61772727272728</v>
      </c>
      <c r="S2110">
        <f>tblDailySchedule[[#This Row],[Capacity Approx]]*'[1]Load Factor Sheet June Acft  '!$D$5</f>
        <v>163.08818181818182</v>
      </c>
      <c r="T2110" s="22">
        <f>tblDailySchedule[[#This Row],[STD]]</f>
        <v>0.35416666666666669</v>
      </c>
    </row>
    <row r="2111" spans="1:20" hidden="1" x14ac:dyDescent="0.35">
      <c r="A2111" s="11">
        <v>46186</v>
      </c>
      <c r="B2111" s="3">
        <v>6</v>
      </c>
      <c r="C2111" t="s">
        <v>116</v>
      </c>
      <c r="D2111" t="s">
        <v>18</v>
      </c>
      <c r="E2111" s="3">
        <v>4</v>
      </c>
      <c r="F2111" t="s">
        <v>19</v>
      </c>
      <c r="G2111" t="s">
        <v>30</v>
      </c>
      <c r="H2111" t="s">
        <v>31</v>
      </c>
      <c r="I2111" s="12">
        <v>0.34722222222222221</v>
      </c>
      <c r="J2111" t="s">
        <v>32</v>
      </c>
      <c r="K2111" t="s">
        <v>31</v>
      </c>
      <c r="L2111" s="12">
        <v>0.36805555555555558</v>
      </c>
      <c r="M2111" t="s">
        <v>33</v>
      </c>
      <c r="N2111" s="3">
        <v>189</v>
      </c>
      <c r="O2111" t="s">
        <v>24</v>
      </c>
      <c r="P2111" t="s">
        <v>25</v>
      </c>
      <c r="R2111">
        <f>tblDailySchedule[[#This Row],[Capacity Approx]]*'[1]Load Factor Sheet June Acft  '!$B$5</f>
        <v>153.04704545454547</v>
      </c>
      <c r="S2111">
        <f>tblDailySchedule[[#This Row],[Capacity Approx]]*'[1]Load Factor Sheet June Acft  '!$D$5</f>
        <v>165.71863636363636</v>
      </c>
      <c r="T2111" s="22">
        <f>tblDailySchedule[[#This Row],[STD]]</f>
        <v>0.36805555555555558</v>
      </c>
    </row>
    <row r="2112" spans="1:20" hidden="1" x14ac:dyDescent="0.35">
      <c r="A2112" s="11">
        <v>46186</v>
      </c>
      <c r="B2112" s="3">
        <v>6</v>
      </c>
      <c r="C2112" t="s">
        <v>116</v>
      </c>
      <c r="D2112" t="s">
        <v>18</v>
      </c>
      <c r="E2112" s="3">
        <v>5</v>
      </c>
      <c r="F2112" t="s">
        <v>19</v>
      </c>
      <c r="G2112" t="s">
        <v>40</v>
      </c>
      <c r="H2112" t="s">
        <v>31</v>
      </c>
      <c r="I2112" s="12">
        <v>0.35069444444444442</v>
      </c>
      <c r="J2112" t="s">
        <v>41</v>
      </c>
      <c r="K2112" t="s">
        <v>31</v>
      </c>
      <c r="L2112" s="12">
        <v>0.37152777777777779</v>
      </c>
      <c r="M2112" t="s">
        <v>23</v>
      </c>
      <c r="N2112" s="3">
        <v>186</v>
      </c>
      <c r="O2112" t="s">
        <v>24</v>
      </c>
      <c r="P2112" t="s">
        <v>25</v>
      </c>
      <c r="R2112">
        <f>tblDailySchedule[[#This Row],[Capacity Approx]]*'[1]Load Factor Sheet June Acft  '!$B$5</f>
        <v>150.61772727272728</v>
      </c>
      <c r="S2112">
        <f>tblDailySchedule[[#This Row],[Capacity Approx]]*'[1]Load Factor Sheet June Acft  '!$D$5</f>
        <v>163.08818181818182</v>
      </c>
      <c r="T2112" s="22">
        <f>tblDailySchedule[[#This Row],[STD]]</f>
        <v>0.37152777777777779</v>
      </c>
    </row>
    <row r="2113" spans="1:20" hidden="1" x14ac:dyDescent="0.35">
      <c r="A2113" s="11">
        <v>46186</v>
      </c>
      <c r="B2113" s="3">
        <v>6</v>
      </c>
      <c r="C2113" t="s">
        <v>116</v>
      </c>
      <c r="D2113" t="s">
        <v>18</v>
      </c>
      <c r="E2113" s="3">
        <v>7</v>
      </c>
      <c r="F2113" t="s">
        <v>19</v>
      </c>
      <c r="G2113" t="s">
        <v>42</v>
      </c>
      <c r="H2113" t="s">
        <v>43</v>
      </c>
      <c r="I2113" s="12">
        <v>0.3923611111111111</v>
      </c>
      <c r="J2113" t="s">
        <v>44</v>
      </c>
      <c r="K2113" t="s">
        <v>43</v>
      </c>
      <c r="L2113" s="12">
        <v>0.40277777777777779</v>
      </c>
      <c r="M2113" t="s">
        <v>45</v>
      </c>
      <c r="N2113" s="3">
        <v>9</v>
      </c>
      <c r="O2113" t="s">
        <v>24</v>
      </c>
      <c r="P2113" t="s">
        <v>25</v>
      </c>
      <c r="R2113">
        <f>tblDailySchedule[[#This Row],[Capacity Approx]]*'[1]Load Factor Sheet June Acft  '!$B$5</f>
        <v>7.2879545454545456</v>
      </c>
      <c r="S2113">
        <f>tblDailySchedule[[#This Row],[Capacity Approx]]*'[1]Load Factor Sheet June Acft  '!$D$5</f>
        <v>7.8913636363636366</v>
      </c>
      <c r="T2113" s="22">
        <f>tblDailySchedule[[#This Row],[STD]]</f>
        <v>0.40277777777777779</v>
      </c>
    </row>
    <row r="2114" spans="1:20" hidden="1" x14ac:dyDescent="0.35">
      <c r="A2114" s="11">
        <v>46186</v>
      </c>
      <c r="B2114" s="3">
        <v>6</v>
      </c>
      <c r="C2114" t="s">
        <v>116</v>
      </c>
      <c r="D2114" t="s">
        <v>18</v>
      </c>
      <c r="E2114" s="3">
        <v>8</v>
      </c>
      <c r="F2114" t="s">
        <v>19</v>
      </c>
      <c r="G2114" t="s">
        <v>46</v>
      </c>
      <c r="H2114" t="s">
        <v>31</v>
      </c>
      <c r="I2114" s="12">
        <v>0.4201388888888889</v>
      </c>
      <c r="J2114" t="s">
        <v>47</v>
      </c>
      <c r="K2114" t="s">
        <v>31</v>
      </c>
      <c r="L2114" s="12">
        <v>0.44444444444444442</v>
      </c>
      <c r="M2114" t="s">
        <v>29</v>
      </c>
      <c r="N2114" s="3">
        <v>186</v>
      </c>
      <c r="O2114" t="s">
        <v>24</v>
      </c>
      <c r="P2114" t="s">
        <v>25</v>
      </c>
      <c r="R2114">
        <f>tblDailySchedule[[#This Row],[Capacity Approx]]*'[1]Load Factor Sheet June Acft  '!$B$5</f>
        <v>150.61772727272728</v>
      </c>
      <c r="S2114">
        <f>tblDailySchedule[[#This Row],[Capacity Approx]]*'[1]Load Factor Sheet June Acft  '!$D$5</f>
        <v>163.08818181818182</v>
      </c>
      <c r="T2114" s="22">
        <f>tblDailySchedule[[#This Row],[STD]]</f>
        <v>0.44444444444444442</v>
      </c>
    </row>
    <row r="2115" spans="1:20" hidden="1" x14ac:dyDescent="0.35">
      <c r="A2115" s="11">
        <v>46186</v>
      </c>
      <c r="B2115" s="3">
        <v>6</v>
      </c>
      <c r="C2115" t="s">
        <v>116</v>
      </c>
      <c r="D2115" t="s">
        <v>18</v>
      </c>
      <c r="E2115" s="3">
        <v>9</v>
      </c>
      <c r="F2115" t="s">
        <v>19</v>
      </c>
      <c r="G2115" t="s">
        <v>48</v>
      </c>
      <c r="H2115" t="s">
        <v>49</v>
      </c>
      <c r="I2115" s="12">
        <v>0.4375</v>
      </c>
      <c r="J2115" t="s">
        <v>50</v>
      </c>
      <c r="K2115" t="s">
        <v>49</v>
      </c>
      <c r="L2115" s="12">
        <v>0.45833333333333331</v>
      </c>
      <c r="M2115" t="s">
        <v>51</v>
      </c>
      <c r="N2115" s="3">
        <v>78</v>
      </c>
      <c r="O2115" t="s">
        <v>24</v>
      </c>
      <c r="P2115" t="s">
        <v>25</v>
      </c>
      <c r="R2115">
        <f>tblDailySchedule[[#This Row],[Capacity Approx]]*'[1]Load Factor Sheet June Acft  '!$B$5</f>
        <v>63.162272727272729</v>
      </c>
      <c r="S2115">
        <f>tblDailySchedule[[#This Row],[Capacity Approx]]*'[1]Load Factor Sheet June Acft  '!$D$5</f>
        <v>68.391818181818181</v>
      </c>
      <c r="T2115" s="22">
        <f>tblDailySchedule[[#This Row],[STD]]</f>
        <v>0.45833333333333331</v>
      </c>
    </row>
    <row r="2116" spans="1:20" hidden="1" x14ac:dyDescent="0.35">
      <c r="A2116" s="11">
        <v>46186</v>
      </c>
      <c r="B2116" s="3">
        <v>6</v>
      </c>
      <c r="C2116" t="s">
        <v>116</v>
      </c>
      <c r="D2116" t="s">
        <v>18</v>
      </c>
      <c r="E2116" s="3">
        <v>10</v>
      </c>
      <c r="F2116" t="s">
        <v>19</v>
      </c>
      <c r="G2116" t="s">
        <v>52</v>
      </c>
      <c r="H2116" t="s">
        <v>27</v>
      </c>
      <c r="I2116" s="12">
        <v>0.4826388888888889</v>
      </c>
      <c r="J2116" t="s">
        <v>53</v>
      </c>
      <c r="K2116" t="s">
        <v>27</v>
      </c>
      <c r="L2116" s="12">
        <v>0.51041666666666663</v>
      </c>
      <c r="M2116" t="s">
        <v>23</v>
      </c>
      <c r="N2116" s="3">
        <v>186</v>
      </c>
      <c r="O2116" t="s">
        <v>24</v>
      </c>
      <c r="P2116" t="s">
        <v>25</v>
      </c>
      <c r="R2116">
        <f>tblDailySchedule[[#This Row],[Capacity Approx]]*'[1]Load Factor Sheet June Acft  '!$B$5</f>
        <v>150.61772727272728</v>
      </c>
      <c r="S2116">
        <f>tblDailySchedule[[#This Row],[Capacity Approx]]*'[1]Load Factor Sheet June Acft  '!$D$5</f>
        <v>163.08818181818182</v>
      </c>
      <c r="T2116" s="22">
        <f>tblDailySchedule[[#This Row],[STD]]</f>
        <v>0.51041666666666663</v>
      </c>
    </row>
    <row r="2117" spans="1:20" hidden="1" x14ac:dyDescent="0.35">
      <c r="A2117" s="11">
        <v>46186</v>
      </c>
      <c r="B2117" s="3">
        <v>6</v>
      </c>
      <c r="C2117" t="s">
        <v>116</v>
      </c>
      <c r="D2117" t="s">
        <v>18</v>
      </c>
      <c r="E2117" s="3">
        <v>11</v>
      </c>
      <c r="F2117" t="s">
        <v>19</v>
      </c>
      <c r="G2117" t="s">
        <v>54</v>
      </c>
      <c r="H2117" t="s">
        <v>31</v>
      </c>
      <c r="I2117" s="12">
        <v>0.51388888888888884</v>
      </c>
      <c r="J2117" t="s">
        <v>55</v>
      </c>
      <c r="K2117" t="s">
        <v>31</v>
      </c>
      <c r="L2117" s="12">
        <v>0.54166666666666663</v>
      </c>
      <c r="M2117" t="s">
        <v>23</v>
      </c>
      <c r="N2117" s="3">
        <v>186</v>
      </c>
      <c r="O2117" t="s">
        <v>24</v>
      </c>
      <c r="P2117" t="s">
        <v>56</v>
      </c>
      <c r="R2117">
        <f>tblDailySchedule[[#This Row],[Capacity Approx]]*'[1]Load Factor Sheet June Acft  '!$B$5</f>
        <v>150.61772727272728</v>
      </c>
      <c r="S2117">
        <f>tblDailySchedule[[#This Row],[Capacity Approx]]*'[1]Load Factor Sheet June Acft  '!$D$5</f>
        <v>163.08818181818182</v>
      </c>
      <c r="T2117" s="22">
        <f>tblDailySchedule[[#This Row],[STD]]</f>
        <v>0.54166666666666663</v>
      </c>
    </row>
    <row r="2118" spans="1:20" hidden="1" x14ac:dyDescent="0.35">
      <c r="A2118" s="11">
        <v>46186</v>
      </c>
      <c r="B2118" s="3">
        <v>6</v>
      </c>
      <c r="C2118" t="s">
        <v>116</v>
      </c>
      <c r="D2118" t="s">
        <v>18</v>
      </c>
      <c r="E2118" s="3">
        <v>12</v>
      </c>
      <c r="F2118" t="s">
        <v>109</v>
      </c>
      <c r="G2118" t="s">
        <v>110</v>
      </c>
      <c r="H2118" t="s">
        <v>111</v>
      </c>
      <c r="I2118" s="12">
        <v>0.55555555555555558</v>
      </c>
      <c r="J2118" t="s">
        <v>112</v>
      </c>
      <c r="K2118" t="s">
        <v>111</v>
      </c>
      <c r="L2118" s="12">
        <v>0.56944444444444442</v>
      </c>
      <c r="M2118" t="s">
        <v>51</v>
      </c>
      <c r="N2118" s="3">
        <v>78</v>
      </c>
      <c r="O2118" t="s">
        <v>24</v>
      </c>
      <c r="P2118" t="s">
        <v>56</v>
      </c>
      <c r="R2118">
        <f>tblDailySchedule[[#This Row],[Capacity Approx]]*'[1]Load Factor Sheet June Acft  '!$B$5</f>
        <v>63.162272727272729</v>
      </c>
      <c r="S2118">
        <f>tblDailySchedule[[#This Row],[Capacity Approx]]*'[1]Load Factor Sheet June Acft  '!$D$5</f>
        <v>68.391818181818181</v>
      </c>
      <c r="T2118" s="22">
        <f>tblDailySchedule[[#This Row],[STD]]</f>
        <v>0.56944444444444442</v>
      </c>
    </row>
    <row r="2119" spans="1:20" hidden="1" x14ac:dyDescent="0.35">
      <c r="A2119" s="11">
        <v>46186</v>
      </c>
      <c r="B2119" s="3">
        <v>6</v>
      </c>
      <c r="C2119" t="s">
        <v>116</v>
      </c>
      <c r="D2119" t="s">
        <v>18</v>
      </c>
      <c r="E2119" s="3">
        <v>13</v>
      </c>
      <c r="F2119" t="s">
        <v>19</v>
      </c>
      <c r="G2119" t="s">
        <v>57</v>
      </c>
      <c r="H2119" t="s">
        <v>58</v>
      </c>
      <c r="I2119" s="12">
        <v>0.55902777777777779</v>
      </c>
      <c r="J2119" t="s">
        <v>59</v>
      </c>
      <c r="K2119" t="s">
        <v>58</v>
      </c>
      <c r="L2119" s="12">
        <v>0.57638888888888884</v>
      </c>
      <c r="M2119" t="s">
        <v>51</v>
      </c>
      <c r="N2119" s="3">
        <v>78</v>
      </c>
      <c r="O2119" t="s">
        <v>24</v>
      </c>
      <c r="P2119" t="s">
        <v>56</v>
      </c>
      <c r="R2119">
        <f>tblDailySchedule[[#This Row],[Capacity Approx]]*'[1]Load Factor Sheet June Acft  '!$B$5</f>
        <v>63.162272727272729</v>
      </c>
      <c r="S2119">
        <f>tblDailySchedule[[#This Row],[Capacity Approx]]*'[1]Load Factor Sheet June Acft  '!$D$5</f>
        <v>68.391818181818181</v>
      </c>
      <c r="T2119" s="22">
        <f>tblDailySchedule[[#This Row],[STD]]</f>
        <v>0.57638888888888884</v>
      </c>
    </row>
    <row r="2120" spans="1:20" hidden="1" x14ac:dyDescent="0.35">
      <c r="A2120" s="11">
        <v>46186</v>
      </c>
      <c r="B2120" s="3">
        <v>6</v>
      </c>
      <c r="C2120" t="s">
        <v>116</v>
      </c>
      <c r="D2120" t="s">
        <v>18</v>
      </c>
      <c r="E2120" s="3">
        <v>14</v>
      </c>
      <c r="F2120" t="s">
        <v>19</v>
      </c>
      <c r="G2120" t="s">
        <v>60</v>
      </c>
      <c r="H2120" t="s">
        <v>61</v>
      </c>
      <c r="I2120" s="12">
        <v>0.59027777777777779</v>
      </c>
      <c r="J2120" t="s">
        <v>62</v>
      </c>
      <c r="K2120" t="s">
        <v>61</v>
      </c>
      <c r="L2120" s="12">
        <v>0.62152777777777779</v>
      </c>
      <c r="M2120" t="s">
        <v>63</v>
      </c>
      <c r="N2120" s="3">
        <v>232</v>
      </c>
      <c r="O2120" t="s">
        <v>24</v>
      </c>
      <c r="P2120" t="s">
        <v>56</v>
      </c>
      <c r="R2120">
        <f>tblDailySchedule[[#This Row],[Capacity Approx]]*'[1]Load Factor Sheet June Acft  '!$B$5</f>
        <v>187.86727272727273</v>
      </c>
      <c r="S2120">
        <f>tblDailySchedule[[#This Row],[Capacity Approx]]*'[1]Load Factor Sheet June Acft  '!$D$5</f>
        <v>203.4218181818182</v>
      </c>
      <c r="T2120" s="22">
        <f>tblDailySchedule[[#This Row],[STD]]</f>
        <v>0.62152777777777779</v>
      </c>
    </row>
    <row r="2121" spans="1:20" hidden="1" x14ac:dyDescent="0.35">
      <c r="A2121" s="11">
        <v>46186</v>
      </c>
      <c r="B2121" s="3">
        <v>6</v>
      </c>
      <c r="C2121" t="s">
        <v>116</v>
      </c>
      <c r="D2121" t="s">
        <v>18</v>
      </c>
      <c r="E2121" s="3">
        <v>15</v>
      </c>
      <c r="F2121" t="s">
        <v>19</v>
      </c>
      <c r="G2121" t="s">
        <v>64</v>
      </c>
      <c r="H2121" t="s">
        <v>31</v>
      </c>
      <c r="I2121" s="12">
        <v>0.60069444444444442</v>
      </c>
      <c r="J2121" t="s">
        <v>65</v>
      </c>
      <c r="K2121" t="s">
        <v>66</v>
      </c>
      <c r="L2121" s="12">
        <v>0.62847222222222221</v>
      </c>
      <c r="M2121" t="s">
        <v>63</v>
      </c>
      <c r="N2121" s="3">
        <v>232</v>
      </c>
      <c r="O2121" t="s">
        <v>24</v>
      </c>
      <c r="P2121" t="s">
        <v>56</v>
      </c>
      <c r="R2121">
        <f>tblDailySchedule[[#This Row],[Capacity Approx]]*'[1]Load Factor Sheet June Acft  '!$B$5</f>
        <v>187.86727272727273</v>
      </c>
      <c r="S2121">
        <f>tblDailySchedule[[#This Row],[Capacity Approx]]*'[1]Load Factor Sheet June Acft  '!$D$5</f>
        <v>203.4218181818182</v>
      </c>
      <c r="T2121" s="22">
        <f>tblDailySchedule[[#This Row],[STD]]</f>
        <v>0.62847222222222221</v>
      </c>
    </row>
    <row r="2122" spans="1:20" hidden="1" x14ac:dyDescent="0.35">
      <c r="A2122" s="11">
        <v>46186</v>
      </c>
      <c r="B2122" s="3">
        <v>6</v>
      </c>
      <c r="C2122" t="s">
        <v>116</v>
      </c>
      <c r="D2122" t="s">
        <v>18</v>
      </c>
      <c r="E2122" s="3">
        <v>16</v>
      </c>
      <c r="F2122" t="s">
        <v>19</v>
      </c>
      <c r="G2122" t="s">
        <v>67</v>
      </c>
      <c r="H2122" t="s">
        <v>31</v>
      </c>
      <c r="I2122" s="12">
        <v>0.65625</v>
      </c>
      <c r="J2122" t="s">
        <v>68</v>
      </c>
      <c r="K2122" t="s">
        <v>31</v>
      </c>
      <c r="L2122" s="12">
        <v>0.68402777777777779</v>
      </c>
      <c r="M2122" t="s">
        <v>63</v>
      </c>
      <c r="N2122" s="3">
        <v>232</v>
      </c>
      <c r="O2122" t="s">
        <v>24</v>
      </c>
      <c r="P2122" t="s">
        <v>56</v>
      </c>
      <c r="R2122">
        <f>tblDailySchedule[[#This Row],[Capacity Approx]]*'[1]Load Factor Sheet June Acft  '!$B$5</f>
        <v>187.86727272727273</v>
      </c>
      <c r="S2122">
        <f>tblDailySchedule[[#This Row],[Capacity Approx]]*'[1]Load Factor Sheet June Acft  '!$D$5</f>
        <v>203.4218181818182</v>
      </c>
      <c r="T2122" s="22">
        <f>tblDailySchedule[[#This Row],[STD]]</f>
        <v>0.68402777777777779</v>
      </c>
    </row>
    <row r="2123" spans="1:20" hidden="1" x14ac:dyDescent="0.35">
      <c r="A2123" s="11">
        <v>46186</v>
      </c>
      <c r="B2123" s="3">
        <v>6</v>
      </c>
      <c r="C2123" t="s">
        <v>116</v>
      </c>
      <c r="D2123" t="s">
        <v>18</v>
      </c>
      <c r="E2123" s="3">
        <v>17</v>
      </c>
      <c r="F2123" t="s">
        <v>19</v>
      </c>
      <c r="G2123" t="s">
        <v>69</v>
      </c>
      <c r="H2123" t="s">
        <v>31</v>
      </c>
      <c r="I2123" s="12">
        <v>0.66319444444444442</v>
      </c>
      <c r="J2123" t="s">
        <v>70</v>
      </c>
      <c r="K2123" t="s">
        <v>31</v>
      </c>
      <c r="L2123" s="12">
        <v>0.69097222222222221</v>
      </c>
      <c r="M2123" t="s">
        <v>33</v>
      </c>
      <c r="N2123" s="3">
        <v>189</v>
      </c>
      <c r="O2123" t="s">
        <v>24</v>
      </c>
      <c r="P2123" t="s">
        <v>56</v>
      </c>
      <c r="R2123">
        <f>tblDailySchedule[[#This Row],[Capacity Approx]]*'[1]Load Factor Sheet June Acft  '!$B$5</f>
        <v>153.04704545454547</v>
      </c>
      <c r="S2123">
        <f>tblDailySchedule[[#This Row],[Capacity Approx]]*'[1]Load Factor Sheet June Acft  '!$D$5</f>
        <v>165.71863636363636</v>
      </c>
      <c r="T2123" s="22">
        <f>tblDailySchedule[[#This Row],[STD]]</f>
        <v>0.69097222222222221</v>
      </c>
    </row>
    <row r="2124" spans="1:20" hidden="1" x14ac:dyDescent="0.35">
      <c r="A2124" s="11">
        <v>46186</v>
      </c>
      <c r="B2124" s="3">
        <v>6</v>
      </c>
      <c r="C2124" t="s">
        <v>116</v>
      </c>
      <c r="D2124" t="s">
        <v>18</v>
      </c>
      <c r="E2124" s="3">
        <v>18</v>
      </c>
      <c r="F2124" t="s">
        <v>19</v>
      </c>
      <c r="G2124" t="s">
        <v>71</v>
      </c>
      <c r="H2124" t="s">
        <v>21</v>
      </c>
      <c r="I2124" s="12">
        <v>0.67013888888888884</v>
      </c>
      <c r="J2124" t="s">
        <v>72</v>
      </c>
      <c r="K2124" t="s">
        <v>21</v>
      </c>
      <c r="L2124" s="12">
        <v>0.69791666666666663</v>
      </c>
      <c r="M2124" t="s">
        <v>63</v>
      </c>
      <c r="N2124" s="3">
        <v>232</v>
      </c>
      <c r="O2124" t="s">
        <v>24</v>
      </c>
      <c r="P2124" t="s">
        <v>56</v>
      </c>
      <c r="R2124">
        <f>tblDailySchedule[[#This Row],[Capacity Approx]]*'[1]Load Factor Sheet June Acft  '!$B$5</f>
        <v>187.86727272727273</v>
      </c>
      <c r="S2124">
        <f>tblDailySchedule[[#This Row],[Capacity Approx]]*'[1]Load Factor Sheet June Acft  '!$D$5</f>
        <v>203.4218181818182</v>
      </c>
      <c r="T2124" s="22">
        <f>tblDailySchedule[[#This Row],[STD]]</f>
        <v>0.69791666666666663</v>
      </c>
    </row>
    <row r="2125" spans="1:20" hidden="1" x14ac:dyDescent="0.35">
      <c r="A2125" s="11">
        <v>46186</v>
      </c>
      <c r="B2125" s="3">
        <v>6</v>
      </c>
      <c r="C2125" t="s">
        <v>116</v>
      </c>
      <c r="D2125" t="s">
        <v>18</v>
      </c>
      <c r="E2125" s="3">
        <v>19</v>
      </c>
      <c r="F2125" t="s">
        <v>19</v>
      </c>
      <c r="G2125" t="s">
        <v>73</v>
      </c>
      <c r="H2125" t="s">
        <v>27</v>
      </c>
      <c r="I2125" s="12">
        <v>0.74652777777777779</v>
      </c>
      <c r="J2125" t="s">
        <v>74</v>
      </c>
      <c r="K2125" t="s">
        <v>27</v>
      </c>
      <c r="L2125" s="12">
        <v>0.77430555555555558</v>
      </c>
      <c r="M2125" t="s">
        <v>63</v>
      </c>
      <c r="N2125" s="3">
        <v>232</v>
      </c>
      <c r="O2125" t="s">
        <v>24</v>
      </c>
      <c r="P2125" t="s">
        <v>56</v>
      </c>
      <c r="R2125">
        <f>tblDailySchedule[[#This Row],[Capacity Approx]]*'[1]Load Factor Sheet June Acft  '!$B$5</f>
        <v>187.86727272727273</v>
      </c>
      <c r="S2125">
        <f>tblDailySchedule[[#This Row],[Capacity Approx]]*'[1]Load Factor Sheet June Acft  '!$D$5</f>
        <v>203.4218181818182</v>
      </c>
      <c r="T2125" s="22">
        <f>tblDailySchedule[[#This Row],[STD]]</f>
        <v>0.77430555555555558</v>
      </c>
    </row>
    <row r="2126" spans="1:20" hidden="1" x14ac:dyDescent="0.35">
      <c r="A2126" s="11">
        <v>46186</v>
      </c>
      <c r="B2126" s="3">
        <v>6</v>
      </c>
      <c r="C2126" t="s">
        <v>116</v>
      </c>
      <c r="D2126" t="s">
        <v>18</v>
      </c>
      <c r="E2126" s="3">
        <v>21</v>
      </c>
      <c r="F2126" t="s">
        <v>19</v>
      </c>
      <c r="G2126" t="s">
        <v>81</v>
      </c>
      <c r="H2126" t="s">
        <v>61</v>
      </c>
      <c r="I2126" s="12">
        <v>0.77083333333333337</v>
      </c>
      <c r="J2126" t="s">
        <v>82</v>
      </c>
      <c r="K2126" t="s">
        <v>49</v>
      </c>
      <c r="L2126" s="12">
        <v>0.79166666666666663</v>
      </c>
      <c r="M2126" t="s">
        <v>33</v>
      </c>
      <c r="N2126" s="3">
        <v>189</v>
      </c>
      <c r="O2126" t="s">
        <v>24</v>
      </c>
      <c r="P2126" t="s">
        <v>79</v>
      </c>
      <c r="R2126">
        <f>tblDailySchedule[[#This Row],[Capacity Approx]]*'[1]Load Factor Sheet June Acft  '!$B$5</f>
        <v>153.04704545454547</v>
      </c>
      <c r="S2126">
        <f>tblDailySchedule[[#This Row],[Capacity Approx]]*'[1]Load Factor Sheet June Acft  '!$D$5</f>
        <v>165.71863636363636</v>
      </c>
      <c r="T2126" s="22">
        <f>tblDailySchedule[[#This Row],[STD]]</f>
        <v>0.79166666666666663</v>
      </c>
    </row>
    <row r="2127" spans="1:20" hidden="1" x14ac:dyDescent="0.35">
      <c r="A2127" s="11">
        <v>46186</v>
      </c>
      <c r="B2127" s="3">
        <v>6</v>
      </c>
      <c r="C2127" t="s">
        <v>116</v>
      </c>
      <c r="D2127" t="s">
        <v>18</v>
      </c>
      <c r="E2127" s="3">
        <v>22</v>
      </c>
      <c r="F2127" t="s">
        <v>19</v>
      </c>
      <c r="G2127" t="s">
        <v>83</v>
      </c>
      <c r="H2127" t="s">
        <v>31</v>
      </c>
      <c r="I2127" s="12">
        <v>0.77777777777777779</v>
      </c>
      <c r="J2127" t="s">
        <v>84</v>
      </c>
      <c r="K2127" t="s">
        <v>31</v>
      </c>
      <c r="L2127" s="12">
        <v>0.80555555555555558</v>
      </c>
      <c r="M2127" t="s">
        <v>63</v>
      </c>
      <c r="N2127" s="3">
        <v>232</v>
      </c>
      <c r="O2127" t="s">
        <v>24</v>
      </c>
      <c r="P2127" t="s">
        <v>79</v>
      </c>
      <c r="R2127">
        <f>tblDailySchedule[[#This Row],[Capacity Approx]]*'[1]Load Factor Sheet June Acft  '!$B$5</f>
        <v>187.86727272727273</v>
      </c>
      <c r="S2127">
        <f>tblDailySchedule[[#This Row],[Capacity Approx]]*'[1]Load Factor Sheet June Acft  '!$D$5</f>
        <v>203.4218181818182</v>
      </c>
      <c r="T2127" s="22">
        <f>tblDailySchedule[[#This Row],[STD]]</f>
        <v>0.80555555555555558</v>
      </c>
    </row>
    <row r="2128" spans="1:20" hidden="1" x14ac:dyDescent="0.35">
      <c r="A2128" s="11">
        <v>46186</v>
      </c>
      <c r="B2128" s="3">
        <v>6</v>
      </c>
      <c r="C2128" t="s">
        <v>116</v>
      </c>
      <c r="D2128" t="s">
        <v>18</v>
      </c>
      <c r="E2128" s="3">
        <v>23</v>
      </c>
      <c r="F2128" t="s">
        <v>19</v>
      </c>
      <c r="G2128" t="s">
        <v>85</v>
      </c>
      <c r="H2128" t="s">
        <v>86</v>
      </c>
      <c r="I2128" s="12">
        <v>0.79861111111111116</v>
      </c>
      <c r="J2128" t="s">
        <v>87</v>
      </c>
      <c r="K2128" t="s">
        <v>86</v>
      </c>
      <c r="L2128" s="12">
        <v>0.82638888888888884</v>
      </c>
      <c r="M2128" t="s">
        <v>63</v>
      </c>
      <c r="N2128" s="3">
        <v>232</v>
      </c>
      <c r="O2128" t="s">
        <v>24</v>
      </c>
      <c r="P2128" t="s">
        <v>79</v>
      </c>
      <c r="R2128">
        <f>tblDailySchedule[[#This Row],[Capacity Approx]]*'[1]Load Factor Sheet June Acft  '!$B$5</f>
        <v>187.86727272727273</v>
      </c>
      <c r="S2128">
        <f>tblDailySchedule[[#This Row],[Capacity Approx]]*'[1]Load Factor Sheet June Acft  '!$D$5</f>
        <v>203.4218181818182</v>
      </c>
      <c r="T2128" s="22">
        <f>tblDailySchedule[[#This Row],[STD]]</f>
        <v>0.82638888888888884</v>
      </c>
    </row>
    <row r="2129" spans="1:20" hidden="1" x14ac:dyDescent="0.35">
      <c r="A2129" s="11">
        <v>46186</v>
      </c>
      <c r="B2129" s="3">
        <v>6</v>
      </c>
      <c r="C2129" t="s">
        <v>116</v>
      </c>
      <c r="D2129" t="s">
        <v>18</v>
      </c>
      <c r="E2129" s="3">
        <v>24</v>
      </c>
      <c r="F2129" t="s">
        <v>19</v>
      </c>
      <c r="G2129" t="s">
        <v>88</v>
      </c>
      <c r="H2129" t="s">
        <v>89</v>
      </c>
      <c r="I2129" s="12">
        <v>0.83333333333333337</v>
      </c>
      <c r="J2129" t="s">
        <v>90</v>
      </c>
      <c r="K2129" t="s">
        <v>31</v>
      </c>
      <c r="L2129" s="12">
        <v>0.86111111111111116</v>
      </c>
      <c r="M2129" t="s">
        <v>63</v>
      </c>
      <c r="N2129" s="3">
        <v>232</v>
      </c>
      <c r="O2129" t="s">
        <v>24</v>
      </c>
      <c r="P2129" t="s">
        <v>79</v>
      </c>
      <c r="R2129">
        <f>tblDailySchedule[[#This Row],[Capacity Approx]]*'[1]Load Factor Sheet June Acft  '!$B$5</f>
        <v>187.86727272727273</v>
      </c>
      <c r="S2129">
        <f>tblDailySchedule[[#This Row],[Capacity Approx]]*'[1]Load Factor Sheet June Acft  '!$D$5</f>
        <v>203.4218181818182</v>
      </c>
      <c r="T2129" s="22">
        <f>tblDailySchedule[[#This Row],[STD]]</f>
        <v>0.86111111111111116</v>
      </c>
    </row>
    <row r="2130" spans="1:20" hidden="1" x14ac:dyDescent="0.35">
      <c r="A2130" s="11">
        <v>46186</v>
      </c>
      <c r="B2130" s="3">
        <v>6</v>
      </c>
      <c r="C2130" t="s">
        <v>116</v>
      </c>
      <c r="D2130" t="s">
        <v>18</v>
      </c>
      <c r="E2130" s="3">
        <v>25</v>
      </c>
      <c r="F2130" t="s">
        <v>19</v>
      </c>
      <c r="G2130" t="s">
        <v>91</v>
      </c>
      <c r="H2130" t="s">
        <v>61</v>
      </c>
      <c r="I2130" s="12">
        <v>0.85416666666666663</v>
      </c>
      <c r="J2130" t="s">
        <v>92</v>
      </c>
      <c r="K2130" t="s">
        <v>61</v>
      </c>
      <c r="L2130" s="12">
        <v>0.88194444444444442</v>
      </c>
      <c r="M2130" t="s">
        <v>63</v>
      </c>
      <c r="N2130" s="3">
        <v>232</v>
      </c>
      <c r="O2130" t="s">
        <v>24</v>
      </c>
      <c r="P2130" t="s">
        <v>79</v>
      </c>
      <c r="R2130">
        <f>tblDailySchedule[[#This Row],[Capacity Approx]]*'[1]Load Factor Sheet June Acft  '!$B$5</f>
        <v>187.86727272727273</v>
      </c>
      <c r="S2130">
        <f>tblDailySchedule[[#This Row],[Capacity Approx]]*'[1]Load Factor Sheet June Acft  '!$D$5</f>
        <v>203.4218181818182</v>
      </c>
      <c r="T2130" s="22">
        <f>tblDailySchedule[[#This Row],[STD]]</f>
        <v>0.88194444444444442</v>
      </c>
    </row>
    <row r="2131" spans="1:20" hidden="1" x14ac:dyDescent="0.35">
      <c r="A2131" s="11">
        <v>46186</v>
      </c>
      <c r="B2131" s="3">
        <v>6</v>
      </c>
      <c r="C2131" t="s">
        <v>116</v>
      </c>
      <c r="D2131" t="s">
        <v>18</v>
      </c>
      <c r="E2131" s="3">
        <v>26</v>
      </c>
      <c r="F2131" t="s">
        <v>19</v>
      </c>
      <c r="G2131" t="s">
        <v>93</v>
      </c>
      <c r="H2131" t="s">
        <v>31</v>
      </c>
      <c r="I2131" s="12">
        <v>0.86111111111111116</v>
      </c>
      <c r="J2131" t="s">
        <v>94</v>
      </c>
      <c r="K2131" t="s">
        <v>31</v>
      </c>
      <c r="L2131" s="12">
        <v>0.88888888888888884</v>
      </c>
      <c r="M2131" t="s">
        <v>23</v>
      </c>
      <c r="N2131" s="3">
        <v>186</v>
      </c>
      <c r="O2131" t="s">
        <v>24</v>
      </c>
      <c r="P2131" t="s">
        <v>79</v>
      </c>
      <c r="R2131">
        <f>tblDailySchedule[[#This Row],[Capacity Approx]]*'[1]Load Factor Sheet June Acft  '!$B$5</f>
        <v>150.61772727272728</v>
      </c>
      <c r="S2131">
        <f>tblDailySchedule[[#This Row],[Capacity Approx]]*'[1]Load Factor Sheet June Acft  '!$D$5</f>
        <v>163.08818181818182</v>
      </c>
      <c r="T2131" s="22">
        <f>tblDailySchedule[[#This Row],[STD]]</f>
        <v>0.88888888888888884</v>
      </c>
    </row>
    <row r="2132" spans="1:20" hidden="1" x14ac:dyDescent="0.35">
      <c r="A2132" s="11">
        <v>46186</v>
      </c>
      <c r="B2132" s="3">
        <v>6</v>
      </c>
      <c r="C2132" t="s">
        <v>116</v>
      </c>
      <c r="D2132" t="s">
        <v>18</v>
      </c>
      <c r="E2132" s="3">
        <v>27</v>
      </c>
      <c r="F2132" t="s">
        <v>19</v>
      </c>
      <c r="G2132" t="s">
        <v>95</v>
      </c>
      <c r="H2132" t="s">
        <v>21</v>
      </c>
      <c r="I2132" s="12">
        <v>0.86805555555555558</v>
      </c>
      <c r="J2132" t="s">
        <v>96</v>
      </c>
      <c r="K2132" t="s">
        <v>21</v>
      </c>
      <c r="L2132" s="12">
        <v>0.89583333333333337</v>
      </c>
      <c r="M2132" t="s">
        <v>29</v>
      </c>
      <c r="N2132" s="3">
        <v>186</v>
      </c>
      <c r="O2132" t="s">
        <v>24</v>
      </c>
      <c r="P2132" t="s">
        <v>79</v>
      </c>
      <c r="R2132">
        <f>tblDailySchedule[[#This Row],[Capacity Approx]]*'[1]Load Factor Sheet June Acft  '!$B$5</f>
        <v>150.61772727272728</v>
      </c>
      <c r="S2132">
        <f>tblDailySchedule[[#This Row],[Capacity Approx]]*'[1]Load Factor Sheet June Acft  '!$D$5</f>
        <v>163.08818181818182</v>
      </c>
      <c r="T2132" s="22">
        <f>tblDailySchedule[[#This Row],[STD]]</f>
        <v>0.89583333333333337</v>
      </c>
    </row>
    <row r="2133" spans="1:20" hidden="1" x14ac:dyDescent="0.35">
      <c r="A2133" s="11">
        <v>46186</v>
      </c>
      <c r="B2133" s="3">
        <v>6</v>
      </c>
      <c r="C2133" t="s">
        <v>116</v>
      </c>
      <c r="D2133" t="s">
        <v>18</v>
      </c>
      <c r="E2133" s="3">
        <v>28</v>
      </c>
      <c r="F2133" t="s">
        <v>19</v>
      </c>
      <c r="G2133" t="s">
        <v>97</v>
      </c>
      <c r="H2133" t="s">
        <v>49</v>
      </c>
      <c r="I2133" s="12">
        <v>0.90277777777777779</v>
      </c>
      <c r="J2133" t="s">
        <v>97</v>
      </c>
      <c r="K2133" t="s">
        <v>61</v>
      </c>
      <c r="L2133" s="12">
        <v>0.92361111111111116</v>
      </c>
      <c r="M2133" t="s">
        <v>33</v>
      </c>
      <c r="N2133" s="3">
        <v>189</v>
      </c>
      <c r="O2133" t="s">
        <v>24</v>
      </c>
      <c r="P2133" t="s">
        <v>79</v>
      </c>
      <c r="R2133">
        <f>tblDailySchedule[[#This Row],[Capacity Approx]]*'[1]Load Factor Sheet June Acft  '!$B$5</f>
        <v>153.04704545454547</v>
      </c>
      <c r="S2133">
        <f>tblDailySchedule[[#This Row],[Capacity Approx]]*'[1]Load Factor Sheet June Acft  '!$D$5</f>
        <v>165.71863636363636</v>
      </c>
      <c r="T2133" s="22">
        <f>tblDailySchedule[[#This Row],[STD]]</f>
        <v>0.92361111111111116</v>
      </c>
    </row>
    <row r="2134" spans="1:20" hidden="1" x14ac:dyDescent="0.35">
      <c r="A2134" s="11">
        <v>46186</v>
      </c>
      <c r="B2134" s="3">
        <v>6</v>
      </c>
      <c r="C2134" t="s">
        <v>116</v>
      </c>
      <c r="D2134" t="s">
        <v>18</v>
      </c>
      <c r="E2134" s="3">
        <v>29</v>
      </c>
      <c r="F2134" t="s">
        <v>19</v>
      </c>
      <c r="G2134" t="s">
        <v>98</v>
      </c>
      <c r="H2134" t="s">
        <v>21</v>
      </c>
      <c r="I2134" s="12">
        <v>0.92013888888888884</v>
      </c>
      <c r="J2134" t="s">
        <v>99</v>
      </c>
      <c r="K2134" t="s">
        <v>21</v>
      </c>
      <c r="L2134" s="12">
        <v>0.94791666666666663</v>
      </c>
      <c r="M2134" t="s">
        <v>63</v>
      </c>
      <c r="N2134" s="3">
        <v>232</v>
      </c>
      <c r="O2134" t="s">
        <v>24</v>
      </c>
      <c r="P2134" t="s">
        <v>79</v>
      </c>
      <c r="R2134">
        <f>tblDailySchedule[[#This Row],[Capacity Approx]]*'[1]Load Factor Sheet June Acft  '!$B$5</f>
        <v>187.86727272727273</v>
      </c>
      <c r="S2134">
        <f>tblDailySchedule[[#This Row],[Capacity Approx]]*'[1]Load Factor Sheet June Acft  '!$D$5</f>
        <v>203.4218181818182</v>
      </c>
      <c r="T2134" s="22">
        <f>tblDailySchedule[[#This Row],[STD]]</f>
        <v>0.94791666666666663</v>
      </c>
    </row>
    <row r="2135" spans="1:20" hidden="1" x14ac:dyDescent="0.35">
      <c r="A2135" s="13">
        <v>46186</v>
      </c>
      <c r="B2135" s="7">
        <v>6</v>
      </c>
      <c r="C2135" s="14" t="s">
        <v>116</v>
      </c>
      <c r="D2135" s="14" t="s">
        <v>18</v>
      </c>
      <c r="E2135" s="7">
        <v>30</v>
      </c>
      <c r="F2135" s="14" t="s">
        <v>104</v>
      </c>
      <c r="G2135" s="14" t="s">
        <v>105</v>
      </c>
      <c r="H2135" s="14" t="s">
        <v>106</v>
      </c>
      <c r="I2135" s="15">
        <v>0.92708333333333337</v>
      </c>
      <c r="J2135" s="14" t="s">
        <v>107</v>
      </c>
      <c r="K2135" s="14" t="s">
        <v>106</v>
      </c>
      <c r="L2135" s="15">
        <v>0.95833333333333337</v>
      </c>
      <c r="M2135" s="14" t="s">
        <v>38</v>
      </c>
      <c r="N2135" s="7">
        <v>186</v>
      </c>
      <c r="O2135" s="14" t="s">
        <v>39</v>
      </c>
      <c r="P2135" s="14" t="s">
        <v>79</v>
      </c>
      <c r="Q2135" s="14" t="s">
        <v>39</v>
      </c>
      <c r="R2135">
        <f>tblDailySchedule[[#This Row],[Capacity Approx]]*'[1]Load Factor Sheet June Acft  '!$B$5</f>
        <v>150.61772727272728</v>
      </c>
      <c r="S2135">
        <f>tblDailySchedule[[#This Row],[Capacity Approx]]*'[1]Load Factor Sheet June Acft  '!$D$5</f>
        <v>163.08818181818182</v>
      </c>
      <c r="T2135" s="22">
        <f>tblDailySchedule[[#This Row],[STD]]</f>
        <v>0.95833333333333337</v>
      </c>
    </row>
    <row r="2136" spans="1:20" hidden="1" x14ac:dyDescent="0.35">
      <c r="A2136" s="11">
        <v>46187</v>
      </c>
      <c r="B2136" s="3">
        <v>7</v>
      </c>
      <c r="C2136" t="s">
        <v>17</v>
      </c>
      <c r="D2136" t="s">
        <v>18</v>
      </c>
      <c r="E2136" s="3">
        <v>2</v>
      </c>
      <c r="F2136" t="s">
        <v>19</v>
      </c>
      <c r="G2136" t="s">
        <v>20</v>
      </c>
      <c r="H2136" t="s">
        <v>21</v>
      </c>
      <c r="I2136" s="12">
        <v>0.31944444444444442</v>
      </c>
      <c r="J2136" t="s">
        <v>22</v>
      </c>
      <c r="K2136" t="s">
        <v>21</v>
      </c>
      <c r="L2136" s="12">
        <v>0.34722222222222221</v>
      </c>
      <c r="M2136" t="s">
        <v>23</v>
      </c>
      <c r="N2136" s="3">
        <v>186</v>
      </c>
      <c r="O2136" t="s">
        <v>24</v>
      </c>
      <c r="P2136" t="s">
        <v>25</v>
      </c>
      <c r="R2136">
        <f>tblDailySchedule[[#This Row],[Capacity Approx]]*'[1]Load Factor Sheet June Acft  '!$B$5</f>
        <v>150.61772727272728</v>
      </c>
      <c r="S2136">
        <f>tblDailySchedule[[#This Row],[Capacity Approx]]*'[1]Load Factor Sheet June Acft  '!$D$5</f>
        <v>163.08818181818182</v>
      </c>
      <c r="T2136" s="22">
        <f>tblDailySchedule[[#This Row],[STD]]</f>
        <v>0.34722222222222221</v>
      </c>
    </row>
    <row r="2137" spans="1:20" hidden="1" x14ac:dyDescent="0.35">
      <c r="A2137" s="11">
        <v>46187</v>
      </c>
      <c r="B2137" s="3">
        <v>7</v>
      </c>
      <c r="C2137" t="s">
        <v>17</v>
      </c>
      <c r="D2137" t="s">
        <v>18</v>
      </c>
      <c r="E2137" s="3">
        <v>3</v>
      </c>
      <c r="F2137" t="s">
        <v>19</v>
      </c>
      <c r="G2137" t="s">
        <v>26</v>
      </c>
      <c r="H2137" t="s">
        <v>27</v>
      </c>
      <c r="I2137" s="12">
        <v>0.3263888888888889</v>
      </c>
      <c r="J2137" t="s">
        <v>28</v>
      </c>
      <c r="K2137" t="s">
        <v>27</v>
      </c>
      <c r="L2137" s="12">
        <v>0.35416666666666669</v>
      </c>
      <c r="M2137" t="s">
        <v>29</v>
      </c>
      <c r="N2137" s="3">
        <v>186</v>
      </c>
      <c r="O2137" t="s">
        <v>24</v>
      </c>
      <c r="P2137" t="s">
        <v>25</v>
      </c>
      <c r="R2137">
        <f>tblDailySchedule[[#This Row],[Capacity Approx]]*'[1]Load Factor Sheet June Acft  '!$B$5</f>
        <v>150.61772727272728</v>
      </c>
      <c r="S2137">
        <f>tblDailySchedule[[#This Row],[Capacity Approx]]*'[1]Load Factor Sheet June Acft  '!$D$5</f>
        <v>163.08818181818182</v>
      </c>
      <c r="T2137" s="22">
        <f>tblDailySchedule[[#This Row],[STD]]</f>
        <v>0.35416666666666669</v>
      </c>
    </row>
    <row r="2138" spans="1:20" hidden="1" x14ac:dyDescent="0.35">
      <c r="A2138" s="11">
        <v>46187</v>
      </c>
      <c r="B2138" s="3">
        <v>7</v>
      </c>
      <c r="C2138" t="s">
        <v>17</v>
      </c>
      <c r="D2138" t="s">
        <v>18</v>
      </c>
      <c r="E2138" s="3">
        <v>4</v>
      </c>
      <c r="F2138" t="s">
        <v>19</v>
      </c>
      <c r="G2138" t="s">
        <v>30</v>
      </c>
      <c r="H2138" t="s">
        <v>31</v>
      </c>
      <c r="I2138" s="12">
        <v>0.34722222222222221</v>
      </c>
      <c r="J2138" t="s">
        <v>32</v>
      </c>
      <c r="K2138" t="s">
        <v>31</v>
      </c>
      <c r="L2138" s="12">
        <v>0.36805555555555558</v>
      </c>
      <c r="M2138" t="s">
        <v>33</v>
      </c>
      <c r="N2138" s="3">
        <v>189</v>
      </c>
      <c r="O2138" t="s">
        <v>24</v>
      </c>
      <c r="P2138" t="s">
        <v>25</v>
      </c>
      <c r="R2138">
        <f>tblDailySchedule[[#This Row],[Capacity Approx]]*'[1]Load Factor Sheet June Acft  '!$B$5</f>
        <v>153.04704545454547</v>
      </c>
      <c r="S2138">
        <f>tblDailySchedule[[#This Row],[Capacity Approx]]*'[1]Load Factor Sheet June Acft  '!$D$5</f>
        <v>165.71863636363636</v>
      </c>
      <c r="T2138" s="22">
        <f>tblDailySchedule[[#This Row],[STD]]</f>
        <v>0.36805555555555558</v>
      </c>
    </row>
    <row r="2139" spans="1:20" hidden="1" x14ac:dyDescent="0.35">
      <c r="A2139" s="13">
        <v>46187</v>
      </c>
      <c r="B2139" s="7">
        <v>7</v>
      </c>
      <c r="C2139" s="14" t="s">
        <v>17</v>
      </c>
      <c r="D2139" s="14" t="s">
        <v>18</v>
      </c>
      <c r="E2139" s="7">
        <v>6</v>
      </c>
      <c r="F2139" s="14" t="s">
        <v>34</v>
      </c>
      <c r="G2139" s="14" t="s">
        <v>35</v>
      </c>
      <c r="H2139" s="14" t="s">
        <v>36</v>
      </c>
      <c r="I2139" s="15">
        <v>0.34722222222222221</v>
      </c>
      <c r="J2139" s="14" t="s">
        <v>37</v>
      </c>
      <c r="K2139" s="14" t="s">
        <v>36</v>
      </c>
      <c r="L2139" s="15">
        <v>0.40972222222222221</v>
      </c>
      <c r="M2139" s="14" t="s">
        <v>38</v>
      </c>
      <c r="N2139" s="7">
        <v>186</v>
      </c>
      <c r="O2139" s="14" t="s">
        <v>39</v>
      </c>
      <c r="P2139" s="14" t="s">
        <v>25</v>
      </c>
      <c r="Q2139" s="14" t="s">
        <v>39</v>
      </c>
      <c r="R2139">
        <f>tblDailySchedule[[#This Row],[Capacity Approx]]*'[1]Load Factor Sheet June Acft  '!$B$5</f>
        <v>150.61772727272728</v>
      </c>
      <c r="S2139">
        <f>tblDailySchedule[[#This Row],[Capacity Approx]]*'[1]Load Factor Sheet June Acft  '!$D$5</f>
        <v>163.08818181818182</v>
      </c>
      <c r="T2139" s="22">
        <f>tblDailySchedule[[#This Row],[STD]]</f>
        <v>0.40972222222222221</v>
      </c>
    </row>
    <row r="2140" spans="1:20" hidden="1" x14ac:dyDescent="0.35">
      <c r="A2140" s="11">
        <v>46187</v>
      </c>
      <c r="B2140" s="3">
        <v>7</v>
      </c>
      <c r="C2140" t="s">
        <v>17</v>
      </c>
      <c r="D2140" t="s">
        <v>18</v>
      </c>
      <c r="E2140" s="3">
        <v>5</v>
      </c>
      <c r="F2140" t="s">
        <v>19</v>
      </c>
      <c r="G2140" t="s">
        <v>40</v>
      </c>
      <c r="H2140" t="s">
        <v>31</v>
      </c>
      <c r="I2140" s="12">
        <v>0.35069444444444442</v>
      </c>
      <c r="J2140" t="s">
        <v>41</v>
      </c>
      <c r="K2140" t="s">
        <v>31</v>
      </c>
      <c r="L2140" s="12">
        <v>0.37152777777777779</v>
      </c>
      <c r="M2140" t="s">
        <v>23</v>
      </c>
      <c r="N2140" s="3">
        <v>186</v>
      </c>
      <c r="O2140" t="s">
        <v>24</v>
      </c>
      <c r="P2140" t="s">
        <v>25</v>
      </c>
      <c r="R2140">
        <f>tblDailySchedule[[#This Row],[Capacity Approx]]*'[1]Load Factor Sheet June Acft  '!$B$5</f>
        <v>150.61772727272728</v>
      </c>
      <c r="S2140">
        <f>tblDailySchedule[[#This Row],[Capacity Approx]]*'[1]Load Factor Sheet June Acft  '!$D$5</f>
        <v>163.08818181818182</v>
      </c>
      <c r="T2140" s="22">
        <f>tblDailySchedule[[#This Row],[STD]]</f>
        <v>0.37152777777777779</v>
      </c>
    </row>
    <row r="2141" spans="1:20" hidden="1" x14ac:dyDescent="0.35">
      <c r="A2141" s="11">
        <v>46187</v>
      </c>
      <c r="B2141" s="3">
        <v>7</v>
      </c>
      <c r="C2141" t="s">
        <v>17</v>
      </c>
      <c r="D2141" t="s">
        <v>18</v>
      </c>
      <c r="E2141" s="3">
        <v>7</v>
      </c>
      <c r="F2141" t="s">
        <v>19</v>
      </c>
      <c r="G2141" t="s">
        <v>42</v>
      </c>
      <c r="H2141" t="s">
        <v>43</v>
      </c>
      <c r="I2141" s="12">
        <v>0.3923611111111111</v>
      </c>
      <c r="J2141" t="s">
        <v>44</v>
      </c>
      <c r="K2141" t="s">
        <v>43</v>
      </c>
      <c r="L2141" s="12">
        <v>0.40277777777777779</v>
      </c>
      <c r="M2141" t="s">
        <v>45</v>
      </c>
      <c r="N2141" s="3">
        <v>9</v>
      </c>
      <c r="O2141" t="s">
        <v>24</v>
      </c>
      <c r="P2141" t="s">
        <v>25</v>
      </c>
      <c r="R2141">
        <f>tblDailySchedule[[#This Row],[Capacity Approx]]*'[1]Load Factor Sheet June Acft  '!$B$5</f>
        <v>7.2879545454545456</v>
      </c>
      <c r="S2141">
        <f>tblDailySchedule[[#This Row],[Capacity Approx]]*'[1]Load Factor Sheet June Acft  '!$D$5</f>
        <v>7.8913636363636366</v>
      </c>
      <c r="T2141" s="22">
        <f>tblDailySchedule[[#This Row],[STD]]</f>
        <v>0.40277777777777779</v>
      </c>
    </row>
    <row r="2142" spans="1:20" hidden="1" x14ac:dyDescent="0.35">
      <c r="A2142" s="11">
        <v>46187</v>
      </c>
      <c r="B2142" s="3">
        <v>7</v>
      </c>
      <c r="C2142" t="s">
        <v>17</v>
      </c>
      <c r="D2142" t="s">
        <v>18</v>
      </c>
      <c r="E2142" s="3">
        <v>8</v>
      </c>
      <c r="F2142" t="s">
        <v>19</v>
      </c>
      <c r="G2142" t="s">
        <v>46</v>
      </c>
      <c r="H2142" t="s">
        <v>31</v>
      </c>
      <c r="I2142" s="12">
        <v>0.4201388888888889</v>
      </c>
      <c r="J2142" t="s">
        <v>47</v>
      </c>
      <c r="K2142" t="s">
        <v>31</v>
      </c>
      <c r="L2142" s="12">
        <v>0.44444444444444442</v>
      </c>
      <c r="M2142" t="s">
        <v>29</v>
      </c>
      <c r="N2142" s="3">
        <v>186</v>
      </c>
      <c r="O2142" t="s">
        <v>24</v>
      </c>
      <c r="P2142" t="s">
        <v>25</v>
      </c>
      <c r="R2142">
        <f>tblDailySchedule[[#This Row],[Capacity Approx]]*'[1]Load Factor Sheet June Acft  '!$B$5</f>
        <v>150.61772727272728</v>
      </c>
      <c r="S2142">
        <f>tblDailySchedule[[#This Row],[Capacity Approx]]*'[1]Load Factor Sheet June Acft  '!$D$5</f>
        <v>163.08818181818182</v>
      </c>
      <c r="T2142" s="22">
        <f>tblDailySchedule[[#This Row],[STD]]</f>
        <v>0.44444444444444442</v>
      </c>
    </row>
    <row r="2143" spans="1:20" hidden="1" x14ac:dyDescent="0.35">
      <c r="A2143" s="11">
        <v>46187</v>
      </c>
      <c r="B2143" s="3">
        <v>7</v>
      </c>
      <c r="C2143" t="s">
        <v>17</v>
      </c>
      <c r="D2143" t="s">
        <v>18</v>
      </c>
      <c r="E2143" s="3">
        <v>9</v>
      </c>
      <c r="F2143" t="s">
        <v>19</v>
      </c>
      <c r="G2143" t="s">
        <v>48</v>
      </c>
      <c r="H2143" t="s">
        <v>49</v>
      </c>
      <c r="I2143" s="12">
        <v>0.4375</v>
      </c>
      <c r="J2143" t="s">
        <v>50</v>
      </c>
      <c r="K2143" t="s">
        <v>49</v>
      </c>
      <c r="L2143" s="12">
        <v>0.45833333333333331</v>
      </c>
      <c r="M2143" t="s">
        <v>51</v>
      </c>
      <c r="N2143" s="3">
        <v>78</v>
      </c>
      <c r="O2143" t="s">
        <v>24</v>
      </c>
      <c r="P2143" t="s">
        <v>25</v>
      </c>
      <c r="R2143">
        <f>tblDailySchedule[[#This Row],[Capacity Approx]]*'[1]Load Factor Sheet June Acft  '!$B$5</f>
        <v>63.162272727272729</v>
      </c>
      <c r="S2143">
        <f>tblDailySchedule[[#This Row],[Capacity Approx]]*'[1]Load Factor Sheet June Acft  '!$D$5</f>
        <v>68.391818181818181</v>
      </c>
      <c r="T2143" s="22">
        <f>tblDailySchedule[[#This Row],[STD]]</f>
        <v>0.45833333333333331</v>
      </c>
    </row>
    <row r="2144" spans="1:20" hidden="1" x14ac:dyDescent="0.35">
      <c r="A2144" s="11">
        <v>46187</v>
      </c>
      <c r="B2144" s="3">
        <v>7</v>
      </c>
      <c r="C2144" t="s">
        <v>17</v>
      </c>
      <c r="D2144" t="s">
        <v>18</v>
      </c>
      <c r="E2144" s="3">
        <v>10</v>
      </c>
      <c r="F2144" t="s">
        <v>19</v>
      </c>
      <c r="G2144" t="s">
        <v>52</v>
      </c>
      <c r="H2144" t="s">
        <v>27</v>
      </c>
      <c r="I2144" s="12">
        <v>0.4826388888888889</v>
      </c>
      <c r="J2144" t="s">
        <v>53</v>
      </c>
      <c r="K2144" t="s">
        <v>27</v>
      </c>
      <c r="L2144" s="12">
        <v>0.51041666666666663</v>
      </c>
      <c r="M2144" t="s">
        <v>23</v>
      </c>
      <c r="N2144" s="3">
        <v>186</v>
      </c>
      <c r="O2144" t="s">
        <v>24</v>
      </c>
      <c r="P2144" t="s">
        <v>25</v>
      </c>
      <c r="R2144">
        <f>tblDailySchedule[[#This Row],[Capacity Approx]]*'[1]Load Factor Sheet June Acft  '!$B$5</f>
        <v>150.61772727272728</v>
      </c>
      <c r="S2144">
        <f>tblDailySchedule[[#This Row],[Capacity Approx]]*'[1]Load Factor Sheet June Acft  '!$D$5</f>
        <v>163.08818181818182</v>
      </c>
      <c r="T2144" s="22">
        <f>tblDailySchedule[[#This Row],[STD]]</f>
        <v>0.51041666666666663</v>
      </c>
    </row>
    <row r="2145" spans="1:20" hidden="1" x14ac:dyDescent="0.35">
      <c r="A2145" s="11">
        <v>46187</v>
      </c>
      <c r="B2145" s="3">
        <v>7</v>
      </c>
      <c r="C2145" t="s">
        <v>17</v>
      </c>
      <c r="D2145" t="s">
        <v>18</v>
      </c>
      <c r="E2145" s="3">
        <v>11</v>
      </c>
      <c r="F2145" t="s">
        <v>19</v>
      </c>
      <c r="G2145" t="s">
        <v>54</v>
      </c>
      <c r="H2145" t="s">
        <v>31</v>
      </c>
      <c r="I2145" s="12">
        <v>0.51388888888888884</v>
      </c>
      <c r="J2145" t="s">
        <v>55</v>
      </c>
      <c r="K2145" t="s">
        <v>31</v>
      </c>
      <c r="L2145" s="12">
        <v>0.54166666666666663</v>
      </c>
      <c r="M2145" t="s">
        <v>23</v>
      </c>
      <c r="N2145" s="3">
        <v>186</v>
      </c>
      <c r="O2145" t="s">
        <v>24</v>
      </c>
      <c r="P2145" t="s">
        <v>56</v>
      </c>
      <c r="R2145">
        <f>tblDailySchedule[[#This Row],[Capacity Approx]]*'[1]Load Factor Sheet June Acft  '!$B$5</f>
        <v>150.61772727272728</v>
      </c>
      <c r="S2145">
        <f>tblDailySchedule[[#This Row],[Capacity Approx]]*'[1]Load Factor Sheet June Acft  '!$D$5</f>
        <v>163.08818181818182</v>
      </c>
      <c r="T2145" s="22">
        <f>tblDailySchedule[[#This Row],[STD]]</f>
        <v>0.54166666666666663</v>
      </c>
    </row>
    <row r="2146" spans="1:20" hidden="1" x14ac:dyDescent="0.35">
      <c r="A2146" s="11">
        <v>46187</v>
      </c>
      <c r="B2146" s="3">
        <v>7</v>
      </c>
      <c r="C2146" t="s">
        <v>17</v>
      </c>
      <c r="D2146" t="s">
        <v>18</v>
      </c>
      <c r="E2146" s="3">
        <v>13</v>
      </c>
      <c r="F2146" t="s">
        <v>19</v>
      </c>
      <c r="G2146" t="s">
        <v>57</v>
      </c>
      <c r="H2146" t="s">
        <v>58</v>
      </c>
      <c r="I2146" s="12">
        <v>0.55902777777777779</v>
      </c>
      <c r="J2146" t="s">
        <v>59</v>
      </c>
      <c r="K2146" t="s">
        <v>58</v>
      </c>
      <c r="L2146" s="12">
        <v>0.57638888888888884</v>
      </c>
      <c r="M2146" t="s">
        <v>51</v>
      </c>
      <c r="N2146" s="3">
        <v>78</v>
      </c>
      <c r="O2146" t="s">
        <v>24</v>
      </c>
      <c r="P2146" t="s">
        <v>56</v>
      </c>
      <c r="R2146">
        <f>tblDailySchedule[[#This Row],[Capacity Approx]]*'[1]Load Factor Sheet June Acft  '!$B$5</f>
        <v>63.162272727272729</v>
      </c>
      <c r="S2146">
        <f>tblDailySchedule[[#This Row],[Capacity Approx]]*'[1]Load Factor Sheet June Acft  '!$D$5</f>
        <v>68.391818181818181</v>
      </c>
      <c r="T2146" s="22">
        <f>tblDailySchedule[[#This Row],[STD]]</f>
        <v>0.57638888888888884</v>
      </c>
    </row>
    <row r="2147" spans="1:20" hidden="1" x14ac:dyDescent="0.35">
      <c r="A2147" s="11">
        <v>46187</v>
      </c>
      <c r="B2147" s="3">
        <v>7</v>
      </c>
      <c r="C2147" t="s">
        <v>17</v>
      </c>
      <c r="D2147" t="s">
        <v>18</v>
      </c>
      <c r="E2147" s="3">
        <v>14</v>
      </c>
      <c r="F2147" t="s">
        <v>19</v>
      </c>
      <c r="G2147" t="s">
        <v>60</v>
      </c>
      <c r="H2147" t="s">
        <v>61</v>
      </c>
      <c r="I2147" s="12">
        <v>0.59027777777777779</v>
      </c>
      <c r="J2147" t="s">
        <v>62</v>
      </c>
      <c r="K2147" t="s">
        <v>61</v>
      </c>
      <c r="L2147" s="12">
        <v>0.62152777777777779</v>
      </c>
      <c r="M2147" t="s">
        <v>63</v>
      </c>
      <c r="N2147" s="3">
        <v>232</v>
      </c>
      <c r="O2147" t="s">
        <v>24</v>
      </c>
      <c r="P2147" t="s">
        <v>56</v>
      </c>
      <c r="R2147">
        <f>tblDailySchedule[[#This Row],[Capacity Approx]]*'[1]Load Factor Sheet June Acft  '!$B$5</f>
        <v>187.86727272727273</v>
      </c>
      <c r="S2147">
        <f>tblDailySchedule[[#This Row],[Capacity Approx]]*'[1]Load Factor Sheet June Acft  '!$D$5</f>
        <v>203.4218181818182</v>
      </c>
      <c r="T2147" s="22">
        <f>tblDailySchedule[[#This Row],[STD]]</f>
        <v>0.62152777777777779</v>
      </c>
    </row>
    <row r="2148" spans="1:20" hidden="1" x14ac:dyDescent="0.35">
      <c r="A2148" s="11">
        <v>46187</v>
      </c>
      <c r="B2148" s="3">
        <v>7</v>
      </c>
      <c r="C2148" t="s">
        <v>17</v>
      </c>
      <c r="D2148" t="s">
        <v>18</v>
      </c>
      <c r="E2148" s="3">
        <v>15</v>
      </c>
      <c r="F2148" t="s">
        <v>19</v>
      </c>
      <c r="G2148" t="s">
        <v>64</v>
      </c>
      <c r="H2148" t="s">
        <v>31</v>
      </c>
      <c r="I2148" s="12">
        <v>0.60069444444444442</v>
      </c>
      <c r="J2148" t="s">
        <v>65</v>
      </c>
      <c r="K2148" t="s">
        <v>66</v>
      </c>
      <c r="L2148" s="12">
        <v>0.62847222222222221</v>
      </c>
      <c r="M2148" t="s">
        <v>63</v>
      </c>
      <c r="N2148" s="3">
        <v>232</v>
      </c>
      <c r="O2148" t="s">
        <v>24</v>
      </c>
      <c r="P2148" t="s">
        <v>56</v>
      </c>
      <c r="R2148">
        <f>tblDailySchedule[[#This Row],[Capacity Approx]]*'[1]Load Factor Sheet June Acft  '!$B$5</f>
        <v>187.86727272727273</v>
      </c>
      <c r="S2148">
        <f>tblDailySchedule[[#This Row],[Capacity Approx]]*'[1]Load Factor Sheet June Acft  '!$D$5</f>
        <v>203.4218181818182</v>
      </c>
      <c r="T2148" s="22">
        <f>tblDailySchedule[[#This Row],[STD]]</f>
        <v>0.62847222222222221</v>
      </c>
    </row>
    <row r="2149" spans="1:20" hidden="1" x14ac:dyDescent="0.35">
      <c r="A2149" s="11">
        <v>46187</v>
      </c>
      <c r="B2149" s="3">
        <v>7</v>
      </c>
      <c r="C2149" t="s">
        <v>17</v>
      </c>
      <c r="D2149" t="s">
        <v>18</v>
      </c>
      <c r="E2149" s="3">
        <v>16</v>
      </c>
      <c r="F2149" t="s">
        <v>19</v>
      </c>
      <c r="G2149" t="s">
        <v>67</v>
      </c>
      <c r="H2149" t="s">
        <v>31</v>
      </c>
      <c r="I2149" s="12">
        <v>0.65625</v>
      </c>
      <c r="J2149" t="s">
        <v>68</v>
      </c>
      <c r="K2149" t="s">
        <v>31</v>
      </c>
      <c r="L2149" s="12">
        <v>0.68402777777777779</v>
      </c>
      <c r="M2149" t="s">
        <v>63</v>
      </c>
      <c r="N2149" s="3">
        <v>232</v>
      </c>
      <c r="O2149" t="s">
        <v>24</v>
      </c>
      <c r="P2149" t="s">
        <v>56</v>
      </c>
      <c r="R2149">
        <f>tblDailySchedule[[#This Row],[Capacity Approx]]*'[1]Load Factor Sheet June Acft  '!$B$5</f>
        <v>187.86727272727273</v>
      </c>
      <c r="S2149">
        <f>tblDailySchedule[[#This Row],[Capacity Approx]]*'[1]Load Factor Sheet June Acft  '!$D$5</f>
        <v>203.4218181818182</v>
      </c>
      <c r="T2149" s="22">
        <f>tblDailySchedule[[#This Row],[STD]]</f>
        <v>0.68402777777777779</v>
      </c>
    </row>
    <row r="2150" spans="1:20" hidden="1" x14ac:dyDescent="0.35">
      <c r="A2150" s="11">
        <v>46187</v>
      </c>
      <c r="B2150" s="3">
        <v>7</v>
      </c>
      <c r="C2150" t="s">
        <v>17</v>
      </c>
      <c r="D2150" t="s">
        <v>18</v>
      </c>
      <c r="E2150" s="3">
        <v>17</v>
      </c>
      <c r="F2150" t="s">
        <v>19</v>
      </c>
      <c r="G2150" t="s">
        <v>69</v>
      </c>
      <c r="H2150" t="s">
        <v>31</v>
      </c>
      <c r="I2150" s="12">
        <v>0.66319444444444442</v>
      </c>
      <c r="J2150" t="s">
        <v>70</v>
      </c>
      <c r="K2150" t="s">
        <v>31</v>
      </c>
      <c r="L2150" s="12">
        <v>0.69097222222222221</v>
      </c>
      <c r="M2150" t="s">
        <v>33</v>
      </c>
      <c r="N2150" s="3">
        <v>189</v>
      </c>
      <c r="O2150" t="s">
        <v>24</v>
      </c>
      <c r="P2150" t="s">
        <v>56</v>
      </c>
      <c r="R2150">
        <f>tblDailySchedule[[#This Row],[Capacity Approx]]*'[1]Load Factor Sheet June Acft  '!$B$5</f>
        <v>153.04704545454547</v>
      </c>
      <c r="S2150">
        <f>tblDailySchedule[[#This Row],[Capacity Approx]]*'[1]Load Factor Sheet June Acft  '!$D$5</f>
        <v>165.71863636363636</v>
      </c>
      <c r="T2150" s="22">
        <f>tblDailySchedule[[#This Row],[STD]]</f>
        <v>0.69097222222222221</v>
      </c>
    </row>
    <row r="2151" spans="1:20" hidden="1" x14ac:dyDescent="0.35">
      <c r="A2151" s="11">
        <v>46187</v>
      </c>
      <c r="B2151" s="3">
        <v>7</v>
      </c>
      <c r="C2151" t="s">
        <v>17</v>
      </c>
      <c r="D2151" t="s">
        <v>18</v>
      </c>
      <c r="E2151" s="3">
        <v>18</v>
      </c>
      <c r="F2151" t="s">
        <v>19</v>
      </c>
      <c r="G2151" t="s">
        <v>71</v>
      </c>
      <c r="H2151" t="s">
        <v>21</v>
      </c>
      <c r="I2151" s="12">
        <v>0.67013888888888884</v>
      </c>
      <c r="J2151" t="s">
        <v>72</v>
      </c>
      <c r="K2151" t="s">
        <v>21</v>
      </c>
      <c r="L2151" s="12">
        <v>0.69791666666666663</v>
      </c>
      <c r="M2151" t="s">
        <v>63</v>
      </c>
      <c r="N2151" s="3">
        <v>232</v>
      </c>
      <c r="O2151" t="s">
        <v>24</v>
      </c>
      <c r="P2151" t="s">
        <v>56</v>
      </c>
      <c r="R2151">
        <f>tblDailySchedule[[#This Row],[Capacity Approx]]*'[1]Load Factor Sheet June Acft  '!$B$5</f>
        <v>187.86727272727273</v>
      </c>
      <c r="S2151">
        <f>tblDailySchedule[[#This Row],[Capacity Approx]]*'[1]Load Factor Sheet June Acft  '!$D$5</f>
        <v>203.4218181818182</v>
      </c>
      <c r="T2151" s="22">
        <f>tblDailySchedule[[#This Row],[STD]]</f>
        <v>0.69791666666666663</v>
      </c>
    </row>
    <row r="2152" spans="1:20" hidden="1" x14ac:dyDescent="0.35">
      <c r="A2152" s="11">
        <v>46187</v>
      </c>
      <c r="B2152" s="3">
        <v>7</v>
      </c>
      <c r="C2152" t="s">
        <v>17</v>
      </c>
      <c r="D2152" t="s">
        <v>18</v>
      </c>
      <c r="E2152" s="3">
        <v>19</v>
      </c>
      <c r="F2152" t="s">
        <v>19</v>
      </c>
      <c r="G2152" t="s">
        <v>73</v>
      </c>
      <c r="H2152" t="s">
        <v>27</v>
      </c>
      <c r="I2152" s="12">
        <v>0.74652777777777779</v>
      </c>
      <c r="J2152" t="s">
        <v>74</v>
      </c>
      <c r="K2152" t="s">
        <v>27</v>
      </c>
      <c r="L2152" s="12">
        <v>0.77430555555555558</v>
      </c>
      <c r="M2152" t="s">
        <v>63</v>
      </c>
      <c r="N2152" s="3">
        <v>232</v>
      </c>
      <c r="O2152" t="s">
        <v>24</v>
      </c>
      <c r="P2152" t="s">
        <v>56</v>
      </c>
      <c r="R2152">
        <f>tblDailySchedule[[#This Row],[Capacity Approx]]*'[1]Load Factor Sheet June Acft  '!$B$5</f>
        <v>187.86727272727273</v>
      </c>
      <c r="S2152">
        <f>tblDailySchedule[[#This Row],[Capacity Approx]]*'[1]Load Factor Sheet June Acft  '!$D$5</f>
        <v>203.4218181818182</v>
      </c>
      <c r="T2152" s="22">
        <f>tblDailySchedule[[#This Row],[STD]]</f>
        <v>0.77430555555555558</v>
      </c>
    </row>
    <row r="2153" spans="1:20" hidden="1" x14ac:dyDescent="0.35">
      <c r="A2153" s="11">
        <v>46187</v>
      </c>
      <c r="B2153" s="3">
        <v>7</v>
      </c>
      <c r="C2153" t="s">
        <v>17</v>
      </c>
      <c r="D2153" t="s">
        <v>18</v>
      </c>
      <c r="E2153" s="3">
        <v>20</v>
      </c>
      <c r="F2153" t="s">
        <v>34</v>
      </c>
      <c r="G2153" t="s">
        <v>75</v>
      </c>
      <c r="H2153" t="s">
        <v>76</v>
      </c>
      <c r="I2153" s="12">
        <v>0.76388888888888884</v>
      </c>
      <c r="J2153" t="s">
        <v>77</v>
      </c>
      <c r="K2153" t="s">
        <v>78</v>
      </c>
      <c r="L2153" s="12">
        <v>0.78472222222222221</v>
      </c>
      <c r="M2153" t="s">
        <v>51</v>
      </c>
      <c r="N2153" s="3">
        <v>78</v>
      </c>
      <c r="O2153" t="s">
        <v>24</v>
      </c>
      <c r="P2153" t="s">
        <v>79</v>
      </c>
      <c r="Q2153" s="16" t="s">
        <v>80</v>
      </c>
      <c r="R2153">
        <f>tblDailySchedule[[#This Row],[Capacity Approx]]*'[1]Load Factor Sheet June Acft  '!$B$5</f>
        <v>63.162272727272729</v>
      </c>
      <c r="S2153">
        <f>tblDailySchedule[[#This Row],[Capacity Approx]]*'[1]Load Factor Sheet June Acft  '!$D$5</f>
        <v>68.391818181818181</v>
      </c>
      <c r="T2153" s="22">
        <f>tblDailySchedule[[#This Row],[STD]]</f>
        <v>0.78472222222222221</v>
      </c>
    </row>
    <row r="2154" spans="1:20" hidden="1" x14ac:dyDescent="0.35">
      <c r="A2154" s="11">
        <v>46187</v>
      </c>
      <c r="B2154" s="3">
        <v>7</v>
      </c>
      <c r="C2154" t="s">
        <v>17</v>
      </c>
      <c r="D2154" t="s">
        <v>18</v>
      </c>
      <c r="E2154" s="3">
        <v>21</v>
      </c>
      <c r="F2154" t="s">
        <v>19</v>
      </c>
      <c r="G2154" t="s">
        <v>81</v>
      </c>
      <c r="H2154" t="s">
        <v>61</v>
      </c>
      <c r="I2154" s="12">
        <v>0.77083333333333337</v>
      </c>
      <c r="J2154" t="s">
        <v>82</v>
      </c>
      <c r="K2154" t="s">
        <v>49</v>
      </c>
      <c r="L2154" s="12">
        <v>0.79166666666666663</v>
      </c>
      <c r="M2154" t="s">
        <v>33</v>
      </c>
      <c r="N2154" s="3">
        <v>189</v>
      </c>
      <c r="O2154" t="s">
        <v>24</v>
      </c>
      <c r="P2154" t="s">
        <v>79</v>
      </c>
      <c r="R2154">
        <f>tblDailySchedule[[#This Row],[Capacity Approx]]*'[1]Load Factor Sheet June Acft  '!$B$5</f>
        <v>153.04704545454547</v>
      </c>
      <c r="S2154">
        <f>tblDailySchedule[[#This Row],[Capacity Approx]]*'[1]Load Factor Sheet June Acft  '!$D$5</f>
        <v>165.71863636363636</v>
      </c>
      <c r="T2154" s="22">
        <f>tblDailySchedule[[#This Row],[STD]]</f>
        <v>0.79166666666666663</v>
      </c>
    </row>
    <row r="2155" spans="1:20" hidden="1" x14ac:dyDescent="0.35">
      <c r="A2155" s="11">
        <v>46187</v>
      </c>
      <c r="B2155" s="3">
        <v>7</v>
      </c>
      <c r="C2155" t="s">
        <v>17</v>
      </c>
      <c r="D2155" t="s">
        <v>18</v>
      </c>
      <c r="E2155" s="3">
        <v>22</v>
      </c>
      <c r="F2155" t="s">
        <v>19</v>
      </c>
      <c r="G2155" t="s">
        <v>83</v>
      </c>
      <c r="H2155" t="s">
        <v>31</v>
      </c>
      <c r="I2155" s="12">
        <v>0.77777777777777779</v>
      </c>
      <c r="J2155" t="s">
        <v>84</v>
      </c>
      <c r="K2155" t="s">
        <v>31</v>
      </c>
      <c r="L2155" s="12">
        <v>0.80555555555555558</v>
      </c>
      <c r="M2155" t="s">
        <v>63</v>
      </c>
      <c r="N2155" s="3">
        <v>232</v>
      </c>
      <c r="O2155" t="s">
        <v>24</v>
      </c>
      <c r="P2155" t="s">
        <v>79</v>
      </c>
      <c r="R2155">
        <f>tblDailySchedule[[#This Row],[Capacity Approx]]*'[1]Load Factor Sheet June Acft  '!$B$5</f>
        <v>187.86727272727273</v>
      </c>
      <c r="S2155">
        <f>tblDailySchedule[[#This Row],[Capacity Approx]]*'[1]Load Factor Sheet June Acft  '!$D$5</f>
        <v>203.4218181818182</v>
      </c>
      <c r="T2155" s="22">
        <f>tblDailySchedule[[#This Row],[STD]]</f>
        <v>0.80555555555555558</v>
      </c>
    </row>
    <row r="2156" spans="1:20" hidden="1" x14ac:dyDescent="0.35">
      <c r="A2156" s="11">
        <v>46187</v>
      </c>
      <c r="B2156" s="3">
        <v>7</v>
      </c>
      <c r="C2156" t="s">
        <v>17</v>
      </c>
      <c r="D2156" t="s">
        <v>18</v>
      </c>
      <c r="E2156" s="3">
        <v>23</v>
      </c>
      <c r="F2156" t="s">
        <v>19</v>
      </c>
      <c r="G2156" t="s">
        <v>85</v>
      </c>
      <c r="H2156" t="s">
        <v>86</v>
      </c>
      <c r="I2156" s="12">
        <v>0.79861111111111116</v>
      </c>
      <c r="J2156" t="s">
        <v>87</v>
      </c>
      <c r="K2156" t="s">
        <v>86</v>
      </c>
      <c r="L2156" s="12">
        <v>0.82638888888888884</v>
      </c>
      <c r="M2156" t="s">
        <v>63</v>
      </c>
      <c r="N2156" s="3">
        <v>232</v>
      </c>
      <c r="O2156" t="s">
        <v>24</v>
      </c>
      <c r="P2156" t="s">
        <v>79</v>
      </c>
      <c r="R2156">
        <f>tblDailySchedule[[#This Row],[Capacity Approx]]*'[1]Load Factor Sheet June Acft  '!$B$5</f>
        <v>187.86727272727273</v>
      </c>
      <c r="S2156">
        <f>tblDailySchedule[[#This Row],[Capacity Approx]]*'[1]Load Factor Sheet June Acft  '!$D$5</f>
        <v>203.4218181818182</v>
      </c>
      <c r="T2156" s="22">
        <f>tblDailySchedule[[#This Row],[STD]]</f>
        <v>0.82638888888888884</v>
      </c>
    </row>
    <row r="2157" spans="1:20" hidden="1" x14ac:dyDescent="0.35">
      <c r="A2157" s="11">
        <v>46187</v>
      </c>
      <c r="B2157" s="3">
        <v>7</v>
      </c>
      <c r="C2157" t="s">
        <v>17</v>
      </c>
      <c r="D2157" t="s">
        <v>18</v>
      </c>
      <c r="E2157" s="3">
        <v>24</v>
      </c>
      <c r="F2157" t="s">
        <v>19</v>
      </c>
      <c r="G2157" t="s">
        <v>88</v>
      </c>
      <c r="H2157" t="s">
        <v>89</v>
      </c>
      <c r="I2157" s="12">
        <v>0.83333333333333337</v>
      </c>
      <c r="J2157" t="s">
        <v>90</v>
      </c>
      <c r="K2157" t="s">
        <v>31</v>
      </c>
      <c r="L2157" s="12">
        <v>0.86111111111111116</v>
      </c>
      <c r="M2157" t="s">
        <v>63</v>
      </c>
      <c r="N2157" s="3">
        <v>232</v>
      </c>
      <c r="O2157" t="s">
        <v>24</v>
      </c>
      <c r="P2157" t="s">
        <v>79</v>
      </c>
      <c r="R2157">
        <f>tblDailySchedule[[#This Row],[Capacity Approx]]*'[1]Load Factor Sheet June Acft  '!$B$5</f>
        <v>187.86727272727273</v>
      </c>
      <c r="S2157">
        <f>tblDailySchedule[[#This Row],[Capacity Approx]]*'[1]Load Factor Sheet June Acft  '!$D$5</f>
        <v>203.4218181818182</v>
      </c>
      <c r="T2157" s="22">
        <f>tblDailySchedule[[#This Row],[STD]]</f>
        <v>0.86111111111111116</v>
      </c>
    </row>
    <row r="2158" spans="1:20" hidden="1" x14ac:dyDescent="0.35">
      <c r="A2158" s="11">
        <v>46187</v>
      </c>
      <c r="B2158" s="3">
        <v>7</v>
      </c>
      <c r="C2158" t="s">
        <v>17</v>
      </c>
      <c r="D2158" t="s">
        <v>18</v>
      </c>
      <c r="E2158" s="3">
        <v>25</v>
      </c>
      <c r="F2158" t="s">
        <v>19</v>
      </c>
      <c r="G2158" t="s">
        <v>91</v>
      </c>
      <c r="H2158" t="s">
        <v>61</v>
      </c>
      <c r="I2158" s="12">
        <v>0.85416666666666663</v>
      </c>
      <c r="J2158" t="s">
        <v>92</v>
      </c>
      <c r="K2158" t="s">
        <v>61</v>
      </c>
      <c r="L2158" s="12">
        <v>0.88194444444444442</v>
      </c>
      <c r="M2158" t="s">
        <v>63</v>
      </c>
      <c r="N2158" s="3">
        <v>232</v>
      </c>
      <c r="O2158" t="s">
        <v>24</v>
      </c>
      <c r="P2158" t="s">
        <v>79</v>
      </c>
      <c r="R2158">
        <f>tblDailySchedule[[#This Row],[Capacity Approx]]*'[1]Load Factor Sheet June Acft  '!$B$5</f>
        <v>187.86727272727273</v>
      </c>
      <c r="S2158">
        <f>tblDailySchedule[[#This Row],[Capacity Approx]]*'[1]Load Factor Sheet June Acft  '!$D$5</f>
        <v>203.4218181818182</v>
      </c>
      <c r="T2158" s="22">
        <f>tblDailySchedule[[#This Row],[STD]]</f>
        <v>0.88194444444444442</v>
      </c>
    </row>
    <row r="2159" spans="1:20" hidden="1" x14ac:dyDescent="0.35">
      <c r="A2159" s="11">
        <v>46187</v>
      </c>
      <c r="B2159" s="3">
        <v>7</v>
      </c>
      <c r="C2159" t="s">
        <v>17</v>
      </c>
      <c r="D2159" t="s">
        <v>18</v>
      </c>
      <c r="E2159" s="3">
        <v>26</v>
      </c>
      <c r="F2159" t="s">
        <v>19</v>
      </c>
      <c r="G2159" t="s">
        <v>93</v>
      </c>
      <c r="H2159" t="s">
        <v>31</v>
      </c>
      <c r="I2159" s="12">
        <v>0.86111111111111116</v>
      </c>
      <c r="J2159" t="s">
        <v>94</v>
      </c>
      <c r="K2159" t="s">
        <v>31</v>
      </c>
      <c r="L2159" s="12">
        <v>0.88888888888888884</v>
      </c>
      <c r="M2159" t="s">
        <v>23</v>
      </c>
      <c r="N2159" s="3">
        <v>186</v>
      </c>
      <c r="O2159" t="s">
        <v>24</v>
      </c>
      <c r="P2159" t="s">
        <v>79</v>
      </c>
      <c r="R2159">
        <f>tblDailySchedule[[#This Row],[Capacity Approx]]*'[1]Load Factor Sheet June Acft  '!$B$5</f>
        <v>150.61772727272728</v>
      </c>
      <c r="S2159">
        <f>tblDailySchedule[[#This Row],[Capacity Approx]]*'[1]Load Factor Sheet June Acft  '!$D$5</f>
        <v>163.08818181818182</v>
      </c>
      <c r="T2159" s="22">
        <f>tblDailySchedule[[#This Row],[STD]]</f>
        <v>0.88888888888888884</v>
      </c>
    </row>
    <row r="2160" spans="1:20" hidden="1" x14ac:dyDescent="0.35">
      <c r="A2160" s="11">
        <v>46187</v>
      </c>
      <c r="B2160" s="3">
        <v>7</v>
      </c>
      <c r="C2160" t="s">
        <v>17</v>
      </c>
      <c r="D2160" t="s">
        <v>18</v>
      </c>
      <c r="E2160" s="3">
        <v>27</v>
      </c>
      <c r="F2160" t="s">
        <v>19</v>
      </c>
      <c r="G2160" t="s">
        <v>95</v>
      </c>
      <c r="H2160" t="s">
        <v>21</v>
      </c>
      <c r="I2160" s="12">
        <v>0.86805555555555558</v>
      </c>
      <c r="J2160" t="s">
        <v>96</v>
      </c>
      <c r="K2160" t="s">
        <v>21</v>
      </c>
      <c r="L2160" s="12">
        <v>0.89583333333333337</v>
      </c>
      <c r="M2160" t="s">
        <v>29</v>
      </c>
      <c r="N2160" s="3">
        <v>186</v>
      </c>
      <c r="O2160" t="s">
        <v>24</v>
      </c>
      <c r="P2160" t="s">
        <v>79</v>
      </c>
      <c r="R2160">
        <f>tblDailySchedule[[#This Row],[Capacity Approx]]*'[1]Load Factor Sheet June Acft  '!$B$5</f>
        <v>150.61772727272728</v>
      </c>
      <c r="S2160">
        <f>tblDailySchedule[[#This Row],[Capacity Approx]]*'[1]Load Factor Sheet June Acft  '!$D$5</f>
        <v>163.08818181818182</v>
      </c>
      <c r="T2160" s="22">
        <f>tblDailySchedule[[#This Row],[STD]]</f>
        <v>0.89583333333333337</v>
      </c>
    </row>
    <row r="2161" spans="1:20" hidden="1" x14ac:dyDescent="0.35">
      <c r="A2161" s="11">
        <v>46187</v>
      </c>
      <c r="B2161" s="3">
        <v>7</v>
      </c>
      <c r="C2161" t="s">
        <v>17</v>
      </c>
      <c r="D2161" t="s">
        <v>18</v>
      </c>
      <c r="E2161" s="3">
        <v>28</v>
      </c>
      <c r="F2161" t="s">
        <v>19</v>
      </c>
      <c r="G2161" t="s">
        <v>97</v>
      </c>
      <c r="H2161" t="s">
        <v>49</v>
      </c>
      <c r="I2161" s="12">
        <v>0.90277777777777779</v>
      </c>
      <c r="J2161" t="s">
        <v>97</v>
      </c>
      <c r="K2161" t="s">
        <v>61</v>
      </c>
      <c r="L2161" s="12">
        <v>0.92361111111111116</v>
      </c>
      <c r="M2161" t="s">
        <v>33</v>
      </c>
      <c r="N2161" s="3">
        <v>189</v>
      </c>
      <c r="O2161" t="s">
        <v>24</v>
      </c>
      <c r="P2161" t="s">
        <v>79</v>
      </c>
      <c r="R2161">
        <f>tblDailySchedule[[#This Row],[Capacity Approx]]*'[1]Load Factor Sheet June Acft  '!$B$5</f>
        <v>153.04704545454547</v>
      </c>
      <c r="S2161">
        <f>tblDailySchedule[[#This Row],[Capacity Approx]]*'[1]Load Factor Sheet June Acft  '!$D$5</f>
        <v>165.71863636363636</v>
      </c>
      <c r="T2161" s="22">
        <f>tblDailySchedule[[#This Row],[STD]]</f>
        <v>0.92361111111111116</v>
      </c>
    </row>
    <row r="2162" spans="1:20" hidden="1" x14ac:dyDescent="0.35">
      <c r="A2162" s="11">
        <v>46187</v>
      </c>
      <c r="B2162" s="3">
        <v>7</v>
      </c>
      <c r="C2162" t="s">
        <v>17</v>
      </c>
      <c r="D2162" t="s">
        <v>18</v>
      </c>
      <c r="E2162" s="3">
        <v>29</v>
      </c>
      <c r="F2162" t="s">
        <v>19</v>
      </c>
      <c r="G2162" t="s">
        <v>98</v>
      </c>
      <c r="H2162" t="s">
        <v>21</v>
      </c>
      <c r="I2162" s="12">
        <v>0.92013888888888884</v>
      </c>
      <c r="J2162" t="s">
        <v>99</v>
      </c>
      <c r="K2162" t="s">
        <v>21</v>
      </c>
      <c r="L2162" s="12">
        <v>0.94791666666666663</v>
      </c>
      <c r="M2162" t="s">
        <v>63</v>
      </c>
      <c r="N2162" s="3">
        <v>232</v>
      </c>
      <c r="O2162" t="s">
        <v>24</v>
      </c>
      <c r="P2162" t="s">
        <v>79</v>
      </c>
      <c r="R2162">
        <f>tblDailySchedule[[#This Row],[Capacity Approx]]*'[1]Load Factor Sheet June Acft  '!$B$5</f>
        <v>187.86727272727273</v>
      </c>
      <c r="S2162">
        <f>tblDailySchedule[[#This Row],[Capacity Approx]]*'[1]Load Factor Sheet June Acft  '!$D$5</f>
        <v>203.4218181818182</v>
      </c>
      <c r="T2162" s="22">
        <f>tblDailySchedule[[#This Row],[STD]]</f>
        <v>0.94791666666666663</v>
      </c>
    </row>
    <row r="2163" spans="1:20" hidden="1" x14ac:dyDescent="0.35">
      <c r="A2163" s="11">
        <v>46188</v>
      </c>
      <c r="B2163" s="3">
        <v>1</v>
      </c>
      <c r="C2163" t="s">
        <v>100</v>
      </c>
      <c r="D2163" t="s">
        <v>18</v>
      </c>
      <c r="E2163" s="3">
        <v>1</v>
      </c>
      <c r="F2163" t="s">
        <v>101</v>
      </c>
      <c r="G2163" t="s">
        <v>102</v>
      </c>
      <c r="H2163" t="s">
        <v>61</v>
      </c>
      <c r="I2163" s="12">
        <v>0.3125</v>
      </c>
      <c r="J2163" t="s">
        <v>103</v>
      </c>
      <c r="K2163" t="s">
        <v>61</v>
      </c>
      <c r="L2163" s="12">
        <v>0.33333333333333331</v>
      </c>
      <c r="M2163" t="s">
        <v>33</v>
      </c>
      <c r="N2163" s="3">
        <v>189</v>
      </c>
      <c r="O2163" t="s">
        <v>24</v>
      </c>
      <c r="P2163" t="s">
        <v>25</v>
      </c>
      <c r="R2163">
        <f>tblDailySchedule[[#This Row],[Capacity Approx]]*'[1]Load Factor Sheet June Acft  '!$B$5</f>
        <v>153.04704545454547</v>
      </c>
      <c r="S2163">
        <f>tblDailySchedule[[#This Row],[Capacity Approx]]*'[1]Load Factor Sheet June Acft  '!$D$5</f>
        <v>165.71863636363636</v>
      </c>
      <c r="T2163" s="22">
        <f>tblDailySchedule[[#This Row],[STD]]</f>
        <v>0.33333333333333331</v>
      </c>
    </row>
    <row r="2164" spans="1:20" hidden="1" x14ac:dyDescent="0.35">
      <c r="A2164" s="11">
        <v>46188</v>
      </c>
      <c r="B2164" s="3">
        <v>1</v>
      </c>
      <c r="C2164" t="s">
        <v>100</v>
      </c>
      <c r="D2164" t="s">
        <v>18</v>
      </c>
      <c r="E2164" s="3">
        <v>2</v>
      </c>
      <c r="F2164" t="s">
        <v>19</v>
      </c>
      <c r="G2164" t="s">
        <v>20</v>
      </c>
      <c r="H2164" t="s">
        <v>21</v>
      </c>
      <c r="I2164" s="12">
        <v>0.31944444444444442</v>
      </c>
      <c r="J2164" t="s">
        <v>22</v>
      </c>
      <c r="K2164" t="s">
        <v>21</v>
      </c>
      <c r="L2164" s="12">
        <v>0.34722222222222221</v>
      </c>
      <c r="M2164" t="s">
        <v>23</v>
      </c>
      <c r="N2164" s="3">
        <v>186</v>
      </c>
      <c r="O2164" t="s">
        <v>24</v>
      </c>
      <c r="P2164" t="s">
        <v>25</v>
      </c>
      <c r="R2164">
        <f>tblDailySchedule[[#This Row],[Capacity Approx]]*'[1]Load Factor Sheet June Acft  '!$B$5</f>
        <v>150.61772727272728</v>
      </c>
      <c r="S2164">
        <f>tblDailySchedule[[#This Row],[Capacity Approx]]*'[1]Load Factor Sheet June Acft  '!$D$5</f>
        <v>163.08818181818182</v>
      </c>
      <c r="T2164" s="22">
        <f>tblDailySchedule[[#This Row],[STD]]</f>
        <v>0.34722222222222221</v>
      </c>
    </row>
    <row r="2165" spans="1:20" hidden="1" x14ac:dyDescent="0.35">
      <c r="A2165" s="11">
        <v>46188</v>
      </c>
      <c r="B2165" s="3">
        <v>1</v>
      </c>
      <c r="C2165" t="s">
        <v>100</v>
      </c>
      <c r="D2165" t="s">
        <v>18</v>
      </c>
      <c r="E2165" s="3">
        <v>3</v>
      </c>
      <c r="F2165" t="s">
        <v>19</v>
      </c>
      <c r="G2165" t="s">
        <v>26</v>
      </c>
      <c r="H2165" t="s">
        <v>27</v>
      </c>
      <c r="I2165" s="12">
        <v>0.3263888888888889</v>
      </c>
      <c r="J2165" t="s">
        <v>28</v>
      </c>
      <c r="K2165" t="s">
        <v>27</v>
      </c>
      <c r="L2165" s="12">
        <v>0.35416666666666669</v>
      </c>
      <c r="M2165" t="s">
        <v>29</v>
      </c>
      <c r="N2165" s="3">
        <v>186</v>
      </c>
      <c r="O2165" t="s">
        <v>24</v>
      </c>
      <c r="P2165" t="s">
        <v>25</v>
      </c>
      <c r="R2165">
        <f>tblDailySchedule[[#This Row],[Capacity Approx]]*'[1]Load Factor Sheet June Acft  '!$B$5</f>
        <v>150.61772727272728</v>
      </c>
      <c r="S2165">
        <f>tblDailySchedule[[#This Row],[Capacity Approx]]*'[1]Load Factor Sheet June Acft  '!$D$5</f>
        <v>163.08818181818182</v>
      </c>
      <c r="T2165" s="22">
        <f>tblDailySchedule[[#This Row],[STD]]</f>
        <v>0.35416666666666669</v>
      </c>
    </row>
    <row r="2166" spans="1:20" hidden="1" x14ac:dyDescent="0.35">
      <c r="A2166" s="11">
        <v>46188</v>
      </c>
      <c r="B2166" s="3">
        <v>1</v>
      </c>
      <c r="C2166" t="s">
        <v>100</v>
      </c>
      <c r="D2166" t="s">
        <v>18</v>
      </c>
      <c r="E2166" s="3">
        <v>4</v>
      </c>
      <c r="F2166" t="s">
        <v>19</v>
      </c>
      <c r="G2166" t="s">
        <v>30</v>
      </c>
      <c r="H2166" t="s">
        <v>31</v>
      </c>
      <c r="I2166" s="12">
        <v>0.34722222222222221</v>
      </c>
      <c r="J2166" t="s">
        <v>32</v>
      </c>
      <c r="K2166" t="s">
        <v>31</v>
      </c>
      <c r="L2166" s="12">
        <v>0.36805555555555558</v>
      </c>
      <c r="M2166" t="s">
        <v>33</v>
      </c>
      <c r="N2166" s="3">
        <v>189</v>
      </c>
      <c r="O2166" t="s">
        <v>24</v>
      </c>
      <c r="P2166" t="s">
        <v>25</v>
      </c>
      <c r="R2166">
        <f>tblDailySchedule[[#This Row],[Capacity Approx]]*'[1]Load Factor Sheet June Acft  '!$B$5</f>
        <v>153.04704545454547</v>
      </c>
      <c r="S2166">
        <f>tblDailySchedule[[#This Row],[Capacity Approx]]*'[1]Load Factor Sheet June Acft  '!$D$5</f>
        <v>165.71863636363636</v>
      </c>
      <c r="T2166" s="22">
        <f>tblDailySchedule[[#This Row],[STD]]</f>
        <v>0.36805555555555558</v>
      </c>
    </row>
    <row r="2167" spans="1:20" hidden="1" x14ac:dyDescent="0.35">
      <c r="A2167" s="13">
        <v>46188</v>
      </c>
      <c r="B2167" s="7">
        <v>1</v>
      </c>
      <c r="C2167" s="14" t="s">
        <v>100</v>
      </c>
      <c r="D2167" s="14" t="s">
        <v>18</v>
      </c>
      <c r="E2167" s="7">
        <v>6</v>
      </c>
      <c r="F2167" s="14" t="s">
        <v>34</v>
      </c>
      <c r="G2167" s="14" t="s">
        <v>35</v>
      </c>
      <c r="H2167" s="14" t="s">
        <v>36</v>
      </c>
      <c r="I2167" s="15">
        <v>0.34722222222222221</v>
      </c>
      <c r="J2167" s="14" t="s">
        <v>37</v>
      </c>
      <c r="K2167" s="14" t="s">
        <v>36</v>
      </c>
      <c r="L2167" s="15">
        <v>0.40972222222222221</v>
      </c>
      <c r="M2167" s="14" t="s">
        <v>38</v>
      </c>
      <c r="N2167" s="7">
        <v>186</v>
      </c>
      <c r="O2167" s="14" t="s">
        <v>39</v>
      </c>
      <c r="P2167" s="14" t="s">
        <v>25</v>
      </c>
      <c r="Q2167" s="14" t="s">
        <v>39</v>
      </c>
      <c r="R2167">
        <f>tblDailySchedule[[#This Row],[Capacity Approx]]*'[1]Load Factor Sheet June Acft  '!$B$5</f>
        <v>150.61772727272728</v>
      </c>
      <c r="S2167">
        <f>tblDailySchedule[[#This Row],[Capacity Approx]]*'[1]Load Factor Sheet June Acft  '!$D$5</f>
        <v>163.08818181818182</v>
      </c>
      <c r="T2167" s="22">
        <f>tblDailySchedule[[#This Row],[STD]]</f>
        <v>0.40972222222222221</v>
      </c>
    </row>
    <row r="2168" spans="1:20" hidden="1" x14ac:dyDescent="0.35">
      <c r="A2168" s="11">
        <v>46188</v>
      </c>
      <c r="B2168" s="3">
        <v>1</v>
      </c>
      <c r="C2168" t="s">
        <v>100</v>
      </c>
      <c r="D2168" t="s">
        <v>18</v>
      </c>
      <c r="E2168" s="3">
        <v>5</v>
      </c>
      <c r="F2168" t="s">
        <v>19</v>
      </c>
      <c r="G2168" t="s">
        <v>40</v>
      </c>
      <c r="H2168" t="s">
        <v>31</v>
      </c>
      <c r="I2168" s="12">
        <v>0.35069444444444442</v>
      </c>
      <c r="J2168" t="s">
        <v>41</v>
      </c>
      <c r="K2168" t="s">
        <v>31</v>
      </c>
      <c r="L2168" s="12">
        <v>0.37152777777777779</v>
      </c>
      <c r="M2168" t="s">
        <v>23</v>
      </c>
      <c r="N2168" s="3">
        <v>186</v>
      </c>
      <c r="O2168" t="s">
        <v>24</v>
      </c>
      <c r="P2168" t="s">
        <v>25</v>
      </c>
      <c r="R2168">
        <f>tblDailySchedule[[#This Row],[Capacity Approx]]*'[1]Load Factor Sheet June Acft  '!$B$5</f>
        <v>150.61772727272728</v>
      </c>
      <c r="S2168">
        <f>tblDailySchedule[[#This Row],[Capacity Approx]]*'[1]Load Factor Sheet June Acft  '!$D$5</f>
        <v>163.08818181818182</v>
      </c>
      <c r="T2168" s="22">
        <f>tblDailySchedule[[#This Row],[STD]]</f>
        <v>0.37152777777777779</v>
      </c>
    </row>
    <row r="2169" spans="1:20" hidden="1" x14ac:dyDescent="0.35">
      <c r="A2169" s="11">
        <v>46188</v>
      </c>
      <c r="B2169" s="3">
        <v>1</v>
      </c>
      <c r="C2169" t="s">
        <v>100</v>
      </c>
      <c r="D2169" t="s">
        <v>18</v>
      </c>
      <c r="E2169" s="3">
        <v>7</v>
      </c>
      <c r="F2169" t="s">
        <v>19</v>
      </c>
      <c r="G2169" t="s">
        <v>42</v>
      </c>
      <c r="H2169" t="s">
        <v>43</v>
      </c>
      <c r="I2169" s="12">
        <v>0.3923611111111111</v>
      </c>
      <c r="J2169" t="s">
        <v>44</v>
      </c>
      <c r="K2169" t="s">
        <v>43</v>
      </c>
      <c r="L2169" s="12">
        <v>0.40277777777777779</v>
      </c>
      <c r="M2169" t="s">
        <v>45</v>
      </c>
      <c r="N2169" s="3">
        <v>9</v>
      </c>
      <c r="O2169" t="s">
        <v>24</v>
      </c>
      <c r="P2169" t="s">
        <v>25</v>
      </c>
      <c r="R2169">
        <f>tblDailySchedule[[#This Row],[Capacity Approx]]*'[1]Load Factor Sheet June Acft  '!$B$5</f>
        <v>7.2879545454545456</v>
      </c>
      <c r="S2169">
        <f>tblDailySchedule[[#This Row],[Capacity Approx]]*'[1]Load Factor Sheet June Acft  '!$D$5</f>
        <v>7.8913636363636366</v>
      </c>
      <c r="T2169" s="22">
        <f>tblDailySchedule[[#This Row],[STD]]</f>
        <v>0.40277777777777779</v>
      </c>
    </row>
    <row r="2170" spans="1:20" hidden="1" x14ac:dyDescent="0.35">
      <c r="A2170" s="11">
        <v>46188</v>
      </c>
      <c r="B2170" s="3">
        <v>1</v>
      </c>
      <c r="C2170" t="s">
        <v>100</v>
      </c>
      <c r="D2170" t="s">
        <v>18</v>
      </c>
      <c r="E2170" s="3">
        <v>8</v>
      </c>
      <c r="F2170" t="s">
        <v>19</v>
      </c>
      <c r="G2170" t="s">
        <v>46</v>
      </c>
      <c r="H2170" t="s">
        <v>31</v>
      </c>
      <c r="I2170" s="12">
        <v>0.4201388888888889</v>
      </c>
      <c r="J2170" t="s">
        <v>47</v>
      </c>
      <c r="K2170" t="s">
        <v>31</v>
      </c>
      <c r="L2170" s="12">
        <v>0.44444444444444442</v>
      </c>
      <c r="M2170" t="s">
        <v>29</v>
      </c>
      <c r="N2170" s="3">
        <v>186</v>
      </c>
      <c r="O2170" t="s">
        <v>24</v>
      </c>
      <c r="P2170" t="s">
        <v>25</v>
      </c>
      <c r="R2170">
        <f>tblDailySchedule[[#This Row],[Capacity Approx]]*'[1]Load Factor Sheet June Acft  '!$B$5</f>
        <v>150.61772727272728</v>
      </c>
      <c r="S2170">
        <f>tblDailySchedule[[#This Row],[Capacity Approx]]*'[1]Load Factor Sheet June Acft  '!$D$5</f>
        <v>163.08818181818182</v>
      </c>
      <c r="T2170" s="22">
        <f>tblDailySchedule[[#This Row],[STD]]</f>
        <v>0.44444444444444442</v>
      </c>
    </row>
    <row r="2171" spans="1:20" hidden="1" x14ac:dyDescent="0.35">
      <c r="A2171" s="11">
        <v>46188</v>
      </c>
      <c r="B2171" s="3">
        <v>1</v>
      </c>
      <c r="C2171" t="s">
        <v>100</v>
      </c>
      <c r="D2171" t="s">
        <v>18</v>
      </c>
      <c r="E2171" s="3">
        <v>9</v>
      </c>
      <c r="F2171" t="s">
        <v>19</v>
      </c>
      <c r="G2171" t="s">
        <v>48</v>
      </c>
      <c r="H2171" t="s">
        <v>49</v>
      </c>
      <c r="I2171" s="12">
        <v>0.4375</v>
      </c>
      <c r="J2171" t="s">
        <v>50</v>
      </c>
      <c r="K2171" t="s">
        <v>49</v>
      </c>
      <c r="L2171" s="12">
        <v>0.45833333333333331</v>
      </c>
      <c r="M2171" t="s">
        <v>51</v>
      </c>
      <c r="N2171" s="3">
        <v>78</v>
      </c>
      <c r="O2171" t="s">
        <v>24</v>
      </c>
      <c r="P2171" t="s">
        <v>25</v>
      </c>
      <c r="R2171">
        <f>tblDailySchedule[[#This Row],[Capacity Approx]]*'[1]Load Factor Sheet June Acft  '!$B$5</f>
        <v>63.162272727272729</v>
      </c>
      <c r="S2171">
        <f>tblDailySchedule[[#This Row],[Capacity Approx]]*'[1]Load Factor Sheet June Acft  '!$D$5</f>
        <v>68.391818181818181</v>
      </c>
      <c r="T2171" s="22">
        <f>tblDailySchedule[[#This Row],[STD]]</f>
        <v>0.45833333333333331</v>
      </c>
    </row>
    <row r="2172" spans="1:20" hidden="1" x14ac:dyDescent="0.35">
      <c r="A2172" s="11">
        <v>46188</v>
      </c>
      <c r="B2172" s="3">
        <v>1</v>
      </c>
      <c r="C2172" t="s">
        <v>100</v>
      </c>
      <c r="D2172" t="s">
        <v>18</v>
      </c>
      <c r="E2172" s="3">
        <v>10</v>
      </c>
      <c r="F2172" t="s">
        <v>19</v>
      </c>
      <c r="G2172" t="s">
        <v>52</v>
      </c>
      <c r="H2172" t="s">
        <v>27</v>
      </c>
      <c r="I2172" s="12">
        <v>0.4826388888888889</v>
      </c>
      <c r="J2172" t="s">
        <v>53</v>
      </c>
      <c r="K2172" t="s">
        <v>27</v>
      </c>
      <c r="L2172" s="12">
        <v>0.51041666666666663</v>
      </c>
      <c r="M2172" t="s">
        <v>23</v>
      </c>
      <c r="N2172" s="3">
        <v>186</v>
      </c>
      <c r="O2172" t="s">
        <v>24</v>
      </c>
      <c r="P2172" t="s">
        <v>25</v>
      </c>
      <c r="R2172">
        <f>tblDailySchedule[[#This Row],[Capacity Approx]]*'[1]Load Factor Sheet June Acft  '!$B$5</f>
        <v>150.61772727272728</v>
      </c>
      <c r="S2172">
        <f>tblDailySchedule[[#This Row],[Capacity Approx]]*'[1]Load Factor Sheet June Acft  '!$D$5</f>
        <v>163.08818181818182</v>
      </c>
      <c r="T2172" s="22">
        <f>tblDailySchedule[[#This Row],[STD]]</f>
        <v>0.51041666666666663</v>
      </c>
    </row>
    <row r="2173" spans="1:20" hidden="1" x14ac:dyDescent="0.35">
      <c r="A2173" s="11">
        <v>46188</v>
      </c>
      <c r="B2173" s="3">
        <v>1</v>
      </c>
      <c r="C2173" t="s">
        <v>100</v>
      </c>
      <c r="D2173" t="s">
        <v>18</v>
      </c>
      <c r="E2173" s="3">
        <v>11</v>
      </c>
      <c r="F2173" t="s">
        <v>19</v>
      </c>
      <c r="G2173" t="s">
        <v>54</v>
      </c>
      <c r="H2173" t="s">
        <v>31</v>
      </c>
      <c r="I2173" s="12">
        <v>0.51388888888888884</v>
      </c>
      <c r="J2173" t="s">
        <v>55</v>
      </c>
      <c r="K2173" t="s">
        <v>31</v>
      </c>
      <c r="L2173" s="12">
        <v>0.54166666666666663</v>
      </c>
      <c r="M2173" t="s">
        <v>23</v>
      </c>
      <c r="N2173" s="3">
        <v>186</v>
      </c>
      <c r="O2173" t="s">
        <v>24</v>
      </c>
      <c r="P2173" t="s">
        <v>56</v>
      </c>
      <c r="R2173">
        <f>tblDailySchedule[[#This Row],[Capacity Approx]]*'[1]Load Factor Sheet June Acft  '!$B$5</f>
        <v>150.61772727272728</v>
      </c>
      <c r="S2173">
        <f>tblDailySchedule[[#This Row],[Capacity Approx]]*'[1]Load Factor Sheet June Acft  '!$D$5</f>
        <v>163.08818181818182</v>
      </c>
      <c r="T2173" s="22">
        <f>tblDailySchedule[[#This Row],[STD]]</f>
        <v>0.54166666666666663</v>
      </c>
    </row>
    <row r="2174" spans="1:20" hidden="1" x14ac:dyDescent="0.35">
      <c r="A2174" s="11">
        <v>46188</v>
      </c>
      <c r="B2174" s="3">
        <v>1</v>
      </c>
      <c r="C2174" t="s">
        <v>100</v>
      </c>
      <c r="D2174" t="s">
        <v>18</v>
      </c>
      <c r="E2174" s="3">
        <v>13</v>
      </c>
      <c r="F2174" t="s">
        <v>19</v>
      </c>
      <c r="G2174" t="s">
        <v>57</v>
      </c>
      <c r="H2174" t="s">
        <v>58</v>
      </c>
      <c r="I2174" s="12">
        <v>0.55902777777777779</v>
      </c>
      <c r="J2174" t="s">
        <v>59</v>
      </c>
      <c r="K2174" t="s">
        <v>58</v>
      </c>
      <c r="L2174" s="12">
        <v>0.57638888888888884</v>
      </c>
      <c r="M2174" t="s">
        <v>51</v>
      </c>
      <c r="N2174" s="3">
        <v>78</v>
      </c>
      <c r="O2174" t="s">
        <v>24</v>
      </c>
      <c r="P2174" t="s">
        <v>56</v>
      </c>
      <c r="R2174">
        <f>tblDailySchedule[[#This Row],[Capacity Approx]]*'[1]Load Factor Sheet June Acft  '!$B$5</f>
        <v>63.162272727272729</v>
      </c>
      <c r="S2174">
        <f>tblDailySchedule[[#This Row],[Capacity Approx]]*'[1]Load Factor Sheet June Acft  '!$D$5</f>
        <v>68.391818181818181</v>
      </c>
      <c r="T2174" s="22">
        <f>tblDailySchedule[[#This Row],[STD]]</f>
        <v>0.57638888888888884</v>
      </c>
    </row>
    <row r="2175" spans="1:20" hidden="1" x14ac:dyDescent="0.35">
      <c r="A2175" s="11">
        <v>46188</v>
      </c>
      <c r="B2175" s="3">
        <v>1</v>
      </c>
      <c r="C2175" t="s">
        <v>100</v>
      </c>
      <c r="D2175" t="s">
        <v>18</v>
      </c>
      <c r="E2175" s="3">
        <v>14</v>
      </c>
      <c r="F2175" t="s">
        <v>19</v>
      </c>
      <c r="G2175" t="s">
        <v>60</v>
      </c>
      <c r="H2175" t="s">
        <v>61</v>
      </c>
      <c r="I2175" s="12">
        <v>0.59027777777777779</v>
      </c>
      <c r="J2175" t="s">
        <v>62</v>
      </c>
      <c r="K2175" t="s">
        <v>61</v>
      </c>
      <c r="L2175" s="12">
        <v>0.62152777777777779</v>
      </c>
      <c r="M2175" t="s">
        <v>63</v>
      </c>
      <c r="N2175" s="3">
        <v>232</v>
      </c>
      <c r="O2175" t="s">
        <v>24</v>
      </c>
      <c r="P2175" t="s">
        <v>56</v>
      </c>
      <c r="R2175">
        <f>tblDailySchedule[[#This Row],[Capacity Approx]]*'[1]Load Factor Sheet June Acft  '!$B$5</f>
        <v>187.86727272727273</v>
      </c>
      <c r="S2175">
        <f>tblDailySchedule[[#This Row],[Capacity Approx]]*'[1]Load Factor Sheet June Acft  '!$D$5</f>
        <v>203.4218181818182</v>
      </c>
      <c r="T2175" s="22">
        <f>tblDailySchedule[[#This Row],[STD]]</f>
        <v>0.62152777777777779</v>
      </c>
    </row>
    <row r="2176" spans="1:20" hidden="1" x14ac:dyDescent="0.35">
      <c r="A2176" s="11">
        <v>46188</v>
      </c>
      <c r="B2176" s="3">
        <v>1</v>
      </c>
      <c r="C2176" t="s">
        <v>100</v>
      </c>
      <c r="D2176" t="s">
        <v>18</v>
      </c>
      <c r="E2176" s="3">
        <v>15</v>
      </c>
      <c r="F2176" t="s">
        <v>19</v>
      </c>
      <c r="G2176" t="s">
        <v>64</v>
      </c>
      <c r="H2176" t="s">
        <v>31</v>
      </c>
      <c r="I2176" s="12">
        <v>0.60069444444444442</v>
      </c>
      <c r="J2176" t="s">
        <v>65</v>
      </c>
      <c r="K2176" t="s">
        <v>66</v>
      </c>
      <c r="L2176" s="12">
        <v>0.62847222222222221</v>
      </c>
      <c r="M2176" t="s">
        <v>63</v>
      </c>
      <c r="N2176" s="3">
        <v>232</v>
      </c>
      <c r="O2176" t="s">
        <v>24</v>
      </c>
      <c r="P2176" t="s">
        <v>56</v>
      </c>
      <c r="R2176">
        <f>tblDailySchedule[[#This Row],[Capacity Approx]]*'[1]Load Factor Sheet June Acft  '!$B$5</f>
        <v>187.86727272727273</v>
      </c>
      <c r="S2176">
        <f>tblDailySchedule[[#This Row],[Capacity Approx]]*'[1]Load Factor Sheet June Acft  '!$D$5</f>
        <v>203.4218181818182</v>
      </c>
      <c r="T2176" s="22">
        <f>tblDailySchedule[[#This Row],[STD]]</f>
        <v>0.62847222222222221</v>
      </c>
    </row>
    <row r="2177" spans="1:20" hidden="1" x14ac:dyDescent="0.35">
      <c r="A2177" s="11">
        <v>46188</v>
      </c>
      <c r="B2177" s="3">
        <v>1</v>
      </c>
      <c r="C2177" t="s">
        <v>100</v>
      </c>
      <c r="D2177" t="s">
        <v>18</v>
      </c>
      <c r="E2177" s="3">
        <v>16</v>
      </c>
      <c r="F2177" t="s">
        <v>19</v>
      </c>
      <c r="G2177" t="s">
        <v>67</v>
      </c>
      <c r="H2177" t="s">
        <v>31</v>
      </c>
      <c r="I2177" s="12">
        <v>0.65625</v>
      </c>
      <c r="J2177" t="s">
        <v>68</v>
      </c>
      <c r="K2177" t="s">
        <v>31</v>
      </c>
      <c r="L2177" s="12">
        <v>0.68402777777777779</v>
      </c>
      <c r="M2177" t="s">
        <v>63</v>
      </c>
      <c r="N2177" s="3">
        <v>232</v>
      </c>
      <c r="O2177" t="s">
        <v>24</v>
      </c>
      <c r="P2177" t="s">
        <v>56</v>
      </c>
      <c r="R2177">
        <f>tblDailySchedule[[#This Row],[Capacity Approx]]*'[1]Load Factor Sheet June Acft  '!$B$5</f>
        <v>187.86727272727273</v>
      </c>
      <c r="S2177">
        <f>tblDailySchedule[[#This Row],[Capacity Approx]]*'[1]Load Factor Sheet June Acft  '!$D$5</f>
        <v>203.4218181818182</v>
      </c>
      <c r="T2177" s="22">
        <f>tblDailySchedule[[#This Row],[STD]]</f>
        <v>0.68402777777777779</v>
      </c>
    </row>
    <row r="2178" spans="1:20" hidden="1" x14ac:dyDescent="0.35">
      <c r="A2178" s="11">
        <v>46188</v>
      </c>
      <c r="B2178" s="3">
        <v>1</v>
      </c>
      <c r="C2178" t="s">
        <v>100</v>
      </c>
      <c r="D2178" t="s">
        <v>18</v>
      </c>
      <c r="E2178" s="3">
        <v>17</v>
      </c>
      <c r="F2178" t="s">
        <v>19</v>
      </c>
      <c r="G2178" t="s">
        <v>69</v>
      </c>
      <c r="H2178" t="s">
        <v>31</v>
      </c>
      <c r="I2178" s="12">
        <v>0.66319444444444442</v>
      </c>
      <c r="J2178" t="s">
        <v>70</v>
      </c>
      <c r="K2178" t="s">
        <v>31</v>
      </c>
      <c r="L2178" s="12">
        <v>0.69097222222222221</v>
      </c>
      <c r="M2178" t="s">
        <v>33</v>
      </c>
      <c r="N2178" s="3">
        <v>189</v>
      </c>
      <c r="O2178" t="s">
        <v>24</v>
      </c>
      <c r="P2178" t="s">
        <v>56</v>
      </c>
      <c r="R2178">
        <f>tblDailySchedule[[#This Row],[Capacity Approx]]*'[1]Load Factor Sheet June Acft  '!$B$5</f>
        <v>153.04704545454547</v>
      </c>
      <c r="S2178">
        <f>tblDailySchedule[[#This Row],[Capacity Approx]]*'[1]Load Factor Sheet June Acft  '!$D$5</f>
        <v>165.71863636363636</v>
      </c>
      <c r="T2178" s="22">
        <f>tblDailySchedule[[#This Row],[STD]]</f>
        <v>0.69097222222222221</v>
      </c>
    </row>
    <row r="2179" spans="1:20" hidden="1" x14ac:dyDescent="0.35">
      <c r="A2179" s="11">
        <v>46188</v>
      </c>
      <c r="B2179" s="3">
        <v>1</v>
      </c>
      <c r="C2179" t="s">
        <v>100</v>
      </c>
      <c r="D2179" t="s">
        <v>18</v>
      </c>
      <c r="E2179" s="3">
        <v>18</v>
      </c>
      <c r="F2179" t="s">
        <v>19</v>
      </c>
      <c r="G2179" t="s">
        <v>71</v>
      </c>
      <c r="H2179" t="s">
        <v>21</v>
      </c>
      <c r="I2179" s="12">
        <v>0.67013888888888884</v>
      </c>
      <c r="J2179" t="s">
        <v>72</v>
      </c>
      <c r="K2179" t="s">
        <v>21</v>
      </c>
      <c r="L2179" s="12">
        <v>0.69791666666666663</v>
      </c>
      <c r="M2179" t="s">
        <v>63</v>
      </c>
      <c r="N2179" s="3">
        <v>232</v>
      </c>
      <c r="O2179" t="s">
        <v>24</v>
      </c>
      <c r="P2179" t="s">
        <v>56</v>
      </c>
      <c r="R2179">
        <f>tblDailySchedule[[#This Row],[Capacity Approx]]*'[1]Load Factor Sheet June Acft  '!$B$5</f>
        <v>187.86727272727273</v>
      </c>
      <c r="S2179">
        <f>tblDailySchedule[[#This Row],[Capacity Approx]]*'[1]Load Factor Sheet June Acft  '!$D$5</f>
        <v>203.4218181818182</v>
      </c>
      <c r="T2179" s="22">
        <f>tblDailySchedule[[#This Row],[STD]]</f>
        <v>0.69791666666666663</v>
      </c>
    </row>
    <row r="2180" spans="1:20" hidden="1" x14ac:dyDescent="0.35">
      <c r="A2180" s="11">
        <v>46188</v>
      </c>
      <c r="B2180" s="3">
        <v>1</v>
      </c>
      <c r="C2180" t="s">
        <v>100</v>
      </c>
      <c r="D2180" t="s">
        <v>18</v>
      </c>
      <c r="E2180" s="3">
        <v>19</v>
      </c>
      <c r="F2180" t="s">
        <v>19</v>
      </c>
      <c r="G2180" t="s">
        <v>73</v>
      </c>
      <c r="H2180" t="s">
        <v>27</v>
      </c>
      <c r="I2180" s="12">
        <v>0.74652777777777779</v>
      </c>
      <c r="J2180" t="s">
        <v>74</v>
      </c>
      <c r="K2180" t="s">
        <v>27</v>
      </c>
      <c r="L2180" s="12">
        <v>0.77430555555555558</v>
      </c>
      <c r="M2180" t="s">
        <v>63</v>
      </c>
      <c r="N2180" s="3">
        <v>232</v>
      </c>
      <c r="O2180" t="s">
        <v>24</v>
      </c>
      <c r="P2180" t="s">
        <v>56</v>
      </c>
      <c r="R2180">
        <f>tblDailySchedule[[#This Row],[Capacity Approx]]*'[1]Load Factor Sheet June Acft  '!$B$5</f>
        <v>187.86727272727273</v>
      </c>
      <c r="S2180">
        <f>tblDailySchedule[[#This Row],[Capacity Approx]]*'[1]Load Factor Sheet June Acft  '!$D$5</f>
        <v>203.4218181818182</v>
      </c>
      <c r="T2180" s="22">
        <f>tblDailySchedule[[#This Row],[STD]]</f>
        <v>0.77430555555555558</v>
      </c>
    </row>
    <row r="2181" spans="1:20" hidden="1" x14ac:dyDescent="0.35">
      <c r="A2181" s="11">
        <v>46188</v>
      </c>
      <c r="B2181" s="3">
        <v>1</v>
      </c>
      <c r="C2181" t="s">
        <v>100</v>
      </c>
      <c r="D2181" t="s">
        <v>18</v>
      </c>
      <c r="E2181" s="3">
        <v>20</v>
      </c>
      <c r="F2181" t="s">
        <v>34</v>
      </c>
      <c r="G2181" t="s">
        <v>75</v>
      </c>
      <c r="H2181" t="s">
        <v>76</v>
      </c>
      <c r="I2181" s="12">
        <v>0.76388888888888884</v>
      </c>
      <c r="J2181" t="s">
        <v>77</v>
      </c>
      <c r="K2181" t="s">
        <v>78</v>
      </c>
      <c r="L2181" s="12">
        <v>0.78472222222222221</v>
      </c>
      <c r="M2181" t="s">
        <v>51</v>
      </c>
      <c r="N2181" s="3">
        <v>78</v>
      </c>
      <c r="O2181" t="s">
        <v>24</v>
      </c>
      <c r="P2181" t="s">
        <v>79</v>
      </c>
      <c r="Q2181" s="16" t="s">
        <v>80</v>
      </c>
      <c r="R2181">
        <f>tblDailySchedule[[#This Row],[Capacity Approx]]*'[1]Load Factor Sheet June Acft  '!$B$5</f>
        <v>63.162272727272729</v>
      </c>
      <c r="S2181">
        <f>tblDailySchedule[[#This Row],[Capacity Approx]]*'[1]Load Factor Sheet June Acft  '!$D$5</f>
        <v>68.391818181818181</v>
      </c>
      <c r="T2181" s="22">
        <f>tblDailySchedule[[#This Row],[STD]]</f>
        <v>0.78472222222222221</v>
      </c>
    </row>
    <row r="2182" spans="1:20" hidden="1" x14ac:dyDescent="0.35">
      <c r="A2182" s="11">
        <v>46188</v>
      </c>
      <c r="B2182" s="3">
        <v>1</v>
      </c>
      <c r="C2182" t="s">
        <v>100</v>
      </c>
      <c r="D2182" t="s">
        <v>18</v>
      </c>
      <c r="E2182" s="3">
        <v>21</v>
      </c>
      <c r="F2182" t="s">
        <v>19</v>
      </c>
      <c r="G2182" t="s">
        <v>81</v>
      </c>
      <c r="H2182" t="s">
        <v>61</v>
      </c>
      <c r="I2182" s="12">
        <v>0.77083333333333337</v>
      </c>
      <c r="J2182" t="s">
        <v>82</v>
      </c>
      <c r="K2182" t="s">
        <v>49</v>
      </c>
      <c r="L2182" s="12">
        <v>0.79166666666666663</v>
      </c>
      <c r="M2182" t="s">
        <v>33</v>
      </c>
      <c r="N2182" s="3">
        <v>189</v>
      </c>
      <c r="O2182" t="s">
        <v>24</v>
      </c>
      <c r="P2182" t="s">
        <v>79</v>
      </c>
      <c r="R2182">
        <f>tblDailySchedule[[#This Row],[Capacity Approx]]*'[1]Load Factor Sheet June Acft  '!$B$5</f>
        <v>153.04704545454547</v>
      </c>
      <c r="S2182">
        <f>tblDailySchedule[[#This Row],[Capacity Approx]]*'[1]Load Factor Sheet June Acft  '!$D$5</f>
        <v>165.71863636363636</v>
      </c>
      <c r="T2182" s="22">
        <f>tblDailySchedule[[#This Row],[STD]]</f>
        <v>0.79166666666666663</v>
      </c>
    </row>
    <row r="2183" spans="1:20" hidden="1" x14ac:dyDescent="0.35">
      <c r="A2183" s="11">
        <v>46188</v>
      </c>
      <c r="B2183" s="3">
        <v>1</v>
      </c>
      <c r="C2183" t="s">
        <v>100</v>
      </c>
      <c r="D2183" t="s">
        <v>18</v>
      </c>
      <c r="E2183" s="3">
        <v>22</v>
      </c>
      <c r="F2183" t="s">
        <v>19</v>
      </c>
      <c r="G2183" t="s">
        <v>83</v>
      </c>
      <c r="H2183" t="s">
        <v>31</v>
      </c>
      <c r="I2183" s="12">
        <v>0.77777777777777779</v>
      </c>
      <c r="J2183" t="s">
        <v>84</v>
      </c>
      <c r="K2183" t="s">
        <v>31</v>
      </c>
      <c r="L2183" s="12">
        <v>0.80555555555555558</v>
      </c>
      <c r="M2183" t="s">
        <v>63</v>
      </c>
      <c r="N2183" s="3">
        <v>232</v>
      </c>
      <c r="O2183" t="s">
        <v>24</v>
      </c>
      <c r="P2183" t="s">
        <v>79</v>
      </c>
      <c r="R2183">
        <f>tblDailySchedule[[#This Row],[Capacity Approx]]*'[1]Load Factor Sheet June Acft  '!$B$5</f>
        <v>187.86727272727273</v>
      </c>
      <c r="S2183">
        <f>tblDailySchedule[[#This Row],[Capacity Approx]]*'[1]Load Factor Sheet June Acft  '!$D$5</f>
        <v>203.4218181818182</v>
      </c>
      <c r="T2183" s="22">
        <f>tblDailySchedule[[#This Row],[STD]]</f>
        <v>0.80555555555555558</v>
      </c>
    </row>
    <row r="2184" spans="1:20" hidden="1" x14ac:dyDescent="0.35">
      <c r="A2184" s="11">
        <v>46188</v>
      </c>
      <c r="B2184" s="3">
        <v>1</v>
      </c>
      <c r="C2184" t="s">
        <v>100</v>
      </c>
      <c r="D2184" t="s">
        <v>18</v>
      </c>
      <c r="E2184" s="3">
        <v>23</v>
      </c>
      <c r="F2184" t="s">
        <v>19</v>
      </c>
      <c r="G2184" t="s">
        <v>85</v>
      </c>
      <c r="H2184" t="s">
        <v>86</v>
      </c>
      <c r="I2184" s="12">
        <v>0.79861111111111116</v>
      </c>
      <c r="J2184" t="s">
        <v>87</v>
      </c>
      <c r="K2184" t="s">
        <v>86</v>
      </c>
      <c r="L2184" s="12">
        <v>0.82638888888888884</v>
      </c>
      <c r="M2184" t="s">
        <v>63</v>
      </c>
      <c r="N2184" s="3">
        <v>232</v>
      </c>
      <c r="O2184" t="s">
        <v>24</v>
      </c>
      <c r="P2184" t="s">
        <v>79</v>
      </c>
      <c r="R2184">
        <f>tblDailySchedule[[#This Row],[Capacity Approx]]*'[1]Load Factor Sheet June Acft  '!$B$5</f>
        <v>187.86727272727273</v>
      </c>
      <c r="S2184">
        <f>tblDailySchedule[[#This Row],[Capacity Approx]]*'[1]Load Factor Sheet June Acft  '!$D$5</f>
        <v>203.4218181818182</v>
      </c>
      <c r="T2184" s="22">
        <f>tblDailySchedule[[#This Row],[STD]]</f>
        <v>0.82638888888888884</v>
      </c>
    </row>
    <row r="2185" spans="1:20" hidden="1" x14ac:dyDescent="0.35">
      <c r="A2185" s="11">
        <v>46188</v>
      </c>
      <c r="B2185" s="3">
        <v>1</v>
      </c>
      <c r="C2185" t="s">
        <v>100</v>
      </c>
      <c r="D2185" t="s">
        <v>18</v>
      </c>
      <c r="E2185" s="3">
        <v>24</v>
      </c>
      <c r="F2185" t="s">
        <v>19</v>
      </c>
      <c r="G2185" t="s">
        <v>88</v>
      </c>
      <c r="H2185" t="s">
        <v>89</v>
      </c>
      <c r="I2185" s="12">
        <v>0.83333333333333337</v>
      </c>
      <c r="J2185" t="s">
        <v>90</v>
      </c>
      <c r="K2185" t="s">
        <v>31</v>
      </c>
      <c r="L2185" s="12">
        <v>0.86111111111111116</v>
      </c>
      <c r="M2185" t="s">
        <v>63</v>
      </c>
      <c r="N2185" s="3">
        <v>232</v>
      </c>
      <c r="O2185" t="s">
        <v>24</v>
      </c>
      <c r="P2185" t="s">
        <v>79</v>
      </c>
      <c r="R2185">
        <f>tblDailySchedule[[#This Row],[Capacity Approx]]*'[1]Load Factor Sheet June Acft  '!$B$5</f>
        <v>187.86727272727273</v>
      </c>
      <c r="S2185">
        <f>tblDailySchedule[[#This Row],[Capacity Approx]]*'[1]Load Factor Sheet June Acft  '!$D$5</f>
        <v>203.4218181818182</v>
      </c>
      <c r="T2185" s="22">
        <f>tblDailySchedule[[#This Row],[STD]]</f>
        <v>0.86111111111111116</v>
      </c>
    </row>
    <row r="2186" spans="1:20" hidden="1" x14ac:dyDescent="0.35">
      <c r="A2186" s="11">
        <v>46188</v>
      </c>
      <c r="B2186" s="3">
        <v>1</v>
      </c>
      <c r="C2186" t="s">
        <v>100</v>
      </c>
      <c r="D2186" t="s">
        <v>18</v>
      </c>
      <c r="E2186" s="3">
        <v>25</v>
      </c>
      <c r="F2186" t="s">
        <v>19</v>
      </c>
      <c r="G2186" t="s">
        <v>91</v>
      </c>
      <c r="H2186" t="s">
        <v>61</v>
      </c>
      <c r="I2186" s="12">
        <v>0.85416666666666663</v>
      </c>
      <c r="J2186" t="s">
        <v>92</v>
      </c>
      <c r="K2186" t="s">
        <v>61</v>
      </c>
      <c r="L2186" s="12">
        <v>0.88194444444444442</v>
      </c>
      <c r="M2186" t="s">
        <v>63</v>
      </c>
      <c r="N2186" s="3">
        <v>232</v>
      </c>
      <c r="O2186" t="s">
        <v>24</v>
      </c>
      <c r="P2186" t="s">
        <v>79</v>
      </c>
      <c r="R2186">
        <f>tblDailySchedule[[#This Row],[Capacity Approx]]*'[1]Load Factor Sheet June Acft  '!$B$5</f>
        <v>187.86727272727273</v>
      </c>
      <c r="S2186">
        <f>tblDailySchedule[[#This Row],[Capacity Approx]]*'[1]Load Factor Sheet June Acft  '!$D$5</f>
        <v>203.4218181818182</v>
      </c>
      <c r="T2186" s="22">
        <f>tblDailySchedule[[#This Row],[STD]]</f>
        <v>0.88194444444444442</v>
      </c>
    </row>
    <row r="2187" spans="1:20" hidden="1" x14ac:dyDescent="0.35">
      <c r="A2187" s="11">
        <v>46188</v>
      </c>
      <c r="B2187" s="3">
        <v>1</v>
      </c>
      <c r="C2187" t="s">
        <v>100</v>
      </c>
      <c r="D2187" t="s">
        <v>18</v>
      </c>
      <c r="E2187" s="3">
        <v>26</v>
      </c>
      <c r="F2187" t="s">
        <v>19</v>
      </c>
      <c r="G2187" t="s">
        <v>93</v>
      </c>
      <c r="H2187" t="s">
        <v>31</v>
      </c>
      <c r="I2187" s="12">
        <v>0.86111111111111116</v>
      </c>
      <c r="J2187" t="s">
        <v>94</v>
      </c>
      <c r="K2187" t="s">
        <v>31</v>
      </c>
      <c r="L2187" s="12">
        <v>0.88888888888888884</v>
      </c>
      <c r="M2187" t="s">
        <v>23</v>
      </c>
      <c r="N2187" s="3">
        <v>186</v>
      </c>
      <c r="O2187" t="s">
        <v>24</v>
      </c>
      <c r="P2187" t="s">
        <v>79</v>
      </c>
      <c r="R2187">
        <f>tblDailySchedule[[#This Row],[Capacity Approx]]*'[1]Load Factor Sheet June Acft  '!$B$5</f>
        <v>150.61772727272728</v>
      </c>
      <c r="S2187">
        <f>tblDailySchedule[[#This Row],[Capacity Approx]]*'[1]Load Factor Sheet June Acft  '!$D$5</f>
        <v>163.08818181818182</v>
      </c>
      <c r="T2187" s="22">
        <f>tblDailySchedule[[#This Row],[STD]]</f>
        <v>0.88888888888888884</v>
      </c>
    </row>
    <row r="2188" spans="1:20" hidden="1" x14ac:dyDescent="0.35">
      <c r="A2188" s="11">
        <v>46188</v>
      </c>
      <c r="B2188" s="3">
        <v>1</v>
      </c>
      <c r="C2188" t="s">
        <v>100</v>
      </c>
      <c r="D2188" t="s">
        <v>18</v>
      </c>
      <c r="E2188" s="3">
        <v>27</v>
      </c>
      <c r="F2188" t="s">
        <v>19</v>
      </c>
      <c r="G2188" t="s">
        <v>95</v>
      </c>
      <c r="H2188" t="s">
        <v>21</v>
      </c>
      <c r="I2188" s="12">
        <v>0.86805555555555558</v>
      </c>
      <c r="J2188" t="s">
        <v>96</v>
      </c>
      <c r="K2188" t="s">
        <v>21</v>
      </c>
      <c r="L2188" s="12">
        <v>0.89583333333333337</v>
      </c>
      <c r="M2188" t="s">
        <v>29</v>
      </c>
      <c r="N2188" s="3">
        <v>186</v>
      </c>
      <c r="O2188" t="s">
        <v>24</v>
      </c>
      <c r="P2188" t="s">
        <v>79</v>
      </c>
      <c r="R2188">
        <f>tblDailySchedule[[#This Row],[Capacity Approx]]*'[1]Load Factor Sheet June Acft  '!$B$5</f>
        <v>150.61772727272728</v>
      </c>
      <c r="S2188">
        <f>tblDailySchedule[[#This Row],[Capacity Approx]]*'[1]Load Factor Sheet June Acft  '!$D$5</f>
        <v>163.08818181818182</v>
      </c>
      <c r="T2188" s="22">
        <f>tblDailySchedule[[#This Row],[STD]]</f>
        <v>0.89583333333333337</v>
      </c>
    </row>
    <row r="2189" spans="1:20" hidden="1" x14ac:dyDescent="0.35">
      <c r="A2189" s="11">
        <v>46188</v>
      </c>
      <c r="B2189" s="3">
        <v>1</v>
      </c>
      <c r="C2189" t="s">
        <v>100</v>
      </c>
      <c r="D2189" t="s">
        <v>18</v>
      </c>
      <c r="E2189" s="3">
        <v>28</v>
      </c>
      <c r="F2189" t="s">
        <v>19</v>
      </c>
      <c r="G2189" t="s">
        <v>97</v>
      </c>
      <c r="H2189" t="s">
        <v>49</v>
      </c>
      <c r="I2189" s="12">
        <v>0.90277777777777779</v>
      </c>
      <c r="J2189" t="s">
        <v>97</v>
      </c>
      <c r="K2189" t="s">
        <v>61</v>
      </c>
      <c r="L2189" s="12">
        <v>0.92361111111111116</v>
      </c>
      <c r="M2189" t="s">
        <v>33</v>
      </c>
      <c r="N2189" s="3">
        <v>189</v>
      </c>
      <c r="O2189" t="s">
        <v>24</v>
      </c>
      <c r="P2189" t="s">
        <v>79</v>
      </c>
      <c r="R2189">
        <f>tblDailySchedule[[#This Row],[Capacity Approx]]*'[1]Load Factor Sheet June Acft  '!$B$5</f>
        <v>153.04704545454547</v>
      </c>
      <c r="S2189">
        <f>tblDailySchedule[[#This Row],[Capacity Approx]]*'[1]Load Factor Sheet June Acft  '!$D$5</f>
        <v>165.71863636363636</v>
      </c>
      <c r="T2189" s="22">
        <f>tblDailySchedule[[#This Row],[STD]]</f>
        <v>0.92361111111111116</v>
      </c>
    </row>
    <row r="2190" spans="1:20" hidden="1" x14ac:dyDescent="0.35">
      <c r="A2190" s="11">
        <v>46188</v>
      </c>
      <c r="B2190" s="3">
        <v>1</v>
      </c>
      <c r="C2190" t="s">
        <v>100</v>
      </c>
      <c r="D2190" t="s">
        <v>18</v>
      </c>
      <c r="E2190" s="3">
        <v>29</v>
      </c>
      <c r="F2190" t="s">
        <v>19</v>
      </c>
      <c r="G2190" t="s">
        <v>98</v>
      </c>
      <c r="H2190" t="s">
        <v>21</v>
      </c>
      <c r="I2190" s="12">
        <v>0.92013888888888884</v>
      </c>
      <c r="J2190" t="s">
        <v>99</v>
      </c>
      <c r="K2190" t="s">
        <v>21</v>
      </c>
      <c r="L2190" s="12">
        <v>0.94791666666666663</v>
      </c>
      <c r="M2190" t="s">
        <v>63</v>
      </c>
      <c r="N2190" s="3">
        <v>232</v>
      </c>
      <c r="O2190" t="s">
        <v>24</v>
      </c>
      <c r="P2190" t="s">
        <v>79</v>
      </c>
      <c r="R2190">
        <f>tblDailySchedule[[#This Row],[Capacity Approx]]*'[1]Load Factor Sheet June Acft  '!$B$5</f>
        <v>187.86727272727273</v>
      </c>
      <c r="S2190">
        <f>tblDailySchedule[[#This Row],[Capacity Approx]]*'[1]Load Factor Sheet June Acft  '!$D$5</f>
        <v>203.4218181818182</v>
      </c>
      <c r="T2190" s="22">
        <f>tblDailySchedule[[#This Row],[STD]]</f>
        <v>0.94791666666666663</v>
      </c>
    </row>
    <row r="2191" spans="1:20" hidden="1" x14ac:dyDescent="0.35">
      <c r="A2191" s="13">
        <v>46188</v>
      </c>
      <c r="B2191" s="7">
        <v>1</v>
      </c>
      <c r="C2191" s="14" t="s">
        <v>100</v>
      </c>
      <c r="D2191" s="14" t="s">
        <v>18</v>
      </c>
      <c r="E2191" s="7">
        <v>30</v>
      </c>
      <c r="F2191" s="14" t="s">
        <v>104</v>
      </c>
      <c r="G2191" s="14" t="s">
        <v>105</v>
      </c>
      <c r="H2191" s="14" t="s">
        <v>106</v>
      </c>
      <c r="I2191" s="15">
        <v>0.92708333333333337</v>
      </c>
      <c r="J2191" s="14" t="s">
        <v>107</v>
      </c>
      <c r="K2191" s="14" t="s">
        <v>106</v>
      </c>
      <c r="L2191" s="15">
        <v>0.95833333333333337</v>
      </c>
      <c r="M2191" s="14" t="s">
        <v>38</v>
      </c>
      <c r="N2191" s="7">
        <v>186</v>
      </c>
      <c r="O2191" s="14" t="s">
        <v>39</v>
      </c>
      <c r="P2191" s="14" t="s">
        <v>79</v>
      </c>
      <c r="Q2191" s="14" t="s">
        <v>39</v>
      </c>
      <c r="R2191">
        <f>tblDailySchedule[[#This Row],[Capacity Approx]]*'[1]Load Factor Sheet June Acft  '!$B$5</f>
        <v>150.61772727272728</v>
      </c>
      <c r="S2191">
        <f>tblDailySchedule[[#This Row],[Capacity Approx]]*'[1]Load Factor Sheet June Acft  '!$D$5</f>
        <v>163.08818181818182</v>
      </c>
      <c r="T2191" s="22">
        <f>tblDailySchedule[[#This Row],[STD]]</f>
        <v>0.95833333333333337</v>
      </c>
    </row>
    <row r="2192" spans="1:20" hidden="1" x14ac:dyDescent="0.35">
      <c r="A2192" s="11">
        <v>46189</v>
      </c>
      <c r="B2192" s="3">
        <v>2</v>
      </c>
      <c r="C2192" t="s">
        <v>108</v>
      </c>
      <c r="D2192" t="s">
        <v>18</v>
      </c>
      <c r="E2192" s="3">
        <v>1</v>
      </c>
      <c r="F2192" t="s">
        <v>101</v>
      </c>
      <c r="G2192" t="s">
        <v>102</v>
      </c>
      <c r="H2192" t="s">
        <v>61</v>
      </c>
      <c r="I2192" s="12">
        <v>0.3125</v>
      </c>
      <c r="J2192" t="s">
        <v>103</v>
      </c>
      <c r="K2192" t="s">
        <v>61</v>
      </c>
      <c r="L2192" s="12">
        <v>0.33333333333333331</v>
      </c>
      <c r="M2192" t="s">
        <v>33</v>
      </c>
      <c r="N2192" s="3">
        <v>189</v>
      </c>
      <c r="O2192" t="s">
        <v>24</v>
      </c>
      <c r="P2192" t="s">
        <v>25</v>
      </c>
      <c r="R2192">
        <f>tblDailySchedule[[#This Row],[Capacity Approx]]*'[1]Load Factor Sheet June Acft  '!$B$5</f>
        <v>153.04704545454547</v>
      </c>
      <c r="S2192">
        <f>tblDailySchedule[[#This Row],[Capacity Approx]]*'[1]Load Factor Sheet June Acft  '!$D$5</f>
        <v>165.71863636363636</v>
      </c>
      <c r="T2192" s="22">
        <f>tblDailySchedule[[#This Row],[STD]]</f>
        <v>0.33333333333333331</v>
      </c>
    </row>
    <row r="2193" spans="1:20" hidden="1" x14ac:dyDescent="0.35">
      <c r="A2193" s="11">
        <v>46189</v>
      </c>
      <c r="B2193" s="3">
        <v>2</v>
      </c>
      <c r="C2193" t="s">
        <v>108</v>
      </c>
      <c r="D2193" t="s">
        <v>18</v>
      </c>
      <c r="E2193" s="3">
        <v>2</v>
      </c>
      <c r="F2193" t="s">
        <v>19</v>
      </c>
      <c r="G2193" t="s">
        <v>20</v>
      </c>
      <c r="H2193" t="s">
        <v>21</v>
      </c>
      <c r="I2193" s="12">
        <v>0.31944444444444442</v>
      </c>
      <c r="J2193" t="s">
        <v>22</v>
      </c>
      <c r="K2193" t="s">
        <v>21</v>
      </c>
      <c r="L2193" s="12">
        <v>0.34722222222222221</v>
      </c>
      <c r="M2193" t="s">
        <v>23</v>
      </c>
      <c r="N2193" s="3">
        <v>186</v>
      </c>
      <c r="O2193" t="s">
        <v>24</v>
      </c>
      <c r="P2193" t="s">
        <v>25</v>
      </c>
      <c r="R2193">
        <f>tblDailySchedule[[#This Row],[Capacity Approx]]*'[1]Load Factor Sheet June Acft  '!$B$5</f>
        <v>150.61772727272728</v>
      </c>
      <c r="S2193">
        <f>tblDailySchedule[[#This Row],[Capacity Approx]]*'[1]Load Factor Sheet June Acft  '!$D$5</f>
        <v>163.08818181818182</v>
      </c>
      <c r="T2193" s="22">
        <f>tblDailySchedule[[#This Row],[STD]]</f>
        <v>0.34722222222222221</v>
      </c>
    </row>
    <row r="2194" spans="1:20" hidden="1" x14ac:dyDescent="0.35">
      <c r="A2194" s="11">
        <v>46189</v>
      </c>
      <c r="B2194" s="3">
        <v>2</v>
      </c>
      <c r="C2194" t="s">
        <v>108</v>
      </c>
      <c r="D2194" t="s">
        <v>18</v>
      </c>
      <c r="E2194" s="3">
        <v>3</v>
      </c>
      <c r="F2194" t="s">
        <v>19</v>
      </c>
      <c r="G2194" t="s">
        <v>26</v>
      </c>
      <c r="H2194" t="s">
        <v>27</v>
      </c>
      <c r="I2194" s="12">
        <v>0.3263888888888889</v>
      </c>
      <c r="J2194" t="s">
        <v>28</v>
      </c>
      <c r="K2194" t="s">
        <v>27</v>
      </c>
      <c r="L2194" s="12">
        <v>0.35416666666666669</v>
      </c>
      <c r="M2194" t="s">
        <v>29</v>
      </c>
      <c r="N2194" s="3">
        <v>186</v>
      </c>
      <c r="O2194" t="s">
        <v>24</v>
      </c>
      <c r="P2194" t="s">
        <v>25</v>
      </c>
      <c r="R2194">
        <f>tblDailySchedule[[#This Row],[Capacity Approx]]*'[1]Load Factor Sheet June Acft  '!$B$5</f>
        <v>150.61772727272728</v>
      </c>
      <c r="S2194">
        <f>tblDailySchedule[[#This Row],[Capacity Approx]]*'[1]Load Factor Sheet June Acft  '!$D$5</f>
        <v>163.08818181818182</v>
      </c>
      <c r="T2194" s="22">
        <f>tblDailySchedule[[#This Row],[STD]]</f>
        <v>0.35416666666666669</v>
      </c>
    </row>
    <row r="2195" spans="1:20" hidden="1" x14ac:dyDescent="0.35">
      <c r="A2195" s="11">
        <v>46189</v>
      </c>
      <c r="B2195" s="3">
        <v>2</v>
      </c>
      <c r="C2195" t="s">
        <v>108</v>
      </c>
      <c r="D2195" t="s">
        <v>18</v>
      </c>
      <c r="E2195" s="3">
        <v>4</v>
      </c>
      <c r="F2195" t="s">
        <v>19</v>
      </c>
      <c r="G2195" t="s">
        <v>30</v>
      </c>
      <c r="H2195" t="s">
        <v>31</v>
      </c>
      <c r="I2195" s="12">
        <v>0.34722222222222221</v>
      </c>
      <c r="J2195" t="s">
        <v>32</v>
      </c>
      <c r="K2195" t="s">
        <v>31</v>
      </c>
      <c r="L2195" s="12">
        <v>0.36805555555555558</v>
      </c>
      <c r="M2195" t="s">
        <v>33</v>
      </c>
      <c r="N2195" s="3">
        <v>189</v>
      </c>
      <c r="O2195" t="s">
        <v>24</v>
      </c>
      <c r="P2195" t="s">
        <v>25</v>
      </c>
      <c r="R2195">
        <f>tblDailySchedule[[#This Row],[Capacity Approx]]*'[1]Load Factor Sheet June Acft  '!$B$5</f>
        <v>153.04704545454547</v>
      </c>
      <c r="S2195">
        <f>tblDailySchedule[[#This Row],[Capacity Approx]]*'[1]Load Factor Sheet June Acft  '!$D$5</f>
        <v>165.71863636363636</v>
      </c>
      <c r="T2195" s="22">
        <f>tblDailySchedule[[#This Row],[STD]]</f>
        <v>0.36805555555555558</v>
      </c>
    </row>
    <row r="2196" spans="1:20" hidden="1" x14ac:dyDescent="0.35">
      <c r="A2196" s="11">
        <v>46189</v>
      </c>
      <c r="B2196" s="3">
        <v>2</v>
      </c>
      <c r="C2196" t="s">
        <v>108</v>
      </c>
      <c r="D2196" t="s">
        <v>18</v>
      </c>
      <c r="E2196" s="3">
        <v>5</v>
      </c>
      <c r="F2196" t="s">
        <v>19</v>
      </c>
      <c r="G2196" t="s">
        <v>40</v>
      </c>
      <c r="H2196" t="s">
        <v>31</v>
      </c>
      <c r="I2196" s="12">
        <v>0.35069444444444442</v>
      </c>
      <c r="J2196" t="s">
        <v>41</v>
      </c>
      <c r="K2196" t="s">
        <v>31</v>
      </c>
      <c r="L2196" s="12">
        <v>0.37152777777777779</v>
      </c>
      <c r="M2196" t="s">
        <v>23</v>
      </c>
      <c r="N2196" s="3">
        <v>186</v>
      </c>
      <c r="O2196" t="s">
        <v>24</v>
      </c>
      <c r="P2196" t="s">
        <v>25</v>
      </c>
      <c r="R2196">
        <f>tblDailySchedule[[#This Row],[Capacity Approx]]*'[1]Load Factor Sheet June Acft  '!$B$5</f>
        <v>150.61772727272728</v>
      </c>
      <c r="S2196">
        <f>tblDailySchedule[[#This Row],[Capacity Approx]]*'[1]Load Factor Sheet June Acft  '!$D$5</f>
        <v>163.08818181818182</v>
      </c>
      <c r="T2196" s="22">
        <f>tblDailySchedule[[#This Row],[STD]]</f>
        <v>0.37152777777777779</v>
      </c>
    </row>
    <row r="2197" spans="1:20" hidden="1" x14ac:dyDescent="0.35">
      <c r="A2197" s="11">
        <v>46189</v>
      </c>
      <c r="B2197" s="3">
        <v>2</v>
      </c>
      <c r="C2197" t="s">
        <v>108</v>
      </c>
      <c r="D2197" t="s">
        <v>18</v>
      </c>
      <c r="E2197" s="3">
        <v>7</v>
      </c>
      <c r="F2197" t="s">
        <v>19</v>
      </c>
      <c r="G2197" t="s">
        <v>42</v>
      </c>
      <c r="H2197" t="s">
        <v>43</v>
      </c>
      <c r="I2197" s="12">
        <v>0.3923611111111111</v>
      </c>
      <c r="J2197" t="s">
        <v>44</v>
      </c>
      <c r="K2197" t="s">
        <v>43</v>
      </c>
      <c r="L2197" s="12">
        <v>0.40277777777777779</v>
      </c>
      <c r="M2197" t="s">
        <v>45</v>
      </c>
      <c r="N2197" s="3">
        <v>9</v>
      </c>
      <c r="O2197" t="s">
        <v>24</v>
      </c>
      <c r="P2197" t="s">
        <v>25</v>
      </c>
      <c r="R2197">
        <f>tblDailySchedule[[#This Row],[Capacity Approx]]*'[1]Load Factor Sheet June Acft  '!$B$5</f>
        <v>7.2879545454545456</v>
      </c>
      <c r="S2197">
        <f>tblDailySchedule[[#This Row],[Capacity Approx]]*'[1]Load Factor Sheet June Acft  '!$D$5</f>
        <v>7.8913636363636366</v>
      </c>
      <c r="T2197" s="22">
        <f>tblDailySchedule[[#This Row],[STD]]</f>
        <v>0.40277777777777779</v>
      </c>
    </row>
    <row r="2198" spans="1:20" hidden="1" x14ac:dyDescent="0.35">
      <c r="A2198" s="11">
        <v>46189</v>
      </c>
      <c r="B2198" s="3">
        <v>2</v>
      </c>
      <c r="C2198" t="s">
        <v>108</v>
      </c>
      <c r="D2198" t="s">
        <v>18</v>
      </c>
      <c r="E2198" s="3">
        <v>8</v>
      </c>
      <c r="F2198" t="s">
        <v>19</v>
      </c>
      <c r="G2198" t="s">
        <v>46</v>
      </c>
      <c r="H2198" t="s">
        <v>31</v>
      </c>
      <c r="I2198" s="12">
        <v>0.4201388888888889</v>
      </c>
      <c r="J2198" t="s">
        <v>47</v>
      </c>
      <c r="K2198" t="s">
        <v>31</v>
      </c>
      <c r="L2198" s="12">
        <v>0.44444444444444442</v>
      </c>
      <c r="M2198" t="s">
        <v>29</v>
      </c>
      <c r="N2198" s="3">
        <v>186</v>
      </c>
      <c r="O2198" t="s">
        <v>24</v>
      </c>
      <c r="P2198" t="s">
        <v>25</v>
      </c>
      <c r="R2198">
        <f>tblDailySchedule[[#This Row],[Capacity Approx]]*'[1]Load Factor Sheet June Acft  '!$B$5</f>
        <v>150.61772727272728</v>
      </c>
      <c r="S2198">
        <f>tblDailySchedule[[#This Row],[Capacity Approx]]*'[1]Load Factor Sheet June Acft  '!$D$5</f>
        <v>163.08818181818182</v>
      </c>
      <c r="T2198" s="22">
        <f>tblDailySchedule[[#This Row],[STD]]</f>
        <v>0.44444444444444442</v>
      </c>
    </row>
    <row r="2199" spans="1:20" hidden="1" x14ac:dyDescent="0.35">
      <c r="A2199" s="11">
        <v>46189</v>
      </c>
      <c r="B2199" s="3">
        <v>2</v>
      </c>
      <c r="C2199" t="s">
        <v>108</v>
      </c>
      <c r="D2199" t="s">
        <v>18</v>
      </c>
      <c r="E2199" s="3">
        <v>9</v>
      </c>
      <c r="F2199" t="s">
        <v>19</v>
      </c>
      <c r="G2199" t="s">
        <v>48</v>
      </c>
      <c r="H2199" t="s">
        <v>49</v>
      </c>
      <c r="I2199" s="12">
        <v>0.4375</v>
      </c>
      <c r="J2199" t="s">
        <v>50</v>
      </c>
      <c r="K2199" t="s">
        <v>49</v>
      </c>
      <c r="L2199" s="12">
        <v>0.45833333333333331</v>
      </c>
      <c r="M2199" t="s">
        <v>51</v>
      </c>
      <c r="N2199" s="3">
        <v>78</v>
      </c>
      <c r="O2199" t="s">
        <v>24</v>
      </c>
      <c r="P2199" t="s">
        <v>25</v>
      </c>
      <c r="R2199">
        <f>tblDailySchedule[[#This Row],[Capacity Approx]]*'[1]Load Factor Sheet June Acft  '!$B$5</f>
        <v>63.162272727272729</v>
      </c>
      <c r="S2199">
        <f>tblDailySchedule[[#This Row],[Capacity Approx]]*'[1]Load Factor Sheet June Acft  '!$D$5</f>
        <v>68.391818181818181</v>
      </c>
      <c r="T2199" s="22">
        <f>tblDailySchedule[[#This Row],[STD]]</f>
        <v>0.45833333333333331</v>
      </c>
    </row>
    <row r="2200" spans="1:20" hidden="1" x14ac:dyDescent="0.35">
      <c r="A2200" s="11">
        <v>46189</v>
      </c>
      <c r="B2200" s="3">
        <v>2</v>
      </c>
      <c r="C2200" t="s">
        <v>108</v>
      </c>
      <c r="D2200" t="s">
        <v>18</v>
      </c>
      <c r="E2200" s="3">
        <v>10</v>
      </c>
      <c r="F2200" t="s">
        <v>19</v>
      </c>
      <c r="G2200" t="s">
        <v>52</v>
      </c>
      <c r="H2200" t="s">
        <v>27</v>
      </c>
      <c r="I2200" s="12">
        <v>0.4826388888888889</v>
      </c>
      <c r="J2200" t="s">
        <v>53</v>
      </c>
      <c r="K2200" t="s">
        <v>27</v>
      </c>
      <c r="L2200" s="12">
        <v>0.51041666666666663</v>
      </c>
      <c r="M2200" t="s">
        <v>23</v>
      </c>
      <c r="N2200" s="3">
        <v>186</v>
      </c>
      <c r="O2200" t="s">
        <v>24</v>
      </c>
      <c r="P2200" t="s">
        <v>25</v>
      </c>
      <c r="R2200">
        <f>tblDailySchedule[[#This Row],[Capacity Approx]]*'[1]Load Factor Sheet June Acft  '!$B$5</f>
        <v>150.61772727272728</v>
      </c>
      <c r="S2200">
        <f>tblDailySchedule[[#This Row],[Capacity Approx]]*'[1]Load Factor Sheet June Acft  '!$D$5</f>
        <v>163.08818181818182</v>
      </c>
      <c r="T2200" s="22">
        <f>tblDailySchedule[[#This Row],[STD]]</f>
        <v>0.51041666666666663</v>
      </c>
    </row>
    <row r="2201" spans="1:20" hidden="1" x14ac:dyDescent="0.35">
      <c r="A2201" s="11">
        <v>46189</v>
      </c>
      <c r="B2201" s="3">
        <v>2</v>
      </c>
      <c r="C2201" t="s">
        <v>108</v>
      </c>
      <c r="D2201" t="s">
        <v>18</v>
      </c>
      <c r="E2201" s="3">
        <v>11</v>
      </c>
      <c r="F2201" t="s">
        <v>19</v>
      </c>
      <c r="G2201" t="s">
        <v>54</v>
      </c>
      <c r="H2201" t="s">
        <v>31</v>
      </c>
      <c r="I2201" s="12">
        <v>0.51388888888888884</v>
      </c>
      <c r="J2201" t="s">
        <v>55</v>
      </c>
      <c r="K2201" t="s">
        <v>31</v>
      </c>
      <c r="L2201" s="12">
        <v>0.54166666666666663</v>
      </c>
      <c r="M2201" t="s">
        <v>23</v>
      </c>
      <c r="N2201" s="3">
        <v>186</v>
      </c>
      <c r="O2201" t="s">
        <v>24</v>
      </c>
      <c r="P2201" t="s">
        <v>56</v>
      </c>
      <c r="R2201">
        <f>tblDailySchedule[[#This Row],[Capacity Approx]]*'[1]Load Factor Sheet June Acft  '!$B$5</f>
        <v>150.61772727272728</v>
      </c>
      <c r="S2201">
        <f>tblDailySchedule[[#This Row],[Capacity Approx]]*'[1]Load Factor Sheet June Acft  '!$D$5</f>
        <v>163.08818181818182</v>
      </c>
      <c r="T2201" s="22">
        <f>tblDailySchedule[[#This Row],[STD]]</f>
        <v>0.54166666666666663</v>
      </c>
    </row>
    <row r="2202" spans="1:20" hidden="1" x14ac:dyDescent="0.35">
      <c r="A2202" s="11">
        <v>46189</v>
      </c>
      <c r="B2202" s="3">
        <v>2</v>
      </c>
      <c r="C2202" t="s">
        <v>108</v>
      </c>
      <c r="D2202" t="s">
        <v>18</v>
      </c>
      <c r="E2202" s="3">
        <v>12</v>
      </c>
      <c r="F2202" t="s">
        <v>109</v>
      </c>
      <c r="G2202" t="s">
        <v>110</v>
      </c>
      <c r="H2202" t="s">
        <v>111</v>
      </c>
      <c r="I2202" s="12">
        <v>0.55555555555555558</v>
      </c>
      <c r="J2202" t="s">
        <v>112</v>
      </c>
      <c r="K2202" t="s">
        <v>111</v>
      </c>
      <c r="L2202" s="12">
        <v>0.56944444444444442</v>
      </c>
      <c r="M2202" t="s">
        <v>51</v>
      </c>
      <c r="N2202" s="3">
        <v>78</v>
      </c>
      <c r="O2202" t="s">
        <v>24</v>
      </c>
      <c r="P2202" t="s">
        <v>56</v>
      </c>
      <c r="R2202">
        <f>tblDailySchedule[[#This Row],[Capacity Approx]]*'[1]Load Factor Sheet June Acft  '!$B$5</f>
        <v>63.162272727272729</v>
      </c>
      <c r="S2202">
        <f>tblDailySchedule[[#This Row],[Capacity Approx]]*'[1]Load Factor Sheet June Acft  '!$D$5</f>
        <v>68.391818181818181</v>
      </c>
      <c r="T2202" s="22">
        <f>tblDailySchedule[[#This Row],[STD]]</f>
        <v>0.56944444444444442</v>
      </c>
    </row>
    <row r="2203" spans="1:20" hidden="1" x14ac:dyDescent="0.35">
      <c r="A2203" s="11">
        <v>46189</v>
      </c>
      <c r="B2203" s="3">
        <v>2</v>
      </c>
      <c r="C2203" t="s">
        <v>108</v>
      </c>
      <c r="D2203" t="s">
        <v>18</v>
      </c>
      <c r="E2203" s="3">
        <v>13</v>
      </c>
      <c r="F2203" t="s">
        <v>19</v>
      </c>
      <c r="G2203" t="s">
        <v>57</v>
      </c>
      <c r="H2203" t="s">
        <v>58</v>
      </c>
      <c r="I2203" s="12">
        <v>0.55902777777777779</v>
      </c>
      <c r="J2203" t="s">
        <v>59</v>
      </c>
      <c r="K2203" t="s">
        <v>58</v>
      </c>
      <c r="L2203" s="12">
        <v>0.57638888888888884</v>
      </c>
      <c r="M2203" t="s">
        <v>51</v>
      </c>
      <c r="N2203" s="3">
        <v>78</v>
      </c>
      <c r="O2203" t="s">
        <v>24</v>
      </c>
      <c r="P2203" t="s">
        <v>56</v>
      </c>
      <c r="R2203">
        <f>tblDailySchedule[[#This Row],[Capacity Approx]]*'[1]Load Factor Sheet June Acft  '!$B$5</f>
        <v>63.162272727272729</v>
      </c>
      <c r="S2203">
        <f>tblDailySchedule[[#This Row],[Capacity Approx]]*'[1]Load Factor Sheet June Acft  '!$D$5</f>
        <v>68.391818181818181</v>
      </c>
      <c r="T2203" s="22">
        <f>tblDailySchedule[[#This Row],[STD]]</f>
        <v>0.57638888888888884</v>
      </c>
    </row>
    <row r="2204" spans="1:20" hidden="1" x14ac:dyDescent="0.35">
      <c r="A2204" s="11">
        <v>46189</v>
      </c>
      <c r="B2204" s="3">
        <v>2</v>
      </c>
      <c r="C2204" t="s">
        <v>108</v>
      </c>
      <c r="D2204" t="s">
        <v>18</v>
      </c>
      <c r="E2204" s="3">
        <v>14</v>
      </c>
      <c r="F2204" t="s">
        <v>19</v>
      </c>
      <c r="G2204" t="s">
        <v>60</v>
      </c>
      <c r="H2204" t="s">
        <v>61</v>
      </c>
      <c r="I2204" s="12">
        <v>0.59027777777777779</v>
      </c>
      <c r="J2204" t="s">
        <v>62</v>
      </c>
      <c r="K2204" t="s">
        <v>61</v>
      </c>
      <c r="L2204" s="12">
        <v>0.62152777777777779</v>
      </c>
      <c r="M2204" t="s">
        <v>63</v>
      </c>
      <c r="N2204" s="3">
        <v>232</v>
      </c>
      <c r="O2204" t="s">
        <v>24</v>
      </c>
      <c r="P2204" t="s">
        <v>56</v>
      </c>
      <c r="R2204">
        <f>tblDailySchedule[[#This Row],[Capacity Approx]]*'[1]Load Factor Sheet June Acft  '!$B$5</f>
        <v>187.86727272727273</v>
      </c>
      <c r="S2204">
        <f>tblDailySchedule[[#This Row],[Capacity Approx]]*'[1]Load Factor Sheet June Acft  '!$D$5</f>
        <v>203.4218181818182</v>
      </c>
      <c r="T2204" s="22">
        <f>tblDailySchedule[[#This Row],[STD]]</f>
        <v>0.62152777777777779</v>
      </c>
    </row>
    <row r="2205" spans="1:20" hidden="1" x14ac:dyDescent="0.35">
      <c r="A2205" s="11">
        <v>46189</v>
      </c>
      <c r="B2205" s="3">
        <v>2</v>
      </c>
      <c r="C2205" t="s">
        <v>108</v>
      </c>
      <c r="D2205" t="s">
        <v>18</v>
      </c>
      <c r="E2205" s="3">
        <v>15</v>
      </c>
      <c r="F2205" t="s">
        <v>19</v>
      </c>
      <c r="G2205" t="s">
        <v>64</v>
      </c>
      <c r="H2205" t="s">
        <v>31</v>
      </c>
      <c r="I2205" s="12">
        <v>0.60069444444444442</v>
      </c>
      <c r="J2205" t="s">
        <v>65</v>
      </c>
      <c r="K2205" t="s">
        <v>66</v>
      </c>
      <c r="L2205" s="12">
        <v>0.62847222222222221</v>
      </c>
      <c r="M2205" t="s">
        <v>63</v>
      </c>
      <c r="N2205" s="3">
        <v>232</v>
      </c>
      <c r="O2205" t="s">
        <v>24</v>
      </c>
      <c r="P2205" t="s">
        <v>56</v>
      </c>
      <c r="R2205">
        <f>tblDailySchedule[[#This Row],[Capacity Approx]]*'[1]Load Factor Sheet June Acft  '!$B$5</f>
        <v>187.86727272727273</v>
      </c>
      <c r="S2205">
        <f>tblDailySchedule[[#This Row],[Capacity Approx]]*'[1]Load Factor Sheet June Acft  '!$D$5</f>
        <v>203.4218181818182</v>
      </c>
      <c r="T2205" s="22">
        <f>tblDailySchedule[[#This Row],[STD]]</f>
        <v>0.62847222222222221</v>
      </c>
    </row>
    <row r="2206" spans="1:20" hidden="1" x14ac:dyDescent="0.35">
      <c r="A2206" s="11">
        <v>46189</v>
      </c>
      <c r="B2206" s="3">
        <v>2</v>
      </c>
      <c r="C2206" t="s">
        <v>108</v>
      </c>
      <c r="D2206" t="s">
        <v>18</v>
      </c>
      <c r="E2206" s="3">
        <v>16</v>
      </c>
      <c r="F2206" t="s">
        <v>19</v>
      </c>
      <c r="G2206" t="s">
        <v>67</v>
      </c>
      <c r="H2206" t="s">
        <v>31</v>
      </c>
      <c r="I2206" s="12">
        <v>0.65625</v>
      </c>
      <c r="J2206" t="s">
        <v>68</v>
      </c>
      <c r="K2206" t="s">
        <v>31</v>
      </c>
      <c r="L2206" s="12">
        <v>0.68402777777777779</v>
      </c>
      <c r="M2206" t="s">
        <v>63</v>
      </c>
      <c r="N2206" s="3">
        <v>232</v>
      </c>
      <c r="O2206" t="s">
        <v>24</v>
      </c>
      <c r="P2206" t="s">
        <v>56</v>
      </c>
      <c r="R2206">
        <f>tblDailySchedule[[#This Row],[Capacity Approx]]*'[1]Load Factor Sheet June Acft  '!$B$5</f>
        <v>187.86727272727273</v>
      </c>
      <c r="S2206">
        <f>tblDailySchedule[[#This Row],[Capacity Approx]]*'[1]Load Factor Sheet June Acft  '!$D$5</f>
        <v>203.4218181818182</v>
      </c>
      <c r="T2206" s="22">
        <f>tblDailySchedule[[#This Row],[STD]]</f>
        <v>0.68402777777777779</v>
      </c>
    </row>
    <row r="2207" spans="1:20" hidden="1" x14ac:dyDescent="0.35">
      <c r="A2207" s="11">
        <v>46189</v>
      </c>
      <c r="B2207" s="3">
        <v>2</v>
      </c>
      <c r="C2207" t="s">
        <v>108</v>
      </c>
      <c r="D2207" t="s">
        <v>18</v>
      </c>
      <c r="E2207" s="3">
        <v>17</v>
      </c>
      <c r="F2207" t="s">
        <v>19</v>
      </c>
      <c r="G2207" t="s">
        <v>69</v>
      </c>
      <c r="H2207" t="s">
        <v>31</v>
      </c>
      <c r="I2207" s="12">
        <v>0.66319444444444442</v>
      </c>
      <c r="J2207" t="s">
        <v>70</v>
      </c>
      <c r="K2207" t="s">
        <v>31</v>
      </c>
      <c r="L2207" s="12">
        <v>0.69097222222222221</v>
      </c>
      <c r="M2207" t="s">
        <v>33</v>
      </c>
      <c r="N2207" s="3">
        <v>189</v>
      </c>
      <c r="O2207" t="s">
        <v>24</v>
      </c>
      <c r="P2207" t="s">
        <v>56</v>
      </c>
      <c r="R2207">
        <f>tblDailySchedule[[#This Row],[Capacity Approx]]*'[1]Load Factor Sheet June Acft  '!$B$5</f>
        <v>153.04704545454547</v>
      </c>
      <c r="S2207">
        <f>tblDailySchedule[[#This Row],[Capacity Approx]]*'[1]Load Factor Sheet June Acft  '!$D$5</f>
        <v>165.71863636363636</v>
      </c>
      <c r="T2207" s="22">
        <f>tblDailySchedule[[#This Row],[STD]]</f>
        <v>0.69097222222222221</v>
      </c>
    </row>
    <row r="2208" spans="1:20" hidden="1" x14ac:dyDescent="0.35">
      <c r="A2208" s="11">
        <v>46189</v>
      </c>
      <c r="B2208" s="3">
        <v>2</v>
      </c>
      <c r="C2208" t="s">
        <v>108</v>
      </c>
      <c r="D2208" t="s">
        <v>18</v>
      </c>
      <c r="E2208" s="3">
        <v>18</v>
      </c>
      <c r="F2208" t="s">
        <v>19</v>
      </c>
      <c r="G2208" t="s">
        <v>71</v>
      </c>
      <c r="H2208" t="s">
        <v>21</v>
      </c>
      <c r="I2208" s="12">
        <v>0.67013888888888884</v>
      </c>
      <c r="J2208" t="s">
        <v>72</v>
      </c>
      <c r="K2208" t="s">
        <v>21</v>
      </c>
      <c r="L2208" s="12">
        <v>0.69791666666666663</v>
      </c>
      <c r="M2208" t="s">
        <v>63</v>
      </c>
      <c r="N2208" s="3">
        <v>232</v>
      </c>
      <c r="O2208" t="s">
        <v>24</v>
      </c>
      <c r="P2208" t="s">
        <v>56</v>
      </c>
      <c r="R2208">
        <f>tblDailySchedule[[#This Row],[Capacity Approx]]*'[1]Load Factor Sheet June Acft  '!$B$5</f>
        <v>187.86727272727273</v>
      </c>
      <c r="S2208">
        <f>tblDailySchedule[[#This Row],[Capacity Approx]]*'[1]Load Factor Sheet June Acft  '!$D$5</f>
        <v>203.4218181818182</v>
      </c>
      <c r="T2208" s="22">
        <f>tblDailySchedule[[#This Row],[STD]]</f>
        <v>0.69791666666666663</v>
      </c>
    </row>
    <row r="2209" spans="1:20" hidden="1" x14ac:dyDescent="0.35">
      <c r="A2209" s="11">
        <v>46189</v>
      </c>
      <c r="B2209" s="3">
        <v>2</v>
      </c>
      <c r="C2209" t="s">
        <v>108</v>
      </c>
      <c r="D2209" t="s">
        <v>18</v>
      </c>
      <c r="E2209" s="3">
        <v>19</v>
      </c>
      <c r="F2209" t="s">
        <v>19</v>
      </c>
      <c r="G2209" t="s">
        <v>73</v>
      </c>
      <c r="H2209" t="s">
        <v>27</v>
      </c>
      <c r="I2209" s="12">
        <v>0.74652777777777779</v>
      </c>
      <c r="J2209" t="s">
        <v>74</v>
      </c>
      <c r="K2209" t="s">
        <v>27</v>
      </c>
      <c r="L2209" s="12">
        <v>0.77430555555555558</v>
      </c>
      <c r="M2209" t="s">
        <v>63</v>
      </c>
      <c r="N2209" s="3">
        <v>232</v>
      </c>
      <c r="O2209" t="s">
        <v>24</v>
      </c>
      <c r="P2209" t="s">
        <v>56</v>
      </c>
      <c r="R2209">
        <f>tblDailySchedule[[#This Row],[Capacity Approx]]*'[1]Load Factor Sheet June Acft  '!$B$5</f>
        <v>187.86727272727273</v>
      </c>
      <c r="S2209">
        <f>tblDailySchedule[[#This Row],[Capacity Approx]]*'[1]Load Factor Sheet June Acft  '!$D$5</f>
        <v>203.4218181818182</v>
      </c>
      <c r="T2209" s="22">
        <f>tblDailySchedule[[#This Row],[STD]]</f>
        <v>0.77430555555555558</v>
      </c>
    </row>
    <row r="2210" spans="1:20" hidden="1" x14ac:dyDescent="0.35">
      <c r="A2210" s="11">
        <v>46189</v>
      </c>
      <c r="B2210" s="3">
        <v>2</v>
      </c>
      <c r="C2210" t="s">
        <v>108</v>
      </c>
      <c r="D2210" t="s">
        <v>18</v>
      </c>
      <c r="E2210" s="3">
        <v>21</v>
      </c>
      <c r="F2210" t="s">
        <v>19</v>
      </c>
      <c r="G2210" t="s">
        <v>81</v>
      </c>
      <c r="H2210" t="s">
        <v>61</v>
      </c>
      <c r="I2210" s="12">
        <v>0.77083333333333337</v>
      </c>
      <c r="J2210" t="s">
        <v>82</v>
      </c>
      <c r="K2210" t="s">
        <v>49</v>
      </c>
      <c r="L2210" s="12">
        <v>0.79166666666666663</v>
      </c>
      <c r="M2210" t="s">
        <v>33</v>
      </c>
      <c r="N2210" s="3">
        <v>189</v>
      </c>
      <c r="O2210" t="s">
        <v>24</v>
      </c>
      <c r="P2210" t="s">
        <v>79</v>
      </c>
      <c r="R2210">
        <f>tblDailySchedule[[#This Row],[Capacity Approx]]*'[1]Load Factor Sheet June Acft  '!$B$5</f>
        <v>153.04704545454547</v>
      </c>
      <c r="S2210">
        <f>tblDailySchedule[[#This Row],[Capacity Approx]]*'[1]Load Factor Sheet June Acft  '!$D$5</f>
        <v>165.71863636363636</v>
      </c>
      <c r="T2210" s="22">
        <f>tblDailySchedule[[#This Row],[STD]]</f>
        <v>0.79166666666666663</v>
      </c>
    </row>
    <row r="2211" spans="1:20" hidden="1" x14ac:dyDescent="0.35">
      <c r="A2211" s="11">
        <v>46189</v>
      </c>
      <c r="B2211" s="3">
        <v>2</v>
      </c>
      <c r="C2211" t="s">
        <v>108</v>
      </c>
      <c r="D2211" t="s">
        <v>18</v>
      </c>
      <c r="E2211" s="3">
        <v>22</v>
      </c>
      <c r="F2211" t="s">
        <v>19</v>
      </c>
      <c r="G2211" t="s">
        <v>83</v>
      </c>
      <c r="H2211" t="s">
        <v>31</v>
      </c>
      <c r="I2211" s="12">
        <v>0.77777777777777779</v>
      </c>
      <c r="J2211" t="s">
        <v>84</v>
      </c>
      <c r="K2211" t="s">
        <v>31</v>
      </c>
      <c r="L2211" s="12">
        <v>0.80555555555555558</v>
      </c>
      <c r="M2211" t="s">
        <v>63</v>
      </c>
      <c r="N2211" s="3">
        <v>232</v>
      </c>
      <c r="O2211" t="s">
        <v>24</v>
      </c>
      <c r="P2211" t="s">
        <v>79</v>
      </c>
      <c r="R2211">
        <f>tblDailySchedule[[#This Row],[Capacity Approx]]*'[1]Load Factor Sheet June Acft  '!$B$5</f>
        <v>187.86727272727273</v>
      </c>
      <c r="S2211">
        <f>tblDailySchedule[[#This Row],[Capacity Approx]]*'[1]Load Factor Sheet June Acft  '!$D$5</f>
        <v>203.4218181818182</v>
      </c>
      <c r="T2211" s="22">
        <f>tblDailySchedule[[#This Row],[STD]]</f>
        <v>0.80555555555555558</v>
      </c>
    </row>
    <row r="2212" spans="1:20" hidden="1" x14ac:dyDescent="0.35">
      <c r="A2212" s="11">
        <v>46189</v>
      </c>
      <c r="B2212" s="3">
        <v>2</v>
      </c>
      <c r="C2212" t="s">
        <v>108</v>
      </c>
      <c r="D2212" t="s">
        <v>18</v>
      </c>
      <c r="E2212" s="3">
        <v>23</v>
      </c>
      <c r="F2212" t="s">
        <v>19</v>
      </c>
      <c r="G2212" t="s">
        <v>85</v>
      </c>
      <c r="H2212" t="s">
        <v>86</v>
      </c>
      <c r="I2212" s="12">
        <v>0.79861111111111116</v>
      </c>
      <c r="J2212" t="s">
        <v>87</v>
      </c>
      <c r="K2212" t="s">
        <v>86</v>
      </c>
      <c r="L2212" s="12">
        <v>0.82638888888888884</v>
      </c>
      <c r="M2212" t="s">
        <v>63</v>
      </c>
      <c r="N2212" s="3">
        <v>232</v>
      </c>
      <c r="O2212" t="s">
        <v>24</v>
      </c>
      <c r="P2212" t="s">
        <v>79</v>
      </c>
      <c r="R2212">
        <f>tblDailySchedule[[#This Row],[Capacity Approx]]*'[1]Load Factor Sheet June Acft  '!$B$5</f>
        <v>187.86727272727273</v>
      </c>
      <c r="S2212">
        <f>tblDailySchedule[[#This Row],[Capacity Approx]]*'[1]Load Factor Sheet June Acft  '!$D$5</f>
        <v>203.4218181818182</v>
      </c>
      <c r="T2212" s="22">
        <f>tblDailySchedule[[#This Row],[STD]]</f>
        <v>0.82638888888888884</v>
      </c>
    </row>
    <row r="2213" spans="1:20" hidden="1" x14ac:dyDescent="0.35">
      <c r="A2213" s="11">
        <v>46189</v>
      </c>
      <c r="B2213" s="3">
        <v>2</v>
      </c>
      <c r="C2213" t="s">
        <v>108</v>
      </c>
      <c r="D2213" t="s">
        <v>18</v>
      </c>
      <c r="E2213" s="3">
        <v>24</v>
      </c>
      <c r="F2213" t="s">
        <v>19</v>
      </c>
      <c r="G2213" t="s">
        <v>88</v>
      </c>
      <c r="H2213" t="s">
        <v>89</v>
      </c>
      <c r="I2213" s="12">
        <v>0.83333333333333337</v>
      </c>
      <c r="J2213" t="s">
        <v>90</v>
      </c>
      <c r="K2213" t="s">
        <v>31</v>
      </c>
      <c r="L2213" s="12">
        <v>0.86111111111111116</v>
      </c>
      <c r="M2213" t="s">
        <v>63</v>
      </c>
      <c r="N2213" s="3">
        <v>232</v>
      </c>
      <c r="O2213" t="s">
        <v>24</v>
      </c>
      <c r="P2213" t="s">
        <v>79</v>
      </c>
      <c r="R2213">
        <f>tblDailySchedule[[#This Row],[Capacity Approx]]*'[1]Load Factor Sheet June Acft  '!$B$5</f>
        <v>187.86727272727273</v>
      </c>
      <c r="S2213">
        <f>tblDailySchedule[[#This Row],[Capacity Approx]]*'[1]Load Factor Sheet June Acft  '!$D$5</f>
        <v>203.4218181818182</v>
      </c>
      <c r="T2213" s="22">
        <f>tblDailySchedule[[#This Row],[STD]]</f>
        <v>0.86111111111111116</v>
      </c>
    </row>
    <row r="2214" spans="1:20" hidden="1" x14ac:dyDescent="0.35">
      <c r="A2214" s="11">
        <v>46189</v>
      </c>
      <c r="B2214" s="3">
        <v>2</v>
      </c>
      <c r="C2214" t="s">
        <v>108</v>
      </c>
      <c r="D2214" t="s">
        <v>18</v>
      </c>
      <c r="E2214" s="3">
        <v>25</v>
      </c>
      <c r="F2214" t="s">
        <v>19</v>
      </c>
      <c r="G2214" t="s">
        <v>91</v>
      </c>
      <c r="H2214" t="s">
        <v>61</v>
      </c>
      <c r="I2214" s="12">
        <v>0.85416666666666663</v>
      </c>
      <c r="J2214" t="s">
        <v>92</v>
      </c>
      <c r="K2214" t="s">
        <v>61</v>
      </c>
      <c r="L2214" s="12">
        <v>0.88194444444444442</v>
      </c>
      <c r="M2214" t="s">
        <v>63</v>
      </c>
      <c r="N2214" s="3">
        <v>232</v>
      </c>
      <c r="O2214" t="s">
        <v>24</v>
      </c>
      <c r="P2214" t="s">
        <v>79</v>
      </c>
      <c r="R2214">
        <f>tblDailySchedule[[#This Row],[Capacity Approx]]*'[1]Load Factor Sheet June Acft  '!$B$5</f>
        <v>187.86727272727273</v>
      </c>
      <c r="S2214">
        <f>tblDailySchedule[[#This Row],[Capacity Approx]]*'[1]Load Factor Sheet June Acft  '!$D$5</f>
        <v>203.4218181818182</v>
      </c>
      <c r="T2214" s="22">
        <f>tblDailySchedule[[#This Row],[STD]]</f>
        <v>0.88194444444444442</v>
      </c>
    </row>
    <row r="2215" spans="1:20" hidden="1" x14ac:dyDescent="0.35">
      <c r="A2215" s="11">
        <v>46189</v>
      </c>
      <c r="B2215" s="3">
        <v>2</v>
      </c>
      <c r="C2215" t="s">
        <v>108</v>
      </c>
      <c r="D2215" t="s">
        <v>18</v>
      </c>
      <c r="E2215" s="3">
        <v>26</v>
      </c>
      <c r="F2215" t="s">
        <v>19</v>
      </c>
      <c r="G2215" t="s">
        <v>93</v>
      </c>
      <c r="H2215" t="s">
        <v>31</v>
      </c>
      <c r="I2215" s="12">
        <v>0.86111111111111116</v>
      </c>
      <c r="J2215" t="s">
        <v>94</v>
      </c>
      <c r="K2215" t="s">
        <v>31</v>
      </c>
      <c r="L2215" s="12">
        <v>0.88888888888888884</v>
      </c>
      <c r="M2215" t="s">
        <v>23</v>
      </c>
      <c r="N2215" s="3">
        <v>186</v>
      </c>
      <c r="O2215" t="s">
        <v>24</v>
      </c>
      <c r="P2215" t="s">
        <v>79</v>
      </c>
      <c r="R2215">
        <f>tblDailySchedule[[#This Row],[Capacity Approx]]*'[1]Load Factor Sheet June Acft  '!$B$5</f>
        <v>150.61772727272728</v>
      </c>
      <c r="S2215">
        <f>tblDailySchedule[[#This Row],[Capacity Approx]]*'[1]Load Factor Sheet June Acft  '!$D$5</f>
        <v>163.08818181818182</v>
      </c>
      <c r="T2215" s="22">
        <f>tblDailySchedule[[#This Row],[STD]]</f>
        <v>0.88888888888888884</v>
      </c>
    </row>
    <row r="2216" spans="1:20" hidden="1" x14ac:dyDescent="0.35">
      <c r="A2216" s="11">
        <v>46189</v>
      </c>
      <c r="B2216" s="3">
        <v>2</v>
      </c>
      <c r="C2216" t="s">
        <v>108</v>
      </c>
      <c r="D2216" t="s">
        <v>18</v>
      </c>
      <c r="E2216" s="3">
        <v>27</v>
      </c>
      <c r="F2216" t="s">
        <v>19</v>
      </c>
      <c r="G2216" t="s">
        <v>95</v>
      </c>
      <c r="H2216" t="s">
        <v>21</v>
      </c>
      <c r="I2216" s="12">
        <v>0.86805555555555558</v>
      </c>
      <c r="J2216" t="s">
        <v>96</v>
      </c>
      <c r="K2216" t="s">
        <v>21</v>
      </c>
      <c r="L2216" s="12">
        <v>0.89583333333333337</v>
      </c>
      <c r="M2216" t="s">
        <v>29</v>
      </c>
      <c r="N2216" s="3">
        <v>186</v>
      </c>
      <c r="O2216" t="s">
        <v>24</v>
      </c>
      <c r="P2216" t="s">
        <v>79</v>
      </c>
      <c r="R2216">
        <f>tblDailySchedule[[#This Row],[Capacity Approx]]*'[1]Load Factor Sheet June Acft  '!$B$5</f>
        <v>150.61772727272728</v>
      </c>
      <c r="S2216">
        <f>tblDailySchedule[[#This Row],[Capacity Approx]]*'[1]Load Factor Sheet June Acft  '!$D$5</f>
        <v>163.08818181818182</v>
      </c>
      <c r="T2216" s="22">
        <f>tblDailySchedule[[#This Row],[STD]]</f>
        <v>0.89583333333333337</v>
      </c>
    </row>
    <row r="2217" spans="1:20" hidden="1" x14ac:dyDescent="0.35">
      <c r="A2217" s="11">
        <v>46189</v>
      </c>
      <c r="B2217" s="3">
        <v>2</v>
      </c>
      <c r="C2217" t="s">
        <v>108</v>
      </c>
      <c r="D2217" t="s">
        <v>18</v>
      </c>
      <c r="E2217" s="3">
        <v>28</v>
      </c>
      <c r="F2217" t="s">
        <v>19</v>
      </c>
      <c r="G2217" t="s">
        <v>97</v>
      </c>
      <c r="H2217" t="s">
        <v>49</v>
      </c>
      <c r="I2217" s="12">
        <v>0.90277777777777779</v>
      </c>
      <c r="J2217" t="s">
        <v>97</v>
      </c>
      <c r="K2217" t="s">
        <v>61</v>
      </c>
      <c r="L2217" s="12">
        <v>0.92361111111111116</v>
      </c>
      <c r="M2217" t="s">
        <v>33</v>
      </c>
      <c r="N2217" s="3">
        <v>189</v>
      </c>
      <c r="O2217" t="s">
        <v>24</v>
      </c>
      <c r="P2217" t="s">
        <v>79</v>
      </c>
      <c r="R2217">
        <f>tblDailySchedule[[#This Row],[Capacity Approx]]*'[1]Load Factor Sheet June Acft  '!$B$5</f>
        <v>153.04704545454547</v>
      </c>
      <c r="S2217">
        <f>tblDailySchedule[[#This Row],[Capacity Approx]]*'[1]Load Factor Sheet June Acft  '!$D$5</f>
        <v>165.71863636363636</v>
      </c>
      <c r="T2217" s="22">
        <f>tblDailySchedule[[#This Row],[STD]]</f>
        <v>0.92361111111111116</v>
      </c>
    </row>
    <row r="2218" spans="1:20" hidden="1" x14ac:dyDescent="0.35">
      <c r="A2218" s="11">
        <v>46189</v>
      </c>
      <c r="B2218" s="3">
        <v>2</v>
      </c>
      <c r="C2218" t="s">
        <v>108</v>
      </c>
      <c r="D2218" t="s">
        <v>18</v>
      </c>
      <c r="E2218" s="3">
        <v>29</v>
      </c>
      <c r="F2218" t="s">
        <v>19</v>
      </c>
      <c r="G2218" t="s">
        <v>98</v>
      </c>
      <c r="H2218" t="s">
        <v>21</v>
      </c>
      <c r="I2218" s="12">
        <v>0.92013888888888884</v>
      </c>
      <c r="J2218" t="s">
        <v>99</v>
      </c>
      <c r="K2218" t="s">
        <v>21</v>
      </c>
      <c r="L2218" s="12">
        <v>0.94791666666666663</v>
      </c>
      <c r="M2218" t="s">
        <v>63</v>
      </c>
      <c r="N2218" s="3">
        <v>232</v>
      </c>
      <c r="O2218" t="s">
        <v>24</v>
      </c>
      <c r="P2218" t="s">
        <v>79</v>
      </c>
      <c r="R2218">
        <f>tblDailySchedule[[#This Row],[Capacity Approx]]*'[1]Load Factor Sheet June Acft  '!$B$5</f>
        <v>187.86727272727273</v>
      </c>
      <c r="S2218">
        <f>tblDailySchedule[[#This Row],[Capacity Approx]]*'[1]Load Factor Sheet June Acft  '!$D$5</f>
        <v>203.4218181818182</v>
      </c>
      <c r="T2218" s="22">
        <f>tblDailySchedule[[#This Row],[STD]]</f>
        <v>0.94791666666666663</v>
      </c>
    </row>
    <row r="2219" spans="1:20" hidden="1" x14ac:dyDescent="0.35">
      <c r="A2219" s="11">
        <v>46190</v>
      </c>
      <c r="B2219" s="3">
        <v>3</v>
      </c>
      <c r="C2219" t="s">
        <v>113</v>
      </c>
      <c r="D2219" t="s">
        <v>18</v>
      </c>
      <c r="E2219" s="3">
        <v>2</v>
      </c>
      <c r="F2219" t="s">
        <v>19</v>
      </c>
      <c r="G2219" t="s">
        <v>20</v>
      </c>
      <c r="H2219" t="s">
        <v>21</v>
      </c>
      <c r="I2219" s="12">
        <v>0.31944444444444442</v>
      </c>
      <c r="J2219" t="s">
        <v>22</v>
      </c>
      <c r="K2219" t="s">
        <v>21</v>
      </c>
      <c r="L2219" s="12">
        <v>0.34722222222222221</v>
      </c>
      <c r="M2219" t="s">
        <v>23</v>
      </c>
      <c r="N2219" s="3">
        <v>186</v>
      </c>
      <c r="O2219" t="s">
        <v>24</v>
      </c>
      <c r="P2219" t="s">
        <v>25</v>
      </c>
      <c r="R2219">
        <f>tblDailySchedule[[#This Row],[Capacity Approx]]*'[1]Load Factor Sheet June Acft  '!$B$5</f>
        <v>150.61772727272728</v>
      </c>
      <c r="S2219">
        <f>tblDailySchedule[[#This Row],[Capacity Approx]]*'[1]Load Factor Sheet June Acft  '!$D$5</f>
        <v>163.08818181818182</v>
      </c>
      <c r="T2219" s="22">
        <f>tblDailySchedule[[#This Row],[STD]]</f>
        <v>0.34722222222222221</v>
      </c>
    </row>
    <row r="2220" spans="1:20" hidden="1" x14ac:dyDescent="0.35">
      <c r="A2220" s="11">
        <v>46190</v>
      </c>
      <c r="B2220" s="3">
        <v>3</v>
      </c>
      <c r="C2220" t="s">
        <v>113</v>
      </c>
      <c r="D2220" t="s">
        <v>18</v>
      </c>
      <c r="E2220" s="3">
        <v>3</v>
      </c>
      <c r="F2220" t="s">
        <v>19</v>
      </c>
      <c r="G2220" t="s">
        <v>26</v>
      </c>
      <c r="H2220" t="s">
        <v>27</v>
      </c>
      <c r="I2220" s="12">
        <v>0.3263888888888889</v>
      </c>
      <c r="J2220" t="s">
        <v>28</v>
      </c>
      <c r="K2220" t="s">
        <v>27</v>
      </c>
      <c r="L2220" s="12">
        <v>0.35416666666666669</v>
      </c>
      <c r="M2220" t="s">
        <v>29</v>
      </c>
      <c r="N2220" s="3">
        <v>186</v>
      </c>
      <c r="O2220" t="s">
        <v>24</v>
      </c>
      <c r="P2220" t="s">
        <v>25</v>
      </c>
      <c r="R2220">
        <f>tblDailySchedule[[#This Row],[Capacity Approx]]*'[1]Load Factor Sheet June Acft  '!$B$5</f>
        <v>150.61772727272728</v>
      </c>
      <c r="S2220">
        <f>tblDailySchedule[[#This Row],[Capacity Approx]]*'[1]Load Factor Sheet June Acft  '!$D$5</f>
        <v>163.08818181818182</v>
      </c>
      <c r="T2220" s="22">
        <f>tblDailySchedule[[#This Row],[STD]]</f>
        <v>0.35416666666666669</v>
      </c>
    </row>
    <row r="2221" spans="1:20" hidden="1" x14ac:dyDescent="0.35">
      <c r="A2221" s="11">
        <v>46190</v>
      </c>
      <c r="B2221" s="3">
        <v>3</v>
      </c>
      <c r="C2221" t="s">
        <v>113</v>
      </c>
      <c r="D2221" t="s">
        <v>18</v>
      </c>
      <c r="E2221" s="3">
        <v>4</v>
      </c>
      <c r="F2221" t="s">
        <v>19</v>
      </c>
      <c r="G2221" t="s">
        <v>30</v>
      </c>
      <c r="H2221" t="s">
        <v>31</v>
      </c>
      <c r="I2221" s="12">
        <v>0.34722222222222221</v>
      </c>
      <c r="J2221" t="s">
        <v>32</v>
      </c>
      <c r="K2221" t="s">
        <v>31</v>
      </c>
      <c r="L2221" s="12">
        <v>0.36805555555555558</v>
      </c>
      <c r="M2221" t="s">
        <v>33</v>
      </c>
      <c r="N2221" s="3">
        <v>189</v>
      </c>
      <c r="O2221" t="s">
        <v>24</v>
      </c>
      <c r="P2221" t="s">
        <v>25</v>
      </c>
      <c r="R2221">
        <f>tblDailySchedule[[#This Row],[Capacity Approx]]*'[1]Load Factor Sheet June Acft  '!$B$5</f>
        <v>153.04704545454547</v>
      </c>
      <c r="S2221">
        <f>tblDailySchedule[[#This Row],[Capacity Approx]]*'[1]Load Factor Sheet June Acft  '!$D$5</f>
        <v>165.71863636363636</v>
      </c>
      <c r="T2221" s="22">
        <f>tblDailySchedule[[#This Row],[STD]]</f>
        <v>0.36805555555555558</v>
      </c>
    </row>
    <row r="2222" spans="1:20" hidden="1" x14ac:dyDescent="0.35">
      <c r="A2222" s="13">
        <v>46190</v>
      </c>
      <c r="B2222" s="7">
        <v>3</v>
      </c>
      <c r="C2222" s="14" t="s">
        <v>113</v>
      </c>
      <c r="D2222" s="14" t="s">
        <v>18</v>
      </c>
      <c r="E2222" s="7">
        <v>6</v>
      </c>
      <c r="F2222" s="14" t="s">
        <v>34</v>
      </c>
      <c r="G2222" s="14" t="s">
        <v>35</v>
      </c>
      <c r="H2222" s="14" t="s">
        <v>36</v>
      </c>
      <c r="I2222" s="15">
        <v>0.34722222222222221</v>
      </c>
      <c r="J2222" s="14" t="s">
        <v>37</v>
      </c>
      <c r="K2222" s="14" t="s">
        <v>36</v>
      </c>
      <c r="L2222" s="15">
        <v>0.40972222222222221</v>
      </c>
      <c r="M2222" s="14" t="s">
        <v>38</v>
      </c>
      <c r="N2222" s="7">
        <v>186</v>
      </c>
      <c r="O2222" s="14" t="s">
        <v>39</v>
      </c>
      <c r="P2222" s="14" t="s">
        <v>25</v>
      </c>
      <c r="Q2222" s="14" t="s">
        <v>39</v>
      </c>
      <c r="R2222">
        <f>tblDailySchedule[[#This Row],[Capacity Approx]]*'[1]Load Factor Sheet June Acft  '!$B$5</f>
        <v>150.61772727272728</v>
      </c>
      <c r="S2222">
        <f>tblDailySchedule[[#This Row],[Capacity Approx]]*'[1]Load Factor Sheet June Acft  '!$D$5</f>
        <v>163.08818181818182</v>
      </c>
      <c r="T2222" s="22">
        <f>tblDailySchedule[[#This Row],[STD]]</f>
        <v>0.40972222222222221</v>
      </c>
    </row>
    <row r="2223" spans="1:20" hidden="1" x14ac:dyDescent="0.35">
      <c r="A2223" s="11">
        <v>46190</v>
      </c>
      <c r="B2223" s="3">
        <v>3</v>
      </c>
      <c r="C2223" t="s">
        <v>113</v>
      </c>
      <c r="D2223" t="s">
        <v>18</v>
      </c>
      <c r="E2223" s="3">
        <v>5</v>
      </c>
      <c r="F2223" t="s">
        <v>19</v>
      </c>
      <c r="G2223" t="s">
        <v>40</v>
      </c>
      <c r="H2223" t="s">
        <v>31</v>
      </c>
      <c r="I2223" s="12">
        <v>0.35069444444444442</v>
      </c>
      <c r="J2223" t="s">
        <v>41</v>
      </c>
      <c r="K2223" t="s">
        <v>31</v>
      </c>
      <c r="L2223" s="12">
        <v>0.37152777777777779</v>
      </c>
      <c r="M2223" t="s">
        <v>23</v>
      </c>
      <c r="N2223" s="3">
        <v>186</v>
      </c>
      <c r="O2223" t="s">
        <v>24</v>
      </c>
      <c r="P2223" t="s">
        <v>25</v>
      </c>
      <c r="R2223">
        <f>tblDailySchedule[[#This Row],[Capacity Approx]]*'[1]Load Factor Sheet June Acft  '!$B$5</f>
        <v>150.61772727272728</v>
      </c>
      <c r="S2223">
        <f>tblDailySchedule[[#This Row],[Capacity Approx]]*'[1]Load Factor Sheet June Acft  '!$D$5</f>
        <v>163.08818181818182</v>
      </c>
      <c r="T2223" s="22">
        <f>tblDailySchedule[[#This Row],[STD]]</f>
        <v>0.37152777777777779</v>
      </c>
    </row>
    <row r="2224" spans="1:20" hidden="1" x14ac:dyDescent="0.35">
      <c r="A2224" s="11">
        <v>46190</v>
      </c>
      <c r="B2224" s="3">
        <v>3</v>
      </c>
      <c r="C2224" t="s">
        <v>113</v>
      </c>
      <c r="D2224" t="s">
        <v>18</v>
      </c>
      <c r="E2224" s="3">
        <v>7</v>
      </c>
      <c r="F2224" t="s">
        <v>19</v>
      </c>
      <c r="G2224" t="s">
        <v>42</v>
      </c>
      <c r="H2224" t="s">
        <v>43</v>
      </c>
      <c r="I2224" s="12">
        <v>0.3923611111111111</v>
      </c>
      <c r="J2224" t="s">
        <v>44</v>
      </c>
      <c r="K2224" t="s">
        <v>43</v>
      </c>
      <c r="L2224" s="12">
        <v>0.40277777777777779</v>
      </c>
      <c r="M2224" t="s">
        <v>45</v>
      </c>
      <c r="N2224" s="3">
        <v>9</v>
      </c>
      <c r="O2224" t="s">
        <v>24</v>
      </c>
      <c r="P2224" t="s">
        <v>25</v>
      </c>
      <c r="R2224">
        <f>tblDailySchedule[[#This Row],[Capacity Approx]]*'[1]Load Factor Sheet June Acft  '!$B$5</f>
        <v>7.2879545454545456</v>
      </c>
      <c r="S2224">
        <f>tblDailySchedule[[#This Row],[Capacity Approx]]*'[1]Load Factor Sheet June Acft  '!$D$5</f>
        <v>7.8913636363636366</v>
      </c>
      <c r="T2224" s="22">
        <f>tblDailySchedule[[#This Row],[STD]]</f>
        <v>0.40277777777777779</v>
      </c>
    </row>
    <row r="2225" spans="1:20" hidden="1" x14ac:dyDescent="0.35">
      <c r="A2225" s="11">
        <v>46190</v>
      </c>
      <c r="B2225" s="3">
        <v>3</v>
      </c>
      <c r="C2225" t="s">
        <v>113</v>
      </c>
      <c r="D2225" t="s">
        <v>18</v>
      </c>
      <c r="E2225" s="3">
        <v>8</v>
      </c>
      <c r="F2225" t="s">
        <v>19</v>
      </c>
      <c r="G2225" t="s">
        <v>46</v>
      </c>
      <c r="H2225" t="s">
        <v>31</v>
      </c>
      <c r="I2225" s="12">
        <v>0.4201388888888889</v>
      </c>
      <c r="J2225" t="s">
        <v>47</v>
      </c>
      <c r="K2225" t="s">
        <v>31</v>
      </c>
      <c r="L2225" s="12">
        <v>0.44444444444444442</v>
      </c>
      <c r="M2225" t="s">
        <v>29</v>
      </c>
      <c r="N2225" s="3">
        <v>186</v>
      </c>
      <c r="O2225" t="s">
        <v>24</v>
      </c>
      <c r="P2225" t="s">
        <v>25</v>
      </c>
      <c r="R2225">
        <f>tblDailySchedule[[#This Row],[Capacity Approx]]*'[1]Load Factor Sheet June Acft  '!$B$5</f>
        <v>150.61772727272728</v>
      </c>
      <c r="S2225">
        <f>tblDailySchedule[[#This Row],[Capacity Approx]]*'[1]Load Factor Sheet June Acft  '!$D$5</f>
        <v>163.08818181818182</v>
      </c>
      <c r="T2225" s="22">
        <f>tblDailySchedule[[#This Row],[STD]]</f>
        <v>0.44444444444444442</v>
      </c>
    </row>
    <row r="2226" spans="1:20" hidden="1" x14ac:dyDescent="0.35">
      <c r="A2226" s="11">
        <v>46190</v>
      </c>
      <c r="B2226" s="3">
        <v>3</v>
      </c>
      <c r="C2226" t="s">
        <v>113</v>
      </c>
      <c r="D2226" t="s">
        <v>18</v>
      </c>
      <c r="E2226" s="3">
        <v>9</v>
      </c>
      <c r="F2226" t="s">
        <v>19</v>
      </c>
      <c r="G2226" t="s">
        <v>48</v>
      </c>
      <c r="H2226" t="s">
        <v>49</v>
      </c>
      <c r="I2226" s="12">
        <v>0.4375</v>
      </c>
      <c r="J2226" t="s">
        <v>50</v>
      </c>
      <c r="K2226" t="s">
        <v>49</v>
      </c>
      <c r="L2226" s="12">
        <v>0.45833333333333331</v>
      </c>
      <c r="M2226" t="s">
        <v>51</v>
      </c>
      <c r="N2226" s="3">
        <v>78</v>
      </c>
      <c r="O2226" t="s">
        <v>24</v>
      </c>
      <c r="P2226" t="s">
        <v>25</v>
      </c>
      <c r="R2226">
        <f>tblDailySchedule[[#This Row],[Capacity Approx]]*'[1]Load Factor Sheet June Acft  '!$B$5</f>
        <v>63.162272727272729</v>
      </c>
      <c r="S2226">
        <f>tblDailySchedule[[#This Row],[Capacity Approx]]*'[1]Load Factor Sheet June Acft  '!$D$5</f>
        <v>68.391818181818181</v>
      </c>
      <c r="T2226" s="22">
        <f>tblDailySchedule[[#This Row],[STD]]</f>
        <v>0.45833333333333331</v>
      </c>
    </row>
    <row r="2227" spans="1:20" hidden="1" x14ac:dyDescent="0.35">
      <c r="A2227" s="11">
        <v>46190</v>
      </c>
      <c r="B2227" s="3">
        <v>3</v>
      </c>
      <c r="C2227" t="s">
        <v>113</v>
      </c>
      <c r="D2227" t="s">
        <v>18</v>
      </c>
      <c r="E2227" s="3">
        <v>10</v>
      </c>
      <c r="F2227" t="s">
        <v>19</v>
      </c>
      <c r="G2227" t="s">
        <v>52</v>
      </c>
      <c r="H2227" t="s">
        <v>27</v>
      </c>
      <c r="I2227" s="12">
        <v>0.4826388888888889</v>
      </c>
      <c r="J2227" t="s">
        <v>53</v>
      </c>
      <c r="K2227" t="s">
        <v>27</v>
      </c>
      <c r="L2227" s="12">
        <v>0.51041666666666663</v>
      </c>
      <c r="M2227" t="s">
        <v>23</v>
      </c>
      <c r="N2227" s="3">
        <v>186</v>
      </c>
      <c r="O2227" t="s">
        <v>24</v>
      </c>
      <c r="P2227" t="s">
        <v>25</v>
      </c>
      <c r="R2227">
        <f>tblDailySchedule[[#This Row],[Capacity Approx]]*'[1]Load Factor Sheet June Acft  '!$B$5</f>
        <v>150.61772727272728</v>
      </c>
      <c r="S2227">
        <f>tblDailySchedule[[#This Row],[Capacity Approx]]*'[1]Load Factor Sheet June Acft  '!$D$5</f>
        <v>163.08818181818182</v>
      </c>
      <c r="T2227" s="22">
        <f>tblDailySchedule[[#This Row],[STD]]</f>
        <v>0.51041666666666663</v>
      </c>
    </row>
    <row r="2228" spans="1:20" hidden="1" x14ac:dyDescent="0.35">
      <c r="A2228" s="11">
        <v>46190</v>
      </c>
      <c r="B2228" s="3">
        <v>3</v>
      </c>
      <c r="C2228" t="s">
        <v>113</v>
      </c>
      <c r="D2228" t="s">
        <v>18</v>
      </c>
      <c r="E2228" s="3">
        <v>11</v>
      </c>
      <c r="F2228" t="s">
        <v>19</v>
      </c>
      <c r="G2228" t="s">
        <v>54</v>
      </c>
      <c r="H2228" t="s">
        <v>31</v>
      </c>
      <c r="I2228" s="12">
        <v>0.51388888888888884</v>
      </c>
      <c r="J2228" t="s">
        <v>55</v>
      </c>
      <c r="K2228" t="s">
        <v>31</v>
      </c>
      <c r="L2228" s="12">
        <v>0.54166666666666663</v>
      </c>
      <c r="M2228" t="s">
        <v>23</v>
      </c>
      <c r="N2228" s="3">
        <v>186</v>
      </c>
      <c r="O2228" t="s">
        <v>24</v>
      </c>
      <c r="P2228" t="s">
        <v>56</v>
      </c>
      <c r="R2228">
        <f>tblDailySchedule[[#This Row],[Capacity Approx]]*'[1]Load Factor Sheet June Acft  '!$B$5</f>
        <v>150.61772727272728</v>
      </c>
      <c r="S2228">
        <f>tblDailySchedule[[#This Row],[Capacity Approx]]*'[1]Load Factor Sheet June Acft  '!$D$5</f>
        <v>163.08818181818182</v>
      </c>
      <c r="T2228" s="22">
        <f>tblDailySchedule[[#This Row],[STD]]</f>
        <v>0.54166666666666663</v>
      </c>
    </row>
    <row r="2229" spans="1:20" hidden="1" x14ac:dyDescent="0.35">
      <c r="A2229" s="11">
        <v>46190</v>
      </c>
      <c r="B2229" s="3">
        <v>3</v>
      </c>
      <c r="C2229" t="s">
        <v>113</v>
      </c>
      <c r="D2229" t="s">
        <v>18</v>
      </c>
      <c r="E2229" s="3">
        <v>13</v>
      </c>
      <c r="F2229" t="s">
        <v>19</v>
      </c>
      <c r="G2229" t="s">
        <v>57</v>
      </c>
      <c r="H2229" t="s">
        <v>58</v>
      </c>
      <c r="I2229" s="12">
        <v>0.55902777777777779</v>
      </c>
      <c r="J2229" t="s">
        <v>59</v>
      </c>
      <c r="K2229" t="s">
        <v>58</v>
      </c>
      <c r="L2229" s="12">
        <v>0.57638888888888884</v>
      </c>
      <c r="M2229" t="s">
        <v>51</v>
      </c>
      <c r="N2229" s="3">
        <v>78</v>
      </c>
      <c r="O2229" t="s">
        <v>24</v>
      </c>
      <c r="P2229" t="s">
        <v>56</v>
      </c>
      <c r="R2229">
        <f>tblDailySchedule[[#This Row],[Capacity Approx]]*'[1]Load Factor Sheet June Acft  '!$B$5</f>
        <v>63.162272727272729</v>
      </c>
      <c r="S2229">
        <f>tblDailySchedule[[#This Row],[Capacity Approx]]*'[1]Load Factor Sheet June Acft  '!$D$5</f>
        <v>68.391818181818181</v>
      </c>
      <c r="T2229" s="22">
        <f>tblDailySchedule[[#This Row],[STD]]</f>
        <v>0.57638888888888884</v>
      </c>
    </row>
    <row r="2230" spans="1:20" hidden="1" x14ac:dyDescent="0.35">
      <c r="A2230" s="11">
        <v>46190</v>
      </c>
      <c r="B2230" s="3">
        <v>3</v>
      </c>
      <c r="C2230" t="s">
        <v>113</v>
      </c>
      <c r="D2230" t="s">
        <v>18</v>
      </c>
      <c r="E2230" s="3">
        <v>14</v>
      </c>
      <c r="F2230" t="s">
        <v>19</v>
      </c>
      <c r="G2230" t="s">
        <v>60</v>
      </c>
      <c r="H2230" t="s">
        <v>61</v>
      </c>
      <c r="I2230" s="12">
        <v>0.59027777777777779</v>
      </c>
      <c r="J2230" t="s">
        <v>62</v>
      </c>
      <c r="K2230" t="s">
        <v>61</v>
      </c>
      <c r="L2230" s="12">
        <v>0.62152777777777779</v>
      </c>
      <c r="M2230" t="s">
        <v>63</v>
      </c>
      <c r="N2230" s="3">
        <v>232</v>
      </c>
      <c r="O2230" t="s">
        <v>24</v>
      </c>
      <c r="P2230" t="s">
        <v>56</v>
      </c>
      <c r="R2230">
        <f>tblDailySchedule[[#This Row],[Capacity Approx]]*'[1]Load Factor Sheet June Acft  '!$B$5</f>
        <v>187.86727272727273</v>
      </c>
      <c r="S2230">
        <f>tblDailySchedule[[#This Row],[Capacity Approx]]*'[1]Load Factor Sheet June Acft  '!$D$5</f>
        <v>203.4218181818182</v>
      </c>
      <c r="T2230" s="22">
        <f>tblDailySchedule[[#This Row],[STD]]</f>
        <v>0.62152777777777779</v>
      </c>
    </row>
    <row r="2231" spans="1:20" hidden="1" x14ac:dyDescent="0.35">
      <c r="A2231" s="11">
        <v>46190</v>
      </c>
      <c r="B2231" s="3">
        <v>3</v>
      </c>
      <c r="C2231" t="s">
        <v>113</v>
      </c>
      <c r="D2231" t="s">
        <v>18</v>
      </c>
      <c r="E2231" s="3">
        <v>15</v>
      </c>
      <c r="F2231" t="s">
        <v>19</v>
      </c>
      <c r="G2231" t="s">
        <v>64</v>
      </c>
      <c r="H2231" t="s">
        <v>31</v>
      </c>
      <c r="I2231" s="12">
        <v>0.60069444444444442</v>
      </c>
      <c r="J2231" t="s">
        <v>65</v>
      </c>
      <c r="K2231" t="s">
        <v>66</v>
      </c>
      <c r="L2231" s="12">
        <v>0.62847222222222221</v>
      </c>
      <c r="M2231" t="s">
        <v>63</v>
      </c>
      <c r="N2231" s="3">
        <v>232</v>
      </c>
      <c r="O2231" t="s">
        <v>24</v>
      </c>
      <c r="P2231" t="s">
        <v>56</v>
      </c>
      <c r="R2231">
        <f>tblDailySchedule[[#This Row],[Capacity Approx]]*'[1]Load Factor Sheet June Acft  '!$B$5</f>
        <v>187.86727272727273</v>
      </c>
      <c r="S2231">
        <f>tblDailySchedule[[#This Row],[Capacity Approx]]*'[1]Load Factor Sheet June Acft  '!$D$5</f>
        <v>203.4218181818182</v>
      </c>
      <c r="T2231" s="22">
        <f>tblDailySchedule[[#This Row],[STD]]</f>
        <v>0.62847222222222221</v>
      </c>
    </row>
    <row r="2232" spans="1:20" hidden="1" x14ac:dyDescent="0.35">
      <c r="A2232" s="11">
        <v>46190</v>
      </c>
      <c r="B2232" s="3">
        <v>3</v>
      </c>
      <c r="C2232" t="s">
        <v>113</v>
      </c>
      <c r="D2232" t="s">
        <v>18</v>
      </c>
      <c r="E2232" s="3">
        <v>16</v>
      </c>
      <c r="F2232" t="s">
        <v>19</v>
      </c>
      <c r="G2232" t="s">
        <v>67</v>
      </c>
      <c r="H2232" t="s">
        <v>31</v>
      </c>
      <c r="I2232" s="12">
        <v>0.65625</v>
      </c>
      <c r="J2232" t="s">
        <v>68</v>
      </c>
      <c r="K2232" t="s">
        <v>31</v>
      </c>
      <c r="L2232" s="12">
        <v>0.68402777777777779</v>
      </c>
      <c r="M2232" t="s">
        <v>63</v>
      </c>
      <c r="N2232" s="3">
        <v>232</v>
      </c>
      <c r="O2232" t="s">
        <v>24</v>
      </c>
      <c r="P2232" t="s">
        <v>56</v>
      </c>
      <c r="R2232">
        <f>tblDailySchedule[[#This Row],[Capacity Approx]]*'[1]Load Factor Sheet June Acft  '!$B$5</f>
        <v>187.86727272727273</v>
      </c>
      <c r="S2232">
        <f>tblDailySchedule[[#This Row],[Capacity Approx]]*'[1]Load Factor Sheet June Acft  '!$D$5</f>
        <v>203.4218181818182</v>
      </c>
      <c r="T2232" s="22">
        <f>tblDailySchedule[[#This Row],[STD]]</f>
        <v>0.68402777777777779</v>
      </c>
    </row>
    <row r="2233" spans="1:20" hidden="1" x14ac:dyDescent="0.35">
      <c r="A2233" s="11">
        <v>46190</v>
      </c>
      <c r="B2233" s="3">
        <v>3</v>
      </c>
      <c r="C2233" t="s">
        <v>113</v>
      </c>
      <c r="D2233" t="s">
        <v>18</v>
      </c>
      <c r="E2233" s="3">
        <v>17</v>
      </c>
      <c r="F2233" t="s">
        <v>19</v>
      </c>
      <c r="G2233" t="s">
        <v>69</v>
      </c>
      <c r="H2233" t="s">
        <v>31</v>
      </c>
      <c r="I2233" s="12">
        <v>0.66319444444444442</v>
      </c>
      <c r="J2233" t="s">
        <v>70</v>
      </c>
      <c r="K2233" t="s">
        <v>31</v>
      </c>
      <c r="L2233" s="12">
        <v>0.69097222222222221</v>
      </c>
      <c r="M2233" t="s">
        <v>33</v>
      </c>
      <c r="N2233" s="3">
        <v>189</v>
      </c>
      <c r="O2233" t="s">
        <v>24</v>
      </c>
      <c r="P2233" t="s">
        <v>56</v>
      </c>
      <c r="R2233">
        <f>tblDailySchedule[[#This Row],[Capacity Approx]]*'[1]Load Factor Sheet June Acft  '!$B$5</f>
        <v>153.04704545454547</v>
      </c>
      <c r="S2233">
        <f>tblDailySchedule[[#This Row],[Capacity Approx]]*'[1]Load Factor Sheet June Acft  '!$D$5</f>
        <v>165.71863636363636</v>
      </c>
      <c r="T2233" s="22">
        <f>tblDailySchedule[[#This Row],[STD]]</f>
        <v>0.69097222222222221</v>
      </c>
    </row>
    <row r="2234" spans="1:20" hidden="1" x14ac:dyDescent="0.35">
      <c r="A2234" s="11">
        <v>46190</v>
      </c>
      <c r="B2234" s="3">
        <v>3</v>
      </c>
      <c r="C2234" t="s">
        <v>113</v>
      </c>
      <c r="D2234" t="s">
        <v>18</v>
      </c>
      <c r="E2234" s="3">
        <v>18</v>
      </c>
      <c r="F2234" t="s">
        <v>19</v>
      </c>
      <c r="G2234" t="s">
        <v>71</v>
      </c>
      <c r="H2234" t="s">
        <v>21</v>
      </c>
      <c r="I2234" s="12">
        <v>0.67013888888888884</v>
      </c>
      <c r="J2234" t="s">
        <v>72</v>
      </c>
      <c r="K2234" t="s">
        <v>21</v>
      </c>
      <c r="L2234" s="12">
        <v>0.69791666666666663</v>
      </c>
      <c r="M2234" t="s">
        <v>63</v>
      </c>
      <c r="N2234" s="3">
        <v>232</v>
      </c>
      <c r="O2234" t="s">
        <v>24</v>
      </c>
      <c r="P2234" t="s">
        <v>56</v>
      </c>
      <c r="R2234">
        <f>tblDailySchedule[[#This Row],[Capacity Approx]]*'[1]Load Factor Sheet June Acft  '!$B$5</f>
        <v>187.86727272727273</v>
      </c>
      <c r="S2234">
        <f>tblDailySchedule[[#This Row],[Capacity Approx]]*'[1]Load Factor Sheet June Acft  '!$D$5</f>
        <v>203.4218181818182</v>
      </c>
      <c r="T2234" s="22">
        <f>tblDailySchedule[[#This Row],[STD]]</f>
        <v>0.69791666666666663</v>
      </c>
    </row>
    <row r="2235" spans="1:20" hidden="1" x14ac:dyDescent="0.35">
      <c r="A2235" s="11">
        <v>46190</v>
      </c>
      <c r="B2235" s="3">
        <v>3</v>
      </c>
      <c r="C2235" t="s">
        <v>113</v>
      </c>
      <c r="D2235" t="s">
        <v>18</v>
      </c>
      <c r="E2235" s="3">
        <v>19</v>
      </c>
      <c r="F2235" t="s">
        <v>19</v>
      </c>
      <c r="G2235" t="s">
        <v>73</v>
      </c>
      <c r="H2235" t="s">
        <v>27</v>
      </c>
      <c r="I2235" s="12">
        <v>0.74652777777777779</v>
      </c>
      <c r="J2235" t="s">
        <v>74</v>
      </c>
      <c r="K2235" t="s">
        <v>27</v>
      </c>
      <c r="L2235" s="12">
        <v>0.77430555555555558</v>
      </c>
      <c r="M2235" t="s">
        <v>63</v>
      </c>
      <c r="N2235" s="3">
        <v>232</v>
      </c>
      <c r="O2235" t="s">
        <v>24</v>
      </c>
      <c r="P2235" t="s">
        <v>56</v>
      </c>
      <c r="R2235">
        <f>tblDailySchedule[[#This Row],[Capacity Approx]]*'[1]Load Factor Sheet June Acft  '!$B$5</f>
        <v>187.86727272727273</v>
      </c>
      <c r="S2235">
        <f>tblDailySchedule[[#This Row],[Capacity Approx]]*'[1]Load Factor Sheet June Acft  '!$D$5</f>
        <v>203.4218181818182</v>
      </c>
      <c r="T2235" s="22">
        <f>tblDailySchedule[[#This Row],[STD]]</f>
        <v>0.77430555555555558</v>
      </c>
    </row>
    <row r="2236" spans="1:20" hidden="1" x14ac:dyDescent="0.35">
      <c r="A2236" s="11">
        <v>46190</v>
      </c>
      <c r="B2236" s="3">
        <v>3</v>
      </c>
      <c r="C2236" t="s">
        <v>113</v>
      </c>
      <c r="D2236" t="s">
        <v>18</v>
      </c>
      <c r="E2236" s="3">
        <v>20</v>
      </c>
      <c r="F2236" t="s">
        <v>34</v>
      </c>
      <c r="G2236" t="s">
        <v>75</v>
      </c>
      <c r="H2236" t="s">
        <v>76</v>
      </c>
      <c r="I2236" s="12">
        <v>0.76388888888888884</v>
      </c>
      <c r="J2236" t="s">
        <v>77</v>
      </c>
      <c r="K2236" t="s">
        <v>78</v>
      </c>
      <c r="L2236" s="12">
        <v>0.78472222222222221</v>
      </c>
      <c r="M2236" t="s">
        <v>51</v>
      </c>
      <c r="N2236" s="3">
        <v>78</v>
      </c>
      <c r="O2236" t="s">
        <v>24</v>
      </c>
      <c r="P2236" t="s">
        <v>79</v>
      </c>
      <c r="Q2236" s="16" t="s">
        <v>80</v>
      </c>
      <c r="R2236">
        <f>tblDailySchedule[[#This Row],[Capacity Approx]]*'[1]Load Factor Sheet June Acft  '!$B$5</f>
        <v>63.162272727272729</v>
      </c>
      <c r="S2236">
        <f>tblDailySchedule[[#This Row],[Capacity Approx]]*'[1]Load Factor Sheet June Acft  '!$D$5</f>
        <v>68.391818181818181</v>
      </c>
      <c r="T2236" s="22">
        <f>tblDailySchedule[[#This Row],[STD]]</f>
        <v>0.78472222222222221</v>
      </c>
    </row>
    <row r="2237" spans="1:20" hidden="1" x14ac:dyDescent="0.35">
      <c r="A2237" s="11">
        <v>46190</v>
      </c>
      <c r="B2237" s="3">
        <v>3</v>
      </c>
      <c r="C2237" t="s">
        <v>113</v>
      </c>
      <c r="D2237" t="s">
        <v>18</v>
      </c>
      <c r="E2237" s="3">
        <v>21</v>
      </c>
      <c r="F2237" t="s">
        <v>19</v>
      </c>
      <c r="G2237" t="s">
        <v>81</v>
      </c>
      <c r="H2237" t="s">
        <v>61</v>
      </c>
      <c r="I2237" s="12">
        <v>0.77083333333333337</v>
      </c>
      <c r="J2237" t="s">
        <v>82</v>
      </c>
      <c r="K2237" t="s">
        <v>49</v>
      </c>
      <c r="L2237" s="12">
        <v>0.79166666666666663</v>
      </c>
      <c r="M2237" t="s">
        <v>33</v>
      </c>
      <c r="N2237" s="3">
        <v>189</v>
      </c>
      <c r="O2237" t="s">
        <v>24</v>
      </c>
      <c r="P2237" t="s">
        <v>79</v>
      </c>
      <c r="R2237">
        <f>tblDailySchedule[[#This Row],[Capacity Approx]]*'[1]Load Factor Sheet June Acft  '!$B$5</f>
        <v>153.04704545454547</v>
      </c>
      <c r="S2237">
        <f>tblDailySchedule[[#This Row],[Capacity Approx]]*'[1]Load Factor Sheet June Acft  '!$D$5</f>
        <v>165.71863636363636</v>
      </c>
      <c r="T2237" s="22">
        <f>tblDailySchedule[[#This Row],[STD]]</f>
        <v>0.79166666666666663</v>
      </c>
    </row>
    <row r="2238" spans="1:20" hidden="1" x14ac:dyDescent="0.35">
      <c r="A2238" s="11">
        <v>46190</v>
      </c>
      <c r="B2238" s="3">
        <v>3</v>
      </c>
      <c r="C2238" t="s">
        <v>113</v>
      </c>
      <c r="D2238" t="s">
        <v>18</v>
      </c>
      <c r="E2238" s="3">
        <v>22</v>
      </c>
      <c r="F2238" t="s">
        <v>19</v>
      </c>
      <c r="G2238" t="s">
        <v>83</v>
      </c>
      <c r="H2238" t="s">
        <v>31</v>
      </c>
      <c r="I2238" s="12">
        <v>0.77777777777777779</v>
      </c>
      <c r="J2238" t="s">
        <v>84</v>
      </c>
      <c r="K2238" t="s">
        <v>31</v>
      </c>
      <c r="L2238" s="12">
        <v>0.80555555555555558</v>
      </c>
      <c r="M2238" t="s">
        <v>63</v>
      </c>
      <c r="N2238" s="3">
        <v>232</v>
      </c>
      <c r="O2238" t="s">
        <v>24</v>
      </c>
      <c r="P2238" t="s">
        <v>79</v>
      </c>
      <c r="R2238">
        <f>tblDailySchedule[[#This Row],[Capacity Approx]]*'[1]Load Factor Sheet June Acft  '!$B$5</f>
        <v>187.86727272727273</v>
      </c>
      <c r="S2238">
        <f>tblDailySchedule[[#This Row],[Capacity Approx]]*'[1]Load Factor Sheet June Acft  '!$D$5</f>
        <v>203.4218181818182</v>
      </c>
      <c r="T2238" s="22">
        <f>tblDailySchedule[[#This Row],[STD]]</f>
        <v>0.80555555555555558</v>
      </c>
    </row>
    <row r="2239" spans="1:20" hidden="1" x14ac:dyDescent="0.35">
      <c r="A2239" s="11">
        <v>46190</v>
      </c>
      <c r="B2239" s="3">
        <v>3</v>
      </c>
      <c r="C2239" t="s">
        <v>113</v>
      </c>
      <c r="D2239" t="s">
        <v>18</v>
      </c>
      <c r="E2239" s="3">
        <v>23</v>
      </c>
      <c r="F2239" t="s">
        <v>19</v>
      </c>
      <c r="G2239" t="s">
        <v>85</v>
      </c>
      <c r="H2239" t="s">
        <v>86</v>
      </c>
      <c r="I2239" s="12">
        <v>0.79861111111111116</v>
      </c>
      <c r="J2239" t="s">
        <v>87</v>
      </c>
      <c r="K2239" t="s">
        <v>86</v>
      </c>
      <c r="L2239" s="12">
        <v>0.82638888888888884</v>
      </c>
      <c r="M2239" t="s">
        <v>63</v>
      </c>
      <c r="N2239" s="3">
        <v>232</v>
      </c>
      <c r="O2239" t="s">
        <v>24</v>
      </c>
      <c r="P2239" t="s">
        <v>79</v>
      </c>
      <c r="R2239">
        <f>tblDailySchedule[[#This Row],[Capacity Approx]]*'[1]Load Factor Sheet June Acft  '!$B$5</f>
        <v>187.86727272727273</v>
      </c>
      <c r="S2239">
        <f>tblDailySchedule[[#This Row],[Capacity Approx]]*'[1]Load Factor Sheet June Acft  '!$D$5</f>
        <v>203.4218181818182</v>
      </c>
      <c r="T2239" s="22">
        <f>tblDailySchedule[[#This Row],[STD]]</f>
        <v>0.82638888888888884</v>
      </c>
    </row>
    <row r="2240" spans="1:20" hidden="1" x14ac:dyDescent="0.35">
      <c r="A2240" s="11">
        <v>46190</v>
      </c>
      <c r="B2240" s="3">
        <v>3</v>
      </c>
      <c r="C2240" t="s">
        <v>113</v>
      </c>
      <c r="D2240" t="s">
        <v>18</v>
      </c>
      <c r="E2240" s="3">
        <v>24</v>
      </c>
      <c r="F2240" t="s">
        <v>19</v>
      </c>
      <c r="G2240" t="s">
        <v>88</v>
      </c>
      <c r="H2240" t="s">
        <v>89</v>
      </c>
      <c r="I2240" s="12">
        <v>0.83333333333333337</v>
      </c>
      <c r="J2240" t="s">
        <v>90</v>
      </c>
      <c r="K2240" t="s">
        <v>31</v>
      </c>
      <c r="L2240" s="12">
        <v>0.86111111111111116</v>
      </c>
      <c r="M2240" t="s">
        <v>63</v>
      </c>
      <c r="N2240" s="3">
        <v>232</v>
      </c>
      <c r="O2240" t="s">
        <v>24</v>
      </c>
      <c r="P2240" t="s">
        <v>79</v>
      </c>
      <c r="R2240">
        <f>tblDailySchedule[[#This Row],[Capacity Approx]]*'[1]Load Factor Sheet June Acft  '!$B$5</f>
        <v>187.86727272727273</v>
      </c>
      <c r="S2240">
        <f>tblDailySchedule[[#This Row],[Capacity Approx]]*'[1]Load Factor Sheet June Acft  '!$D$5</f>
        <v>203.4218181818182</v>
      </c>
      <c r="T2240" s="22">
        <f>tblDailySchedule[[#This Row],[STD]]</f>
        <v>0.86111111111111116</v>
      </c>
    </row>
    <row r="2241" spans="1:20" hidden="1" x14ac:dyDescent="0.35">
      <c r="A2241" s="11">
        <v>46190</v>
      </c>
      <c r="B2241" s="3">
        <v>3</v>
      </c>
      <c r="C2241" t="s">
        <v>113</v>
      </c>
      <c r="D2241" t="s">
        <v>18</v>
      </c>
      <c r="E2241" s="3">
        <v>25</v>
      </c>
      <c r="F2241" t="s">
        <v>19</v>
      </c>
      <c r="G2241" t="s">
        <v>91</v>
      </c>
      <c r="H2241" t="s">
        <v>61</v>
      </c>
      <c r="I2241" s="12">
        <v>0.85416666666666663</v>
      </c>
      <c r="J2241" t="s">
        <v>92</v>
      </c>
      <c r="K2241" t="s">
        <v>61</v>
      </c>
      <c r="L2241" s="12">
        <v>0.88194444444444442</v>
      </c>
      <c r="M2241" t="s">
        <v>63</v>
      </c>
      <c r="N2241" s="3">
        <v>232</v>
      </c>
      <c r="O2241" t="s">
        <v>24</v>
      </c>
      <c r="P2241" t="s">
        <v>79</v>
      </c>
      <c r="R2241">
        <f>tblDailySchedule[[#This Row],[Capacity Approx]]*'[1]Load Factor Sheet June Acft  '!$B$5</f>
        <v>187.86727272727273</v>
      </c>
      <c r="S2241">
        <f>tblDailySchedule[[#This Row],[Capacity Approx]]*'[1]Load Factor Sheet June Acft  '!$D$5</f>
        <v>203.4218181818182</v>
      </c>
      <c r="T2241" s="22">
        <f>tblDailySchedule[[#This Row],[STD]]</f>
        <v>0.88194444444444442</v>
      </c>
    </row>
    <row r="2242" spans="1:20" hidden="1" x14ac:dyDescent="0.35">
      <c r="A2242" s="11">
        <v>46190</v>
      </c>
      <c r="B2242" s="3">
        <v>3</v>
      </c>
      <c r="C2242" t="s">
        <v>113</v>
      </c>
      <c r="D2242" t="s">
        <v>18</v>
      </c>
      <c r="E2242" s="3">
        <v>26</v>
      </c>
      <c r="F2242" t="s">
        <v>19</v>
      </c>
      <c r="G2242" t="s">
        <v>93</v>
      </c>
      <c r="H2242" t="s">
        <v>31</v>
      </c>
      <c r="I2242" s="12">
        <v>0.86111111111111116</v>
      </c>
      <c r="J2242" t="s">
        <v>94</v>
      </c>
      <c r="K2242" t="s">
        <v>31</v>
      </c>
      <c r="L2242" s="12">
        <v>0.88888888888888884</v>
      </c>
      <c r="M2242" t="s">
        <v>23</v>
      </c>
      <c r="N2242" s="3">
        <v>186</v>
      </c>
      <c r="O2242" t="s">
        <v>24</v>
      </c>
      <c r="P2242" t="s">
        <v>79</v>
      </c>
      <c r="R2242">
        <f>tblDailySchedule[[#This Row],[Capacity Approx]]*'[1]Load Factor Sheet June Acft  '!$B$5</f>
        <v>150.61772727272728</v>
      </c>
      <c r="S2242">
        <f>tblDailySchedule[[#This Row],[Capacity Approx]]*'[1]Load Factor Sheet June Acft  '!$D$5</f>
        <v>163.08818181818182</v>
      </c>
      <c r="T2242" s="22">
        <f>tblDailySchedule[[#This Row],[STD]]</f>
        <v>0.88888888888888884</v>
      </c>
    </row>
    <row r="2243" spans="1:20" hidden="1" x14ac:dyDescent="0.35">
      <c r="A2243" s="11">
        <v>46190</v>
      </c>
      <c r="B2243" s="3">
        <v>3</v>
      </c>
      <c r="C2243" t="s">
        <v>113</v>
      </c>
      <c r="D2243" t="s">
        <v>18</v>
      </c>
      <c r="E2243" s="3">
        <v>27</v>
      </c>
      <c r="F2243" t="s">
        <v>19</v>
      </c>
      <c r="G2243" t="s">
        <v>95</v>
      </c>
      <c r="H2243" t="s">
        <v>21</v>
      </c>
      <c r="I2243" s="12">
        <v>0.86805555555555558</v>
      </c>
      <c r="J2243" t="s">
        <v>96</v>
      </c>
      <c r="K2243" t="s">
        <v>21</v>
      </c>
      <c r="L2243" s="12">
        <v>0.89583333333333337</v>
      </c>
      <c r="M2243" t="s">
        <v>29</v>
      </c>
      <c r="N2243" s="3">
        <v>186</v>
      </c>
      <c r="O2243" t="s">
        <v>24</v>
      </c>
      <c r="P2243" t="s">
        <v>79</v>
      </c>
      <c r="R2243">
        <f>tblDailySchedule[[#This Row],[Capacity Approx]]*'[1]Load Factor Sheet June Acft  '!$B$5</f>
        <v>150.61772727272728</v>
      </c>
      <c r="S2243">
        <f>tblDailySchedule[[#This Row],[Capacity Approx]]*'[1]Load Factor Sheet June Acft  '!$D$5</f>
        <v>163.08818181818182</v>
      </c>
      <c r="T2243" s="22">
        <f>tblDailySchedule[[#This Row],[STD]]</f>
        <v>0.89583333333333337</v>
      </c>
    </row>
    <row r="2244" spans="1:20" hidden="1" x14ac:dyDescent="0.35">
      <c r="A2244" s="11">
        <v>46190</v>
      </c>
      <c r="B2244" s="3">
        <v>3</v>
      </c>
      <c r="C2244" t="s">
        <v>113</v>
      </c>
      <c r="D2244" t="s">
        <v>18</v>
      </c>
      <c r="E2244" s="3">
        <v>28</v>
      </c>
      <c r="F2244" t="s">
        <v>19</v>
      </c>
      <c r="G2244" t="s">
        <v>97</v>
      </c>
      <c r="H2244" t="s">
        <v>49</v>
      </c>
      <c r="I2244" s="12">
        <v>0.90277777777777779</v>
      </c>
      <c r="J2244" t="s">
        <v>97</v>
      </c>
      <c r="K2244" t="s">
        <v>61</v>
      </c>
      <c r="L2244" s="12">
        <v>0.92361111111111116</v>
      </c>
      <c r="M2244" t="s">
        <v>33</v>
      </c>
      <c r="N2244" s="3">
        <v>189</v>
      </c>
      <c r="O2244" t="s">
        <v>24</v>
      </c>
      <c r="P2244" t="s">
        <v>79</v>
      </c>
      <c r="R2244">
        <f>tblDailySchedule[[#This Row],[Capacity Approx]]*'[1]Load Factor Sheet June Acft  '!$B$5</f>
        <v>153.04704545454547</v>
      </c>
      <c r="S2244">
        <f>tblDailySchedule[[#This Row],[Capacity Approx]]*'[1]Load Factor Sheet June Acft  '!$D$5</f>
        <v>165.71863636363636</v>
      </c>
      <c r="T2244" s="22">
        <f>tblDailySchedule[[#This Row],[STD]]</f>
        <v>0.92361111111111116</v>
      </c>
    </row>
    <row r="2245" spans="1:20" hidden="1" x14ac:dyDescent="0.35">
      <c r="A2245" s="11">
        <v>46190</v>
      </c>
      <c r="B2245" s="3">
        <v>3</v>
      </c>
      <c r="C2245" t="s">
        <v>113</v>
      </c>
      <c r="D2245" t="s">
        <v>18</v>
      </c>
      <c r="E2245" s="3">
        <v>29</v>
      </c>
      <c r="F2245" t="s">
        <v>19</v>
      </c>
      <c r="G2245" t="s">
        <v>98</v>
      </c>
      <c r="H2245" t="s">
        <v>21</v>
      </c>
      <c r="I2245" s="12">
        <v>0.92013888888888884</v>
      </c>
      <c r="J2245" t="s">
        <v>99</v>
      </c>
      <c r="K2245" t="s">
        <v>21</v>
      </c>
      <c r="L2245" s="12">
        <v>0.94791666666666663</v>
      </c>
      <c r="M2245" t="s">
        <v>63</v>
      </c>
      <c r="N2245" s="3">
        <v>232</v>
      </c>
      <c r="O2245" t="s">
        <v>24</v>
      </c>
      <c r="P2245" t="s">
        <v>79</v>
      </c>
      <c r="R2245">
        <f>tblDailySchedule[[#This Row],[Capacity Approx]]*'[1]Load Factor Sheet June Acft  '!$B$5</f>
        <v>187.86727272727273</v>
      </c>
      <c r="S2245">
        <f>tblDailySchedule[[#This Row],[Capacity Approx]]*'[1]Load Factor Sheet June Acft  '!$D$5</f>
        <v>203.4218181818182</v>
      </c>
      <c r="T2245" s="22">
        <f>tblDailySchedule[[#This Row],[STD]]</f>
        <v>0.94791666666666663</v>
      </c>
    </row>
    <row r="2246" spans="1:20" hidden="1" x14ac:dyDescent="0.35">
      <c r="A2246" s="13">
        <v>46190</v>
      </c>
      <c r="B2246" s="7">
        <v>3</v>
      </c>
      <c r="C2246" s="14" t="s">
        <v>113</v>
      </c>
      <c r="D2246" s="14" t="s">
        <v>18</v>
      </c>
      <c r="E2246" s="7">
        <v>30</v>
      </c>
      <c r="F2246" s="14" t="s">
        <v>104</v>
      </c>
      <c r="G2246" s="14" t="s">
        <v>105</v>
      </c>
      <c r="H2246" s="14" t="s">
        <v>106</v>
      </c>
      <c r="I2246" s="15">
        <v>0.92708333333333337</v>
      </c>
      <c r="J2246" s="14" t="s">
        <v>107</v>
      </c>
      <c r="K2246" s="14" t="s">
        <v>106</v>
      </c>
      <c r="L2246" s="15">
        <v>0.95833333333333337</v>
      </c>
      <c r="M2246" s="14" t="s">
        <v>38</v>
      </c>
      <c r="N2246" s="7">
        <v>186</v>
      </c>
      <c r="O2246" s="14" t="s">
        <v>39</v>
      </c>
      <c r="P2246" s="14" t="s">
        <v>79</v>
      </c>
      <c r="Q2246" s="14" t="s">
        <v>39</v>
      </c>
      <c r="R2246">
        <f>tblDailySchedule[[#This Row],[Capacity Approx]]*'[1]Load Factor Sheet June Acft  '!$B$5</f>
        <v>150.61772727272728</v>
      </c>
      <c r="S2246">
        <f>tblDailySchedule[[#This Row],[Capacity Approx]]*'[1]Load Factor Sheet June Acft  '!$D$5</f>
        <v>163.08818181818182</v>
      </c>
      <c r="T2246" s="22">
        <f>tblDailySchedule[[#This Row],[STD]]</f>
        <v>0.95833333333333337</v>
      </c>
    </row>
    <row r="2247" spans="1:20" hidden="1" x14ac:dyDescent="0.35">
      <c r="A2247" s="11">
        <v>46191</v>
      </c>
      <c r="B2247" s="3">
        <v>4</v>
      </c>
      <c r="C2247" t="s">
        <v>114</v>
      </c>
      <c r="D2247" t="s">
        <v>18</v>
      </c>
      <c r="E2247" s="3">
        <v>1</v>
      </c>
      <c r="F2247" t="s">
        <v>101</v>
      </c>
      <c r="G2247" t="s">
        <v>102</v>
      </c>
      <c r="H2247" t="s">
        <v>61</v>
      </c>
      <c r="I2247" s="12">
        <v>0.3125</v>
      </c>
      <c r="J2247" t="s">
        <v>103</v>
      </c>
      <c r="K2247" t="s">
        <v>61</v>
      </c>
      <c r="L2247" s="12">
        <v>0.33333333333333331</v>
      </c>
      <c r="M2247" t="s">
        <v>33</v>
      </c>
      <c r="N2247" s="3">
        <v>189</v>
      </c>
      <c r="O2247" t="s">
        <v>24</v>
      </c>
      <c r="P2247" t="s">
        <v>25</v>
      </c>
      <c r="R2247">
        <f>tblDailySchedule[[#This Row],[Capacity Approx]]*'[1]Load Factor Sheet June Acft  '!$B$5</f>
        <v>153.04704545454547</v>
      </c>
      <c r="S2247">
        <f>tblDailySchedule[[#This Row],[Capacity Approx]]*'[1]Load Factor Sheet June Acft  '!$D$5</f>
        <v>165.71863636363636</v>
      </c>
      <c r="T2247" s="22">
        <f>tblDailySchedule[[#This Row],[STD]]</f>
        <v>0.33333333333333331</v>
      </c>
    </row>
    <row r="2248" spans="1:20" hidden="1" x14ac:dyDescent="0.35">
      <c r="A2248" s="11">
        <v>46191</v>
      </c>
      <c r="B2248" s="3">
        <v>4</v>
      </c>
      <c r="C2248" t="s">
        <v>114</v>
      </c>
      <c r="D2248" t="s">
        <v>18</v>
      </c>
      <c r="E2248" s="3">
        <v>2</v>
      </c>
      <c r="F2248" t="s">
        <v>19</v>
      </c>
      <c r="G2248" t="s">
        <v>20</v>
      </c>
      <c r="H2248" t="s">
        <v>21</v>
      </c>
      <c r="I2248" s="12">
        <v>0.31944444444444442</v>
      </c>
      <c r="J2248" t="s">
        <v>22</v>
      </c>
      <c r="K2248" t="s">
        <v>21</v>
      </c>
      <c r="L2248" s="12">
        <v>0.34722222222222221</v>
      </c>
      <c r="M2248" t="s">
        <v>23</v>
      </c>
      <c r="N2248" s="3">
        <v>186</v>
      </c>
      <c r="O2248" t="s">
        <v>24</v>
      </c>
      <c r="P2248" t="s">
        <v>25</v>
      </c>
      <c r="R2248">
        <f>tblDailySchedule[[#This Row],[Capacity Approx]]*'[1]Load Factor Sheet June Acft  '!$B$5</f>
        <v>150.61772727272728</v>
      </c>
      <c r="S2248">
        <f>tblDailySchedule[[#This Row],[Capacity Approx]]*'[1]Load Factor Sheet June Acft  '!$D$5</f>
        <v>163.08818181818182</v>
      </c>
      <c r="T2248" s="22">
        <f>tblDailySchedule[[#This Row],[STD]]</f>
        <v>0.34722222222222221</v>
      </c>
    </row>
    <row r="2249" spans="1:20" hidden="1" x14ac:dyDescent="0.35">
      <c r="A2249" s="11">
        <v>46191</v>
      </c>
      <c r="B2249" s="3">
        <v>4</v>
      </c>
      <c r="C2249" t="s">
        <v>114</v>
      </c>
      <c r="D2249" t="s">
        <v>18</v>
      </c>
      <c r="E2249" s="3">
        <v>3</v>
      </c>
      <c r="F2249" t="s">
        <v>19</v>
      </c>
      <c r="G2249" t="s">
        <v>26</v>
      </c>
      <c r="H2249" t="s">
        <v>27</v>
      </c>
      <c r="I2249" s="12">
        <v>0.3263888888888889</v>
      </c>
      <c r="J2249" t="s">
        <v>28</v>
      </c>
      <c r="K2249" t="s">
        <v>27</v>
      </c>
      <c r="L2249" s="12">
        <v>0.35416666666666669</v>
      </c>
      <c r="M2249" t="s">
        <v>29</v>
      </c>
      <c r="N2249" s="3">
        <v>186</v>
      </c>
      <c r="O2249" t="s">
        <v>24</v>
      </c>
      <c r="P2249" t="s">
        <v>25</v>
      </c>
      <c r="R2249">
        <f>tblDailySchedule[[#This Row],[Capacity Approx]]*'[1]Load Factor Sheet June Acft  '!$B$5</f>
        <v>150.61772727272728</v>
      </c>
      <c r="S2249">
        <f>tblDailySchedule[[#This Row],[Capacity Approx]]*'[1]Load Factor Sheet June Acft  '!$D$5</f>
        <v>163.08818181818182</v>
      </c>
      <c r="T2249" s="22">
        <f>tblDailySchedule[[#This Row],[STD]]</f>
        <v>0.35416666666666669</v>
      </c>
    </row>
    <row r="2250" spans="1:20" hidden="1" x14ac:dyDescent="0.35">
      <c r="A2250" s="11">
        <v>46191</v>
      </c>
      <c r="B2250" s="3">
        <v>4</v>
      </c>
      <c r="C2250" t="s">
        <v>114</v>
      </c>
      <c r="D2250" t="s">
        <v>18</v>
      </c>
      <c r="E2250" s="3">
        <v>4</v>
      </c>
      <c r="F2250" t="s">
        <v>19</v>
      </c>
      <c r="G2250" t="s">
        <v>30</v>
      </c>
      <c r="H2250" t="s">
        <v>31</v>
      </c>
      <c r="I2250" s="12">
        <v>0.34722222222222221</v>
      </c>
      <c r="J2250" t="s">
        <v>32</v>
      </c>
      <c r="K2250" t="s">
        <v>31</v>
      </c>
      <c r="L2250" s="12">
        <v>0.36805555555555558</v>
      </c>
      <c r="M2250" t="s">
        <v>33</v>
      </c>
      <c r="N2250" s="3">
        <v>189</v>
      </c>
      <c r="O2250" t="s">
        <v>24</v>
      </c>
      <c r="P2250" t="s">
        <v>25</v>
      </c>
      <c r="R2250">
        <f>tblDailySchedule[[#This Row],[Capacity Approx]]*'[1]Load Factor Sheet June Acft  '!$B$5</f>
        <v>153.04704545454547</v>
      </c>
      <c r="S2250">
        <f>tblDailySchedule[[#This Row],[Capacity Approx]]*'[1]Load Factor Sheet June Acft  '!$D$5</f>
        <v>165.71863636363636</v>
      </c>
      <c r="T2250" s="22">
        <f>tblDailySchedule[[#This Row],[STD]]</f>
        <v>0.36805555555555558</v>
      </c>
    </row>
    <row r="2251" spans="1:20" hidden="1" x14ac:dyDescent="0.35">
      <c r="A2251" s="11">
        <v>46191</v>
      </c>
      <c r="B2251" s="3">
        <v>4</v>
      </c>
      <c r="C2251" t="s">
        <v>114</v>
      </c>
      <c r="D2251" t="s">
        <v>18</v>
      </c>
      <c r="E2251" s="3">
        <v>5</v>
      </c>
      <c r="F2251" t="s">
        <v>19</v>
      </c>
      <c r="G2251" t="s">
        <v>40</v>
      </c>
      <c r="H2251" t="s">
        <v>31</v>
      </c>
      <c r="I2251" s="12">
        <v>0.35069444444444442</v>
      </c>
      <c r="J2251" t="s">
        <v>41</v>
      </c>
      <c r="K2251" t="s">
        <v>31</v>
      </c>
      <c r="L2251" s="12">
        <v>0.37152777777777779</v>
      </c>
      <c r="M2251" t="s">
        <v>23</v>
      </c>
      <c r="N2251" s="3">
        <v>186</v>
      </c>
      <c r="O2251" t="s">
        <v>24</v>
      </c>
      <c r="P2251" t="s">
        <v>25</v>
      </c>
      <c r="R2251">
        <f>tblDailySchedule[[#This Row],[Capacity Approx]]*'[1]Load Factor Sheet June Acft  '!$B$5</f>
        <v>150.61772727272728</v>
      </c>
      <c r="S2251">
        <f>tblDailySchedule[[#This Row],[Capacity Approx]]*'[1]Load Factor Sheet June Acft  '!$D$5</f>
        <v>163.08818181818182</v>
      </c>
      <c r="T2251" s="22">
        <f>tblDailySchedule[[#This Row],[STD]]</f>
        <v>0.37152777777777779</v>
      </c>
    </row>
    <row r="2252" spans="1:20" hidden="1" x14ac:dyDescent="0.35">
      <c r="A2252" s="11">
        <v>46191</v>
      </c>
      <c r="B2252" s="3">
        <v>4</v>
      </c>
      <c r="C2252" t="s">
        <v>114</v>
      </c>
      <c r="D2252" t="s">
        <v>18</v>
      </c>
      <c r="E2252" s="3">
        <v>7</v>
      </c>
      <c r="F2252" t="s">
        <v>19</v>
      </c>
      <c r="G2252" t="s">
        <v>42</v>
      </c>
      <c r="H2252" t="s">
        <v>43</v>
      </c>
      <c r="I2252" s="12">
        <v>0.3923611111111111</v>
      </c>
      <c r="J2252" t="s">
        <v>44</v>
      </c>
      <c r="K2252" t="s">
        <v>43</v>
      </c>
      <c r="L2252" s="12">
        <v>0.40277777777777779</v>
      </c>
      <c r="M2252" t="s">
        <v>45</v>
      </c>
      <c r="N2252" s="3">
        <v>9</v>
      </c>
      <c r="O2252" t="s">
        <v>24</v>
      </c>
      <c r="P2252" t="s">
        <v>25</v>
      </c>
      <c r="R2252">
        <f>tblDailySchedule[[#This Row],[Capacity Approx]]*'[1]Load Factor Sheet June Acft  '!$B$5</f>
        <v>7.2879545454545456</v>
      </c>
      <c r="S2252">
        <f>tblDailySchedule[[#This Row],[Capacity Approx]]*'[1]Load Factor Sheet June Acft  '!$D$5</f>
        <v>7.8913636363636366</v>
      </c>
      <c r="T2252" s="22">
        <f>tblDailySchedule[[#This Row],[STD]]</f>
        <v>0.40277777777777779</v>
      </c>
    </row>
    <row r="2253" spans="1:20" hidden="1" x14ac:dyDescent="0.35">
      <c r="A2253" s="11">
        <v>46191</v>
      </c>
      <c r="B2253" s="3">
        <v>4</v>
      </c>
      <c r="C2253" t="s">
        <v>114</v>
      </c>
      <c r="D2253" t="s">
        <v>18</v>
      </c>
      <c r="E2253" s="3">
        <v>8</v>
      </c>
      <c r="F2253" t="s">
        <v>19</v>
      </c>
      <c r="G2253" t="s">
        <v>46</v>
      </c>
      <c r="H2253" t="s">
        <v>31</v>
      </c>
      <c r="I2253" s="12">
        <v>0.4201388888888889</v>
      </c>
      <c r="J2253" t="s">
        <v>47</v>
      </c>
      <c r="K2253" t="s">
        <v>31</v>
      </c>
      <c r="L2253" s="12">
        <v>0.44444444444444442</v>
      </c>
      <c r="M2253" t="s">
        <v>29</v>
      </c>
      <c r="N2253" s="3">
        <v>186</v>
      </c>
      <c r="O2253" t="s">
        <v>24</v>
      </c>
      <c r="P2253" t="s">
        <v>25</v>
      </c>
      <c r="R2253">
        <f>tblDailySchedule[[#This Row],[Capacity Approx]]*'[1]Load Factor Sheet June Acft  '!$B$5</f>
        <v>150.61772727272728</v>
      </c>
      <c r="S2253">
        <f>tblDailySchedule[[#This Row],[Capacity Approx]]*'[1]Load Factor Sheet June Acft  '!$D$5</f>
        <v>163.08818181818182</v>
      </c>
      <c r="T2253" s="22">
        <f>tblDailySchedule[[#This Row],[STD]]</f>
        <v>0.44444444444444442</v>
      </c>
    </row>
    <row r="2254" spans="1:20" hidden="1" x14ac:dyDescent="0.35">
      <c r="A2254" s="11">
        <v>46191</v>
      </c>
      <c r="B2254" s="3">
        <v>4</v>
      </c>
      <c r="C2254" t="s">
        <v>114</v>
      </c>
      <c r="D2254" t="s">
        <v>18</v>
      </c>
      <c r="E2254" s="3">
        <v>9</v>
      </c>
      <c r="F2254" t="s">
        <v>19</v>
      </c>
      <c r="G2254" t="s">
        <v>48</v>
      </c>
      <c r="H2254" t="s">
        <v>49</v>
      </c>
      <c r="I2254" s="12">
        <v>0.4375</v>
      </c>
      <c r="J2254" t="s">
        <v>50</v>
      </c>
      <c r="K2254" t="s">
        <v>49</v>
      </c>
      <c r="L2254" s="12">
        <v>0.45833333333333331</v>
      </c>
      <c r="M2254" t="s">
        <v>51</v>
      </c>
      <c r="N2254" s="3">
        <v>78</v>
      </c>
      <c r="O2254" t="s">
        <v>24</v>
      </c>
      <c r="P2254" t="s">
        <v>25</v>
      </c>
      <c r="R2254">
        <f>tblDailySchedule[[#This Row],[Capacity Approx]]*'[1]Load Factor Sheet June Acft  '!$B$5</f>
        <v>63.162272727272729</v>
      </c>
      <c r="S2254">
        <f>tblDailySchedule[[#This Row],[Capacity Approx]]*'[1]Load Factor Sheet June Acft  '!$D$5</f>
        <v>68.391818181818181</v>
      </c>
      <c r="T2254" s="22">
        <f>tblDailySchedule[[#This Row],[STD]]</f>
        <v>0.45833333333333331</v>
      </c>
    </row>
    <row r="2255" spans="1:20" hidden="1" x14ac:dyDescent="0.35">
      <c r="A2255" s="11">
        <v>46191</v>
      </c>
      <c r="B2255" s="3">
        <v>4</v>
      </c>
      <c r="C2255" t="s">
        <v>114</v>
      </c>
      <c r="D2255" t="s">
        <v>18</v>
      </c>
      <c r="E2255" s="3">
        <v>10</v>
      </c>
      <c r="F2255" t="s">
        <v>19</v>
      </c>
      <c r="G2255" t="s">
        <v>52</v>
      </c>
      <c r="H2255" t="s">
        <v>27</v>
      </c>
      <c r="I2255" s="12">
        <v>0.4826388888888889</v>
      </c>
      <c r="J2255" t="s">
        <v>53</v>
      </c>
      <c r="K2255" t="s">
        <v>27</v>
      </c>
      <c r="L2255" s="12">
        <v>0.51041666666666663</v>
      </c>
      <c r="M2255" t="s">
        <v>23</v>
      </c>
      <c r="N2255" s="3">
        <v>186</v>
      </c>
      <c r="O2255" t="s">
        <v>24</v>
      </c>
      <c r="P2255" t="s">
        <v>25</v>
      </c>
      <c r="R2255">
        <f>tblDailySchedule[[#This Row],[Capacity Approx]]*'[1]Load Factor Sheet June Acft  '!$B$5</f>
        <v>150.61772727272728</v>
      </c>
      <c r="S2255">
        <f>tblDailySchedule[[#This Row],[Capacity Approx]]*'[1]Load Factor Sheet June Acft  '!$D$5</f>
        <v>163.08818181818182</v>
      </c>
      <c r="T2255" s="22">
        <f>tblDailySchedule[[#This Row],[STD]]</f>
        <v>0.51041666666666663</v>
      </c>
    </row>
    <row r="2256" spans="1:20" hidden="1" x14ac:dyDescent="0.35">
      <c r="A2256" s="11">
        <v>46191</v>
      </c>
      <c r="B2256" s="3">
        <v>4</v>
      </c>
      <c r="C2256" t="s">
        <v>114</v>
      </c>
      <c r="D2256" t="s">
        <v>18</v>
      </c>
      <c r="E2256" s="3">
        <v>11</v>
      </c>
      <c r="F2256" t="s">
        <v>19</v>
      </c>
      <c r="G2256" t="s">
        <v>54</v>
      </c>
      <c r="H2256" t="s">
        <v>31</v>
      </c>
      <c r="I2256" s="12">
        <v>0.51388888888888884</v>
      </c>
      <c r="J2256" t="s">
        <v>55</v>
      </c>
      <c r="K2256" t="s">
        <v>31</v>
      </c>
      <c r="L2256" s="12">
        <v>0.54166666666666663</v>
      </c>
      <c r="M2256" t="s">
        <v>23</v>
      </c>
      <c r="N2256" s="3">
        <v>186</v>
      </c>
      <c r="O2256" t="s">
        <v>24</v>
      </c>
      <c r="P2256" t="s">
        <v>56</v>
      </c>
      <c r="R2256">
        <f>tblDailySchedule[[#This Row],[Capacity Approx]]*'[1]Load Factor Sheet June Acft  '!$B$5</f>
        <v>150.61772727272728</v>
      </c>
      <c r="S2256">
        <f>tblDailySchedule[[#This Row],[Capacity Approx]]*'[1]Load Factor Sheet June Acft  '!$D$5</f>
        <v>163.08818181818182</v>
      </c>
      <c r="T2256" s="22">
        <f>tblDailySchedule[[#This Row],[STD]]</f>
        <v>0.54166666666666663</v>
      </c>
    </row>
    <row r="2257" spans="1:20" hidden="1" x14ac:dyDescent="0.35">
      <c r="A2257" s="11">
        <v>46191</v>
      </c>
      <c r="B2257" s="3">
        <v>4</v>
      </c>
      <c r="C2257" t="s">
        <v>114</v>
      </c>
      <c r="D2257" t="s">
        <v>18</v>
      </c>
      <c r="E2257" s="3">
        <v>12</v>
      </c>
      <c r="F2257" t="s">
        <v>109</v>
      </c>
      <c r="G2257" t="s">
        <v>110</v>
      </c>
      <c r="H2257" t="s">
        <v>111</v>
      </c>
      <c r="I2257" s="12">
        <v>0.55555555555555558</v>
      </c>
      <c r="J2257" t="s">
        <v>112</v>
      </c>
      <c r="K2257" t="s">
        <v>111</v>
      </c>
      <c r="L2257" s="12">
        <v>0.56944444444444442</v>
      </c>
      <c r="M2257" t="s">
        <v>51</v>
      </c>
      <c r="N2257" s="3">
        <v>78</v>
      </c>
      <c r="O2257" t="s">
        <v>24</v>
      </c>
      <c r="P2257" t="s">
        <v>56</v>
      </c>
      <c r="R2257">
        <f>tblDailySchedule[[#This Row],[Capacity Approx]]*'[1]Load Factor Sheet June Acft  '!$B$5</f>
        <v>63.162272727272729</v>
      </c>
      <c r="S2257">
        <f>tblDailySchedule[[#This Row],[Capacity Approx]]*'[1]Load Factor Sheet June Acft  '!$D$5</f>
        <v>68.391818181818181</v>
      </c>
      <c r="T2257" s="22">
        <f>tblDailySchedule[[#This Row],[STD]]</f>
        <v>0.56944444444444442</v>
      </c>
    </row>
    <row r="2258" spans="1:20" hidden="1" x14ac:dyDescent="0.35">
      <c r="A2258" s="11">
        <v>46191</v>
      </c>
      <c r="B2258" s="3">
        <v>4</v>
      </c>
      <c r="C2258" t="s">
        <v>114</v>
      </c>
      <c r="D2258" t="s">
        <v>18</v>
      </c>
      <c r="E2258" s="3">
        <v>13</v>
      </c>
      <c r="F2258" t="s">
        <v>19</v>
      </c>
      <c r="G2258" t="s">
        <v>57</v>
      </c>
      <c r="H2258" t="s">
        <v>58</v>
      </c>
      <c r="I2258" s="12">
        <v>0.55902777777777779</v>
      </c>
      <c r="J2258" t="s">
        <v>59</v>
      </c>
      <c r="K2258" t="s">
        <v>58</v>
      </c>
      <c r="L2258" s="12">
        <v>0.57638888888888884</v>
      </c>
      <c r="M2258" t="s">
        <v>51</v>
      </c>
      <c r="N2258" s="3">
        <v>78</v>
      </c>
      <c r="O2258" t="s">
        <v>24</v>
      </c>
      <c r="P2258" t="s">
        <v>56</v>
      </c>
      <c r="R2258">
        <f>tblDailySchedule[[#This Row],[Capacity Approx]]*'[1]Load Factor Sheet June Acft  '!$B$5</f>
        <v>63.162272727272729</v>
      </c>
      <c r="S2258">
        <f>tblDailySchedule[[#This Row],[Capacity Approx]]*'[1]Load Factor Sheet June Acft  '!$D$5</f>
        <v>68.391818181818181</v>
      </c>
      <c r="T2258" s="22">
        <f>tblDailySchedule[[#This Row],[STD]]</f>
        <v>0.57638888888888884</v>
      </c>
    </row>
    <row r="2259" spans="1:20" hidden="1" x14ac:dyDescent="0.35">
      <c r="A2259" s="11">
        <v>46191</v>
      </c>
      <c r="B2259" s="3">
        <v>4</v>
      </c>
      <c r="C2259" t="s">
        <v>114</v>
      </c>
      <c r="D2259" t="s">
        <v>18</v>
      </c>
      <c r="E2259" s="3">
        <v>14</v>
      </c>
      <c r="F2259" t="s">
        <v>19</v>
      </c>
      <c r="G2259" t="s">
        <v>60</v>
      </c>
      <c r="H2259" t="s">
        <v>61</v>
      </c>
      <c r="I2259" s="12">
        <v>0.59027777777777779</v>
      </c>
      <c r="J2259" t="s">
        <v>62</v>
      </c>
      <c r="K2259" t="s">
        <v>61</v>
      </c>
      <c r="L2259" s="12">
        <v>0.62152777777777779</v>
      </c>
      <c r="M2259" t="s">
        <v>63</v>
      </c>
      <c r="N2259" s="3">
        <v>232</v>
      </c>
      <c r="O2259" t="s">
        <v>24</v>
      </c>
      <c r="P2259" t="s">
        <v>56</v>
      </c>
      <c r="R2259">
        <f>tblDailySchedule[[#This Row],[Capacity Approx]]*'[1]Load Factor Sheet June Acft  '!$B$5</f>
        <v>187.86727272727273</v>
      </c>
      <c r="S2259">
        <f>tblDailySchedule[[#This Row],[Capacity Approx]]*'[1]Load Factor Sheet June Acft  '!$D$5</f>
        <v>203.4218181818182</v>
      </c>
      <c r="T2259" s="22">
        <f>tblDailySchedule[[#This Row],[STD]]</f>
        <v>0.62152777777777779</v>
      </c>
    </row>
    <row r="2260" spans="1:20" hidden="1" x14ac:dyDescent="0.35">
      <c r="A2260" s="11">
        <v>46191</v>
      </c>
      <c r="B2260" s="3">
        <v>4</v>
      </c>
      <c r="C2260" t="s">
        <v>114</v>
      </c>
      <c r="D2260" t="s">
        <v>18</v>
      </c>
      <c r="E2260" s="3">
        <v>15</v>
      </c>
      <c r="F2260" t="s">
        <v>19</v>
      </c>
      <c r="G2260" t="s">
        <v>64</v>
      </c>
      <c r="H2260" t="s">
        <v>31</v>
      </c>
      <c r="I2260" s="12">
        <v>0.60069444444444442</v>
      </c>
      <c r="J2260" t="s">
        <v>65</v>
      </c>
      <c r="K2260" t="s">
        <v>66</v>
      </c>
      <c r="L2260" s="12">
        <v>0.62847222222222221</v>
      </c>
      <c r="M2260" t="s">
        <v>63</v>
      </c>
      <c r="N2260" s="3">
        <v>232</v>
      </c>
      <c r="O2260" t="s">
        <v>24</v>
      </c>
      <c r="P2260" t="s">
        <v>56</v>
      </c>
      <c r="R2260">
        <f>tblDailySchedule[[#This Row],[Capacity Approx]]*'[1]Load Factor Sheet June Acft  '!$B$5</f>
        <v>187.86727272727273</v>
      </c>
      <c r="S2260">
        <f>tblDailySchedule[[#This Row],[Capacity Approx]]*'[1]Load Factor Sheet June Acft  '!$D$5</f>
        <v>203.4218181818182</v>
      </c>
      <c r="T2260" s="22">
        <f>tblDailySchedule[[#This Row],[STD]]</f>
        <v>0.62847222222222221</v>
      </c>
    </row>
    <row r="2261" spans="1:20" hidden="1" x14ac:dyDescent="0.35">
      <c r="A2261" s="11">
        <v>46191</v>
      </c>
      <c r="B2261" s="3">
        <v>4</v>
      </c>
      <c r="C2261" t="s">
        <v>114</v>
      </c>
      <c r="D2261" t="s">
        <v>18</v>
      </c>
      <c r="E2261" s="3">
        <v>16</v>
      </c>
      <c r="F2261" t="s">
        <v>19</v>
      </c>
      <c r="G2261" t="s">
        <v>67</v>
      </c>
      <c r="H2261" t="s">
        <v>31</v>
      </c>
      <c r="I2261" s="12">
        <v>0.65625</v>
      </c>
      <c r="J2261" t="s">
        <v>68</v>
      </c>
      <c r="K2261" t="s">
        <v>31</v>
      </c>
      <c r="L2261" s="12">
        <v>0.68402777777777779</v>
      </c>
      <c r="M2261" t="s">
        <v>63</v>
      </c>
      <c r="N2261" s="3">
        <v>232</v>
      </c>
      <c r="O2261" t="s">
        <v>24</v>
      </c>
      <c r="P2261" t="s">
        <v>56</v>
      </c>
      <c r="R2261">
        <f>tblDailySchedule[[#This Row],[Capacity Approx]]*'[1]Load Factor Sheet June Acft  '!$B$5</f>
        <v>187.86727272727273</v>
      </c>
      <c r="S2261">
        <f>tblDailySchedule[[#This Row],[Capacity Approx]]*'[1]Load Factor Sheet June Acft  '!$D$5</f>
        <v>203.4218181818182</v>
      </c>
      <c r="T2261" s="22">
        <f>tblDailySchedule[[#This Row],[STD]]</f>
        <v>0.68402777777777779</v>
      </c>
    </row>
    <row r="2262" spans="1:20" hidden="1" x14ac:dyDescent="0.35">
      <c r="A2262" s="11">
        <v>46191</v>
      </c>
      <c r="B2262" s="3">
        <v>4</v>
      </c>
      <c r="C2262" t="s">
        <v>114</v>
      </c>
      <c r="D2262" t="s">
        <v>18</v>
      </c>
      <c r="E2262" s="3">
        <v>17</v>
      </c>
      <c r="F2262" t="s">
        <v>19</v>
      </c>
      <c r="G2262" t="s">
        <v>69</v>
      </c>
      <c r="H2262" t="s">
        <v>31</v>
      </c>
      <c r="I2262" s="12">
        <v>0.66319444444444442</v>
      </c>
      <c r="J2262" t="s">
        <v>70</v>
      </c>
      <c r="K2262" t="s">
        <v>31</v>
      </c>
      <c r="L2262" s="12">
        <v>0.69097222222222221</v>
      </c>
      <c r="M2262" t="s">
        <v>33</v>
      </c>
      <c r="N2262" s="3">
        <v>189</v>
      </c>
      <c r="O2262" t="s">
        <v>24</v>
      </c>
      <c r="P2262" t="s">
        <v>56</v>
      </c>
      <c r="R2262">
        <f>tblDailySchedule[[#This Row],[Capacity Approx]]*'[1]Load Factor Sheet June Acft  '!$B$5</f>
        <v>153.04704545454547</v>
      </c>
      <c r="S2262">
        <f>tblDailySchedule[[#This Row],[Capacity Approx]]*'[1]Load Factor Sheet June Acft  '!$D$5</f>
        <v>165.71863636363636</v>
      </c>
      <c r="T2262" s="22">
        <f>tblDailySchedule[[#This Row],[STD]]</f>
        <v>0.69097222222222221</v>
      </c>
    </row>
    <row r="2263" spans="1:20" hidden="1" x14ac:dyDescent="0.35">
      <c r="A2263" s="11">
        <v>46191</v>
      </c>
      <c r="B2263" s="3">
        <v>4</v>
      </c>
      <c r="C2263" t="s">
        <v>114</v>
      </c>
      <c r="D2263" t="s">
        <v>18</v>
      </c>
      <c r="E2263" s="3">
        <v>18</v>
      </c>
      <c r="F2263" t="s">
        <v>19</v>
      </c>
      <c r="G2263" t="s">
        <v>71</v>
      </c>
      <c r="H2263" t="s">
        <v>21</v>
      </c>
      <c r="I2263" s="12">
        <v>0.67013888888888884</v>
      </c>
      <c r="J2263" t="s">
        <v>72</v>
      </c>
      <c r="K2263" t="s">
        <v>21</v>
      </c>
      <c r="L2263" s="12">
        <v>0.69791666666666663</v>
      </c>
      <c r="M2263" t="s">
        <v>63</v>
      </c>
      <c r="N2263" s="3">
        <v>232</v>
      </c>
      <c r="O2263" t="s">
        <v>24</v>
      </c>
      <c r="P2263" t="s">
        <v>56</v>
      </c>
      <c r="R2263">
        <f>tblDailySchedule[[#This Row],[Capacity Approx]]*'[1]Load Factor Sheet June Acft  '!$B$5</f>
        <v>187.86727272727273</v>
      </c>
      <c r="S2263">
        <f>tblDailySchedule[[#This Row],[Capacity Approx]]*'[1]Load Factor Sheet June Acft  '!$D$5</f>
        <v>203.4218181818182</v>
      </c>
      <c r="T2263" s="22">
        <f>tblDailySchedule[[#This Row],[STD]]</f>
        <v>0.69791666666666663</v>
      </c>
    </row>
    <row r="2264" spans="1:20" hidden="1" x14ac:dyDescent="0.35">
      <c r="A2264" s="11">
        <v>46191</v>
      </c>
      <c r="B2264" s="3">
        <v>4</v>
      </c>
      <c r="C2264" t="s">
        <v>114</v>
      </c>
      <c r="D2264" t="s">
        <v>18</v>
      </c>
      <c r="E2264" s="3">
        <v>19</v>
      </c>
      <c r="F2264" t="s">
        <v>19</v>
      </c>
      <c r="G2264" t="s">
        <v>73</v>
      </c>
      <c r="H2264" t="s">
        <v>27</v>
      </c>
      <c r="I2264" s="12">
        <v>0.74652777777777779</v>
      </c>
      <c r="J2264" t="s">
        <v>74</v>
      </c>
      <c r="K2264" t="s">
        <v>27</v>
      </c>
      <c r="L2264" s="12">
        <v>0.77430555555555558</v>
      </c>
      <c r="M2264" t="s">
        <v>63</v>
      </c>
      <c r="N2264" s="3">
        <v>232</v>
      </c>
      <c r="O2264" t="s">
        <v>24</v>
      </c>
      <c r="P2264" t="s">
        <v>56</v>
      </c>
      <c r="R2264">
        <f>tblDailySchedule[[#This Row],[Capacity Approx]]*'[1]Load Factor Sheet June Acft  '!$B$5</f>
        <v>187.86727272727273</v>
      </c>
      <c r="S2264">
        <f>tblDailySchedule[[#This Row],[Capacity Approx]]*'[1]Load Factor Sheet June Acft  '!$D$5</f>
        <v>203.4218181818182</v>
      </c>
      <c r="T2264" s="22">
        <f>tblDailySchedule[[#This Row],[STD]]</f>
        <v>0.77430555555555558</v>
      </c>
    </row>
    <row r="2265" spans="1:20" hidden="1" x14ac:dyDescent="0.35">
      <c r="A2265" s="11">
        <v>46191</v>
      </c>
      <c r="B2265" s="3">
        <v>4</v>
      </c>
      <c r="C2265" t="s">
        <v>114</v>
      </c>
      <c r="D2265" t="s">
        <v>18</v>
      </c>
      <c r="E2265" s="3">
        <v>21</v>
      </c>
      <c r="F2265" t="s">
        <v>19</v>
      </c>
      <c r="G2265" t="s">
        <v>81</v>
      </c>
      <c r="H2265" t="s">
        <v>61</v>
      </c>
      <c r="I2265" s="12">
        <v>0.77083333333333337</v>
      </c>
      <c r="J2265" t="s">
        <v>82</v>
      </c>
      <c r="K2265" t="s">
        <v>49</v>
      </c>
      <c r="L2265" s="12">
        <v>0.79166666666666663</v>
      </c>
      <c r="M2265" t="s">
        <v>33</v>
      </c>
      <c r="N2265" s="3">
        <v>189</v>
      </c>
      <c r="O2265" t="s">
        <v>24</v>
      </c>
      <c r="P2265" t="s">
        <v>79</v>
      </c>
      <c r="R2265">
        <f>tblDailySchedule[[#This Row],[Capacity Approx]]*'[1]Load Factor Sheet June Acft  '!$B$5</f>
        <v>153.04704545454547</v>
      </c>
      <c r="S2265">
        <f>tblDailySchedule[[#This Row],[Capacity Approx]]*'[1]Load Factor Sheet June Acft  '!$D$5</f>
        <v>165.71863636363636</v>
      </c>
      <c r="T2265" s="22">
        <f>tblDailySchedule[[#This Row],[STD]]</f>
        <v>0.79166666666666663</v>
      </c>
    </row>
    <row r="2266" spans="1:20" hidden="1" x14ac:dyDescent="0.35">
      <c r="A2266" s="11">
        <v>46191</v>
      </c>
      <c r="B2266" s="3">
        <v>4</v>
      </c>
      <c r="C2266" t="s">
        <v>114</v>
      </c>
      <c r="D2266" t="s">
        <v>18</v>
      </c>
      <c r="E2266" s="3">
        <v>22</v>
      </c>
      <c r="F2266" t="s">
        <v>19</v>
      </c>
      <c r="G2266" t="s">
        <v>83</v>
      </c>
      <c r="H2266" t="s">
        <v>31</v>
      </c>
      <c r="I2266" s="12">
        <v>0.77777777777777779</v>
      </c>
      <c r="J2266" t="s">
        <v>84</v>
      </c>
      <c r="K2266" t="s">
        <v>31</v>
      </c>
      <c r="L2266" s="12">
        <v>0.80555555555555558</v>
      </c>
      <c r="M2266" t="s">
        <v>63</v>
      </c>
      <c r="N2266" s="3">
        <v>232</v>
      </c>
      <c r="O2266" t="s">
        <v>24</v>
      </c>
      <c r="P2266" t="s">
        <v>79</v>
      </c>
      <c r="R2266">
        <f>tblDailySchedule[[#This Row],[Capacity Approx]]*'[1]Load Factor Sheet June Acft  '!$B$5</f>
        <v>187.86727272727273</v>
      </c>
      <c r="S2266">
        <f>tblDailySchedule[[#This Row],[Capacity Approx]]*'[1]Load Factor Sheet June Acft  '!$D$5</f>
        <v>203.4218181818182</v>
      </c>
      <c r="T2266" s="22">
        <f>tblDailySchedule[[#This Row],[STD]]</f>
        <v>0.80555555555555558</v>
      </c>
    </row>
    <row r="2267" spans="1:20" hidden="1" x14ac:dyDescent="0.35">
      <c r="A2267" s="11">
        <v>46191</v>
      </c>
      <c r="B2267" s="3">
        <v>4</v>
      </c>
      <c r="C2267" t="s">
        <v>114</v>
      </c>
      <c r="D2267" t="s">
        <v>18</v>
      </c>
      <c r="E2267" s="3">
        <v>23</v>
      </c>
      <c r="F2267" t="s">
        <v>19</v>
      </c>
      <c r="G2267" t="s">
        <v>85</v>
      </c>
      <c r="H2267" t="s">
        <v>86</v>
      </c>
      <c r="I2267" s="12">
        <v>0.79861111111111116</v>
      </c>
      <c r="J2267" t="s">
        <v>87</v>
      </c>
      <c r="K2267" t="s">
        <v>86</v>
      </c>
      <c r="L2267" s="12">
        <v>0.82638888888888884</v>
      </c>
      <c r="M2267" t="s">
        <v>63</v>
      </c>
      <c r="N2267" s="3">
        <v>232</v>
      </c>
      <c r="O2267" t="s">
        <v>24</v>
      </c>
      <c r="P2267" t="s">
        <v>79</v>
      </c>
      <c r="R2267">
        <f>tblDailySchedule[[#This Row],[Capacity Approx]]*'[1]Load Factor Sheet June Acft  '!$B$5</f>
        <v>187.86727272727273</v>
      </c>
      <c r="S2267">
        <f>tblDailySchedule[[#This Row],[Capacity Approx]]*'[1]Load Factor Sheet June Acft  '!$D$5</f>
        <v>203.4218181818182</v>
      </c>
      <c r="T2267" s="22">
        <f>tblDailySchedule[[#This Row],[STD]]</f>
        <v>0.82638888888888884</v>
      </c>
    </row>
    <row r="2268" spans="1:20" hidden="1" x14ac:dyDescent="0.35">
      <c r="A2268" s="11">
        <v>46191</v>
      </c>
      <c r="B2268" s="3">
        <v>4</v>
      </c>
      <c r="C2268" t="s">
        <v>114</v>
      </c>
      <c r="D2268" t="s">
        <v>18</v>
      </c>
      <c r="E2268" s="3">
        <v>24</v>
      </c>
      <c r="F2268" t="s">
        <v>19</v>
      </c>
      <c r="G2268" t="s">
        <v>88</v>
      </c>
      <c r="H2268" t="s">
        <v>89</v>
      </c>
      <c r="I2268" s="12">
        <v>0.83333333333333337</v>
      </c>
      <c r="J2268" t="s">
        <v>90</v>
      </c>
      <c r="K2268" t="s">
        <v>31</v>
      </c>
      <c r="L2268" s="12">
        <v>0.86111111111111116</v>
      </c>
      <c r="M2268" t="s">
        <v>63</v>
      </c>
      <c r="N2268" s="3">
        <v>232</v>
      </c>
      <c r="O2268" t="s">
        <v>24</v>
      </c>
      <c r="P2268" t="s">
        <v>79</v>
      </c>
      <c r="R2268">
        <f>tblDailySchedule[[#This Row],[Capacity Approx]]*'[1]Load Factor Sheet June Acft  '!$B$5</f>
        <v>187.86727272727273</v>
      </c>
      <c r="S2268">
        <f>tblDailySchedule[[#This Row],[Capacity Approx]]*'[1]Load Factor Sheet June Acft  '!$D$5</f>
        <v>203.4218181818182</v>
      </c>
      <c r="T2268" s="22">
        <f>tblDailySchedule[[#This Row],[STD]]</f>
        <v>0.86111111111111116</v>
      </c>
    </row>
    <row r="2269" spans="1:20" hidden="1" x14ac:dyDescent="0.35">
      <c r="A2269" s="11">
        <v>46191</v>
      </c>
      <c r="B2269" s="3">
        <v>4</v>
      </c>
      <c r="C2269" t="s">
        <v>114</v>
      </c>
      <c r="D2269" t="s">
        <v>18</v>
      </c>
      <c r="E2269" s="3">
        <v>25</v>
      </c>
      <c r="F2269" t="s">
        <v>19</v>
      </c>
      <c r="G2269" t="s">
        <v>91</v>
      </c>
      <c r="H2269" t="s">
        <v>61</v>
      </c>
      <c r="I2269" s="12">
        <v>0.85416666666666663</v>
      </c>
      <c r="J2269" t="s">
        <v>92</v>
      </c>
      <c r="K2269" t="s">
        <v>61</v>
      </c>
      <c r="L2269" s="12">
        <v>0.88194444444444442</v>
      </c>
      <c r="M2269" t="s">
        <v>63</v>
      </c>
      <c r="N2269" s="3">
        <v>232</v>
      </c>
      <c r="O2269" t="s">
        <v>24</v>
      </c>
      <c r="P2269" t="s">
        <v>79</v>
      </c>
      <c r="R2269">
        <f>tblDailySchedule[[#This Row],[Capacity Approx]]*'[1]Load Factor Sheet June Acft  '!$B$5</f>
        <v>187.86727272727273</v>
      </c>
      <c r="S2269">
        <f>tblDailySchedule[[#This Row],[Capacity Approx]]*'[1]Load Factor Sheet June Acft  '!$D$5</f>
        <v>203.4218181818182</v>
      </c>
      <c r="T2269" s="22">
        <f>tblDailySchedule[[#This Row],[STD]]</f>
        <v>0.88194444444444442</v>
      </c>
    </row>
    <row r="2270" spans="1:20" hidden="1" x14ac:dyDescent="0.35">
      <c r="A2270" s="11">
        <v>46191</v>
      </c>
      <c r="B2270" s="3">
        <v>4</v>
      </c>
      <c r="C2270" t="s">
        <v>114</v>
      </c>
      <c r="D2270" t="s">
        <v>18</v>
      </c>
      <c r="E2270" s="3">
        <v>26</v>
      </c>
      <c r="F2270" t="s">
        <v>19</v>
      </c>
      <c r="G2270" t="s">
        <v>93</v>
      </c>
      <c r="H2270" t="s">
        <v>31</v>
      </c>
      <c r="I2270" s="12">
        <v>0.86111111111111116</v>
      </c>
      <c r="J2270" t="s">
        <v>94</v>
      </c>
      <c r="K2270" t="s">
        <v>31</v>
      </c>
      <c r="L2270" s="12">
        <v>0.88888888888888884</v>
      </c>
      <c r="M2270" t="s">
        <v>23</v>
      </c>
      <c r="N2270" s="3">
        <v>186</v>
      </c>
      <c r="O2270" t="s">
        <v>24</v>
      </c>
      <c r="P2270" t="s">
        <v>79</v>
      </c>
      <c r="R2270">
        <f>tblDailySchedule[[#This Row],[Capacity Approx]]*'[1]Load Factor Sheet June Acft  '!$B$5</f>
        <v>150.61772727272728</v>
      </c>
      <c r="S2270">
        <f>tblDailySchedule[[#This Row],[Capacity Approx]]*'[1]Load Factor Sheet June Acft  '!$D$5</f>
        <v>163.08818181818182</v>
      </c>
      <c r="T2270" s="22">
        <f>tblDailySchedule[[#This Row],[STD]]</f>
        <v>0.88888888888888884</v>
      </c>
    </row>
    <row r="2271" spans="1:20" hidden="1" x14ac:dyDescent="0.35">
      <c r="A2271" s="11">
        <v>46191</v>
      </c>
      <c r="B2271" s="3">
        <v>4</v>
      </c>
      <c r="C2271" t="s">
        <v>114</v>
      </c>
      <c r="D2271" t="s">
        <v>18</v>
      </c>
      <c r="E2271" s="3">
        <v>27</v>
      </c>
      <c r="F2271" t="s">
        <v>19</v>
      </c>
      <c r="G2271" t="s">
        <v>95</v>
      </c>
      <c r="H2271" t="s">
        <v>21</v>
      </c>
      <c r="I2271" s="12">
        <v>0.86805555555555558</v>
      </c>
      <c r="J2271" t="s">
        <v>96</v>
      </c>
      <c r="K2271" t="s">
        <v>21</v>
      </c>
      <c r="L2271" s="12">
        <v>0.89583333333333337</v>
      </c>
      <c r="M2271" t="s">
        <v>29</v>
      </c>
      <c r="N2271" s="3">
        <v>186</v>
      </c>
      <c r="O2271" t="s">
        <v>24</v>
      </c>
      <c r="P2271" t="s">
        <v>79</v>
      </c>
      <c r="R2271">
        <f>tblDailySchedule[[#This Row],[Capacity Approx]]*'[1]Load Factor Sheet June Acft  '!$B$5</f>
        <v>150.61772727272728</v>
      </c>
      <c r="S2271">
        <f>tblDailySchedule[[#This Row],[Capacity Approx]]*'[1]Load Factor Sheet June Acft  '!$D$5</f>
        <v>163.08818181818182</v>
      </c>
      <c r="T2271" s="22">
        <f>tblDailySchedule[[#This Row],[STD]]</f>
        <v>0.89583333333333337</v>
      </c>
    </row>
    <row r="2272" spans="1:20" hidden="1" x14ac:dyDescent="0.35">
      <c r="A2272" s="11">
        <v>46191</v>
      </c>
      <c r="B2272" s="3">
        <v>4</v>
      </c>
      <c r="C2272" t="s">
        <v>114</v>
      </c>
      <c r="D2272" t="s">
        <v>18</v>
      </c>
      <c r="E2272" s="3">
        <v>28</v>
      </c>
      <c r="F2272" t="s">
        <v>19</v>
      </c>
      <c r="G2272" t="s">
        <v>97</v>
      </c>
      <c r="H2272" t="s">
        <v>49</v>
      </c>
      <c r="I2272" s="12">
        <v>0.90277777777777779</v>
      </c>
      <c r="J2272" t="s">
        <v>97</v>
      </c>
      <c r="K2272" t="s">
        <v>61</v>
      </c>
      <c r="L2272" s="12">
        <v>0.92361111111111116</v>
      </c>
      <c r="M2272" t="s">
        <v>33</v>
      </c>
      <c r="N2272" s="3">
        <v>189</v>
      </c>
      <c r="O2272" t="s">
        <v>24</v>
      </c>
      <c r="P2272" t="s">
        <v>79</v>
      </c>
      <c r="R2272">
        <f>tblDailySchedule[[#This Row],[Capacity Approx]]*'[1]Load Factor Sheet June Acft  '!$B$5</f>
        <v>153.04704545454547</v>
      </c>
      <c r="S2272">
        <f>tblDailySchedule[[#This Row],[Capacity Approx]]*'[1]Load Factor Sheet June Acft  '!$D$5</f>
        <v>165.71863636363636</v>
      </c>
      <c r="T2272" s="22">
        <f>tblDailySchedule[[#This Row],[STD]]</f>
        <v>0.92361111111111116</v>
      </c>
    </row>
    <row r="2273" spans="1:20" hidden="1" x14ac:dyDescent="0.35">
      <c r="A2273" s="11">
        <v>46191</v>
      </c>
      <c r="B2273" s="3">
        <v>4</v>
      </c>
      <c r="C2273" t="s">
        <v>114</v>
      </c>
      <c r="D2273" t="s">
        <v>18</v>
      </c>
      <c r="E2273" s="3">
        <v>29</v>
      </c>
      <c r="F2273" t="s">
        <v>19</v>
      </c>
      <c r="G2273" t="s">
        <v>98</v>
      </c>
      <c r="H2273" t="s">
        <v>21</v>
      </c>
      <c r="I2273" s="12">
        <v>0.92013888888888884</v>
      </c>
      <c r="J2273" t="s">
        <v>99</v>
      </c>
      <c r="K2273" t="s">
        <v>21</v>
      </c>
      <c r="L2273" s="12">
        <v>0.94791666666666663</v>
      </c>
      <c r="M2273" t="s">
        <v>63</v>
      </c>
      <c r="N2273" s="3">
        <v>232</v>
      </c>
      <c r="O2273" t="s">
        <v>24</v>
      </c>
      <c r="P2273" t="s">
        <v>79</v>
      </c>
      <c r="R2273">
        <f>tblDailySchedule[[#This Row],[Capacity Approx]]*'[1]Load Factor Sheet June Acft  '!$B$5</f>
        <v>187.86727272727273</v>
      </c>
      <c r="S2273">
        <f>tblDailySchedule[[#This Row],[Capacity Approx]]*'[1]Load Factor Sheet June Acft  '!$D$5</f>
        <v>203.4218181818182</v>
      </c>
      <c r="T2273" s="22">
        <f>tblDailySchedule[[#This Row],[STD]]</f>
        <v>0.94791666666666663</v>
      </c>
    </row>
    <row r="2274" spans="1:20" hidden="1" x14ac:dyDescent="0.35">
      <c r="A2274" s="11">
        <v>46192</v>
      </c>
      <c r="B2274" s="3">
        <v>5</v>
      </c>
      <c r="C2274" t="s">
        <v>115</v>
      </c>
      <c r="D2274" t="s">
        <v>18</v>
      </c>
      <c r="E2274" s="3">
        <v>2</v>
      </c>
      <c r="F2274" t="s">
        <v>19</v>
      </c>
      <c r="G2274" t="s">
        <v>20</v>
      </c>
      <c r="H2274" t="s">
        <v>21</v>
      </c>
      <c r="I2274" s="12">
        <v>0.31944444444444442</v>
      </c>
      <c r="J2274" t="s">
        <v>22</v>
      </c>
      <c r="K2274" t="s">
        <v>21</v>
      </c>
      <c r="L2274" s="12">
        <v>0.34722222222222221</v>
      </c>
      <c r="M2274" t="s">
        <v>23</v>
      </c>
      <c r="N2274" s="3">
        <v>186</v>
      </c>
      <c r="O2274" t="s">
        <v>24</v>
      </c>
      <c r="P2274" t="s">
        <v>25</v>
      </c>
      <c r="R2274">
        <f>tblDailySchedule[[#This Row],[Capacity Approx]]*'[1]Load Factor Sheet June Acft  '!$B$5</f>
        <v>150.61772727272728</v>
      </c>
      <c r="S2274">
        <f>tblDailySchedule[[#This Row],[Capacity Approx]]*'[1]Load Factor Sheet June Acft  '!$D$5</f>
        <v>163.08818181818182</v>
      </c>
      <c r="T2274" s="22">
        <f>tblDailySchedule[[#This Row],[STD]]</f>
        <v>0.34722222222222221</v>
      </c>
    </row>
    <row r="2275" spans="1:20" hidden="1" x14ac:dyDescent="0.35">
      <c r="A2275" s="11">
        <v>46192</v>
      </c>
      <c r="B2275" s="3">
        <v>5</v>
      </c>
      <c r="C2275" t="s">
        <v>115</v>
      </c>
      <c r="D2275" t="s">
        <v>18</v>
      </c>
      <c r="E2275" s="3">
        <v>3</v>
      </c>
      <c r="F2275" t="s">
        <v>19</v>
      </c>
      <c r="G2275" t="s">
        <v>26</v>
      </c>
      <c r="H2275" t="s">
        <v>27</v>
      </c>
      <c r="I2275" s="12">
        <v>0.3263888888888889</v>
      </c>
      <c r="J2275" t="s">
        <v>28</v>
      </c>
      <c r="K2275" t="s">
        <v>27</v>
      </c>
      <c r="L2275" s="12">
        <v>0.35416666666666669</v>
      </c>
      <c r="M2275" t="s">
        <v>29</v>
      </c>
      <c r="N2275" s="3">
        <v>186</v>
      </c>
      <c r="O2275" t="s">
        <v>24</v>
      </c>
      <c r="P2275" t="s">
        <v>25</v>
      </c>
      <c r="R2275">
        <f>tblDailySchedule[[#This Row],[Capacity Approx]]*'[1]Load Factor Sheet June Acft  '!$B$5</f>
        <v>150.61772727272728</v>
      </c>
      <c r="S2275">
        <f>tblDailySchedule[[#This Row],[Capacity Approx]]*'[1]Load Factor Sheet June Acft  '!$D$5</f>
        <v>163.08818181818182</v>
      </c>
      <c r="T2275" s="22">
        <f>tblDailySchedule[[#This Row],[STD]]</f>
        <v>0.35416666666666669</v>
      </c>
    </row>
    <row r="2276" spans="1:20" hidden="1" x14ac:dyDescent="0.35">
      <c r="A2276" s="11">
        <v>46192</v>
      </c>
      <c r="B2276" s="3">
        <v>5</v>
      </c>
      <c r="C2276" t="s">
        <v>115</v>
      </c>
      <c r="D2276" t="s">
        <v>18</v>
      </c>
      <c r="E2276" s="3">
        <v>4</v>
      </c>
      <c r="F2276" t="s">
        <v>19</v>
      </c>
      <c r="G2276" t="s">
        <v>30</v>
      </c>
      <c r="H2276" t="s">
        <v>31</v>
      </c>
      <c r="I2276" s="12">
        <v>0.34722222222222221</v>
      </c>
      <c r="J2276" t="s">
        <v>32</v>
      </c>
      <c r="K2276" t="s">
        <v>31</v>
      </c>
      <c r="L2276" s="12">
        <v>0.36805555555555558</v>
      </c>
      <c r="M2276" t="s">
        <v>33</v>
      </c>
      <c r="N2276" s="3">
        <v>189</v>
      </c>
      <c r="O2276" t="s">
        <v>24</v>
      </c>
      <c r="P2276" t="s">
        <v>25</v>
      </c>
      <c r="R2276">
        <f>tblDailySchedule[[#This Row],[Capacity Approx]]*'[1]Load Factor Sheet June Acft  '!$B$5</f>
        <v>153.04704545454547</v>
      </c>
      <c r="S2276">
        <f>tblDailySchedule[[#This Row],[Capacity Approx]]*'[1]Load Factor Sheet June Acft  '!$D$5</f>
        <v>165.71863636363636</v>
      </c>
      <c r="T2276" s="22">
        <f>tblDailySchedule[[#This Row],[STD]]</f>
        <v>0.36805555555555558</v>
      </c>
    </row>
    <row r="2277" spans="1:20" hidden="1" x14ac:dyDescent="0.35">
      <c r="A2277" s="13">
        <v>46192</v>
      </c>
      <c r="B2277" s="7">
        <v>5</v>
      </c>
      <c r="C2277" s="14" t="s">
        <v>115</v>
      </c>
      <c r="D2277" s="14" t="s">
        <v>18</v>
      </c>
      <c r="E2277" s="7">
        <v>6</v>
      </c>
      <c r="F2277" s="14" t="s">
        <v>34</v>
      </c>
      <c r="G2277" s="14" t="s">
        <v>35</v>
      </c>
      <c r="H2277" s="14" t="s">
        <v>36</v>
      </c>
      <c r="I2277" s="15">
        <v>0.34722222222222221</v>
      </c>
      <c r="J2277" s="14" t="s">
        <v>37</v>
      </c>
      <c r="K2277" s="14" t="s">
        <v>36</v>
      </c>
      <c r="L2277" s="15">
        <v>0.40972222222222221</v>
      </c>
      <c r="M2277" s="14" t="s">
        <v>38</v>
      </c>
      <c r="N2277" s="7">
        <v>186</v>
      </c>
      <c r="O2277" s="14" t="s">
        <v>39</v>
      </c>
      <c r="P2277" s="14" t="s">
        <v>25</v>
      </c>
      <c r="Q2277" s="14" t="s">
        <v>39</v>
      </c>
      <c r="R2277">
        <f>tblDailySchedule[[#This Row],[Capacity Approx]]*'[1]Load Factor Sheet June Acft  '!$B$5</f>
        <v>150.61772727272728</v>
      </c>
      <c r="S2277">
        <f>tblDailySchedule[[#This Row],[Capacity Approx]]*'[1]Load Factor Sheet June Acft  '!$D$5</f>
        <v>163.08818181818182</v>
      </c>
      <c r="T2277" s="22">
        <f>tblDailySchedule[[#This Row],[STD]]</f>
        <v>0.40972222222222221</v>
      </c>
    </row>
    <row r="2278" spans="1:20" hidden="1" x14ac:dyDescent="0.35">
      <c r="A2278" s="11">
        <v>46192</v>
      </c>
      <c r="B2278" s="3">
        <v>5</v>
      </c>
      <c r="C2278" t="s">
        <v>115</v>
      </c>
      <c r="D2278" t="s">
        <v>18</v>
      </c>
      <c r="E2278" s="3">
        <v>5</v>
      </c>
      <c r="F2278" t="s">
        <v>19</v>
      </c>
      <c r="G2278" t="s">
        <v>40</v>
      </c>
      <c r="H2278" t="s">
        <v>31</v>
      </c>
      <c r="I2278" s="12">
        <v>0.35069444444444442</v>
      </c>
      <c r="J2278" t="s">
        <v>41</v>
      </c>
      <c r="K2278" t="s">
        <v>31</v>
      </c>
      <c r="L2278" s="12">
        <v>0.37152777777777779</v>
      </c>
      <c r="M2278" t="s">
        <v>23</v>
      </c>
      <c r="N2278" s="3">
        <v>186</v>
      </c>
      <c r="O2278" t="s">
        <v>24</v>
      </c>
      <c r="P2278" t="s">
        <v>25</v>
      </c>
      <c r="R2278">
        <f>tblDailySchedule[[#This Row],[Capacity Approx]]*'[1]Load Factor Sheet June Acft  '!$B$5</f>
        <v>150.61772727272728</v>
      </c>
      <c r="S2278">
        <f>tblDailySchedule[[#This Row],[Capacity Approx]]*'[1]Load Factor Sheet June Acft  '!$D$5</f>
        <v>163.08818181818182</v>
      </c>
      <c r="T2278" s="22">
        <f>tblDailySchedule[[#This Row],[STD]]</f>
        <v>0.37152777777777779</v>
      </c>
    </row>
    <row r="2279" spans="1:20" hidden="1" x14ac:dyDescent="0.35">
      <c r="A2279" s="11">
        <v>46192</v>
      </c>
      <c r="B2279" s="3">
        <v>5</v>
      </c>
      <c r="C2279" t="s">
        <v>115</v>
      </c>
      <c r="D2279" t="s">
        <v>18</v>
      </c>
      <c r="E2279" s="3">
        <v>7</v>
      </c>
      <c r="F2279" t="s">
        <v>19</v>
      </c>
      <c r="G2279" t="s">
        <v>42</v>
      </c>
      <c r="H2279" t="s">
        <v>43</v>
      </c>
      <c r="I2279" s="12">
        <v>0.3923611111111111</v>
      </c>
      <c r="J2279" t="s">
        <v>44</v>
      </c>
      <c r="K2279" t="s">
        <v>43</v>
      </c>
      <c r="L2279" s="12">
        <v>0.40277777777777779</v>
      </c>
      <c r="M2279" t="s">
        <v>45</v>
      </c>
      <c r="N2279" s="3">
        <v>9</v>
      </c>
      <c r="O2279" t="s">
        <v>24</v>
      </c>
      <c r="P2279" t="s">
        <v>25</v>
      </c>
      <c r="R2279">
        <f>tblDailySchedule[[#This Row],[Capacity Approx]]*'[1]Load Factor Sheet June Acft  '!$B$5</f>
        <v>7.2879545454545456</v>
      </c>
      <c r="S2279">
        <f>tblDailySchedule[[#This Row],[Capacity Approx]]*'[1]Load Factor Sheet June Acft  '!$D$5</f>
        <v>7.8913636363636366</v>
      </c>
      <c r="T2279" s="22">
        <f>tblDailySchedule[[#This Row],[STD]]</f>
        <v>0.40277777777777779</v>
      </c>
    </row>
    <row r="2280" spans="1:20" hidden="1" x14ac:dyDescent="0.35">
      <c r="A2280" s="11">
        <v>46192</v>
      </c>
      <c r="B2280" s="3">
        <v>5</v>
      </c>
      <c r="C2280" t="s">
        <v>115</v>
      </c>
      <c r="D2280" t="s">
        <v>18</v>
      </c>
      <c r="E2280" s="3">
        <v>8</v>
      </c>
      <c r="F2280" t="s">
        <v>19</v>
      </c>
      <c r="G2280" t="s">
        <v>46</v>
      </c>
      <c r="H2280" t="s">
        <v>31</v>
      </c>
      <c r="I2280" s="12">
        <v>0.4201388888888889</v>
      </c>
      <c r="J2280" t="s">
        <v>47</v>
      </c>
      <c r="K2280" t="s">
        <v>31</v>
      </c>
      <c r="L2280" s="12">
        <v>0.44444444444444442</v>
      </c>
      <c r="M2280" t="s">
        <v>29</v>
      </c>
      <c r="N2280" s="3">
        <v>186</v>
      </c>
      <c r="O2280" t="s">
        <v>24</v>
      </c>
      <c r="P2280" t="s">
        <v>25</v>
      </c>
      <c r="R2280">
        <f>tblDailySchedule[[#This Row],[Capacity Approx]]*'[1]Load Factor Sheet June Acft  '!$B$5</f>
        <v>150.61772727272728</v>
      </c>
      <c r="S2280">
        <f>tblDailySchedule[[#This Row],[Capacity Approx]]*'[1]Load Factor Sheet June Acft  '!$D$5</f>
        <v>163.08818181818182</v>
      </c>
      <c r="T2280" s="22">
        <f>tblDailySchedule[[#This Row],[STD]]</f>
        <v>0.44444444444444442</v>
      </c>
    </row>
    <row r="2281" spans="1:20" hidden="1" x14ac:dyDescent="0.35">
      <c r="A2281" s="11">
        <v>46192</v>
      </c>
      <c r="B2281" s="3">
        <v>5</v>
      </c>
      <c r="C2281" t="s">
        <v>115</v>
      </c>
      <c r="D2281" t="s">
        <v>18</v>
      </c>
      <c r="E2281" s="3">
        <v>9</v>
      </c>
      <c r="F2281" t="s">
        <v>19</v>
      </c>
      <c r="G2281" t="s">
        <v>48</v>
      </c>
      <c r="H2281" t="s">
        <v>49</v>
      </c>
      <c r="I2281" s="12">
        <v>0.4375</v>
      </c>
      <c r="J2281" t="s">
        <v>50</v>
      </c>
      <c r="K2281" t="s">
        <v>49</v>
      </c>
      <c r="L2281" s="12">
        <v>0.45833333333333331</v>
      </c>
      <c r="M2281" t="s">
        <v>51</v>
      </c>
      <c r="N2281" s="3">
        <v>78</v>
      </c>
      <c r="O2281" t="s">
        <v>24</v>
      </c>
      <c r="P2281" t="s">
        <v>25</v>
      </c>
      <c r="R2281">
        <f>tblDailySchedule[[#This Row],[Capacity Approx]]*'[1]Load Factor Sheet June Acft  '!$B$5</f>
        <v>63.162272727272729</v>
      </c>
      <c r="S2281">
        <f>tblDailySchedule[[#This Row],[Capacity Approx]]*'[1]Load Factor Sheet June Acft  '!$D$5</f>
        <v>68.391818181818181</v>
      </c>
      <c r="T2281" s="22">
        <f>tblDailySchedule[[#This Row],[STD]]</f>
        <v>0.45833333333333331</v>
      </c>
    </row>
    <row r="2282" spans="1:20" hidden="1" x14ac:dyDescent="0.35">
      <c r="A2282" s="11">
        <v>46192</v>
      </c>
      <c r="B2282" s="3">
        <v>5</v>
      </c>
      <c r="C2282" t="s">
        <v>115</v>
      </c>
      <c r="D2282" t="s">
        <v>18</v>
      </c>
      <c r="E2282" s="3">
        <v>10</v>
      </c>
      <c r="F2282" t="s">
        <v>19</v>
      </c>
      <c r="G2282" t="s">
        <v>52</v>
      </c>
      <c r="H2282" t="s">
        <v>27</v>
      </c>
      <c r="I2282" s="12">
        <v>0.4826388888888889</v>
      </c>
      <c r="J2282" t="s">
        <v>53</v>
      </c>
      <c r="K2282" t="s">
        <v>27</v>
      </c>
      <c r="L2282" s="12">
        <v>0.51041666666666663</v>
      </c>
      <c r="M2282" t="s">
        <v>23</v>
      </c>
      <c r="N2282" s="3">
        <v>186</v>
      </c>
      <c r="O2282" t="s">
        <v>24</v>
      </c>
      <c r="P2282" t="s">
        <v>25</v>
      </c>
      <c r="R2282">
        <f>tblDailySchedule[[#This Row],[Capacity Approx]]*'[1]Load Factor Sheet June Acft  '!$B$5</f>
        <v>150.61772727272728</v>
      </c>
      <c r="S2282">
        <f>tblDailySchedule[[#This Row],[Capacity Approx]]*'[1]Load Factor Sheet June Acft  '!$D$5</f>
        <v>163.08818181818182</v>
      </c>
      <c r="T2282" s="22">
        <f>tblDailySchedule[[#This Row],[STD]]</f>
        <v>0.51041666666666663</v>
      </c>
    </row>
    <row r="2283" spans="1:20" hidden="1" x14ac:dyDescent="0.35">
      <c r="A2283" s="11">
        <v>46192</v>
      </c>
      <c r="B2283" s="3">
        <v>5</v>
      </c>
      <c r="C2283" t="s">
        <v>115</v>
      </c>
      <c r="D2283" t="s">
        <v>18</v>
      </c>
      <c r="E2283" s="3">
        <v>11</v>
      </c>
      <c r="F2283" t="s">
        <v>19</v>
      </c>
      <c r="G2283" t="s">
        <v>54</v>
      </c>
      <c r="H2283" t="s">
        <v>31</v>
      </c>
      <c r="I2283" s="12">
        <v>0.51388888888888884</v>
      </c>
      <c r="J2283" t="s">
        <v>55</v>
      </c>
      <c r="K2283" t="s">
        <v>31</v>
      </c>
      <c r="L2283" s="12">
        <v>0.54166666666666663</v>
      </c>
      <c r="M2283" t="s">
        <v>23</v>
      </c>
      <c r="N2283" s="3">
        <v>186</v>
      </c>
      <c r="O2283" t="s">
        <v>24</v>
      </c>
      <c r="P2283" t="s">
        <v>56</v>
      </c>
      <c r="R2283">
        <f>tblDailySchedule[[#This Row],[Capacity Approx]]*'[1]Load Factor Sheet June Acft  '!$B$5</f>
        <v>150.61772727272728</v>
      </c>
      <c r="S2283">
        <f>tblDailySchedule[[#This Row],[Capacity Approx]]*'[1]Load Factor Sheet June Acft  '!$D$5</f>
        <v>163.08818181818182</v>
      </c>
      <c r="T2283" s="22">
        <f>tblDailySchedule[[#This Row],[STD]]</f>
        <v>0.54166666666666663</v>
      </c>
    </row>
    <row r="2284" spans="1:20" hidden="1" x14ac:dyDescent="0.35">
      <c r="A2284" s="11">
        <v>46192</v>
      </c>
      <c r="B2284" s="3">
        <v>5</v>
      </c>
      <c r="C2284" t="s">
        <v>115</v>
      </c>
      <c r="D2284" t="s">
        <v>18</v>
      </c>
      <c r="E2284" s="3">
        <v>13</v>
      </c>
      <c r="F2284" t="s">
        <v>19</v>
      </c>
      <c r="G2284" t="s">
        <v>57</v>
      </c>
      <c r="H2284" t="s">
        <v>58</v>
      </c>
      <c r="I2284" s="12">
        <v>0.55902777777777779</v>
      </c>
      <c r="J2284" t="s">
        <v>59</v>
      </c>
      <c r="K2284" t="s">
        <v>58</v>
      </c>
      <c r="L2284" s="12">
        <v>0.57638888888888884</v>
      </c>
      <c r="M2284" t="s">
        <v>51</v>
      </c>
      <c r="N2284" s="3">
        <v>78</v>
      </c>
      <c r="O2284" t="s">
        <v>24</v>
      </c>
      <c r="P2284" t="s">
        <v>56</v>
      </c>
      <c r="R2284">
        <f>tblDailySchedule[[#This Row],[Capacity Approx]]*'[1]Load Factor Sheet June Acft  '!$B$5</f>
        <v>63.162272727272729</v>
      </c>
      <c r="S2284">
        <f>tblDailySchedule[[#This Row],[Capacity Approx]]*'[1]Load Factor Sheet June Acft  '!$D$5</f>
        <v>68.391818181818181</v>
      </c>
      <c r="T2284" s="22">
        <f>tblDailySchedule[[#This Row],[STD]]</f>
        <v>0.57638888888888884</v>
      </c>
    </row>
    <row r="2285" spans="1:20" hidden="1" x14ac:dyDescent="0.35">
      <c r="A2285" s="11">
        <v>46192</v>
      </c>
      <c r="B2285" s="3">
        <v>5</v>
      </c>
      <c r="C2285" t="s">
        <v>115</v>
      </c>
      <c r="D2285" t="s">
        <v>18</v>
      </c>
      <c r="E2285" s="3">
        <v>14</v>
      </c>
      <c r="F2285" t="s">
        <v>19</v>
      </c>
      <c r="G2285" t="s">
        <v>60</v>
      </c>
      <c r="H2285" t="s">
        <v>61</v>
      </c>
      <c r="I2285" s="12">
        <v>0.59027777777777779</v>
      </c>
      <c r="J2285" t="s">
        <v>62</v>
      </c>
      <c r="K2285" t="s">
        <v>61</v>
      </c>
      <c r="L2285" s="12">
        <v>0.62152777777777779</v>
      </c>
      <c r="M2285" t="s">
        <v>63</v>
      </c>
      <c r="N2285" s="3">
        <v>232</v>
      </c>
      <c r="O2285" t="s">
        <v>24</v>
      </c>
      <c r="P2285" t="s">
        <v>56</v>
      </c>
      <c r="R2285">
        <f>tblDailySchedule[[#This Row],[Capacity Approx]]*'[1]Load Factor Sheet June Acft  '!$B$5</f>
        <v>187.86727272727273</v>
      </c>
      <c r="S2285">
        <f>tblDailySchedule[[#This Row],[Capacity Approx]]*'[1]Load Factor Sheet June Acft  '!$D$5</f>
        <v>203.4218181818182</v>
      </c>
      <c r="T2285" s="22">
        <f>tblDailySchedule[[#This Row],[STD]]</f>
        <v>0.62152777777777779</v>
      </c>
    </row>
    <row r="2286" spans="1:20" hidden="1" x14ac:dyDescent="0.35">
      <c r="A2286" s="11">
        <v>46192</v>
      </c>
      <c r="B2286" s="3">
        <v>5</v>
      </c>
      <c r="C2286" t="s">
        <v>115</v>
      </c>
      <c r="D2286" t="s">
        <v>18</v>
      </c>
      <c r="E2286" s="3">
        <v>15</v>
      </c>
      <c r="F2286" t="s">
        <v>19</v>
      </c>
      <c r="G2286" t="s">
        <v>64</v>
      </c>
      <c r="H2286" t="s">
        <v>31</v>
      </c>
      <c r="I2286" s="12">
        <v>0.60069444444444442</v>
      </c>
      <c r="J2286" t="s">
        <v>65</v>
      </c>
      <c r="K2286" t="s">
        <v>66</v>
      </c>
      <c r="L2286" s="12">
        <v>0.62847222222222221</v>
      </c>
      <c r="M2286" t="s">
        <v>63</v>
      </c>
      <c r="N2286" s="3">
        <v>232</v>
      </c>
      <c r="O2286" t="s">
        <v>24</v>
      </c>
      <c r="P2286" t="s">
        <v>56</v>
      </c>
      <c r="R2286">
        <f>tblDailySchedule[[#This Row],[Capacity Approx]]*'[1]Load Factor Sheet June Acft  '!$B$5</f>
        <v>187.86727272727273</v>
      </c>
      <c r="S2286">
        <f>tblDailySchedule[[#This Row],[Capacity Approx]]*'[1]Load Factor Sheet June Acft  '!$D$5</f>
        <v>203.4218181818182</v>
      </c>
      <c r="T2286" s="22">
        <f>tblDailySchedule[[#This Row],[STD]]</f>
        <v>0.62847222222222221</v>
      </c>
    </row>
    <row r="2287" spans="1:20" hidden="1" x14ac:dyDescent="0.35">
      <c r="A2287" s="11">
        <v>46192</v>
      </c>
      <c r="B2287" s="3">
        <v>5</v>
      </c>
      <c r="C2287" t="s">
        <v>115</v>
      </c>
      <c r="D2287" t="s">
        <v>18</v>
      </c>
      <c r="E2287" s="3">
        <v>16</v>
      </c>
      <c r="F2287" t="s">
        <v>19</v>
      </c>
      <c r="G2287" t="s">
        <v>67</v>
      </c>
      <c r="H2287" t="s">
        <v>31</v>
      </c>
      <c r="I2287" s="12">
        <v>0.65625</v>
      </c>
      <c r="J2287" t="s">
        <v>68</v>
      </c>
      <c r="K2287" t="s">
        <v>31</v>
      </c>
      <c r="L2287" s="12">
        <v>0.68402777777777779</v>
      </c>
      <c r="M2287" t="s">
        <v>63</v>
      </c>
      <c r="N2287" s="3">
        <v>232</v>
      </c>
      <c r="O2287" t="s">
        <v>24</v>
      </c>
      <c r="P2287" t="s">
        <v>56</v>
      </c>
      <c r="R2287">
        <f>tblDailySchedule[[#This Row],[Capacity Approx]]*'[1]Load Factor Sheet June Acft  '!$B$5</f>
        <v>187.86727272727273</v>
      </c>
      <c r="S2287">
        <f>tblDailySchedule[[#This Row],[Capacity Approx]]*'[1]Load Factor Sheet June Acft  '!$D$5</f>
        <v>203.4218181818182</v>
      </c>
      <c r="T2287" s="22">
        <f>tblDailySchedule[[#This Row],[STD]]</f>
        <v>0.68402777777777779</v>
      </c>
    </row>
    <row r="2288" spans="1:20" hidden="1" x14ac:dyDescent="0.35">
      <c r="A2288" s="11">
        <v>46192</v>
      </c>
      <c r="B2288" s="3">
        <v>5</v>
      </c>
      <c r="C2288" t="s">
        <v>115</v>
      </c>
      <c r="D2288" t="s">
        <v>18</v>
      </c>
      <c r="E2288" s="3">
        <v>17</v>
      </c>
      <c r="F2288" t="s">
        <v>19</v>
      </c>
      <c r="G2288" t="s">
        <v>69</v>
      </c>
      <c r="H2288" t="s">
        <v>31</v>
      </c>
      <c r="I2288" s="12">
        <v>0.66319444444444442</v>
      </c>
      <c r="J2288" t="s">
        <v>70</v>
      </c>
      <c r="K2288" t="s">
        <v>31</v>
      </c>
      <c r="L2288" s="12">
        <v>0.69097222222222221</v>
      </c>
      <c r="M2288" t="s">
        <v>33</v>
      </c>
      <c r="N2288" s="3">
        <v>189</v>
      </c>
      <c r="O2288" t="s">
        <v>24</v>
      </c>
      <c r="P2288" t="s">
        <v>56</v>
      </c>
      <c r="R2288">
        <f>tblDailySchedule[[#This Row],[Capacity Approx]]*'[1]Load Factor Sheet June Acft  '!$B$5</f>
        <v>153.04704545454547</v>
      </c>
      <c r="S2288">
        <f>tblDailySchedule[[#This Row],[Capacity Approx]]*'[1]Load Factor Sheet June Acft  '!$D$5</f>
        <v>165.71863636363636</v>
      </c>
      <c r="T2288" s="22">
        <f>tblDailySchedule[[#This Row],[STD]]</f>
        <v>0.69097222222222221</v>
      </c>
    </row>
    <row r="2289" spans="1:20" hidden="1" x14ac:dyDescent="0.35">
      <c r="A2289" s="11">
        <v>46192</v>
      </c>
      <c r="B2289" s="3">
        <v>5</v>
      </c>
      <c r="C2289" t="s">
        <v>115</v>
      </c>
      <c r="D2289" t="s">
        <v>18</v>
      </c>
      <c r="E2289" s="3">
        <v>18</v>
      </c>
      <c r="F2289" t="s">
        <v>19</v>
      </c>
      <c r="G2289" t="s">
        <v>71</v>
      </c>
      <c r="H2289" t="s">
        <v>21</v>
      </c>
      <c r="I2289" s="12">
        <v>0.67013888888888884</v>
      </c>
      <c r="J2289" t="s">
        <v>72</v>
      </c>
      <c r="K2289" t="s">
        <v>21</v>
      </c>
      <c r="L2289" s="12">
        <v>0.69791666666666663</v>
      </c>
      <c r="M2289" t="s">
        <v>63</v>
      </c>
      <c r="N2289" s="3">
        <v>232</v>
      </c>
      <c r="O2289" t="s">
        <v>24</v>
      </c>
      <c r="P2289" t="s">
        <v>56</v>
      </c>
      <c r="R2289">
        <f>tblDailySchedule[[#This Row],[Capacity Approx]]*'[1]Load Factor Sheet June Acft  '!$B$5</f>
        <v>187.86727272727273</v>
      </c>
      <c r="S2289">
        <f>tblDailySchedule[[#This Row],[Capacity Approx]]*'[1]Load Factor Sheet June Acft  '!$D$5</f>
        <v>203.4218181818182</v>
      </c>
      <c r="T2289" s="22">
        <f>tblDailySchedule[[#This Row],[STD]]</f>
        <v>0.69791666666666663</v>
      </c>
    </row>
    <row r="2290" spans="1:20" hidden="1" x14ac:dyDescent="0.35">
      <c r="A2290" s="11">
        <v>46192</v>
      </c>
      <c r="B2290" s="3">
        <v>5</v>
      </c>
      <c r="C2290" t="s">
        <v>115</v>
      </c>
      <c r="D2290" t="s">
        <v>18</v>
      </c>
      <c r="E2290" s="3">
        <v>19</v>
      </c>
      <c r="F2290" t="s">
        <v>19</v>
      </c>
      <c r="G2290" t="s">
        <v>73</v>
      </c>
      <c r="H2290" t="s">
        <v>27</v>
      </c>
      <c r="I2290" s="12">
        <v>0.74652777777777779</v>
      </c>
      <c r="J2290" t="s">
        <v>74</v>
      </c>
      <c r="K2290" t="s">
        <v>27</v>
      </c>
      <c r="L2290" s="12">
        <v>0.77430555555555558</v>
      </c>
      <c r="M2290" t="s">
        <v>63</v>
      </c>
      <c r="N2290" s="3">
        <v>232</v>
      </c>
      <c r="O2290" t="s">
        <v>24</v>
      </c>
      <c r="P2290" t="s">
        <v>56</v>
      </c>
      <c r="R2290">
        <f>tblDailySchedule[[#This Row],[Capacity Approx]]*'[1]Load Factor Sheet June Acft  '!$B$5</f>
        <v>187.86727272727273</v>
      </c>
      <c r="S2290">
        <f>tblDailySchedule[[#This Row],[Capacity Approx]]*'[1]Load Factor Sheet June Acft  '!$D$5</f>
        <v>203.4218181818182</v>
      </c>
      <c r="T2290" s="22">
        <f>tblDailySchedule[[#This Row],[STD]]</f>
        <v>0.77430555555555558</v>
      </c>
    </row>
    <row r="2291" spans="1:20" hidden="1" x14ac:dyDescent="0.35">
      <c r="A2291" s="11">
        <v>46192</v>
      </c>
      <c r="B2291" s="3">
        <v>5</v>
      </c>
      <c r="C2291" t="s">
        <v>115</v>
      </c>
      <c r="D2291" t="s">
        <v>18</v>
      </c>
      <c r="E2291" s="3">
        <v>20</v>
      </c>
      <c r="F2291" t="s">
        <v>34</v>
      </c>
      <c r="G2291" t="s">
        <v>75</v>
      </c>
      <c r="H2291" t="s">
        <v>76</v>
      </c>
      <c r="I2291" s="12">
        <v>0.76388888888888884</v>
      </c>
      <c r="J2291" t="s">
        <v>77</v>
      </c>
      <c r="K2291" t="s">
        <v>78</v>
      </c>
      <c r="L2291" s="12">
        <v>0.78472222222222221</v>
      </c>
      <c r="M2291" t="s">
        <v>51</v>
      </c>
      <c r="N2291" s="3">
        <v>78</v>
      </c>
      <c r="O2291" t="s">
        <v>24</v>
      </c>
      <c r="P2291" t="s">
        <v>79</v>
      </c>
      <c r="Q2291" s="16" t="s">
        <v>80</v>
      </c>
      <c r="R2291">
        <f>tblDailySchedule[[#This Row],[Capacity Approx]]*'[1]Load Factor Sheet June Acft  '!$B$5</f>
        <v>63.162272727272729</v>
      </c>
      <c r="S2291">
        <f>tblDailySchedule[[#This Row],[Capacity Approx]]*'[1]Load Factor Sheet June Acft  '!$D$5</f>
        <v>68.391818181818181</v>
      </c>
      <c r="T2291" s="22">
        <f>tblDailySchedule[[#This Row],[STD]]</f>
        <v>0.78472222222222221</v>
      </c>
    </row>
    <row r="2292" spans="1:20" hidden="1" x14ac:dyDescent="0.35">
      <c r="A2292" s="11">
        <v>46192</v>
      </c>
      <c r="B2292" s="3">
        <v>5</v>
      </c>
      <c r="C2292" t="s">
        <v>115</v>
      </c>
      <c r="D2292" t="s">
        <v>18</v>
      </c>
      <c r="E2292" s="3">
        <v>21</v>
      </c>
      <c r="F2292" t="s">
        <v>19</v>
      </c>
      <c r="G2292" t="s">
        <v>81</v>
      </c>
      <c r="H2292" t="s">
        <v>61</v>
      </c>
      <c r="I2292" s="12">
        <v>0.77083333333333337</v>
      </c>
      <c r="J2292" t="s">
        <v>82</v>
      </c>
      <c r="K2292" t="s">
        <v>49</v>
      </c>
      <c r="L2292" s="12">
        <v>0.79166666666666663</v>
      </c>
      <c r="M2292" t="s">
        <v>33</v>
      </c>
      <c r="N2292" s="3">
        <v>189</v>
      </c>
      <c r="O2292" t="s">
        <v>24</v>
      </c>
      <c r="P2292" t="s">
        <v>79</v>
      </c>
      <c r="R2292">
        <f>tblDailySchedule[[#This Row],[Capacity Approx]]*'[1]Load Factor Sheet June Acft  '!$B$5</f>
        <v>153.04704545454547</v>
      </c>
      <c r="S2292">
        <f>tblDailySchedule[[#This Row],[Capacity Approx]]*'[1]Load Factor Sheet June Acft  '!$D$5</f>
        <v>165.71863636363636</v>
      </c>
      <c r="T2292" s="22">
        <f>tblDailySchedule[[#This Row],[STD]]</f>
        <v>0.79166666666666663</v>
      </c>
    </row>
    <row r="2293" spans="1:20" hidden="1" x14ac:dyDescent="0.35">
      <c r="A2293" s="11">
        <v>46192</v>
      </c>
      <c r="B2293" s="3">
        <v>5</v>
      </c>
      <c r="C2293" t="s">
        <v>115</v>
      </c>
      <c r="D2293" t="s">
        <v>18</v>
      </c>
      <c r="E2293" s="3">
        <v>22</v>
      </c>
      <c r="F2293" t="s">
        <v>19</v>
      </c>
      <c r="G2293" t="s">
        <v>83</v>
      </c>
      <c r="H2293" t="s">
        <v>31</v>
      </c>
      <c r="I2293" s="12">
        <v>0.77777777777777779</v>
      </c>
      <c r="J2293" t="s">
        <v>84</v>
      </c>
      <c r="K2293" t="s">
        <v>31</v>
      </c>
      <c r="L2293" s="12">
        <v>0.80555555555555558</v>
      </c>
      <c r="M2293" t="s">
        <v>63</v>
      </c>
      <c r="N2293" s="3">
        <v>232</v>
      </c>
      <c r="O2293" t="s">
        <v>24</v>
      </c>
      <c r="P2293" t="s">
        <v>79</v>
      </c>
      <c r="R2293">
        <f>tblDailySchedule[[#This Row],[Capacity Approx]]*'[1]Load Factor Sheet June Acft  '!$B$5</f>
        <v>187.86727272727273</v>
      </c>
      <c r="S2293">
        <f>tblDailySchedule[[#This Row],[Capacity Approx]]*'[1]Load Factor Sheet June Acft  '!$D$5</f>
        <v>203.4218181818182</v>
      </c>
      <c r="T2293" s="22">
        <f>tblDailySchedule[[#This Row],[STD]]</f>
        <v>0.80555555555555558</v>
      </c>
    </row>
    <row r="2294" spans="1:20" hidden="1" x14ac:dyDescent="0.35">
      <c r="A2294" s="11">
        <v>46192</v>
      </c>
      <c r="B2294" s="3">
        <v>5</v>
      </c>
      <c r="C2294" t="s">
        <v>115</v>
      </c>
      <c r="D2294" t="s">
        <v>18</v>
      </c>
      <c r="E2294" s="3">
        <v>23</v>
      </c>
      <c r="F2294" t="s">
        <v>19</v>
      </c>
      <c r="G2294" t="s">
        <v>85</v>
      </c>
      <c r="H2294" t="s">
        <v>86</v>
      </c>
      <c r="I2294" s="12">
        <v>0.79861111111111116</v>
      </c>
      <c r="J2294" t="s">
        <v>87</v>
      </c>
      <c r="K2294" t="s">
        <v>86</v>
      </c>
      <c r="L2294" s="12">
        <v>0.82638888888888884</v>
      </c>
      <c r="M2294" t="s">
        <v>63</v>
      </c>
      <c r="N2294" s="3">
        <v>232</v>
      </c>
      <c r="O2294" t="s">
        <v>24</v>
      </c>
      <c r="P2294" t="s">
        <v>79</v>
      </c>
      <c r="R2294">
        <f>tblDailySchedule[[#This Row],[Capacity Approx]]*'[1]Load Factor Sheet June Acft  '!$B$5</f>
        <v>187.86727272727273</v>
      </c>
      <c r="S2294">
        <f>tblDailySchedule[[#This Row],[Capacity Approx]]*'[1]Load Factor Sheet June Acft  '!$D$5</f>
        <v>203.4218181818182</v>
      </c>
      <c r="T2294" s="22">
        <f>tblDailySchedule[[#This Row],[STD]]</f>
        <v>0.82638888888888884</v>
      </c>
    </row>
    <row r="2295" spans="1:20" hidden="1" x14ac:dyDescent="0.35">
      <c r="A2295" s="11">
        <v>46192</v>
      </c>
      <c r="B2295" s="3">
        <v>5</v>
      </c>
      <c r="C2295" t="s">
        <v>115</v>
      </c>
      <c r="D2295" t="s">
        <v>18</v>
      </c>
      <c r="E2295" s="3">
        <v>24</v>
      </c>
      <c r="F2295" t="s">
        <v>19</v>
      </c>
      <c r="G2295" t="s">
        <v>88</v>
      </c>
      <c r="H2295" t="s">
        <v>89</v>
      </c>
      <c r="I2295" s="12">
        <v>0.83333333333333337</v>
      </c>
      <c r="J2295" t="s">
        <v>90</v>
      </c>
      <c r="K2295" t="s">
        <v>31</v>
      </c>
      <c r="L2295" s="12">
        <v>0.86111111111111116</v>
      </c>
      <c r="M2295" t="s">
        <v>63</v>
      </c>
      <c r="N2295" s="3">
        <v>232</v>
      </c>
      <c r="O2295" t="s">
        <v>24</v>
      </c>
      <c r="P2295" t="s">
        <v>79</v>
      </c>
      <c r="R2295">
        <f>tblDailySchedule[[#This Row],[Capacity Approx]]*'[1]Load Factor Sheet June Acft  '!$B$5</f>
        <v>187.86727272727273</v>
      </c>
      <c r="S2295">
        <f>tblDailySchedule[[#This Row],[Capacity Approx]]*'[1]Load Factor Sheet June Acft  '!$D$5</f>
        <v>203.4218181818182</v>
      </c>
      <c r="T2295" s="22">
        <f>tblDailySchedule[[#This Row],[STD]]</f>
        <v>0.86111111111111116</v>
      </c>
    </row>
    <row r="2296" spans="1:20" hidden="1" x14ac:dyDescent="0.35">
      <c r="A2296" s="11">
        <v>46192</v>
      </c>
      <c r="B2296" s="3">
        <v>5</v>
      </c>
      <c r="C2296" t="s">
        <v>115</v>
      </c>
      <c r="D2296" t="s">
        <v>18</v>
      </c>
      <c r="E2296" s="3">
        <v>25</v>
      </c>
      <c r="F2296" t="s">
        <v>19</v>
      </c>
      <c r="G2296" t="s">
        <v>91</v>
      </c>
      <c r="H2296" t="s">
        <v>61</v>
      </c>
      <c r="I2296" s="12">
        <v>0.85416666666666663</v>
      </c>
      <c r="J2296" t="s">
        <v>92</v>
      </c>
      <c r="K2296" t="s">
        <v>61</v>
      </c>
      <c r="L2296" s="12">
        <v>0.88194444444444442</v>
      </c>
      <c r="M2296" t="s">
        <v>63</v>
      </c>
      <c r="N2296" s="3">
        <v>232</v>
      </c>
      <c r="O2296" t="s">
        <v>24</v>
      </c>
      <c r="P2296" t="s">
        <v>79</v>
      </c>
      <c r="R2296">
        <f>tblDailySchedule[[#This Row],[Capacity Approx]]*'[1]Load Factor Sheet June Acft  '!$B$5</f>
        <v>187.86727272727273</v>
      </c>
      <c r="S2296">
        <f>tblDailySchedule[[#This Row],[Capacity Approx]]*'[1]Load Factor Sheet June Acft  '!$D$5</f>
        <v>203.4218181818182</v>
      </c>
      <c r="T2296" s="22">
        <f>tblDailySchedule[[#This Row],[STD]]</f>
        <v>0.88194444444444442</v>
      </c>
    </row>
    <row r="2297" spans="1:20" hidden="1" x14ac:dyDescent="0.35">
      <c r="A2297" s="11">
        <v>46192</v>
      </c>
      <c r="B2297" s="3">
        <v>5</v>
      </c>
      <c r="C2297" t="s">
        <v>115</v>
      </c>
      <c r="D2297" t="s">
        <v>18</v>
      </c>
      <c r="E2297" s="3">
        <v>26</v>
      </c>
      <c r="F2297" t="s">
        <v>19</v>
      </c>
      <c r="G2297" t="s">
        <v>93</v>
      </c>
      <c r="H2297" t="s">
        <v>31</v>
      </c>
      <c r="I2297" s="12">
        <v>0.86111111111111116</v>
      </c>
      <c r="J2297" t="s">
        <v>94</v>
      </c>
      <c r="K2297" t="s">
        <v>31</v>
      </c>
      <c r="L2297" s="12">
        <v>0.88888888888888884</v>
      </c>
      <c r="M2297" t="s">
        <v>23</v>
      </c>
      <c r="N2297" s="3">
        <v>186</v>
      </c>
      <c r="O2297" t="s">
        <v>24</v>
      </c>
      <c r="P2297" t="s">
        <v>79</v>
      </c>
      <c r="R2297">
        <f>tblDailySchedule[[#This Row],[Capacity Approx]]*'[1]Load Factor Sheet June Acft  '!$B$5</f>
        <v>150.61772727272728</v>
      </c>
      <c r="S2297">
        <f>tblDailySchedule[[#This Row],[Capacity Approx]]*'[1]Load Factor Sheet June Acft  '!$D$5</f>
        <v>163.08818181818182</v>
      </c>
      <c r="T2297" s="22">
        <f>tblDailySchedule[[#This Row],[STD]]</f>
        <v>0.88888888888888884</v>
      </c>
    </row>
    <row r="2298" spans="1:20" hidden="1" x14ac:dyDescent="0.35">
      <c r="A2298" s="11">
        <v>46192</v>
      </c>
      <c r="B2298" s="3">
        <v>5</v>
      </c>
      <c r="C2298" t="s">
        <v>115</v>
      </c>
      <c r="D2298" t="s">
        <v>18</v>
      </c>
      <c r="E2298" s="3">
        <v>27</v>
      </c>
      <c r="F2298" t="s">
        <v>19</v>
      </c>
      <c r="G2298" t="s">
        <v>95</v>
      </c>
      <c r="H2298" t="s">
        <v>21</v>
      </c>
      <c r="I2298" s="12">
        <v>0.86805555555555558</v>
      </c>
      <c r="J2298" t="s">
        <v>96</v>
      </c>
      <c r="K2298" t="s">
        <v>21</v>
      </c>
      <c r="L2298" s="12">
        <v>0.89583333333333337</v>
      </c>
      <c r="M2298" t="s">
        <v>29</v>
      </c>
      <c r="N2298" s="3">
        <v>186</v>
      </c>
      <c r="O2298" t="s">
        <v>24</v>
      </c>
      <c r="P2298" t="s">
        <v>79</v>
      </c>
      <c r="R2298">
        <f>tblDailySchedule[[#This Row],[Capacity Approx]]*'[1]Load Factor Sheet June Acft  '!$B$5</f>
        <v>150.61772727272728</v>
      </c>
      <c r="S2298">
        <f>tblDailySchedule[[#This Row],[Capacity Approx]]*'[1]Load Factor Sheet June Acft  '!$D$5</f>
        <v>163.08818181818182</v>
      </c>
      <c r="T2298" s="22">
        <f>tblDailySchedule[[#This Row],[STD]]</f>
        <v>0.89583333333333337</v>
      </c>
    </row>
    <row r="2299" spans="1:20" hidden="1" x14ac:dyDescent="0.35">
      <c r="A2299" s="11">
        <v>46192</v>
      </c>
      <c r="B2299" s="3">
        <v>5</v>
      </c>
      <c r="C2299" t="s">
        <v>115</v>
      </c>
      <c r="D2299" t="s">
        <v>18</v>
      </c>
      <c r="E2299" s="3">
        <v>28</v>
      </c>
      <c r="F2299" t="s">
        <v>19</v>
      </c>
      <c r="G2299" t="s">
        <v>97</v>
      </c>
      <c r="H2299" t="s">
        <v>49</v>
      </c>
      <c r="I2299" s="12">
        <v>0.90277777777777779</v>
      </c>
      <c r="J2299" t="s">
        <v>97</v>
      </c>
      <c r="K2299" t="s">
        <v>61</v>
      </c>
      <c r="L2299" s="12">
        <v>0.92361111111111116</v>
      </c>
      <c r="M2299" t="s">
        <v>33</v>
      </c>
      <c r="N2299" s="3">
        <v>189</v>
      </c>
      <c r="O2299" t="s">
        <v>24</v>
      </c>
      <c r="P2299" t="s">
        <v>79</v>
      </c>
      <c r="R2299">
        <f>tblDailySchedule[[#This Row],[Capacity Approx]]*'[1]Load Factor Sheet June Acft  '!$B$5</f>
        <v>153.04704545454547</v>
      </c>
      <c r="S2299">
        <f>tblDailySchedule[[#This Row],[Capacity Approx]]*'[1]Load Factor Sheet June Acft  '!$D$5</f>
        <v>165.71863636363636</v>
      </c>
      <c r="T2299" s="22">
        <f>tblDailySchedule[[#This Row],[STD]]</f>
        <v>0.92361111111111116</v>
      </c>
    </row>
    <row r="2300" spans="1:20" hidden="1" x14ac:dyDescent="0.35">
      <c r="A2300" s="11">
        <v>46192</v>
      </c>
      <c r="B2300" s="3">
        <v>5</v>
      </c>
      <c r="C2300" t="s">
        <v>115</v>
      </c>
      <c r="D2300" t="s">
        <v>18</v>
      </c>
      <c r="E2300" s="3">
        <v>29</v>
      </c>
      <c r="F2300" t="s">
        <v>19</v>
      </c>
      <c r="G2300" t="s">
        <v>98</v>
      </c>
      <c r="H2300" t="s">
        <v>21</v>
      </c>
      <c r="I2300" s="12">
        <v>0.92013888888888884</v>
      </c>
      <c r="J2300" t="s">
        <v>99</v>
      </c>
      <c r="K2300" t="s">
        <v>21</v>
      </c>
      <c r="L2300" s="12">
        <v>0.94791666666666663</v>
      </c>
      <c r="M2300" t="s">
        <v>63</v>
      </c>
      <c r="N2300" s="3">
        <v>232</v>
      </c>
      <c r="O2300" t="s">
        <v>24</v>
      </c>
      <c r="P2300" t="s">
        <v>79</v>
      </c>
      <c r="R2300">
        <f>tblDailySchedule[[#This Row],[Capacity Approx]]*'[1]Load Factor Sheet June Acft  '!$B$5</f>
        <v>187.86727272727273</v>
      </c>
      <c r="S2300">
        <f>tblDailySchedule[[#This Row],[Capacity Approx]]*'[1]Load Factor Sheet June Acft  '!$D$5</f>
        <v>203.4218181818182</v>
      </c>
      <c r="T2300" s="22">
        <f>tblDailySchedule[[#This Row],[STD]]</f>
        <v>0.94791666666666663</v>
      </c>
    </row>
    <row r="2301" spans="1:20" hidden="1" x14ac:dyDescent="0.35">
      <c r="A2301" s="13">
        <v>46192</v>
      </c>
      <c r="B2301" s="7">
        <v>5</v>
      </c>
      <c r="C2301" s="14" t="s">
        <v>115</v>
      </c>
      <c r="D2301" s="14" t="s">
        <v>18</v>
      </c>
      <c r="E2301" s="7">
        <v>30</v>
      </c>
      <c r="F2301" s="14" t="s">
        <v>104</v>
      </c>
      <c r="G2301" s="14" t="s">
        <v>105</v>
      </c>
      <c r="H2301" s="14" t="s">
        <v>106</v>
      </c>
      <c r="I2301" s="15">
        <v>0.92708333333333337</v>
      </c>
      <c r="J2301" s="14" t="s">
        <v>107</v>
      </c>
      <c r="K2301" s="14" t="s">
        <v>106</v>
      </c>
      <c r="L2301" s="15">
        <v>0.95833333333333337</v>
      </c>
      <c r="M2301" s="14" t="s">
        <v>38</v>
      </c>
      <c r="N2301" s="7">
        <v>186</v>
      </c>
      <c r="O2301" s="14" t="s">
        <v>39</v>
      </c>
      <c r="P2301" s="14" t="s">
        <v>79</v>
      </c>
      <c r="Q2301" s="14" t="s">
        <v>39</v>
      </c>
      <c r="R2301">
        <f>tblDailySchedule[[#This Row],[Capacity Approx]]*'[1]Load Factor Sheet June Acft  '!$B$5</f>
        <v>150.61772727272728</v>
      </c>
      <c r="S2301">
        <f>tblDailySchedule[[#This Row],[Capacity Approx]]*'[1]Load Factor Sheet June Acft  '!$D$5</f>
        <v>163.08818181818182</v>
      </c>
      <c r="T2301" s="22">
        <f>tblDailySchedule[[#This Row],[STD]]</f>
        <v>0.95833333333333337</v>
      </c>
    </row>
    <row r="2302" spans="1:20" hidden="1" x14ac:dyDescent="0.35">
      <c r="A2302" s="11">
        <v>46193</v>
      </c>
      <c r="B2302" s="3">
        <v>6</v>
      </c>
      <c r="C2302" t="s">
        <v>116</v>
      </c>
      <c r="D2302" t="s">
        <v>18</v>
      </c>
      <c r="E2302" s="3">
        <v>1</v>
      </c>
      <c r="F2302" t="s">
        <v>101</v>
      </c>
      <c r="G2302" t="s">
        <v>102</v>
      </c>
      <c r="H2302" t="s">
        <v>61</v>
      </c>
      <c r="I2302" s="12">
        <v>0.3125</v>
      </c>
      <c r="J2302" t="s">
        <v>103</v>
      </c>
      <c r="K2302" t="s">
        <v>61</v>
      </c>
      <c r="L2302" s="12">
        <v>0.33333333333333331</v>
      </c>
      <c r="M2302" t="s">
        <v>33</v>
      </c>
      <c r="N2302" s="3">
        <v>189</v>
      </c>
      <c r="O2302" t="s">
        <v>24</v>
      </c>
      <c r="P2302" t="s">
        <v>25</v>
      </c>
      <c r="R2302">
        <f>tblDailySchedule[[#This Row],[Capacity Approx]]*'[1]Load Factor Sheet June Acft  '!$B$5</f>
        <v>153.04704545454547</v>
      </c>
      <c r="S2302">
        <f>tblDailySchedule[[#This Row],[Capacity Approx]]*'[1]Load Factor Sheet June Acft  '!$D$5</f>
        <v>165.71863636363636</v>
      </c>
      <c r="T2302" s="22">
        <f>tblDailySchedule[[#This Row],[STD]]</f>
        <v>0.33333333333333331</v>
      </c>
    </row>
    <row r="2303" spans="1:20" hidden="1" x14ac:dyDescent="0.35">
      <c r="A2303" s="11">
        <v>46193</v>
      </c>
      <c r="B2303" s="3">
        <v>6</v>
      </c>
      <c r="C2303" t="s">
        <v>116</v>
      </c>
      <c r="D2303" t="s">
        <v>18</v>
      </c>
      <c r="E2303" s="3">
        <v>2</v>
      </c>
      <c r="F2303" t="s">
        <v>19</v>
      </c>
      <c r="G2303" t="s">
        <v>20</v>
      </c>
      <c r="H2303" t="s">
        <v>21</v>
      </c>
      <c r="I2303" s="12">
        <v>0.31944444444444442</v>
      </c>
      <c r="J2303" t="s">
        <v>22</v>
      </c>
      <c r="K2303" t="s">
        <v>21</v>
      </c>
      <c r="L2303" s="12">
        <v>0.34722222222222221</v>
      </c>
      <c r="M2303" t="s">
        <v>23</v>
      </c>
      <c r="N2303" s="3">
        <v>186</v>
      </c>
      <c r="O2303" t="s">
        <v>24</v>
      </c>
      <c r="P2303" t="s">
        <v>25</v>
      </c>
      <c r="R2303">
        <f>tblDailySchedule[[#This Row],[Capacity Approx]]*'[1]Load Factor Sheet June Acft  '!$B$5</f>
        <v>150.61772727272728</v>
      </c>
      <c r="S2303">
        <f>tblDailySchedule[[#This Row],[Capacity Approx]]*'[1]Load Factor Sheet June Acft  '!$D$5</f>
        <v>163.08818181818182</v>
      </c>
      <c r="T2303" s="22">
        <f>tblDailySchedule[[#This Row],[STD]]</f>
        <v>0.34722222222222221</v>
      </c>
    </row>
    <row r="2304" spans="1:20" hidden="1" x14ac:dyDescent="0.35">
      <c r="A2304" s="11">
        <v>46193</v>
      </c>
      <c r="B2304" s="3">
        <v>6</v>
      </c>
      <c r="C2304" t="s">
        <v>116</v>
      </c>
      <c r="D2304" t="s">
        <v>18</v>
      </c>
      <c r="E2304" s="3">
        <v>3</v>
      </c>
      <c r="F2304" t="s">
        <v>19</v>
      </c>
      <c r="G2304" t="s">
        <v>26</v>
      </c>
      <c r="H2304" t="s">
        <v>27</v>
      </c>
      <c r="I2304" s="12">
        <v>0.3263888888888889</v>
      </c>
      <c r="J2304" t="s">
        <v>28</v>
      </c>
      <c r="K2304" t="s">
        <v>27</v>
      </c>
      <c r="L2304" s="12">
        <v>0.35416666666666669</v>
      </c>
      <c r="M2304" t="s">
        <v>29</v>
      </c>
      <c r="N2304" s="3">
        <v>186</v>
      </c>
      <c r="O2304" t="s">
        <v>24</v>
      </c>
      <c r="P2304" t="s">
        <v>25</v>
      </c>
      <c r="R2304">
        <f>tblDailySchedule[[#This Row],[Capacity Approx]]*'[1]Load Factor Sheet June Acft  '!$B$5</f>
        <v>150.61772727272728</v>
      </c>
      <c r="S2304">
        <f>tblDailySchedule[[#This Row],[Capacity Approx]]*'[1]Load Factor Sheet June Acft  '!$D$5</f>
        <v>163.08818181818182</v>
      </c>
      <c r="T2304" s="22">
        <f>tblDailySchedule[[#This Row],[STD]]</f>
        <v>0.35416666666666669</v>
      </c>
    </row>
    <row r="2305" spans="1:20" hidden="1" x14ac:dyDescent="0.35">
      <c r="A2305" s="11">
        <v>46193</v>
      </c>
      <c r="B2305" s="3">
        <v>6</v>
      </c>
      <c r="C2305" t="s">
        <v>116</v>
      </c>
      <c r="D2305" t="s">
        <v>18</v>
      </c>
      <c r="E2305" s="3">
        <v>4</v>
      </c>
      <c r="F2305" t="s">
        <v>19</v>
      </c>
      <c r="G2305" t="s">
        <v>30</v>
      </c>
      <c r="H2305" t="s">
        <v>31</v>
      </c>
      <c r="I2305" s="12">
        <v>0.34722222222222221</v>
      </c>
      <c r="J2305" t="s">
        <v>32</v>
      </c>
      <c r="K2305" t="s">
        <v>31</v>
      </c>
      <c r="L2305" s="12">
        <v>0.36805555555555558</v>
      </c>
      <c r="M2305" t="s">
        <v>33</v>
      </c>
      <c r="N2305" s="3">
        <v>189</v>
      </c>
      <c r="O2305" t="s">
        <v>24</v>
      </c>
      <c r="P2305" t="s">
        <v>25</v>
      </c>
      <c r="R2305">
        <f>tblDailySchedule[[#This Row],[Capacity Approx]]*'[1]Load Factor Sheet June Acft  '!$B$5</f>
        <v>153.04704545454547</v>
      </c>
      <c r="S2305">
        <f>tblDailySchedule[[#This Row],[Capacity Approx]]*'[1]Load Factor Sheet June Acft  '!$D$5</f>
        <v>165.71863636363636</v>
      </c>
      <c r="T2305" s="22">
        <f>tblDailySchedule[[#This Row],[STD]]</f>
        <v>0.36805555555555558</v>
      </c>
    </row>
    <row r="2306" spans="1:20" hidden="1" x14ac:dyDescent="0.35">
      <c r="A2306" s="11">
        <v>46193</v>
      </c>
      <c r="B2306" s="3">
        <v>6</v>
      </c>
      <c r="C2306" t="s">
        <v>116</v>
      </c>
      <c r="D2306" t="s">
        <v>18</v>
      </c>
      <c r="E2306" s="3">
        <v>5</v>
      </c>
      <c r="F2306" t="s">
        <v>19</v>
      </c>
      <c r="G2306" t="s">
        <v>40</v>
      </c>
      <c r="H2306" t="s">
        <v>31</v>
      </c>
      <c r="I2306" s="12">
        <v>0.35069444444444442</v>
      </c>
      <c r="J2306" t="s">
        <v>41</v>
      </c>
      <c r="K2306" t="s">
        <v>31</v>
      </c>
      <c r="L2306" s="12">
        <v>0.37152777777777779</v>
      </c>
      <c r="M2306" t="s">
        <v>23</v>
      </c>
      <c r="N2306" s="3">
        <v>186</v>
      </c>
      <c r="O2306" t="s">
        <v>24</v>
      </c>
      <c r="P2306" t="s">
        <v>25</v>
      </c>
      <c r="R2306">
        <f>tblDailySchedule[[#This Row],[Capacity Approx]]*'[1]Load Factor Sheet June Acft  '!$B$5</f>
        <v>150.61772727272728</v>
      </c>
      <c r="S2306">
        <f>tblDailySchedule[[#This Row],[Capacity Approx]]*'[1]Load Factor Sheet June Acft  '!$D$5</f>
        <v>163.08818181818182</v>
      </c>
      <c r="T2306" s="22">
        <f>tblDailySchedule[[#This Row],[STD]]</f>
        <v>0.37152777777777779</v>
      </c>
    </row>
    <row r="2307" spans="1:20" hidden="1" x14ac:dyDescent="0.35">
      <c r="A2307" s="11">
        <v>46193</v>
      </c>
      <c r="B2307" s="3">
        <v>6</v>
      </c>
      <c r="C2307" t="s">
        <v>116</v>
      </c>
      <c r="D2307" t="s">
        <v>18</v>
      </c>
      <c r="E2307" s="3">
        <v>7</v>
      </c>
      <c r="F2307" t="s">
        <v>19</v>
      </c>
      <c r="G2307" t="s">
        <v>42</v>
      </c>
      <c r="H2307" t="s">
        <v>43</v>
      </c>
      <c r="I2307" s="12">
        <v>0.3923611111111111</v>
      </c>
      <c r="J2307" t="s">
        <v>44</v>
      </c>
      <c r="K2307" t="s">
        <v>43</v>
      </c>
      <c r="L2307" s="12">
        <v>0.40277777777777779</v>
      </c>
      <c r="M2307" t="s">
        <v>45</v>
      </c>
      <c r="N2307" s="3">
        <v>9</v>
      </c>
      <c r="O2307" t="s">
        <v>24</v>
      </c>
      <c r="P2307" t="s">
        <v>25</v>
      </c>
      <c r="R2307">
        <f>tblDailySchedule[[#This Row],[Capacity Approx]]*'[1]Load Factor Sheet June Acft  '!$B$5</f>
        <v>7.2879545454545456</v>
      </c>
      <c r="S2307">
        <f>tblDailySchedule[[#This Row],[Capacity Approx]]*'[1]Load Factor Sheet June Acft  '!$D$5</f>
        <v>7.8913636363636366</v>
      </c>
      <c r="T2307" s="22">
        <f>tblDailySchedule[[#This Row],[STD]]</f>
        <v>0.40277777777777779</v>
      </c>
    </row>
    <row r="2308" spans="1:20" hidden="1" x14ac:dyDescent="0.35">
      <c r="A2308" s="11">
        <v>46193</v>
      </c>
      <c r="B2308" s="3">
        <v>6</v>
      </c>
      <c r="C2308" t="s">
        <v>116</v>
      </c>
      <c r="D2308" t="s">
        <v>18</v>
      </c>
      <c r="E2308" s="3">
        <v>8</v>
      </c>
      <c r="F2308" t="s">
        <v>19</v>
      </c>
      <c r="G2308" t="s">
        <v>46</v>
      </c>
      <c r="H2308" t="s">
        <v>31</v>
      </c>
      <c r="I2308" s="12">
        <v>0.4201388888888889</v>
      </c>
      <c r="J2308" t="s">
        <v>47</v>
      </c>
      <c r="K2308" t="s">
        <v>31</v>
      </c>
      <c r="L2308" s="12">
        <v>0.44444444444444442</v>
      </c>
      <c r="M2308" t="s">
        <v>29</v>
      </c>
      <c r="N2308" s="3">
        <v>186</v>
      </c>
      <c r="O2308" t="s">
        <v>24</v>
      </c>
      <c r="P2308" t="s">
        <v>25</v>
      </c>
      <c r="R2308">
        <f>tblDailySchedule[[#This Row],[Capacity Approx]]*'[1]Load Factor Sheet June Acft  '!$B$5</f>
        <v>150.61772727272728</v>
      </c>
      <c r="S2308">
        <f>tblDailySchedule[[#This Row],[Capacity Approx]]*'[1]Load Factor Sheet June Acft  '!$D$5</f>
        <v>163.08818181818182</v>
      </c>
      <c r="T2308" s="22">
        <f>tblDailySchedule[[#This Row],[STD]]</f>
        <v>0.44444444444444442</v>
      </c>
    </row>
    <row r="2309" spans="1:20" hidden="1" x14ac:dyDescent="0.35">
      <c r="A2309" s="11">
        <v>46193</v>
      </c>
      <c r="B2309" s="3">
        <v>6</v>
      </c>
      <c r="C2309" t="s">
        <v>116</v>
      </c>
      <c r="D2309" t="s">
        <v>18</v>
      </c>
      <c r="E2309" s="3">
        <v>9</v>
      </c>
      <c r="F2309" t="s">
        <v>19</v>
      </c>
      <c r="G2309" t="s">
        <v>48</v>
      </c>
      <c r="H2309" t="s">
        <v>49</v>
      </c>
      <c r="I2309" s="12">
        <v>0.4375</v>
      </c>
      <c r="J2309" t="s">
        <v>50</v>
      </c>
      <c r="K2309" t="s">
        <v>49</v>
      </c>
      <c r="L2309" s="12">
        <v>0.45833333333333331</v>
      </c>
      <c r="M2309" t="s">
        <v>51</v>
      </c>
      <c r="N2309" s="3">
        <v>78</v>
      </c>
      <c r="O2309" t="s">
        <v>24</v>
      </c>
      <c r="P2309" t="s">
        <v>25</v>
      </c>
      <c r="R2309">
        <f>tblDailySchedule[[#This Row],[Capacity Approx]]*'[1]Load Factor Sheet June Acft  '!$B$5</f>
        <v>63.162272727272729</v>
      </c>
      <c r="S2309">
        <f>tblDailySchedule[[#This Row],[Capacity Approx]]*'[1]Load Factor Sheet June Acft  '!$D$5</f>
        <v>68.391818181818181</v>
      </c>
      <c r="T2309" s="22">
        <f>tblDailySchedule[[#This Row],[STD]]</f>
        <v>0.45833333333333331</v>
      </c>
    </row>
    <row r="2310" spans="1:20" hidden="1" x14ac:dyDescent="0.35">
      <c r="A2310" s="11">
        <v>46193</v>
      </c>
      <c r="B2310" s="3">
        <v>6</v>
      </c>
      <c r="C2310" t="s">
        <v>116</v>
      </c>
      <c r="D2310" t="s">
        <v>18</v>
      </c>
      <c r="E2310" s="3">
        <v>10</v>
      </c>
      <c r="F2310" t="s">
        <v>19</v>
      </c>
      <c r="G2310" t="s">
        <v>52</v>
      </c>
      <c r="H2310" t="s">
        <v>27</v>
      </c>
      <c r="I2310" s="12">
        <v>0.4826388888888889</v>
      </c>
      <c r="J2310" t="s">
        <v>53</v>
      </c>
      <c r="K2310" t="s">
        <v>27</v>
      </c>
      <c r="L2310" s="12">
        <v>0.51041666666666663</v>
      </c>
      <c r="M2310" t="s">
        <v>23</v>
      </c>
      <c r="N2310" s="3">
        <v>186</v>
      </c>
      <c r="O2310" t="s">
        <v>24</v>
      </c>
      <c r="P2310" t="s">
        <v>25</v>
      </c>
      <c r="R2310">
        <f>tblDailySchedule[[#This Row],[Capacity Approx]]*'[1]Load Factor Sheet June Acft  '!$B$5</f>
        <v>150.61772727272728</v>
      </c>
      <c r="S2310">
        <f>tblDailySchedule[[#This Row],[Capacity Approx]]*'[1]Load Factor Sheet June Acft  '!$D$5</f>
        <v>163.08818181818182</v>
      </c>
      <c r="T2310" s="22">
        <f>tblDailySchedule[[#This Row],[STD]]</f>
        <v>0.51041666666666663</v>
      </c>
    </row>
    <row r="2311" spans="1:20" hidden="1" x14ac:dyDescent="0.35">
      <c r="A2311" s="11">
        <v>46193</v>
      </c>
      <c r="B2311" s="3">
        <v>6</v>
      </c>
      <c r="C2311" t="s">
        <v>116</v>
      </c>
      <c r="D2311" t="s">
        <v>18</v>
      </c>
      <c r="E2311" s="3">
        <v>11</v>
      </c>
      <c r="F2311" t="s">
        <v>19</v>
      </c>
      <c r="G2311" t="s">
        <v>54</v>
      </c>
      <c r="H2311" t="s">
        <v>31</v>
      </c>
      <c r="I2311" s="12">
        <v>0.51388888888888884</v>
      </c>
      <c r="J2311" t="s">
        <v>55</v>
      </c>
      <c r="K2311" t="s">
        <v>31</v>
      </c>
      <c r="L2311" s="12">
        <v>0.54166666666666663</v>
      </c>
      <c r="M2311" t="s">
        <v>23</v>
      </c>
      <c r="N2311" s="3">
        <v>186</v>
      </c>
      <c r="O2311" t="s">
        <v>24</v>
      </c>
      <c r="P2311" t="s">
        <v>56</v>
      </c>
      <c r="R2311">
        <f>tblDailySchedule[[#This Row],[Capacity Approx]]*'[1]Load Factor Sheet June Acft  '!$B$5</f>
        <v>150.61772727272728</v>
      </c>
      <c r="S2311">
        <f>tblDailySchedule[[#This Row],[Capacity Approx]]*'[1]Load Factor Sheet June Acft  '!$D$5</f>
        <v>163.08818181818182</v>
      </c>
      <c r="T2311" s="22">
        <f>tblDailySchedule[[#This Row],[STD]]</f>
        <v>0.54166666666666663</v>
      </c>
    </row>
    <row r="2312" spans="1:20" hidden="1" x14ac:dyDescent="0.35">
      <c r="A2312" s="11">
        <v>46193</v>
      </c>
      <c r="B2312" s="3">
        <v>6</v>
      </c>
      <c r="C2312" t="s">
        <v>116</v>
      </c>
      <c r="D2312" t="s">
        <v>18</v>
      </c>
      <c r="E2312" s="3">
        <v>12</v>
      </c>
      <c r="F2312" t="s">
        <v>109</v>
      </c>
      <c r="G2312" t="s">
        <v>110</v>
      </c>
      <c r="H2312" t="s">
        <v>111</v>
      </c>
      <c r="I2312" s="12">
        <v>0.55555555555555558</v>
      </c>
      <c r="J2312" t="s">
        <v>112</v>
      </c>
      <c r="K2312" t="s">
        <v>111</v>
      </c>
      <c r="L2312" s="12">
        <v>0.56944444444444442</v>
      </c>
      <c r="M2312" t="s">
        <v>51</v>
      </c>
      <c r="N2312" s="3">
        <v>78</v>
      </c>
      <c r="O2312" t="s">
        <v>24</v>
      </c>
      <c r="P2312" t="s">
        <v>56</v>
      </c>
      <c r="R2312">
        <f>tblDailySchedule[[#This Row],[Capacity Approx]]*'[1]Load Factor Sheet June Acft  '!$B$5</f>
        <v>63.162272727272729</v>
      </c>
      <c r="S2312">
        <f>tblDailySchedule[[#This Row],[Capacity Approx]]*'[1]Load Factor Sheet June Acft  '!$D$5</f>
        <v>68.391818181818181</v>
      </c>
      <c r="T2312" s="22">
        <f>tblDailySchedule[[#This Row],[STD]]</f>
        <v>0.56944444444444442</v>
      </c>
    </row>
    <row r="2313" spans="1:20" hidden="1" x14ac:dyDescent="0.35">
      <c r="A2313" s="11">
        <v>46193</v>
      </c>
      <c r="B2313" s="3">
        <v>6</v>
      </c>
      <c r="C2313" t="s">
        <v>116</v>
      </c>
      <c r="D2313" t="s">
        <v>18</v>
      </c>
      <c r="E2313" s="3">
        <v>13</v>
      </c>
      <c r="F2313" t="s">
        <v>19</v>
      </c>
      <c r="G2313" t="s">
        <v>57</v>
      </c>
      <c r="H2313" t="s">
        <v>58</v>
      </c>
      <c r="I2313" s="12">
        <v>0.55902777777777779</v>
      </c>
      <c r="J2313" t="s">
        <v>59</v>
      </c>
      <c r="K2313" t="s">
        <v>58</v>
      </c>
      <c r="L2313" s="12">
        <v>0.57638888888888884</v>
      </c>
      <c r="M2313" t="s">
        <v>51</v>
      </c>
      <c r="N2313" s="3">
        <v>78</v>
      </c>
      <c r="O2313" t="s">
        <v>24</v>
      </c>
      <c r="P2313" t="s">
        <v>56</v>
      </c>
      <c r="R2313">
        <f>tblDailySchedule[[#This Row],[Capacity Approx]]*'[1]Load Factor Sheet June Acft  '!$B$5</f>
        <v>63.162272727272729</v>
      </c>
      <c r="S2313">
        <f>tblDailySchedule[[#This Row],[Capacity Approx]]*'[1]Load Factor Sheet June Acft  '!$D$5</f>
        <v>68.391818181818181</v>
      </c>
      <c r="T2313" s="22">
        <f>tblDailySchedule[[#This Row],[STD]]</f>
        <v>0.57638888888888884</v>
      </c>
    </row>
    <row r="2314" spans="1:20" hidden="1" x14ac:dyDescent="0.35">
      <c r="A2314" s="11">
        <v>46193</v>
      </c>
      <c r="B2314" s="3">
        <v>6</v>
      </c>
      <c r="C2314" t="s">
        <v>116</v>
      </c>
      <c r="D2314" t="s">
        <v>18</v>
      </c>
      <c r="E2314" s="3">
        <v>14</v>
      </c>
      <c r="F2314" t="s">
        <v>19</v>
      </c>
      <c r="G2314" t="s">
        <v>60</v>
      </c>
      <c r="H2314" t="s">
        <v>61</v>
      </c>
      <c r="I2314" s="12">
        <v>0.59027777777777779</v>
      </c>
      <c r="J2314" t="s">
        <v>62</v>
      </c>
      <c r="K2314" t="s">
        <v>61</v>
      </c>
      <c r="L2314" s="12">
        <v>0.62152777777777779</v>
      </c>
      <c r="M2314" t="s">
        <v>63</v>
      </c>
      <c r="N2314" s="3">
        <v>232</v>
      </c>
      <c r="O2314" t="s">
        <v>24</v>
      </c>
      <c r="P2314" t="s">
        <v>56</v>
      </c>
      <c r="R2314">
        <f>tblDailySchedule[[#This Row],[Capacity Approx]]*'[1]Load Factor Sheet June Acft  '!$B$5</f>
        <v>187.86727272727273</v>
      </c>
      <c r="S2314">
        <f>tblDailySchedule[[#This Row],[Capacity Approx]]*'[1]Load Factor Sheet June Acft  '!$D$5</f>
        <v>203.4218181818182</v>
      </c>
      <c r="T2314" s="22">
        <f>tblDailySchedule[[#This Row],[STD]]</f>
        <v>0.62152777777777779</v>
      </c>
    </row>
    <row r="2315" spans="1:20" hidden="1" x14ac:dyDescent="0.35">
      <c r="A2315" s="11">
        <v>46193</v>
      </c>
      <c r="B2315" s="3">
        <v>6</v>
      </c>
      <c r="C2315" t="s">
        <v>116</v>
      </c>
      <c r="D2315" t="s">
        <v>18</v>
      </c>
      <c r="E2315" s="3">
        <v>15</v>
      </c>
      <c r="F2315" t="s">
        <v>19</v>
      </c>
      <c r="G2315" t="s">
        <v>64</v>
      </c>
      <c r="H2315" t="s">
        <v>31</v>
      </c>
      <c r="I2315" s="12">
        <v>0.60069444444444442</v>
      </c>
      <c r="J2315" t="s">
        <v>65</v>
      </c>
      <c r="K2315" t="s">
        <v>66</v>
      </c>
      <c r="L2315" s="12">
        <v>0.62847222222222221</v>
      </c>
      <c r="M2315" t="s">
        <v>63</v>
      </c>
      <c r="N2315" s="3">
        <v>232</v>
      </c>
      <c r="O2315" t="s">
        <v>24</v>
      </c>
      <c r="P2315" t="s">
        <v>56</v>
      </c>
      <c r="R2315">
        <f>tblDailySchedule[[#This Row],[Capacity Approx]]*'[1]Load Factor Sheet June Acft  '!$B$5</f>
        <v>187.86727272727273</v>
      </c>
      <c r="S2315">
        <f>tblDailySchedule[[#This Row],[Capacity Approx]]*'[1]Load Factor Sheet June Acft  '!$D$5</f>
        <v>203.4218181818182</v>
      </c>
      <c r="T2315" s="22">
        <f>tblDailySchedule[[#This Row],[STD]]</f>
        <v>0.62847222222222221</v>
      </c>
    </row>
    <row r="2316" spans="1:20" hidden="1" x14ac:dyDescent="0.35">
      <c r="A2316" s="11">
        <v>46193</v>
      </c>
      <c r="B2316" s="3">
        <v>6</v>
      </c>
      <c r="C2316" t="s">
        <v>116</v>
      </c>
      <c r="D2316" t="s">
        <v>18</v>
      </c>
      <c r="E2316" s="3">
        <v>16</v>
      </c>
      <c r="F2316" t="s">
        <v>19</v>
      </c>
      <c r="G2316" t="s">
        <v>67</v>
      </c>
      <c r="H2316" t="s">
        <v>31</v>
      </c>
      <c r="I2316" s="12">
        <v>0.65625</v>
      </c>
      <c r="J2316" t="s">
        <v>68</v>
      </c>
      <c r="K2316" t="s">
        <v>31</v>
      </c>
      <c r="L2316" s="12">
        <v>0.68402777777777779</v>
      </c>
      <c r="M2316" t="s">
        <v>63</v>
      </c>
      <c r="N2316" s="3">
        <v>232</v>
      </c>
      <c r="O2316" t="s">
        <v>24</v>
      </c>
      <c r="P2316" t="s">
        <v>56</v>
      </c>
      <c r="R2316">
        <f>tblDailySchedule[[#This Row],[Capacity Approx]]*'[1]Load Factor Sheet June Acft  '!$B$5</f>
        <v>187.86727272727273</v>
      </c>
      <c r="S2316">
        <f>tblDailySchedule[[#This Row],[Capacity Approx]]*'[1]Load Factor Sheet June Acft  '!$D$5</f>
        <v>203.4218181818182</v>
      </c>
      <c r="T2316" s="22">
        <f>tblDailySchedule[[#This Row],[STD]]</f>
        <v>0.68402777777777779</v>
      </c>
    </row>
    <row r="2317" spans="1:20" hidden="1" x14ac:dyDescent="0.35">
      <c r="A2317" s="11">
        <v>46193</v>
      </c>
      <c r="B2317" s="3">
        <v>6</v>
      </c>
      <c r="C2317" t="s">
        <v>116</v>
      </c>
      <c r="D2317" t="s">
        <v>18</v>
      </c>
      <c r="E2317" s="3">
        <v>17</v>
      </c>
      <c r="F2317" t="s">
        <v>19</v>
      </c>
      <c r="G2317" t="s">
        <v>69</v>
      </c>
      <c r="H2317" t="s">
        <v>31</v>
      </c>
      <c r="I2317" s="12">
        <v>0.66319444444444442</v>
      </c>
      <c r="J2317" t="s">
        <v>70</v>
      </c>
      <c r="K2317" t="s">
        <v>31</v>
      </c>
      <c r="L2317" s="12">
        <v>0.69097222222222221</v>
      </c>
      <c r="M2317" t="s">
        <v>33</v>
      </c>
      <c r="N2317" s="3">
        <v>189</v>
      </c>
      <c r="O2317" t="s">
        <v>24</v>
      </c>
      <c r="P2317" t="s">
        <v>56</v>
      </c>
      <c r="R2317">
        <f>tblDailySchedule[[#This Row],[Capacity Approx]]*'[1]Load Factor Sheet June Acft  '!$B$5</f>
        <v>153.04704545454547</v>
      </c>
      <c r="S2317">
        <f>tblDailySchedule[[#This Row],[Capacity Approx]]*'[1]Load Factor Sheet June Acft  '!$D$5</f>
        <v>165.71863636363636</v>
      </c>
      <c r="T2317" s="22">
        <f>tblDailySchedule[[#This Row],[STD]]</f>
        <v>0.69097222222222221</v>
      </c>
    </row>
    <row r="2318" spans="1:20" hidden="1" x14ac:dyDescent="0.35">
      <c r="A2318" s="11">
        <v>46193</v>
      </c>
      <c r="B2318" s="3">
        <v>6</v>
      </c>
      <c r="C2318" t="s">
        <v>116</v>
      </c>
      <c r="D2318" t="s">
        <v>18</v>
      </c>
      <c r="E2318" s="3">
        <v>18</v>
      </c>
      <c r="F2318" t="s">
        <v>19</v>
      </c>
      <c r="G2318" t="s">
        <v>71</v>
      </c>
      <c r="H2318" t="s">
        <v>21</v>
      </c>
      <c r="I2318" s="12">
        <v>0.67013888888888884</v>
      </c>
      <c r="J2318" t="s">
        <v>72</v>
      </c>
      <c r="K2318" t="s">
        <v>21</v>
      </c>
      <c r="L2318" s="12">
        <v>0.69791666666666663</v>
      </c>
      <c r="M2318" t="s">
        <v>63</v>
      </c>
      <c r="N2318" s="3">
        <v>232</v>
      </c>
      <c r="O2318" t="s">
        <v>24</v>
      </c>
      <c r="P2318" t="s">
        <v>56</v>
      </c>
      <c r="R2318">
        <f>tblDailySchedule[[#This Row],[Capacity Approx]]*'[1]Load Factor Sheet June Acft  '!$B$5</f>
        <v>187.86727272727273</v>
      </c>
      <c r="S2318">
        <f>tblDailySchedule[[#This Row],[Capacity Approx]]*'[1]Load Factor Sheet June Acft  '!$D$5</f>
        <v>203.4218181818182</v>
      </c>
      <c r="T2318" s="22">
        <f>tblDailySchedule[[#This Row],[STD]]</f>
        <v>0.69791666666666663</v>
      </c>
    </row>
    <row r="2319" spans="1:20" hidden="1" x14ac:dyDescent="0.35">
      <c r="A2319" s="11">
        <v>46193</v>
      </c>
      <c r="B2319" s="3">
        <v>6</v>
      </c>
      <c r="C2319" t="s">
        <v>116</v>
      </c>
      <c r="D2319" t="s">
        <v>18</v>
      </c>
      <c r="E2319" s="3">
        <v>19</v>
      </c>
      <c r="F2319" t="s">
        <v>19</v>
      </c>
      <c r="G2319" t="s">
        <v>73</v>
      </c>
      <c r="H2319" t="s">
        <v>27</v>
      </c>
      <c r="I2319" s="12">
        <v>0.74652777777777779</v>
      </c>
      <c r="J2319" t="s">
        <v>74</v>
      </c>
      <c r="K2319" t="s">
        <v>27</v>
      </c>
      <c r="L2319" s="12">
        <v>0.77430555555555558</v>
      </c>
      <c r="M2319" t="s">
        <v>63</v>
      </c>
      <c r="N2319" s="3">
        <v>232</v>
      </c>
      <c r="O2319" t="s">
        <v>24</v>
      </c>
      <c r="P2319" t="s">
        <v>56</v>
      </c>
      <c r="R2319">
        <f>tblDailySchedule[[#This Row],[Capacity Approx]]*'[1]Load Factor Sheet June Acft  '!$B$5</f>
        <v>187.86727272727273</v>
      </c>
      <c r="S2319">
        <f>tblDailySchedule[[#This Row],[Capacity Approx]]*'[1]Load Factor Sheet June Acft  '!$D$5</f>
        <v>203.4218181818182</v>
      </c>
      <c r="T2319" s="22">
        <f>tblDailySchedule[[#This Row],[STD]]</f>
        <v>0.77430555555555558</v>
      </c>
    </row>
    <row r="2320" spans="1:20" hidden="1" x14ac:dyDescent="0.35">
      <c r="A2320" s="11">
        <v>46193</v>
      </c>
      <c r="B2320" s="3">
        <v>6</v>
      </c>
      <c r="C2320" t="s">
        <v>116</v>
      </c>
      <c r="D2320" t="s">
        <v>18</v>
      </c>
      <c r="E2320" s="3">
        <v>21</v>
      </c>
      <c r="F2320" t="s">
        <v>19</v>
      </c>
      <c r="G2320" t="s">
        <v>81</v>
      </c>
      <c r="H2320" t="s">
        <v>61</v>
      </c>
      <c r="I2320" s="12">
        <v>0.77083333333333337</v>
      </c>
      <c r="J2320" t="s">
        <v>82</v>
      </c>
      <c r="K2320" t="s">
        <v>49</v>
      </c>
      <c r="L2320" s="12">
        <v>0.79166666666666663</v>
      </c>
      <c r="M2320" t="s">
        <v>33</v>
      </c>
      <c r="N2320" s="3">
        <v>189</v>
      </c>
      <c r="O2320" t="s">
        <v>24</v>
      </c>
      <c r="P2320" t="s">
        <v>79</v>
      </c>
      <c r="R2320">
        <f>tblDailySchedule[[#This Row],[Capacity Approx]]*'[1]Load Factor Sheet June Acft  '!$B$5</f>
        <v>153.04704545454547</v>
      </c>
      <c r="S2320">
        <f>tblDailySchedule[[#This Row],[Capacity Approx]]*'[1]Load Factor Sheet June Acft  '!$D$5</f>
        <v>165.71863636363636</v>
      </c>
      <c r="T2320" s="22">
        <f>tblDailySchedule[[#This Row],[STD]]</f>
        <v>0.79166666666666663</v>
      </c>
    </row>
    <row r="2321" spans="1:20" hidden="1" x14ac:dyDescent="0.35">
      <c r="A2321" s="11">
        <v>46193</v>
      </c>
      <c r="B2321" s="3">
        <v>6</v>
      </c>
      <c r="C2321" t="s">
        <v>116</v>
      </c>
      <c r="D2321" t="s">
        <v>18</v>
      </c>
      <c r="E2321" s="3">
        <v>22</v>
      </c>
      <c r="F2321" t="s">
        <v>19</v>
      </c>
      <c r="G2321" t="s">
        <v>83</v>
      </c>
      <c r="H2321" t="s">
        <v>31</v>
      </c>
      <c r="I2321" s="12">
        <v>0.77777777777777779</v>
      </c>
      <c r="J2321" t="s">
        <v>84</v>
      </c>
      <c r="K2321" t="s">
        <v>31</v>
      </c>
      <c r="L2321" s="12">
        <v>0.80555555555555558</v>
      </c>
      <c r="M2321" t="s">
        <v>63</v>
      </c>
      <c r="N2321" s="3">
        <v>232</v>
      </c>
      <c r="O2321" t="s">
        <v>24</v>
      </c>
      <c r="P2321" t="s">
        <v>79</v>
      </c>
      <c r="R2321">
        <f>tblDailySchedule[[#This Row],[Capacity Approx]]*'[1]Load Factor Sheet June Acft  '!$B$5</f>
        <v>187.86727272727273</v>
      </c>
      <c r="S2321">
        <f>tblDailySchedule[[#This Row],[Capacity Approx]]*'[1]Load Factor Sheet June Acft  '!$D$5</f>
        <v>203.4218181818182</v>
      </c>
      <c r="T2321" s="22">
        <f>tblDailySchedule[[#This Row],[STD]]</f>
        <v>0.80555555555555558</v>
      </c>
    </row>
    <row r="2322" spans="1:20" hidden="1" x14ac:dyDescent="0.35">
      <c r="A2322" s="11">
        <v>46193</v>
      </c>
      <c r="B2322" s="3">
        <v>6</v>
      </c>
      <c r="C2322" t="s">
        <v>116</v>
      </c>
      <c r="D2322" t="s">
        <v>18</v>
      </c>
      <c r="E2322" s="3">
        <v>23</v>
      </c>
      <c r="F2322" t="s">
        <v>19</v>
      </c>
      <c r="G2322" t="s">
        <v>85</v>
      </c>
      <c r="H2322" t="s">
        <v>86</v>
      </c>
      <c r="I2322" s="12">
        <v>0.79861111111111116</v>
      </c>
      <c r="J2322" t="s">
        <v>87</v>
      </c>
      <c r="K2322" t="s">
        <v>86</v>
      </c>
      <c r="L2322" s="12">
        <v>0.82638888888888884</v>
      </c>
      <c r="M2322" t="s">
        <v>63</v>
      </c>
      <c r="N2322" s="3">
        <v>232</v>
      </c>
      <c r="O2322" t="s">
        <v>24</v>
      </c>
      <c r="P2322" t="s">
        <v>79</v>
      </c>
      <c r="R2322">
        <f>tblDailySchedule[[#This Row],[Capacity Approx]]*'[1]Load Factor Sheet June Acft  '!$B$5</f>
        <v>187.86727272727273</v>
      </c>
      <c r="S2322">
        <f>tblDailySchedule[[#This Row],[Capacity Approx]]*'[1]Load Factor Sheet June Acft  '!$D$5</f>
        <v>203.4218181818182</v>
      </c>
      <c r="T2322" s="22">
        <f>tblDailySchedule[[#This Row],[STD]]</f>
        <v>0.82638888888888884</v>
      </c>
    </row>
    <row r="2323" spans="1:20" hidden="1" x14ac:dyDescent="0.35">
      <c r="A2323" s="11">
        <v>46193</v>
      </c>
      <c r="B2323" s="3">
        <v>6</v>
      </c>
      <c r="C2323" t="s">
        <v>116</v>
      </c>
      <c r="D2323" t="s">
        <v>18</v>
      </c>
      <c r="E2323" s="3">
        <v>24</v>
      </c>
      <c r="F2323" t="s">
        <v>19</v>
      </c>
      <c r="G2323" t="s">
        <v>88</v>
      </c>
      <c r="H2323" t="s">
        <v>89</v>
      </c>
      <c r="I2323" s="12">
        <v>0.83333333333333337</v>
      </c>
      <c r="J2323" t="s">
        <v>90</v>
      </c>
      <c r="K2323" t="s">
        <v>31</v>
      </c>
      <c r="L2323" s="12">
        <v>0.86111111111111116</v>
      </c>
      <c r="M2323" t="s">
        <v>63</v>
      </c>
      <c r="N2323" s="3">
        <v>232</v>
      </c>
      <c r="O2323" t="s">
        <v>24</v>
      </c>
      <c r="P2323" t="s">
        <v>79</v>
      </c>
      <c r="R2323">
        <f>tblDailySchedule[[#This Row],[Capacity Approx]]*'[1]Load Factor Sheet June Acft  '!$B$5</f>
        <v>187.86727272727273</v>
      </c>
      <c r="S2323">
        <f>tblDailySchedule[[#This Row],[Capacity Approx]]*'[1]Load Factor Sheet June Acft  '!$D$5</f>
        <v>203.4218181818182</v>
      </c>
      <c r="T2323" s="22">
        <f>tblDailySchedule[[#This Row],[STD]]</f>
        <v>0.86111111111111116</v>
      </c>
    </row>
    <row r="2324" spans="1:20" hidden="1" x14ac:dyDescent="0.35">
      <c r="A2324" s="11">
        <v>46193</v>
      </c>
      <c r="B2324" s="3">
        <v>6</v>
      </c>
      <c r="C2324" t="s">
        <v>116</v>
      </c>
      <c r="D2324" t="s">
        <v>18</v>
      </c>
      <c r="E2324" s="3">
        <v>25</v>
      </c>
      <c r="F2324" t="s">
        <v>19</v>
      </c>
      <c r="G2324" t="s">
        <v>91</v>
      </c>
      <c r="H2324" t="s">
        <v>61</v>
      </c>
      <c r="I2324" s="12">
        <v>0.85416666666666663</v>
      </c>
      <c r="J2324" t="s">
        <v>92</v>
      </c>
      <c r="K2324" t="s">
        <v>61</v>
      </c>
      <c r="L2324" s="12">
        <v>0.88194444444444442</v>
      </c>
      <c r="M2324" t="s">
        <v>63</v>
      </c>
      <c r="N2324" s="3">
        <v>232</v>
      </c>
      <c r="O2324" t="s">
        <v>24</v>
      </c>
      <c r="P2324" t="s">
        <v>79</v>
      </c>
      <c r="R2324">
        <f>tblDailySchedule[[#This Row],[Capacity Approx]]*'[1]Load Factor Sheet June Acft  '!$B$5</f>
        <v>187.86727272727273</v>
      </c>
      <c r="S2324">
        <f>tblDailySchedule[[#This Row],[Capacity Approx]]*'[1]Load Factor Sheet June Acft  '!$D$5</f>
        <v>203.4218181818182</v>
      </c>
      <c r="T2324" s="22">
        <f>tblDailySchedule[[#This Row],[STD]]</f>
        <v>0.88194444444444442</v>
      </c>
    </row>
    <row r="2325" spans="1:20" hidden="1" x14ac:dyDescent="0.35">
      <c r="A2325" s="11">
        <v>46193</v>
      </c>
      <c r="B2325" s="3">
        <v>6</v>
      </c>
      <c r="C2325" t="s">
        <v>116</v>
      </c>
      <c r="D2325" t="s">
        <v>18</v>
      </c>
      <c r="E2325" s="3">
        <v>26</v>
      </c>
      <c r="F2325" t="s">
        <v>19</v>
      </c>
      <c r="G2325" t="s">
        <v>93</v>
      </c>
      <c r="H2325" t="s">
        <v>31</v>
      </c>
      <c r="I2325" s="12">
        <v>0.86111111111111116</v>
      </c>
      <c r="J2325" t="s">
        <v>94</v>
      </c>
      <c r="K2325" t="s">
        <v>31</v>
      </c>
      <c r="L2325" s="12">
        <v>0.88888888888888884</v>
      </c>
      <c r="M2325" t="s">
        <v>23</v>
      </c>
      <c r="N2325" s="3">
        <v>186</v>
      </c>
      <c r="O2325" t="s">
        <v>24</v>
      </c>
      <c r="P2325" t="s">
        <v>79</v>
      </c>
      <c r="R2325">
        <f>tblDailySchedule[[#This Row],[Capacity Approx]]*'[1]Load Factor Sheet June Acft  '!$B$5</f>
        <v>150.61772727272728</v>
      </c>
      <c r="S2325">
        <f>tblDailySchedule[[#This Row],[Capacity Approx]]*'[1]Load Factor Sheet June Acft  '!$D$5</f>
        <v>163.08818181818182</v>
      </c>
      <c r="T2325" s="22">
        <f>tblDailySchedule[[#This Row],[STD]]</f>
        <v>0.88888888888888884</v>
      </c>
    </row>
    <row r="2326" spans="1:20" hidden="1" x14ac:dyDescent="0.35">
      <c r="A2326" s="11">
        <v>46193</v>
      </c>
      <c r="B2326" s="3">
        <v>6</v>
      </c>
      <c r="C2326" t="s">
        <v>116</v>
      </c>
      <c r="D2326" t="s">
        <v>18</v>
      </c>
      <c r="E2326" s="3">
        <v>27</v>
      </c>
      <c r="F2326" t="s">
        <v>19</v>
      </c>
      <c r="G2326" t="s">
        <v>95</v>
      </c>
      <c r="H2326" t="s">
        <v>21</v>
      </c>
      <c r="I2326" s="12">
        <v>0.86805555555555558</v>
      </c>
      <c r="J2326" t="s">
        <v>96</v>
      </c>
      <c r="K2326" t="s">
        <v>21</v>
      </c>
      <c r="L2326" s="12">
        <v>0.89583333333333337</v>
      </c>
      <c r="M2326" t="s">
        <v>29</v>
      </c>
      <c r="N2326" s="3">
        <v>186</v>
      </c>
      <c r="O2326" t="s">
        <v>24</v>
      </c>
      <c r="P2326" t="s">
        <v>79</v>
      </c>
      <c r="R2326">
        <f>tblDailySchedule[[#This Row],[Capacity Approx]]*'[1]Load Factor Sheet June Acft  '!$B$5</f>
        <v>150.61772727272728</v>
      </c>
      <c r="S2326">
        <f>tblDailySchedule[[#This Row],[Capacity Approx]]*'[1]Load Factor Sheet June Acft  '!$D$5</f>
        <v>163.08818181818182</v>
      </c>
      <c r="T2326" s="22">
        <f>tblDailySchedule[[#This Row],[STD]]</f>
        <v>0.89583333333333337</v>
      </c>
    </row>
    <row r="2327" spans="1:20" hidden="1" x14ac:dyDescent="0.35">
      <c r="A2327" s="11">
        <v>46193</v>
      </c>
      <c r="B2327" s="3">
        <v>6</v>
      </c>
      <c r="C2327" t="s">
        <v>116</v>
      </c>
      <c r="D2327" t="s">
        <v>18</v>
      </c>
      <c r="E2327" s="3">
        <v>28</v>
      </c>
      <c r="F2327" t="s">
        <v>19</v>
      </c>
      <c r="G2327" t="s">
        <v>97</v>
      </c>
      <c r="H2327" t="s">
        <v>49</v>
      </c>
      <c r="I2327" s="12">
        <v>0.90277777777777779</v>
      </c>
      <c r="J2327" t="s">
        <v>97</v>
      </c>
      <c r="K2327" t="s">
        <v>61</v>
      </c>
      <c r="L2327" s="12">
        <v>0.92361111111111116</v>
      </c>
      <c r="M2327" t="s">
        <v>33</v>
      </c>
      <c r="N2327" s="3">
        <v>189</v>
      </c>
      <c r="O2327" t="s">
        <v>24</v>
      </c>
      <c r="P2327" t="s">
        <v>79</v>
      </c>
      <c r="R2327">
        <f>tblDailySchedule[[#This Row],[Capacity Approx]]*'[1]Load Factor Sheet June Acft  '!$B$5</f>
        <v>153.04704545454547</v>
      </c>
      <c r="S2327">
        <f>tblDailySchedule[[#This Row],[Capacity Approx]]*'[1]Load Factor Sheet June Acft  '!$D$5</f>
        <v>165.71863636363636</v>
      </c>
      <c r="T2327" s="22">
        <f>tblDailySchedule[[#This Row],[STD]]</f>
        <v>0.92361111111111116</v>
      </c>
    </row>
    <row r="2328" spans="1:20" hidden="1" x14ac:dyDescent="0.35">
      <c r="A2328" s="11">
        <v>46193</v>
      </c>
      <c r="B2328" s="3">
        <v>6</v>
      </c>
      <c r="C2328" t="s">
        <v>116</v>
      </c>
      <c r="D2328" t="s">
        <v>18</v>
      </c>
      <c r="E2328" s="3">
        <v>29</v>
      </c>
      <c r="F2328" t="s">
        <v>19</v>
      </c>
      <c r="G2328" t="s">
        <v>98</v>
      </c>
      <c r="H2328" t="s">
        <v>21</v>
      </c>
      <c r="I2328" s="12">
        <v>0.92013888888888884</v>
      </c>
      <c r="J2328" t="s">
        <v>99</v>
      </c>
      <c r="K2328" t="s">
        <v>21</v>
      </c>
      <c r="L2328" s="12">
        <v>0.94791666666666663</v>
      </c>
      <c r="M2328" t="s">
        <v>63</v>
      </c>
      <c r="N2328" s="3">
        <v>232</v>
      </c>
      <c r="O2328" t="s">
        <v>24</v>
      </c>
      <c r="P2328" t="s">
        <v>79</v>
      </c>
      <c r="R2328">
        <f>tblDailySchedule[[#This Row],[Capacity Approx]]*'[1]Load Factor Sheet June Acft  '!$B$5</f>
        <v>187.86727272727273</v>
      </c>
      <c r="S2328">
        <f>tblDailySchedule[[#This Row],[Capacity Approx]]*'[1]Load Factor Sheet June Acft  '!$D$5</f>
        <v>203.4218181818182</v>
      </c>
      <c r="T2328" s="22">
        <f>tblDailySchedule[[#This Row],[STD]]</f>
        <v>0.94791666666666663</v>
      </c>
    </row>
    <row r="2329" spans="1:20" hidden="1" x14ac:dyDescent="0.35">
      <c r="A2329" s="13">
        <v>46193</v>
      </c>
      <c r="B2329" s="7">
        <v>6</v>
      </c>
      <c r="C2329" s="14" t="s">
        <v>116</v>
      </c>
      <c r="D2329" s="14" t="s">
        <v>18</v>
      </c>
      <c r="E2329" s="7">
        <v>30</v>
      </c>
      <c r="F2329" s="14" t="s">
        <v>104</v>
      </c>
      <c r="G2329" s="14" t="s">
        <v>105</v>
      </c>
      <c r="H2329" s="14" t="s">
        <v>106</v>
      </c>
      <c r="I2329" s="15">
        <v>0.92708333333333337</v>
      </c>
      <c r="J2329" s="14" t="s">
        <v>107</v>
      </c>
      <c r="K2329" s="14" t="s">
        <v>106</v>
      </c>
      <c r="L2329" s="15">
        <v>0.95833333333333337</v>
      </c>
      <c r="M2329" s="14" t="s">
        <v>38</v>
      </c>
      <c r="N2329" s="7">
        <v>186</v>
      </c>
      <c r="O2329" s="14" t="s">
        <v>39</v>
      </c>
      <c r="P2329" s="14" t="s">
        <v>79</v>
      </c>
      <c r="Q2329" s="14" t="s">
        <v>39</v>
      </c>
      <c r="R2329">
        <f>tblDailySchedule[[#This Row],[Capacity Approx]]*'[1]Load Factor Sheet June Acft  '!$B$5</f>
        <v>150.61772727272728</v>
      </c>
      <c r="S2329">
        <f>tblDailySchedule[[#This Row],[Capacity Approx]]*'[1]Load Factor Sheet June Acft  '!$D$5</f>
        <v>163.08818181818182</v>
      </c>
      <c r="T2329" s="22">
        <f>tblDailySchedule[[#This Row],[STD]]</f>
        <v>0.95833333333333337</v>
      </c>
    </row>
    <row r="2330" spans="1:20" hidden="1" x14ac:dyDescent="0.35">
      <c r="A2330" s="11">
        <v>46194</v>
      </c>
      <c r="B2330" s="3">
        <v>7</v>
      </c>
      <c r="C2330" t="s">
        <v>17</v>
      </c>
      <c r="D2330" t="s">
        <v>18</v>
      </c>
      <c r="E2330" s="3">
        <v>2</v>
      </c>
      <c r="F2330" t="s">
        <v>19</v>
      </c>
      <c r="G2330" t="s">
        <v>20</v>
      </c>
      <c r="H2330" t="s">
        <v>21</v>
      </c>
      <c r="I2330" s="12">
        <v>0.31944444444444442</v>
      </c>
      <c r="J2330" t="s">
        <v>22</v>
      </c>
      <c r="K2330" t="s">
        <v>21</v>
      </c>
      <c r="L2330" s="12">
        <v>0.34722222222222221</v>
      </c>
      <c r="M2330" t="s">
        <v>23</v>
      </c>
      <c r="N2330" s="3">
        <v>186</v>
      </c>
      <c r="O2330" t="s">
        <v>24</v>
      </c>
      <c r="P2330" t="s">
        <v>25</v>
      </c>
      <c r="R2330">
        <f>tblDailySchedule[[#This Row],[Capacity Approx]]*'[1]Load Factor Sheet June Acft  '!$B$5</f>
        <v>150.61772727272728</v>
      </c>
      <c r="S2330">
        <f>tblDailySchedule[[#This Row],[Capacity Approx]]*'[1]Load Factor Sheet June Acft  '!$D$5</f>
        <v>163.08818181818182</v>
      </c>
      <c r="T2330" s="22">
        <f>tblDailySchedule[[#This Row],[STD]]</f>
        <v>0.34722222222222221</v>
      </c>
    </row>
    <row r="2331" spans="1:20" hidden="1" x14ac:dyDescent="0.35">
      <c r="A2331" s="11">
        <v>46194</v>
      </c>
      <c r="B2331" s="3">
        <v>7</v>
      </c>
      <c r="C2331" t="s">
        <v>17</v>
      </c>
      <c r="D2331" t="s">
        <v>18</v>
      </c>
      <c r="E2331" s="3">
        <v>3</v>
      </c>
      <c r="F2331" t="s">
        <v>19</v>
      </c>
      <c r="G2331" t="s">
        <v>26</v>
      </c>
      <c r="H2331" t="s">
        <v>27</v>
      </c>
      <c r="I2331" s="12">
        <v>0.3263888888888889</v>
      </c>
      <c r="J2331" t="s">
        <v>28</v>
      </c>
      <c r="K2331" t="s">
        <v>27</v>
      </c>
      <c r="L2331" s="12">
        <v>0.35416666666666669</v>
      </c>
      <c r="M2331" t="s">
        <v>29</v>
      </c>
      <c r="N2331" s="3">
        <v>186</v>
      </c>
      <c r="O2331" t="s">
        <v>24</v>
      </c>
      <c r="P2331" t="s">
        <v>25</v>
      </c>
      <c r="R2331">
        <f>tblDailySchedule[[#This Row],[Capacity Approx]]*'[1]Load Factor Sheet June Acft  '!$B$5</f>
        <v>150.61772727272728</v>
      </c>
      <c r="S2331">
        <f>tblDailySchedule[[#This Row],[Capacity Approx]]*'[1]Load Factor Sheet June Acft  '!$D$5</f>
        <v>163.08818181818182</v>
      </c>
      <c r="T2331" s="22">
        <f>tblDailySchedule[[#This Row],[STD]]</f>
        <v>0.35416666666666669</v>
      </c>
    </row>
    <row r="2332" spans="1:20" hidden="1" x14ac:dyDescent="0.35">
      <c r="A2332" s="11">
        <v>46194</v>
      </c>
      <c r="B2332" s="3">
        <v>7</v>
      </c>
      <c r="C2332" t="s">
        <v>17</v>
      </c>
      <c r="D2332" t="s">
        <v>18</v>
      </c>
      <c r="E2332" s="3">
        <v>4</v>
      </c>
      <c r="F2332" t="s">
        <v>19</v>
      </c>
      <c r="G2332" t="s">
        <v>30</v>
      </c>
      <c r="H2332" t="s">
        <v>31</v>
      </c>
      <c r="I2332" s="12">
        <v>0.34722222222222221</v>
      </c>
      <c r="J2332" t="s">
        <v>32</v>
      </c>
      <c r="K2332" t="s">
        <v>31</v>
      </c>
      <c r="L2332" s="12">
        <v>0.36805555555555558</v>
      </c>
      <c r="M2332" t="s">
        <v>33</v>
      </c>
      <c r="N2332" s="3">
        <v>189</v>
      </c>
      <c r="O2332" t="s">
        <v>24</v>
      </c>
      <c r="P2332" t="s">
        <v>25</v>
      </c>
      <c r="R2332">
        <f>tblDailySchedule[[#This Row],[Capacity Approx]]*'[1]Load Factor Sheet June Acft  '!$B$5</f>
        <v>153.04704545454547</v>
      </c>
      <c r="S2332">
        <f>tblDailySchedule[[#This Row],[Capacity Approx]]*'[1]Load Factor Sheet June Acft  '!$D$5</f>
        <v>165.71863636363636</v>
      </c>
      <c r="T2332" s="22">
        <f>tblDailySchedule[[#This Row],[STD]]</f>
        <v>0.36805555555555558</v>
      </c>
    </row>
    <row r="2333" spans="1:20" hidden="1" x14ac:dyDescent="0.35">
      <c r="A2333" s="13">
        <v>46194</v>
      </c>
      <c r="B2333" s="7">
        <v>7</v>
      </c>
      <c r="C2333" s="14" t="s">
        <v>17</v>
      </c>
      <c r="D2333" s="14" t="s">
        <v>18</v>
      </c>
      <c r="E2333" s="7">
        <v>6</v>
      </c>
      <c r="F2333" s="14" t="s">
        <v>34</v>
      </c>
      <c r="G2333" s="14" t="s">
        <v>35</v>
      </c>
      <c r="H2333" s="14" t="s">
        <v>36</v>
      </c>
      <c r="I2333" s="15">
        <v>0.34722222222222221</v>
      </c>
      <c r="J2333" s="14" t="s">
        <v>37</v>
      </c>
      <c r="K2333" s="14" t="s">
        <v>36</v>
      </c>
      <c r="L2333" s="15">
        <v>0.40972222222222221</v>
      </c>
      <c r="M2333" s="14" t="s">
        <v>38</v>
      </c>
      <c r="N2333" s="7">
        <v>186</v>
      </c>
      <c r="O2333" s="14" t="s">
        <v>39</v>
      </c>
      <c r="P2333" s="14" t="s">
        <v>25</v>
      </c>
      <c r="Q2333" s="14" t="s">
        <v>39</v>
      </c>
      <c r="R2333">
        <f>tblDailySchedule[[#This Row],[Capacity Approx]]*'[1]Load Factor Sheet June Acft  '!$B$5</f>
        <v>150.61772727272728</v>
      </c>
      <c r="S2333">
        <f>tblDailySchedule[[#This Row],[Capacity Approx]]*'[1]Load Factor Sheet June Acft  '!$D$5</f>
        <v>163.08818181818182</v>
      </c>
      <c r="T2333" s="22">
        <f>tblDailySchedule[[#This Row],[STD]]</f>
        <v>0.40972222222222221</v>
      </c>
    </row>
    <row r="2334" spans="1:20" hidden="1" x14ac:dyDescent="0.35">
      <c r="A2334" s="11">
        <v>46194</v>
      </c>
      <c r="B2334" s="3">
        <v>7</v>
      </c>
      <c r="C2334" t="s">
        <v>17</v>
      </c>
      <c r="D2334" t="s">
        <v>18</v>
      </c>
      <c r="E2334" s="3">
        <v>5</v>
      </c>
      <c r="F2334" t="s">
        <v>19</v>
      </c>
      <c r="G2334" t="s">
        <v>40</v>
      </c>
      <c r="H2334" t="s">
        <v>31</v>
      </c>
      <c r="I2334" s="12">
        <v>0.35069444444444442</v>
      </c>
      <c r="J2334" t="s">
        <v>41</v>
      </c>
      <c r="K2334" t="s">
        <v>31</v>
      </c>
      <c r="L2334" s="12">
        <v>0.37152777777777779</v>
      </c>
      <c r="M2334" t="s">
        <v>23</v>
      </c>
      <c r="N2334" s="3">
        <v>186</v>
      </c>
      <c r="O2334" t="s">
        <v>24</v>
      </c>
      <c r="P2334" t="s">
        <v>25</v>
      </c>
      <c r="R2334">
        <f>tblDailySchedule[[#This Row],[Capacity Approx]]*'[1]Load Factor Sheet June Acft  '!$B$5</f>
        <v>150.61772727272728</v>
      </c>
      <c r="S2334">
        <f>tblDailySchedule[[#This Row],[Capacity Approx]]*'[1]Load Factor Sheet June Acft  '!$D$5</f>
        <v>163.08818181818182</v>
      </c>
      <c r="T2334" s="22">
        <f>tblDailySchedule[[#This Row],[STD]]</f>
        <v>0.37152777777777779</v>
      </c>
    </row>
    <row r="2335" spans="1:20" hidden="1" x14ac:dyDescent="0.35">
      <c r="A2335" s="11">
        <v>46194</v>
      </c>
      <c r="B2335" s="3">
        <v>7</v>
      </c>
      <c r="C2335" t="s">
        <v>17</v>
      </c>
      <c r="D2335" t="s">
        <v>18</v>
      </c>
      <c r="E2335" s="3">
        <v>7</v>
      </c>
      <c r="F2335" t="s">
        <v>19</v>
      </c>
      <c r="G2335" t="s">
        <v>42</v>
      </c>
      <c r="H2335" t="s">
        <v>43</v>
      </c>
      <c r="I2335" s="12">
        <v>0.3923611111111111</v>
      </c>
      <c r="J2335" t="s">
        <v>44</v>
      </c>
      <c r="K2335" t="s">
        <v>43</v>
      </c>
      <c r="L2335" s="12">
        <v>0.40277777777777779</v>
      </c>
      <c r="M2335" t="s">
        <v>45</v>
      </c>
      <c r="N2335" s="3">
        <v>9</v>
      </c>
      <c r="O2335" t="s">
        <v>24</v>
      </c>
      <c r="P2335" t="s">
        <v>25</v>
      </c>
      <c r="R2335">
        <f>tblDailySchedule[[#This Row],[Capacity Approx]]*'[1]Load Factor Sheet June Acft  '!$B$5</f>
        <v>7.2879545454545456</v>
      </c>
      <c r="S2335">
        <f>tblDailySchedule[[#This Row],[Capacity Approx]]*'[1]Load Factor Sheet June Acft  '!$D$5</f>
        <v>7.8913636363636366</v>
      </c>
      <c r="T2335" s="22">
        <f>tblDailySchedule[[#This Row],[STD]]</f>
        <v>0.40277777777777779</v>
      </c>
    </row>
    <row r="2336" spans="1:20" hidden="1" x14ac:dyDescent="0.35">
      <c r="A2336" s="11">
        <v>46194</v>
      </c>
      <c r="B2336" s="3">
        <v>7</v>
      </c>
      <c r="C2336" t="s">
        <v>17</v>
      </c>
      <c r="D2336" t="s">
        <v>18</v>
      </c>
      <c r="E2336" s="3">
        <v>8</v>
      </c>
      <c r="F2336" t="s">
        <v>19</v>
      </c>
      <c r="G2336" t="s">
        <v>46</v>
      </c>
      <c r="H2336" t="s">
        <v>31</v>
      </c>
      <c r="I2336" s="12">
        <v>0.4201388888888889</v>
      </c>
      <c r="J2336" t="s">
        <v>47</v>
      </c>
      <c r="K2336" t="s">
        <v>31</v>
      </c>
      <c r="L2336" s="12">
        <v>0.44444444444444442</v>
      </c>
      <c r="M2336" t="s">
        <v>29</v>
      </c>
      <c r="N2336" s="3">
        <v>186</v>
      </c>
      <c r="O2336" t="s">
        <v>24</v>
      </c>
      <c r="P2336" t="s">
        <v>25</v>
      </c>
      <c r="R2336">
        <f>tblDailySchedule[[#This Row],[Capacity Approx]]*'[1]Load Factor Sheet June Acft  '!$B$5</f>
        <v>150.61772727272728</v>
      </c>
      <c r="S2336">
        <f>tblDailySchedule[[#This Row],[Capacity Approx]]*'[1]Load Factor Sheet June Acft  '!$D$5</f>
        <v>163.08818181818182</v>
      </c>
      <c r="T2336" s="22">
        <f>tblDailySchedule[[#This Row],[STD]]</f>
        <v>0.44444444444444442</v>
      </c>
    </row>
    <row r="2337" spans="1:20" hidden="1" x14ac:dyDescent="0.35">
      <c r="A2337" s="11">
        <v>46194</v>
      </c>
      <c r="B2337" s="3">
        <v>7</v>
      </c>
      <c r="C2337" t="s">
        <v>17</v>
      </c>
      <c r="D2337" t="s">
        <v>18</v>
      </c>
      <c r="E2337" s="3">
        <v>9</v>
      </c>
      <c r="F2337" t="s">
        <v>19</v>
      </c>
      <c r="G2337" t="s">
        <v>48</v>
      </c>
      <c r="H2337" t="s">
        <v>49</v>
      </c>
      <c r="I2337" s="12">
        <v>0.4375</v>
      </c>
      <c r="J2337" t="s">
        <v>50</v>
      </c>
      <c r="K2337" t="s">
        <v>49</v>
      </c>
      <c r="L2337" s="12">
        <v>0.45833333333333331</v>
      </c>
      <c r="M2337" t="s">
        <v>51</v>
      </c>
      <c r="N2337" s="3">
        <v>78</v>
      </c>
      <c r="O2337" t="s">
        <v>24</v>
      </c>
      <c r="P2337" t="s">
        <v>25</v>
      </c>
      <c r="R2337">
        <f>tblDailySchedule[[#This Row],[Capacity Approx]]*'[1]Load Factor Sheet June Acft  '!$B$5</f>
        <v>63.162272727272729</v>
      </c>
      <c r="S2337">
        <f>tblDailySchedule[[#This Row],[Capacity Approx]]*'[1]Load Factor Sheet June Acft  '!$D$5</f>
        <v>68.391818181818181</v>
      </c>
      <c r="T2337" s="22">
        <f>tblDailySchedule[[#This Row],[STD]]</f>
        <v>0.45833333333333331</v>
      </c>
    </row>
    <row r="2338" spans="1:20" hidden="1" x14ac:dyDescent="0.35">
      <c r="A2338" s="11">
        <v>46194</v>
      </c>
      <c r="B2338" s="3">
        <v>7</v>
      </c>
      <c r="C2338" t="s">
        <v>17</v>
      </c>
      <c r="D2338" t="s">
        <v>18</v>
      </c>
      <c r="E2338" s="3">
        <v>10</v>
      </c>
      <c r="F2338" t="s">
        <v>19</v>
      </c>
      <c r="G2338" t="s">
        <v>52</v>
      </c>
      <c r="H2338" t="s">
        <v>27</v>
      </c>
      <c r="I2338" s="12">
        <v>0.4826388888888889</v>
      </c>
      <c r="J2338" t="s">
        <v>53</v>
      </c>
      <c r="K2338" t="s">
        <v>27</v>
      </c>
      <c r="L2338" s="12">
        <v>0.51041666666666663</v>
      </c>
      <c r="M2338" t="s">
        <v>23</v>
      </c>
      <c r="N2338" s="3">
        <v>186</v>
      </c>
      <c r="O2338" t="s">
        <v>24</v>
      </c>
      <c r="P2338" t="s">
        <v>25</v>
      </c>
      <c r="R2338">
        <f>tblDailySchedule[[#This Row],[Capacity Approx]]*'[1]Load Factor Sheet June Acft  '!$B$5</f>
        <v>150.61772727272728</v>
      </c>
      <c r="S2338">
        <f>tblDailySchedule[[#This Row],[Capacity Approx]]*'[1]Load Factor Sheet June Acft  '!$D$5</f>
        <v>163.08818181818182</v>
      </c>
      <c r="T2338" s="22">
        <f>tblDailySchedule[[#This Row],[STD]]</f>
        <v>0.51041666666666663</v>
      </c>
    </row>
    <row r="2339" spans="1:20" hidden="1" x14ac:dyDescent="0.35">
      <c r="A2339" s="11">
        <v>46194</v>
      </c>
      <c r="B2339" s="3">
        <v>7</v>
      </c>
      <c r="C2339" t="s">
        <v>17</v>
      </c>
      <c r="D2339" t="s">
        <v>18</v>
      </c>
      <c r="E2339" s="3">
        <v>11</v>
      </c>
      <c r="F2339" t="s">
        <v>19</v>
      </c>
      <c r="G2339" t="s">
        <v>54</v>
      </c>
      <c r="H2339" t="s">
        <v>31</v>
      </c>
      <c r="I2339" s="12">
        <v>0.51388888888888884</v>
      </c>
      <c r="J2339" t="s">
        <v>55</v>
      </c>
      <c r="K2339" t="s">
        <v>31</v>
      </c>
      <c r="L2339" s="12">
        <v>0.54166666666666663</v>
      </c>
      <c r="M2339" t="s">
        <v>23</v>
      </c>
      <c r="N2339" s="3">
        <v>186</v>
      </c>
      <c r="O2339" t="s">
        <v>24</v>
      </c>
      <c r="P2339" t="s">
        <v>56</v>
      </c>
      <c r="R2339">
        <f>tblDailySchedule[[#This Row],[Capacity Approx]]*'[1]Load Factor Sheet June Acft  '!$B$5</f>
        <v>150.61772727272728</v>
      </c>
      <c r="S2339">
        <f>tblDailySchedule[[#This Row],[Capacity Approx]]*'[1]Load Factor Sheet June Acft  '!$D$5</f>
        <v>163.08818181818182</v>
      </c>
      <c r="T2339" s="22">
        <f>tblDailySchedule[[#This Row],[STD]]</f>
        <v>0.54166666666666663</v>
      </c>
    </row>
    <row r="2340" spans="1:20" hidden="1" x14ac:dyDescent="0.35">
      <c r="A2340" s="11">
        <v>46194</v>
      </c>
      <c r="B2340" s="3">
        <v>7</v>
      </c>
      <c r="C2340" t="s">
        <v>17</v>
      </c>
      <c r="D2340" t="s">
        <v>18</v>
      </c>
      <c r="E2340" s="3">
        <v>13</v>
      </c>
      <c r="F2340" t="s">
        <v>19</v>
      </c>
      <c r="G2340" t="s">
        <v>57</v>
      </c>
      <c r="H2340" t="s">
        <v>58</v>
      </c>
      <c r="I2340" s="12">
        <v>0.55902777777777779</v>
      </c>
      <c r="J2340" t="s">
        <v>59</v>
      </c>
      <c r="K2340" t="s">
        <v>58</v>
      </c>
      <c r="L2340" s="12">
        <v>0.57638888888888884</v>
      </c>
      <c r="M2340" t="s">
        <v>51</v>
      </c>
      <c r="N2340" s="3">
        <v>78</v>
      </c>
      <c r="O2340" t="s">
        <v>24</v>
      </c>
      <c r="P2340" t="s">
        <v>56</v>
      </c>
      <c r="R2340">
        <f>tblDailySchedule[[#This Row],[Capacity Approx]]*'[1]Load Factor Sheet June Acft  '!$B$5</f>
        <v>63.162272727272729</v>
      </c>
      <c r="S2340">
        <f>tblDailySchedule[[#This Row],[Capacity Approx]]*'[1]Load Factor Sheet June Acft  '!$D$5</f>
        <v>68.391818181818181</v>
      </c>
      <c r="T2340" s="22">
        <f>tblDailySchedule[[#This Row],[STD]]</f>
        <v>0.57638888888888884</v>
      </c>
    </row>
    <row r="2341" spans="1:20" hidden="1" x14ac:dyDescent="0.35">
      <c r="A2341" s="11">
        <v>46194</v>
      </c>
      <c r="B2341" s="3">
        <v>7</v>
      </c>
      <c r="C2341" t="s">
        <v>17</v>
      </c>
      <c r="D2341" t="s">
        <v>18</v>
      </c>
      <c r="E2341" s="3">
        <v>14</v>
      </c>
      <c r="F2341" t="s">
        <v>19</v>
      </c>
      <c r="G2341" t="s">
        <v>60</v>
      </c>
      <c r="H2341" t="s">
        <v>61</v>
      </c>
      <c r="I2341" s="12">
        <v>0.59027777777777779</v>
      </c>
      <c r="J2341" t="s">
        <v>62</v>
      </c>
      <c r="K2341" t="s">
        <v>61</v>
      </c>
      <c r="L2341" s="12">
        <v>0.62152777777777779</v>
      </c>
      <c r="M2341" t="s">
        <v>63</v>
      </c>
      <c r="N2341" s="3">
        <v>232</v>
      </c>
      <c r="O2341" t="s">
        <v>24</v>
      </c>
      <c r="P2341" t="s">
        <v>56</v>
      </c>
      <c r="R2341">
        <f>tblDailySchedule[[#This Row],[Capacity Approx]]*'[1]Load Factor Sheet June Acft  '!$B$5</f>
        <v>187.86727272727273</v>
      </c>
      <c r="S2341">
        <f>tblDailySchedule[[#This Row],[Capacity Approx]]*'[1]Load Factor Sheet June Acft  '!$D$5</f>
        <v>203.4218181818182</v>
      </c>
      <c r="T2341" s="22">
        <f>tblDailySchedule[[#This Row],[STD]]</f>
        <v>0.62152777777777779</v>
      </c>
    </row>
    <row r="2342" spans="1:20" hidden="1" x14ac:dyDescent="0.35">
      <c r="A2342" s="11">
        <v>46194</v>
      </c>
      <c r="B2342" s="3">
        <v>7</v>
      </c>
      <c r="C2342" t="s">
        <v>17</v>
      </c>
      <c r="D2342" t="s">
        <v>18</v>
      </c>
      <c r="E2342" s="3">
        <v>15</v>
      </c>
      <c r="F2342" t="s">
        <v>19</v>
      </c>
      <c r="G2342" t="s">
        <v>64</v>
      </c>
      <c r="H2342" t="s">
        <v>31</v>
      </c>
      <c r="I2342" s="12">
        <v>0.60069444444444442</v>
      </c>
      <c r="J2342" t="s">
        <v>65</v>
      </c>
      <c r="K2342" t="s">
        <v>66</v>
      </c>
      <c r="L2342" s="12">
        <v>0.62847222222222221</v>
      </c>
      <c r="M2342" t="s">
        <v>63</v>
      </c>
      <c r="N2342" s="3">
        <v>232</v>
      </c>
      <c r="O2342" t="s">
        <v>24</v>
      </c>
      <c r="P2342" t="s">
        <v>56</v>
      </c>
      <c r="R2342">
        <f>tblDailySchedule[[#This Row],[Capacity Approx]]*'[1]Load Factor Sheet June Acft  '!$B$5</f>
        <v>187.86727272727273</v>
      </c>
      <c r="S2342">
        <f>tblDailySchedule[[#This Row],[Capacity Approx]]*'[1]Load Factor Sheet June Acft  '!$D$5</f>
        <v>203.4218181818182</v>
      </c>
      <c r="T2342" s="22">
        <f>tblDailySchedule[[#This Row],[STD]]</f>
        <v>0.62847222222222221</v>
      </c>
    </row>
    <row r="2343" spans="1:20" hidden="1" x14ac:dyDescent="0.35">
      <c r="A2343" s="11">
        <v>46194</v>
      </c>
      <c r="B2343" s="3">
        <v>7</v>
      </c>
      <c r="C2343" t="s">
        <v>17</v>
      </c>
      <c r="D2343" t="s">
        <v>18</v>
      </c>
      <c r="E2343" s="3">
        <v>16</v>
      </c>
      <c r="F2343" t="s">
        <v>19</v>
      </c>
      <c r="G2343" t="s">
        <v>67</v>
      </c>
      <c r="H2343" t="s">
        <v>31</v>
      </c>
      <c r="I2343" s="12">
        <v>0.65625</v>
      </c>
      <c r="J2343" t="s">
        <v>68</v>
      </c>
      <c r="K2343" t="s">
        <v>31</v>
      </c>
      <c r="L2343" s="12">
        <v>0.68402777777777779</v>
      </c>
      <c r="M2343" t="s">
        <v>63</v>
      </c>
      <c r="N2343" s="3">
        <v>232</v>
      </c>
      <c r="O2343" t="s">
        <v>24</v>
      </c>
      <c r="P2343" t="s">
        <v>56</v>
      </c>
      <c r="R2343">
        <f>tblDailySchedule[[#This Row],[Capacity Approx]]*'[1]Load Factor Sheet June Acft  '!$B$5</f>
        <v>187.86727272727273</v>
      </c>
      <c r="S2343">
        <f>tblDailySchedule[[#This Row],[Capacity Approx]]*'[1]Load Factor Sheet June Acft  '!$D$5</f>
        <v>203.4218181818182</v>
      </c>
      <c r="T2343" s="22">
        <f>tblDailySchedule[[#This Row],[STD]]</f>
        <v>0.68402777777777779</v>
      </c>
    </row>
    <row r="2344" spans="1:20" hidden="1" x14ac:dyDescent="0.35">
      <c r="A2344" s="11">
        <v>46194</v>
      </c>
      <c r="B2344" s="3">
        <v>7</v>
      </c>
      <c r="C2344" t="s">
        <v>17</v>
      </c>
      <c r="D2344" t="s">
        <v>18</v>
      </c>
      <c r="E2344" s="3">
        <v>17</v>
      </c>
      <c r="F2344" t="s">
        <v>19</v>
      </c>
      <c r="G2344" t="s">
        <v>69</v>
      </c>
      <c r="H2344" t="s">
        <v>31</v>
      </c>
      <c r="I2344" s="12">
        <v>0.66319444444444442</v>
      </c>
      <c r="J2344" t="s">
        <v>70</v>
      </c>
      <c r="K2344" t="s">
        <v>31</v>
      </c>
      <c r="L2344" s="12">
        <v>0.69097222222222221</v>
      </c>
      <c r="M2344" t="s">
        <v>33</v>
      </c>
      <c r="N2344" s="3">
        <v>189</v>
      </c>
      <c r="O2344" t="s">
        <v>24</v>
      </c>
      <c r="P2344" t="s">
        <v>56</v>
      </c>
      <c r="R2344">
        <f>tblDailySchedule[[#This Row],[Capacity Approx]]*'[1]Load Factor Sheet June Acft  '!$B$5</f>
        <v>153.04704545454547</v>
      </c>
      <c r="S2344">
        <f>tblDailySchedule[[#This Row],[Capacity Approx]]*'[1]Load Factor Sheet June Acft  '!$D$5</f>
        <v>165.71863636363636</v>
      </c>
      <c r="T2344" s="22">
        <f>tblDailySchedule[[#This Row],[STD]]</f>
        <v>0.69097222222222221</v>
      </c>
    </row>
    <row r="2345" spans="1:20" hidden="1" x14ac:dyDescent="0.35">
      <c r="A2345" s="11">
        <v>46194</v>
      </c>
      <c r="B2345" s="3">
        <v>7</v>
      </c>
      <c r="C2345" t="s">
        <v>17</v>
      </c>
      <c r="D2345" t="s">
        <v>18</v>
      </c>
      <c r="E2345" s="3">
        <v>18</v>
      </c>
      <c r="F2345" t="s">
        <v>19</v>
      </c>
      <c r="G2345" t="s">
        <v>71</v>
      </c>
      <c r="H2345" t="s">
        <v>21</v>
      </c>
      <c r="I2345" s="12">
        <v>0.67013888888888884</v>
      </c>
      <c r="J2345" t="s">
        <v>72</v>
      </c>
      <c r="K2345" t="s">
        <v>21</v>
      </c>
      <c r="L2345" s="12">
        <v>0.69791666666666663</v>
      </c>
      <c r="M2345" t="s">
        <v>63</v>
      </c>
      <c r="N2345" s="3">
        <v>232</v>
      </c>
      <c r="O2345" t="s">
        <v>24</v>
      </c>
      <c r="P2345" t="s">
        <v>56</v>
      </c>
      <c r="R2345">
        <f>tblDailySchedule[[#This Row],[Capacity Approx]]*'[1]Load Factor Sheet June Acft  '!$B$5</f>
        <v>187.86727272727273</v>
      </c>
      <c r="S2345">
        <f>tblDailySchedule[[#This Row],[Capacity Approx]]*'[1]Load Factor Sheet June Acft  '!$D$5</f>
        <v>203.4218181818182</v>
      </c>
      <c r="T2345" s="22">
        <f>tblDailySchedule[[#This Row],[STD]]</f>
        <v>0.69791666666666663</v>
      </c>
    </row>
    <row r="2346" spans="1:20" hidden="1" x14ac:dyDescent="0.35">
      <c r="A2346" s="11">
        <v>46194</v>
      </c>
      <c r="B2346" s="3">
        <v>7</v>
      </c>
      <c r="C2346" t="s">
        <v>17</v>
      </c>
      <c r="D2346" t="s">
        <v>18</v>
      </c>
      <c r="E2346" s="3">
        <v>19</v>
      </c>
      <c r="F2346" t="s">
        <v>19</v>
      </c>
      <c r="G2346" t="s">
        <v>73</v>
      </c>
      <c r="H2346" t="s">
        <v>27</v>
      </c>
      <c r="I2346" s="12">
        <v>0.74652777777777779</v>
      </c>
      <c r="J2346" t="s">
        <v>74</v>
      </c>
      <c r="K2346" t="s">
        <v>27</v>
      </c>
      <c r="L2346" s="12">
        <v>0.77430555555555558</v>
      </c>
      <c r="M2346" t="s">
        <v>63</v>
      </c>
      <c r="N2346" s="3">
        <v>232</v>
      </c>
      <c r="O2346" t="s">
        <v>24</v>
      </c>
      <c r="P2346" t="s">
        <v>56</v>
      </c>
      <c r="R2346">
        <f>tblDailySchedule[[#This Row],[Capacity Approx]]*'[1]Load Factor Sheet June Acft  '!$B$5</f>
        <v>187.86727272727273</v>
      </c>
      <c r="S2346">
        <f>tblDailySchedule[[#This Row],[Capacity Approx]]*'[1]Load Factor Sheet June Acft  '!$D$5</f>
        <v>203.4218181818182</v>
      </c>
      <c r="T2346" s="22">
        <f>tblDailySchedule[[#This Row],[STD]]</f>
        <v>0.77430555555555558</v>
      </c>
    </row>
    <row r="2347" spans="1:20" hidden="1" x14ac:dyDescent="0.35">
      <c r="A2347" s="11">
        <v>46194</v>
      </c>
      <c r="B2347" s="3">
        <v>7</v>
      </c>
      <c r="C2347" t="s">
        <v>17</v>
      </c>
      <c r="D2347" t="s">
        <v>18</v>
      </c>
      <c r="E2347" s="3">
        <v>20</v>
      </c>
      <c r="F2347" t="s">
        <v>34</v>
      </c>
      <c r="G2347" t="s">
        <v>75</v>
      </c>
      <c r="H2347" t="s">
        <v>76</v>
      </c>
      <c r="I2347" s="12">
        <v>0.76388888888888884</v>
      </c>
      <c r="J2347" t="s">
        <v>77</v>
      </c>
      <c r="K2347" t="s">
        <v>78</v>
      </c>
      <c r="L2347" s="12">
        <v>0.78472222222222221</v>
      </c>
      <c r="M2347" t="s">
        <v>51</v>
      </c>
      <c r="N2347" s="3">
        <v>78</v>
      </c>
      <c r="O2347" t="s">
        <v>24</v>
      </c>
      <c r="P2347" t="s">
        <v>79</v>
      </c>
      <c r="Q2347" s="16" t="s">
        <v>80</v>
      </c>
      <c r="R2347">
        <f>tblDailySchedule[[#This Row],[Capacity Approx]]*'[1]Load Factor Sheet June Acft  '!$B$5</f>
        <v>63.162272727272729</v>
      </c>
      <c r="S2347">
        <f>tblDailySchedule[[#This Row],[Capacity Approx]]*'[1]Load Factor Sheet June Acft  '!$D$5</f>
        <v>68.391818181818181</v>
      </c>
      <c r="T2347" s="22">
        <f>tblDailySchedule[[#This Row],[STD]]</f>
        <v>0.78472222222222221</v>
      </c>
    </row>
    <row r="2348" spans="1:20" hidden="1" x14ac:dyDescent="0.35">
      <c r="A2348" s="11">
        <v>46194</v>
      </c>
      <c r="B2348" s="3">
        <v>7</v>
      </c>
      <c r="C2348" t="s">
        <v>17</v>
      </c>
      <c r="D2348" t="s">
        <v>18</v>
      </c>
      <c r="E2348" s="3">
        <v>21</v>
      </c>
      <c r="F2348" t="s">
        <v>19</v>
      </c>
      <c r="G2348" t="s">
        <v>81</v>
      </c>
      <c r="H2348" t="s">
        <v>61</v>
      </c>
      <c r="I2348" s="12">
        <v>0.77083333333333337</v>
      </c>
      <c r="J2348" t="s">
        <v>82</v>
      </c>
      <c r="K2348" t="s">
        <v>49</v>
      </c>
      <c r="L2348" s="12">
        <v>0.79166666666666663</v>
      </c>
      <c r="M2348" t="s">
        <v>33</v>
      </c>
      <c r="N2348" s="3">
        <v>189</v>
      </c>
      <c r="O2348" t="s">
        <v>24</v>
      </c>
      <c r="P2348" t="s">
        <v>79</v>
      </c>
      <c r="R2348">
        <f>tblDailySchedule[[#This Row],[Capacity Approx]]*'[1]Load Factor Sheet June Acft  '!$B$5</f>
        <v>153.04704545454547</v>
      </c>
      <c r="S2348">
        <f>tblDailySchedule[[#This Row],[Capacity Approx]]*'[1]Load Factor Sheet June Acft  '!$D$5</f>
        <v>165.71863636363636</v>
      </c>
      <c r="T2348" s="22">
        <f>tblDailySchedule[[#This Row],[STD]]</f>
        <v>0.79166666666666663</v>
      </c>
    </row>
    <row r="2349" spans="1:20" hidden="1" x14ac:dyDescent="0.35">
      <c r="A2349" s="11">
        <v>46194</v>
      </c>
      <c r="B2349" s="3">
        <v>7</v>
      </c>
      <c r="C2349" t="s">
        <v>17</v>
      </c>
      <c r="D2349" t="s">
        <v>18</v>
      </c>
      <c r="E2349" s="3">
        <v>22</v>
      </c>
      <c r="F2349" t="s">
        <v>19</v>
      </c>
      <c r="G2349" t="s">
        <v>83</v>
      </c>
      <c r="H2349" t="s">
        <v>31</v>
      </c>
      <c r="I2349" s="12">
        <v>0.77777777777777779</v>
      </c>
      <c r="J2349" t="s">
        <v>84</v>
      </c>
      <c r="K2349" t="s">
        <v>31</v>
      </c>
      <c r="L2349" s="12">
        <v>0.80555555555555558</v>
      </c>
      <c r="M2349" t="s">
        <v>63</v>
      </c>
      <c r="N2349" s="3">
        <v>232</v>
      </c>
      <c r="O2349" t="s">
        <v>24</v>
      </c>
      <c r="P2349" t="s">
        <v>79</v>
      </c>
      <c r="R2349">
        <f>tblDailySchedule[[#This Row],[Capacity Approx]]*'[1]Load Factor Sheet June Acft  '!$B$5</f>
        <v>187.86727272727273</v>
      </c>
      <c r="S2349">
        <f>tblDailySchedule[[#This Row],[Capacity Approx]]*'[1]Load Factor Sheet June Acft  '!$D$5</f>
        <v>203.4218181818182</v>
      </c>
      <c r="T2349" s="22">
        <f>tblDailySchedule[[#This Row],[STD]]</f>
        <v>0.80555555555555558</v>
      </c>
    </row>
    <row r="2350" spans="1:20" hidden="1" x14ac:dyDescent="0.35">
      <c r="A2350" s="11">
        <v>46194</v>
      </c>
      <c r="B2350" s="3">
        <v>7</v>
      </c>
      <c r="C2350" t="s">
        <v>17</v>
      </c>
      <c r="D2350" t="s">
        <v>18</v>
      </c>
      <c r="E2350" s="3">
        <v>23</v>
      </c>
      <c r="F2350" t="s">
        <v>19</v>
      </c>
      <c r="G2350" t="s">
        <v>85</v>
      </c>
      <c r="H2350" t="s">
        <v>86</v>
      </c>
      <c r="I2350" s="12">
        <v>0.79861111111111116</v>
      </c>
      <c r="J2350" t="s">
        <v>87</v>
      </c>
      <c r="K2350" t="s">
        <v>86</v>
      </c>
      <c r="L2350" s="12">
        <v>0.82638888888888884</v>
      </c>
      <c r="M2350" t="s">
        <v>63</v>
      </c>
      <c r="N2350" s="3">
        <v>232</v>
      </c>
      <c r="O2350" t="s">
        <v>24</v>
      </c>
      <c r="P2350" t="s">
        <v>79</v>
      </c>
      <c r="R2350">
        <f>tblDailySchedule[[#This Row],[Capacity Approx]]*'[1]Load Factor Sheet June Acft  '!$B$5</f>
        <v>187.86727272727273</v>
      </c>
      <c r="S2350">
        <f>tblDailySchedule[[#This Row],[Capacity Approx]]*'[1]Load Factor Sheet June Acft  '!$D$5</f>
        <v>203.4218181818182</v>
      </c>
      <c r="T2350" s="22">
        <f>tblDailySchedule[[#This Row],[STD]]</f>
        <v>0.82638888888888884</v>
      </c>
    </row>
    <row r="2351" spans="1:20" hidden="1" x14ac:dyDescent="0.35">
      <c r="A2351" s="11">
        <v>46194</v>
      </c>
      <c r="B2351" s="3">
        <v>7</v>
      </c>
      <c r="C2351" t="s">
        <v>17</v>
      </c>
      <c r="D2351" t="s">
        <v>18</v>
      </c>
      <c r="E2351" s="3">
        <v>24</v>
      </c>
      <c r="F2351" t="s">
        <v>19</v>
      </c>
      <c r="G2351" t="s">
        <v>88</v>
      </c>
      <c r="H2351" t="s">
        <v>89</v>
      </c>
      <c r="I2351" s="12">
        <v>0.83333333333333337</v>
      </c>
      <c r="J2351" t="s">
        <v>90</v>
      </c>
      <c r="K2351" t="s">
        <v>31</v>
      </c>
      <c r="L2351" s="12">
        <v>0.86111111111111116</v>
      </c>
      <c r="M2351" t="s">
        <v>63</v>
      </c>
      <c r="N2351" s="3">
        <v>232</v>
      </c>
      <c r="O2351" t="s">
        <v>24</v>
      </c>
      <c r="P2351" t="s">
        <v>79</v>
      </c>
      <c r="R2351">
        <f>tblDailySchedule[[#This Row],[Capacity Approx]]*'[1]Load Factor Sheet June Acft  '!$B$5</f>
        <v>187.86727272727273</v>
      </c>
      <c r="S2351">
        <f>tblDailySchedule[[#This Row],[Capacity Approx]]*'[1]Load Factor Sheet June Acft  '!$D$5</f>
        <v>203.4218181818182</v>
      </c>
      <c r="T2351" s="22">
        <f>tblDailySchedule[[#This Row],[STD]]</f>
        <v>0.86111111111111116</v>
      </c>
    </row>
    <row r="2352" spans="1:20" hidden="1" x14ac:dyDescent="0.35">
      <c r="A2352" s="11">
        <v>46194</v>
      </c>
      <c r="B2352" s="3">
        <v>7</v>
      </c>
      <c r="C2352" t="s">
        <v>17</v>
      </c>
      <c r="D2352" t="s">
        <v>18</v>
      </c>
      <c r="E2352" s="3">
        <v>25</v>
      </c>
      <c r="F2352" t="s">
        <v>19</v>
      </c>
      <c r="G2352" t="s">
        <v>91</v>
      </c>
      <c r="H2352" t="s">
        <v>61</v>
      </c>
      <c r="I2352" s="12">
        <v>0.85416666666666663</v>
      </c>
      <c r="J2352" t="s">
        <v>92</v>
      </c>
      <c r="K2352" t="s">
        <v>61</v>
      </c>
      <c r="L2352" s="12">
        <v>0.88194444444444442</v>
      </c>
      <c r="M2352" t="s">
        <v>63</v>
      </c>
      <c r="N2352" s="3">
        <v>232</v>
      </c>
      <c r="O2352" t="s">
        <v>24</v>
      </c>
      <c r="P2352" t="s">
        <v>79</v>
      </c>
      <c r="R2352">
        <f>tblDailySchedule[[#This Row],[Capacity Approx]]*'[1]Load Factor Sheet June Acft  '!$B$5</f>
        <v>187.86727272727273</v>
      </c>
      <c r="S2352">
        <f>tblDailySchedule[[#This Row],[Capacity Approx]]*'[1]Load Factor Sheet June Acft  '!$D$5</f>
        <v>203.4218181818182</v>
      </c>
      <c r="T2352" s="22">
        <f>tblDailySchedule[[#This Row],[STD]]</f>
        <v>0.88194444444444442</v>
      </c>
    </row>
    <row r="2353" spans="1:20" hidden="1" x14ac:dyDescent="0.35">
      <c r="A2353" s="11">
        <v>46194</v>
      </c>
      <c r="B2353" s="3">
        <v>7</v>
      </c>
      <c r="C2353" t="s">
        <v>17</v>
      </c>
      <c r="D2353" t="s">
        <v>18</v>
      </c>
      <c r="E2353" s="3">
        <v>26</v>
      </c>
      <c r="F2353" t="s">
        <v>19</v>
      </c>
      <c r="G2353" t="s">
        <v>93</v>
      </c>
      <c r="H2353" t="s">
        <v>31</v>
      </c>
      <c r="I2353" s="12">
        <v>0.86111111111111116</v>
      </c>
      <c r="J2353" t="s">
        <v>94</v>
      </c>
      <c r="K2353" t="s">
        <v>31</v>
      </c>
      <c r="L2353" s="12">
        <v>0.88888888888888884</v>
      </c>
      <c r="M2353" t="s">
        <v>23</v>
      </c>
      <c r="N2353" s="3">
        <v>186</v>
      </c>
      <c r="O2353" t="s">
        <v>24</v>
      </c>
      <c r="P2353" t="s">
        <v>79</v>
      </c>
      <c r="R2353">
        <f>tblDailySchedule[[#This Row],[Capacity Approx]]*'[1]Load Factor Sheet June Acft  '!$B$5</f>
        <v>150.61772727272728</v>
      </c>
      <c r="S2353">
        <f>tblDailySchedule[[#This Row],[Capacity Approx]]*'[1]Load Factor Sheet June Acft  '!$D$5</f>
        <v>163.08818181818182</v>
      </c>
      <c r="T2353" s="22">
        <f>tblDailySchedule[[#This Row],[STD]]</f>
        <v>0.88888888888888884</v>
      </c>
    </row>
    <row r="2354" spans="1:20" hidden="1" x14ac:dyDescent="0.35">
      <c r="A2354" s="11">
        <v>46194</v>
      </c>
      <c r="B2354" s="3">
        <v>7</v>
      </c>
      <c r="C2354" t="s">
        <v>17</v>
      </c>
      <c r="D2354" t="s">
        <v>18</v>
      </c>
      <c r="E2354" s="3">
        <v>27</v>
      </c>
      <c r="F2354" t="s">
        <v>19</v>
      </c>
      <c r="G2354" t="s">
        <v>95</v>
      </c>
      <c r="H2354" t="s">
        <v>21</v>
      </c>
      <c r="I2354" s="12">
        <v>0.86805555555555558</v>
      </c>
      <c r="J2354" t="s">
        <v>96</v>
      </c>
      <c r="K2354" t="s">
        <v>21</v>
      </c>
      <c r="L2354" s="12">
        <v>0.89583333333333337</v>
      </c>
      <c r="M2354" t="s">
        <v>29</v>
      </c>
      <c r="N2354" s="3">
        <v>186</v>
      </c>
      <c r="O2354" t="s">
        <v>24</v>
      </c>
      <c r="P2354" t="s">
        <v>79</v>
      </c>
      <c r="R2354">
        <f>tblDailySchedule[[#This Row],[Capacity Approx]]*'[1]Load Factor Sheet June Acft  '!$B$5</f>
        <v>150.61772727272728</v>
      </c>
      <c r="S2354">
        <f>tblDailySchedule[[#This Row],[Capacity Approx]]*'[1]Load Factor Sheet June Acft  '!$D$5</f>
        <v>163.08818181818182</v>
      </c>
      <c r="T2354" s="22">
        <f>tblDailySchedule[[#This Row],[STD]]</f>
        <v>0.89583333333333337</v>
      </c>
    </row>
    <row r="2355" spans="1:20" hidden="1" x14ac:dyDescent="0.35">
      <c r="A2355" s="11">
        <v>46194</v>
      </c>
      <c r="B2355" s="3">
        <v>7</v>
      </c>
      <c r="C2355" t="s">
        <v>17</v>
      </c>
      <c r="D2355" t="s">
        <v>18</v>
      </c>
      <c r="E2355" s="3">
        <v>28</v>
      </c>
      <c r="F2355" t="s">
        <v>19</v>
      </c>
      <c r="G2355" t="s">
        <v>97</v>
      </c>
      <c r="H2355" t="s">
        <v>49</v>
      </c>
      <c r="I2355" s="12">
        <v>0.90277777777777779</v>
      </c>
      <c r="J2355" t="s">
        <v>97</v>
      </c>
      <c r="K2355" t="s">
        <v>61</v>
      </c>
      <c r="L2355" s="12">
        <v>0.92361111111111116</v>
      </c>
      <c r="M2355" t="s">
        <v>33</v>
      </c>
      <c r="N2355" s="3">
        <v>189</v>
      </c>
      <c r="O2355" t="s">
        <v>24</v>
      </c>
      <c r="P2355" t="s">
        <v>79</v>
      </c>
      <c r="R2355">
        <f>tblDailySchedule[[#This Row],[Capacity Approx]]*'[1]Load Factor Sheet June Acft  '!$B$5</f>
        <v>153.04704545454547</v>
      </c>
      <c r="S2355">
        <f>tblDailySchedule[[#This Row],[Capacity Approx]]*'[1]Load Factor Sheet June Acft  '!$D$5</f>
        <v>165.71863636363636</v>
      </c>
      <c r="T2355" s="22">
        <f>tblDailySchedule[[#This Row],[STD]]</f>
        <v>0.92361111111111116</v>
      </c>
    </row>
    <row r="2356" spans="1:20" hidden="1" x14ac:dyDescent="0.35">
      <c r="A2356" s="11">
        <v>46194</v>
      </c>
      <c r="B2356" s="3">
        <v>7</v>
      </c>
      <c r="C2356" t="s">
        <v>17</v>
      </c>
      <c r="D2356" t="s">
        <v>18</v>
      </c>
      <c r="E2356" s="3">
        <v>29</v>
      </c>
      <c r="F2356" t="s">
        <v>19</v>
      </c>
      <c r="G2356" t="s">
        <v>98</v>
      </c>
      <c r="H2356" t="s">
        <v>21</v>
      </c>
      <c r="I2356" s="12">
        <v>0.92013888888888884</v>
      </c>
      <c r="J2356" t="s">
        <v>99</v>
      </c>
      <c r="K2356" t="s">
        <v>21</v>
      </c>
      <c r="L2356" s="12">
        <v>0.94791666666666663</v>
      </c>
      <c r="M2356" t="s">
        <v>63</v>
      </c>
      <c r="N2356" s="3">
        <v>232</v>
      </c>
      <c r="O2356" t="s">
        <v>24</v>
      </c>
      <c r="P2356" t="s">
        <v>79</v>
      </c>
      <c r="R2356">
        <f>tblDailySchedule[[#This Row],[Capacity Approx]]*'[1]Load Factor Sheet June Acft  '!$B$5</f>
        <v>187.86727272727273</v>
      </c>
      <c r="S2356">
        <f>tblDailySchedule[[#This Row],[Capacity Approx]]*'[1]Load Factor Sheet June Acft  '!$D$5</f>
        <v>203.4218181818182</v>
      </c>
      <c r="T2356" s="22">
        <f>tblDailySchedule[[#This Row],[STD]]</f>
        <v>0.94791666666666663</v>
      </c>
    </row>
    <row r="2357" spans="1:20" hidden="1" x14ac:dyDescent="0.35">
      <c r="A2357" s="11">
        <v>46195</v>
      </c>
      <c r="B2357" s="3">
        <v>1</v>
      </c>
      <c r="C2357" t="s">
        <v>100</v>
      </c>
      <c r="D2357" t="s">
        <v>18</v>
      </c>
      <c r="E2357" s="3">
        <v>1</v>
      </c>
      <c r="F2357" t="s">
        <v>101</v>
      </c>
      <c r="G2357" t="s">
        <v>102</v>
      </c>
      <c r="H2357" t="s">
        <v>61</v>
      </c>
      <c r="I2357" s="12">
        <v>0.3125</v>
      </c>
      <c r="J2357" t="s">
        <v>103</v>
      </c>
      <c r="K2357" t="s">
        <v>61</v>
      </c>
      <c r="L2357" s="12">
        <v>0.33333333333333331</v>
      </c>
      <c r="M2357" t="s">
        <v>33</v>
      </c>
      <c r="N2357" s="3">
        <v>189</v>
      </c>
      <c r="O2357" t="s">
        <v>24</v>
      </c>
      <c r="P2357" t="s">
        <v>25</v>
      </c>
      <c r="R2357">
        <f>tblDailySchedule[[#This Row],[Capacity Approx]]*'[1]Load Factor Sheet June Acft  '!$B$5</f>
        <v>153.04704545454547</v>
      </c>
      <c r="S2357">
        <f>tblDailySchedule[[#This Row],[Capacity Approx]]*'[1]Load Factor Sheet June Acft  '!$D$5</f>
        <v>165.71863636363636</v>
      </c>
      <c r="T2357" s="22">
        <f>tblDailySchedule[[#This Row],[STD]]</f>
        <v>0.33333333333333331</v>
      </c>
    </row>
    <row r="2358" spans="1:20" hidden="1" x14ac:dyDescent="0.35">
      <c r="A2358" s="11">
        <v>46195</v>
      </c>
      <c r="B2358" s="3">
        <v>1</v>
      </c>
      <c r="C2358" t="s">
        <v>100</v>
      </c>
      <c r="D2358" t="s">
        <v>18</v>
      </c>
      <c r="E2358" s="3">
        <v>2</v>
      </c>
      <c r="F2358" t="s">
        <v>19</v>
      </c>
      <c r="G2358" t="s">
        <v>20</v>
      </c>
      <c r="H2358" t="s">
        <v>21</v>
      </c>
      <c r="I2358" s="12">
        <v>0.31944444444444442</v>
      </c>
      <c r="J2358" t="s">
        <v>22</v>
      </c>
      <c r="K2358" t="s">
        <v>21</v>
      </c>
      <c r="L2358" s="12">
        <v>0.34722222222222221</v>
      </c>
      <c r="M2358" t="s">
        <v>23</v>
      </c>
      <c r="N2358" s="3">
        <v>186</v>
      </c>
      <c r="O2358" t="s">
        <v>24</v>
      </c>
      <c r="P2358" t="s">
        <v>25</v>
      </c>
      <c r="R2358">
        <f>tblDailySchedule[[#This Row],[Capacity Approx]]*'[1]Load Factor Sheet June Acft  '!$B$5</f>
        <v>150.61772727272728</v>
      </c>
      <c r="S2358">
        <f>tblDailySchedule[[#This Row],[Capacity Approx]]*'[1]Load Factor Sheet June Acft  '!$D$5</f>
        <v>163.08818181818182</v>
      </c>
      <c r="T2358" s="22">
        <f>tblDailySchedule[[#This Row],[STD]]</f>
        <v>0.34722222222222221</v>
      </c>
    </row>
    <row r="2359" spans="1:20" hidden="1" x14ac:dyDescent="0.35">
      <c r="A2359" s="11">
        <v>46195</v>
      </c>
      <c r="B2359" s="3">
        <v>1</v>
      </c>
      <c r="C2359" t="s">
        <v>100</v>
      </c>
      <c r="D2359" t="s">
        <v>18</v>
      </c>
      <c r="E2359" s="3">
        <v>3</v>
      </c>
      <c r="F2359" t="s">
        <v>19</v>
      </c>
      <c r="G2359" t="s">
        <v>26</v>
      </c>
      <c r="H2359" t="s">
        <v>27</v>
      </c>
      <c r="I2359" s="12">
        <v>0.3263888888888889</v>
      </c>
      <c r="J2359" t="s">
        <v>28</v>
      </c>
      <c r="K2359" t="s">
        <v>27</v>
      </c>
      <c r="L2359" s="12">
        <v>0.35416666666666669</v>
      </c>
      <c r="M2359" t="s">
        <v>29</v>
      </c>
      <c r="N2359" s="3">
        <v>186</v>
      </c>
      <c r="O2359" t="s">
        <v>24</v>
      </c>
      <c r="P2359" t="s">
        <v>25</v>
      </c>
      <c r="R2359">
        <f>tblDailySchedule[[#This Row],[Capacity Approx]]*'[1]Load Factor Sheet June Acft  '!$B$5</f>
        <v>150.61772727272728</v>
      </c>
      <c r="S2359">
        <f>tblDailySchedule[[#This Row],[Capacity Approx]]*'[1]Load Factor Sheet June Acft  '!$D$5</f>
        <v>163.08818181818182</v>
      </c>
      <c r="T2359" s="22">
        <f>tblDailySchedule[[#This Row],[STD]]</f>
        <v>0.35416666666666669</v>
      </c>
    </row>
    <row r="2360" spans="1:20" hidden="1" x14ac:dyDescent="0.35">
      <c r="A2360" s="11">
        <v>46195</v>
      </c>
      <c r="B2360" s="3">
        <v>1</v>
      </c>
      <c r="C2360" t="s">
        <v>100</v>
      </c>
      <c r="D2360" t="s">
        <v>18</v>
      </c>
      <c r="E2360" s="3">
        <v>4</v>
      </c>
      <c r="F2360" t="s">
        <v>19</v>
      </c>
      <c r="G2360" t="s">
        <v>30</v>
      </c>
      <c r="H2360" t="s">
        <v>31</v>
      </c>
      <c r="I2360" s="12">
        <v>0.34722222222222221</v>
      </c>
      <c r="J2360" t="s">
        <v>32</v>
      </c>
      <c r="K2360" t="s">
        <v>31</v>
      </c>
      <c r="L2360" s="12">
        <v>0.36805555555555558</v>
      </c>
      <c r="M2360" t="s">
        <v>33</v>
      </c>
      <c r="N2360" s="3">
        <v>189</v>
      </c>
      <c r="O2360" t="s">
        <v>24</v>
      </c>
      <c r="P2360" t="s">
        <v>25</v>
      </c>
      <c r="R2360">
        <f>tblDailySchedule[[#This Row],[Capacity Approx]]*'[1]Load Factor Sheet June Acft  '!$B$5</f>
        <v>153.04704545454547</v>
      </c>
      <c r="S2360">
        <f>tblDailySchedule[[#This Row],[Capacity Approx]]*'[1]Load Factor Sheet June Acft  '!$D$5</f>
        <v>165.71863636363636</v>
      </c>
      <c r="T2360" s="22">
        <f>tblDailySchedule[[#This Row],[STD]]</f>
        <v>0.36805555555555558</v>
      </c>
    </row>
    <row r="2361" spans="1:20" hidden="1" x14ac:dyDescent="0.35">
      <c r="A2361" s="13">
        <v>46195</v>
      </c>
      <c r="B2361" s="7">
        <v>1</v>
      </c>
      <c r="C2361" s="14" t="s">
        <v>100</v>
      </c>
      <c r="D2361" s="14" t="s">
        <v>18</v>
      </c>
      <c r="E2361" s="7">
        <v>6</v>
      </c>
      <c r="F2361" s="14" t="s">
        <v>34</v>
      </c>
      <c r="G2361" s="14" t="s">
        <v>35</v>
      </c>
      <c r="H2361" s="14" t="s">
        <v>36</v>
      </c>
      <c r="I2361" s="15">
        <v>0.34722222222222221</v>
      </c>
      <c r="J2361" s="14" t="s">
        <v>37</v>
      </c>
      <c r="K2361" s="14" t="s">
        <v>36</v>
      </c>
      <c r="L2361" s="15">
        <v>0.40972222222222221</v>
      </c>
      <c r="M2361" s="14" t="s">
        <v>38</v>
      </c>
      <c r="N2361" s="7">
        <v>186</v>
      </c>
      <c r="O2361" s="14" t="s">
        <v>39</v>
      </c>
      <c r="P2361" s="14" t="s">
        <v>25</v>
      </c>
      <c r="Q2361" s="14" t="s">
        <v>39</v>
      </c>
      <c r="R2361">
        <f>tblDailySchedule[[#This Row],[Capacity Approx]]*'[1]Load Factor Sheet June Acft  '!$B$5</f>
        <v>150.61772727272728</v>
      </c>
      <c r="S2361">
        <f>tblDailySchedule[[#This Row],[Capacity Approx]]*'[1]Load Factor Sheet June Acft  '!$D$5</f>
        <v>163.08818181818182</v>
      </c>
      <c r="T2361" s="22">
        <f>tblDailySchedule[[#This Row],[STD]]</f>
        <v>0.40972222222222221</v>
      </c>
    </row>
    <row r="2362" spans="1:20" hidden="1" x14ac:dyDescent="0.35">
      <c r="A2362" s="11">
        <v>46195</v>
      </c>
      <c r="B2362" s="3">
        <v>1</v>
      </c>
      <c r="C2362" t="s">
        <v>100</v>
      </c>
      <c r="D2362" t="s">
        <v>18</v>
      </c>
      <c r="E2362" s="3">
        <v>5</v>
      </c>
      <c r="F2362" t="s">
        <v>19</v>
      </c>
      <c r="G2362" t="s">
        <v>40</v>
      </c>
      <c r="H2362" t="s">
        <v>31</v>
      </c>
      <c r="I2362" s="12">
        <v>0.35069444444444442</v>
      </c>
      <c r="J2362" t="s">
        <v>41</v>
      </c>
      <c r="K2362" t="s">
        <v>31</v>
      </c>
      <c r="L2362" s="12">
        <v>0.37152777777777779</v>
      </c>
      <c r="M2362" t="s">
        <v>23</v>
      </c>
      <c r="N2362" s="3">
        <v>186</v>
      </c>
      <c r="O2362" t="s">
        <v>24</v>
      </c>
      <c r="P2362" t="s">
        <v>25</v>
      </c>
      <c r="R2362">
        <f>tblDailySchedule[[#This Row],[Capacity Approx]]*'[1]Load Factor Sheet June Acft  '!$B$5</f>
        <v>150.61772727272728</v>
      </c>
      <c r="S2362">
        <f>tblDailySchedule[[#This Row],[Capacity Approx]]*'[1]Load Factor Sheet June Acft  '!$D$5</f>
        <v>163.08818181818182</v>
      </c>
      <c r="T2362" s="22">
        <f>tblDailySchedule[[#This Row],[STD]]</f>
        <v>0.37152777777777779</v>
      </c>
    </row>
    <row r="2363" spans="1:20" hidden="1" x14ac:dyDescent="0.35">
      <c r="A2363" s="11">
        <v>46195</v>
      </c>
      <c r="B2363" s="3">
        <v>1</v>
      </c>
      <c r="C2363" t="s">
        <v>100</v>
      </c>
      <c r="D2363" t="s">
        <v>18</v>
      </c>
      <c r="E2363" s="3">
        <v>7</v>
      </c>
      <c r="F2363" t="s">
        <v>19</v>
      </c>
      <c r="G2363" t="s">
        <v>42</v>
      </c>
      <c r="H2363" t="s">
        <v>43</v>
      </c>
      <c r="I2363" s="12">
        <v>0.3923611111111111</v>
      </c>
      <c r="J2363" t="s">
        <v>44</v>
      </c>
      <c r="K2363" t="s">
        <v>43</v>
      </c>
      <c r="L2363" s="12">
        <v>0.40277777777777779</v>
      </c>
      <c r="M2363" t="s">
        <v>45</v>
      </c>
      <c r="N2363" s="3">
        <v>9</v>
      </c>
      <c r="O2363" t="s">
        <v>24</v>
      </c>
      <c r="P2363" t="s">
        <v>25</v>
      </c>
      <c r="R2363">
        <f>tblDailySchedule[[#This Row],[Capacity Approx]]*'[1]Load Factor Sheet June Acft  '!$B$5</f>
        <v>7.2879545454545456</v>
      </c>
      <c r="S2363">
        <f>tblDailySchedule[[#This Row],[Capacity Approx]]*'[1]Load Factor Sheet June Acft  '!$D$5</f>
        <v>7.8913636363636366</v>
      </c>
      <c r="T2363" s="22">
        <f>tblDailySchedule[[#This Row],[STD]]</f>
        <v>0.40277777777777779</v>
      </c>
    </row>
    <row r="2364" spans="1:20" hidden="1" x14ac:dyDescent="0.35">
      <c r="A2364" s="11">
        <v>46195</v>
      </c>
      <c r="B2364" s="3">
        <v>1</v>
      </c>
      <c r="C2364" t="s">
        <v>100</v>
      </c>
      <c r="D2364" t="s">
        <v>18</v>
      </c>
      <c r="E2364" s="3">
        <v>8</v>
      </c>
      <c r="F2364" t="s">
        <v>19</v>
      </c>
      <c r="G2364" t="s">
        <v>46</v>
      </c>
      <c r="H2364" t="s">
        <v>31</v>
      </c>
      <c r="I2364" s="12">
        <v>0.4201388888888889</v>
      </c>
      <c r="J2364" t="s">
        <v>47</v>
      </c>
      <c r="K2364" t="s">
        <v>31</v>
      </c>
      <c r="L2364" s="12">
        <v>0.44444444444444442</v>
      </c>
      <c r="M2364" t="s">
        <v>29</v>
      </c>
      <c r="N2364" s="3">
        <v>186</v>
      </c>
      <c r="O2364" t="s">
        <v>24</v>
      </c>
      <c r="P2364" t="s">
        <v>25</v>
      </c>
      <c r="R2364">
        <f>tblDailySchedule[[#This Row],[Capacity Approx]]*'[1]Load Factor Sheet June Acft  '!$B$5</f>
        <v>150.61772727272728</v>
      </c>
      <c r="S2364">
        <f>tblDailySchedule[[#This Row],[Capacity Approx]]*'[1]Load Factor Sheet June Acft  '!$D$5</f>
        <v>163.08818181818182</v>
      </c>
      <c r="T2364" s="22">
        <f>tblDailySchedule[[#This Row],[STD]]</f>
        <v>0.44444444444444442</v>
      </c>
    </row>
    <row r="2365" spans="1:20" hidden="1" x14ac:dyDescent="0.35">
      <c r="A2365" s="11">
        <v>46195</v>
      </c>
      <c r="B2365" s="3">
        <v>1</v>
      </c>
      <c r="C2365" t="s">
        <v>100</v>
      </c>
      <c r="D2365" t="s">
        <v>18</v>
      </c>
      <c r="E2365" s="3">
        <v>9</v>
      </c>
      <c r="F2365" t="s">
        <v>19</v>
      </c>
      <c r="G2365" t="s">
        <v>48</v>
      </c>
      <c r="H2365" t="s">
        <v>49</v>
      </c>
      <c r="I2365" s="12">
        <v>0.4375</v>
      </c>
      <c r="J2365" t="s">
        <v>50</v>
      </c>
      <c r="K2365" t="s">
        <v>49</v>
      </c>
      <c r="L2365" s="12">
        <v>0.45833333333333331</v>
      </c>
      <c r="M2365" t="s">
        <v>51</v>
      </c>
      <c r="N2365" s="3">
        <v>78</v>
      </c>
      <c r="O2365" t="s">
        <v>24</v>
      </c>
      <c r="P2365" t="s">
        <v>25</v>
      </c>
      <c r="R2365">
        <f>tblDailySchedule[[#This Row],[Capacity Approx]]*'[1]Load Factor Sheet June Acft  '!$B$5</f>
        <v>63.162272727272729</v>
      </c>
      <c r="S2365">
        <f>tblDailySchedule[[#This Row],[Capacity Approx]]*'[1]Load Factor Sheet June Acft  '!$D$5</f>
        <v>68.391818181818181</v>
      </c>
      <c r="T2365" s="22">
        <f>tblDailySchedule[[#This Row],[STD]]</f>
        <v>0.45833333333333331</v>
      </c>
    </row>
    <row r="2366" spans="1:20" hidden="1" x14ac:dyDescent="0.35">
      <c r="A2366" s="11">
        <v>46195</v>
      </c>
      <c r="B2366" s="3">
        <v>1</v>
      </c>
      <c r="C2366" t="s">
        <v>100</v>
      </c>
      <c r="D2366" t="s">
        <v>18</v>
      </c>
      <c r="E2366" s="3">
        <v>10</v>
      </c>
      <c r="F2366" t="s">
        <v>19</v>
      </c>
      <c r="G2366" t="s">
        <v>52</v>
      </c>
      <c r="H2366" t="s">
        <v>27</v>
      </c>
      <c r="I2366" s="12">
        <v>0.4826388888888889</v>
      </c>
      <c r="J2366" t="s">
        <v>53</v>
      </c>
      <c r="K2366" t="s">
        <v>27</v>
      </c>
      <c r="L2366" s="12">
        <v>0.51041666666666663</v>
      </c>
      <c r="M2366" t="s">
        <v>23</v>
      </c>
      <c r="N2366" s="3">
        <v>186</v>
      </c>
      <c r="O2366" t="s">
        <v>24</v>
      </c>
      <c r="P2366" t="s">
        <v>25</v>
      </c>
      <c r="R2366">
        <f>tblDailySchedule[[#This Row],[Capacity Approx]]*'[1]Load Factor Sheet June Acft  '!$B$5</f>
        <v>150.61772727272728</v>
      </c>
      <c r="S2366">
        <f>tblDailySchedule[[#This Row],[Capacity Approx]]*'[1]Load Factor Sheet June Acft  '!$D$5</f>
        <v>163.08818181818182</v>
      </c>
      <c r="T2366" s="22">
        <f>tblDailySchedule[[#This Row],[STD]]</f>
        <v>0.51041666666666663</v>
      </c>
    </row>
    <row r="2367" spans="1:20" hidden="1" x14ac:dyDescent="0.35">
      <c r="A2367" s="11">
        <v>46195</v>
      </c>
      <c r="B2367" s="3">
        <v>1</v>
      </c>
      <c r="C2367" t="s">
        <v>100</v>
      </c>
      <c r="D2367" t="s">
        <v>18</v>
      </c>
      <c r="E2367" s="3">
        <v>11</v>
      </c>
      <c r="F2367" t="s">
        <v>19</v>
      </c>
      <c r="G2367" t="s">
        <v>54</v>
      </c>
      <c r="H2367" t="s">
        <v>31</v>
      </c>
      <c r="I2367" s="12">
        <v>0.51388888888888884</v>
      </c>
      <c r="J2367" t="s">
        <v>55</v>
      </c>
      <c r="K2367" t="s">
        <v>31</v>
      </c>
      <c r="L2367" s="12">
        <v>0.54166666666666663</v>
      </c>
      <c r="M2367" t="s">
        <v>23</v>
      </c>
      <c r="N2367" s="3">
        <v>186</v>
      </c>
      <c r="O2367" t="s">
        <v>24</v>
      </c>
      <c r="P2367" t="s">
        <v>56</v>
      </c>
      <c r="R2367">
        <f>tblDailySchedule[[#This Row],[Capacity Approx]]*'[1]Load Factor Sheet June Acft  '!$B$5</f>
        <v>150.61772727272728</v>
      </c>
      <c r="S2367">
        <f>tblDailySchedule[[#This Row],[Capacity Approx]]*'[1]Load Factor Sheet June Acft  '!$D$5</f>
        <v>163.08818181818182</v>
      </c>
      <c r="T2367" s="22">
        <f>tblDailySchedule[[#This Row],[STD]]</f>
        <v>0.54166666666666663</v>
      </c>
    </row>
    <row r="2368" spans="1:20" hidden="1" x14ac:dyDescent="0.35">
      <c r="A2368" s="11">
        <v>46195</v>
      </c>
      <c r="B2368" s="3">
        <v>1</v>
      </c>
      <c r="C2368" t="s">
        <v>100</v>
      </c>
      <c r="D2368" t="s">
        <v>18</v>
      </c>
      <c r="E2368" s="3">
        <v>13</v>
      </c>
      <c r="F2368" t="s">
        <v>19</v>
      </c>
      <c r="G2368" t="s">
        <v>57</v>
      </c>
      <c r="H2368" t="s">
        <v>58</v>
      </c>
      <c r="I2368" s="12">
        <v>0.55902777777777779</v>
      </c>
      <c r="J2368" t="s">
        <v>59</v>
      </c>
      <c r="K2368" t="s">
        <v>58</v>
      </c>
      <c r="L2368" s="12">
        <v>0.57638888888888884</v>
      </c>
      <c r="M2368" t="s">
        <v>51</v>
      </c>
      <c r="N2368" s="3">
        <v>78</v>
      </c>
      <c r="O2368" t="s">
        <v>24</v>
      </c>
      <c r="P2368" t="s">
        <v>56</v>
      </c>
      <c r="R2368">
        <f>tblDailySchedule[[#This Row],[Capacity Approx]]*'[1]Load Factor Sheet June Acft  '!$B$5</f>
        <v>63.162272727272729</v>
      </c>
      <c r="S2368">
        <f>tblDailySchedule[[#This Row],[Capacity Approx]]*'[1]Load Factor Sheet June Acft  '!$D$5</f>
        <v>68.391818181818181</v>
      </c>
      <c r="T2368" s="22">
        <f>tblDailySchedule[[#This Row],[STD]]</f>
        <v>0.57638888888888884</v>
      </c>
    </row>
    <row r="2369" spans="1:20" hidden="1" x14ac:dyDescent="0.35">
      <c r="A2369" s="11">
        <v>46195</v>
      </c>
      <c r="B2369" s="3">
        <v>1</v>
      </c>
      <c r="C2369" t="s">
        <v>100</v>
      </c>
      <c r="D2369" t="s">
        <v>18</v>
      </c>
      <c r="E2369" s="3">
        <v>14</v>
      </c>
      <c r="F2369" t="s">
        <v>19</v>
      </c>
      <c r="G2369" t="s">
        <v>60</v>
      </c>
      <c r="H2369" t="s">
        <v>61</v>
      </c>
      <c r="I2369" s="12">
        <v>0.59027777777777779</v>
      </c>
      <c r="J2369" t="s">
        <v>62</v>
      </c>
      <c r="K2369" t="s">
        <v>61</v>
      </c>
      <c r="L2369" s="12">
        <v>0.62152777777777779</v>
      </c>
      <c r="M2369" t="s">
        <v>63</v>
      </c>
      <c r="N2369" s="3">
        <v>232</v>
      </c>
      <c r="O2369" t="s">
        <v>24</v>
      </c>
      <c r="P2369" t="s">
        <v>56</v>
      </c>
      <c r="R2369">
        <f>tblDailySchedule[[#This Row],[Capacity Approx]]*'[1]Load Factor Sheet June Acft  '!$B$5</f>
        <v>187.86727272727273</v>
      </c>
      <c r="S2369">
        <f>tblDailySchedule[[#This Row],[Capacity Approx]]*'[1]Load Factor Sheet June Acft  '!$D$5</f>
        <v>203.4218181818182</v>
      </c>
      <c r="T2369" s="22">
        <f>tblDailySchedule[[#This Row],[STD]]</f>
        <v>0.62152777777777779</v>
      </c>
    </row>
    <row r="2370" spans="1:20" hidden="1" x14ac:dyDescent="0.35">
      <c r="A2370" s="11">
        <v>46195</v>
      </c>
      <c r="B2370" s="3">
        <v>1</v>
      </c>
      <c r="C2370" t="s">
        <v>100</v>
      </c>
      <c r="D2370" t="s">
        <v>18</v>
      </c>
      <c r="E2370" s="3">
        <v>15</v>
      </c>
      <c r="F2370" t="s">
        <v>19</v>
      </c>
      <c r="G2370" t="s">
        <v>64</v>
      </c>
      <c r="H2370" t="s">
        <v>31</v>
      </c>
      <c r="I2370" s="12">
        <v>0.60069444444444442</v>
      </c>
      <c r="J2370" t="s">
        <v>65</v>
      </c>
      <c r="K2370" t="s">
        <v>66</v>
      </c>
      <c r="L2370" s="12">
        <v>0.62847222222222221</v>
      </c>
      <c r="M2370" t="s">
        <v>63</v>
      </c>
      <c r="N2370" s="3">
        <v>232</v>
      </c>
      <c r="O2370" t="s">
        <v>24</v>
      </c>
      <c r="P2370" t="s">
        <v>56</v>
      </c>
      <c r="R2370">
        <f>tblDailySchedule[[#This Row],[Capacity Approx]]*'[1]Load Factor Sheet June Acft  '!$B$5</f>
        <v>187.86727272727273</v>
      </c>
      <c r="S2370">
        <f>tblDailySchedule[[#This Row],[Capacity Approx]]*'[1]Load Factor Sheet June Acft  '!$D$5</f>
        <v>203.4218181818182</v>
      </c>
      <c r="T2370" s="22">
        <f>tblDailySchedule[[#This Row],[STD]]</f>
        <v>0.62847222222222221</v>
      </c>
    </row>
    <row r="2371" spans="1:20" hidden="1" x14ac:dyDescent="0.35">
      <c r="A2371" s="11">
        <v>46195</v>
      </c>
      <c r="B2371" s="3">
        <v>1</v>
      </c>
      <c r="C2371" t="s">
        <v>100</v>
      </c>
      <c r="D2371" t="s">
        <v>18</v>
      </c>
      <c r="E2371" s="3">
        <v>16</v>
      </c>
      <c r="F2371" t="s">
        <v>19</v>
      </c>
      <c r="G2371" t="s">
        <v>67</v>
      </c>
      <c r="H2371" t="s">
        <v>31</v>
      </c>
      <c r="I2371" s="12">
        <v>0.65625</v>
      </c>
      <c r="J2371" t="s">
        <v>68</v>
      </c>
      <c r="K2371" t="s">
        <v>31</v>
      </c>
      <c r="L2371" s="12">
        <v>0.68402777777777779</v>
      </c>
      <c r="M2371" t="s">
        <v>63</v>
      </c>
      <c r="N2371" s="3">
        <v>232</v>
      </c>
      <c r="O2371" t="s">
        <v>24</v>
      </c>
      <c r="P2371" t="s">
        <v>56</v>
      </c>
      <c r="R2371">
        <f>tblDailySchedule[[#This Row],[Capacity Approx]]*'[1]Load Factor Sheet June Acft  '!$B$5</f>
        <v>187.86727272727273</v>
      </c>
      <c r="S2371">
        <f>tblDailySchedule[[#This Row],[Capacity Approx]]*'[1]Load Factor Sheet June Acft  '!$D$5</f>
        <v>203.4218181818182</v>
      </c>
      <c r="T2371" s="22">
        <f>tblDailySchedule[[#This Row],[STD]]</f>
        <v>0.68402777777777779</v>
      </c>
    </row>
    <row r="2372" spans="1:20" hidden="1" x14ac:dyDescent="0.35">
      <c r="A2372" s="11">
        <v>46195</v>
      </c>
      <c r="B2372" s="3">
        <v>1</v>
      </c>
      <c r="C2372" t="s">
        <v>100</v>
      </c>
      <c r="D2372" t="s">
        <v>18</v>
      </c>
      <c r="E2372" s="3">
        <v>17</v>
      </c>
      <c r="F2372" t="s">
        <v>19</v>
      </c>
      <c r="G2372" t="s">
        <v>69</v>
      </c>
      <c r="H2372" t="s">
        <v>31</v>
      </c>
      <c r="I2372" s="12">
        <v>0.66319444444444442</v>
      </c>
      <c r="J2372" t="s">
        <v>70</v>
      </c>
      <c r="K2372" t="s">
        <v>31</v>
      </c>
      <c r="L2372" s="12">
        <v>0.69097222222222221</v>
      </c>
      <c r="M2372" t="s">
        <v>33</v>
      </c>
      <c r="N2372" s="3">
        <v>189</v>
      </c>
      <c r="O2372" t="s">
        <v>24</v>
      </c>
      <c r="P2372" t="s">
        <v>56</v>
      </c>
      <c r="R2372">
        <f>tblDailySchedule[[#This Row],[Capacity Approx]]*'[1]Load Factor Sheet June Acft  '!$B$5</f>
        <v>153.04704545454547</v>
      </c>
      <c r="S2372">
        <f>tblDailySchedule[[#This Row],[Capacity Approx]]*'[1]Load Factor Sheet June Acft  '!$D$5</f>
        <v>165.71863636363636</v>
      </c>
      <c r="T2372" s="22">
        <f>tblDailySchedule[[#This Row],[STD]]</f>
        <v>0.69097222222222221</v>
      </c>
    </row>
    <row r="2373" spans="1:20" hidden="1" x14ac:dyDescent="0.35">
      <c r="A2373" s="11">
        <v>46195</v>
      </c>
      <c r="B2373" s="3">
        <v>1</v>
      </c>
      <c r="C2373" t="s">
        <v>100</v>
      </c>
      <c r="D2373" t="s">
        <v>18</v>
      </c>
      <c r="E2373" s="3">
        <v>18</v>
      </c>
      <c r="F2373" t="s">
        <v>19</v>
      </c>
      <c r="G2373" t="s">
        <v>71</v>
      </c>
      <c r="H2373" t="s">
        <v>21</v>
      </c>
      <c r="I2373" s="12">
        <v>0.67013888888888884</v>
      </c>
      <c r="J2373" t="s">
        <v>72</v>
      </c>
      <c r="K2373" t="s">
        <v>21</v>
      </c>
      <c r="L2373" s="12">
        <v>0.69791666666666663</v>
      </c>
      <c r="M2373" t="s">
        <v>63</v>
      </c>
      <c r="N2373" s="3">
        <v>232</v>
      </c>
      <c r="O2373" t="s">
        <v>24</v>
      </c>
      <c r="P2373" t="s">
        <v>56</v>
      </c>
      <c r="R2373">
        <f>tblDailySchedule[[#This Row],[Capacity Approx]]*'[1]Load Factor Sheet June Acft  '!$B$5</f>
        <v>187.86727272727273</v>
      </c>
      <c r="S2373">
        <f>tblDailySchedule[[#This Row],[Capacity Approx]]*'[1]Load Factor Sheet June Acft  '!$D$5</f>
        <v>203.4218181818182</v>
      </c>
      <c r="T2373" s="22">
        <f>tblDailySchedule[[#This Row],[STD]]</f>
        <v>0.69791666666666663</v>
      </c>
    </row>
    <row r="2374" spans="1:20" hidden="1" x14ac:dyDescent="0.35">
      <c r="A2374" s="11">
        <v>46195</v>
      </c>
      <c r="B2374" s="3">
        <v>1</v>
      </c>
      <c r="C2374" t="s">
        <v>100</v>
      </c>
      <c r="D2374" t="s">
        <v>18</v>
      </c>
      <c r="E2374" s="3">
        <v>19</v>
      </c>
      <c r="F2374" t="s">
        <v>19</v>
      </c>
      <c r="G2374" t="s">
        <v>73</v>
      </c>
      <c r="H2374" t="s">
        <v>27</v>
      </c>
      <c r="I2374" s="12">
        <v>0.74652777777777779</v>
      </c>
      <c r="J2374" t="s">
        <v>74</v>
      </c>
      <c r="K2374" t="s">
        <v>27</v>
      </c>
      <c r="L2374" s="12">
        <v>0.77430555555555558</v>
      </c>
      <c r="M2374" t="s">
        <v>63</v>
      </c>
      <c r="N2374" s="3">
        <v>232</v>
      </c>
      <c r="O2374" t="s">
        <v>24</v>
      </c>
      <c r="P2374" t="s">
        <v>56</v>
      </c>
      <c r="R2374">
        <f>tblDailySchedule[[#This Row],[Capacity Approx]]*'[1]Load Factor Sheet June Acft  '!$B$5</f>
        <v>187.86727272727273</v>
      </c>
      <c r="S2374">
        <f>tblDailySchedule[[#This Row],[Capacity Approx]]*'[1]Load Factor Sheet June Acft  '!$D$5</f>
        <v>203.4218181818182</v>
      </c>
      <c r="T2374" s="22">
        <f>tblDailySchedule[[#This Row],[STD]]</f>
        <v>0.77430555555555558</v>
      </c>
    </row>
    <row r="2375" spans="1:20" hidden="1" x14ac:dyDescent="0.35">
      <c r="A2375" s="11">
        <v>46195</v>
      </c>
      <c r="B2375" s="3">
        <v>1</v>
      </c>
      <c r="C2375" t="s">
        <v>100</v>
      </c>
      <c r="D2375" t="s">
        <v>18</v>
      </c>
      <c r="E2375" s="3">
        <v>20</v>
      </c>
      <c r="F2375" t="s">
        <v>34</v>
      </c>
      <c r="G2375" t="s">
        <v>75</v>
      </c>
      <c r="H2375" t="s">
        <v>76</v>
      </c>
      <c r="I2375" s="12">
        <v>0.76388888888888884</v>
      </c>
      <c r="J2375" t="s">
        <v>77</v>
      </c>
      <c r="K2375" t="s">
        <v>78</v>
      </c>
      <c r="L2375" s="12">
        <v>0.78472222222222221</v>
      </c>
      <c r="M2375" t="s">
        <v>51</v>
      </c>
      <c r="N2375" s="3">
        <v>78</v>
      </c>
      <c r="O2375" t="s">
        <v>24</v>
      </c>
      <c r="P2375" t="s">
        <v>79</v>
      </c>
      <c r="Q2375" s="16" t="s">
        <v>80</v>
      </c>
      <c r="R2375">
        <f>tblDailySchedule[[#This Row],[Capacity Approx]]*'[1]Load Factor Sheet June Acft  '!$B$5</f>
        <v>63.162272727272729</v>
      </c>
      <c r="S2375">
        <f>tblDailySchedule[[#This Row],[Capacity Approx]]*'[1]Load Factor Sheet June Acft  '!$D$5</f>
        <v>68.391818181818181</v>
      </c>
      <c r="T2375" s="22">
        <f>tblDailySchedule[[#This Row],[STD]]</f>
        <v>0.78472222222222221</v>
      </c>
    </row>
    <row r="2376" spans="1:20" hidden="1" x14ac:dyDescent="0.35">
      <c r="A2376" s="11">
        <v>46195</v>
      </c>
      <c r="B2376" s="3">
        <v>1</v>
      </c>
      <c r="C2376" t="s">
        <v>100</v>
      </c>
      <c r="D2376" t="s">
        <v>18</v>
      </c>
      <c r="E2376" s="3">
        <v>21</v>
      </c>
      <c r="F2376" t="s">
        <v>19</v>
      </c>
      <c r="G2376" t="s">
        <v>81</v>
      </c>
      <c r="H2376" t="s">
        <v>61</v>
      </c>
      <c r="I2376" s="12">
        <v>0.77083333333333337</v>
      </c>
      <c r="J2376" t="s">
        <v>82</v>
      </c>
      <c r="K2376" t="s">
        <v>49</v>
      </c>
      <c r="L2376" s="12">
        <v>0.79166666666666663</v>
      </c>
      <c r="M2376" t="s">
        <v>33</v>
      </c>
      <c r="N2376" s="3">
        <v>189</v>
      </c>
      <c r="O2376" t="s">
        <v>24</v>
      </c>
      <c r="P2376" t="s">
        <v>79</v>
      </c>
      <c r="R2376">
        <f>tblDailySchedule[[#This Row],[Capacity Approx]]*'[1]Load Factor Sheet June Acft  '!$B$5</f>
        <v>153.04704545454547</v>
      </c>
      <c r="S2376">
        <f>tblDailySchedule[[#This Row],[Capacity Approx]]*'[1]Load Factor Sheet June Acft  '!$D$5</f>
        <v>165.71863636363636</v>
      </c>
      <c r="T2376" s="22">
        <f>tblDailySchedule[[#This Row],[STD]]</f>
        <v>0.79166666666666663</v>
      </c>
    </row>
    <row r="2377" spans="1:20" hidden="1" x14ac:dyDescent="0.35">
      <c r="A2377" s="11">
        <v>46195</v>
      </c>
      <c r="B2377" s="3">
        <v>1</v>
      </c>
      <c r="C2377" t="s">
        <v>100</v>
      </c>
      <c r="D2377" t="s">
        <v>18</v>
      </c>
      <c r="E2377" s="3">
        <v>22</v>
      </c>
      <c r="F2377" t="s">
        <v>19</v>
      </c>
      <c r="G2377" t="s">
        <v>83</v>
      </c>
      <c r="H2377" t="s">
        <v>31</v>
      </c>
      <c r="I2377" s="12">
        <v>0.77777777777777779</v>
      </c>
      <c r="J2377" t="s">
        <v>84</v>
      </c>
      <c r="K2377" t="s">
        <v>31</v>
      </c>
      <c r="L2377" s="12">
        <v>0.80555555555555558</v>
      </c>
      <c r="M2377" t="s">
        <v>63</v>
      </c>
      <c r="N2377" s="3">
        <v>232</v>
      </c>
      <c r="O2377" t="s">
        <v>24</v>
      </c>
      <c r="P2377" t="s">
        <v>79</v>
      </c>
      <c r="R2377">
        <f>tblDailySchedule[[#This Row],[Capacity Approx]]*'[1]Load Factor Sheet June Acft  '!$B$5</f>
        <v>187.86727272727273</v>
      </c>
      <c r="S2377">
        <f>tblDailySchedule[[#This Row],[Capacity Approx]]*'[1]Load Factor Sheet June Acft  '!$D$5</f>
        <v>203.4218181818182</v>
      </c>
      <c r="T2377" s="22">
        <f>tblDailySchedule[[#This Row],[STD]]</f>
        <v>0.80555555555555558</v>
      </c>
    </row>
    <row r="2378" spans="1:20" hidden="1" x14ac:dyDescent="0.35">
      <c r="A2378" s="11">
        <v>46195</v>
      </c>
      <c r="B2378" s="3">
        <v>1</v>
      </c>
      <c r="C2378" t="s">
        <v>100</v>
      </c>
      <c r="D2378" t="s">
        <v>18</v>
      </c>
      <c r="E2378" s="3">
        <v>23</v>
      </c>
      <c r="F2378" t="s">
        <v>19</v>
      </c>
      <c r="G2378" t="s">
        <v>85</v>
      </c>
      <c r="H2378" t="s">
        <v>86</v>
      </c>
      <c r="I2378" s="12">
        <v>0.79861111111111116</v>
      </c>
      <c r="J2378" t="s">
        <v>87</v>
      </c>
      <c r="K2378" t="s">
        <v>86</v>
      </c>
      <c r="L2378" s="12">
        <v>0.82638888888888884</v>
      </c>
      <c r="M2378" t="s">
        <v>63</v>
      </c>
      <c r="N2378" s="3">
        <v>232</v>
      </c>
      <c r="O2378" t="s">
        <v>24</v>
      </c>
      <c r="P2378" t="s">
        <v>79</v>
      </c>
      <c r="R2378">
        <f>tblDailySchedule[[#This Row],[Capacity Approx]]*'[1]Load Factor Sheet June Acft  '!$B$5</f>
        <v>187.86727272727273</v>
      </c>
      <c r="S2378">
        <f>tblDailySchedule[[#This Row],[Capacity Approx]]*'[1]Load Factor Sheet June Acft  '!$D$5</f>
        <v>203.4218181818182</v>
      </c>
      <c r="T2378" s="22">
        <f>tblDailySchedule[[#This Row],[STD]]</f>
        <v>0.82638888888888884</v>
      </c>
    </row>
    <row r="2379" spans="1:20" hidden="1" x14ac:dyDescent="0.35">
      <c r="A2379" s="11">
        <v>46195</v>
      </c>
      <c r="B2379" s="3">
        <v>1</v>
      </c>
      <c r="C2379" t="s">
        <v>100</v>
      </c>
      <c r="D2379" t="s">
        <v>18</v>
      </c>
      <c r="E2379" s="3">
        <v>24</v>
      </c>
      <c r="F2379" t="s">
        <v>19</v>
      </c>
      <c r="G2379" t="s">
        <v>88</v>
      </c>
      <c r="H2379" t="s">
        <v>89</v>
      </c>
      <c r="I2379" s="12">
        <v>0.83333333333333337</v>
      </c>
      <c r="J2379" t="s">
        <v>90</v>
      </c>
      <c r="K2379" t="s">
        <v>31</v>
      </c>
      <c r="L2379" s="12">
        <v>0.86111111111111116</v>
      </c>
      <c r="M2379" t="s">
        <v>63</v>
      </c>
      <c r="N2379" s="3">
        <v>232</v>
      </c>
      <c r="O2379" t="s">
        <v>24</v>
      </c>
      <c r="P2379" t="s">
        <v>79</v>
      </c>
      <c r="R2379">
        <f>tblDailySchedule[[#This Row],[Capacity Approx]]*'[1]Load Factor Sheet June Acft  '!$B$5</f>
        <v>187.86727272727273</v>
      </c>
      <c r="S2379">
        <f>tblDailySchedule[[#This Row],[Capacity Approx]]*'[1]Load Factor Sheet June Acft  '!$D$5</f>
        <v>203.4218181818182</v>
      </c>
      <c r="T2379" s="22">
        <f>tblDailySchedule[[#This Row],[STD]]</f>
        <v>0.86111111111111116</v>
      </c>
    </row>
    <row r="2380" spans="1:20" hidden="1" x14ac:dyDescent="0.35">
      <c r="A2380" s="11">
        <v>46195</v>
      </c>
      <c r="B2380" s="3">
        <v>1</v>
      </c>
      <c r="C2380" t="s">
        <v>100</v>
      </c>
      <c r="D2380" t="s">
        <v>18</v>
      </c>
      <c r="E2380" s="3">
        <v>25</v>
      </c>
      <c r="F2380" t="s">
        <v>19</v>
      </c>
      <c r="G2380" t="s">
        <v>91</v>
      </c>
      <c r="H2380" t="s">
        <v>61</v>
      </c>
      <c r="I2380" s="12">
        <v>0.85416666666666663</v>
      </c>
      <c r="J2380" t="s">
        <v>92</v>
      </c>
      <c r="K2380" t="s">
        <v>61</v>
      </c>
      <c r="L2380" s="12">
        <v>0.88194444444444442</v>
      </c>
      <c r="M2380" t="s">
        <v>63</v>
      </c>
      <c r="N2380" s="3">
        <v>232</v>
      </c>
      <c r="O2380" t="s">
        <v>24</v>
      </c>
      <c r="P2380" t="s">
        <v>79</v>
      </c>
      <c r="R2380">
        <f>tblDailySchedule[[#This Row],[Capacity Approx]]*'[1]Load Factor Sheet June Acft  '!$B$5</f>
        <v>187.86727272727273</v>
      </c>
      <c r="S2380">
        <f>tblDailySchedule[[#This Row],[Capacity Approx]]*'[1]Load Factor Sheet June Acft  '!$D$5</f>
        <v>203.4218181818182</v>
      </c>
      <c r="T2380" s="22">
        <f>tblDailySchedule[[#This Row],[STD]]</f>
        <v>0.88194444444444442</v>
      </c>
    </row>
    <row r="2381" spans="1:20" hidden="1" x14ac:dyDescent="0.35">
      <c r="A2381" s="11">
        <v>46195</v>
      </c>
      <c r="B2381" s="3">
        <v>1</v>
      </c>
      <c r="C2381" t="s">
        <v>100</v>
      </c>
      <c r="D2381" t="s">
        <v>18</v>
      </c>
      <c r="E2381" s="3">
        <v>26</v>
      </c>
      <c r="F2381" t="s">
        <v>19</v>
      </c>
      <c r="G2381" t="s">
        <v>93</v>
      </c>
      <c r="H2381" t="s">
        <v>31</v>
      </c>
      <c r="I2381" s="12">
        <v>0.86111111111111116</v>
      </c>
      <c r="J2381" t="s">
        <v>94</v>
      </c>
      <c r="K2381" t="s">
        <v>31</v>
      </c>
      <c r="L2381" s="12">
        <v>0.88888888888888884</v>
      </c>
      <c r="M2381" t="s">
        <v>23</v>
      </c>
      <c r="N2381" s="3">
        <v>186</v>
      </c>
      <c r="O2381" t="s">
        <v>24</v>
      </c>
      <c r="P2381" t="s">
        <v>79</v>
      </c>
      <c r="R2381">
        <f>tblDailySchedule[[#This Row],[Capacity Approx]]*'[1]Load Factor Sheet June Acft  '!$B$5</f>
        <v>150.61772727272728</v>
      </c>
      <c r="S2381">
        <f>tblDailySchedule[[#This Row],[Capacity Approx]]*'[1]Load Factor Sheet June Acft  '!$D$5</f>
        <v>163.08818181818182</v>
      </c>
      <c r="T2381" s="22">
        <f>tblDailySchedule[[#This Row],[STD]]</f>
        <v>0.88888888888888884</v>
      </c>
    </row>
    <row r="2382" spans="1:20" hidden="1" x14ac:dyDescent="0.35">
      <c r="A2382" s="11">
        <v>46195</v>
      </c>
      <c r="B2382" s="3">
        <v>1</v>
      </c>
      <c r="C2382" t="s">
        <v>100</v>
      </c>
      <c r="D2382" t="s">
        <v>18</v>
      </c>
      <c r="E2382" s="3">
        <v>27</v>
      </c>
      <c r="F2382" t="s">
        <v>19</v>
      </c>
      <c r="G2382" t="s">
        <v>95</v>
      </c>
      <c r="H2382" t="s">
        <v>21</v>
      </c>
      <c r="I2382" s="12">
        <v>0.86805555555555558</v>
      </c>
      <c r="J2382" t="s">
        <v>96</v>
      </c>
      <c r="K2382" t="s">
        <v>21</v>
      </c>
      <c r="L2382" s="12">
        <v>0.89583333333333337</v>
      </c>
      <c r="M2382" t="s">
        <v>29</v>
      </c>
      <c r="N2382" s="3">
        <v>186</v>
      </c>
      <c r="O2382" t="s">
        <v>24</v>
      </c>
      <c r="P2382" t="s">
        <v>79</v>
      </c>
      <c r="R2382">
        <f>tblDailySchedule[[#This Row],[Capacity Approx]]*'[1]Load Factor Sheet June Acft  '!$B$5</f>
        <v>150.61772727272728</v>
      </c>
      <c r="S2382">
        <f>tblDailySchedule[[#This Row],[Capacity Approx]]*'[1]Load Factor Sheet June Acft  '!$D$5</f>
        <v>163.08818181818182</v>
      </c>
      <c r="T2382" s="22">
        <f>tblDailySchedule[[#This Row],[STD]]</f>
        <v>0.89583333333333337</v>
      </c>
    </row>
    <row r="2383" spans="1:20" hidden="1" x14ac:dyDescent="0.35">
      <c r="A2383" s="11">
        <v>46195</v>
      </c>
      <c r="B2383" s="3">
        <v>1</v>
      </c>
      <c r="C2383" t="s">
        <v>100</v>
      </c>
      <c r="D2383" t="s">
        <v>18</v>
      </c>
      <c r="E2383" s="3">
        <v>28</v>
      </c>
      <c r="F2383" t="s">
        <v>19</v>
      </c>
      <c r="G2383" t="s">
        <v>97</v>
      </c>
      <c r="H2383" t="s">
        <v>49</v>
      </c>
      <c r="I2383" s="12">
        <v>0.90277777777777779</v>
      </c>
      <c r="J2383" t="s">
        <v>97</v>
      </c>
      <c r="K2383" t="s">
        <v>61</v>
      </c>
      <c r="L2383" s="12">
        <v>0.92361111111111116</v>
      </c>
      <c r="M2383" t="s">
        <v>33</v>
      </c>
      <c r="N2383" s="3">
        <v>189</v>
      </c>
      <c r="O2383" t="s">
        <v>24</v>
      </c>
      <c r="P2383" t="s">
        <v>79</v>
      </c>
      <c r="R2383">
        <f>tblDailySchedule[[#This Row],[Capacity Approx]]*'[1]Load Factor Sheet June Acft  '!$B$5</f>
        <v>153.04704545454547</v>
      </c>
      <c r="S2383">
        <f>tblDailySchedule[[#This Row],[Capacity Approx]]*'[1]Load Factor Sheet June Acft  '!$D$5</f>
        <v>165.71863636363636</v>
      </c>
      <c r="T2383" s="22">
        <f>tblDailySchedule[[#This Row],[STD]]</f>
        <v>0.92361111111111116</v>
      </c>
    </row>
    <row r="2384" spans="1:20" hidden="1" x14ac:dyDescent="0.35">
      <c r="A2384" s="11">
        <v>46195</v>
      </c>
      <c r="B2384" s="3">
        <v>1</v>
      </c>
      <c r="C2384" t="s">
        <v>100</v>
      </c>
      <c r="D2384" t="s">
        <v>18</v>
      </c>
      <c r="E2384" s="3">
        <v>29</v>
      </c>
      <c r="F2384" t="s">
        <v>19</v>
      </c>
      <c r="G2384" t="s">
        <v>98</v>
      </c>
      <c r="H2384" t="s">
        <v>21</v>
      </c>
      <c r="I2384" s="12">
        <v>0.92013888888888884</v>
      </c>
      <c r="J2384" t="s">
        <v>99</v>
      </c>
      <c r="K2384" t="s">
        <v>21</v>
      </c>
      <c r="L2384" s="12">
        <v>0.94791666666666663</v>
      </c>
      <c r="M2384" t="s">
        <v>63</v>
      </c>
      <c r="N2384" s="3">
        <v>232</v>
      </c>
      <c r="O2384" t="s">
        <v>24</v>
      </c>
      <c r="P2384" t="s">
        <v>79</v>
      </c>
      <c r="R2384">
        <f>tblDailySchedule[[#This Row],[Capacity Approx]]*'[1]Load Factor Sheet June Acft  '!$B$5</f>
        <v>187.86727272727273</v>
      </c>
      <c r="S2384">
        <f>tblDailySchedule[[#This Row],[Capacity Approx]]*'[1]Load Factor Sheet June Acft  '!$D$5</f>
        <v>203.4218181818182</v>
      </c>
      <c r="T2384" s="22">
        <f>tblDailySchedule[[#This Row],[STD]]</f>
        <v>0.94791666666666663</v>
      </c>
    </row>
    <row r="2385" spans="1:20" hidden="1" x14ac:dyDescent="0.35">
      <c r="A2385" s="13">
        <v>46195</v>
      </c>
      <c r="B2385" s="7">
        <v>1</v>
      </c>
      <c r="C2385" s="14" t="s">
        <v>100</v>
      </c>
      <c r="D2385" s="14" t="s">
        <v>18</v>
      </c>
      <c r="E2385" s="7">
        <v>30</v>
      </c>
      <c r="F2385" s="14" t="s">
        <v>104</v>
      </c>
      <c r="G2385" s="14" t="s">
        <v>105</v>
      </c>
      <c r="H2385" s="14" t="s">
        <v>106</v>
      </c>
      <c r="I2385" s="15">
        <v>0.92708333333333337</v>
      </c>
      <c r="J2385" s="14" t="s">
        <v>107</v>
      </c>
      <c r="K2385" s="14" t="s">
        <v>106</v>
      </c>
      <c r="L2385" s="15">
        <v>0.95833333333333337</v>
      </c>
      <c r="M2385" s="14" t="s">
        <v>38</v>
      </c>
      <c r="N2385" s="7">
        <v>186</v>
      </c>
      <c r="O2385" s="14" t="s">
        <v>39</v>
      </c>
      <c r="P2385" s="14" t="s">
        <v>79</v>
      </c>
      <c r="Q2385" s="14" t="s">
        <v>39</v>
      </c>
      <c r="R2385">
        <f>tblDailySchedule[[#This Row],[Capacity Approx]]*'[1]Load Factor Sheet June Acft  '!$B$5</f>
        <v>150.61772727272728</v>
      </c>
      <c r="S2385">
        <f>tblDailySchedule[[#This Row],[Capacity Approx]]*'[1]Load Factor Sheet June Acft  '!$D$5</f>
        <v>163.08818181818182</v>
      </c>
      <c r="T2385" s="22">
        <f>tblDailySchedule[[#This Row],[STD]]</f>
        <v>0.95833333333333337</v>
      </c>
    </row>
    <row r="2386" spans="1:20" hidden="1" x14ac:dyDescent="0.35">
      <c r="A2386" s="11">
        <v>46196</v>
      </c>
      <c r="B2386" s="3">
        <v>2</v>
      </c>
      <c r="C2386" t="s">
        <v>108</v>
      </c>
      <c r="D2386" t="s">
        <v>18</v>
      </c>
      <c r="E2386" s="3">
        <v>1</v>
      </c>
      <c r="F2386" t="s">
        <v>101</v>
      </c>
      <c r="G2386" t="s">
        <v>102</v>
      </c>
      <c r="H2386" t="s">
        <v>61</v>
      </c>
      <c r="I2386" s="12">
        <v>0.3125</v>
      </c>
      <c r="J2386" t="s">
        <v>103</v>
      </c>
      <c r="K2386" t="s">
        <v>61</v>
      </c>
      <c r="L2386" s="12">
        <v>0.33333333333333331</v>
      </c>
      <c r="M2386" t="s">
        <v>33</v>
      </c>
      <c r="N2386" s="3">
        <v>189</v>
      </c>
      <c r="O2386" t="s">
        <v>24</v>
      </c>
      <c r="P2386" t="s">
        <v>25</v>
      </c>
      <c r="R2386">
        <f>tblDailySchedule[[#This Row],[Capacity Approx]]*'[1]Load Factor Sheet June Acft  '!$B$5</f>
        <v>153.04704545454547</v>
      </c>
      <c r="S2386">
        <f>tblDailySchedule[[#This Row],[Capacity Approx]]*'[1]Load Factor Sheet June Acft  '!$D$5</f>
        <v>165.71863636363636</v>
      </c>
      <c r="T2386" s="22">
        <f>tblDailySchedule[[#This Row],[STD]]</f>
        <v>0.33333333333333331</v>
      </c>
    </row>
    <row r="2387" spans="1:20" hidden="1" x14ac:dyDescent="0.35">
      <c r="A2387" s="11">
        <v>46196</v>
      </c>
      <c r="B2387" s="3">
        <v>2</v>
      </c>
      <c r="C2387" t="s">
        <v>108</v>
      </c>
      <c r="D2387" t="s">
        <v>18</v>
      </c>
      <c r="E2387" s="3">
        <v>2</v>
      </c>
      <c r="F2387" t="s">
        <v>19</v>
      </c>
      <c r="G2387" t="s">
        <v>20</v>
      </c>
      <c r="H2387" t="s">
        <v>21</v>
      </c>
      <c r="I2387" s="12">
        <v>0.31944444444444442</v>
      </c>
      <c r="J2387" t="s">
        <v>22</v>
      </c>
      <c r="K2387" t="s">
        <v>21</v>
      </c>
      <c r="L2387" s="12">
        <v>0.34722222222222221</v>
      </c>
      <c r="M2387" t="s">
        <v>23</v>
      </c>
      <c r="N2387" s="3">
        <v>186</v>
      </c>
      <c r="O2387" t="s">
        <v>24</v>
      </c>
      <c r="P2387" t="s">
        <v>25</v>
      </c>
      <c r="R2387">
        <f>tblDailySchedule[[#This Row],[Capacity Approx]]*'[1]Load Factor Sheet June Acft  '!$B$5</f>
        <v>150.61772727272728</v>
      </c>
      <c r="S2387">
        <f>tblDailySchedule[[#This Row],[Capacity Approx]]*'[1]Load Factor Sheet June Acft  '!$D$5</f>
        <v>163.08818181818182</v>
      </c>
      <c r="T2387" s="22">
        <f>tblDailySchedule[[#This Row],[STD]]</f>
        <v>0.34722222222222221</v>
      </c>
    </row>
    <row r="2388" spans="1:20" hidden="1" x14ac:dyDescent="0.35">
      <c r="A2388" s="11">
        <v>46196</v>
      </c>
      <c r="B2388" s="3">
        <v>2</v>
      </c>
      <c r="C2388" t="s">
        <v>108</v>
      </c>
      <c r="D2388" t="s">
        <v>18</v>
      </c>
      <c r="E2388" s="3">
        <v>3</v>
      </c>
      <c r="F2388" t="s">
        <v>19</v>
      </c>
      <c r="G2388" t="s">
        <v>26</v>
      </c>
      <c r="H2388" t="s">
        <v>27</v>
      </c>
      <c r="I2388" s="12">
        <v>0.3263888888888889</v>
      </c>
      <c r="J2388" t="s">
        <v>28</v>
      </c>
      <c r="K2388" t="s">
        <v>27</v>
      </c>
      <c r="L2388" s="12">
        <v>0.35416666666666669</v>
      </c>
      <c r="M2388" t="s">
        <v>29</v>
      </c>
      <c r="N2388" s="3">
        <v>186</v>
      </c>
      <c r="O2388" t="s">
        <v>24</v>
      </c>
      <c r="P2388" t="s">
        <v>25</v>
      </c>
      <c r="R2388">
        <f>tblDailySchedule[[#This Row],[Capacity Approx]]*'[1]Load Factor Sheet June Acft  '!$B$5</f>
        <v>150.61772727272728</v>
      </c>
      <c r="S2388">
        <f>tblDailySchedule[[#This Row],[Capacity Approx]]*'[1]Load Factor Sheet June Acft  '!$D$5</f>
        <v>163.08818181818182</v>
      </c>
      <c r="T2388" s="22">
        <f>tblDailySchedule[[#This Row],[STD]]</f>
        <v>0.35416666666666669</v>
      </c>
    </row>
    <row r="2389" spans="1:20" hidden="1" x14ac:dyDescent="0.35">
      <c r="A2389" s="11">
        <v>46196</v>
      </c>
      <c r="B2389" s="3">
        <v>2</v>
      </c>
      <c r="C2389" t="s">
        <v>108</v>
      </c>
      <c r="D2389" t="s">
        <v>18</v>
      </c>
      <c r="E2389" s="3">
        <v>4</v>
      </c>
      <c r="F2389" t="s">
        <v>19</v>
      </c>
      <c r="G2389" t="s">
        <v>30</v>
      </c>
      <c r="H2389" t="s">
        <v>31</v>
      </c>
      <c r="I2389" s="12">
        <v>0.34722222222222221</v>
      </c>
      <c r="J2389" t="s">
        <v>32</v>
      </c>
      <c r="K2389" t="s">
        <v>31</v>
      </c>
      <c r="L2389" s="12">
        <v>0.36805555555555558</v>
      </c>
      <c r="M2389" t="s">
        <v>33</v>
      </c>
      <c r="N2389" s="3">
        <v>189</v>
      </c>
      <c r="O2389" t="s">
        <v>24</v>
      </c>
      <c r="P2389" t="s">
        <v>25</v>
      </c>
      <c r="R2389">
        <f>tblDailySchedule[[#This Row],[Capacity Approx]]*'[1]Load Factor Sheet June Acft  '!$B$5</f>
        <v>153.04704545454547</v>
      </c>
      <c r="S2389">
        <f>tblDailySchedule[[#This Row],[Capacity Approx]]*'[1]Load Factor Sheet June Acft  '!$D$5</f>
        <v>165.71863636363636</v>
      </c>
      <c r="T2389" s="22">
        <f>tblDailySchedule[[#This Row],[STD]]</f>
        <v>0.36805555555555558</v>
      </c>
    </row>
    <row r="2390" spans="1:20" hidden="1" x14ac:dyDescent="0.35">
      <c r="A2390" s="11">
        <v>46196</v>
      </c>
      <c r="B2390" s="3">
        <v>2</v>
      </c>
      <c r="C2390" t="s">
        <v>108</v>
      </c>
      <c r="D2390" t="s">
        <v>18</v>
      </c>
      <c r="E2390" s="3">
        <v>5</v>
      </c>
      <c r="F2390" t="s">
        <v>19</v>
      </c>
      <c r="G2390" t="s">
        <v>40</v>
      </c>
      <c r="H2390" t="s">
        <v>31</v>
      </c>
      <c r="I2390" s="12">
        <v>0.35069444444444442</v>
      </c>
      <c r="J2390" t="s">
        <v>41</v>
      </c>
      <c r="K2390" t="s">
        <v>31</v>
      </c>
      <c r="L2390" s="12">
        <v>0.37152777777777779</v>
      </c>
      <c r="M2390" t="s">
        <v>23</v>
      </c>
      <c r="N2390" s="3">
        <v>186</v>
      </c>
      <c r="O2390" t="s">
        <v>24</v>
      </c>
      <c r="P2390" t="s">
        <v>25</v>
      </c>
      <c r="R2390">
        <f>tblDailySchedule[[#This Row],[Capacity Approx]]*'[1]Load Factor Sheet June Acft  '!$B$5</f>
        <v>150.61772727272728</v>
      </c>
      <c r="S2390">
        <f>tblDailySchedule[[#This Row],[Capacity Approx]]*'[1]Load Factor Sheet June Acft  '!$D$5</f>
        <v>163.08818181818182</v>
      </c>
      <c r="T2390" s="22">
        <f>tblDailySchedule[[#This Row],[STD]]</f>
        <v>0.37152777777777779</v>
      </c>
    </row>
    <row r="2391" spans="1:20" hidden="1" x14ac:dyDescent="0.35">
      <c r="A2391" s="11">
        <v>46196</v>
      </c>
      <c r="B2391" s="3">
        <v>2</v>
      </c>
      <c r="C2391" t="s">
        <v>108</v>
      </c>
      <c r="D2391" t="s">
        <v>18</v>
      </c>
      <c r="E2391" s="3">
        <v>7</v>
      </c>
      <c r="F2391" t="s">
        <v>19</v>
      </c>
      <c r="G2391" t="s">
        <v>42</v>
      </c>
      <c r="H2391" t="s">
        <v>43</v>
      </c>
      <c r="I2391" s="12">
        <v>0.3923611111111111</v>
      </c>
      <c r="J2391" t="s">
        <v>44</v>
      </c>
      <c r="K2391" t="s">
        <v>43</v>
      </c>
      <c r="L2391" s="12">
        <v>0.40277777777777779</v>
      </c>
      <c r="M2391" t="s">
        <v>45</v>
      </c>
      <c r="N2391" s="3">
        <v>9</v>
      </c>
      <c r="O2391" t="s">
        <v>24</v>
      </c>
      <c r="P2391" t="s">
        <v>25</v>
      </c>
      <c r="R2391">
        <f>tblDailySchedule[[#This Row],[Capacity Approx]]*'[1]Load Factor Sheet June Acft  '!$B$5</f>
        <v>7.2879545454545456</v>
      </c>
      <c r="S2391">
        <f>tblDailySchedule[[#This Row],[Capacity Approx]]*'[1]Load Factor Sheet June Acft  '!$D$5</f>
        <v>7.8913636363636366</v>
      </c>
      <c r="T2391" s="22">
        <f>tblDailySchedule[[#This Row],[STD]]</f>
        <v>0.40277777777777779</v>
      </c>
    </row>
    <row r="2392" spans="1:20" hidden="1" x14ac:dyDescent="0.35">
      <c r="A2392" s="11">
        <v>46196</v>
      </c>
      <c r="B2392" s="3">
        <v>2</v>
      </c>
      <c r="C2392" t="s">
        <v>108</v>
      </c>
      <c r="D2392" t="s">
        <v>18</v>
      </c>
      <c r="E2392" s="3">
        <v>8</v>
      </c>
      <c r="F2392" t="s">
        <v>19</v>
      </c>
      <c r="G2392" t="s">
        <v>46</v>
      </c>
      <c r="H2392" t="s">
        <v>31</v>
      </c>
      <c r="I2392" s="12">
        <v>0.4201388888888889</v>
      </c>
      <c r="J2392" t="s">
        <v>47</v>
      </c>
      <c r="K2392" t="s">
        <v>31</v>
      </c>
      <c r="L2392" s="12">
        <v>0.44444444444444442</v>
      </c>
      <c r="M2392" t="s">
        <v>29</v>
      </c>
      <c r="N2392" s="3">
        <v>186</v>
      </c>
      <c r="O2392" t="s">
        <v>24</v>
      </c>
      <c r="P2392" t="s">
        <v>25</v>
      </c>
      <c r="R2392">
        <f>tblDailySchedule[[#This Row],[Capacity Approx]]*'[1]Load Factor Sheet June Acft  '!$B$5</f>
        <v>150.61772727272728</v>
      </c>
      <c r="S2392">
        <f>tblDailySchedule[[#This Row],[Capacity Approx]]*'[1]Load Factor Sheet June Acft  '!$D$5</f>
        <v>163.08818181818182</v>
      </c>
      <c r="T2392" s="22">
        <f>tblDailySchedule[[#This Row],[STD]]</f>
        <v>0.44444444444444442</v>
      </c>
    </row>
    <row r="2393" spans="1:20" hidden="1" x14ac:dyDescent="0.35">
      <c r="A2393" s="11">
        <v>46196</v>
      </c>
      <c r="B2393" s="3">
        <v>2</v>
      </c>
      <c r="C2393" t="s">
        <v>108</v>
      </c>
      <c r="D2393" t="s">
        <v>18</v>
      </c>
      <c r="E2393" s="3">
        <v>9</v>
      </c>
      <c r="F2393" t="s">
        <v>19</v>
      </c>
      <c r="G2393" t="s">
        <v>48</v>
      </c>
      <c r="H2393" t="s">
        <v>49</v>
      </c>
      <c r="I2393" s="12">
        <v>0.4375</v>
      </c>
      <c r="J2393" t="s">
        <v>50</v>
      </c>
      <c r="K2393" t="s">
        <v>49</v>
      </c>
      <c r="L2393" s="12">
        <v>0.45833333333333331</v>
      </c>
      <c r="M2393" t="s">
        <v>51</v>
      </c>
      <c r="N2393" s="3">
        <v>78</v>
      </c>
      <c r="O2393" t="s">
        <v>24</v>
      </c>
      <c r="P2393" t="s">
        <v>25</v>
      </c>
      <c r="R2393">
        <f>tblDailySchedule[[#This Row],[Capacity Approx]]*'[1]Load Factor Sheet June Acft  '!$B$5</f>
        <v>63.162272727272729</v>
      </c>
      <c r="S2393">
        <f>tblDailySchedule[[#This Row],[Capacity Approx]]*'[1]Load Factor Sheet June Acft  '!$D$5</f>
        <v>68.391818181818181</v>
      </c>
      <c r="T2393" s="22">
        <f>tblDailySchedule[[#This Row],[STD]]</f>
        <v>0.45833333333333331</v>
      </c>
    </row>
    <row r="2394" spans="1:20" hidden="1" x14ac:dyDescent="0.35">
      <c r="A2394" s="11">
        <v>46196</v>
      </c>
      <c r="B2394" s="3">
        <v>2</v>
      </c>
      <c r="C2394" t="s">
        <v>108</v>
      </c>
      <c r="D2394" t="s">
        <v>18</v>
      </c>
      <c r="E2394" s="3">
        <v>10</v>
      </c>
      <c r="F2394" t="s">
        <v>19</v>
      </c>
      <c r="G2394" t="s">
        <v>52</v>
      </c>
      <c r="H2394" t="s">
        <v>27</v>
      </c>
      <c r="I2394" s="12">
        <v>0.4826388888888889</v>
      </c>
      <c r="J2394" t="s">
        <v>53</v>
      </c>
      <c r="K2394" t="s">
        <v>27</v>
      </c>
      <c r="L2394" s="12">
        <v>0.51041666666666663</v>
      </c>
      <c r="M2394" t="s">
        <v>23</v>
      </c>
      <c r="N2394" s="3">
        <v>186</v>
      </c>
      <c r="O2394" t="s">
        <v>24</v>
      </c>
      <c r="P2394" t="s">
        <v>25</v>
      </c>
      <c r="R2394">
        <f>tblDailySchedule[[#This Row],[Capacity Approx]]*'[1]Load Factor Sheet June Acft  '!$B$5</f>
        <v>150.61772727272728</v>
      </c>
      <c r="S2394">
        <f>tblDailySchedule[[#This Row],[Capacity Approx]]*'[1]Load Factor Sheet June Acft  '!$D$5</f>
        <v>163.08818181818182</v>
      </c>
      <c r="T2394" s="22">
        <f>tblDailySchedule[[#This Row],[STD]]</f>
        <v>0.51041666666666663</v>
      </c>
    </row>
    <row r="2395" spans="1:20" hidden="1" x14ac:dyDescent="0.35">
      <c r="A2395" s="11">
        <v>46196</v>
      </c>
      <c r="B2395" s="3">
        <v>2</v>
      </c>
      <c r="C2395" t="s">
        <v>108</v>
      </c>
      <c r="D2395" t="s">
        <v>18</v>
      </c>
      <c r="E2395" s="3">
        <v>11</v>
      </c>
      <c r="F2395" t="s">
        <v>19</v>
      </c>
      <c r="G2395" t="s">
        <v>54</v>
      </c>
      <c r="H2395" t="s">
        <v>31</v>
      </c>
      <c r="I2395" s="12">
        <v>0.51388888888888884</v>
      </c>
      <c r="J2395" t="s">
        <v>55</v>
      </c>
      <c r="K2395" t="s">
        <v>31</v>
      </c>
      <c r="L2395" s="12">
        <v>0.54166666666666663</v>
      </c>
      <c r="M2395" t="s">
        <v>23</v>
      </c>
      <c r="N2395" s="3">
        <v>186</v>
      </c>
      <c r="O2395" t="s">
        <v>24</v>
      </c>
      <c r="P2395" t="s">
        <v>56</v>
      </c>
      <c r="R2395">
        <f>tblDailySchedule[[#This Row],[Capacity Approx]]*'[1]Load Factor Sheet June Acft  '!$B$5</f>
        <v>150.61772727272728</v>
      </c>
      <c r="S2395">
        <f>tblDailySchedule[[#This Row],[Capacity Approx]]*'[1]Load Factor Sheet June Acft  '!$D$5</f>
        <v>163.08818181818182</v>
      </c>
      <c r="T2395" s="22">
        <f>tblDailySchedule[[#This Row],[STD]]</f>
        <v>0.54166666666666663</v>
      </c>
    </row>
    <row r="2396" spans="1:20" hidden="1" x14ac:dyDescent="0.35">
      <c r="A2396" s="11">
        <v>46196</v>
      </c>
      <c r="B2396" s="3">
        <v>2</v>
      </c>
      <c r="C2396" t="s">
        <v>108</v>
      </c>
      <c r="D2396" t="s">
        <v>18</v>
      </c>
      <c r="E2396" s="3">
        <v>12</v>
      </c>
      <c r="F2396" t="s">
        <v>109</v>
      </c>
      <c r="G2396" t="s">
        <v>110</v>
      </c>
      <c r="H2396" t="s">
        <v>111</v>
      </c>
      <c r="I2396" s="12">
        <v>0.55555555555555558</v>
      </c>
      <c r="J2396" t="s">
        <v>112</v>
      </c>
      <c r="K2396" t="s">
        <v>111</v>
      </c>
      <c r="L2396" s="12">
        <v>0.56944444444444442</v>
      </c>
      <c r="M2396" t="s">
        <v>51</v>
      </c>
      <c r="N2396" s="3">
        <v>78</v>
      </c>
      <c r="O2396" t="s">
        <v>24</v>
      </c>
      <c r="P2396" t="s">
        <v>56</v>
      </c>
      <c r="R2396">
        <f>tblDailySchedule[[#This Row],[Capacity Approx]]*'[1]Load Factor Sheet June Acft  '!$B$5</f>
        <v>63.162272727272729</v>
      </c>
      <c r="S2396">
        <f>tblDailySchedule[[#This Row],[Capacity Approx]]*'[1]Load Factor Sheet June Acft  '!$D$5</f>
        <v>68.391818181818181</v>
      </c>
      <c r="T2396" s="22">
        <f>tblDailySchedule[[#This Row],[STD]]</f>
        <v>0.56944444444444442</v>
      </c>
    </row>
    <row r="2397" spans="1:20" hidden="1" x14ac:dyDescent="0.35">
      <c r="A2397" s="11">
        <v>46196</v>
      </c>
      <c r="B2397" s="3">
        <v>2</v>
      </c>
      <c r="C2397" t="s">
        <v>108</v>
      </c>
      <c r="D2397" t="s">
        <v>18</v>
      </c>
      <c r="E2397" s="3">
        <v>13</v>
      </c>
      <c r="F2397" t="s">
        <v>19</v>
      </c>
      <c r="G2397" t="s">
        <v>57</v>
      </c>
      <c r="H2397" t="s">
        <v>58</v>
      </c>
      <c r="I2397" s="12">
        <v>0.55902777777777779</v>
      </c>
      <c r="J2397" t="s">
        <v>59</v>
      </c>
      <c r="K2397" t="s">
        <v>58</v>
      </c>
      <c r="L2397" s="12">
        <v>0.57638888888888884</v>
      </c>
      <c r="M2397" t="s">
        <v>51</v>
      </c>
      <c r="N2397" s="3">
        <v>78</v>
      </c>
      <c r="O2397" t="s">
        <v>24</v>
      </c>
      <c r="P2397" t="s">
        <v>56</v>
      </c>
      <c r="R2397">
        <f>tblDailySchedule[[#This Row],[Capacity Approx]]*'[1]Load Factor Sheet June Acft  '!$B$5</f>
        <v>63.162272727272729</v>
      </c>
      <c r="S2397">
        <f>tblDailySchedule[[#This Row],[Capacity Approx]]*'[1]Load Factor Sheet June Acft  '!$D$5</f>
        <v>68.391818181818181</v>
      </c>
      <c r="T2397" s="22">
        <f>tblDailySchedule[[#This Row],[STD]]</f>
        <v>0.57638888888888884</v>
      </c>
    </row>
    <row r="2398" spans="1:20" hidden="1" x14ac:dyDescent="0.35">
      <c r="A2398" s="11">
        <v>46196</v>
      </c>
      <c r="B2398" s="3">
        <v>2</v>
      </c>
      <c r="C2398" t="s">
        <v>108</v>
      </c>
      <c r="D2398" t="s">
        <v>18</v>
      </c>
      <c r="E2398" s="3">
        <v>14</v>
      </c>
      <c r="F2398" t="s">
        <v>19</v>
      </c>
      <c r="G2398" t="s">
        <v>60</v>
      </c>
      <c r="H2398" t="s">
        <v>61</v>
      </c>
      <c r="I2398" s="12">
        <v>0.59027777777777779</v>
      </c>
      <c r="J2398" t="s">
        <v>62</v>
      </c>
      <c r="K2398" t="s">
        <v>61</v>
      </c>
      <c r="L2398" s="12">
        <v>0.62152777777777779</v>
      </c>
      <c r="M2398" t="s">
        <v>63</v>
      </c>
      <c r="N2398" s="3">
        <v>232</v>
      </c>
      <c r="O2398" t="s">
        <v>24</v>
      </c>
      <c r="P2398" t="s">
        <v>56</v>
      </c>
      <c r="R2398">
        <f>tblDailySchedule[[#This Row],[Capacity Approx]]*'[1]Load Factor Sheet June Acft  '!$B$5</f>
        <v>187.86727272727273</v>
      </c>
      <c r="S2398">
        <f>tblDailySchedule[[#This Row],[Capacity Approx]]*'[1]Load Factor Sheet June Acft  '!$D$5</f>
        <v>203.4218181818182</v>
      </c>
      <c r="T2398" s="22">
        <f>tblDailySchedule[[#This Row],[STD]]</f>
        <v>0.62152777777777779</v>
      </c>
    </row>
    <row r="2399" spans="1:20" hidden="1" x14ac:dyDescent="0.35">
      <c r="A2399" s="11">
        <v>46196</v>
      </c>
      <c r="B2399" s="3">
        <v>2</v>
      </c>
      <c r="C2399" t="s">
        <v>108</v>
      </c>
      <c r="D2399" t="s">
        <v>18</v>
      </c>
      <c r="E2399" s="3">
        <v>15</v>
      </c>
      <c r="F2399" t="s">
        <v>19</v>
      </c>
      <c r="G2399" t="s">
        <v>64</v>
      </c>
      <c r="H2399" t="s">
        <v>31</v>
      </c>
      <c r="I2399" s="12">
        <v>0.60069444444444442</v>
      </c>
      <c r="J2399" t="s">
        <v>65</v>
      </c>
      <c r="K2399" t="s">
        <v>66</v>
      </c>
      <c r="L2399" s="12">
        <v>0.62847222222222221</v>
      </c>
      <c r="M2399" t="s">
        <v>63</v>
      </c>
      <c r="N2399" s="3">
        <v>232</v>
      </c>
      <c r="O2399" t="s">
        <v>24</v>
      </c>
      <c r="P2399" t="s">
        <v>56</v>
      </c>
      <c r="R2399">
        <f>tblDailySchedule[[#This Row],[Capacity Approx]]*'[1]Load Factor Sheet June Acft  '!$B$5</f>
        <v>187.86727272727273</v>
      </c>
      <c r="S2399">
        <f>tblDailySchedule[[#This Row],[Capacity Approx]]*'[1]Load Factor Sheet June Acft  '!$D$5</f>
        <v>203.4218181818182</v>
      </c>
      <c r="T2399" s="22">
        <f>tblDailySchedule[[#This Row],[STD]]</f>
        <v>0.62847222222222221</v>
      </c>
    </row>
    <row r="2400" spans="1:20" hidden="1" x14ac:dyDescent="0.35">
      <c r="A2400" s="11">
        <v>46196</v>
      </c>
      <c r="B2400" s="3">
        <v>2</v>
      </c>
      <c r="C2400" t="s">
        <v>108</v>
      </c>
      <c r="D2400" t="s">
        <v>18</v>
      </c>
      <c r="E2400" s="3">
        <v>16</v>
      </c>
      <c r="F2400" t="s">
        <v>19</v>
      </c>
      <c r="G2400" t="s">
        <v>67</v>
      </c>
      <c r="H2400" t="s">
        <v>31</v>
      </c>
      <c r="I2400" s="12">
        <v>0.65625</v>
      </c>
      <c r="J2400" t="s">
        <v>68</v>
      </c>
      <c r="K2400" t="s">
        <v>31</v>
      </c>
      <c r="L2400" s="12">
        <v>0.68402777777777779</v>
      </c>
      <c r="M2400" t="s">
        <v>63</v>
      </c>
      <c r="N2400" s="3">
        <v>232</v>
      </c>
      <c r="O2400" t="s">
        <v>24</v>
      </c>
      <c r="P2400" t="s">
        <v>56</v>
      </c>
      <c r="R2400">
        <f>tblDailySchedule[[#This Row],[Capacity Approx]]*'[1]Load Factor Sheet June Acft  '!$B$5</f>
        <v>187.86727272727273</v>
      </c>
      <c r="S2400">
        <f>tblDailySchedule[[#This Row],[Capacity Approx]]*'[1]Load Factor Sheet June Acft  '!$D$5</f>
        <v>203.4218181818182</v>
      </c>
      <c r="T2400" s="22">
        <f>tblDailySchedule[[#This Row],[STD]]</f>
        <v>0.68402777777777779</v>
      </c>
    </row>
    <row r="2401" spans="1:20" hidden="1" x14ac:dyDescent="0.35">
      <c r="A2401" s="11">
        <v>46196</v>
      </c>
      <c r="B2401" s="3">
        <v>2</v>
      </c>
      <c r="C2401" t="s">
        <v>108</v>
      </c>
      <c r="D2401" t="s">
        <v>18</v>
      </c>
      <c r="E2401" s="3">
        <v>17</v>
      </c>
      <c r="F2401" t="s">
        <v>19</v>
      </c>
      <c r="G2401" t="s">
        <v>69</v>
      </c>
      <c r="H2401" t="s">
        <v>31</v>
      </c>
      <c r="I2401" s="12">
        <v>0.66319444444444442</v>
      </c>
      <c r="J2401" t="s">
        <v>70</v>
      </c>
      <c r="K2401" t="s">
        <v>31</v>
      </c>
      <c r="L2401" s="12">
        <v>0.69097222222222221</v>
      </c>
      <c r="M2401" t="s">
        <v>33</v>
      </c>
      <c r="N2401" s="3">
        <v>189</v>
      </c>
      <c r="O2401" t="s">
        <v>24</v>
      </c>
      <c r="P2401" t="s">
        <v>56</v>
      </c>
      <c r="R2401">
        <f>tblDailySchedule[[#This Row],[Capacity Approx]]*'[1]Load Factor Sheet June Acft  '!$B$5</f>
        <v>153.04704545454547</v>
      </c>
      <c r="S2401">
        <f>tblDailySchedule[[#This Row],[Capacity Approx]]*'[1]Load Factor Sheet June Acft  '!$D$5</f>
        <v>165.71863636363636</v>
      </c>
      <c r="T2401" s="22">
        <f>tblDailySchedule[[#This Row],[STD]]</f>
        <v>0.69097222222222221</v>
      </c>
    </row>
    <row r="2402" spans="1:20" hidden="1" x14ac:dyDescent="0.35">
      <c r="A2402" s="11">
        <v>46196</v>
      </c>
      <c r="B2402" s="3">
        <v>2</v>
      </c>
      <c r="C2402" t="s">
        <v>108</v>
      </c>
      <c r="D2402" t="s">
        <v>18</v>
      </c>
      <c r="E2402" s="3">
        <v>18</v>
      </c>
      <c r="F2402" t="s">
        <v>19</v>
      </c>
      <c r="G2402" t="s">
        <v>71</v>
      </c>
      <c r="H2402" t="s">
        <v>21</v>
      </c>
      <c r="I2402" s="12">
        <v>0.67013888888888884</v>
      </c>
      <c r="J2402" t="s">
        <v>72</v>
      </c>
      <c r="K2402" t="s">
        <v>21</v>
      </c>
      <c r="L2402" s="12">
        <v>0.69791666666666663</v>
      </c>
      <c r="M2402" t="s">
        <v>63</v>
      </c>
      <c r="N2402" s="3">
        <v>232</v>
      </c>
      <c r="O2402" t="s">
        <v>24</v>
      </c>
      <c r="P2402" t="s">
        <v>56</v>
      </c>
      <c r="R2402">
        <f>tblDailySchedule[[#This Row],[Capacity Approx]]*'[1]Load Factor Sheet June Acft  '!$B$5</f>
        <v>187.86727272727273</v>
      </c>
      <c r="S2402">
        <f>tblDailySchedule[[#This Row],[Capacity Approx]]*'[1]Load Factor Sheet June Acft  '!$D$5</f>
        <v>203.4218181818182</v>
      </c>
      <c r="T2402" s="22">
        <f>tblDailySchedule[[#This Row],[STD]]</f>
        <v>0.69791666666666663</v>
      </c>
    </row>
    <row r="2403" spans="1:20" hidden="1" x14ac:dyDescent="0.35">
      <c r="A2403" s="11">
        <v>46196</v>
      </c>
      <c r="B2403" s="3">
        <v>2</v>
      </c>
      <c r="C2403" t="s">
        <v>108</v>
      </c>
      <c r="D2403" t="s">
        <v>18</v>
      </c>
      <c r="E2403" s="3">
        <v>19</v>
      </c>
      <c r="F2403" t="s">
        <v>19</v>
      </c>
      <c r="G2403" t="s">
        <v>73</v>
      </c>
      <c r="H2403" t="s">
        <v>27</v>
      </c>
      <c r="I2403" s="12">
        <v>0.74652777777777779</v>
      </c>
      <c r="J2403" t="s">
        <v>74</v>
      </c>
      <c r="K2403" t="s">
        <v>27</v>
      </c>
      <c r="L2403" s="12">
        <v>0.77430555555555558</v>
      </c>
      <c r="M2403" t="s">
        <v>63</v>
      </c>
      <c r="N2403" s="3">
        <v>232</v>
      </c>
      <c r="O2403" t="s">
        <v>24</v>
      </c>
      <c r="P2403" t="s">
        <v>56</v>
      </c>
      <c r="R2403">
        <f>tblDailySchedule[[#This Row],[Capacity Approx]]*'[1]Load Factor Sheet June Acft  '!$B$5</f>
        <v>187.86727272727273</v>
      </c>
      <c r="S2403">
        <f>tblDailySchedule[[#This Row],[Capacity Approx]]*'[1]Load Factor Sheet June Acft  '!$D$5</f>
        <v>203.4218181818182</v>
      </c>
      <c r="T2403" s="22">
        <f>tblDailySchedule[[#This Row],[STD]]</f>
        <v>0.77430555555555558</v>
      </c>
    </row>
    <row r="2404" spans="1:20" hidden="1" x14ac:dyDescent="0.35">
      <c r="A2404" s="11">
        <v>46196</v>
      </c>
      <c r="B2404" s="3">
        <v>2</v>
      </c>
      <c r="C2404" t="s">
        <v>108</v>
      </c>
      <c r="D2404" t="s">
        <v>18</v>
      </c>
      <c r="E2404" s="3">
        <v>21</v>
      </c>
      <c r="F2404" t="s">
        <v>19</v>
      </c>
      <c r="G2404" t="s">
        <v>81</v>
      </c>
      <c r="H2404" t="s">
        <v>61</v>
      </c>
      <c r="I2404" s="12">
        <v>0.77083333333333337</v>
      </c>
      <c r="J2404" t="s">
        <v>82</v>
      </c>
      <c r="K2404" t="s">
        <v>49</v>
      </c>
      <c r="L2404" s="12">
        <v>0.79166666666666663</v>
      </c>
      <c r="M2404" t="s">
        <v>33</v>
      </c>
      <c r="N2404" s="3">
        <v>189</v>
      </c>
      <c r="O2404" t="s">
        <v>24</v>
      </c>
      <c r="P2404" t="s">
        <v>79</v>
      </c>
      <c r="R2404">
        <f>tblDailySchedule[[#This Row],[Capacity Approx]]*'[1]Load Factor Sheet June Acft  '!$B$5</f>
        <v>153.04704545454547</v>
      </c>
      <c r="S2404">
        <f>tblDailySchedule[[#This Row],[Capacity Approx]]*'[1]Load Factor Sheet June Acft  '!$D$5</f>
        <v>165.71863636363636</v>
      </c>
      <c r="T2404" s="22">
        <f>tblDailySchedule[[#This Row],[STD]]</f>
        <v>0.79166666666666663</v>
      </c>
    </row>
    <row r="2405" spans="1:20" hidden="1" x14ac:dyDescent="0.35">
      <c r="A2405" s="11">
        <v>46196</v>
      </c>
      <c r="B2405" s="3">
        <v>2</v>
      </c>
      <c r="C2405" t="s">
        <v>108</v>
      </c>
      <c r="D2405" t="s">
        <v>18</v>
      </c>
      <c r="E2405" s="3">
        <v>22</v>
      </c>
      <c r="F2405" t="s">
        <v>19</v>
      </c>
      <c r="G2405" t="s">
        <v>83</v>
      </c>
      <c r="H2405" t="s">
        <v>31</v>
      </c>
      <c r="I2405" s="12">
        <v>0.77777777777777779</v>
      </c>
      <c r="J2405" t="s">
        <v>84</v>
      </c>
      <c r="K2405" t="s">
        <v>31</v>
      </c>
      <c r="L2405" s="12">
        <v>0.80555555555555558</v>
      </c>
      <c r="M2405" t="s">
        <v>63</v>
      </c>
      <c r="N2405" s="3">
        <v>232</v>
      </c>
      <c r="O2405" t="s">
        <v>24</v>
      </c>
      <c r="P2405" t="s">
        <v>79</v>
      </c>
      <c r="R2405">
        <f>tblDailySchedule[[#This Row],[Capacity Approx]]*'[1]Load Factor Sheet June Acft  '!$B$5</f>
        <v>187.86727272727273</v>
      </c>
      <c r="S2405">
        <f>tblDailySchedule[[#This Row],[Capacity Approx]]*'[1]Load Factor Sheet June Acft  '!$D$5</f>
        <v>203.4218181818182</v>
      </c>
      <c r="T2405" s="22">
        <f>tblDailySchedule[[#This Row],[STD]]</f>
        <v>0.80555555555555558</v>
      </c>
    </row>
    <row r="2406" spans="1:20" hidden="1" x14ac:dyDescent="0.35">
      <c r="A2406" s="11">
        <v>46196</v>
      </c>
      <c r="B2406" s="3">
        <v>2</v>
      </c>
      <c r="C2406" t="s">
        <v>108</v>
      </c>
      <c r="D2406" t="s">
        <v>18</v>
      </c>
      <c r="E2406" s="3">
        <v>23</v>
      </c>
      <c r="F2406" t="s">
        <v>19</v>
      </c>
      <c r="G2406" t="s">
        <v>85</v>
      </c>
      <c r="H2406" t="s">
        <v>86</v>
      </c>
      <c r="I2406" s="12">
        <v>0.79861111111111116</v>
      </c>
      <c r="J2406" t="s">
        <v>87</v>
      </c>
      <c r="K2406" t="s">
        <v>86</v>
      </c>
      <c r="L2406" s="12">
        <v>0.82638888888888884</v>
      </c>
      <c r="M2406" t="s">
        <v>63</v>
      </c>
      <c r="N2406" s="3">
        <v>232</v>
      </c>
      <c r="O2406" t="s">
        <v>24</v>
      </c>
      <c r="P2406" t="s">
        <v>79</v>
      </c>
      <c r="R2406">
        <f>tblDailySchedule[[#This Row],[Capacity Approx]]*'[1]Load Factor Sheet June Acft  '!$B$5</f>
        <v>187.86727272727273</v>
      </c>
      <c r="S2406">
        <f>tblDailySchedule[[#This Row],[Capacity Approx]]*'[1]Load Factor Sheet June Acft  '!$D$5</f>
        <v>203.4218181818182</v>
      </c>
      <c r="T2406" s="22">
        <f>tblDailySchedule[[#This Row],[STD]]</f>
        <v>0.82638888888888884</v>
      </c>
    </row>
    <row r="2407" spans="1:20" hidden="1" x14ac:dyDescent="0.35">
      <c r="A2407" s="11">
        <v>46196</v>
      </c>
      <c r="B2407" s="3">
        <v>2</v>
      </c>
      <c r="C2407" t="s">
        <v>108</v>
      </c>
      <c r="D2407" t="s">
        <v>18</v>
      </c>
      <c r="E2407" s="3">
        <v>24</v>
      </c>
      <c r="F2407" t="s">
        <v>19</v>
      </c>
      <c r="G2407" t="s">
        <v>88</v>
      </c>
      <c r="H2407" t="s">
        <v>89</v>
      </c>
      <c r="I2407" s="12">
        <v>0.83333333333333337</v>
      </c>
      <c r="J2407" t="s">
        <v>90</v>
      </c>
      <c r="K2407" t="s">
        <v>31</v>
      </c>
      <c r="L2407" s="12">
        <v>0.86111111111111116</v>
      </c>
      <c r="M2407" t="s">
        <v>63</v>
      </c>
      <c r="N2407" s="3">
        <v>232</v>
      </c>
      <c r="O2407" t="s">
        <v>24</v>
      </c>
      <c r="P2407" t="s">
        <v>79</v>
      </c>
      <c r="R2407">
        <f>tblDailySchedule[[#This Row],[Capacity Approx]]*'[1]Load Factor Sheet June Acft  '!$B$5</f>
        <v>187.86727272727273</v>
      </c>
      <c r="S2407">
        <f>tblDailySchedule[[#This Row],[Capacity Approx]]*'[1]Load Factor Sheet June Acft  '!$D$5</f>
        <v>203.4218181818182</v>
      </c>
      <c r="T2407" s="22">
        <f>tblDailySchedule[[#This Row],[STD]]</f>
        <v>0.86111111111111116</v>
      </c>
    </row>
    <row r="2408" spans="1:20" hidden="1" x14ac:dyDescent="0.35">
      <c r="A2408" s="11">
        <v>46196</v>
      </c>
      <c r="B2408" s="3">
        <v>2</v>
      </c>
      <c r="C2408" t="s">
        <v>108</v>
      </c>
      <c r="D2408" t="s">
        <v>18</v>
      </c>
      <c r="E2408" s="3">
        <v>25</v>
      </c>
      <c r="F2408" t="s">
        <v>19</v>
      </c>
      <c r="G2408" t="s">
        <v>91</v>
      </c>
      <c r="H2408" t="s">
        <v>61</v>
      </c>
      <c r="I2408" s="12">
        <v>0.85416666666666663</v>
      </c>
      <c r="J2408" t="s">
        <v>92</v>
      </c>
      <c r="K2408" t="s">
        <v>61</v>
      </c>
      <c r="L2408" s="12">
        <v>0.88194444444444442</v>
      </c>
      <c r="M2408" t="s">
        <v>63</v>
      </c>
      <c r="N2408" s="3">
        <v>232</v>
      </c>
      <c r="O2408" t="s">
        <v>24</v>
      </c>
      <c r="P2408" t="s">
        <v>79</v>
      </c>
      <c r="R2408">
        <f>tblDailySchedule[[#This Row],[Capacity Approx]]*'[1]Load Factor Sheet June Acft  '!$B$5</f>
        <v>187.86727272727273</v>
      </c>
      <c r="S2408">
        <f>tblDailySchedule[[#This Row],[Capacity Approx]]*'[1]Load Factor Sheet June Acft  '!$D$5</f>
        <v>203.4218181818182</v>
      </c>
      <c r="T2408" s="22">
        <f>tblDailySchedule[[#This Row],[STD]]</f>
        <v>0.88194444444444442</v>
      </c>
    </row>
    <row r="2409" spans="1:20" hidden="1" x14ac:dyDescent="0.35">
      <c r="A2409" s="11">
        <v>46196</v>
      </c>
      <c r="B2409" s="3">
        <v>2</v>
      </c>
      <c r="C2409" t="s">
        <v>108</v>
      </c>
      <c r="D2409" t="s">
        <v>18</v>
      </c>
      <c r="E2409" s="3">
        <v>26</v>
      </c>
      <c r="F2409" t="s">
        <v>19</v>
      </c>
      <c r="G2409" t="s">
        <v>93</v>
      </c>
      <c r="H2409" t="s">
        <v>31</v>
      </c>
      <c r="I2409" s="12">
        <v>0.86111111111111116</v>
      </c>
      <c r="J2409" t="s">
        <v>94</v>
      </c>
      <c r="K2409" t="s">
        <v>31</v>
      </c>
      <c r="L2409" s="12">
        <v>0.88888888888888884</v>
      </c>
      <c r="M2409" t="s">
        <v>23</v>
      </c>
      <c r="N2409" s="3">
        <v>186</v>
      </c>
      <c r="O2409" t="s">
        <v>24</v>
      </c>
      <c r="P2409" t="s">
        <v>79</v>
      </c>
      <c r="R2409">
        <f>tblDailySchedule[[#This Row],[Capacity Approx]]*'[1]Load Factor Sheet June Acft  '!$B$5</f>
        <v>150.61772727272728</v>
      </c>
      <c r="S2409">
        <f>tblDailySchedule[[#This Row],[Capacity Approx]]*'[1]Load Factor Sheet June Acft  '!$D$5</f>
        <v>163.08818181818182</v>
      </c>
      <c r="T2409" s="22">
        <f>tblDailySchedule[[#This Row],[STD]]</f>
        <v>0.88888888888888884</v>
      </c>
    </row>
    <row r="2410" spans="1:20" hidden="1" x14ac:dyDescent="0.35">
      <c r="A2410" s="11">
        <v>46196</v>
      </c>
      <c r="B2410" s="3">
        <v>2</v>
      </c>
      <c r="C2410" t="s">
        <v>108</v>
      </c>
      <c r="D2410" t="s">
        <v>18</v>
      </c>
      <c r="E2410" s="3">
        <v>27</v>
      </c>
      <c r="F2410" t="s">
        <v>19</v>
      </c>
      <c r="G2410" t="s">
        <v>95</v>
      </c>
      <c r="H2410" t="s">
        <v>21</v>
      </c>
      <c r="I2410" s="12">
        <v>0.86805555555555558</v>
      </c>
      <c r="J2410" t="s">
        <v>96</v>
      </c>
      <c r="K2410" t="s">
        <v>21</v>
      </c>
      <c r="L2410" s="12">
        <v>0.89583333333333337</v>
      </c>
      <c r="M2410" t="s">
        <v>29</v>
      </c>
      <c r="N2410" s="3">
        <v>186</v>
      </c>
      <c r="O2410" t="s">
        <v>24</v>
      </c>
      <c r="P2410" t="s">
        <v>79</v>
      </c>
      <c r="R2410">
        <f>tblDailySchedule[[#This Row],[Capacity Approx]]*'[1]Load Factor Sheet June Acft  '!$B$5</f>
        <v>150.61772727272728</v>
      </c>
      <c r="S2410">
        <f>tblDailySchedule[[#This Row],[Capacity Approx]]*'[1]Load Factor Sheet June Acft  '!$D$5</f>
        <v>163.08818181818182</v>
      </c>
      <c r="T2410" s="22">
        <f>tblDailySchedule[[#This Row],[STD]]</f>
        <v>0.89583333333333337</v>
      </c>
    </row>
    <row r="2411" spans="1:20" hidden="1" x14ac:dyDescent="0.35">
      <c r="A2411" s="11">
        <v>46196</v>
      </c>
      <c r="B2411" s="3">
        <v>2</v>
      </c>
      <c r="C2411" t="s">
        <v>108</v>
      </c>
      <c r="D2411" t="s">
        <v>18</v>
      </c>
      <c r="E2411" s="3">
        <v>28</v>
      </c>
      <c r="F2411" t="s">
        <v>19</v>
      </c>
      <c r="G2411" t="s">
        <v>97</v>
      </c>
      <c r="H2411" t="s">
        <v>49</v>
      </c>
      <c r="I2411" s="12">
        <v>0.90277777777777779</v>
      </c>
      <c r="J2411" t="s">
        <v>97</v>
      </c>
      <c r="K2411" t="s">
        <v>61</v>
      </c>
      <c r="L2411" s="12">
        <v>0.92361111111111116</v>
      </c>
      <c r="M2411" t="s">
        <v>33</v>
      </c>
      <c r="N2411" s="3">
        <v>189</v>
      </c>
      <c r="O2411" t="s">
        <v>24</v>
      </c>
      <c r="P2411" t="s">
        <v>79</v>
      </c>
      <c r="R2411">
        <f>tblDailySchedule[[#This Row],[Capacity Approx]]*'[1]Load Factor Sheet June Acft  '!$B$5</f>
        <v>153.04704545454547</v>
      </c>
      <c r="S2411">
        <f>tblDailySchedule[[#This Row],[Capacity Approx]]*'[1]Load Factor Sheet June Acft  '!$D$5</f>
        <v>165.71863636363636</v>
      </c>
      <c r="T2411" s="22">
        <f>tblDailySchedule[[#This Row],[STD]]</f>
        <v>0.92361111111111116</v>
      </c>
    </row>
    <row r="2412" spans="1:20" hidden="1" x14ac:dyDescent="0.35">
      <c r="A2412" s="11">
        <v>46196</v>
      </c>
      <c r="B2412" s="3">
        <v>2</v>
      </c>
      <c r="C2412" t="s">
        <v>108</v>
      </c>
      <c r="D2412" t="s">
        <v>18</v>
      </c>
      <c r="E2412" s="3">
        <v>29</v>
      </c>
      <c r="F2412" t="s">
        <v>19</v>
      </c>
      <c r="G2412" t="s">
        <v>98</v>
      </c>
      <c r="H2412" t="s">
        <v>21</v>
      </c>
      <c r="I2412" s="12">
        <v>0.92013888888888884</v>
      </c>
      <c r="J2412" t="s">
        <v>99</v>
      </c>
      <c r="K2412" t="s">
        <v>21</v>
      </c>
      <c r="L2412" s="12">
        <v>0.94791666666666663</v>
      </c>
      <c r="M2412" t="s">
        <v>63</v>
      </c>
      <c r="N2412" s="3">
        <v>232</v>
      </c>
      <c r="O2412" t="s">
        <v>24</v>
      </c>
      <c r="P2412" t="s">
        <v>79</v>
      </c>
      <c r="R2412">
        <f>tblDailySchedule[[#This Row],[Capacity Approx]]*'[1]Load Factor Sheet June Acft  '!$B$5</f>
        <v>187.86727272727273</v>
      </c>
      <c r="S2412">
        <f>tblDailySchedule[[#This Row],[Capacity Approx]]*'[1]Load Factor Sheet June Acft  '!$D$5</f>
        <v>203.4218181818182</v>
      </c>
      <c r="T2412" s="22">
        <f>tblDailySchedule[[#This Row],[STD]]</f>
        <v>0.94791666666666663</v>
      </c>
    </row>
    <row r="2413" spans="1:20" hidden="1" x14ac:dyDescent="0.35">
      <c r="A2413" s="11">
        <v>46197</v>
      </c>
      <c r="B2413" s="3">
        <v>3</v>
      </c>
      <c r="C2413" t="s">
        <v>113</v>
      </c>
      <c r="D2413" t="s">
        <v>18</v>
      </c>
      <c r="E2413" s="3">
        <v>2</v>
      </c>
      <c r="F2413" t="s">
        <v>19</v>
      </c>
      <c r="G2413" t="s">
        <v>20</v>
      </c>
      <c r="H2413" t="s">
        <v>21</v>
      </c>
      <c r="I2413" s="12">
        <v>0.31944444444444442</v>
      </c>
      <c r="J2413" t="s">
        <v>22</v>
      </c>
      <c r="K2413" t="s">
        <v>21</v>
      </c>
      <c r="L2413" s="12">
        <v>0.34722222222222221</v>
      </c>
      <c r="M2413" t="s">
        <v>23</v>
      </c>
      <c r="N2413" s="3">
        <v>186</v>
      </c>
      <c r="O2413" t="s">
        <v>24</v>
      </c>
      <c r="P2413" t="s">
        <v>25</v>
      </c>
      <c r="R2413">
        <f>tblDailySchedule[[#This Row],[Capacity Approx]]*'[1]Load Factor Sheet June Acft  '!$B$5</f>
        <v>150.61772727272728</v>
      </c>
      <c r="S2413">
        <f>tblDailySchedule[[#This Row],[Capacity Approx]]*'[1]Load Factor Sheet June Acft  '!$D$5</f>
        <v>163.08818181818182</v>
      </c>
      <c r="T2413" s="22">
        <f>tblDailySchedule[[#This Row],[STD]]</f>
        <v>0.34722222222222221</v>
      </c>
    </row>
    <row r="2414" spans="1:20" hidden="1" x14ac:dyDescent="0.35">
      <c r="A2414" s="11">
        <v>46197</v>
      </c>
      <c r="B2414" s="3">
        <v>3</v>
      </c>
      <c r="C2414" t="s">
        <v>113</v>
      </c>
      <c r="D2414" t="s">
        <v>18</v>
      </c>
      <c r="E2414" s="3">
        <v>3</v>
      </c>
      <c r="F2414" t="s">
        <v>19</v>
      </c>
      <c r="G2414" t="s">
        <v>26</v>
      </c>
      <c r="H2414" t="s">
        <v>27</v>
      </c>
      <c r="I2414" s="12">
        <v>0.3263888888888889</v>
      </c>
      <c r="J2414" t="s">
        <v>28</v>
      </c>
      <c r="K2414" t="s">
        <v>27</v>
      </c>
      <c r="L2414" s="12">
        <v>0.35416666666666669</v>
      </c>
      <c r="M2414" t="s">
        <v>29</v>
      </c>
      <c r="N2414" s="3">
        <v>186</v>
      </c>
      <c r="O2414" t="s">
        <v>24</v>
      </c>
      <c r="P2414" t="s">
        <v>25</v>
      </c>
      <c r="R2414">
        <f>tblDailySchedule[[#This Row],[Capacity Approx]]*'[1]Load Factor Sheet June Acft  '!$B$5</f>
        <v>150.61772727272728</v>
      </c>
      <c r="S2414">
        <f>tblDailySchedule[[#This Row],[Capacity Approx]]*'[1]Load Factor Sheet June Acft  '!$D$5</f>
        <v>163.08818181818182</v>
      </c>
      <c r="T2414" s="22">
        <f>tblDailySchedule[[#This Row],[STD]]</f>
        <v>0.35416666666666669</v>
      </c>
    </row>
    <row r="2415" spans="1:20" hidden="1" x14ac:dyDescent="0.35">
      <c r="A2415" s="11">
        <v>46197</v>
      </c>
      <c r="B2415" s="3">
        <v>3</v>
      </c>
      <c r="C2415" t="s">
        <v>113</v>
      </c>
      <c r="D2415" t="s">
        <v>18</v>
      </c>
      <c r="E2415" s="3">
        <v>4</v>
      </c>
      <c r="F2415" t="s">
        <v>19</v>
      </c>
      <c r="G2415" t="s">
        <v>30</v>
      </c>
      <c r="H2415" t="s">
        <v>31</v>
      </c>
      <c r="I2415" s="12">
        <v>0.34722222222222221</v>
      </c>
      <c r="J2415" t="s">
        <v>32</v>
      </c>
      <c r="K2415" t="s">
        <v>31</v>
      </c>
      <c r="L2415" s="12">
        <v>0.36805555555555558</v>
      </c>
      <c r="M2415" t="s">
        <v>33</v>
      </c>
      <c r="N2415" s="3">
        <v>189</v>
      </c>
      <c r="O2415" t="s">
        <v>24</v>
      </c>
      <c r="P2415" t="s">
        <v>25</v>
      </c>
      <c r="R2415">
        <f>tblDailySchedule[[#This Row],[Capacity Approx]]*'[1]Load Factor Sheet June Acft  '!$B$5</f>
        <v>153.04704545454547</v>
      </c>
      <c r="S2415">
        <f>tblDailySchedule[[#This Row],[Capacity Approx]]*'[1]Load Factor Sheet June Acft  '!$D$5</f>
        <v>165.71863636363636</v>
      </c>
      <c r="T2415" s="22">
        <f>tblDailySchedule[[#This Row],[STD]]</f>
        <v>0.36805555555555558</v>
      </c>
    </row>
    <row r="2416" spans="1:20" hidden="1" x14ac:dyDescent="0.35">
      <c r="A2416" s="13">
        <v>46197</v>
      </c>
      <c r="B2416" s="7">
        <v>3</v>
      </c>
      <c r="C2416" s="14" t="s">
        <v>113</v>
      </c>
      <c r="D2416" s="14" t="s">
        <v>18</v>
      </c>
      <c r="E2416" s="7">
        <v>6</v>
      </c>
      <c r="F2416" s="14" t="s">
        <v>34</v>
      </c>
      <c r="G2416" s="14" t="s">
        <v>35</v>
      </c>
      <c r="H2416" s="14" t="s">
        <v>36</v>
      </c>
      <c r="I2416" s="15">
        <v>0.34722222222222221</v>
      </c>
      <c r="J2416" s="14" t="s">
        <v>37</v>
      </c>
      <c r="K2416" s="14" t="s">
        <v>36</v>
      </c>
      <c r="L2416" s="15">
        <v>0.40972222222222221</v>
      </c>
      <c r="M2416" s="14" t="s">
        <v>38</v>
      </c>
      <c r="N2416" s="7">
        <v>186</v>
      </c>
      <c r="O2416" s="14" t="s">
        <v>39</v>
      </c>
      <c r="P2416" s="14" t="s">
        <v>25</v>
      </c>
      <c r="Q2416" s="14" t="s">
        <v>39</v>
      </c>
      <c r="R2416">
        <f>tblDailySchedule[[#This Row],[Capacity Approx]]*'[1]Load Factor Sheet June Acft  '!$B$5</f>
        <v>150.61772727272728</v>
      </c>
      <c r="S2416">
        <f>tblDailySchedule[[#This Row],[Capacity Approx]]*'[1]Load Factor Sheet June Acft  '!$D$5</f>
        <v>163.08818181818182</v>
      </c>
      <c r="T2416" s="22">
        <f>tblDailySchedule[[#This Row],[STD]]</f>
        <v>0.40972222222222221</v>
      </c>
    </row>
    <row r="2417" spans="1:20" hidden="1" x14ac:dyDescent="0.35">
      <c r="A2417" s="11">
        <v>46197</v>
      </c>
      <c r="B2417" s="3">
        <v>3</v>
      </c>
      <c r="C2417" t="s">
        <v>113</v>
      </c>
      <c r="D2417" t="s">
        <v>18</v>
      </c>
      <c r="E2417" s="3">
        <v>5</v>
      </c>
      <c r="F2417" t="s">
        <v>19</v>
      </c>
      <c r="G2417" t="s">
        <v>40</v>
      </c>
      <c r="H2417" t="s">
        <v>31</v>
      </c>
      <c r="I2417" s="12">
        <v>0.35069444444444442</v>
      </c>
      <c r="J2417" t="s">
        <v>41</v>
      </c>
      <c r="K2417" t="s">
        <v>31</v>
      </c>
      <c r="L2417" s="12">
        <v>0.37152777777777779</v>
      </c>
      <c r="M2417" t="s">
        <v>23</v>
      </c>
      <c r="N2417" s="3">
        <v>186</v>
      </c>
      <c r="O2417" t="s">
        <v>24</v>
      </c>
      <c r="P2417" t="s">
        <v>25</v>
      </c>
      <c r="R2417">
        <f>tblDailySchedule[[#This Row],[Capacity Approx]]*'[1]Load Factor Sheet June Acft  '!$B$5</f>
        <v>150.61772727272728</v>
      </c>
      <c r="S2417">
        <f>tblDailySchedule[[#This Row],[Capacity Approx]]*'[1]Load Factor Sheet June Acft  '!$D$5</f>
        <v>163.08818181818182</v>
      </c>
      <c r="T2417" s="22">
        <f>tblDailySchedule[[#This Row],[STD]]</f>
        <v>0.37152777777777779</v>
      </c>
    </row>
    <row r="2418" spans="1:20" hidden="1" x14ac:dyDescent="0.35">
      <c r="A2418" s="11">
        <v>46197</v>
      </c>
      <c r="B2418" s="3">
        <v>3</v>
      </c>
      <c r="C2418" t="s">
        <v>113</v>
      </c>
      <c r="D2418" t="s">
        <v>18</v>
      </c>
      <c r="E2418" s="3">
        <v>7</v>
      </c>
      <c r="F2418" t="s">
        <v>19</v>
      </c>
      <c r="G2418" t="s">
        <v>42</v>
      </c>
      <c r="H2418" t="s">
        <v>43</v>
      </c>
      <c r="I2418" s="12">
        <v>0.3923611111111111</v>
      </c>
      <c r="J2418" t="s">
        <v>44</v>
      </c>
      <c r="K2418" t="s">
        <v>43</v>
      </c>
      <c r="L2418" s="12">
        <v>0.40277777777777779</v>
      </c>
      <c r="M2418" t="s">
        <v>45</v>
      </c>
      <c r="N2418" s="3">
        <v>9</v>
      </c>
      <c r="O2418" t="s">
        <v>24</v>
      </c>
      <c r="P2418" t="s">
        <v>25</v>
      </c>
      <c r="R2418">
        <f>tblDailySchedule[[#This Row],[Capacity Approx]]*'[1]Load Factor Sheet June Acft  '!$B$5</f>
        <v>7.2879545454545456</v>
      </c>
      <c r="S2418">
        <f>tblDailySchedule[[#This Row],[Capacity Approx]]*'[1]Load Factor Sheet June Acft  '!$D$5</f>
        <v>7.8913636363636366</v>
      </c>
      <c r="T2418" s="22">
        <f>tblDailySchedule[[#This Row],[STD]]</f>
        <v>0.40277777777777779</v>
      </c>
    </row>
    <row r="2419" spans="1:20" hidden="1" x14ac:dyDescent="0.35">
      <c r="A2419" s="11">
        <v>46197</v>
      </c>
      <c r="B2419" s="3">
        <v>3</v>
      </c>
      <c r="C2419" t="s">
        <v>113</v>
      </c>
      <c r="D2419" t="s">
        <v>18</v>
      </c>
      <c r="E2419" s="3">
        <v>8</v>
      </c>
      <c r="F2419" t="s">
        <v>19</v>
      </c>
      <c r="G2419" t="s">
        <v>46</v>
      </c>
      <c r="H2419" t="s">
        <v>31</v>
      </c>
      <c r="I2419" s="12">
        <v>0.4201388888888889</v>
      </c>
      <c r="J2419" t="s">
        <v>47</v>
      </c>
      <c r="K2419" t="s">
        <v>31</v>
      </c>
      <c r="L2419" s="12">
        <v>0.44444444444444442</v>
      </c>
      <c r="M2419" t="s">
        <v>29</v>
      </c>
      <c r="N2419" s="3">
        <v>186</v>
      </c>
      <c r="O2419" t="s">
        <v>24</v>
      </c>
      <c r="P2419" t="s">
        <v>25</v>
      </c>
      <c r="R2419">
        <f>tblDailySchedule[[#This Row],[Capacity Approx]]*'[1]Load Factor Sheet June Acft  '!$B$5</f>
        <v>150.61772727272728</v>
      </c>
      <c r="S2419">
        <f>tblDailySchedule[[#This Row],[Capacity Approx]]*'[1]Load Factor Sheet June Acft  '!$D$5</f>
        <v>163.08818181818182</v>
      </c>
      <c r="T2419" s="22">
        <f>tblDailySchedule[[#This Row],[STD]]</f>
        <v>0.44444444444444442</v>
      </c>
    </row>
    <row r="2420" spans="1:20" hidden="1" x14ac:dyDescent="0.35">
      <c r="A2420" s="11">
        <v>46197</v>
      </c>
      <c r="B2420" s="3">
        <v>3</v>
      </c>
      <c r="C2420" t="s">
        <v>113</v>
      </c>
      <c r="D2420" t="s">
        <v>18</v>
      </c>
      <c r="E2420" s="3">
        <v>9</v>
      </c>
      <c r="F2420" t="s">
        <v>19</v>
      </c>
      <c r="G2420" t="s">
        <v>48</v>
      </c>
      <c r="H2420" t="s">
        <v>49</v>
      </c>
      <c r="I2420" s="12">
        <v>0.4375</v>
      </c>
      <c r="J2420" t="s">
        <v>50</v>
      </c>
      <c r="K2420" t="s">
        <v>49</v>
      </c>
      <c r="L2420" s="12">
        <v>0.45833333333333331</v>
      </c>
      <c r="M2420" t="s">
        <v>51</v>
      </c>
      <c r="N2420" s="3">
        <v>78</v>
      </c>
      <c r="O2420" t="s">
        <v>24</v>
      </c>
      <c r="P2420" t="s">
        <v>25</v>
      </c>
      <c r="R2420">
        <f>tblDailySchedule[[#This Row],[Capacity Approx]]*'[1]Load Factor Sheet June Acft  '!$B$5</f>
        <v>63.162272727272729</v>
      </c>
      <c r="S2420">
        <f>tblDailySchedule[[#This Row],[Capacity Approx]]*'[1]Load Factor Sheet June Acft  '!$D$5</f>
        <v>68.391818181818181</v>
      </c>
      <c r="T2420" s="22">
        <f>tblDailySchedule[[#This Row],[STD]]</f>
        <v>0.45833333333333331</v>
      </c>
    </row>
    <row r="2421" spans="1:20" hidden="1" x14ac:dyDescent="0.35">
      <c r="A2421" s="11">
        <v>46197</v>
      </c>
      <c r="B2421" s="3">
        <v>3</v>
      </c>
      <c r="C2421" t="s">
        <v>113</v>
      </c>
      <c r="D2421" t="s">
        <v>18</v>
      </c>
      <c r="E2421" s="3">
        <v>10</v>
      </c>
      <c r="F2421" t="s">
        <v>19</v>
      </c>
      <c r="G2421" t="s">
        <v>52</v>
      </c>
      <c r="H2421" t="s">
        <v>27</v>
      </c>
      <c r="I2421" s="12">
        <v>0.4826388888888889</v>
      </c>
      <c r="J2421" t="s">
        <v>53</v>
      </c>
      <c r="K2421" t="s">
        <v>27</v>
      </c>
      <c r="L2421" s="12">
        <v>0.51041666666666663</v>
      </c>
      <c r="M2421" t="s">
        <v>23</v>
      </c>
      <c r="N2421" s="3">
        <v>186</v>
      </c>
      <c r="O2421" t="s">
        <v>24</v>
      </c>
      <c r="P2421" t="s">
        <v>25</v>
      </c>
      <c r="R2421">
        <f>tblDailySchedule[[#This Row],[Capacity Approx]]*'[1]Load Factor Sheet June Acft  '!$B$5</f>
        <v>150.61772727272728</v>
      </c>
      <c r="S2421">
        <f>tblDailySchedule[[#This Row],[Capacity Approx]]*'[1]Load Factor Sheet June Acft  '!$D$5</f>
        <v>163.08818181818182</v>
      </c>
      <c r="T2421" s="22">
        <f>tblDailySchedule[[#This Row],[STD]]</f>
        <v>0.51041666666666663</v>
      </c>
    </row>
    <row r="2422" spans="1:20" hidden="1" x14ac:dyDescent="0.35">
      <c r="A2422" s="11">
        <v>46197</v>
      </c>
      <c r="B2422" s="3">
        <v>3</v>
      </c>
      <c r="C2422" t="s">
        <v>113</v>
      </c>
      <c r="D2422" t="s">
        <v>18</v>
      </c>
      <c r="E2422" s="3">
        <v>11</v>
      </c>
      <c r="F2422" t="s">
        <v>19</v>
      </c>
      <c r="G2422" t="s">
        <v>54</v>
      </c>
      <c r="H2422" t="s">
        <v>31</v>
      </c>
      <c r="I2422" s="12">
        <v>0.51388888888888884</v>
      </c>
      <c r="J2422" t="s">
        <v>55</v>
      </c>
      <c r="K2422" t="s">
        <v>31</v>
      </c>
      <c r="L2422" s="12">
        <v>0.54166666666666663</v>
      </c>
      <c r="M2422" t="s">
        <v>23</v>
      </c>
      <c r="N2422" s="3">
        <v>186</v>
      </c>
      <c r="O2422" t="s">
        <v>24</v>
      </c>
      <c r="P2422" t="s">
        <v>56</v>
      </c>
      <c r="R2422">
        <f>tblDailySchedule[[#This Row],[Capacity Approx]]*'[1]Load Factor Sheet June Acft  '!$B$5</f>
        <v>150.61772727272728</v>
      </c>
      <c r="S2422">
        <f>tblDailySchedule[[#This Row],[Capacity Approx]]*'[1]Load Factor Sheet June Acft  '!$D$5</f>
        <v>163.08818181818182</v>
      </c>
      <c r="T2422" s="22">
        <f>tblDailySchedule[[#This Row],[STD]]</f>
        <v>0.54166666666666663</v>
      </c>
    </row>
    <row r="2423" spans="1:20" hidden="1" x14ac:dyDescent="0.35">
      <c r="A2423" s="11">
        <v>46197</v>
      </c>
      <c r="B2423" s="3">
        <v>3</v>
      </c>
      <c r="C2423" t="s">
        <v>113</v>
      </c>
      <c r="D2423" t="s">
        <v>18</v>
      </c>
      <c r="E2423" s="3">
        <v>13</v>
      </c>
      <c r="F2423" t="s">
        <v>19</v>
      </c>
      <c r="G2423" t="s">
        <v>57</v>
      </c>
      <c r="H2423" t="s">
        <v>58</v>
      </c>
      <c r="I2423" s="12">
        <v>0.55902777777777779</v>
      </c>
      <c r="J2423" t="s">
        <v>59</v>
      </c>
      <c r="K2423" t="s">
        <v>58</v>
      </c>
      <c r="L2423" s="12">
        <v>0.57638888888888884</v>
      </c>
      <c r="M2423" t="s">
        <v>51</v>
      </c>
      <c r="N2423" s="3">
        <v>78</v>
      </c>
      <c r="O2423" t="s">
        <v>24</v>
      </c>
      <c r="P2423" t="s">
        <v>56</v>
      </c>
      <c r="R2423">
        <f>tblDailySchedule[[#This Row],[Capacity Approx]]*'[1]Load Factor Sheet June Acft  '!$B$5</f>
        <v>63.162272727272729</v>
      </c>
      <c r="S2423">
        <f>tblDailySchedule[[#This Row],[Capacity Approx]]*'[1]Load Factor Sheet June Acft  '!$D$5</f>
        <v>68.391818181818181</v>
      </c>
      <c r="T2423" s="22">
        <f>tblDailySchedule[[#This Row],[STD]]</f>
        <v>0.57638888888888884</v>
      </c>
    </row>
    <row r="2424" spans="1:20" hidden="1" x14ac:dyDescent="0.35">
      <c r="A2424" s="11">
        <v>46197</v>
      </c>
      <c r="B2424" s="3">
        <v>3</v>
      </c>
      <c r="C2424" t="s">
        <v>113</v>
      </c>
      <c r="D2424" t="s">
        <v>18</v>
      </c>
      <c r="E2424" s="3">
        <v>14</v>
      </c>
      <c r="F2424" t="s">
        <v>19</v>
      </c>
      <c r="G2424" t="s">
        <v>60</v>
      </c>
      <c r="H2424" t="s">
        <v>61</v>
      </c>
      <c r="I2424" s="12">
        <v>0.59027777777777779</v>
      </c>
      <c r="J2424" t="s">
        <v>62</v>
      </c>
      <c r="K2424" t="s">
        <v>61</v>
      </c>
      <c r="L2424" s="12">
        <v>0.62152777777777779</v>
      </c>
      <c r="M2424" t="s">
        <v>63</v>
      </c>
      <c r="N2424" s="3">
        <v>232</v>
      </c>
      <c r="O2424" t="s">
        <v>24</v>
      </c>
      <c r="P2424" t="s">
        <v>56</v>
      </c>
      <c r="R2424">
        <f>tblDailySchedule[[#This Row],[Capacity Approx]]*'[1]Load Factor Sheet June Acft  '!$B$5</f>
        <v>187.86727272727273</v>
      </c>
      <c r="S2424">
        <f>tblDailySchedule[[#This Row],[Capacity Approx]]*'[1]Load Factor Sheet June Acft  '!$D$5</f>
        <v>203.4218181818182</v>
      </c>
      <c r="T2424" s="22">
        <f>tblDailySchedule[[#This Row],[STD]]</f>
        <v>0.62152777777777779</v>
      </c>
    </row>
    <row r="2425" spans="1:20" hidden="1" x14ac:dyDescent="0.35">
      <c r="A2425" s="11">
        <v>46197</v>
      </c>
      <c r="B2425" s="3">
        <v>3</v>
      </c>
      <c r="C2425" t="s">
        <v>113</v>
      </c>
      <c r="D2425" t="s">
        <v>18</v>
      </c>
      <c r="E2425" s="3">
        <v>15</v>
      </c>
      <c r="F2425" t="s">
        <v>19</v>
      </c>
      <c r="G2425" t="s">
        <v>64</v>
      </c>
      <c r="H2425" t="s">
        <v>31</v>
      </c>
      <c r="I2425" s="12">
        <v>0.60069444444444442</v>
      </c>
      <c r="J2425" t="s">
        <v>65</v>
      </c>
      <c r="K2425" t="s">
        <v>66</v>
      </c>
      <c r="L2425" s="12">
        <v>0.62847222222222221</v>
      </c>
      <c r="M2425" t="s">
        <v>63</v>
      </c>
      <c r="N2425" s="3">
        <v>232</v>
      </c>
      <c r="O2425" t="s">
        <v>24</v>
      </c>
      <c r="P2425" t="s">
        <v>56</v>
      </c>
      <c r="R2425">
        <f>tblDailySchedule[[#This Row],[Capacity Approx]]*'[1]Load Factor Sheet June Acft  '!$B$5</f>
        <v>187.86727272727273</v>
      </c>
      <c r="S2425">
        <f>tblDailySchedule[[#This Row],[Capacity Approx]]*'[1]Load Factor Sheet June Acft  '!$D$5</f>
        <v>203.4218181818182</v>
      </c>
      <c r="T2425" s="22">
        <f>tblDailySchedule[[#This Row],[STD]]</f>
        <v>0.62847222222222221</v>
      </c>
    </row>
    <row r="2426" spans="1:20" hidden="1" x14ac:dyDescent="0.35">
      <c r="A2426" s="11">
        <v>46197</v>
      </c>
      <c r="B2426" s="3">
        <v>3</v>
      </c>
      <c r="C2426" t="s">
        <v>113</v>
      </c>
      <c r="D2426" t="s">
        <v>18</v>
      </c>
      <c r="E2426" s="3">
        <v>16</v>
      </c>
      <c r="F2426" t="s">
        <v>19</v>
      </c>
      <c r="G2426" t="s">
        <v>67</v>
      </c>
      <c r="H2426" t="s">
        <v>31</v>
      </c>
      <c r="I2426" s="12">
        <v>0.65625</v>
      </c>
      <c r="J2426" t="s">
        <v>68</v>
      </c>
      <c r="K2426" t="s">
        <v>31</v>
      </c>
      <c r="L2426" s="12">
        <v>0.68402777777777779</v>
      </c>
      <c r="M2426" t="s">
        <v>63</v>
      </c>
      <c r="N2426" s="3">
        <v>232</v>
      </c>
      <c r="O2426" t="s">
        <v>24</v>
      </c>
      <c r="P2426" t="s">
        <v>56</v>
      </c>
      <c r="R2426">
        <f>tblDailySchedule[[#This Row],[Capacity Approx]]*'[1]Load Factor Sheet June Acft  '!$B$5</f>
        <v>187.86727272727273</v>
      </c>
      <c r="S2426">
        <f>tblDailySchedule[[#This Row],[Capacity Approx]]*'[1]Load Factor Sheet June Acft  '!$D$5</f>
        <v>203.4218181818182</v>
      </c>
      <c r="T2426" s="22">
        <f>tblDailySchedule[[#This Row],[STD]]</f>
        <v>0.68402777777777779</v>
      </c>
    </row>
    <row r="2427" spans="1:20" hidden="1" x14ac:dyDescent="0.35">
      <c r="A2427" s="11">
        <v>46197</v>
      </c>
      <c r="B2427" s="3">
        <v>3</v>
      </c>
      <c r="C2427" t="s">
        <v>113</v>
      </c>
      <c r="D2427" t="s">
        <v>18</v>
      </c>
      <c r="E2427" s="3">
        <v>17</v>
      </c>
      <c r="F2427" t="s">
        <v>19</v>
      </c>
      <c r="G2427" t="s">
        <v>69</v>
      </c>
      <c r="H2427" t="s">
        <v>31</v>
      </c>
      <c r="I2427" s="12">
        <v>0.66319444444444442</v>
      </c>
      <c r="J2427" t="s">
        <v>70</v>
      </c>
      <c r="K2427" t="s">
        <v>31</v>
      </c>
      <c r="L2427" s="12">
        <v>0.69097222222222221</v>
      </c>
      <c r="M2427" t="s">
        <v>33</v>
      </c>
      <c r="N2427" s="3">
        <v>189</v>
      </c>
      <c r="O2427" t="s">
        <v>24</v>
      </c>
      <c r="P2427" t="s">
        <v>56</v>
      </c>
      <c r="R2427">
        <f>tblDailySchedule[[#This Row],[Capacity Approx]]*'[1]Load Factor Sheet June Acft  '!$B$5</f>
        <v>153.04704545454547</v>
      </c>
      <c r="S2427">
        <f>tblDailySchedule[[#This Row],[Capacity Approx]]*'[1]Load Factor Sheet June Acft  '!$D$5</f>
        <v>165.71863636363636</v>
      </c>
      <c r="T2427" s="22">
        <f>tblDailySchedule[[#This Row],[STD]]</f>
        <v>0.69097222222222221</v>
      </c>
    </row>
    <row r="2428" spans="1:20" hidden="1" x14ac:dyDescent="0.35">
      <c r="A2428" s="11">
        <v>46197</v>
      </c>
      <c r="B2428" s="3">
        <v>3</v>
      </c>
      <c r="C2428" t="s">
        <v>113</v>
      </c>
      <c r="D2428" t="s">
        <v>18</v>
      </c>
      <c r="E2428" s="3">
        <v>18</v>
      </c>
      <c r="F2428" t="s">
        <v>19</v>
      </c>
      <c r="G2428" t="s">
        <v>71</v>
      </c>
      <c r="H2428" t="s">
        <v>21</v>
      </c>
      <c r="I2428" s="12">
        <v>0.67013888888888884</v>
      </c>
      <c r="J2428" t="s">
        <v>72</v>
      </c>
      <c r="K2428" t="s">
        <v>21</v>
      </c>
      <c r="L2428" s="12">
        <v>0.69791666666666663</v>
      </c>
      <c r="M2428" t="s">
        <v>63</v>
      </c>
      <c r="N2428" s="3">
        <v>232</v>
      </c>
      <c r="O2428" t="s">
        <v>24</v>
      </c>
      <c r="P2428" t="s">
        <v>56</v>
      </c>
      <c r="R2428">
        <f>tblDailySchedule[[#This Row],[Capacity Approx]]*'[1]Load Factor Sheet June Acft  '!$B$5</f>
        <v>187.86727272727273</v>
      </c>
      <c r="S2428">
        <f>tblDailySchedule[[#This Row],[Capacity Approx]]*'[1]Load Factor Sheet June Acft  '!$D$5</f>
        <v>203.4218181818182</v>
      </c>
      <c r="T2428" s="22">
        <f>tblDailySchedule[[#This Row],[STD]]</f>
        <v>0.69791666666666663</v>
      </c>
    </row>
    <row r="2429" spans="1:20" hidden="1" x14ac:dyDescent="0.35">
      <c r="A2429" s="11">
        <v>46197</v>
      </c>
      <c r="B2429" s="3">
        <v>3</v>
      </c>
      <c r="C2429" t="s">
        <v>113</v>
      </c>
      <c r="D2429" t="s">
        <v>18</v>
      </c>
      <c r="E2429" s="3">
        <v>19</v>
      </c>
      <c r="F2429" t="s">
        <v>19</v>
      </c>
      <c r="G2429" t="s">
        <v>73</v>
      </c>
      <c r="H2429" t="s">
        <v>27</v>
      </c>
      <c r="I2429" s="12">
        <v>0.74652777777777779</v>
      </c>
      <c r="J2429" t="s">
        <v>74</v>
      </c>
      <c r="K2429" t="s">
        <v>27</v>
      </c>
      <c r="L2429" s="12">
        <v>0.77430555555555558</v>
      </c>
      <c r="M2429" t="s">
        <v>63</v>
      </c>
      <c r="N2429" s="3">
        <v>232</v>
      </c>
      <c r="O2429" t="s">
        <v>24</v>
      </c>
      <c r="P2429" t="s">
        <v>56</v>
      </c>
      <c r="R2429">
        <f>tblDailySchedule[[#This Row],[Capacity Approx]]*'[1]Load Factor Sheet June Acft  '!$B$5</f>
        <v>187.86727272727273</v>
      </c>
      <c r="S2429">
        <f>tblDailySchedule[[#This Row],[Capacity Approx]]*'[1]Load Factor Sheet June Acft  '!$D$5</f>
        <v>203.4218181818182</v>
      </c>
      <c r="T2429" s="22">
        <f>tblDailySchedule[[#This Row],[STD]]</f>
        <v>0.77430555555555558</v>
      </c>
    </row>
    <row r="2430" spans="1:20" hidden="1" x14ac:dyDescent="0.35">
      <c r="A2430" s="11">
        <v>46197</v>
      </c>
      <c r="B2430" s="3">
        <v>3</v>
      </c>
      <c r="C2430" t="s">
        <v>113</v>
      </c>
      <c r="D2430" t="s">
        <v>18</v>
      </c>
      <c r="E2430" s="3">
        <v>20</v>
      </c>
      <c r="F2430" t="s">
        <v>34</v>
      </c>
      <c r="G2430" t="s">
        <v>75</v>
      </c>
      <c r="H2430" t="s">
        <v>76</v>
      </c>
      <c r="I2430" s="12">
        <v>0.76388888888888884</v>
      </c>
      <c r="J2430" t="s">
        <v>77</v>
      </c>
      <c r="K2430" t="s">
        <v>78</v>
      </c>
      <c r="L2430" s="12">
        <v>0.78472222222222221</v>
      </c>
      <c r="M2430" t="s">
        <v>51</v>
      </c>
      <c r="N2430" s="3">
        <v>78</v>
      </c>
      <c r="O2430" t="s">
        <v>24</v>
      </c>
      <c r="P2430" t="s">
        <v>79</v>
      </c>
      <c r="Q2430" s="16" t="s">
        <v>80</v>
      </c>
      <c r="R2430">
        <f>tblDailySchedule[[#This Row],[Capacity Approx]]*'[1]Load Factor Sheet June Acft  '!$B$5</f>
        <v>63.162272727272729</v>
      </c>
      <c r="S2430">
        <f>tblDailySchedule[[#This Row],[Capacity Approx]]*'[1]Load Factor Sheet June Acft  '!$D$5</f>
        <v>68.391818181818181</v>
      </c>
      <c r="T2430" s="22">
        <f>tblDailySchedule[[#This Row],[STD]]</f>
        <v>0.78472222222222221</v>
      </c>
    </row>
    <row r="2431" spans="1:20" hidden="1" x14ac:dyDescent="0.35">
      <c r="A2431" s="11">
        <v>46197</v>
      </c>
      <c r="B2431" s="3">
        <v>3</v>
      </c>
      <c r="C2431" t="s">
        <v>113</v>
      </c>
      <c r="D2431" t="s">
        <v>18</v>
      </c>
      <c r="E2431" s="3">
        <v>21</v>
      </c>
      <c r="F2431" t="s">
        <v>19</v>
      </c>
      <c r="G2431" t="s">
        <v>81</v>
      </c>
      <c r="H2431" t="s">
        <v>61</v>
      </c>
      <c r="I2431" s="12">
        <v>0.77083333333333337</v>
      </c>
      <c r="J2431" t="s">
        <v>82</v>
      </c>
      <c r="K2431" t="s">
        <v>49</v>
      </c>
      <c r="L2431" s="12">
        <v>0.79166666666666663</v>
      </c>
      <c r="M2431" t="s">
        <v>33</v>
      </c>
      <c r="N2431" s="3">
        <v>189</v>
      </c>
      <c r="O2431" t="s">
        <v>24</v>
      </c>
      <c r="P2431" t="s">
        <v>79</v>
      </c>
      <c r="R2431">
        <f>tblDailySchedule[[#This Row],[Capacity Approx]]*'[1]Load Factor Sheet June Acft  '!$B$5</f>
        <v>153.04704545454547</v>
      </c>
      <c r="S2431">
        <f>tblDailySchedule[[#This Row],[Capacity Approx]]*'[1]Load Factor Sheet June Acft  '!$D$5</f>
        <v>165.71863636363636</v>
      </c>
      <c r="T2431" s="22">
        <f>tblDailySchedule[[#This Row],[STD]]</f>
        <v>0.79166666666666663</v>
      </c>
    </row>
    <row r="2432" spans="1:20" hidden="1" x14ac:dyDescent="0.35">
      <c r="A2432" s="11">
        <v>46197</v>
      </c>
      <c r="B2432" s="3">
        <v>3</v>
      </c>
      <c r="C2432" t="s">
        <v>113</v>
      </c>
      <c r="D2432" t="s">
        <v>18</v>
      </c>
      <c r="E2432" s="3">
        <v>22</v>
      </c>
      <c r="F2432" t="s">
        <v>19</v>
      </c>
      <c r="G2432" t="s">
        <v>83</v>
      </c>
      <c r="H2432" t="s">
        <v>31</v>
      </c>
      <c r="I2432" s="12">
        <v>0.77777777777777779</v>
      </c>
      <c r="J2432" t="s">
        <v>84</v>
      </c>
      <c r="K2432" t="s">
        <v>31</v>
      </c>
      <c r="L2432" s="12">
        <v>0.80555555555555558</v>
      </c>
      <c r="M2432" t="s">
        <v>63</v>
      </c>
      <c r="N2432" s="3">
        <v>232</v>
      </c>
      <c r="O2432" t="s">
        <v>24</v>
      </c>
      <c r="P2432" t="s">
        <v>79</v>
      </c>
      <c r="R2432">
        <f>tblDailySchedule[[#This Row],[Capacity Approx]]*'[1]Load Factor Sheet June Acft  '!$B$5</f>
        <v>187.86727272727273</v>
      </c>
      <c r="S2432">
        <f>tblDailySchedule[[#This Row],[Capacity Approx]]*'[1]Load Factor Sheet June Acft  '!$D$5</f>
        <v>203.4218181818182</v>
      </c>
      <c r="T2432" s="22">
        <f>tblDailySchedule[[#This Row],[STD]]</f>
        <v>0.80555555555555558</v>
      </c>
    </row>
    <row r="2433" spans="1:20" hidden="1" x14ac:dyDescent="0.35">
      <c r="A2433" s="11">
        <v>46197</v>
      </c>
      <c r="B2433" s="3">
        <v>3</v>
      </c>
      <c r="C2433" t="s">
        <v>113</v>
      </c>
      <c r="D2433" t="s">
        <v>18</v>
      </c>
      <c r="E2433" s="3">
        <v>23</v>
      </c>
      <c r="F2433" t="s">
        <v>19</v>
      </c>
      <c r="G2433" t="s">
        <v>85</v>
      </c>
      <c r="H2433" t="s">
        <v>86</v>
      </c>
      <c r="I2433" s="12">
        <v>0.79861111111111116</v>
      </c>
      <c r="J2433" t="s">
        <v>87</v>
      </c>
      <c r="K2433" t="s">
        <v>86</v>
      </c>
      <c r="L2433" s="12">
        <v>0.82638888888888884</v>
      </c>
      <c r="M2433" t="s">
        <v>63</v>
      </c>
      <c r="N2433" s="3">
        <v>232</v>
      </c>
      <c r="O2433" t="s">
        <v>24</v>
      </c>
      <c r="P2433" t="s">
        <v>79</v>
      </c>
      <c r="R2433">
        <f>tblDailySchedule[[#This Row],[Capacity Approx]]*'[1]Load Factor Sheet June Acft  '!$B$5</f>
        <v>187.86727272727273</v>
      </c>
      <c r="S2433">
        <f>tblDailySchedule[[#This Row],[Capacity Approx]]*'[1]Load Factor Sheet June Acft  '!$D$5</f>
        <v>203.4218181818182</v>
      </c>
      <c r="T2433" s="22">
        <f>tblDailySchedule[[#This Row],[STD]]</f>
        <v>0.82638888888888884</v>
      </c>
    </row>
    <row r="2434" spans="1:20" hidden="1" x14ac:dyDescent="0.35">
      <c r="A2434" s="11">
        <v>46197</v>
      </c>
      <c r="B2434" s="3">
        <v>3</v>
      </c>
      <c r="C2434" t="s">
        <v>113</v>
      </c>
      <c r="D2434" t="s">
        <v>18</v>
      </c>
      <c r="E2434" s="3">
        <v>24</v>
      </c>
      <c r="F2434" t="s">
        <v>19</v>
      </c>
      <c r="G2434" t="s">
        <v>88</v>
      </c>
      <c r="H2434" t="s">
        <v>89</v>
      </c>
      <c r="I2434" s="12">
        <v>0.83333333333333337</v>
      </c>
      <c r="J2434" t="s">
        <v>90</v>
      </c>
      <c r="K2434" t="s">
        <v>31</v>
      </c>
      <c r="L2434" s="12">
        <v>0.86111111111111116</v>
      </c>
      <c r="M2434" t="s">
        <v>63</v>
      </c>
      <c r="N2434" s="3">
        <v>232</v>
      </c>
      <c r="O2434" t="s">
        <v>24</v>
      </c>
      <c r="P2434" t="s">
        <v>79</v>
      </c>
      <c r="R2434">
        <f>tblDailySchedule[[#This Row],[Capacity Approx]]*'[1]Load Factor Sheet June Acft  '!$B$5</f>
        <v>187.86727272727273</v>
      </c>
      <c r="S2434">
        <f>tblDailySchedule[[#This Row],[Capacity Approx]]*'[1]Load Factor Sheet June Acft  '!$D$5</f>
        <v>203.4218181818182</v>
      </c>
      <c r="T2434" s="22">
        <f>tblDailySchedule[[#This Row],[STD]]</f>
        <v>0.86111111111111116</v>
      </c>
    </row>
    <row r="2435" spans="1:20" hidden="1" x14ac:dyDescent="0.35">
      <c r="A2435" s="11">
        <v>46197</v>
      </c>
      <c r="B2435" s="3">
        <v>3</v>
      </c>
      <c r="C2435" t="s">
        <v>113</v>
      </c>
      <c r="D2435" t="s">
        <v>18</v>
      </c>
      <c r="E2435" s="3">
        <v>25</v>
      </c>
      <c r="F2435" t="s">
        <v>19</v>
      </c>
      <c r="G2435" t="s">
        <v>91</v>
      </c>
      <c r="H2435" t="s">
        <v>61</v>
      </c>
      <c r="I2435" s="12">
        <v>0.85416666666666663</v>
      </c>
      <c r="J2435" t="s">
        <v>92</v>
      </c>
      <c r="K2435" t="s">
        <v>61</v>
      </c>
      <c r="L2435" s="12">
        <v>0.88194444444444442</v>
      </c>
      <c r="M2435" t="s">
        <v>63</v>
      </c>
      <c r="N2435" s="3">
        <v>232</v>
      </c>
      <c r="O2435" t="s">
        <v>24</v>
      </c>
      <c r="P2435" t="s">
        <v>79</v>
      </c>
      <c r="R2435">
        <f>tblDailySchedule[[#This Row],[Capacity Approx]]*'[1]Load Factor Sheet June Acft  '!$B$5</f>
        <v>187.86727272727273</v>
      </c>
      <c r="S2435">
        <f>tblDailySchedule[[#This Row],[Capacity Approx]]*'[1]Load Factor Sheet June Acft  '!$D$5</f>
        <v>203.4218181818182</v>
      </c>
      <c r="T2435" s="22">
        <f>tblDailySchedule[[#This Row],[STD]]</f>
        <v>0.88194444444444442</v>
      </c>
    </row>
    <row r="2436" spans="1:20" hidden="1" x14ac:dyDescent="0.35">
      <c r="A2436" s="11">
        <v>46197</v>
      </c>
      <c r="B2436" s="3">
        <v>3</v>
      </c>
      <c r="C2436" t="s">
        <v>113</v>
      </c>
      <c r="D2436" t="s">
        <v>18</v>
      </c>
      <c r="E2436" s="3">
        <v>26</v>
      </c>
      <c r="F2436" t="s">
        <v>19</v>
      </c>
      <c r="G2436" t="s">
        <v>93</v>
      </c>
      <c r="H2436" t="s">
        <v>31</v>
      </c>
      <c r="I2436" s="12">
        <v>0.86111111111111116</v>
      </c>
      <c r="J2436" t="s">
        <v>94</v>
      </c>
      <c r="K2436" t="s">
        <v>31</v>
      </c>
      <c r="L2436" s="12">
        <v>0.88888888888888884</v>
      </c>
      <c r="M2436" t="s">
        <v>23</v>
      </c>
      <c r="N2436" s="3">
        <v>186</v>
      </c>
      <c r="O2436" t="s">
        <v>24</v>
      </c>
      <c r="P2436" t="s">
        <v>79</v>
      </c>
      <c r="R2436">
        <f>tblDailySchedule[[#This Row],[Capacity Approx]]*'[1]Load Factor Sheet June Acft  '!$B$5</f>
        <v>150.61772727272728</v>
      </c>
      <c r="S2436">
        <f>tblDailySchedule[[#This Row],[Capacity Approx]]*'[1]Load Factor Sheet June Acft  '!$D$5</f>
        <v>163.08818181818182</v>
      </c>
      <c r="T2436" s="22">
        <f>tblDailySchedule[[#This Row],[STD]]</f>
        <v>0.88888888888888884</v>
      </c>
    </row>
    <row r="2437" spans="1:20" hidden="1" x14ac:dyDescent="0.35">
      <c r="A2437" s="11">
        <v>46197</v>
      </c>
      <c r="B2437" s="3">
        <v>3</v>
      </c>
      <c r="C2437" t="s">
        <v>113</v>
      </c>
      <c r="D2437" t="s">
        <v>18</v>
      </c>
      <c r="E2437" s="3">
        <v>27</v>
      </c>
      <c r="F2437" t="s">
        <v>19</v>
      </c>
      <c r="G2437" t="s">
        <v>95</v>
      </c>
      <c r="H2437" t="s">
        <v>21</v>
      </c>
      <c r="I2437" s="12">
        <v>0.86805555555555558</v>
      </c>
      <c r="J2437" t="s">
        <v>96</v>
      </c>
      <c r="K2437" t="s">
        <v>21</v>
      </c>
      <c r="L2437" s="12">
        <v>0.89583333333333337</v>
      </c>
      <c r="M2437" t="s">
        <v>29</v>
      </c>
      <c r="N2437" s="3">
        <v>186</v>
      </c>
      <c r="O2437" t="s">
        <v>24</v>
      </c>
      <c r="P2437" t="s">
        <v>79</v>
      </c>
      <c r="R2437">
        <f>tblDailySchedule[[#This Row],[Capacity Approx]]*'[1]Load Factor Sheet June Acft  '!$B$5</f>
        <v>150.61772727272728</v>
      </c>
      <c r="S2437">
        <f>tblDailySchedule[[#This Row],[Capacity Approx]]*'[1]Load Factor Sheet June Acft  '!$D$5</f>
        <v>163.08818181818182</v>
      </c>
      <c r="T2437" s="22">
        <f>tblDailySchedule[[#This Row],[STD]]</f>
        <v>0.89583333333333337</v>
      </c>
    </row>
    <row r="2438" spans="1:20" hidden="1" x14ac:dyDescent="0.35">
      <c r="A2438" s="11">
        <v>46197</v>
      </c>
      <c r="B2438" s="3">
        <v>3</v>
      </c>
      <c r="C2438" t="s">
        <v>113</v>
      </c>
      <c r="D2438" t="s">
        <v>18</v>
      </c>
      <c r="E2438" s="3">
        <v>28</v>
      </c>
      <c r="F2438" t="s">
        <v>19</v>
      </c>
      <c r="G2438" t="s">
        <v>97</v>
      </c>
      <c r="H2438" t="s">
        <v>49</v>
      </c>
      <c r="I2438" s="12">
        <v>0.90277777777777779</v>
      </c>
      <c r="J2438" t="s">
        <v>97</v>
      </c>
      <c r="K2438" t="s">
        <v>61</v>
      </c>
      <c r="L2438" s="12">
        <v>0.92361111111111116</v>
      </c>
      <c r="M2438" t="s">
        <v>33</v>
      </c>
      <c r="N2438" s="3">
        <v>189</v>
      </c>
      <c r="O2438" t="s">
        <v>24</v>
      </c>
      <c r="P2438" t="s">
        <v>79</v>
      </c>
      <c r="R2438">
        <f>tblDailySchedule[[#This Row],[Capacity Approx]]*'[1]Load Factor Sheet June Acft  '!$B$5</f>
        <v>153.04704545454547</v>
      </c>
      <c r="S2438">
        <f>tblDailySchedule[[#This Row],[Capacity Approx]]*'[1]Load Factor Sheet June Acft  '!$D$5</f>
        <v>165.71863636363636</v>
      </c>
      <c r="T2438" s="22">
        <f>tblDailySchedule[[#This Row],[STD]]</f>
        <v>0.92361111111111116</v>
      </c>
    </row>
    <row r="2439" spans="1:20" hidden="1" x14ac:dyDescent="0.35">
      <c r="A2439" s="11">
        <v>46197</v>
      </c>
      <c r="B2439" s="3">
        <v>3</v>
      </c>
      <c r="C2439" t="s">
        <v>113</v>
      </c>
      <c r="D2439" t="s">
        <v>18</v>
      </c>
      <c r="E2439" s="3">
        <v>29</v>
      </c>
      <c r="F2439" t="s">
        <v>19</v>
      </c>
      <c r="G2439" t="s">
        <v>98</v>
      </c>
      <c r="H2439" t="s">
        <v>21</v>
      </c>
      <c r="I2439" s="12">
        <v>0.92013888888888884</v>
      </c>
      <c r="J2439" t="s">
        <v>99</v>
      </c>
      <c r="K2439" t="s">
        <v>21</v>
      </c>
      <c r="L2439" s="12">
        <v>0.94791666666666663</v>
      </c>
      <c r="M2439" t="s">
        <v>63</v>
      </c>
      <c r="N2439" s="3">
        <v>232</v>
      </c>
      <c r="O2439" t="s">
        <v>24</v>
      </c>
      <c r="P2439" t="s">
        <v>79</v>
      </c>
      <c r="R2439">
        <f>tblDailySchedule[[#This Row],[Capacity Approx]]*'[1]Load Factor Sheet June Acft  '!$B$5</f>
        <v>187.86727272727273</v>
      </c>
      <c r="S2439">
        <f>tblDailySchedule[[#This Row],[Capacity Approx]]*'[1]Load Factor Sheet June Acft  '!$D$5</f>
        <v>203.4218181818182</v>
      </c>
      <c r="T2439" s="22">
        <f>tblDailySchedule[[#This Row],[STD]]</f>
        <v>0.94791666666666663</v>
      </c>
    </row>
    <row r="2440" spans="1:20" hidden="1" x14ac:dyDescent="0.35">
      <c r="A2440" s="13">
        <v>46197</v>
      </c>
      <c r="B2440" s="7">
        <v>3</v>
      </c>
      <c r="C2440" s="14" t="s">
        <v>113</v>
      </c>
      <c r="D2440" s="14" t="s">
        <v>18</v>
      </c>
      <c r="E2440" s="7">
        <v>30</v>
      </c>
      <c r="F2440" s="14" t="s">
        <v>104</v>
      </c>
      <c r="G2440" s="14" t="s">
        <v>105</v>
      </c>
      <c r="H2440" s="14" t="s">
        <v>106</v>
      </c>
      <c r="I2440" s="15">
        <v>0.92708333333333337</v>
      </c>
      <c r="J2440" s="14" t="s">
        <v>107</v>
      </c>
      <c r="K2440" s="14" t="s">
        <v>106</v>
      </c>
      <c r="L2440" s="15">
        <v>0.95833333333333337</v>
      </c>
      <c r="M2440" s="14" t="s">
        <v>38</v>
      </c>
      <c r="N2440" s="7">
        <v>186</v>
      </c>
      <c r="O2440" s="14" t="s">
        <v>39</v>
      </c>
      <c r="P2440" s="14" t="s">
        <v>79</v>
      </c>
      <c r="Q2440" s="14" t="s">
        <v>39</v>
      </c>
      <c r="R2440">
        <f>tblDailySchedule[[#This Row],[Capacity Approx]]*'[1]Load Factor Sheet June Acft  '!$B$5</f>
        <v>150.61772727272728</v>
      </c>
      <c r="S2440">
        <f>tblDailySchedule[[#This Row],[Capacity Approx]]*'[1]Load Factor Sheet June Acft  '!$D$5</f>
        <v>163.08818181818182</v>
      </c>
      <c r="T2440" s="22">
        <f>tblDailySchedule[[#This Row],[STD]]</f>
        <v>0.95833333333333337</v>
      </c>
    </row>
    <row r="2441" spans="1:20" hidden="1" x14ac:dyDescent="0.35">
      <c r="A2441" s="11">
        <v>46198</v>
      </c>
      <c r="B2441" s="3">
        <v>4</v>
      </c>
      <c r="C2441" t="s">
        <v>114</v>
      </c>
      <c r="D2441" t="s">
        <v>18</v>
      </c>
      <c r="E2441" s="3">
        <v>1</v>
      </c>
      <c r="F2441" t="s">
        <v>101</v>
      </c>
      <c r="G2441" t="s">
        <v>102</v>
      </c>
      <c r="H2441" t="s">
        <v>61</v>
      </c>
      <c r="I2441" s="12">
        <v>0.3125</v>
      </c>
      <c r="J2441" t="s">
        <v>103</v>
      </c>
      <c r="K2441" t="s">
        <v>61</v>
      </c>
      <c r="L2441" s="12">
        <v>0.33333333333333331</v>
      </c>
      <c r="M2441" t="s">
        <v>33</v>
      </c>
      <c r="N2441" s="3">
        <v>189</v>
      </c>
      <c r="O2441" t="s">
        <v>24</v>
      </c>
      <c r="P2441" t="s">
        <v>25</v>
      </c>
      <c r="R2441">
        <f>tblDailySchedule[[#This Row],[Capacity Approx]]*'[1]Load Factor Sheet June Acft  '!$B$5</f>
        <v>153.04704545454547</v>
      </c>
      <c r="S2441">
        <f>tblDailySchedule[[#This Row],[Capacity Approx]]*'[1]Load Factor Sheet June Acft  '!$D$5</f>
        <v>165.71863636363636</v>
      </c>
      <c r="T2441" s="22">
        <f>tblDailySchedule[[#This Row],[STD]]</f>
        <v>0.33333333333333331</v>
      </c>
    </row>
    <row r="2442" spans="1:20" hidden="1" x14ac:dyDescent="0.35">
      <c r="A2442" s="11">
        <v>46198</v>
      </c>
      <c r="B2442" s="3">
        <v>4</v>
      </c>
      <c r="C2442" t="s">
        <v>114</v>
      </c>
      <c r="D2442" t="s">
        <v>18</v>
      </c>
      <c r="E2442" s="3">
        <v>2</v>
      </c>
      <c r="F2442" t="s">
        <v>19</v>
      </c>
      <c r="G2442" t="s">
        <v>20</v>
      </c>
      <c r="H2442" t="s">
        <v>21</v>
      </c>
      <c r="I2442" s="12">
        <v>0.31944444444444442</v>
      </c>
      <c r="J2442" t="s">
        <v>22</v>
      </c>
      <c r="K2442" t="s">
        <v>21</v>
      </c>
      <c r="L2442" s="12">
        <v>0.34722222222222221</v>
      </c>
      <c r="M2442" t="s">
        <v>23</v>
      </c>
      <c r="N2442" s="3">
        <v>186</v>
      </c>
      <c r="O2442" t="s">
        <v>24</v>
      </c>
      <c r="P2442" t="s">
        <v>25</v>
      </c>
      <c r="R2442">
        <f>tblDailySchedule[[#This Row],[Capacity Approx]]*'[1]Load Factor Sheet June Acft  '!$B$5</f>
        <v>150.61772727272728</v>
      </c>
      <c r="S2442">
        <f>tblDailySchedule[[#This Row],[Capacity Approx]]*'[1]Load Factor Sheet June Acft  '!$D$5</f>
        <v>163.08818181818182</v>
      </c>
      <c r="T2442" s="22">
        <f>tblDailySchedule[[#This Row],[STD]]</f>
        <v>0.34722222222222221</v>
      </c>
    </row>
    <row r="2443" spans="1:20" hidden="1" x14ac:dyDescent="0.35">
      <c r="A2443" s="11">
        <v>46198</v>
      </c>
      <c r="B2443" s="3">
        <v>4</v>
      </c>
      <c r="C2443" t="s">
        <v>114</v>
      </c>
      <c r="D2443" t="s">
        <v>18</v>
      </c>
      <c r="E2443" s="3">
        <v>3</v>
      </c>
      <c r="F2443" t="s">
        <v>19</v>
      </c>
      <c r="G2443" t="s">
        <v>26</v>
      </c>
      <c r="H2443" t="s">
        <v>27</v>
      </c>
      <c r="I2443" s="12">
        <v>0.3263888888888889</v>
      </c>
      <c r="J2443" t="s">
        <v>28</v>
      </c>
      <c r="K2443" t="s">
        <v>27</v>
      </c>
      <c r="L2443" s="12">
        <v>0.35416666666666669</v>
      </c>
      <c r="M2443" t="s">
        <v>29</v>
      </c>
      <c r="N2443" s="3">
        <v>186</v>
      </c>
      <c r="O2443" t="s">
        <v>24</v>
      </c>
      <c r="P2443" t="s">
        <v>25</v>
      </c>
      <c r="R2443">
        <f>tblDailySchedule[[#This Row],[Capacity Approx]]*'[1]Load Factor Sheet June Acft  '!$B$5</f>
        <v>150.61772727272728</v>
      </c>
      <c r="S2443">
        <f>tblDailySchedule[[#This Row],[Capacity Approx]]*'[1]Load Factor Sheet June Acft  '!$D$5</f>
        <v>163.08818181818182</v>
      </c>
      <c r="T2443" s="22">
        <f>tblDailySchedule[[#This Row],[STD]]</f>
        <v>0.35416666666666669</v>
      </c>
    </row>
    <row r="2444" spans="1:20" hidden="1" x14ac:dyDescent="0.35">
      <c r="A2444" s="11">
        <v>46198</v>
      </c>
      <c r="B2444" s="3">
        <v>4</v>
      </c>
      <c r="C2444" t="s">
        <v>114</v>
      </c>
      <c r="D2444" t="s">
        <v>18</v>
      </c>
      <c r="E2444" s="3">
        <v>4</v>
      </c>
      <c r="F2444" t="s">
        <v>19</v>
      </c>
      <c r="G2444" t="s">
        <v>30</v>
      </c>
      <c r="H2444" t="s">
        <v>31</v>
      </c>
      <c r="I2444" s="12">
        <v>0.34722222222222221</v>
      </c>
      <c r="J2444" t="s">
        <v>32</v>
      </c>
      <c r="K2444" t="s">
        <v>31</v>
      </c>
      <c r="L2444" s="12">
        <v>0.36805555555555558</v>
      </c>
      <c r="M2444" t="s">
        <v>33</v>
      </c>
      <c r="N2444" s="3">
        <v>189</v>
      </c>
      <c r="O2444" t="s">
        <v>24</v>
      </c>
      <c r="P2444" t="s">
        <v>25</v>
      </c>
      <c r="R2444">
        <f>tblDailySchedule[[#This Row],[Capacity Approx]]*'[1]Load Factor Sheet June Acft  '!$B$5</f>
        <v>153.04704545454547</v>
      </c>
      <c r="S2444">
        <f>tblDailySchedule[[#This Row],[Capacity Approx]]*'[1]Load Factor Sheet June Acft  '!$D$5</f>
        <v>165.71863636363636</v>
      </c>
      <c r="T2444" s="22">
        <f>tblDailySchedule[[#This Row],[STD]]</f>
        <v>0.36805555555555558</v>
      </c>
    </row>
    <row r="2445" spans="1:20" hidden="1" x14ac:dyDescent="0.35">
      <c r="A2445" s="11">
        <v>46198</v>
      </c>
      <c r="B2445" s="3">
        <v>4</v>
      </c>
      <c r="C2445" t="s">
        <v>114</v>
      </c>
      <c r="D2445" t="s">
        <v>18</v>
      </c>
      <c r="E2445" s="3">
        <v>5</v>
      </c>
      <c r="F2445" t="s">
        <v>19</v>
      </c>
      <c r="G2445" t="s">
        <v>40</v>
      </c>
      <c r="H2445" t="s">
        <v>31</v>
      </c>
      <c r="I2445" s="12">
        <v>0.35069444444444442</v>
      </c>
      <c r="J2445" t="s">
        <v>41</v>
      </c>
      <c r="K2445" t="s">
        <v>31</v>
      </c>
      <c r="L2445" s="12">
        <v>0.37152777777777779</v>
      </c>
      <c r="M2445" t="s">
        <v>23</v>
      </c>
      <c r="N2445" s="3">
        <v>186</v>
      </c>
      <c r="O2445" t="s">
        <v>24</v>
      </c>
      <c r="P2445" t="s">
        <v>25</v>
      </c>
      <c r="R2445">
        <f>tblDailySchedule[[#This Row],[Capacity Approx]]*'[1]Load Factor Sheet June Acft  '!$B$5</f>
        <v>150.61772727272728</v>
      </c>
      <c r="S2445">
        <f>tblDailySchedule[[#This Row],[Capacity Approx]]*'[1]Load Factor Sheet June Acft  '!$D$5</f>
        <v>163.08818181818182</v>
      </c>
      <c r="T2445" s="22">
        <f>tblDailySchedule[[#This Row],[STD]]</f>
        <v>0.37152777777777779</v>
      </c>
    </row>
    <row r="2446" spans="1:20" hidden="1" x14ac:dyDescent="0.35">
      <c r="A2446" s="11">
        <v>46198</v>
      </c>
      <c r="B2446" s="3">
        <v>4</v>
      </c>
      <c r="C2446" t="s">
        <v>114</v>
      </c>
      <c r="D2446" t="s">
        <v>18</v>
      </c>
      <c r="E2446" s="3">
        <v>7</v>
      </c>
      <c r="F2446" t="s">
        <v>19</v>
      </c>
      <c r="G2446" t="s">
        <v>42</v>
      </c>
      <c r="H2446" t="s">
        <v>43</v>
      </c>
      <c r="I2446" s="12">
        <v>0.3923611111111111</v>
      </c>
      <c r="J2446" t="s">
        <v>44</v>
      </c>
      <c r="K2446" t="s">
        <v>43</v>
      </c>
      <c r="L2446" s="12">
        <v>0.40277777777777779</v>
      </c>
      <c r="M2446" t="s">
        <v>45</v>
      </c>
      <c r="N2446" s="3">
        <v>9</v>
      </c>
      <c r="O2446" t="s">
        <v>24</v>
      </c>
      <c r="P2446" t="s">
        <v>25</v>
      </c>
      <c r="R2446">
        <f>tblDailySchedule[[#This Row],[Capacity Approx]]*'[1]Load Factor Sheet June Acft  '!$B$5</f>
        <v>7.2879545454545456</v>
      </c>
      <c r="S2446">
        <f>tblDailySchedule[[#This Row],[Capacity Approx]]*'[1]Load Factor Sheet June Acft  '!$D$5</f>
        <v>7.8913636363636366</v>
      </c>
      <c r="T2446" s="22">
        <f>tblDailySchedule[[#This Row],[STD]]</f>
        <v>0.40277777777777779</v>
      </c>
    </row>
    <row r="2447" spans="1:20" hidden="1" x14ac:dyDescent="0.35">
      <c r="A2447" s="11">
        <v>46198</v>
      </c>
      <c r="B2447" s="3">
        <v>4</v>
      </c>
      <c r="C2447" t="s">
        <v>114</v>
      </c>
      <c r="D2447" t="s">
        <v>18</v>
      </c>
      <c r="E2447" s="3">
        <v>8</v>
      </c>
      <c r="F2447" t="s">
        <v>19</v>
      </c>
      <c r="G2447" t="s">
        <v>46</v>
      </c>
      <c r="H2447" t="s">
        <v>31</v>
      </c>
      <c r="I2447" s="12">
        <v>0.4201388888888889</v>
      </c>
      <c r="J2447" t="s">
        <v>47</v>
      </c>
      <c r="K2447" t="s">
        <v>31</v>
      </c>
      <c r="L2447" s="12">
        <v>0.44444444444444442</v>
      </c>
      <c r="M2447" t="s">
        <v>29</v>
      </c>
      <c r="N2447" s="3">
        <v>186</v>
      </c>
      <c r="O2447" t="s">
        <v>24</v>
      </c>
      <c r="P2447" t="s">
        <v>25</v>
      </c>
      <c r="R2447">
        <f>tblDailySchedule[[#This Row],[Capacity Approx]]*'[1]Load Factor Sheet June Acft  '!$B$5</f>
        <v>150.61772727272728</v>
      </c>
      <c r="S2447">
        <f>tblDailySchedule[[#This Row],[Capacity Approx]]*'[1]Load Factor Sheet June Acft  '!$D$5</f>
        <v>163.08818181818182</v>
      </c>
      <c r="T2447" s="22">
        <f>tblDailySchedule[[#This Row],[STD]]</f>
        <v>0.44444444444444442</v>
      </c>
    </row>
    <row r="2448" spans="1:20" hidden="1" x14ac:dyDescent="0.35">
      <c r="A2448" s="11">
        <v>46198</v>
      </c>
      <c r="B2448" s="3">
        <v>4</v>
      </c>
      <c r="C2448" t="s">
        <v>114</v>
      </c>
      <c r="D2448" t="s">
        <v>18</v>
      </c>
      <c r="E2448" s="3">
        <v>9</v>
      </c>
      <c r="F2448" t="s">
        <v>19</v>
      </c>
      <c r="G2448" t="s">
        <v>48</v>
      </c>
      <c r="H2448" t="s">
        <v>49</v>
      </c>
      <c r="I2448" s="12">
        <v>0.4375</v>
      </c>
      <c r="J2448" t="s">
        <v>50</v>
      </c>
      <c r="K2448" t="s">
        <v>49</v>
      </c>
      <c r="L2448" s="12">
        <v>0.45833333333333331</v>
      </c>
      <c r="M2448" t="s">
        <v>51</v>
      </c>
      <c r="N2448" s="3">
        <v>78</v>
      </c>
      <c r="O2448" t="s">
        <v>24</v>
      </c>
      <c r="P2448" t="s">
        <v>25</v>
      </c>
      <c r="R2448">
        <f>tblDailySchedule[[#This Row],[Capacity Approx]]*'[1]Load Factor Sheet June Acft  '!$B$5</f>
        <v>63.162272727272729</v>
      </c>
      <c r="S2448">
        <f>tblDailySchedule[[#This Row],[Capacity Approx]]*'[1]Load Factor Sheet June Acft  '!$D$5</f>
        <v>68.391818181818181</v>
      </c>
      <c r="T2448" s="22">
        <f>tblDailySchedule[[#This Row],[STD]]</f>
        <v>0.45833333333333331</v>
      </c>
    </row>
    <row r="2449" spans="1:20" hidden="1" x14ac:dyDescent="0.35">
      <c r="A2449" s="11">
        <v>46198</v>
      </c>
      <c r="B2449" s="3">
        <v>4</v>
      </c>
      <c r="C2449" t="s">
        <v>114</v>
      </c>
      <c r="D2449" t="s">
        <v>18</v>
      </c>
      <c r="E2449" s="3">
        <v>10</v>
      </c>
      <c r="F2449" t="s">
        <v>19</v>
      </c>
      <c r="G2449" t="s">
        <v>52</v>
      </c>
      <c r="H2449" t="s">
        <v>27</v>
      </c>
      <c r="I2449" s="12">
        <v>0.4826388888888889</v>
      </c>
      <c r="J2449" t="s">
        <v>53</v>
      </c>
      <c r="K2449" t="s">
        <v>27</v>
      </c>
      <c r="L2449" s="12">
        <v>0.51041666666666663</v>
      </c>
      <c r="M2449" t="s">
        <v>23</v>
      </c>
      <c r="N2449" s="3">
        <v>186</v>
      </c>
      <c r="O2449" t="s">
        <v>24</v>
      </c>
      <c r="P2449" t="s">
        <v>25</v>
      </c>
      <c r="R2449">
        <f>tblDailySchedule[[#This Row],[Capacity Approx]]*'[1]Load Factor Sheet June Acft  '!$B$5</f>
        <v>150.61772727272728</v>
      </c>
      <c r="S2449">
        <f>tblDailySchedule[[#This Row],[Capacity Approx]]*'[1]Load Factor Sheet June Acft  '!$D$5</f>
        <v>163.08818181818182</v>
      </c>
      <c r="T2449" s="22">
        <f>tblDailySchedule[[#This Row],[STD]]</f>
        <v>0.51041666666666663</v>
      </c>
    </row>
    <row r="2450" spans="1:20" hidden="1" x14ac:dyDescent="0.35">
      <c r="A2450" s="11">
        <v>46198</v>
      </c>
      <c r="B2450" s="3">
        <v>4</v>
      </c>
      <c r="C2450" t="s">
        <v>114</v>
      </c>
      <c r="D2450" t="s">
        <v>18</v>
      </c>
      <c r="E2450" s="3">
        <v>11</v>
      </c>
      <c r="F2450" t="s">
        <v>19</v>
      </c>
      <c r="G2450" t="s">
        <v>54</v>
      </c>
      <c r="H2450" t="s">
        <v>31</v>
      </c>
      <c r="I2450" s="12">
        <v>0.51388888888888884</v>
      </c>
      <c r="J2450" t="s">
        <v>55</v>
      </c>
      <c r="K2450" t="s">
        <v>31</v>
      </c>
      <c r="L2450" s="12">
        <v>0.54166666666666663</v>
      </c>
      <c r="M2450" t="s">
        <v>23</v>
      </c>
      <c r="N2450" s="3">
        <v>186</v>
      </c>
      <c r="O2450" t="s">
        <v>24</v>
      </c>
      <c r="P2450" t="s">
        <v>56</v>
      </c>
      <c r="R2450">
        <f>tblDailySchedule[[#This Row],[Capacity Approx]]*'[1]Load Factor Sheet June Acft  '!$B$5</f>
        <v>150.61772727272728</v>
      </c>
      <c r="S2450">
        <f>tblDailySchedule[[#This Row],[Capacity Approx]]*'[1]Load Factor Sheet June Acft  '!$D$5</f>
        <v>163.08818181818182</v>
      </c>
      <c r="T2450" s="22">
        <f>tblDailySchedule[[#This Row],[STD]]</f>
        <v>0.54166666666666663</v>
      </c>
    </row>
    <row r="2451" spans="1:20" hidden="1" x14ac:dyDescent="0.35">
      <c r="A2451" s="11">
        <v>46198</v>
      </c>
      <c r="B2451" s="3">
        <v>4</v>
      </c>
      <c r="C2451" t="s">
        <v>114</v>
      </c>
      <c r="D2451" t="s">
        <v>18</v>
      </c>
      <c r="E2451" s="3">
        <v>12</v>
      </c>
      <c r="F2451" t="s">
        <v>109</v>
      </c>
      <c r="G2451" t="s">
        <v>110</v>
      </c>
      <c r="H2451" t="s">
        <v>111</v>
      </c>
      <c r="I2451" s="12">
        <v>0.55555555555555558</v>
      </c>
      <c r="J2451" t="s">
        <v>112</v>
      </c>
      <c r="K2451" t="s">
        <v>111</v>
      </c>
      <c r="L2451" s="12">
        <v>0.56944444444444442</v>
      </c>
      <c r="M2451" t="s">
        <v>51</v>
      </c>
      <c r="N2451" s="3">
        <v>78</v>
      </c>
      <c r="O2451" t="s">
        <v>24</v>
      </c>
      <c r="P2451" t="s">
        <v>56</v>
      </c>
      <c r="R2451">
        <f>tblDailySchedule[[#This Row],[Capacity Approx]]*'[1]Load Factor Sheet June Acft  '!$B$5</f>
        <v>63.162272727272729</v>
      </c>
      <c r="S2451">
        <f>tblDailySchedule[[#This Row],[Capacity Approx]]*'[1]Load Factor Sheet June Acft  '!$D$5</f>
        <v>68.391818181818181</v>
      </c>
      <c r="T2451" s="22">
        <f>tblDailySchedule[[#This Row],[STD]]</f>
        <v>0.56944444444444442</v>
      </c>
    </row>
    <row r="2452" spans="1:20" hidden="1" x14ac:dyDescent="0.35">
      <c r="A2452" s="11">
        <v>46198</v>
      </c>
      <c r="B2452" s="3">
        <v>4</v>
      </c>
      <c r="C2452" t="s">
        <v>114</v>
      </c>
      <c r="D2452" t="s">
        <v>18</v>
      </c>
      <c r="E2452" s="3">
        <v>13</v>
      </c>
      <c r="F2452" t="s">
        <v>19</v>
      </c>
      <c r="G2452" t="s">
        <v>57</v>
      </c>
      <c r="H2452" t="s">
        <v>58</v>
      </c>
      <c r="I2452" s="12">
        <v>0.55902777777777779</v>
      </c>
      <c r="J2452" t="s">
        <v>59</v>
      </c>
      <c r="K2452" t="s">
        <v>58</v>
      </c>
      <c r="L2452" s="12">
        <v>0.57638888888888884</v>
      </c>
      <c r="M2452" t="s">
        <v>51</v>
      </c>
      <c r="N2452" s="3">
        <v>78</v>
      </c>
      <c r="O2452" t="s">
        <v>24</v>
      </c>
      <c r="P2452" t="s">
        <v>56</v>
      </c>
      <c r="R2452">
        <f>tblDailySchedule[[#This Row],[Capacity Approx]]*'[1]Load Factor Sheet June Acft  '!$B$5</f>
        <v>63.162272727272729</v>
      </c>
      <c r="S2452">
        <f>tblDailySchedule[[#This Row],[Capacity Approx]]*'[1]Load Factor Sheet June Acft  '!$D$5</f>
        <v>68.391818181818181</v>
      </c>
      <c r="T2452" s="22">
        <f>tblDailySchedule[[#This Row],[STD]]</f>
        <v>0.57638888888888884</v>
      </c>
    </row>
    <row r="2453" spans="1:20" hidden="1" x14ac:dyDescent="0.35">
      <c r="A2453" s="11">
        <v>46198</v>
      </c>
      <c r="B2453" s="3">
        <v>4</v>
      </c>
      <c r="C2453" t="s">
        <v>114</v>
      </c>
      <c r="D2453" t="s">
        <v>18</v>
      </c>
      <c r="E2453" s="3">
        <v>14</v>
      </c>
      <c r="F2453" t="s">
        <v>19</v>
      </c>
      <c r="G2453" t="s">
        <v>60</v>
      </c>
      <c r="H2453" t="s">
        <v>61</v>
      </c>
      <c r="I2453" s="12">
        <v>0.59027777777777779</v>
      </c>
      <c r="J2453" t="s">
        <v>62</v>
      </c>
      <c r="K2453" t="s">
        <v>61</v>
      </c>
      <c r="L2453" s="12">
        <v>0.62152777777777779</v>
      </c>
      <c r="M2453" t="s">
        <v>63</v>
      </c>
      <c r="N2453" s="3">
        <v>232</v>
      </c>
      <c r="O2453" t="s">
        <v>24</v>
      </c>
      <c r="P2453" t="s">
        <v>56</v>
      </c>
      <c r="R2453">
        <f>tblDailySchedule[[#This Row],[Capacity Approx]]*'[1]Load Factor Sheet June Acft  '!$B$5</f>
        <v>187.86727272727273</v>
      </c>
      <c r="S2453">
        <f>tblDailySchedule[[#This Row],[Capacity Approx]]*'[1]Load Factor Sheet June Acft  '!$D$5</f>
        <v>203.4218181818182</v>
      </c>
      <c r="T2453" s="22">
        <f>tblDailySchedule[[#This Row],[STD]]</f>
        <v>0.62152777777777779</v>
      </c>
    </row>
    <row r="2454" spans="1:20" hidden="1" x14ac:dyDescent="0.35">
      <c r="A2454" s="11">
        <v>46198</v>
      </c>
      <c r="B2454" s="3">
        <v>4</v>
      </c>
      <c r="C2454" t="s">
        <v>114</v>
      </c>
      <c r="D2454" t="s">
        <v>18</v>
      </c>
      <c r="E2454" s="3">
        <v>15</v>
      </c>
      <c r="F2454" t="s">
        <v>19</v>
      </c>
      <c r="G2454" t="s">
        <v>64</v>
      </c>
      <c r="H2454" t="s">
        <v>31</v>
      </c>
      <c r="I2454" s="12">
        <v>0.60069444444444442</v>
      </c>
      <c r="J2454" t="s">
        <v>65</v>
      </c>
      <c r="K2454" t="s">
        <v>66</v>
      </c>
      <c r="L2454" s="12">
        <v>0.62847222222222221</v>
      </c>
      <c r="M2454" t="s">
        <v>63</v>
      </c>
      <c r="N2454" s="3">
        <v>232</v>
      </c>
      <c r="O2454" t="s">
        <v>24</v>
      </c>
      <c r="P2454" t="s">
        <v>56</v>
      </c>
      <c r="R2454">
        <f>tblDailySchedule[[#This Row],[Capacity Approx]]*'[1]Load Factor Sheet June Acft  '!$B$5</f>
        <v>187.86727272727273</v>
      </c>
      <c r="S2454">
        <f>tblDailySchedule[[#This Row],[Capacity Approx]]*'[1]Load Factor Sheet June Acft  '!$D$5</f>
        <v>203.4218181818182</v>
      </c>
      <c r="T2454" s="22">
        <f>tblDailySchedule[[#This Row],[STD]]</f>
        <v>0.62847222222222221</v>
      </c>
    </row>
    <row r="2455" spans="1:20" hidden="1" x14ac:dyDescent="0.35">
      <c r="A2455" s="11">
        <v>46198</v>
      </c>
      <c r="B2455" s="3">
        <v>4</v>
      </c>
      <c r="C2455" t="s">
        <v>114</v>
      </c>
      <c r="D2455" t="s">
        <v>18</v>
      </c>
      <c r="E2455" s="3">
        <v>16</v>
      </c>
      <c r="F2455" t="s">
        <v>19</v>
      </c>
      <c r="G2455" t="s">
        <v>67</v>
      </c>
      <c r="H2455" t="s">
        <v>31</v>
      </c>
      <c r="I2455" s="12">
        <v>0.65625</v>
      </c>
      <c r="J2455" t="s">
        <v>68</v>
      </c>
      <c r="K2455" t="s">
        <v>31</v>
      </c>
      <c r="L2455" s="12">
        <v>0.68402777777777779</v>
      </c>
      <c r="M2455" t="s">
        <v>63</v>
      </c>
      <c r="N2455" s="3">
        <v>232</v>
      </c>
      <c r="O2455" t="s">
        <v>24</v>
      </c>
      <c r="P2455" t="s">
        <v>56</v>
      </c>
      <c r="R2455">
        <f>tblDailySchedule[[#This Row],[Capacity Approx]]*'[1]Load Factor Sheet June Acft  '!$B$5</f>
        <v>187.86727272727273</v>
      </c>
      <c r="S2455">
        <f>tblDailySchedule[[#This Row],[Capacity Approx]]*'[1]Load Factor Sheet June Acft  '!$D$5</f>
        <v>203.4218181818182</v>
      </c>
      <c r="T2455" s="22">
        <f>tblDailySchedule[[#This Row],[STD]]</f>
        <v>0.68402777777777779</v>
      </c>
    </row>
    <row r="2456" spans="1:20" hidden="1" x14ac:dyDescent="0.35">
      <c r="A2456" s="11">
        <v>46198</v>
      </c>
      <c r="B2456" s="3">
        <v>4</v>
      </c>
      <c r="C2456" t="s">
        <v>114</v>
      </c>
      <c r="D2456" t="s">
        <v>18</v>
      </c>
      <c r="E2456" s="3">
        <v>17</v>
      </c>
      <c r="F2456" t="s">
        <v>19</v>
      </c>
      <c r="G2456" t="s">
        <v>69</v>
      </c>
      <c r="H2456" t="s">
        <v>31</v>
      </c>
      <c r="I2456" s="12">
        <v>0.66319444444444442</v>
      </c>
      <c r="J2456" t="s">
        <v>70</v>
      </c>
      <c r="K2456" t="s">
        <v>31</v>
      </c>
      <c r="L2456" s="12">
        <v>0.69097222222222221</v>
      </c>
      <c r="M2456" t="s">
        <v>33</v>
      </c>
      <c r="N2456" s="3">
        <v>189</v>
      </c>
      <c r="O2456" t="s">
        <v>24</v>
      </c>
      <c r="P2456" t="s">
        <v>56</v>
      </c>
      <c r="R2456">
        <f>tblDailySchedule[[#This Row],[Capacity Approx]]*'[1]Load Factor Sheet June Acft  '!$B$5</f>
        <v>153.04704545454547</v>
      </c>
      <c r="S2456">
        <f>tblDailySchedule[[#This Row],[Capacity Approx]]*'[1]Load Factor Sheet June Acft  '!$D$5</f>
        <v>165.71863636363636</v>
      </c>
      <c r="T2456" s="22">
        <f>tblDailySchedule[[#This Row],[STD]]</f>
        <v>0.69097222222222221</v>
      </c>
    </row>
    <row r="2457" spans="1:20" hidden="1" x14ac:dyDescent="0.35">
      <c r="A2457" s="11">
        <v>46198</v>
      </c>
      <c r="B2457" s="3">
        <v>4</v>
      </c>
      <c r="C2457" t="s">
        <v>114</v>
      </c>
      <c r="D2457" t="s">
        <v>18</v>
      </c>
      <c r="E2457" s="3">
        <v>18</v>
      </c>
      <c r="F2457" t="s">
        <v>19</v>
      </c>
      <c r="G2457" t="s">
        <v>71</v>
      </c>
      <c r="H2457" t="s">
        <v>21</v>
      </c>
      <c r="I2457" s="12">
        <v>0.67013888888888884</v>
      </c>
      <c r="J2457" t="s">
        <v>72</v>
      </c>
      <c r="K2457" t="s">
        <v>21</v>
      </c>
      <c r="L2457" s="12">
        <v>0.69791666666666663</v>
      </c>
      <c r="M2457" t="s">
        <v>63</v>
      </c>
      <c r="N2457" s="3">
        <v>232</v>
      </c>
      <c r="O2457" t="s">
        <v>24</v>
      </c>
      <c r="P2457" t="s">
        <v>56</v>
      </c>
      <c r="R2457">
        <f>tblDailySchedule[[#This Row],[Capacity Approx]]*'[1]Load Factor Sheet June Acft  '!$B$5</f>
        <v>187.86727272727273</v>
      </c>
      <c r="S2457">
        <f>tblDailySchedule[[#This Row],[Capacity Approx]]*'[1]Load Factor Sheet June Acft  '!$D$5</f>
        <v>203.4218181818182</v>
      </c>
      <c r="T2457" s="22">
        <f>tblDailySchedule[[#This Row],[STD]]</f>
        <v>0.69791666666666663</v>
      </c>
    </row>
    <row r="2458" spans="1:20" hidden="1" x14ac:dyDescent="0.35">
      <c r="A2458" s="11">
        <v>46198</v>
      </c>
      <c r="B2458" s="3">
        <v>4</v>
      </c>
      <c r="C2458" t="s">
        <v>114</v>
      </c>
      <c r="D2458" t="s">
        <v>18</v>
      </c>
      <c r="E2458" s="3">
        <v>19</v>
      </c>
      <c r="F2458" t="s">
        <v>19</v>
      </c>
      <c r="G2458" t="s">
        <v>73</v>
      </c>
      <c r="H2458" t="s">
        <v>27</v>
      </c>
      <c r="I2458" s="12">
        <v>0.74652777777777779</v>
      </c>
      <c r="J2458" t="s">
        <v>74</v>
      </c>
      <c r="K2458" t="s">
        <v>27</v>
      </c>
      <c r="L2458" s="12">
        <v>0.77430555555555558</v>
      </c>
      <c r="M2458" t="s">
        <v>63</v>
      </c>
      <c r="N2458" s="3">
        <v>232</v>
      </c>
      <c r="O2458" t="s">
        <v>24</v>
      </c>
      <c r="P2458" t="s">
        <v>56</v>
      </c>
      <c r="R2458">
        <f>tblDailySchedule[[#This Row],[Capacity Approx]]*'[1]Load Factor Sheet June Acft  '!$B$5</f>
        <v>187.86727272727273</v>
      </c>
      <c r="S2458">
        <f>tblDailySchedule[[#This Row],[Capacity Approx]]*'[1]Load Factor Sheet June Acft  '!$D$5</f>
        <v>203.4218181818182</v>
      </c>
      <c r="T2458" s="22">
        <f>tblDailySchedule[[#This Row],[STD]]</f>
        <v>0.77430555555555558</v>
      </c>
    </row>
    <row r="2459" spans="1:20" hidden="1" x14ac:dyDescent="0.35">
      <c r="A2459" s="11">
        <v>46198</v>
      </c>
      <c r="B2459" s="3">
        <v>4</v>
      </c>
      <c r="C2459" t="s">
        <v>114</v>
      </c>
      <c r="D2459" t="s">
        <v>18</v>
      </c>
      <c r="E2459" s="3">
        <v>21</v>
      </c>
      <c r="F2459" t="s">
        <v>19</v>
      </c>
      <c r="G2459" t="s">
        <v>81</v>
      </c>
      <c r="H2459" t="s">
        <v>61</v>
      </c>
      <c r="I2459" s="12">
        <v>0.77083333333333337</v>
      </c>
      <c r="J2459" t="s">
        <v>82</v>
      </c>
      <c r="K2459" t="s">
        <v>49</v>
      </c>
      <c r="L2459" s="12">
        <v>0.79166666666666663</v>
      </c>
      <c r="M2459" t="s">
        <v>33</v>
      </c>
      <c r="N2459" s="3">
        <v>189</v>
      </c>
      <c r="O2459" t="s">
        <v>24</v>
      </c>
      <c r="P2459" t="s">
        <v>79</v>
      </c>
      <c r="R2459">
        <f>tblDailySchedule[[#This Row],[Capacity Approx]]*'[1]Load Factor Sheet June Acft  '!$B$5</f>
        <v>153.04704545454547</v>
      </c>
      <c r="S2459">
        <f>tblDailySchedule[[#This Row],[Capacity Approx]]*'[1]Load Factor Sheet June Acft  '!$D$5</f>
        <v>165.71863636363636</v>
      </c>
      <c r="T2459" s="22">
        <f>tblDailySchedule[[#This Row],[STD]]</f>
        <v>0.79166666666666663</v>
      </c>
    </row>
    <row r="2460" spans="1:20" hidden="1" x14ac:dyDescent="0.35">
      <c r="A2460" s="11">
        <v>46198</v>
      </c>
      <c r="B2460" s="3">
        <v>4</v>
      </c>
      <c r="C2460" t="s">
        <v>114</v>
      </c>
      <c r="D2460" t="s">
        <v>18</v>
      </c>
      <c r="E2460" s="3">
        <v>22</v>
      </c>
      <c r="F2460" t="s">
        <v>19</v>
      </c>
      <c r="G2460" t="s">
        <v>83</v>
      </c>
      <c r="H2460" t="s">
        <v>31</v>
      </c>
      <c r="I2460" s="12">
        <v>0.77777777777777779</v>
      </c>
      <c r="J2460" t="s">
        <v>84</v>
      </c>
      <c r="K2460" t="s">
        <v>31</v>
      </c>
      <c r="L2460" s="12">
        <v>0.80555555555555558</v>
      </c>
      <c r="M2460" t="s">
        <v>63</v>
      </c>
      <c r="N2460" s="3">
        <v>232</v>
      </c>
      <c r="O2460" t="s">
        <v>24</v>
      </c>
      <c r="P2460" t="s">
        <v>79</v>
      </c>
      <c r="R2460">
        <f>tblDailySchedule[[#This Row],[Capacity Approx]]*'[1]Load Factor Sheet June Acft  '!$B$5</f>
        <v>187.86727272727273</v>
      </c>
      <c r="S2460">
        <f>tblDailySchedule[[#This Row],[Capacity Approx]]*'[1]Load Factor Sheet June Acft  '!$D$5</f>
        <v>203.4218181818182</v>
      </c>
      <c r="T2460" s="22">
        <f>tblDailySchedule[[#This Row],[STD]]</f>
        <v>0.80555555555555558</v>
      </c>
    </row>
    <row r="2461" spans="1:20" hidden="1" x14ac:dyDescent="0.35">
      <c r="A2461" s="11">
        <v>46198</v>
      </c>
      <c r="B2461" s="3">
        <v>4</v>
      </c>
      <c r="C2461" t="s">
        <v>114</v>
      </c>
      <c r="D2461" t="s">
        <v>18</v>
      </c>
      <c r="E2461" s="3">
        <v>23</v>
      </c>
      <c r="F2461" t="s">
        <v>19</v>
      </c>
      <c r="G2461" t="s">
        <v>85</v>
      </c>
      <c r="H2461" t="s">
        <v>86</v>
      </c>
      <c r="I2461" s="12">
        <v>0.79861111111111116</v>
      </c>
      <c r="J2461" t="s">
        <v>87</v>
      </c>
      <c r="K2461" t="s">
        <v>86</v>
      </c>
      <c r="L2461" s="12">
        <v>0.82638888888888884</v>
      </c>
      <c r="M2461" t="s">
        <v>63</v>
      </c>
      <c r="N2461" s="3">
        <v>232</v>
      </c>
      <c r="O2461" t="s">
        <v>24</v>
      </c>
      <c r="P2461" t="s">
        <v>79</v>
      </c>
      <c r="R2461">
        <f>tblDailySchedule[[#This Row],[Capacity Approx]]*'[1]Load Factor Sheet June Acft  '!$B$5</f>
        <v>187.86727272727273</v>
      </c>
      <c r="S2461">
        <f>tblDailySchedule[[#This Row],[Capacity Approx]]*'[1]Load Factor Sheet June Acft  '!$D$5</f>
        <v>203.4218181818182</v>
      </c>
      <c r="T2461" s="22">
        <f>tblDailySchedule[[#This Row],[STD]]</f>
        <v>0.82638888888888884</v>
      </c>
    </row>
    <row r="2462" spans="1:20" hidden="1" x14ac:dyDescent="0.35">
      <c r="A2462" s="11">
        <v>46198</v>
      </c>
      <c r="B2462" s="3">
        <v>4</v>
      </c>
      <c r="C2462" t="s">
        <v>114</v>
      </c>
      <c r="D2462" t="s">
        <v>18</v>
      </c>
      <c r="E2462" s="3">
        <v>24</v>
      </c>
      <c r="F2462" t="s">
        <v>19</v>
      </c>
      <c r="G2462" t="s">
        <v>88</v>
      </c>
      <c r="H2462" t="s">
        <v>89</v>
      </c>
      <c r="I2462" s="12">
        <v>0.83333333333333337</v>
      </c>
      <c r="J2462" t="s">
        <v>90</v>
      </c>
      <c r="K2462" t="s">
        <v>31</v>
      </c>
      <c r="L2462" s="12">
        <v>0.86111111111111116</v>
      </c>
      <c r="M2462" t="s">
        <v>63</v>
      </c>
      <c r="N2462" s="3">
        <v>232</v>
      </c>
      <c r="O2462" t="s">
        <v>24</v>
      </c>
      <c r="P2462" t="s">
        <v>79</v>
      </c>
      <c r="R2462">
        <f>tblDailySchedule[[#This Row],[Capacity Approx]]*'[1]Load Factor Sheet June Acft  '!$B$5</f>
        <v>187.86727272727273</v>
      </c>
      <c r="S2462">
        <f>tblDailySchedule[[#This Row],[Capacity Approx]]*'[1]Load Factor Sheet June Acft  '!$D$5</f>
        <v>203.4218181818182</v>
      </c>
      <c r="T2462" s="22">
        <f>tblDailySchedule[[#This Row],[STD]]</f>
        <v>0.86111111111111116</v>
      </c>
    </row>
    <row r="2463" spans="1:20" hidden="1" x14ac:dyDescent="0.35">
      <c r="A2463" s="11">
        <v>46198</v>
      </c>
      <c r="B2463" s="3">
        <v>4</v>
      </c>
      <c r="C2463" t="s">
        <v>114</v>
      </c>
      <c r="D2463" t="s">
        <v>18</v>
      </c>
      <c r="E2463" s="3">
        <v>25</v>
      </c>
      <c r="F2463" t="s">
        <v>19</v>
      </c>
      <c r="G2463" t="s">
        <v>91</v>
      </c>
      <c r="H2463" t="s">
        <v>61</v>
      </c>
      <c r="I2463" s="12">
        <v>0.85416666666666663</v>
      </c>
      <c r="J2463" t="s">
        <v>92</v>
      </c>
      <c r="K2463" t="s">
        <v>61</v>
      </c>
      <c r="L2463" s="12">
        <v>0.88194444444444442</v>
      </c>
      <c r="M2463" t="s">
        <v>63</v>
      </c>
      <c r="N2463" s="3">
        <v>232</v>
      </c>
      <c r="O2463" t="s">
        <v>24</v>
      </c>
      <c r="P2463" t="s">
        <v>79</v>
      </c>
      <c r="R2463">
        <f>tblDailySchedule[[#This Row],[Capacity Approx]]*'[1]Load Factor Sheet June Acft  '!$B$5</f>
        <v>187.86727272727273</v>
      </c>
      <c r="S2463">
        <f>tblDailySchedule[[#This Row],[Capacity Approx]]*'[1]Load Factor Sheet June Acft  '!$D$5</f>
        <v>203.4218181818182</v>
      </c>
      <c r="T2463" s="22">
        <f>tblDailySchedule[[#This Row],[STD]]</f>
        <v>0.88194444444444442</v>
      </c>
    </row>
    <row r="2464" spans="1:20" hidden="1" x14ac:dyDescent="0.35">
      <c r="A2464" s="11">
        <v>46198</v>
      </c>
      <c r="B2464" s="3">
        <v>4</v>
      </c>
      <c r="C2464" t="s">
        <v>114</v>
      </c>
      <c r="D2464" t="s">
        <v>18</v>
      </c>
      <c r="E2464" s="3">
        <v>26</v>
      </c>
      <c r="F2464" t="s">
        <v>19</v>
      </c>
      <c r="G2464" t="s">
        <v>93</v>
      </c>
      <c r="H2464" t="s">
        <v>31</v>
      </c>
      <c r="I2464" s="12">
        <v>0.86111111111111116</v>
      </c>
      <c r="J2464" t="s">
        <v>94</v>
      </c>
      <c r="K2464" t="s">
        <v>31</v>
      </c>
      <c r="L2464" s="12">
        <v>0.88888888888888884</v>
      </c>
      <c r="M2464" t="s">
        <v>23</v>
      </c>
      <c r="N2464" s="3">
        <v>186</v>
      </c>
      <c r="O2464" t="s">
        <v>24</v>
      </c>
      <c r="P2464" t="s">
        <v>79</v>
      </c>
      <c r="R2464">
        <f>tblDailySchedule[[#This Row],[Capacity Approx]]*'[1]Load Factor Sheet June Acft  '!$B$5</f>
        <v>150.61772727272728</v>
      </c>
      <c r="S2464">
        <f>tblDailySchedule[[#This Row],[Capacity Approx]]*'[1]Load Factor Sheet June Acft  '!$D$5</f>
        <v>163.08818181818182</v>
      </c>
      <c r="T2464" s="22">
        <f>tblDailySchedule[[#This Row],[STD]]</f>
        <v>0.88888888888888884</v>
      </c>
    </row>
    <row r="2465" spans="1:20" hidden="1" x14ac:dyDescent="0.35">
      <c r="A2465" s="11">
        <v>46198</v>
      </c>
      <c r="B2465" s="3">
        <v>4</v>
      </c>
      <c r="C2465" t="s">
        <v>114</v>
      </c>
      <c r="D2465" t="s">
        <v>18</v>
      </c>
      <c r="E2465" s="3">
        <v>27</v>
      </c>
      <c r="F2465" t="s">
        <v>19</v>
      </c>
      <c r="G2465" t="s">
        <v>95</v>
      </c>
      <c r="H2465" t="s">
        <v>21</v>
      </c>
      <c r="I2465" s="12">
        <v>0.86805555555555558</v>
      </c>
      <c r="J2465" t="s">
        <v>96</v>
      </c>
      <c r="K2465" t="s">
        <v>21</v>
      </c>
      <c r="L2465" s="12">
        <v>0.89583333333333337</v>
      </c>
      <c r="M2465" t="s">
        <v>29</v>
      </c>
      <c r="N2465" s="3">
        <v>186</v>
      </c>
      <c r="O2465" t="s">
        <v>24</v>
      </c>
      <c r="P2465" t="s">
        <v>79</v>
      </c>
      <c r="R2465">
        <f>tblDailySchedule[[#This Row],[Capacity Approx]]*'[1]Load Factor Sheet June Acft  '!$B$5</f>
        <v>150.61772727272728</v>
      </c>
      <c r="S2465">
        <f>tblDailySchedule[[#This Row],[Capacity Approx]]*'[1]Load Factor Sheet June Acft  '!$D$5</f>
        <v>163.08818181818182</v>
      </c>
      <c r="T2465" s="22">
        <f>tblDailySchedule[[#This Row],[STD]]</f>
        <v>0.89583333333333337</v>
      </c>
    </row>
    <row r="2466" spans="1:20" hidden="1" x14ac:dyDescent="0.35">
      <c r="A2466" s="11">
        <v>46198</v>
      </c>
      <c r="B2466" s="3">
        <v>4</v>
      </c>
      <c r="C2466" t="s">
        <v>114</v>
      </c>
      <c r="D2466" t="s">
        <v>18</v>
      </c>
      <c r="E2466" s="3">
        <v>28</v>
      </c>
      <c r="F2466" t="s">
        <v>19</v>
      </c>
      <c r="G2466" t="s">
        <v>97</v>
      </c>
      <c r="H2466" t="s">
        <v>49</v>
      </c>
      <c r="I2466" s="12">
        <v>0.90277777777777779</v>
      </c>
      <c r="J2466" t="s">
        <v>97</v>
      </c>
      <c r="K2466" t="s">
        <v>61</v>
      </c>
      <c r="L2466" s="12">
        <v>0.92361111111111116</v>
      </c>
      <c r="M2466" t="s">
        <v>33</v>
      </c>
      <c r="N2466" s="3">
        <v>189</v>
      </c>
      <c r="O2466" t="s">
        <v>24</v>
      </c>
      <c r="P2466" t="s">
        <v>79</v>
      </c>
      <c r="R2466">
        <f>tblDailySchedule[[#This Row],[Capacity Approx]]*'[1]Load Factor Sheet June Acft  '!$B$5</f>
        <v>153.04704545454547</v>
      </c>
      <c r="S2466">
        <f>tblDailySchedule[[#This Row],[Capacity Approx]]*'[1]Load Factor Sheet June Acft  '!$D$5</f>
        <v>165.71863636363636</v>
      </c>
      <c r="T2466" s="22">
        <f>tblDailySchedule[[#This Row],[STD]]</f>
        <v>0.92361111111111116</v>
      </c>
    </row>
    <row r="2467" spans="1:20" hidden="1" x14ac:dyDescent="0.35">
      <c r="A2467" s="11">
        <v>46198</v>
      </c>
      <c r="B2467" s="3">
        <v>4</v>
      </c>
      <c r="C2467" t="s">
        <v>114</v>
      </c>
      <c r="D2467" t="s">
        <v>18</v>
      </c>
      <c r="E2467" s="3">
        <v>29</v>
      </c>
      <c r="F2467" t="s">
        <v>19</v>
      </c>
      <c r="G2467" t="s">
        <v>98</v>
      </c>
      <c r="H2467" t="s">
        <v>21</v>
      </c>
      <c r="I2467" s="12">
        <v>0.92013888888888884</v>
      </c>
      <c r="J2467" t="s">
        <v>99</v>
      </c>
      <c r="K2467" t="s">
        <v>21</v>
      </c>
      <c r="L2467" s="12">
        <v>0.94791666666666663</v>
      </c>
      <c r="M2467" t="s">
        <v>63</v>
      </c>
      <c r="N2467" s="3">
        <v>232</v>
      </c>
      <c r="O2467" t="s">
        <v>24</v>
      </c>
      <c r="P2467" t="s">
        <v>79</v>
      </c>
      <c r="R2467">
        <f>tblDailySchedule[[#This Row],[Capacity Approx]]*'[1]Load Factor Sheet June Acft  '!$B$5</f>
        <v>187.86727272727273</v>
      </c>
      <c r="S2467">
        <f>tblDailySchedule[[#This Row],[Capacity Approx]]*'[1]Load Factor Sheet June Acft  '!$D$5</f>
        <v>203.4218181818182</v>
      </c>
      <c r="T2467" s="22">
        <f>tblDailySchedule[[#This Row],[STD]]</f>
        <v>0.94791666666666663</v>
      </c>
    </row>
    <row r="2468" spans="1:20" hidden="1" x14ac:dyDescent="0.35">
      <c r="A2468" s="11">
        <v>46199</v>
      </c>
      <c r="B2468" s="3">
        <v>5</v>
      </c>
      <c r="C2468" t="s">
        <v>115</v>
      </c>
      <c r="D2468" t="s">
        <v>18</v>
      </c>
      <c r="E2468" s="3">
        <v>2</v>
      </c>
      <c r="F2468" t="s">
        <v>19</v>
      </c>
      <c r="G2468" t="s">
        <v>20</v>
      </c>
      <c r="H2468" t="s">
        <v>21</v>
      </c>
      <c r="I2468" s="12">
        <v>0.31944444444444442</v>
      </c>
      <c r="J2468" t="s">
        <v>22</v>
      </c>
      <c r="K2468" t="s">
        <v>21</v>
      </c>
      <c r="L2468" s="12">
        <v>0.34722222222222221</v>
      </c>
      <c r="M2468" t="s">
        <v>23</v>
      </c>
      <c r="N2468" s="3">
        <v>186</v>
      </c>
      <c r="O2468" t="s">
        <v>24</v>
      </c>
      <c r="P2468" t="s">
        <v>25</v>
      </c>
      <c r="R2468">
        <f>tblDailySchedule[[#This Row],[Capacity Approx]]*'[1]Load Factor Sheet June Acft  '!$B$5</f>
        <v>150.61772727272728</v>
      </c>
      <c r="S2468">
        <f>tblDailySchedule[[#This Row],[Capacity Approx]]*'[1]Load Factor Sheet June Acft  '!$D$5</f>
        <v>163.08818181818182</v>
      </c>
      <c r="T2468" s="22">
        <f>tblDailySchedule[[#This Row],[STD]]</f>
        <v>0.34722222222222221</v>
      </c>
    </row>
    <row r="2469" spans="1:20" hidden="1" x14ac:dyDescent="0.35">
      <c r="A2469" s="11">
        <v>46199</v>
      </c>
      <c r="B2469" s="3">
        <v>5</v>
      </c>
      <c r="C2469" t="s">
        <v>115</v>
      </c>
      <c r="D2469" t="s">
        <v>18</v>
      </c>
      <c r="E2469" s="3">
        <v>3</v>
      </c>
      <c r="F2469" t="s">
        <v>19</v>
      </c>
      <c r="G2469" t="s">
        <v>26</v>
      </c>
      <c r="H2469" t="s">
        <v>27</v>
      </c>
      <c r="I2469" s="12">
        <v>0.3263888888888889</v>
      </c>
      <c r="J2469" t="s">
        <v>28</v>
      </c>
      <c r="K2469" t="s">
        <v>27</v>
      </c>
      <c r="L2469" s="12">
        <v>0.35416666666666669</v>
      </c>
      <c r="M2469" t="s">
        <v>29</v>
      </c>
      <c r="N2469" s="3">
        <v>186</v>
      </c>
      <c r="O2469" t="s">
        <v>24</v>
      </c>
      <c r="P2469" t="s">
        <v>25</v>
      </c>
      <c r="R2469">
        <f>tblDailySchedule[[#This Row],[Capacity Approx]]*'[1]Load Factor Sheet June Acft  '!$B$5</f>
        <v>150.61772727272728</v>
      </c>
      <c r="S2469">
        <f>tblDailySchedule[[#This Row],[Capacity Approx]]*'[1]Load Factor Sheet June Acft  '!$D$5</f>
        <v>163.08818181818182</v>
      </c>
      <c r="T2469" s="22">
        <f>tblDailySchedule[[#This Row],[STD]]</f>
        <v>0.35416666666666669</v>
      </c>
    </row>
    <row r="2470" spans="1:20" hidden="1" x14ac:dyDescent="0.35">
      <c r="A2470" s="11">
        <v>46199</v>
      </c>
      <c r="B2470" s="3">
        <v>5</v>
      </c>
      <c r="C2470" t="s">
        <v>115</v>
      </c>
      <c r="D2470" t="s">
        <v>18</v>
      </c>
      <c r="E2470" s="3">
        <v>4</v>
      </c>
      <c r="F2470" t="s">
        <v>19</v>
      </c>
      <c r="G2470" t="s">
        <v>30</v>
      </c>
      <c r="H2470" t="s">
        <v>31</v>
      </c>
      <c r="I2470" s="12">
        <v>0.34722222222222221</v>
      </c>
      <c r="J2470" t="s">
        <v>32</v>
      </c>
      <c r="K2470" t="s">
        <v>31</v>
      </c>
      <c r="L2470" s="12">
        <v>0.36805555555555558</v>
      </c>
      <c r="M2470" t="s">
        <v>33</v>
      </c>
      <c r="N2470" s="3">
        <v>189</v>
      </c>
      <c r="O2470" t="s">
        <v>24</v>
      </c>
      <c r="P2470" t="s">
        <v>25</v>
      </c>
      <c r="R2470">
        <f>tblDailySchedule[[#This Row],[Capacity Approx]]*'[1]Load Factor Sheet June Acft  '!$B$5</f>
        <v>153.04704545454547</v>
      </c>
      <c r="S2470">
        <f>tblDailySchedule[[#This Row],[Capacity Approx]]*'[1]Load Factor Sheet June Acft  '!$D$5</f>
        <v>165.71863636363636</v>
      </c>
      <c r="T2470" s="22">
        <f>tblDailySchedule[[#This Row],[STD]]</f>
        <v>0.36805555555555558</v>
      </c>
    </row>
    <row r="2471" spans="1:20" hidden="1" x14ac:dyDescent="0.35">
      <c r="A2471" s="13">
        <v>46199</v>
      </c>
      <c r="B2471" s="7">
        <v>5</v>
      </c>
      <c r="C2471" s="14" t="s">
        <v>115</v>
      </c>
      <c r="D2471" s="14" t="s">
        <v>18</v>
      </c>
      <c r="E2471" s="7">
        <v>6</v>
      </c>
      <c r="F2471" s="14" t="s">
        <v>34</v>
      </c>
      <c r="G2471" s="14" t="s">
        <v>35</v>
      </c>
      <c r="H2471" s="14" t="s">
        <v>36</v>
      </c>
      <c r="I2471" s="15">
        <v>0.34722222222222221</v>
      </c>
      <c r="J2471" s="14" t="s">
        <v>37</v>
      </c>
      <c r="K2471" s="14" t="s">
        <v>36</v>
      </c>
      <c r="L2471" s="15">
        <v>0.40972222222222221</v>
      </c>
      <c r="M2471" s="14" t="s">
        <v>38</v>
      </c>
      <c r="N2471" s="7">
        <v>186</v>
      </c>
      <c r="O2471" s="14" t="s">
        <v>39</v>
      </c>
      <c r="P2471" s="14" t="s">
        <v>25</v>
      </c>
      <c r="Q2471" s="14" t="s">
        <v>39</v>
      </c>
      <c r="R2471">
        <f>tblDailySchedule[[#This Row],[Capacity Approx]]*'[1]Load Factor Sheet June Acft  '!$B$5</f>
        <v>150.61772727272728</v>
      </c>
      <c r="S2471">
        <f>tblDailySchedule[[#This Row],[Capacity Approx]]*'[1]Load Factor Sheet June Acft  '!$D$5</f>
        <v>163.08818181818182</v>
      </c>
      <c r="T2471" s="22">
        <f>tblDailySchedule[[#This Row],[STD]]</f>
        <v>0.40972222222222221</v>
      </c>
    </row>
    <row r="2472" spans="1:20" hidden="1" x14ac:dyDescent="0.35">
      <c r="A2472" s="11">
        <v>46199</v>
      </c>
      <c r="B2472" s="3">
        <v>5</v>
      </c>
      <c r="C2472" t="s">
        <v>115</v>
      </c>
      <c r="D2472" t="s">
        <v>18</v>
      </c>
      <c r="E2472" s="3">
        <v>5</v>
      </c>
      <c r="F2472" t="s">
        <v>19</v>
      </c>
      <c r="G2472" t="s">
        <v>40</v>
      </c>
      <c r="H2472" t="s">
        <v>31</v>
      </c>
      <c r="I2472" s="12">
        <v>0.35069444444444442</v>
      </c>
      <c r="J2472" t="s">
        <v>41</v>
      </c>
      <c r="K2472" t="s">
        <v>31</v>
      </c>
      <c r="L2472" s="12">
        <v>0.37152777777777779</v>
      </c>
      <c r="M2472" t="s">
        <v>23</v>
      </c>
      <c r="N2472" s="3">
        <v>186</v>
      </c>
      <c r="O2472" t="s">
        <v>24</v>
      </c>
      <c r="P2472" t="s">
        <v>25</v>
      </c>
      <c r="R2472">
        <f>tblDailySchedule[[#This Row],[Capacity Approx]]*'[1]Load Factor Sheet June Acft  '!$B$5</f>
        <v>150.61772727272728</v>
      </c>
      <c r="S2472">
        <f>tblDailySchedule[[#This Row],[Capacity Approx]]*'[1]Load Factor Sheet June Acft  '!$D$5</f>
        <v>163.08818181818182</v>
      </c>
      <c r="T2472" s="22">
        <f>tblDailySchedule[[#This Row],[STD]]</f>
        <v>0.37152777777777779</v>
      </c>
    </row>
    <row r="2473" spans="1:20" hidden="1" x14ac:dyDescent="0.35">
      <c r="A2473" s="11">
        <v>46199</v>
      </c>
      <c r="B2473" s="3">
        <v>5</v>
      </c>
      <c r="C2473" t="s">
        <v>115</v>
      </c>
      <c r="D2473" t="s">
        <v>18</v>
      </c>
      <c r="E2473" s="3">
        <v>7</v>
      </c>
      <c r="F2473" t="s">
        <v>19</v>
      </c>
      <c r="G2473" t="s">
        <v>42</v>
      </c>
      <c r="H2473" t="s">
        <v>43</v>
      </c>
      <c r="I2473" s="12">
        <v>0.3923611111111111</v>
      </c>
      <c r="J2473" t="s">
        <v>44</v>
      </c>
      <c r="K2473" t="s">
        <v>43</v>
      </c>
      <c r="L2473" s="12">
        <v>0.40277777777777779</v>
      </c>
      <c r="M2473" t="s">
        <v>45</v>
      </c>
      <c r="N2473" s="3">
        <v>9</v>
      </c>
      <c r="O2473" t="s">
        <v>24</v>
      </c>
      <c r="P2473" t="s">
        <v>25</v>
      </c>
      <c r="R2473">
        <f>tblDailySchedule[[#This Row],[Capacity Approx]]*'[1]Load Factor Sheet June Acft  '!$B$5</f>
        <v>7.2879545454545456</v>
      </c>
      <c r="S2473">
        <f>tblDailySchedule[[#This Row],[Capacity Approx]]*'[1]Load Factor Sheet June Acft  '!$D$5</f>
        <v>7.8913636363636366</v>
      </c>
      <c r="T2473" s="22">
        <f>tblDailySchedule[[#This Row],[STD]]</f>
        <v>0.40277777777777779</v>
      </c>
    </row>
    <row r="2474" spans="1:20" hidden="1" x14ac:dyDescent="0.35">
      <c r="A2474" s="11">
        <v>46199</v>
      </c>
      <c r="B2474" s="3">
        <v>5</v>
      </c>
      <c r="C2474" t="s">
        <v>115</v>
      </c>
      <c r="D2474" t="s">
        <v>18</v>
      </c>
      <c r="E2474" s="3">
        <v>8</v>
      </c>
      <c r="F2474" t="s">
        <v>19</v>
      </c>
      <c r="G2474" t="s">
        <v>46</v>
      </c>
      <c r="H2474" t="s">
        <v>31</v>
      </c>
      <c r="I2474" s="12">
        <v>0.4201388888888889</v>
      </c>
      <c r="J2474" t="s">
        <v>47</v>
      </c>
      <c r="K2474" t="s">
        <v>31</v>
      </c>
      <c r="L2474" s="12">
        <v>0.44444444444444442</v>
      </c>
      <c r="M2474" t="s">
        <v>29</v>
      </c>
      <c r="N2474" s="3">
        <v>186</v>
      </c>
      <c r="O2474" t="s">
        <v>24</v>
      </c>
      <c r="P2474" t="s">
        <v>25</v>
      </c>
      <c r="R2474">
        <f>tblDailySchedule[[#This Row],[Capacity Approx]]*'[1]Load Factor Sheet June Acft  '!$B$5</f>
        <v>150.61772727272728</v>
      </c>
      <c r="S2474">
        <f>tblDailySchedule[[#This Row],[Capacity Approx]]*'[1]Load Factor Sheet June Acft  '!$D$5</f>
        <v>163.08818181818182</v>
      </c>
      <c r="T2474" s="22">
        <f>tblDailySchedule[[#This Row],[STD]]</f>
        <v>0.44444444444444442</v>
      </c>
    </row>
    <row r="2475" spans="1:20" hidden="1" x14ac:dyDescent="0.35">
      <c r="A2475" s="11">
        <v>46199</v>
      </c>
      <c r="B2475" s="3">
        <v>5</v>
      </c>
      <c r="C2475" t="s">
        <v>115</v>
      </c>
      <c r="D2475" t="s">
        <v>18</v>
      </c>
      <c r="E2475" s="3">
        <v>9</v>
      </c>
      <c r="F2475" t="s">
        <v>19</v>
      </c>
      <c r="G2475" t="s">
        <v>48</v>
      </c>
      <c r="H2475" t="s">
        <v>49</v>
      </c>
      <c r="I2475" s="12">
        <v>0.4375</v>
      </c>
      <c r="J2475" t="s">
        <v>50</v>
      </c>
      <c r="K2475" t="s">
        <v>49</v>
      </c>
      <c r="L2475" s="12">
        <v>0.45833333333333331</v>
      </c>
      <c r="M2475" t="s">
        <v>51</v>
      </c>
      <c r="N2475" s="3">
        <v>78</v>
      </c>
      <c r="O2475" t="s">
        <v>24</v>
      </c>
      <c r="P2475" t="s">
        <v>25</v>
      </c>
      <c r="R2475">
        <f>tblDailySchedule[[#This Row],[Capacity Approx]]*'[1]Load Factor Sheet June Acft  '!$B$5</f>
        <v>63.162272727272729</v>
      </c>
      <c r="S2475">
        <f>tblDailySchedule[[#This Row],[Capacity Approx]]*'[1]Load Factor Sheet June Acft  '!$D$5</f>
        <v>68.391818181818181</v>
      </c>
      <c r="T2475" s="22">
        <f>tblDailySchedule[[#This Row],[STD]]</f>
        <v>0.45833333333333331</v>
      </c>
    </row>
    <row r="2476" spans="1:20" hidden="1" x14ac:dyDescent="0.35">
      <c r="A2476" s="11">
        <v>46199</v>
      </c>
      <c r="B2476" s="3">
        <v>5</v>
      </c>
      <c r="C2476" t="s">
        <v>115</v>
      </c>
      <c r="D2476" t="s">
        <v>18</v>
      </c>
      <c r="E2476" s="3">
        <v>10</v>
      </c>
      <c r="F2476" t="s">
        <v>19</v>
      </c>
      <c r="G2476" t="s">
        <v>52</v>
      </c>
      <c r="H2476" t="s">
        <v>27</v>
      </c>
      <c r="I2476" s="12">
        <v>0.4826388888888889</v>
      </c>
      <c r="J2476" t="s">
        <v>53</v>
      </c>
      <c r="K2476" t="s">
        <v>27</v>
      </c>
      <c r="L2476" s="12">
        <v>0.51041666666666663</v>
      </c>
      <c r="M2476" t="s">
        <v>23</v>
      </c>
      <c r="N2476" s="3">
        <v>186</v>
      </c>
      <c r="O2476" t="s">
        <v>24</v>
      </c>
      <c r="P2476" t="s">
        <v>25</v>
      </c>
      <c r="R2476">
        <f>tblDailySchedule[[#This Row],[Capacity Approx]]*'[1]Load Factor Sheet June Acft  '!$B$5</f>
        <v>150.61772727272728</v>
      </c>
      <c r="S2476">
        <f>tblDailySchedule[[#This Row],[Capacity Approx]]*'[1]Load Factor Sheet June Acft  '!$D$5</f>
        <v>163.08818181818182</v>
      </c>
      <c r="T2476" s="22">
        <f>tblDailySchedule[[#This Row],[STD]]</f>
        <v>0.51041666666666663</v>
      </c>
    </row>
    <row r="2477" spans="1:20" hidden="1" x14ac:dyDescent="0.35">
      <c r="A2477" s="11">
        <v>46199</v>
      </c>
      <c r="B2477" s="3">
        <v>5</v>
      </c>
      <c r="C2477" t="s">
        <v>115</v>
      </c>
      <c r="D2477" t="s">
        <v>18</v>
      </c>
      <c r="E2477" s="3">
        <v>11</v>
      </c>
      <c r="F2477" t="s">
        <v>19</v>
      </c>
      <c r="G2477" t="s">
        <v>54</v>
      </c>
      <c r="H2477" t="s">
        <v>31</v>
      </c>
      <c r="I2477" s="12">
        <v>0.51388888888888884</v>
      </c>
      <c r="J2477" t="s">
        <v>55</v>
      </c>
      <c r="K2477" t="s">
        <v>31</v>
      </c>
      <c r="L2477" s="12">
        <v>0.54166666666666663</v>
      </c>
      <c r="M2477" t="s">
        <v>23</v>
      </c>
      <c r="N2477" s="3">
        <v>186</v>
      </c>
      <c r="O2477" t="s">
        <v>24</v>
      </c>
      <c r="P2477" t="s">
        <v>56</v>
      </c>
      <c r="R2477">
        <f>tblDailySchedule[[#This Row],[Capacity Approx]]*'[1]Load Factor Sheet June Acft  '!$B$5</f>
        <v>150.61772727272728</v>
      </c>
      <c r="S2477">
        <f>tblDailySchedule[[#This Row],[Capacity Approx]]*'[1]Load Factor Sheet June Acft  '!$D$5</f>
        <v>163.08818181818182</v>
      </c>
      <c r="T2477" s="22">
        <f>tblDailySchedule[[#This Row],[STD]]</f>
        <v>0.54166666666666663</v>
      </c>
    </row>
    <row r="2478" spans="1:20" hidden="1" x14ac:dyDescent="0.35">
      <c r="A2478" s="11">
        <v>46199</v>
      </c>
      <c r="B2478" s="3">
        <v>5</v>
      </c>
      <c r="C2478" t="s">
        <v>115</v>
      </c>
      <c r="D2478" t="s">
        <v>18</v>
      </c>
      <c r="E2478" s="3">
        <v>13</v>
      </c>
      <c r="F2478" t="s">
        <v>19</v>
      </c>
      <c r="G2478" t="s">
        <v>57</v>
      </c>
      <c r="H2478" t="s">
        <v>58</v>
      </c>
      <c r="I2478" s="12">
        <v>0.55902777777777779</v>
      </c>
      <c r="J2478" t="s">
        <v>59</v>
      </c>
      <c r="K2478" t="s">
        <v>58</v>
      </c>
      <c r="L2478" s="12">
        <v>0.57638888888888884</v>
      </c>
      <c r="M2478" t="s">
        <v>51</v>
      </c>
      <c r="N2478" s="3">
        <v>78</v>
      </c>
      <c r="O2478" t="s">
        <v>24</v>
      </c>
      <c r="P2478" t="s">
        <v>56</v>
      </c>
      <c r="R2478">
        <f>tblDailySchedule[[#This Row],[Capacity Approx]]*'[1]Load Factor Sheet June Acft  '!$B$5</f>
        <v>63.162272727272729</v>
      </c>
      <c r="S2478">
        <f>tblDailySchedule[[#This Row],[Capacity Approx]]*'[1]Load Factor Sheet June Acft  '!$D$5</f>
        <v>68.391818181818181</v>
      </c>
      <c r="T2478" s="22">
        <f>tblDailySchedule[[#This Row],[STD]]</f>
        <v>0.57638888888888884</v>
      </c>
    </row>
    <row r="2479" spans="1:20" hidden="1" x14ac:dyDescent="0.35">
      <c r="A2479" s="11">
        <v>46199</v>
      </c>
      <c r="B2479" s="3">
        <v>5</v>
      </c>
      <c r="C2479" t="s">
        <v>115</v>
      </c>
      <c r="D2479" t="s">
        <v>18</v>
      </c>
      <c r="E2479" s="3">
        <v>14</v>
      </c>
      <c r="F2479" t="s">
        <v>19</v>
      </c>
      <c r="G2479" t="s">
        <v>60</v>
      </c>
      <c r="H2479" t="s">
        <v>61</v>
      </c>
      <c r="I2479" s="12">
        <v>0.59027777777777779</v>
      </c>
      <c r="J2479" t="s">
        <v>62</v>
      </c>
      <c r="K2479" t="s">
        <v>61</v>
      </c>
      <c r="L2479" s="12">
        <v>0.62152777777777779</v>
      </c>
      <c r="M2479" t="s">
        <v>63</v>
      </c>
      <c r="N2479" s="3">
        <v>232</v>
      </c>
      <c r="O2479" t="s">
        <v>24</v>
      </c>
      <c r="P2479" t="s">
        <v>56</v>
      </c>
      <c r="R2479">
        <f>tblDailySchedule[[#This Row],[Capacity Approx]]*'[1]Load Factor Sheet June Acft  '!$B$5</f>
        <v>187.86727272727273</v>
      </c>
      <c r="S2479">
        <f>tblDailySchedule[[#This Row],[Capacity Approx]]*'[1]Load Factor Sheet June Acft  '!$D$5</f>
        <v>203.4218181818182</v>
      </c>
      <c r="T2479" s="22">
        <f>tblDailySchedule[[#This Row],[STD]]</f>
        <v>0.62152777777777779</v>
      </c>
    </row>
    <row r="2480" spans="1:20" hidden="1" x14ac:dyDescent="0.35">
      <c r="A2480" s="11">
        <v>46199</v>
      </c>
      <c r="B2480" s="3">
        <v>5</v>
      </c>
      <c r="C2480" t="s">
        <v>115</v>
      </c>
      <c r="D2480" t="s">
        <v>18</v>
      </c>
      <c r="E2480" s="3">
        <v>15</v>
      </c>
      <c r="F2480" t="s">
        <v>19</v>
      </c>
      <c r="G2480" t="s">
        <v>64</v>
      </c>
      <c r="H2480" t="s">
        <v>31</v>
      </c>
      <c r="I2480" s="12">
        <v>0.60069444444444442</v>
      </c>
      <c r="J2480" t="s">
        <v>65</v>
      </c>
      <c r="K2480" t="s">
        <v>66</v>
      </c>
      <c r="L2480" s="12">
        <v>0.62847222222222221</v>
      </c>
      <c r="M2480" t="s">
        <v>63</v>
      </c>
      <c r="N2480" s="3">
        <v>232</v>
      </c>
      <c r="O2480" t="s">
        <v>24</v>
      </c>
      <c r="P2480" t="s">
        <v>56</v>
      </c>
      <c r="R2480">
        <f>tblDailySchedule[[#This Row],[Capacity Approx]]*'[1]Load Factor Sheet June Acft  '!$B$5</f>
        <v>187.86727272727273</v>
      </c>
      <c r="S2480">
        <f>tblDailySchedule[[#This Row],[Capacity Approx]]*'[1]Load Factor Sheet June Acft  '!$D$5</f>
        <v>203.4218181818182</v>
      </c>
      <c r="T2480" s="22">
        <f>tblDailySchedule[[#This Row],[STD]]</f>
        <v>0.62847222222222221</v>
      </c>
    </row>
    <row r="2481" spans="1:20" hidden="1" x14ac:dyDescent="0.35">
      <c r="A2481" s="11">
        <v>46199</v>
      </c>
      <c r="B2481" s="3">
        <v>5</v>
      </c>
      <c r="C2481" t="s">
        <v>115</v>
      </c>
      <c r="D2481" t="s">
        <v>18</v>
      </c>
      <c r="E2481" s="3">
        <v>16</v>
      </c>
      <c r="F2481" t="s">
        <v>19</v>
      </c>
      <c r="G2481" t="s">
        <v>67</v>
      </c>
      <c r="H2481" t="s">
        <v>31</v>
      </c>
      <c r="I2481" s="12">
        <v>0.65625</v>
      </c>
      <c r="J2481" t="s">
        <v>68</v>
      </c>
      <c r="K2481" t="s">
        <v>31</v>
      </c>
      <c r="L2481" s="12">
        <v>0.68402777777777779</v>
      </c>
      <c r="M2481" t="s">
        <v>63</v>
      </c>
      <c r="N2481" s="3">
        <v>232</v>
      </c>
      <c r="O2481" t="s">
        <v>24</v>
      </c>
      <c r="P2481" t="s">
        <v>56</v>
      </c>
      <c r="R2481">
        <f>tblDailySchedule[[#This Row],[Capacity Approx]]*'[1]Load Factor Sheet June Acft  '!$B$5</f>
        <v>187.86727272727273</v>
      </c>
      <c r="S2481">
        <f>tblDailySchedule[[#This Row],[Capacity Approx]]*'[1]Load Factor Sheet June Acft  '!$D$5</f>
        <v>203.4218181818182</v>
      </c>
      <c r="T2481" s="22">
        <f>tblDailySchedule[[#This Row],[STD]]</f>
        <v>0.68402777777777779</v>
      </c>
    </row>
    <row r="2482" spans="1:20" hidden="1" x14ac:dyDescent="0.35">
      <c r="A2482" s="11">
        <v>46199</v>
      </c>
      <c r="B2482" s="3">
        <v>5</v>
      </c>
      <c r="C2482" t="s">
        <v>115</v>
      </c>
      <c r="D2482" t="s">
        <v>18</v>
      </c>
      <c r="E2482" s="3">
        <v>17</v>
      </c>
      <c r="F2482" t="s">
        <v>19</v>
      </c>
      <c r="G2482" t="s">
        <v>69</v>
      </c>
      <c r="H2482" t="s">
        <v>31</v>
      </c>
      <c r="I2482" s="12">
        <v>0.66319444444444442</v>
      </c>
      <c r="J2482" t="s">
        <v>70</v>
      </c>
      <c r="K2482" t="s">
        <v>31</v>
      </c>
      <c r="L2482" s="12">
        <v>0.69097222222222221</v>
      </c>
      <c r="M2482" t="s">
        <v>33</v>
      </c>
      <c r="N2482" s="3">
        <v>189</v>
      </c>
      <c r="O2482" t="s">
        <v>24</v>
      </c>
      <c r="P2482" t="s">
        <v>56</v>
      </c>
      <c r="R2482">
        <f>tblDailySchedule[[#This Row],[Capacity Approx]]*'[1]Load Factor Sheet June Acft  '!$B$5</f>
        <v>153.04704545454547</v>
      </c>
      <c r="S2482">
        <f>tblDailySchedule[[#This Row],[Capacity Approx]]*'[1]Load Factor Sheet June Acft  '!$D$5</f>
        <v>165.71863636363636</v>
      </c>
      <c r="T2482" s="22">
        <f>tblDailySchedule[[#This Row],[STD]]</f>
        <v>0.69097222222222221</v>
      </c>
    </row>
    <row r="2483" spans="1:20" hidden="1" x14ac:dyDescent="0.35">
      <c r="A2483" s="11">
        <v>46199</v>
      </c>
      <c r="B2483" s="3">
        <v>5</v>
      </c>
      <c r="C2483" t="s">
        <v>115</v>
      </c>
      <c r="D2483" t="s">
        <v>18</v>
      </c>
      <c r="E2483" s="3">
        <v>18</v>
      </c>
      <c r="F2483" t="s">
        <v>19</v>
      </c>
      <c r="G2483" t="s">
        <v>71</v>
      </c>
      <c r="H2483" t="s">
        <v>21</v>
      </c>
      <c r="I2483" s="12">
        <v>0.67013888888888884</v>
      </c>
      <c r="J2483" t="s">
        <v>72</v>
      </c>
      <c r="K2483" t="s">
        <v>21</v>
      </c>
      <c r="L2483" s="12">
        <v>0.69791666666666663</v>
      </c>
      <c r="M2483" t="s">
        <v>63</v>
      </c>
      <c r="N2483" s="3">
        <v>232</v>
      </c>
      <c r="O2483" t="s">
        <v>24</v>
      </c>
      <c r="P2483" t="s">
        <v>56</v>
      </c>
      <c r="R2483">
        <f>tblDailySchedule[[#This Row],[Capacity Approx]]*'[1]Load Factor Sheet June Acft  '!$B$5</f>
        <v>187.86727272727273</v>
      </c>
      <c r="S2483">
        <f>tblDailySchedule[[#This Row],[Capacity Approx]]*'[1]Load Factor Sheet June Acft  '!$D$5</f>
        <v>203.4218181818182</v>
      </c>
      <c r="T2483" s="22">
        <f>tblDailySchedule[[#This Row],[STD]]</f>
        <v>0.69791666666666663</v>
      </c>
    </row>
    <row r="2484" spans="1:20" hidden="1" x14ac:dyDescent="0.35">
      <c r="A2484" s="11">
        <v>46199</v>
      </c>
      <c r="B2484" s="3">
        <v>5</v>
      </c>
      <c r="C2484" t="s">
        <v>115</v>
      </c>
      <c r="D2484" t="s">
        <v>18</v>
      </c>
      <c r="E2484" s="3">
        <v>19</v>
      </c>
      <c r="F2484" t="s">
        <v>19</v>
      </c>
      <c r="G2484" t="s">
        <v>73</v>
      </c>
      <c r="H2484" t="s">
        <v>27</v>
      </c>
      <c r="I2484" s="12">
        <v>0.74652777777777779</v>
      </c>
      <c r="J2484" t="s">
        <v>74</v>
      </c>
      <c r="K2484" t="s">
        <v>27</v>
      </c>
      <c r="L2484" s="12">
        <v>0.77430555555555558</v>
      </c>
      <c r="M2484" t="s">
        <v>63</v>
      </c>
      <c r="N2484" s="3">
        <v>232</v>
      </c>
      <c r="O2484" t="s">
        <v>24</v>
      </c>
      <c r="P2484" t="s">
        <v>56</v>
      </c>
      <c r="R2484">
        <f>tblDailySchedule[[#This Row],[Capacity Approx]]*'[1]Load Factor Sheet June Acft  '!$B$5</f>
        <v>187.86727272727273</v>
      </c>
      <c r="S2484">
        <f>tblDailySchedule[[#This Row],[Capacity Approx]]*'[1]Load Factor Sheet June Acft  '!$D$5</f>
        <v>203.4218181818182</v>
      </c>
      <c r="T2484" s="22">
        <f>tblDailySchedule[[#This Row],[STD]]</f>
        <v>0.77430555555555558</v>
      </c>
    </row>
    <row r="2485" spans="1:20" hidden="1" x14ac:dyDescent="0.35">
      <c r="A2485" s="11">
        <v>46199</v>
      </c>
      <c r="B2485" s="3">
        <v>5</v>
      </c>
      <c r="C2485" t="s">
        <v>115</v>
      </c>
      <c r="D2485" t="s">
        <v>18</v>
      </c>
      <c r="E2485" s="3">
        <v>20</v>
      </c>
      <c r="F2485" t="s">
        <v>34</v>
      </c>
      <c r="G2485" t="s">
        <v>75</v>
      </c>
      <c r="H2485" t="s">
        <v>76</v>
      </c>
      <c r="I2485" s="12">
        <v>0.76388888888888884</v>
      </c>
      <c r="J2485" t="s">
        <v>77</v>
      </c>
      <c r="K2485" t="s">
        <v>78</v>
      </c>
      <c r="L2485" s="12">
        <v>0.78472222222222221</v>
      </c>
      <c r="M2485" t="s">
        <v>51</v>
      </c>
      <c r="N2485" s="3">
        <v>78</v>
      </c>
      <c r="O2485" t="s">
        <v>24</v>
      </c>
      <c r="P2485" t="s">
        <v>79</v>
      </c>
      <c r="Q2485" s="16" t="s">
        <v>80</v>
      </c>
      <c r="R2485">
        <f>tblDailySchedule[[#This Row],[Capacity Approx]]*'[1]Load Factor Sheet June Acft  '!$B$5</f>
        <v>63.162272727272729</v>
      </c>
      <c r="S2485">
        <f>tblDailySchedule[[#This Row],[Capacity Approx]]*'[1]Load Factor Sheet June Acft  '!$D$5</f>
        <v>68.391818181818181</v>
      </c>
      <c r="T2485" s="22">
        <f>tblDailySchedule[[#This Row],[STD]]</f>
        <v>0.78472222222222221</v>
      </c>
    </row>
    <row r="2486" spans="1:20" hidden="1" x14ac:dyDescent="0.35">
      <c r="A2486" s="11">
        <v>46199</v>
      </c>
      <c r="B2486" s="3">
        <v>5</v>
      </c>
      <c r="C2486" t="s">
        <v>115</v>
      </c>
      <c r="D2486" t="s">
        <v>18</v>
      </c>
      <c r="E2486" s="3">
        <v>21</v>
      </c>
      <c r="F2486" t="s">
        <v>19</v>
      </c>
      <c r="G2486" t="s">
        <v>81</v>
      </c>
      <c r="H2486" t="s">
        <v>61</v>
      </c>
      <c r="I2486" s="12">
        <v>0.77083333333333337</v>
      </c>
      <c r="J2486" t="s">
        <v>82</v>
      </c>
      <c r="K2486" t="s">
        <v>49</v>
      </c>
      <c r="L2486" s="12">
        <v>0.79166666666666663</v>
      </c>
      <c r="M2486" t="s">
        <v>33</v>
      </c>
      <c r="N2486" s="3">
        <v>189</v>
      </c>
      <c r="O2486" t="s">
        <v>24</v>
      </c>
      <c r="P2486" t="s">
        <v>79</v>
      </c>
      <c r="R2486">
        <f>tblDailySchedule[[#This Row],[Capacity Approx]]*'[1]Load Factor Sheet June Acft  '!$B$5</f>
        <v>153.04704545454547</v>
      </c>
      <c r="S2486">
        <f>tblDailySchedule[[#This Row],[Capacity Approx]]*'[1]Load Factor Sheet June Acft  '!$D$5</f>
        <v>165.71863636363636</v>
      </c>
      <c r="T2486" s="22">
        <f>tblDailySchedule[[#This Row],[STD]]</f>
        <v>0.79166666666666663</v>
      </c>
    </row>
    <row r="2487" spans="1:20" hidden="1" x14ac:dyDescent="0.35">
      <c r="A2487" s="11">
        <v>46199</v>
      </c>
      <c r="B2487" s="3">
        <v>5</v>
      </c>
      <c r="C2487" t="s">
        <v>115</v>
      </c>
      <c r="D2487" t="s">
        <v>18</v>
      </c>
      <c r="E2487" s="3">
        <v>22</v>
      </c>
      <c r="F2487" t="s">
        <v>19</v>
      </c>
      <c r="G2487" t="s">
        <v>83</v>
      </c>
      <c r="H2487" t="s">
        <v>31</v>
      </c>
      <c r="I2487" s="12">
        <v>0.77777777777777779</v>
      </c>
      <c r="J2487" t="s">
        <v>84</v>
      </c>
      <c r="K2487" t="s">
        <v>31</v>
      </c>
      <c r="L2487" s="12">
        <v>0.80555555555555558</v>
      </c>
      <c r="M2487" t="s">
        <v>63</v>
      </c>
      <c r="N2487" s="3">
        <v>232</v>
      </c>
      <c r="O2487" t="s">
        <v>24</v>
      </c>
      <c r="P2487" t="s">
        <v>79</v>
      </c>
      <c r="R2487">
        <f>tblDailySchedule[[#This Row],[Capacity Approx]]*'[1]Load Factor Sheet June Acft  '!$B$5</f>
        <v>187.86727272727273</v>
      </c>
      <c r="S2487">
        <f>tblDailySchedule[[#This Row],[Capacity Approx]]*'[1]Load Factor Sheet June Acft  '!$D$5</f>
        <v>203.4218181818182</v>
      </c>
      <c r="T2487" s="22">
        <f>tblDailySchedule[[#This Row],[STD]]</f>
        <v>0.80555555555555558</v>
      </c>
    </row>
    <row r="2488" spans="1:20" hidden="1" x14ac:dyDescent="0.35">
      <c r="A2488" s="11">
        <v>46199</v>
      </c>
      <c r="B2488" s="3">
        <v>5</v>
      </c>
      <c r="C2488" t="s">
        <v>115</v>
      </c>
      <c r="D2488" t="s">
        <v>18</v>
      </c>
      <c r="E2488" s="3">
        <v>23</v>
      </c>
      <c r="F2488" t="s">
        <v>19</v>
      </c>
      <c r="G2488" t="s">
        <v>85</v>
      </c>
      <c r="H2488" t="s">
        <v>86</v>
      </c>
      <c r="I2488" s="12">
        <v>0.79861111111111116</v>
      </c>
      <c r="J2488" t="s">
        <v>87</v>
      </c>
      <c r="K2488" t="s">
        <v>86</v>
      </c>
      <c r="L2488" s="12">
        <v>0.82638888888888884</v>
      </c>
      <c r="M2488" t="s">
        <v>63</v>
      </c>
      <c r="N2488" s="3">
        <v>232</v>
      </c>
      <c r="O2488" t="s">
        <v>24</v>
      </c>
      <c r="P2488" t="s">
        <v>79</v>
      </c>
      <c r="R2488">
        <f>tblDailySchedule[[#This Row],[Capacity Approx]]*'[1]Load Factor Sheet June Acft  '!$B$5</f>
        <v>187.86727272727273</v>
      </c>
      <c r="S2488">
        <f>tblDailySchedule[[#This Row],[Capacity Approx]]*'[1]Load Factor Sheet June Acft  '!$D$5</f>
        <v>203.4218181818182</v>
      </c>
      <c r="T2488" s="22">
        <f>tblDailySchedule[[#This Row],[STD]]</f>
        <v>0.82638888888888884</v>
      </c>
    </row>
    <row r="2489" spans="1:20" hidden="1" x14ac:dyDescent="0.35">
      <c r="A2489" s="11">
        <v>46199</v>
      </c>
      <c r="B2489" s="3">
        <v>5</v>
      </c>
      <c r="C2489" t="s">
        <v>115</v>
      </c>
      <c r="D2489" t="s">
        <v>18</v>
      </c>
      <c r="E2489" s="3">
        <v>24</v>
      </c>
      <c r="F2489" t="s">
        <v>19</v>
      </c>
      <c r="G2489" t="s">
        <v>88</v>
      </c>
      <c r="H2489" t="s">
        <v>89</v>
      </c>
      <c r="I2489" s="12">
        <v>0.83333333333333337</v>
      </c>
      <c r="J2489" t="s">
        <v>90</v>
      </c>
      <c r="K2489" t="s">
        <v>31</v>
      </c>
      <c r="L2489" s="12">
        <v>0.86111111111111116</v>
      </c>
      <c r="M2489" t="s">
        <v>63</v>
      </c>
      <c r="N2489" s="3">
        <v>232</v>
      </c>
      <c r="O2489" t="s">
        <v>24</v>
      </c>
      <c r="P2489" t="s">
        <v>79</v>
      </c>
      <c r="R2489">
        <f>tblDailySchedule[[#This Row],[Capacity Approx]]*'[1]Load Factor Sheet June Acft  '!$B$5</f>
        <v>187.86727272727273</v>
      </c>
      <c r="S2489">
        <f>tblDailySchedule[[#This Row],[Capacity Approx]]*'[1]Load Factor Sheet June Acft  '!$D$5</f>
        <v>203.4218181818182</v>
      </c>
      <c r="T2489" s="22">
        <f>tblDailySchedule[[#This Row],[STD]]</f>
        <v>0.86111111111111116</v>
      </c>
    </row>
    <row r="2490" spans="1:20" hidden="1" x14ac:dyDescent="0.35">
      <c r="A2490" s="11">
        <v>46199</v>
      </c>
      <c r="B2490" s="3">
        <v>5</v>
      </c>
      <c r="C2490" t="s">
        <v>115</v>
      </c>
      <c r="D2490" t="s">
        <v>18</v>
      </c>
      <c r="E2490" s="3">
        <v>25</v>
      </c>
      <c r="F2490" t="s">
        <v>19</v>
      </c>
      <c r="G2490" t="s">
        <v>91</v>
      </c>
      <c r="H2490" t="s">
        <v>61</v>
      </c>
      <c r="I2490" s="12">
        <v>0.85416666666666663</v>
      </c>
      <c r="J2490" t="s">
        <v>92</v>
      </c>
      <c r="K2490" t="s">
        <v>61</v>
      </c>
      <c r="L2490" s="12">
        <v>0.88194444444444442</v>
      </c>
      <c r="M2490" t="s">
        <v>63</v>
      </c>
      <c r="N2490" s="3">
        <v>232</v>
      </c>
      <c r="O2490" t="s">
        <v>24</v>
      </c>
      <c r="P2490" t="s">
        <v>79</v>
      </c>
      <c r="R2490">
        <f>tblDailySchedule[[#This Row],[Capacity Approx]]*'[1]Load Factor Sheet June Acft  '!$B$5</f>
        <v>187.86727272727273</v>
      </c>
      <c r="S2490">
        <f>tblDailySchedule[[#This Row],[Capacity Approx]]*'[1]Load Factor Sheet June Acft  '!$D$5</f>
        <v>203.4218181818182</v>
      </c>
      <c r="T2490" s="22">
        <f>tblDailySchedule[[#This Row],[STD]]</f>
        <v>0.88194444444444442</v>
      </c>
    </row>
    <row r="2491" spans="1:20" hidden="1" x14ac:dyDescent="0.35">
      <c r="A2491" s="11">
        <v>46199</v>
      </c>
      <c r="B2491" s="3">
        <v>5</v>
      </c>
      <c r="C2491" t="s">
        <v>115</v>
      </c>
      <c r="D2491" t="s">
        <v>18</v>
      </c>
      <c r="E2491" s="3">
        <v>26</v>
      </c>
      <c r="F2491" t="s">
        <v>19</v>
      </c>
      <c r="G2491" t="s">
        <v>93</v>
      </c>
      <c r="H2491" t="s">
        <v>31</v>
      </c>
      <c r="I2491" s="12">
        <v>0.86111111111111116</v>
      </c>
      <c r="J2491" t="s">
        <v>94</v>
      </c>
      <c r="K2491" t="s">
        <v>31</v>
      </c>
      <c r="L2491" s="12">
        <v>0.88888888888888884</v>
      </c>
      <c r="M2491" t="s">
        <v>23</v>
      </c>
      <c r="N2491" s="3">
        <v>186</v>
      </c>
      <c r="O2491" t="s">
        <v>24</v>
      </c>
      <c r="P2491" t="s">
        <v>79</v>
      </c>
      <c r="R2491">
        <f>tblDailySchedule[[#This Row],[Capacity Approx]]*'[1]Load Factor Sheet June Acft  '!$B$5</f>
        <v>150.61772727272728</v>
      </c>
      <c r="S2491">
        <f>tblDailySchedule[[#This Row],[Capacity Approx]]*'[1]Load Factor Sheet June Acft  '!$D$5</f>
        <v>163.08818181818182</v>
      </c>
      <c r="T2491" s="22">
        <f>tblDailySchedule[[#This Row],[STD]]</f>
        <v>0.88888888888888884</v>
      </c>
    </row>
    <row r="2492" spans="1:20" hidden="1" x14ac:dyDescent="0.35">
      <c r="A2492" s="11">
        <v>46199</v>
      </c>
      <c r="B2492" s="3">
        <v>5</v>
      </c>
      <c r="C2492" t="s">
        <v>115</v>
      </c>
      <c r="D2492" t="s">
        <v>18</v>
      </c>
      <c r="E2492" s="3">
        <v>27</v>
      </c>
      <c r="F2492" t="s">
        <v>19</v>
      </c>
      <c r="G2492" t="s">
        <v>95</v>
      </c>
      <c r="H2492" t="s">
        <v>21</v>
      </c>
      <c r="I2492" s="12">
        <v>0.86805555555555558</v>
      </c>
      <c r="J2492" t="s">
        <v>96</v>
      </c>
      <c r="K2492" t="s">
        <v>21</v>
      </c>
      <c r="L2492" s="12">
        <v>0.89583333333333337</v>
      </c>
      <c r="M2492" t="s">
        <v>29</v>
      </c>
      <c r="N2492" s="3">
        <v>186</v>
      </c>
      <c r="O2492" t="s">
        <v>24</v>
      </c>
      <c r="P2492" t="s">
        <v>79</v>
      </c>
      <c r="R2492">
        <f>tblDailySchedule[[#This Row],[Capacity Approx]]*'[1]Load Factor Sheet June Acft  '!$B$5</f>
        <v>150.61772727272728</v>
      </c>
      <c r="S2492">
        <f>tblDailySchedule[[#This Row],[Capacity Approx]]*'[1]Load Factor Sheet June Acft  '!$D$5</f>
        <v>163.08818181818182</v>
      </c>
      <c r="T2492" s="22">
        <f>tblDailySchedule[[#This Row],[STD]]</f>
        <v>0.89583333333333337</v>
      </c>
    </row>
    <row r="2493" spans="1:20" hidden="1" x14ac:dyDescent="0.35">
      <c r="A2493" s="11">
        <v>46199</v>
      </c>
      <c r="B2493" s="3">
        <v>5</v>
      </c>
      <c r="C2493" t="s">
        <v>115</v>
      </c>
      <c r="D2493" t="s">
        <v>18</v>
      </c>
      <c r="E2493" s="3">
        <v>28</v>
      </c>
      <c r="F2493" t="s">
        <v>19</v>
      </c>
      <c r="G2493" t="s">
        <v>97</v>
      </c>
      <c r="H2493" t="s">
        <v>49</v>
      </c>
      <c r="I2493" s="12">
        <v>0.90277777777777779</v>
      </c>
      <c r="J2493" t="s">
        <v>97</v>
      </c>
      <c r="K2493" t="s">
        <v>61</v>
      </c>
      <c r="L2493" s="12">
        <v>0.92361111111111116</v>
      </c>
      <c r="M2493" t="s">
        <v>33</v>
      </c>
      <c r="N2493" s="3">
        <v>189</v>
      </c>
      <c r="O2493" t="s">
        <v>24</v>
      </c>
      <c r="P2493" t="s">
        <v>79</v>
      </c>
      <c r="R2493">
        <f>tblDailySchedule[[#This Row],[Capacity Approx]]*'[1]Load Factor Sheet June Acft  '!$B$5</f>
        <v>153.04704545454547</v>
      </c>
      <c r="S2493">
        <f>tblDailySchedule[[#This Row],[Capacity Approx]]*'[1]Load Factor Sheet June Acft  '!$D$5</f>
        <v>165.71863636363636</v>
      </c>
      <c r="T2493" s="22">
        <f>tblDailySchedule[[#This Row],[STD]]</f>
        <v>0.92361111111111116</v>
      </c>
    </row>
    <row r="2494" spans="1:20" hidden="1" x14ac:dyDescent="0.35">
      <c r="A2494" s="11">
        <v>46199</v>
      </c>
      <c r="B2494" s="3">
        <v>5</v>
      </c>
      <c r="C2494" t="s">
        <v>115</v>
      </c>
      <c r="D2494" t="s">
        <v>18</v>
      </c>
      <c r="E2494" s="3">
        <v>29</v>
      </c>
      <c r="F2494" t="s">
        <v>19</v>
      </c>
      <c r="G2494" t="s">
        <v>98</v>
      </c>
      <c r="H2494" t="s">
        <v>21</v>
      </c>
      <c r="I2494" s="12">
        <v>0.92013888888888884</v>
      </c>
      <c r="J2494" t="s">
        <v>99</v>
      </c>
      <c r="K2494" t="s">
        <v>21</v>
      </c>
      <c r="L2494" s="12">
        <v>0.94791666666666663</v>
      </c>
      <c r="M2494" t="s">
        <v>63</v>
      </c>
      <c r="N2494" s="3">
        <v>232</v>
      </c>
      <c r="O2494" t="s">
        <v>24</v>
      </c>
      <c r="P2494" t="s">
        <v>79</v>
      </c>
      <c r="R2494">
        <f>tblDailySchedule[[#This Row],[Capacity Approx]]*'[1]Load Factor Sheet June Acft  '!$B$5</f>
        <v>187.86727272727273</v>
      </c>
      <c r="S2494">
        <f>tblDailySchedule[[#This Row],[Capacity Approx]]*'[1]Load Factor Sheet June Acft  '!$D$5</f>
        <v>203.4218181818182</v>
      </c>
      <c r="T2494" s="22">
        <f>tblDailySchedule[[#This Row],[STD]]</f>
        <v>0.94791666666666663</v>
      </c>
    </row>
    <row r="2495" spans="1:20" hidden="1" x14ac:dyDescent="0.35">
      <c r="A2495" s="13">
        <v>46199</v>
      </c>
      <c r="B2495" s="7">
        <v>5</v>
      </c>
      <c r="C2495" s="14" t="s">
        <v>115</v>
      </c>
      <c r="D2495" s="14" t="s">
        <v>18</v>
      </c>
      <c r="E2495" s="7">
        <v>30</v>
      </c>
      <c r="F2495" s="14" t="s">
        <v>104</v>
      </c>
      <c r="G2495" s="14" t="s">
        <v>105</v>
      </c>
      <c r="H2495" s="14" t="s">
        <v>106</v>
      </c>
      <c r="I2495" s="15">
        <v>0.92708333333333337</v>
      </c>
      <c r="J2495" s="14" t="s">
        <v>107</v>
      </c>
      <c r="K2495" s="14" t="s">
        <v>106</v>
      </c>
      <c r="L2495" s="15">
        <v>0.95833333333333337</v>
      </c>
      <c r="M2495" s="14" t="s">
        <v>38</v>
      </c>
      <c r="N2495" s="7">
        <v>186</v>
      </c>
      <c r="O2495" s="14" t="s">
        <v>39</v>
      </c>
      <c r="P2495" s="14" t="s">
        <v>79</v>
      </c>
      <c r="Q2495" s="14" t="s">
        <v>39</v>
      </c>
      <c r="R2495">
        <f>tblDailySchedule[[#This Row],[Capacity Approx]]*'[1]Load Factor Sheet June Acft  '!$B$5</f>
        <v>150.61772727272728</v>
      </c>
      <c r="S2495">
        <f>tblDailySchedule[[#This Row],[Capacity Approx]]*'[1]Load Factor Sheet June Acft  '!$D$5</f>
        <v>163.08818181818182</v>
      </c>
      <c r="T2495" s="22">
        <f>tblDailySchedule[[#This Row],[STD]]</f>
        <v>0.95833333333333337</v>
      </c>
    </row>
    <row r="2496" spans="1:20" hidden="1" x14ac:dyDescent="0.35">
      <c r="A2496" s="11">
        <v>46200</v>
      </c>
      <c r="B2496" s="3">
        <v>6</v>
      </c>
      <c r="C2496" t="s">
        <v>116</v>
      </c>
      <c r="D2496" t="s">
        <v>18</v>
      </c>
      <c r="E2496" s="3">
        <v>1</v>
      </c>
      <c r="F2496" t="s">
        <v>101</v>
      </c>
      <c r="G2496" t="s">
        <v>102</v>
      </c>
      <c r="H2496" t="s">
        <v>61</v>
      </c>
      <c r="I2496" s="12">
        <v>0.3125</v>
      </c>
      <c r="J2496" t="s">
        <v>103</v>
      </c>
      <c r="K2496" t="s">
        <v>61</v>
      </c>
      <c r="L2496" s="12">
        <v>0.33333333333333331</v>
      </c>
      <c r="M2496" t="s">
        <v>33</v>
      </c>
      <c r="N2496" s="3">
        <v>189</v>
      </c>
      <c r="O2496" t="s">
        <v>24</v>
      </c>
      <c r="P2496" t="s">
        <v>25</v>
      </c>
      <c r="R2496">
        <f>tblDailySchedule[[#This Row],[Capacity Approx]]*'[1]Load Factor Sheet June Acft  '!$B$5</f>
        <v>153.04704545454547</v>
      </c>
      <c r="S2496">
        <f>tblDailySchedule[[#This Row],[Capacity Approx]]*'[1]Load Factor Sheet June Acft  '!$D$5</f>
        <v>165.71863636363636</v>
      </c>
      <c r="T2496" s="22">
        <f>tblDailySchedule[[#This Row],[STD]]</f>
        <v>0.33333333333333331</v>
      </c>
    </row>
    <row r="2497" spans="1:20" hidden="1" x14ac:dyDescent="0.35">
      <c r="A2497" s="11">
        <v>46200</v>
      </c>
      <c r="B2497" s="3">
        <v>6</v>
      </c>
      <c r="C2497" t="s">
        <v>116</v>
      </c>
      <c r="D2497" t="s">
        <v>18</v>
      </c>
      <c r="E2497" s="3">
        <v>2</v>
      </c>
      <c r="F2497" t="s">
        <v>19</v>
      </c>
      <c r="G2497" t="s">
        <v>20</v>
      </c>
      <c r="H2497" t="s">
        <v>21</v>
      </c>
      <c r="I2497" s="12">
        <v>0.31944444444444442</v>
      </c>
      <c r="J2497" t="s">
        <v>22</v>
      </c>
      <c r="K2497" t="s">
        <v>21</v>
      </c>
      <c r="L2497" s="12">
        <v>0.34722222222222221</v>
      </c>
      <c r="M2497" t="s">
        <v>23</v>
      </c>
      <c r="N2497" s="3">
        <v>186</v>
      </c>
      <c r="O2497" t="s">
        <v>24</v>
      </c>
      <c r="P2497" t="s">
        <v>25</v>
      </c>
      <c r="R2497">
        <f>tblDailySchedule[[#This Row],[Capacity Approx]]*'[1]Load Factor Sheet June Acft  '!$B$5</f>
        <v>150.61772727272728</v>
      </c>
      <c r="S2497">
        <f>tblDailySchedule[[#This Row],[Capacity Approx]]*'[1]Load Factor Sheet June Acft  '!$D$5</f>
        <v>163.08818181818182</v>
      </c>
      <c r="T2497" s="22">
        <f>tblDailySchedule[[#This Row],[STD]]</f>
        <v>0.34722222222222221</v>
      </c>
    </row>
    <row r="2498" spans="1:20" hidden="1" x14ac:dyDescent="0.35">
      <c r="A2498" s="11">
        <v>46200</v>
      </c>
      <c r="B2498" s="3">
        <v>6</v>
      </c>
      <c r="C2498" t="s">
        <v>116</v>
      </c>
      <c r="D2498" t="s">
        <v>18</v>
      </c>
      <c r="E2498" s="3">
        <v>3</v>
      </c>
      <c r="F2498" t="s">
        <v>19</v>
      </c>
      <c r="G2498" t="s">
        <v>26</v>
      </c>
      <c r="H2498" t="s">
        <v>27</v>
      </c>
      <c r="I2498" s="12">
        <v>0.3263888888888889</v>
      </c>
      <c r="J2498" t="s">
        <v>28</v>
      </c>
      <c r="K2498" t="s">
        <v>27</v>
      </c>
      <c r="L2498" s="12">
        <v>0.35416666666666669</v>
      </c>
      <c r="M2498" t="s">
        <v>29</v>
      </c>
      <c r="N2498" s="3">
        <v>186</v>
      </c>
      <c r="O2498" t="s">
        <v>24</v>
      </c>
      <c r="P2498" t="s">
        <v>25</v>
      </c>
      <c r="R2498">
        <f>tblDailySchedule[[#This Row],[Capacity Approx]]*'[1]Load Factor Sheet June Acft  '!$B$5</f>
        <v>150.61772727272728</v>
      </c>
      <c r="S2498">
        <f>tblDailySchedule[[#This Row],[Capacity Approx]]*'[1]Load Factor Sheet June Acft  '!$D$5</f>
        <v>163.08818181818182</v>
      </c>
      <c r="T2498" s="22">
        <f>tblDailySchedule[[#This Row],[STD]]</f>
        <v>0.35416666666666669</v>
      </c>
    </row>
    <row r="2499" spans="1:20" hidden="1" x14ac:dyDescent="0.35">
      <c r="A2499" s="11">
        <v>46200</v>
      </c>
      <c r="B2499" s="3">
        <v>6</v>
      </c>
      <c r="C2499" t="s">
        <v>116</v>
      </c>
      <c r="D2499" t="s">
        <v>18</v>
      </c>
      <c r="E2499" s="3">
        <v>4</v>
      </c>
      <c r="F2499" t="s">
        <v>19</v>
      </c>
      <c r="G2499" t="s">
        <v>30</v>
      </c>
      <c r="H2499" t="s">
        <v>31</v>
      </c>
      <c r="I2499" s="12">
        <v>0.34722222222222221</v>
      </c>
      <c r="J2499" t="s">
        <v>32</v>
      </c>
      <c r="K2499" t="s">
        <v>31</v>
      </c>
      <c r="L2499" s="12">
        <v>0.36805555555555558</v>
      </c>
      <c r="M2499" t="s">
        <v>33</v>
      </c>
      <c r="N2499" s="3">
        <v>189</v>
      </c>
      <c r="O2499" t="s">
        <v>24</v>
      </c>
      <c r="P2499" t="s">
        <v>25</v>
      </c>
      <c r="R2499">
        <f>tblDailySchedule[[#This Row],[Capacity Approx]]*'[1]Load Factor Sheet June Acft  '!$B$5</f>
        <v>153.04704545454547</v>
      </c>
      <c r="S2499">
        <f>tblDailySchedule[[#This Row],[Capacity Approx]]*'[1]Load Factor Sheet June Acft  '!$D$5</f>
        <v>165.71863636363636</v>
      </c>
      <c r="T2499" s="22">
        <f>tblDailySchedule[[#This Row],[STD]]</f>
        <v>0.36805555555555558</v>
      </c>
    </row>
    <row r="2500" spans="1:20" hidden="1" x14ac:dyDescent="0.35">
      <c r="A2500" s="11">
        <v>46200</v>
      </c>
      <c r="B2500" s="3">
        <v>6</v>
      </c>
      <c r="C2500" t="s">
        <v>116</v>
      </c>
      <c r="D2500" t="s">
        <v>18</v>
      </c>
      <c r="E2500" s="3">
        <v>5</v>
      </c>
      <c r="F2500" t="s">
        <v>19</v>
      </c>
      <c r="G2500" t="s">
        <v>40</v>
      </c>
      <c r="H2500" t="s">
        <v>31</v>
      </c>
      <c r="I2500" s="12">
        <v>0.35069444444444442</v>
      </c>
      <c r="J2500" t="s">
        <v>41</v>
      </c>
      <c r="K2500" t="s">
        <v>31</v>
      </c>
      <c r="L2500" s="12">
        <v>0.37152777777777779</v>
      </c>
      <c r="M2500" t="s">
        <v>23</v>
      </c>
      <c r="N2500" s="3">
        <v>186</v>
      </c>
      <c r="O2500" t="s">
        <v>24</v>
      </c>
      <c r="P2500" t="s">
        <v>25</v>
      </c>
      <c r="R2500">
        <f>tblDailySchedule[[#This Row],[Capacity Approx]]*'[1]Load Factor Sheet June Acft  '!$B$5</f>
        <v>150.61772727272728</v>
      </c>
      <c r="S2500">
        <f>tblDailySchedule[[#This Row],[Capacity Approx]]*'[1]Load Factor Sheet June Acft  '!$D$5</f>
        <v>163.08818181818182</v>
      </c>
      <c r="T2500" s="22">
        <f>tblDailySchedule[[#This Row],[STD]]</f>
        <v>0.37152777777777779</v>
      </c>
    </row>
    <row r="2501" spans="1:20" hidden="1" x14ac:dyDescent="0.35">
      <c r="A2501" s="11">
        <v>46200</v>
      </c>
      <c r="B2501" s="3">
        <v>6</v>
      </c>
      <c r="C2501" t="s">
        <v>116</v>
      </c>
      <c r="D2501" t="s">
        <v>18</v>
      </c>
      <c r="E2501" s="3">
        <v>7</v>
      </c>
      <c r="F2501" t="s">
        <v>19</v>
      </c>
      <c r="G2501" t="s">
        <v>42</v>
      </c>
      <c r="H2501" t="s">
        <v>43</v>
      </c>
      <c r="I2501" s="12">
        <v>0.3923611111111111</v>
      </c>
      <c r="J2501" t="s">
        <v>44</v>
      </c>
      <c r="K2501" t="s">
        <v>43</v>
      </c>
      <c r="L2501" s="12">
        <v>0.40277777777777779</v>
      </c>
      <c r="M2501" t="s">
        <v>45</v>
      </c>
      <c r="N2501" s="3">
        <v>9</v>
      </c>
      <c r="O2501" t="s">
        <v>24</v>
      </c>
      <c r="P2501" t="s">
        <v>25</v>
      </c>
      <c r="R2501">
        <f>tblDailySchedule[[#This Row],[Capacity Approx]]*'[1]Load Factor Sheet June Acft  '!$B$5</f>
        <v>7.2879545454545456</v>
      </c>
      <c r="S2501">
        <f>tblDailySchedule[[#This Row],[Capacity Approx]]*'[1]Load Factor Sheet June Acft  '!$D$5</f>
        <v>7.8913636363636366</v>
      </c>
      <c r="T2501" s="22">
        <f>tblDailySchedule[[#This Row],[STD]]</f>
        <v>0.40277777777777779</v>
      </c>
    </row>
    <row r="2502" spans="1:20" hidden="1" x14ac:dyDescent="0.35">
      <c r="A2502" s="11">
        <v>46200</v>
      </c>
      <c r="B2502" s="3">
        <v>6</v>
      </c>
      <c r="C2502" t="s">
        <v>116</v>
      </c>
      <c r="D2502" t="s">
        <v>18</v>
      </c>
      <c r="E2502" s="3">
        <v>8</v>
      </c>
      <c r="F2502" t="s">
        <v>19</v>
      </c>
      <c r="G2502" t="s">
        <v>46</v>
      </c>
      <c r="H2502" t="s">
        <v>31</v>
      </c>
      <c r="I2502" s="12">
        <v>0.4201388888888889</v>
      </c>
      <c r="J2502" t="s">
        <v>47</v>
      </c>
      <c r="K2502" t="s">
        <v>31</v>
      </c>
      <c r="L2502" s="12">
        <v>0.44444444444444442</v>
      </c>
      <c r="M2502" t="s">
        <v>29</v>
      </c>
      <c r="N2502" s="3">
        <v>186</v>
      </c>
      <c r="O2502" t="s">
        <v>24</v>
      </c>
      <c r="P2502" t="s">
        <v>25</v>
      </c>
      <c r="R2502">
        <f>tblDailySchedule[[#This Row],[Capacity Approx]]*'[1]Load Factor Sheet June Acft  '!$B$5</f>
        <v>150.61772727272728</v>
      </c>
      <c r="S2502">
        <f>tblDailySchedule[[#This Row],[Capacity Approx]]*'[1]Load Factor Sheet June Acft  '!$D$5</f>
        <v>163.08818181818182</v>
      </c>
      <c r="T2502" s="22">
        <f>tblDailySchedule[[#This Row],[STD]]</f>
        <v>0.44444444444444442</v>
      </c>
    </row>
    <row r="2503" spans="1:20" hidden="1" x14ac:dyDescent="0.35">
      <c r="A2503" s="11">
        <v>46200</v>
      </c>
      <c r="B2503" s="3">
        <v>6</v>
      </c>
      <c r="C2503" t="s">
        <v>116</v>
      </c>
      <c r="D2503" t="s">
        <v>18</v>
      </c>
      <c r="E2503" s="3">
        <v>9</v>
      </c>
      <c r="F2503" t="s">
        <v>19</v>
      </c>
      <c r="G2503" t="s">
        <v>48</v>
      </c>
      <c r="H2503" t="s">
        <v>49</v>
      </c>
      <c r="I2503" s="12">
        <v>0.4375</v>
      </c>
      <c r="J2503" t="s">
        <v>50</v>
      </c>
      <c r="K2503" t="s">
        <v>49</v>
      </c>
      <c r="L2503" s="12">
        <v>0.45833333333333331</v>
      </c>
      <c r="M2503" t="s">
        <v>51</v>
      </c>
      <c r="N2503" s="3">
        <v>78</v>
      </c>
      <c r="O2503" t="s">
        <v>24</v>
      </c>
      <c r="P2503" t="s">
        <v>25</v>
      </c>
      <c r="R2503">
        <f>tblDailySchedule[[#This Row],[Capacity Approx]]*'[1]Load Factor Sheet June Acft  '!$B$5</f>
        <v>63.162272727272729</v>
      </c>
      <c r="S2503">
        <f>tblDailySchedule[[#This Row],[Capacity Approx]]*'[1]Load Factor Sheet June Acft  '!$D$5</f>
        <v>68.391818181818181</v>
      </c>
      <c r="T2503" s="22">
        <f>tblDailySchedule[[#This Row],[STD]]</f>
        <v>0.45833333333333331</v>
      </c>
    </row>
    <row r="2504" spans="1:20" hidden="1" x14ac:dyDescent="0.35">
      <c r="A2504" s="11">
        <v>46200</v>
      </c>
      <c r="B2504" s="3">
        <v>6</v>
      </c>
      <c r="C2504" t="s">
        <v>116</v>
      </c>
      <c r="D2504" t="s">
        <v>18</v>
      </c>
      <c r="E2504" s="3">
        <v>10</v>
      </c>
      <c r="F2504" t="s">
        <v>19</v>
      </c>
      <c r="G2504" t="s">
        <v>52</v>
      </c>
      <c r="H2504" t="s">
        <v>27</v>
      </c>
      <c r="I2504" s="12">
        <v>0.4826388888888889</v>
      </c>
      <c r="J2504" t="s">
        <v>53</v>
      </c>
      <c r="K2504" t="s">
        <v>27</v>
      </c>
      <c r="L2504" s="12">
        <v>0.51041666666666663</v>
      </c>
      <c r="M2504" t="s">
        <v>23</v>
      </c>
      <c r="N2504" s="3">
        <v>186</v>
      </c>
      <c r="O2504" t="s">
        <v>24</v>
      </c>
      <c r="P2504" t="s">
        <v>25</v>
      </c>
      <c r="R2504">
        <f>tblDailySchedule[[#This Row],[Capacity Approx]]*'[1]Load Factor Sheet June Acft  '!$B$5</f>
        <v>150.61772727272728</v>
      </c>
      <c r="S2504">
        <f>tblDailySchedule[[#This Row],[Capacity Approx]]*'[1]Load Factor Sheet June Acft  '!$D$5</f>
        <v>163.08818181818182</v>
      </c>
      <c r="T2504" s="22">
        <f>tblDailySchedule[[#This Row],[STD]]</f>
        <v>0.51041666666666663</v>
      </c>
    </row>
    <row r="2505" spans="1:20" hidden="1" x14ac:dyDescent="0.35">
      <c r="A2505" s="11">
        <v>46200</v>
      </c>
      <c r="B2505" s="3">
        <v>6</v>
      </c>
      <c r="C2505" t="s">
        <v>116</v>
      </c>
      <c r="D2505" t="s">
        <v>18</v>
      </c>
      <c r="E2505" s="3">
        <v>11</v>
      </c>
      <c r="F2505" t="s">
        <v>19</v>
      </c>
      <c r="G2505" t="s">
        <v>54</v>
      </c>
      <c r="H2505" t="s">
        <v>31</v>
      </c>
      <c r="I2505" s="12">
        <v>0.51388888888888884</v>
      </c>
      <c r="J2505" t="s">
        <v>55</v>
      </c>
      <c r="K2505" t="s">
        <v>31</v>
      </c>
      <c r="L2505" s="12">
        <v>0.54166666666666663</v>
      </c>
      <c r="M2505" t="s">
        <v>23</v>
      </c>
      <c r="N2505" s="3">
        <v>186</v>
      </c>
      <c r="O2505" t="s">
        <v>24</v>
      </c>
      <c r="P2505" t="s">
        <v>56</v>
      </c>
      <c r="R2505">
        <f>tblDailySchedule[[#This Row],[Capacity Approx]]*'[1]Load Factor Sheet June Acft  '!$B$5</f>
        <v>150.61772727272728</v>
      </c>
      <c r="S2505">
        <f>tblDailySchedule[[#This Row],[Capacity Approx]]*'[1]Load Factor Sheet June Acft  '!$D$5</f>
        <v>163.08818181818182</v>
      </c>
      <c r="T2505" s="22">
        <f>tblDailySchedule[[#This Row],[STD]]</f>
        <v>0.54166666666666663</v>
      </c>
    </row>
    <row r="2506" spans="1:20" hidden="1" x14ac:dyDescent="0.35">
      <c r="A2506" s="11">
        <v>46200</v>
      </c>
      <c r="B2506" s="3">
        <v>6</v>
      </c>
      <c r="C2506" t="s">
        <v>116</v>
      </c>
      <c r="D2506" t="s">
        <v>18</v>
      </c>
      <c r="E2506" s="3">
        <v>12</v>
      </c>
      <c r="F2506" t="s">
        <v>109</v>
      </c>
      <c r="G2506" t="s">
        <v>110</v>
      </c>
      <c r="H2506" t="s">
        <v>111</v>
      </c>
      <c r="I2506" s="12">
        <v>0.55555555555555558</v>
      </c>
      <c r="J2506" t="s">
        <v>112</v>
      </c>
      <c r="K2506" t="s">
        <v>111</v>
      </c>
      <c r="L2506" s="12">
        <v>0.56944444444444442</v>
      </c>
      <c r="M2506" t="s">
        <v>51</v>
      </c>
      <c r="N2506" s="3">
        <v>78</v>
      </c>
      <c r="O2506" t="s">
        <v>24</v>
      </c>
      <c r="P2506" t="s">
        <v>56</v>
      </c>
      <c r="R2506">
        <f>tblDailySchedule[[#This Row],[Capacity Approx]]*'[1]Load Factor Sheet June Acft  '!$B$5</f>
        <v>63.162272727272729</v>
      </c>
      <c r="S2506">
        <f>tblDailySchedule[[#This Row],[Capacity Approx]]*'[1]Load Factor Sheet June Acft  '!$D$5</f>
        <v>68.391818181818181</v>
      </c>
      <c r="T2506" s="22">
        <f>tblDailySchedule[[#This Row],[STD]]</f>
        <v>0.56944444444444442</v>
      </c>
    </row>
    <row r="2507" spans="1:20" hidden="1" x14ac:dyDescent="0.35">
      <c r="A2507" s="11">
        <v>46200</v>
      </c>
      <c r="B2507" s="3">
        <v>6</v>
      </c>
      <c r="C2507" t="s">
        <v>116</v>
      </c>
      <c r="D2507" t="s">
        <v>18</v>
      </c>
      <c r="E2507" s="3">
        <v>13</v>
      </c>
      <c r="F2507" t="s">
        <v>19</v>
      </c>
      <c r="G2507" t="s">
        <v>57</v>
      </c>
      <c r="H2507" t="s">
        <v>58</v>
      </c>
      <c r="I2507" s="12">
        <v>0.55902777777777779</v>
      </c>
      <c r="J2507" t="s">
        <v>59</v>
      </c>
      <c r="K2507" t="s">
        <v>58</v>
      </c>
      <c r="L2507" s="12">
        <v>0.57638888888888884</v>
      </c>
      <c r="M2507" t="s">
        <v>51</v>
      </c>
      <c r="N2507" s="3">
        <v>78</v>
      </c>
      <c r="O2507" t="s">
        <v>24</v>
      </c>
      <c r="P2507" t="s">
        <v>56</v>
      </c>
      <c r="R2507">
        <f>tblDailySchedule[[#This Row],[Capacity Approx]]*'[1]Load Factor Sheet June Acft  '!$B$5</f>
        <v>63.162272727272729</v>
      </c>
      <c r="S2507">
        <f>tblDailySchedule[[#This Row],[Capacity Approx]]*'[1]Load Factor Sheet June Acft  '!$D$5</f>
        <v>68.391818181818181</v>
      </c>
      <c r="T2507" s="22">
        <f>tblDailySchedule[[#This Row],[STD]]</f>
        <v>0.57638888888888884</v>
      </c>
    </row>
    <row r="2508" spans="1:20" hidden="1" x14ac:dyDescent="0.35">
      <c r="A2508" s="11">
        <v>46200</v>
      </c>
      <c r="B2508" s="3">
        <v>6</v>
      </c>
      <c r="C2508" t="s">
        <v>116</v>
      </c>
      <c r="D2508" t="s">
        <v>18</v>
      </c>
      <c r="E2508" s="3">
        <v>14</v>
      </c>
      <c r="F2508" t="s">
        <v>19</v>
      </c>
      <c r="G2508" t="s">
        <v>60</v>
      </c>
      <c r="H2508" t="s">
        <v>61</v>
      </c>
      <c r="I2508" s="12">
        <v>0.59027777777777779</v>
      </c>
      <c r="J2508" t="s">
        <v>62</v>
      </c>
      <c r="K2508" t="s">
        <v>61</v>
      </c>
      <c r="L2508" s="12">
        <v>0.62152777777777779</v>
      </c>
      <c r="M2508" t="s">
        <v>63</v>
      </c>
      <c r="N2508" s="3">
        <v>232</v>
      </c>
      <c r="O2508" t="s">
        <v>24</v>
      </c>
      <c r="P2508" t="s">
        <v>56</v>
      </c>
      <c r="R2508">
        <f>tblDailySchedule[[#This Row],[Capacity Approx]]*'[1]Load Factor Sheet June Acft  '!$B$5</f>
        <v>187.86727272727273</v>
      </c>
      <c r="S2508">
        <f>tblDailySchedule[[#This Row],[Capacity Approx]]*'[1]Load Factor Sheet June Acft  '!$D$5</f>
        <v>203.4218181818182</v>
      </c>
      <c r="T2508" s="22">
        <f>tblDailySchedule[[#This Row],[STD]]</f>
        <v>0.62152777777777779</v>
      </c>
    </row>
    <row r="2509" spans="1:20" hidden="1" x14ac:dyDescent="0.35">
      <c r="A2509" s="11">
        <v>46200</v>
      </c>
      <c r="B2509" s="3">
        <v>6</v>
      </c>
      <c r="C2509" t="s">
        <v>116</v>
      </c>
      <c r="D2509" t="s">
        <v>18</v>
      </c>
      <c r="E2509" s="3">
        <v>15</v>
      </c>
      <c r="F2509" t="s">
        <v>19</v>
      </c>
      <c r="G2509" t="s">
        <v>64</v>
      </c>
      <c r="H2509" t="s">
        <v>31</v>
      </c>
      <c r="I2509" s="12">
        <v>0.60069444444444442</v>
      </c>
      <c r="J2509" t="s">
        <v>65</v>
      </c>
      <c r="K2509" t="s">
        <v>66</v>
      </c>
      <c r="L2509" s="12">
        <v>0.62847222222222221</v>
      </c>
      <c r="M2509" t="s">
        <v>63</v>
      </c>
      <c r="N2509" s="3">
        <v>232</v>
      </c>
      <c r="O2509" t="s">
        <v>24</v>
      </c>
      <c r="P2509" t="s">
        <v>56</v>
      </c>
      <c r="R2509">
        <f>tblDailySchedule[[#This Row],[Capacity Approx]]*'[1]Load Factor Sheet June Acft  '!$B$5</f>
        <v>187.86727272727273</v>
      </c>
      <c r="S2509">
        <f>tblDailySchedule[[#This Row],[Capacity Approx]]*'[1]Load Factor Sheet June Acft  '!$D$5</f>
        <v>203.4218181818182</v>
      </c>
      <c r="T2509" s="22">
        <f>tblDailySchedule[[#This Row],[STD]]</f>
        <v>0.62847222222222221</v>
      </c>
    </row>
    <row r="2510" spans="1:20" hidden="1" x14ac:dyDescent="0.35">
      <c r="A2510" s="11">
        <v>46200</v>
      </c>
      <c r="B2510" s="3">
        <v>6</v>
      </c>
      <c r="C2510" t="s">
        <v>116</v>
      </c>
      <c r="D2510" t="s">
        <v>18</v>
      </c>
      <c r="E2510" s="3">
        <v>16</v>
      </c>
      <c r="F2510" t="s">
        <v>19</v>
      </c>
      <c r="G2510" t="s">
        <v>67</v>
      </c>
      <c r="H2510" t="s">
        <v>31</v>
      </c>
      <c r="I2510" s="12">
        <v>0.65625</v>
      </c>
      <c r="J2510" t="s">
        <v>68</v>
      </c>
      <c r="K2510" t="s">
        <v>31</v>
      </c>
      <c r="L2510" s="12">
        <v>0.68402777777777779</v>
      </c>
      <c r="M2510" t="s">
        <v>63</v>
      </c>
      <c r="N2510" s="3">
        <v>232</v>
      </c>
      <c r="O2510" t="s">
        <v>24</v>
      </c>
      <c r="P2510" t="s">
        <v>56</v>
      </c>
      <c r="R2510">
        <f>tblDailySchedule[[#This Row],[Capacity Approx]]*'[1]Load Factor Sheet June Acft  '!$B$5</f>
        <v>187.86727272727273</v>
      </c>
      <c r="S2510">
        <f>tblDailySchedule[[#This Row],[Capacity Approx]]*'[1]Load Factor Sheet June Acft  '!$D$5</f>
        <v>203.4218181818182</v>
      </c>
      <c r="T2510" s="22">
        <f>tblDailySchedule[[#This Row],[STD]]</f>
        <v>0.68402777777777779</v>
      </c>
    </row>
    <row r="2511" spans="1:20" hidden="1" x14ac:dyDescent="0.35">
      <c r="A2511" s="11">
        <v>46200</v>
      </c>
      <c r="B2511" s="3">
        <v>6</v>
      </c>
      <c r="C2511" t="s">
        <v>116</v>
      </c>
      <c r="D2511" t="s">
        <v>18</v>
      </c>
      <c r="E2511" s="3">
        <v>17</v>
      </c>
      <c r="F2511" t="s">
        <v>19</v>
      </c>
      <c r="G2511" t="s">
        <v>69</v>
      </c>
      <c r="H2511" t="s">
        <v>31</v>
      </c>
      <c r="I2511" s="12">
        <v>0.66319444444444442</v>
      </c>
      <c r="J2511" t="s">
        <v>70</v>
      </c>
      <c r="K2511" t="s">
        <v>31</v>
      </c>
      <c r="L2511" s="12">
        <v>0.69097222222222221</v>
      </c>
      <c r="M2511" t="s">
        <v>33</v>
      </c>
      <c r="N2511" s="3">
        <v>189</v>
      </c>
      <c r="O2511" t="s">
        <v>24</v>
      </c>
      <c r="P2511" t="s">
        <v>56</v>
      </c>
      <c r="R2511">
        <f>tblDailySchedule[[#This Row],[Capacity Approx]]*'[1]Load Factor Sheet June Acft  '!$B$5</f>
        <v>153.04704545454547</v>
      </c>
      <c r="S2511">
        <f>tblDailySchedule[[#This Row],[Capacity Approx]]*'[1]Load Factor Sheet June Acft  '!$D$5</f>
        <v>165.71863636363636</v>
      </c>
      <c r="T2511" s="22">
        <f>tblDailySchedule[[#This Row],[STD]]</f>
        <v>0.69097222222222221</v>
      </c>
    </row>
    <row r="2512" spans="1:20" hidden="1" x14ac:dyDescent="0.35">
      <c r="A2512" s="11">
        <v>46200</v>
      </c>
      <c r="B2512" s="3">
        <v>6</v>
      </c>
      <c r="C2512" t="s">
        <v>116</v>
      </c>
      <c r="D2512" t="s">
        <v>18</v>
      </c>
      <c r="E2512" s="3">
        <v>18</v>
      </c>
      <c r="F2512" t="s">
        <v>19</v>
      </c>
      <c r="G2512" t="s">
        <v>71</v>
      </c>
      <c r="H2512" t="s">
        <v>21</v>
      </c>
      <c r="I2512" s="12">
        <v>0.67013888888888884</v>
      </c>
      <c r="J2512" t="s">
        <v>72</v>
      </c>
      <c r="K2512" t="s">
        <v>21</v>
      </c>
      <c r="L2512" s="12">
        <v>0.69791666666666663</v>
      </c>
      <c r="M2512" t="s">
        <v>63</v>
      </c>
      <c r="N2512" s="3">
        <v>232</v>
      </c>
      <c r="O2512" t="s">
        <v>24</v>
      </c>
      <c r="P2512" t="s">
        <v>56</v>
      </c>
      <c r="R2512">
        <f>tblDailySchedule[[#This Row],[Capacity Approx]]*'[1]Load Factor Sheet June Acft  '!$B$5</f>
        <v>187.86727272727273</v>
      </c>
      <c r="S2512">
        <f>tblDailySchedule[[#This Row],[Capacity Approx]]*'[1]Load Factor Sheet June Acft  '!$D$5</f>
        <v>203.4218181818182</v>
      </c>
      <c r="T2512" s="22">
        <f>tblDailySchedule[[#This Row],[STD]]</f>
        <v>0.69791666666666663</v>
      </c>
    </row>
    <row r="2513" spans="1:20" hidden="1" x14ac:dyDescent="0.35">
      <c r="A2513" s="11">
        <v>46200</v>
      </c>
      <c r="B2513" s="3">
        <v>6</v>
      </c>
      <c r="C2513" t="s">
        <v>116</v>
      </c>
      <c r="D2513" t="s">
        <v>18</v>
      </c>
      <c r="E2513" s="3">
        <v>19</v>
      </c>
      <c r="F2513" t="s">
        <v>19</v>
      </c>
      <c r="G2513" t="s">
        <v>73</v>
      </c>
      <c r="H2513" t="s">
        <v>27</v>
      </c>
      <c r="I2513" s="12">
        <v>0.74652777777777779</v>
      </c>
      <c r="J2513" t="s">
        <v>74</v>
      </c>
      <c r="K2513" t="s">
        <v>27</v>
      </c>
      <c r="L2513" s="12">
        <v>0.77430555555555558</v>
      </c>
      <c r="M2513" t="s">
        <v>63</v>
      </c>
      <c r="N2513" s="3">
        <v>232</v>
      </c>
      <c r="O2513" t="s">
        <v>24</v>
      </c>
      <c r="P2513" t="s">
        <v>56</v>
      </c>
      <c r="R2513">
        <f>tblDailySchedule[[#This Row],[Capacity Approx]]*'[1]Load Factor Sheet June Acft  '!$B$5</f>
        <v>187.86727272727273</v>
      </c>
      <c r="S2513">
        <f>tblDailySchedule[[#This Row],[Capacity Approx]]*'[1]Load Factor Sheet June Acft  '!$D$5</f>
        <v>203.4218181818182</v>
      </c>
      <c r="T2513" s="22">
        <f>tblDailySchedule[[#This Row],[STD]]</f>
        <v>0.77430555555555558</v>
      </c>
    </row>
    <row r="2514" spans="1:20" hidden="1" x14ac:dyDescent="0.35">
      <c r="A2514" s="11">
        <v>46200</v>
      </c>
      <c r="B2514" s="3">
        <v>6</v>
      </c>
      <c r="C2514" t="s">
        <v>116</v>
      </c>
      <c r="D2514" t="s">
        <v>18</v>
      </c>
      <c r="E2514" s="3">
        <v>21</v>
      </c>
      <c r="F2514" t="s">
        <v>19</v>
      </c>
      <c r="G2514" t="s">
        <v>81</v>
      </c>
      <c r="H2514" t="s">
        <v>61</v>
      </c>
      <c r="I2514" s="12">
        <v>0.77083333333333337</v>
      </c>
      <c r="J2514" t="s">
        <v>82</v>
      </c>
      <c r="K2514" t="s">
        <v>49</v>
      </c>
      <c r="L2514" s="12">
        <v>0.79166666666666663</v>
      </c>
      <c r="M2514" t="s">
        <v>33</v>
      </c>
      <c r="N2514" s="3">
        <v>189</v>
      </c>
      <c r="O2514" t="s">
        <v>24</v>
      </c>
      <c r="P2514" t="s">
        <v>79</v>
      </c>
      <c r="R2514">
        <f>tblDailySchedule[[#This Row],[Capacity Approx]]*'[1]Load Factor Sheet June Acft  '!$B$5</f>
        <v>153.04704545454547</v>
      </c>
      <c r="S2514">
        <f>tblDailySchedule[[#This Row],[Capacity Approx]]*'[1]Load Factor Sheet June Acft  '!$D$5</f>
        <v>165.71863636363636</v>
      </c>
      <c r="T2514" s="22">
        <f>tblDailySchedule[[#This Row],[STD]]</f>
        <v>0.79166666666666663</v>
      </c>
    </row>
    <row r="2515" spans="1:20" hidden="1" x14ac:dyDescent="0.35">
      <c r="A2515" s="11">
        <v>46200</v>
      </c>
      <c r="B2515" s="3">
        <v>6</v>
      </c>
      <c r="C2515" t="s">
        <v>116</v>
      </c>
      <c r="D2515" t="s">
        <v>18</v>
      </c>
      <c r="E2515" s="3">
        <v>22</v>
      </c>
      <c r="F2515" t="s">
        <v>19</v>
      </c>
      <c r="G2515" t="s">
        <v>83</v>
      </c>
      <c r="H2515" t="s">
        <v>31</v>
      </c>
      <c r="I2515" s="12">
        <v>0.77777777777777779</v>
      </c>
      <c r="J2515" t="s">
        <v>84</v>
      </c>
      <c r="K2515" t="s">
        <v>31</v>
      </c>
      <c r="L2515" s="12">
        <v>0.80555555555555558</v>
      </c>
      <c r="M2515" t="s">
        <v>63</v>
      </c>
      <c r="N2515" s="3">
        <v>232</v>
      </c>
      <c r="O2515" t="s">
        <v>24</v>
      </c>
      <c r="P2515" t="s">
        <v>79</v>
      </c>
      <c r="R2515">
        <f>tblDailySchedule[[#This Row],[Capacity Approx]]*'[1]Load Factor Sheet June Acft  '!$B$5</f>
        <v>187.86727272727273</v>
      </c>
      <c r="S2515">
        <f>tblDailySchedule[[#This Row],[Capacity Approx]]*'[1]Load Factor Sheet June Acft  '!$D$5</f>
        <v>203.4218181818182</v>
      </c>
      <c r="T2515" s="22">
        <f>tblDailySchedule[[#This Row],[STD]]</f>
        <v>0.80555555555555558</v>
      </c>
    </row>
    <row r="2516" spans="1:20" hidden="1" x14ac:dyDescent="0.35">
      <c r="A2516" s="11">
        <v>46200</v>
      </c>
      <c r="B2516" s="3">
        <v>6</v>
      </c>
      <c r="C2516" t="s">
        <v>116</v>
      </c>
      <c r="D2516" t="s">
        <v>18</v>
      </c>
      <c r="E2516" s="3">
        <v>23</v>
      </c>
      <c r="F2516" t="s">
        <v>19</v>
      </c>
      <c r="G2516" t="s">
        <v>85</v>
      </c>
      <c r="H2516" t="s">
        <v>86</v>
      </c>
      <c r="I2516" s="12">
        <v>0.79861111111111116</v>
      </c>
      <c r="J2516" t="s">
        <v>87</v>
      </c>
      <c r="K2516" t="s">
        <v>86</v>
      </c>
      <c r="L2516" s="12">
        <v>0.82638888888888884</v>
      </c>
      <c r="M2516" t="s">
        <v>63</v>
      </c>
      <c r="N2516" s="3">
        <v>232</v>
      </c>
      <c r="O2516" t="s">
        <v>24</v>
      </c>
      <c r="P2516" t="s">
        <v>79</v>
      </c>
      <c r="R2516">
        <f>tblDailySchedule[[#This Row],[Capacity Approx]]*'[1]Load Factor Sheet June Acft  '!$B$5</f>
        <v>187.86727272727273</v>
      </c>
      <c r="S2516">
        <f>tblDailySchedule[[#This Row],[Capacity Approx]]*'[1]Load Factor Sheet June Acft  '!$D$5</f>
        <v>203.4218181818182</v>
      </c>
      <c r="T2516" s="22">
        <f>tblDailySchedule[[#This Row],[STD]]</f>
        <v>0.82638888888888884</v>
      </c>
    </row>
    <row r="2517" spans="1:20" hidden="1" x14ac:dyDescent="0.35">
      <c r="A2517" s="11">
        <v>46200</v>
      </c>
      <c r="B2517" s="3">
        <v>6</v>
      </c>
      <c r="C2517" t="s">
        <v>116</v>
      </c>
      <c r="D2517" t="s">
        <v>18</v>
      </c>
      <c r="E2517" s="3">
        <v>24</v>
      </c>
      <c r="F2517" t="s">
        <v>19</v>
      </c>
      <c r="G2517" t="s">
        <v>88</v>
      </c>
      <c r="H2517" t="s">
        <v>89</v>
      </c>
      <c r="I2517" s="12">
        <v>0.83333333333333337</v>
      </c>
      <c r="J2517" t="s">
        <v>90</v>
      </c>
      <c r="K2517" t="s">
        <v>31</v>
      </c>
      <c r="L2517" s="12">
        <v>0.86111111111111116</v>
      </c>
      <c r="M2517" t="s">
        <v>63</v>
      </c>
      <c r="N2517" s="3">
        <v>232</v>
      </c>
      <c r="O2517" t="s">
        <v>24</v>
      </c>
      <c r="P2517" t="s">
        <v>79</v>
      </c>
      <c r="R2517">
        <f>tblDailySchedule[[#This Row],[Capacity Approx]]*'[1]Load Factor Sheet June Acft  '!$B$5</f>
        <v>187.86727272727273</v>
      </c>
      <c r="S2517">
        <f>tblDailySchedule[[#This Row],[Capacity Approx]]*'[1]Load Factor Sheet June Acft  '!$D$5</f>
        <v>203.4218181818182</v>
      </c>
      <c r="T2517" s="22">
        <f>tblDailySchedule[[#This Row],[STD]]</f>
        <v>0.86111111111111116</v>
      </c>
    </row>
    <row r="2518" spans="1:20" hidden="1" x14ac:dyDescent="0.35">
      <c r="A2518" s="11">
        <v>46200</v>
      </c>
      <c r="B2518" s="3">
        <v>6</v>
      </c>
      <c r="C2518" t="s">
        <v>116</v>
      </c>
      <c r="D2518" t="s">
        <v>18</v>
      </c>
      <c r="E2518" s="3">
        <v>25</v>
      </c>
      <c r="F2518" t="s">
        <v>19</v>
      </c>
      <c r="G2518" t="s">
        <v>91</v>
      </c>
      <c r="H2518" t="s">
        <v>61</v>
      </c>
      <c r="I2518" s="12">
        <v>0.85416666666666663</v>
      </c>
      <c r="J2518" t="s">
        <v>92</v>
      </c>
      <c r="K2518" t="s">
        <v>61</v>
      </c>
      <c r="L2518" s="12">
        <v>0.88194444444444442</v>
      </c>
      <c r="M2518" t="s">
        <v>63</v>
      </c>
      <c r="N2518" s="3">
        <v>232</v>
      </c>
      <c r="O2518" t="s">
        <v>24</v>
      </c>
      <c r="P2518" t="s">
        <v>79</v>
      </c>
      <c r="R2518">
        <f>tblDailySchedule[[#This Row],[Capacity Approx]]*'[1]Load Factor Sheet June Acft  '!$B$5</f>
        <v>187.86727272727273</v>
      </c>
      <c r="S2518">
        <f>tblDailySchedule[[#This Row],[Capacity Approx]]*'[1]Load Factor Sheet June Acft  '!$D$5</f>
        <v>203.4218181818182</v>
      </c>
      <c r="T2518" s="22">
        <f>tblDailySchedule[[#This Row],[STD]]</f>
        <v>0.88194444444444442</v>
      </c>
    </row>
    <row r="2519" spans="1:20" hidden="1" x14ac:dyDescent="0.35">
      <c r="A2519" s="11">
        <v>46200</v>
      </c>
      <c r="B2519" s="3">
        <v>6</v>
      </c>
      <c r="C2519" t="s">
        <v>116</v>
      </c>
      <c r="D2519" t="s">
        <v>18</v>
      </c>
      <c r="E2519" s="3">
        <v>26</v>
      </c>
      <c r="F2519" t="s">
        <v>19</v>
      </c>
      <c r="G2519" t="s">
        <v>93</v>
      </c>
      <c r="H2519" t="s">
        <v>31</v>
      </c>
      <c r="I2519" s="12">
        <v>0.86111111111111116</v>
      </c>
      <c r="J2519" t="s">
        <v>94</v>
      </c>
      <c r="K2519" t="s">
        <v>31</v>
      </c>
      <c r="L2519" s="12">
        <v>0.88888888888888884</v>
      </c>
      <c r="M2519" t="s">
        <v>23</v>
      </c>
      <c r="N2519" s="3">
        <v>186</v>
      </c>
      <c r="O2519" t="s">
        <v>24</v>
      </c>
      <c r="P2519" t="s">
        <v>79</v>
      </c>
      <c r="R2519">
        <f>tblDailySchedule[[#This Row],[Capacity Approx]]*'[1]Load Factor Sheet June Acft  '!$B$5</f>
        <v>150.61772727272728</v>
      </c>
      <c r="S2519">
        <f>tblDailySchedule[[#This Row],[Capacity Approx]]*'[1]Load Factor Sheet June Acft  '!$D$5</f>
        <v>163.08818181818182</v>
      </c>
      <c r="T2519" s="22">
        <f>tblDailySchedule[[#This Row],[STD]]</f>
        <v>0.88888888888888884</v>
      </c>
    </row>
    <row r="2520" spans="1:20" hidden="1" x14ac:dyDescent="0.35">
      <c r="A2520" s="11">
        <v>46200</v>
      </c>
      <c r="B2520" s="3">
        <v>6</v>
      </c>
      <c r="C2520" t="s">
        <v>116</v>
      </c>
      <c r="D2520" t="s">
        <v>18</v>
      </c>
      <c r="E2520" s="3">
        <v>27</v>
      </c>
      <c r="F2520" t="s">
        <v>19</v>
      </c>
      <c r="G2520" t="s">
        <v>95</v>
      </c>
      <c r="H2520" t="s">
        <v>21</v>
      </c>
      <c r="I2520" s="12">
        <v>0.86805555555555558</v>
      </c>
      <c r="J2520" t="s">
        <v>96</v>
      </c>
      <c r="K2520" t="s">
        <v>21</v>
      </c>
      <c r="L2520" s="12">
        <v>0.89583333333333337</v>
      </c>
      <c r="M2520" t="s">
        <v>29</v>
      </c>
      <c r="N2520" s="3">
        <v>186</v>
      </c>
      <c r="O2520" t="s">
        <v>24</v>
      </c>
      <c r="P2520" t="s">
        <v>79</v>
      </c>
      <c r="R2520">
        <f>tblDailySchedule[[#This Row],[Capacity Approx]]*'[1]Load Factor Sheet June Acft  '!$B$5</f>
        <v>150.61772727272728</v>
      </c>
      <c r="S2520">
        <f>tblDailySchedule[[#This Row],[Capacity Approx]]*'[1]Load Factor Sheet June Acft  '!$D$5</f>
        <v>163.08818181818182</v>
      </c>
      <c r="T2520" s="22">
        <f>tblDailySchedule[[#This Row],[STD]]</f>
        <v>0.89583333333333337</v>
      </c>
    </row>
    <row r="2521" spans="1:20" hidden="1" x14ac:dyDescent="0.35">
      <c r="A2521" s="11">
        <v>46200</v>
      </c>
      <c r="B2521" s="3">
        <v>6</v>
      </c>
      <c r="C2521" t="s">
        <v>116</v>
      </c>
      <c r="D2521" t="s">
        <v>18</v>
      </c>
      <c r="E2521" s="3">
        <v>28</v>
      </c>
      <c r="F2521" t="s">
        <v>19</v>
      </c>
      <c r="G2521" t="s">
        <v>97</v>
      </c>
      <c r="H2521" t="s">
        <v>49</v>
      </c>
      <c r="I2521" s="12">
        <v>0.90277777777777779</v>
      </c>
      <c r="J2521" t="s">
        <v>97</v>
      </c>
      <c r="K2521" t="s">
        <v>61</v>
      </c>
      <c r="L2521" s="12">
        <v>0.92361111111111116</v>
      </c>
      <c r="M2521" t="s">
        <v>33</v>
      </c>
      <c r="N2521" s="3">
        <v>189</v>
      </c>
      <c r="O2521" t="s">
        <v>24</v>
      </c>
      <c r="P2521" t="s">
        <v>79</v>
      </c>
      <c r="R2521">
        <f>tblDailySchedule[[#This Row],[Capacity Approx]]*'[1]Load Factor Sheet June Acft  '!$B$5</f>
        <v>153.04704545454547</v>
      </c>
      <c r="S2521">
        <f>tblDailySchedule[[#This Row],[Capacity Approx]]*'[1]Load Factor Sheet June Acft  '!$D$5</f>
        <v>165.71863636363636</v>
      </c>
      <c r="T2521" s="22">
        <f>tblDailySchedule[[#This Row],[STD]]</f>
        <v>0.92361111111111116</v>
      </c>
    </row>
    <row r="2522" spans="1:20" hidden="1" x14ac:dyDescent="0.35">
      <c r="A2522" s="11">
        <v>46200</v>
      </c>
      <c r="B2522" s="3">
        <v>6</v>
      </c>
      <c r="C2522" t="s">
        <v>116</v>
      </c>
      <c r="D2522" t="s">
        <v>18</v>
      </c>
      <c r="E2522" s="3">
        <v>29</v>
      </c>
      <c r="F2522" t="s">
        <v>19</v>
      </c>
      <c r="G2522" t="s">
        <v>98</v>
      </c>
      <c r="H2522" t="s">
        <v>21</v>
      </c>
      <c r="I2522" s="12">
        <v>0.92013888888888884</v>
      </c>
      <c r="J2522" t="s">
        <v>99</v>
      </c>
      <c r="K2522" t="s">
        <v>21</v>
      </c>
      <c r="L2522" s="12">
        <v>0.94791666666666663</v>
      </c>
      <c r="M2522" t="s">
        <v>63</v>
      </c>
      <c r="N2522" s="3">
        <v>232</v>
      </c>
      <c r="O2522" t="s">
        <v>24</v>
      </c>
      <c r="P2522" t="s">
        <v>79</v>
      </c>
      <c r="R2522">
        <f>tblDailySchedule[[#This Row],[Capacity Approx]]*'[1]Load Factor Sheet June Acft  '!$B$5</f>
        <v>187.86727272727273</v>
      </c>
      <c r="S2522">
        <f>tblDailySchedule[[#This Row],[Capacity Approx]]*'[1]Load Factor Sheet June Acft  '!$D$5</f>
        <v>203.4218181818182</v>
      </c>
      <c r="T2522" s="22">
        <f>tblDailySchedule[[#This Row],[STD]]</f>
        <v>0.94791666666666663</v>
      </c>
    </row>
    <row r="2523" spans="1:20" hidden="1" x14ac:dyDescent="0.35">
      <c r="A2523" s="13">
        <v>46200</v>
      </c>
      <c r="B2523" s="7">
        <v>6</v>
      </c>
      <c r="C2523" s="14" t="s">
        <v>116</v>
      </c>
      <c r="D2523" s="14" t="s">
        <v>18</v>
      </c>
      <c r="E2523" s="7">
        <v>30</v>
      </c>
      <c r="F2523" s="14" t="s">
        <v>104</v>
      </c>
      <c r="G2523" s="14" t="s">
        <v>105</v>
      </c>
      <c r="H2523" s="14" t="s">
        <v>106</v>
      </c>
      <c r="I2523" s="15">
        <v>0.92708333333333337</v>
      </c>
      <c r="J2523" s="14" t="s">
        <v>107</v>
      </c>
      <c r="K2523" s="14" t="s">
        <v>106</v>
      </c>
      <c r="L2523" s="15">
        <v>0.95833333333333337</v>
      </c>
      <c r="M2523" s="14" t="s">
        <v>38</v>
      </c>
      <c r="N2523" s="7">
        <v>186</v>
      </c>
      <c r="O2523" s="14" t="s">
        <v>39</v>
      </c>
      <c r="P2523" s="14" t="s">
        <v>79</v>
      </c>
      <c r="Q2523" s="14" t="s">
        <v>39</v>
      </c>
      <c r="R2523">
        <f>tblDailySchedule[[#This Row],[Capacity Approx]]*'[1]Load Factor Sheet June Acft  '!$B$5</f>
        <v>150.61772727272728</v>
      </c>
      <c r="S2523">
        <f>tblDailySchedule[[#This Row],[Capacity Approx]]*'[1]Load Factor Sheet June Acft  '!$D$5</f>
        <v>163.08818181818182</v>
      </c>
      <c r="T2523" s="22">
        <f>tblDailySchedule[[#This Row],[STD]]</f>
        <v>0.95833333333333337</v>
      </c>
    </row>
    <row r="2524" spans="1:20" hidden="1" x14ac:dyDescent="0.35">
      <c r="A2524" s="11">
        <v>46201</v>
      </c>
      <c r="B2524" s="3">
        <v>7</v>
      </c>
      <c r="C2524" t="s">
        <v>17</v>
      </c>
      <c r="D2524" t="s">
        <v>18</v>
      </c>
      <c r="E2524" s="3">
        <v>2</v>
      </c>
      <c r="F2524" t="s">
        <v>19</v>
      </c>
      <c r="G2524" t="s">
        <v>20</v>
      </c>
      <c r="H2524" t="s">
        <v>21</v>
      </c>
      <c r="I2524" s="12">
        <v>0.31944444444444442</v>
      </c>
      <c r="J2524" t="s">
        <v>22</v>
      </c>
      <c r="K2524" t="s">
        <v>21</v>
      </c>
      <c r="L2524" s="12">
        <v>0.34722222222222221</v>
      </c>
      <c r="M2524" t="s">
        <v>23</v>
      </c>
      <c r="N2524" s="3">
        <v>186</v>
      </c>
      <c r="O2524" t="s">
        <v>24</v>
      </c>
      <c r="P2524" t="s">
        <v>25</v>
      </c>
      <c r="R2524">
        <f>tblDailySchedule[[#This Row],[Capacity Approx]]*'[1]Load Factor Sheet June Acft  '!$B$5</f>
        <v>150.61772727272728</v>
      </c>
      <c r="S2524">
        <f>tblDailySchedule[[#This Row],[Capacity Approx]]*'[1]Load Factor Sheet June Acft  '!$D$5</f>
        <v>163.08818181818182</v>
      </c>
      <c r="T2524" s="22">
        <f>tblDailySchedule[[#This Row],[STD]]</f>
        <v>0.34722222222222221</v>
      </c>
    </row>
    <row r="2525" spans="1:20" hidden="1" x14ac:dyDescent="0.35">
      <c r="A2525" s="11">
        <v>46201</v>
      </c>
      <c r="B2525" s="3">
        <v>7</v>
      </c>
      <c r="C2525" t="s">
        <v>17</v>
      </c>
      <c r="D2525" t="s">
        <v>18</v>
      </c>
      <c r="E2525" s="3">
        <v>3</v>
      </c>
      <c r="F2525" t="s">
        <v>19</v>
      </c>
      <c r="G2525" t="s">
        <v>26</v>
      </c>
      <c r="H2525" t="s">
        <v>27</v>
      </c>
      <c r="I2525" s="12">
        <v>0.3263888888888889</v>
      </c>
      <c r="J2525" t="s">
        <v>28</v>
      </c>
      <c r="K2525" t="s">
        <v>27</v>
      </c>
      <c r="L2525" s="12">
        <v>0.35416666666666669</v>
      </c>
      <c r="M2525" t="s">
        <v>29</v>
      </c>
      <c r="N2525" s="3">
        <v>186</v>
      </c>
      <c r="O2525" t="s">
        <v>24</v>
      </c>
      <c r="P2525" t="s">
        <v>25</v>
      </c>
      <c r="R2525">
        <f>tblDailySchedule[[#This Row],[Capacity Approx]]*'[1]Load Factor Sheet June Acft  '!$B$5</f>
        <v>150.61772727272728</v>
      </c>
      <c r="S2525">
        <f>tblDailySchedule[[#This Row],[Capacity Approx]]*'[1]Load Factor Sheet June Acft  '!$D$5</f>
        <v>163.08818181818182</v>
      </c>
      <c r="T2525" s="22">
        <f>tblDailySchedule[[#This Row],[STD]]</f>
        <v>0.35416666666666669</v>
      </c>
    </row>
    <row r="2526" spans="1:20" hidden="1" x14ac:dyDescent="0.35">
      <c r="A2526" s="11">
        <v>46201</v>
      </c>
      <c r="B2526" s="3">
        <v>7</v>
      </c>
      <c r="C2526" t="s">
        <v>17</v>
      </c>
      <c r="D2526" t="s">
        <v>18</v>
      </c>
      <c r="E2526" s="3">
        <v>4</v>
      </c>
      <c r="F2526" t="s">
        <v>19</v>
      </c>
      <c r="G2526" t="s">
        <v>30</v>
      </c>
      <c r="H2526" t="s">
        <v>31</v>
      </c>
      <c r="I2526" s="12">
        <v>0.34722222222222221</v>
      </c>
      <c r="J2526" t="s">
        <v>32</v>
      </c>
      <c r="K2526" t="s">
        <v>31</v>
      </c>
      <c r="L2526" s="12">
        <v>0.36805555555555558</v>
      </c>
      <c r="M2526" t="s">
        <v>33</v>
      </c>
      <c r="N2526" s="3">
        <v>189</v>
      </c>
      <c r="O2526" t="s">
        <v>24</v>
      </c>
      <c r="P2526" t="s">
        <v>25</v>
      </c>
      <c r="R2526">
        <f>tblDailySchedule[[#This Row],[Capacity Approx]]*'[1]Load Factor Sheet June Acft  '!$B$5</f>
        <v>153.04704545454547</v>
      </c>
      <c r="S2526">
        <f>tblDailySchedule[[#This Row],[Capacity Approx]]*'[1]Load Factor Sheet June Acft  '!$D$5</f>
        <v>165.71863636363636</v>
      </c>
      <c r="T2526" s="22">
        <f>tblDailySchedule[[#This Row],[STD]]</f>
        <v>0.36805555555555558</v>
      </c>
    </row>
    <row r="2527" spans="1:20" hidden="1" x14ac:dyDescent="0.35">
      <c r="A2527" s="13">
        <v>46201</v>
      </c>
      <c r="B2527" s="7">
        <v>7</v>
      </c>
      <c r="C2527" s="14" t="s">
        <v>17</v>
      </c>
      <c r="D2527" s="14" t="s">
        <v>18</v>
      </c>
      <c r="E2527" s="7">
        <v>6</v>
      </c>
      <c r="F2527" s="14" t="s">
        <v>34</v>
      </c>
      <c r="G2527" s="14" t="s">
        <v>35</v>
      </c>
      <c r="H2527" s="14" t="s">
        <v>36</v>
      </c>
      <c r="I2527" s="15">
        <v>0.34722222222222221</v>
      </c>
      <c r="J2527" s="14" t="s">
        <v>37</v>
      </c>
      <c r="K2527" s="14" t="s">
        <v>36</v>
      </c>
      <c r="L2527" s="15">
        <v>0.40972222222222221</v>
      </c>
      <c r="M2527" s="14" t="s">
        <v>38</v>
      </c>
      <c r="N2527" s="7">
        <v>186</v>
      </c>
      <c r="O2527" s="14" t="s">
        <v>39</v>
      </c>
      <c r="P2527" s="14" t="s">
        <v>25</v>
      </c>
      <c r="Q2527" s="14" t="s">
        <v>39</v>
      </c>
      <c r="R2527">
        <f>tblDailySchedule[[#This Row],[Capacity Approx]]*'[1]Load Factor Sheet June Acft  '!$B$5</f>
        <v>150.61772727272728</v>
      </c>
      <c r="S2527">
        <f>tblDailySchedule[[#This Row],[Capacity Approx]]*'[1]Load Factor Sheet June Acft  '!$D$5</f>
        <v>163.08818181818182</v>
      </c>
      <c r="T2527" s="22">
        <f>tblDailySchedule[[#This Row],[STD]]</f>
        <v>0.40972222222222221</v>
      </c>
    </row>
    <row r="2528" spans="1:20" hidden="1" x14ac:dyDescent="0.35">
      <c r="A2528" s="11">
        <v>46201</v>
      </c>
      <c r="B2528" s="3">
        <v>7</v>
      </c>
      <c r="C2528" t="s">
        <v>17</v>
      </c>
      <c r="D2528" t="s">
        <v>18</v>
      </c>
      <c r="E2528" s="3">
        <v>5</v>
      </c>
      <c r="F2528" t="s">
        <v>19</v>
      </c>
      <c r="G2528" t="s">
        <v>40</v>
      </c>
      <c r="H2528" t="s">
        <v>31</v>
      </c>
      <c r="I2528" s="12">
        <v>0.35069444444444442</v>
      </c>
      <c r="J2528" t="s">
        <v>41</v>
      </c>
      <c r="K2528" t="s">
        <v>31</v>
      </c>
      <c r="L2528" s="12">
        <v>0.37152777777777779</v>
      </c>
      <c r="M2528" t="s">
        <v>23</v>
      </c>
      <c r="N2528" s="3">
        <v>186</v>
      </c>
      <c r="O2528" t="s">
        <v>24</v>
      </c>
      <c r="P2528" t="s">
        <v>25</v>
      </c>
      <c r="R2528">
        <f>tblDailySchedule[[#This Row],[Capacity Approx]]*'[1]Load Factor Sheet June Acft  '!$B$5</f>
        <v>150.61772727272728</v>
      </c>
      <c r="S2528">
        <f>tblDailySchedule[[#This Row],[Capacity Approx]]*'[1]Load Factor Sheet June Acft  '!$D$5</f>
        <v>163.08818181818182</v>
      </c>
      <c r="T2528" s="22">
        <f>tblDailySchedule[[#This Row],[STD]]</f>
        <v>0.37152777777777779</v>
      </c>
    </row>
    <row r="2529" spans="1:20" hidden="1" x14ac:dyDescent="0.35">
      <c r="A2529" s="11">
        <v>46201</v>
      </c>
      <c r="B2529" s="3">
        <v>7</v>
      </c>
      <c r="C2529" t="s">
        <v>17</v>
      </c>
      <c r="D2529" t="s">
        <v>18</v>
      </c>
      <c r="E2529" s="3">
        <v>7</v>
      </c>
      <c r="F2529" t="s">
        <v>19</v>
      </c>
      <c r="G2529" t="s">
        <v>42</v>
      </c>
      <c r="H2529" t="s">
        <v>43</v>
      </c>
      <c r="I2529" s="12">
        <v>0.3923611111111111</v>
      </c>
      <c r="J2529" t="s">
        <v>44</v>
      </c>
      <c r="K2529" t="s">
        <v>43</v>
      </c>
      <c r="L2529" s="12">
        <v>0.40277777777777779</v>
      </c>
      <c r="M2529" t="s">
        <v>45</v>
      </c>
      <c r="N2529" s="3">
        <v>9</v>
      </c>
      <c r="O2529" t="s">
        <v>24</v>
      </c>
      <c r="P2529" t="s">
        <v>25</v>
      </c>
      <c r="R2529">
        <f>tblDailySchedule[[#This Row],[Capacity Approx]]*'[1]Load Factor Sheet June Acft  '!$B$5</f>
        <v>7.2879545454545456</v>
      </c>
      <c r="S2529">
        <f>tblDailySchedule[[#This Row],[Capacity Approx]]*'[1]Load Factor Sheet June Acft  '!$D$5</f>
        <v>7.8913636363636366</v>
      </c>
      <c r="T2529" s="22">
        <f>tblDailySchedule[[#This Row],[STD]]</f>
        <v>0.40277777777777779</v>
      </c>
    </row>
    <row r="2530" spans="1:20" hidden="1" x14ac:dyDescent="0.35">
      <c r="A2530" s="11">
        <v>46201</v>
      </c>
      <c r="B2530" s="3">
        <v>7</v>
      </c>
      <c r="C2530" t="s">
        <v>17</v>
      </c>
      <c r="D2530" t="s">
        <v>18</v>
      </c>
      <c r="E2530" s="3">
        <v>8</v>
      </c>
      <c r="F2530" t="s">
        <v>19</v>
      </c>
      <c r="G2530" t="s">
        <v>46</v>
      </c>
      <c r="H2530" t="s">
        <v>31</v>
      </c>
      <c r="I2530" s="12">
        <v>0.4201388888888889</v>
      </c>
      <c r="J2530" t="s">
        <v>47</v>
      </c>
      <c r="K2530" t="s">
        <v>31</v>
      </c>
      <c r="L2530" s="12">
        <v>0.44444444444444442</v>
      </c>
      <c r="M2530" t="s">
        <v>29</v>
      </c>
      <c r="N2530" s="3">
        <v>186</v>
      </c>
      <c r="O2530" t="s">
        <v>24</v>
      </c>
      <c r="P2530" t="s">
        <v>25</v>
      </c>
      <c r="R2530">
        <f>tblDailySchedule[[#This Row],[Capacity Approx]]*'[1]Load Factor Sheet June Acft  '!$B$5</f>
        <v>150.61772727272728</v>
      </c>
      <c r="S2530">
        <f>tblDailySchedule[[#This Row],[Capacity Approx]]*'[1]Load Factor Sheet June Acft  '!$D$5</f>
        <v>163.08818181818182</v>
      </c>
      <c r="T2530" s="22">
        <f>tblDailySchedule[[#This Row],[STD]]</f>
        <v>0.44444444444444442</v>
      </c>
    </row>
    <row r="2531" spans="1:20" hidden="1" x14ac:dyDescent="0.35">
      <c r="A2531" s="11">
        <v>46201</v>
      </c>
      <c r="B2531" s="3">
        <v>7</v>
      </c>
      <c r="C2531" t="s">
        <v>17</v>
      </c>
      <c r="D2531" t="s">
        <v>18</v>
      </c>
      <c r="E2531" s="3">
        <v>9</v>
      </c>
      <c r="F2531" t="s">
        <v>19</v>
      </c>
      <c r="G2531" t="s">
        <v>48</v>
      </c>
      <c r="H2531" t="s">
        <v>49</v>
      </c>
      <c r="I2531" s="12">
        <v>0.4375</v>
      </c>
      <c r="J2531" t="s">
        <v>50</v>
      </c>
      <c r="K2531" t="s">
        <v>49</v>
      </c>
      <c r="L2531" s="12">
        <v>0.45833333333333331</v>
      </c>
      <c r="M2531" t="s">
        <v>51</v>
      </c>
      <c r="N2531" s="3">
        <v>78</v>
      </c>
      <c r="O2531" t="s">
        <v>24</v>
      </c>
      <c r="P2531" t="s">
        <v>25</v>
      </c>
      <c r="R2531">
        <f>tblDailySchedule[[#This Row],[Capacity Approx]]*'[1]Load Factor Sheet June Acft  '!$B$5</f>
        <v>63.162272727272729</v>
      </c>
      <c r="S2531">
        <f>tblDailySchedule[[#This Row],[Capacity Approx]]*'[1]Load Factor Sheet June Acft  '!$D$5</f>
        <v>68.391818181818181</v>
      </c>
      <c r="T2531" s="22">
        <f>tblDailySchedule[[#This Row],[STD]]</f>
        <v>0.45833333333333331</v>
      </c>
    </row>
    <row r="2532" spans="1:20" hidden="1" x14ac:dyDescent="0.35">
      <c r="A2532" s="11">
        <v>46201</v>
      </c>
      <c r="B2532" s="3">
        <v>7</v>
      </c>
      <c r="C2532" t="s">
        <v>17</v>
      </c>
      <c r="D2532" t="s">
        <v>18</v>
      </c>
      <c r="E2532" s="3">
        <v>10</v>
      </c>
      <c r="F2532" t="s">
        <v>19</v>
      </c>
      <c r="G2532" t="s">
        <v>52</v>
      </c>
      <c r="H2532" t="s">
        <v>27</v>
      </c>
      <c r="I2532" s="12">
        <v>0.4826388888888889</v>
      </c>
      <c r="J2532" t="s">
        <v>53</v>
      </c>
      <c r="K2532" t="s">
        <v>27</v>
      </c>
      <c r="L2532" s="12">
        <v>0.51041666666666663</v>
      </c>
      <c r="M2532" t="s">
        <v>23</v>
      </c>
      <c r="N2532" s="3">
        <v>186</v>
      </c>
      <c r="O2532" t="s">
        <v>24</v>
      </c>
      <c r="P2532" t="s">
        <v>25</v>
      </c>
      <c r="R2532">
        <f>tblDailySchedule[[#This Row],[Capacity Approx]]*'[1]Load Factor Sheet June Acft  '!$B$5</f>
        <v>150.61772727272728</v>
      </c>
      <c r="S2532">
        <f>tblDailySchedule[[#This Row],[Capacity Approx]]*'[1]Load Factor Sheet June Acft  '!$D$5</f>
        <v>163.08818181818182</v>
      </c>
      <c r="T2532" s="22">
        <f>tblDailySchedule[[#This Row],[STD]]</f>
        <v>0.51041666666666663</v>
      </c>
    </row>
    <row r="2533" spans="1:20" hidden="1" x14ac:dyDescent="0.35">
      <c r="A2533" s="11">
        <v>46201</v>
      </c>
      <c r="B2533" s="3">
        <v>7</v>
      </c>
      <c r="C2533" t="s">
        <v>17</v>
      </c>
      <c r="D2533" t="s">
        <v>18</v>
      </c>
      <c r="E2533" s="3">
        <v>11</v>
      </c>
      <c r="F2533" t="s">
        <v>19</v>
      </c>
      <c r="G2533" t="s">
        <v>54</v>
      </c>
      <c r="H2533" t="s">
        <v>31</v>
      </c>
      <c r="I2533" s="12">
        <v>0.51388888888888884</v>
      </c>
      <c r="J2533" t="s">
        <v>55</v>
      </c>
      <c r="K2533" t="s">
        <v>31</v>
      </c>
      <c r="L2533" s="12">
        <v>0.54166666666666663</v>
      </c>
      <c r="M2533" t="s">
        <v>23</v>
      </c>
      <c r="N2533" s="3">
        <v>186</v>
      </c>
      <c r="O2533" t="s">
        <v>24</v>
      </c>
      <c r="P2533" t="s">
        <v>56</v>
      </c>
      <c r="R2533">
        <f>tblDailySchedule[[#This Row],[Capacity Approx]]*'[1]Load Factor Sheet June Acft  '!$B$5</f>
        <v>150.61772727272728</v>
      </c>
      <c r="S2533">
        <f>tblDailySchedule[[#This Row],[Capacity Approx]]*'[1]Load Factor Sheet June Acft  '!$D$5</f>
        <v>163.08818181818182</v>
      </c>
      <c r="T2533" s="22">
        <f>tblDailySchedule[[#This Row],[STD]]</f>
        <v>0.54166666666666663</v>
      </c>
    </row>
    <row r="2534" spans="1:20" hidden="1" x14ac:dyDescent="0.35">
      <c r="A2534" s="11">
        <v>46201</v>
      </c>
      <c r="B2534" s="3">
        <v>7</v>
      </c>
      <c r="C2534" t="s">
        <v>17</v>
      </c>
      <c r="D2534" t="s">
        <v>18</v>
      </c>
      <c r="E2534" s="3">
        <v>13</v>
      </c>
      <c r="F2534" t="s">
        <v>19</v>
      </c>
      <c r="G2534" t="s">
        <v>57</v>
      </c>
      <c r="H2534" t="s">
        <v>58</v>
      </c>
      <c r="I2534" s="12">
        <v>0.55902777777777779</v>
      </c>
      <c r="J2534" t="s">
        <v>59</v>
      </c>
      <c r="K2534" t="s">
        <v>58</v>
      </c>
      <c r="L2534" s="12">
        <v>0.57638888888888884</v>
      </c>
      <c r="M2534" t="s">
        <v>51</v>
      </c>
      <c r="N2534" s="3">
        <v>78</v>
      </c>
      <c r="O2534" t="s">
        <v>24</v>
      </c>
      <c r="P2534" t="s">
        <v>56</v>
      </c>
      <c r="R2534">
        <f>tblDailySchedule[[#This Row],[Capacity Approx]]*'[1]Load Factor Sheet June Acft  '!$B$5</f>
        <v>63.162272727272729</v>
      </c>
      <c r="S2534">
        <f>tblDailySchedule[[#This Row],[Capacity Approx]]*'[1]Load Factor Sheet June Acft  '!$D$5</f>
        <v>68.391818181818181</v>
      </c>
      <c r="T2534" s="22">
        <f>tblDailySchedule[[#This Row],[STD]]</f>
        <v>0.57638888888888884</v>
      </c>
    </row>
    <row r="2535" spans="1:20" hidden="1" x14ac:dyDescent="0.35">
      <c r="A2535" s="11">
        <v>46201</v>
      </c>
      <c r="B2535" s="3">
        <v>7</v>
      </c>
      <c r="C2535" t="s">
        <v>17</v>
      </c>
      <c r="D2535" t="s">
        <v>18</v>
      </c>
      <c r="E2535" s="3">
        <v>14</v>
      </c>
      <c r="F2535" t="s">
        <v>19</v>
      </c>
      <c r="G2535" t="s">
        <v>60</v>
      </c>
      <c r="H2535" t="s">
        <v>61</v>
      </c>
      <c r="I2535" s="12">
        <v>0.59027777777777779</v>
      </c>
      <c r="J2535" t="s">
        <v>62</v>
      </c>
      <c r="K2535" t="s">
        <v>61</v>
      </c>
      <c r="L2535" s="12">
        <v>0.62152777777777779</v>
      </c>
      <c r="M2535" t="s">
        <v>63</v>
      </c>
      <c r="N2535" s="3">
        <v>232</v>
      </c>
      <c r="O2535" t="s">
        <v>24</v>
      </c>
      <c r="P2535" t="s">
        <v>56</v>
      </c>
      <c r="R2535">
        <f>tblDailySchedule[[#This Row],[Capacity Approx]]*'[1]Load Factor Sheet June Acft  '!$B$5</f>
        <v>187.86727272727273</v>
      </c>
      <c r="S2535">
        <f>tblDailySchedule[[#This Row],[Capacity Approx]]*'[1]Load Factor Sheet June Acft  '!$D$5</f>
        <v>203.4218181818182</v>
      </c>
      <c r="T2535" s="22">
        <f>tblDailySchedule[[#This Row],[STD]]</f>
        <v>0.62152777777777779</v>
      </c>
    </row>
    <row r="2536" spans="1:20" hidden="1" x14ac:dyDescent="0.35">
      <c r="A2536" s="11">
        <v>46201</v>
      </c>
      <c r="B2536" s="3">
        <v>7</v>
      </c>
      <c r="C2536" t="s">
        <v>17</v>
      </c>
      <c r="D2536" t="s">
        <v>18</v>
      </c>
      <c r="E2536" s="3">
        <v>15</v>
      </c>
      <c r="F2536" t="s">
        <v>19</v>
      </c>
      <c r="G2536" t="s">
        <v>64</v>
      </c>
      <c r="H2536" t="s">
        <v>31</v>
      </c>
      <c r="I2536" s="12">
        <v>0.60069444444444442</v>
      </c>
      <c r="J2536" t="s">
        <v>65</v>
      </c>
      <c r="K2536" t="s">
        <v>66</v>
      </c>
      <c r="L2536" s="12">
        <v>0.62847222222222221</v>
      </c>
      <c r="M2536" t="s">
        <v>63</v>
      </c>
      <c r="N2536" s="3">
        <v>232</v>
      </c>
      <c r="O2536" t="s">
        <v>24</v>
      </c>
      <c r="P2536" t="s">
        <v>56</v>
      </c>
      <c r="R2536">
        <f>tblDailySchedule[[#This Row],[Capacity Approx]]*'[1]Load Factor Sheet June Acft  '!$B$5</f>
        <v>187.86727272727273</v>
      </c>
      <c r="S2536">
        <f>tblDailySchedule[[#This Row],[Capacity Approx]]*'[1]Load Factor Sheet June Acft  '!$D$5</f>
        <v>203.4218181818182</v>
      </c>
      <c r="T2536" s="22">
        <f>tblDailySchedule[[#This Row],[STD]]</f>
        <v>0.62847222222222221</v>
      </c>
    </row>
    <row r="2537" spans="1:20" hidden="1" x14ac:dyDescent="0.35">
      <c r="A2537" s="11">
        <v>46201</v>
      </c>
      <c r="B2537" s="3">
        <v>7</v>
      </c>
      <c r="C2537" t="s">
        <v>17</v>
      </c>
      <c r="D2537" t="s">
        <v>18</v>
      </c>
      <c r="E2537" s="3">
        <v>16</v>
      </c>
      <c r="F2537" t="s">
        <v>19</v>
      </c>
      <c r="G2537" t="s">
        <v>67</v>
      </c>
      <c r="H2537" t="s">
        <v>31</v>
      </c>
      <c r="I2537" s="12">
        <v>0.65625</v>
      </c>
      <c r="J2537" t="s">
        <v>68</v>
      </c>
      <c r="K2537" t="s">
        <v>31</v>
      </c>
      <c r="L2537" s="12">
        <v>0.68402777777777779</v>
      </c>
      <c r="M2537" t="s">
        <v>63</v>
      </c>
      <c r="N2537" s="3">
        <v>232</v>
      </c>
      <c r="O2537" t="s">
        <v>24</v>
      </c>
      <c r="P2537" t="s">
        <v>56</v>
      </c>
      <c r="R2537">
        <f>tblDailySchedule[[#This Row],[Capacity Approx]]*'[1]Load Factor Sheet June Acft  '!$B$5</f>
        <v>187.86727272727273</v>
      </c>
      <c r="S2537">
        <f>tblDailySchedule[[#This Row],[Capacity Approx]]*'[1]Load Factor Sheet June Acft  '!$D$5</f>
        <v>203.4218181818182</v>
      </c>
      <c r="T2537" s="22">
        <f>tblDailySchedule[[#This Row],[STD]]</f>
        <v>0.68402777777777779</v>
      </c>
    </row>
    <row r="2538" spans="1:20" hidden="1" x14ac:dyDescent="0.35">
      <c r="A2538" s="11">
        <v>46201</v>
      </c>
      <c r="B2538" s="3">
        <v>7</v>
      </c>
      <c r="C2538" t="s">
        <v>17</v>
      </c>
      <c r="D2538" t="s">
        <v>18</v>
      </c>
      <c r="E2538" s="3">
        <v>17</v>
      </c>
      <c r="F2538" t="s">
        <v>19</v>
      </c>
      <c r="G2538" t="s">
        <v>69</v>
      </c>
      <c r="H2538" t="s">
        <v>31</v>
      </c>
      <c r="I2538" s="12">
        <v>0.66319444444444442</v>
      </c>
      <c r="J2538" t="s">
        <v>70</v>
      </c>
      <c r="K2538" t="s">
        <v>31</v>
      </c>
      <c r="L2538" s="12">
        <v>0.69097222222222221</v>
      </c>
      <c r="M2538" t="s">
        <v>33</v>
      </c>
      <c r="N2538" s="3">
        <v>189</v>
      </c>
      <c r="O2538" t="s">
        <v>24</v>
      </c>
      <c r="P2538" t="s">
        <v>56</v>
      </c>
      <c r="R2538">
        <f>tblDailySchedule[[#This Row],[Capacity Approx]]*'[1]Load Factor Sheet June Acft  '!$B$5</f>
        <v>153.04704545454547</v>
      </c>
      <c r="S2538">
        <f>tblDailySchedule[[#This Row],[Capacity Approx]]*'[1]Load Factor Sheet June Acft  '!$D$5</f>
        <v>165.71863636363636</v>
      </c>
      <c r="T2538" s="22">
        <f>tblDailySchedule[[#This Row],[STD]]</f>
        <v>0.69097222222222221</v>
      </c>
    </row>
    <row r="2539" spans="1:20" hidden="1" x14ac:dyDescent="0.35">
      <c r="A2539" s="11">
        <v>46201</v>
      </c>
      <c r="B2539" s="3">
        <v>7</v>
      </c>
      <c r="C2539" t="s">
        <v>17</v>
      </c>
      <c r="D2539" t="s">
        <v>18</v>
      </c>
      <c r="E2539" s="3">
        <v>18</v>
      </c>
      <c r="F2539" t="s">
        <v>19</v>
      </c>
      <c r="G2539" t="s">
        <v>71</v>
      </c>
      <c r="H2539" t="s">
        <v>21</v>
      </c>
      <c r="I2539" s="12">
        <v>0.67013888888888884</v>
      </c>
      <c r="J2539" t="s">
        <v>72</v>
      </c>
      <c r="K2539" t="s">
        <v>21</v>
      </c>
      <c r="L2539" s="12">
        <v>0.69791666666666663</v>
      </c>
      <c r="M2539" t="s">
        <v>63</v>
      </c>
      <c r="N2539" s="3">
        <v>232</v>
      </c>
      <c r="O2539" t="s">
        <v>24</v>
      </c>
      <c r="P2539" t="s">
        <v>56</v>
      </c>
      <c r="R2539">
        <f>tblDailySchedule[[#This Row],[Capacity Approx]]*'[1]Load Factor Sheet June Acft  '!$B$5</f>
        <v>187.86727272727273</v>
      </c>
      <c r="S2539">
        <f>tblDailySchedule[[#This Row],[Capacity Approx]]*'[1]Load Factor Sheet June Acft  '!$D$5</f>
        <v>203.4218181818182</v>
      </c>
      <c r="T2539" s="22">
        <f>tblDailySchedule[[#This Row],[STD]]</f>
        <v>0.69791666666666663</v>
      </c>
    </row>
    <row r="2540" spans="1:20" hidden="1" x14ac:dyDescent="0.35">
      <c r="A2540" s="11">
        <v>46201</v>
      </c>
      <c r="B2540" s="3">
        <v>7</v>
      </c>
      <c r="C2540" t="s">
        <v>17</v>
      </c>
      <c r="D2540" t="s">
        <v>18</v>
      </c>
      <c r="E2540" s="3">
        <v>19</v>
      </c>
      <c r="F2540" t="s">
        <v>19</v>
      </c>
      <c r="G2540" t="s">
        <v>73</v>
      </c>
      <c r="H2540" t="s">
        <v>27</v>
      </c>
      <c r="I2540" s="12">
        <v>0.74652777777777779</v>
      </c>
      <c r="J2540" t="s">
        <v>74</v>
      </c>
      <c r="K2540" t="s">
        <v>27</v>
      </c>
      <c r="L2540" s="12">
        <v>0.77430555555555558</v>
      </c>
      <c r="M2540" t="s">
        <v>63</v>
      </c>
      <c r="N2540" s="3">
        <v>232</v>
      </c>
      <c r="O2540" t="s">
        <v>24</v>
      </c>
      <c r="P2540" t="s">
        <v>56</v>
      </c>
      <c r="R2540">
        <f>tblDailySchedule[[#This Row],[Capacity Approx]]*'[1]Load Factor Sheet June Acft  '!$B$5</f>
        <v>187.86727272727273</v>
      </c>
      <c r="S2540">
        <f>tblDailySchedule[[#This Row],[Capacity Approx]]*'[1]Load Factor Sheet June Acft  '!$D$5</f>
        <v>203.4218181818182</v>
      </c>
      <c r="T2540" s="22">
        <f>tblDailySchedule[[#This Row],[STD]]</f>
        <v>0.77430555555555558</v>
      </c>
    </row>
    <row r="2541" spans="1:20" hidden="1" x14ac:dyDescent="0.35">
      <c r="A2541" s="11">
        <v>46201</v>
      </c>
      <c r="B2541" s="3">
        <v>7</v>
      </c>
      <c r="C2541" t="s">
        <v>17</v>
      </c>
      <c r="D2541" t="s">
        <v>18</v>
      </c>
      <c r="E2541" s="3">
        <v>20</v>
      </c>
      <c r="F2541" t="s">
        <v>34</v>
      </c>
      <c r="G2541" t="s">
        <v>75</v>
      </c>
      <c r="H2541" t="s">
        <v>76</v>
      </c>
      <c r="I2541" s="12">
        <v>0.76388888888888884</v>
      </c>
      <c r="J2541" t="s">
        <v>77</v>
      </c>
      <c r="K2541" t="s">
        <v>78</v>
      </c>
      <c r="L2541" s="12">
        <v>0.78472222222222221</v>
      </c>
      <c r="M2541" t="s">
        <v>51</v>
      </c>
      <c r="N2541" s="3">
        <v>78</v>
      </c>
      <c r="O2541" t="s">
        <v>24</v>
      </c>
      <c r="P2541" t="s">
        <v>79</v>
      </c>
      <c r="Q2541" s="16" t="s">
        <v>80</v>
      </c>
      <c r="R2541">
        <f>tblDailySchedule[[#This Row],[Capacity Approx]]*'[1]Load Factor Sheet June Acft  '!$B$5</f>
        <v>63.162272727272729</v>
      </c>
      <c r="S2541">
        <f>tblDailySchedule[[#This Row],[Capacity Approx]]*'[1]Load Factor Sheet June Acft  '!$D$5</f>
        <v>68.391818181818181</v>
      </c>
      <c r="T2541" s="22">
        <f>tblDailySchedule[[#This Row],[STD]]</f>
        <v>0.78472222222222221</v>
      </c>
    </row>
    <row r="2542" spans="1:20" hidden="1" x14ac:dyDescent="0.35">
      <c r="A2542" s="11">
        <v>46201</v>
      </c>
      <c r="B2542" s="3">
        <v>7</v>
      </c>
      <c r="C2542" t="s">
        <v>17</v>
      </c>
      <c r="D2542" t="s">
        <v>18</v>
      </c>
      <c r="E2542" s="3">
        <v>21</v>
      </c>
      <c r="F2542" t="s">
        <v>19</v>
      </c>
      <c r="G2542" t="s">
        <v>81</v>
      </c>
      <c r="H2542" t="s">
        <v>61</v>
      </c>
      <c r="I2542" s="12">
        <v>0.77083333333333337</v>
      </c>
      <c r="J2542" t="s">
        <v>82</v>
      </c>
      <c r="K2542" t="s">
        <v>49</v>
      </c>
      <c r="L2542" s="12">
        <v>0.79166666666666663</v>
      </c>
      <c r="M2542" t="s">
        <v>33</v>
      </c>
      <c r="N2542" s="3">
        <v>189</v>
      </c>
      <c r="O2542" t="s">
        <v>24</v>
      </c>
      <c r="P2542" t="s">
        <v>79</v>
      </c>
      <c r="R2542">
        <f>tblDailySchedule[[#This Row],[Capacity Approx]]*'[1]Load Factor Sheet June Acft  '!$B$5</f>
        <v>153.04704545454547</v>
      </c>
      <c r="S2542">
        <f>tblDailySchedule[[#This Row],[Capacity Approx]]*'[1]Load Factor Sheet June Acft  '!$D$5</f>
        <v>165.71863636363636</v>
      </c>
      <c r="T2542" s="22">
        <f>tblDailySchedule[[#This Row],[STD]]</f>
        <v>0.79166666666666663</v>
      </c>
    </row>
    <row r="2543" spans="1:20" hidden="1" x14ac:dyDescent="0.35">
      <c r="A2543" s="11">
        <v>46201</v>
      </c>
      <c r="B2543" s="3">
        <v>7</v>
      </c>
      <c r="C2543" t="s">
        <v>17</v>
      </c>
      <c r="D2543" t="s">
        <v>18</v>
      </c>
      <c r="E2543" s="3">
        <v>22</v>
      </c>
      <c r="F2543" t="s">
        <v>19</v>
      </c>
      <c r="G2543" t="s">
        <v>83</v>
      </c>
      <c r="H2543" t="s">
        <v>31</v>
      </c>
      <c r="I2543" s="12">
        <v>0.77777777777777779</v>
      </c>
      <c r="J2543" t="s">
        <v>84</v>
      </c>
      <c r="K2543" t="s">
        <v>31</v>
      </c>
      <c r="L2543" s="12">
        <v>0.80555555555555558</v>
      </c>
      <c r="M2543" t="s">
        <v>63</v>
      </c>
      <c r="N2543" s="3">
        <v>232</v>
      </c>
      <c r="O2543" t="s">
        <v>24</v>
      </c>
      <c r="P2543" t="s">
        <v>79</v>
      </c>
      <c r="R2543">
        <f>tblDailySchedule[[#This Row],[Capacity Approx]]*'[1]Load Factor Sheet June Acft  '!$B$5</f>
        <v>187.86727272727273</v>
      </c>
      <c r="S2543">
        <f>tblDailySchedule[[#This Row],[Capacity Approx]]*'[1]Load Factor Sheet June Acft  '!$D$5</f>
        <v>203.4218181818182</v>
      </c>
      <c r="T2543" s="22">
        <f>tblDailySchedule[[#This Row],[STD]]</f>
        <v>0.80555555555555558</v>
      </c>
    </row>
    <row r="2544" spans="1:20" hidden="1" x14ac:dyDescent="0.35">
      <c r="A2544" s="11">
        <v>46201</v>
      </c>
      <c r="B2544" s="3">
        <v>7</v>
      </c>
      <c r="C2544" t="s">
        <v>17</v>
      </c>
      <c r="D2544" t="s">
        <v>18</v>
      </c>
      <c r="E2544" s="3">
        <v>23</v>
      </c>
      <c r="F2544" t="s">
        <v>19</v>
      </c>
      <c r="G2544" t="s">
        <v>85</v>
      </c>
      <c r="H2544" t="s">
        <v>86</v>
      </c>
      <c r="I2544" s="12">
        <v>0.79861111111111116</v>
      </c>
      <c r="J2544" t="s">
        <v>87</v>
      </c>
      <c r="K2544" t="s">
        <v>86</v>
      </c>
      <c r="L2544" s="12">
        <v>0.82638888888888884</v>
      </c>
      <c r="M2544" t="s">
        <v>63</v>
      </c>
      <c r="N2544" s="3">
        <v>232</v>
      </c>
      <c r="O2544" t="s">
        <v>24</v>
      </c>
      <c r="P2544" t="s">
        <v>79</v>
      </c>
      <c r="R2544">
        <f>tblDailySchedule[[#This Row],[Capacity Approx]]*'[1]Load Factor Sheet June Acft  '!$B$5</f>
        <v>187.86727272727273</v>
      </c>
      <c r="S2544">
        <f>tblDailySchedule[[#This Row],[Capacity Approx]]*'[1]Load Factor Sheet June Acft  '!$D$5</f>
        <v>203.4218181818182</v>
      </c>
      <c r="T2544" s="22">
        <f>tblDailySchedule[[#This Row],[STD]]</f>
        <v>0.82638888888888884</v>
      </c>
    </row>
    <row r="2545" spans="1:20" hidden="1" x14ac:dyDescent="0.35">
      <c r="A2545" s="11">
        <v>46201</v>
      </c>
      <c r="B2545" s="3">
        <v>7</v>
      </c>
      <c r="C2545" t="s">
        <v>17</v>
      </c>
      <c r="D2545" t="s">
        <v>18</v>
      </c>
      <c r="E2545" s="3">
        <v>24</v>
      </c>
      <c r="F2545" t="s">
        <v>19</v>
      </c>
      <c r="G2545" t="s">
        <v>88</v>
      </c>
      <c r="H2545" t="s">
        <v>89</v>
      </c>
      <c r="I2545" s="12">
        <v>0.83333333333333337</v>
      </c>
      <c r="J2545" t="s">
        <v>90</v>
      </c>
      <c r="K2545" t="s">
        <v>31</v>
      </c>
      <c r="L2545" s="12">
        <v>0.86111111111111116</v>
      </c>
      <c r="M2545" t="s">
        <v>63</v>
      </c>
      <c r="N2545" s="3">
        <v>232</v>
      </c>
      <c r="O2545" t="s">
        <v>24</v>
      </c>
      <c r="P2545" t="s">
        <v>79</v>
      </c>
      <c r="R2545">
        <f>tblDailySchedule[[#This Row],[Capacity Approx]]*'[1]Load Factor Sheet June Acft  '!$B$5</f>
        <v>187.86727272727273</v>
      </c>
      <c r="S2545">
        <f>tblDailySchedule[[#This Row],[Capacity Approx]]*'[1]Load Factor Sheet June Acft  '!$D$5</f>
        <v>203.4218181818182</v>
      </c>
      <c r="T2545" s="22">
        <f>tblDailySchedule[[#This Row],[STD]]</f>
        <v>0.86111111111111116</v>
      </c>
    </row>
    <row r="2546" spans="1:20" hidden="1" x14ac:dyDescent="0.35">
      <c r="A2546" s="11">
        <v>46201</v>
      </c>
      <c r="B2546" s="3">
        <v>7</v>
      </c>
      <c r="C2546" t="s">
        <v>17</v>
      </c>
      <c r="D2546" t="s">
        <v>18</v>
      </c>
      <c r="E2546" s="3">
        <v>25</v>
      </c>
      <c r="F2546" t="s">
        <v>19</v>
      </c>
      <c r="G2546" t="s">
        <v>91</v>
      </c>
      <c r="H2546" t="s">
        <v>61</v>
      </c>
      <c r="I2546" s="12">
        <v>0.85416666666666663</v>
      </c>
      <c r="J2546" t="s">
        <v>92</v>
      </c>
      <c r="K2546" t="s">
        <v>61</v>
      </c>
      <c r="L2546" s="12">
        <v>0.88194444444444442</v>
      </c>
      <c r="M2546" t="s">
        <v>63</v>
      </c>
      <c r="N2546" s="3">
        <v>232</v>
      </c>
      <c r="O2546" t="s">
        <v>24</v>
      </c>
      <c r="P2546" t="s">
        <v>79</v>
      </c>
      <c r="R2546">
        <f>tblDailySchedule[[#This Row],[Capacity Approx]]*'[1]Load Factor Sheet June Acft  '!$B$5</f>
        <v>187.86727272727273</v>
      </c>
      <c r="S2546">
        <f>tblDailySchedule[[#This Row],[Capacity Approx]]*'[1]Load Factor Sheet June Acft  '!$D$5</f>
        <v>203.4218181818182</v>
      </c>
      <c r="T2546" s="22">
        <f>tblDailySchedule[[#This Row],[STD]]</f>
        <v>0.88194444444444442</v>
      </c>
    </row>
    <row r="2547" spans="1:20" hidden="1" x14ac:dyDescent="0.35">
      <c r="A2547" s="11">
        <v>46201</v>
      </c>
      <c r="B2547" s="3">
        <v>7</v>
      </c>
      <c r="C2547" t="s">
        <v>17</v>
      </c>
      <c r="D2547" t="s">
        <v>18</v>
      </c>
      <c r="E2547" s="3">
        <v>26</v>
      </c>
      <c r="F2547" t="s">
        <v>19</v>
      </c>
      <c r="G2547" t="s">
        <v>93</v>
      </c>
      <c r="H2547" t="s">
        <v>31</v>
      </c>
      <c r="I2547" s="12">
        <v>0.86111111111111116</v>
      </c>
      <c r="J2547" t="s">
        <v>94</v>
      </c>
      <c r="K2547" t="s">
        <v>31</v>
      </c>
      <c r="L2547" s="12">
        <v>0.88888888888888884</v>
      </c>
      <c r="M2547" t="s">
        <v>23</v>
      </c>
      <c r="N2547" s="3">
        <v>186</v>
      </c>
      <c r="O2547" t="s">
        <v>24</v>
      </c>
      <c r="P2547" t="s">
        <v>79</v>
      </c>
      <c r="R2547">
        <f>tblDailySchedule[[#This Row],[Capacity Approx]]*'[1]Load Factor Sheet June Acft  '!$B$5</f>
        <v>150.61772727272728</v>
      </c>
      <c r="S2547">
        <f>tblDailySchedule[[#This Row],[Capacity Approx]]*'[1]Load Factor Sheet June Acft  '!$D$5</f>
        <v>163.08818181818182</v>
      </c>
      <c r="T2547" s="22">
        <f>tblDailySchedule[[#This Row],[STD]]</f>
        <v>0.88888888888888884</v>
      </c>
    </row>
    <row r="2548" spans="1:20" hidden="1" x14ac:dyDescent="0.35">
      <c r="A2548" s="11">
        <v>46201</v>
      </c>
      <c r="B2548" s="3">
        <v>7</v>
      </c>
      <c r="C2548" t="s">
        <v>17</v>
      </c>
      <c r="D2548" t="s">
        <v>18</v>
      </c>
      <c r="E2548" s="3">
        <v>27</v>
      </c>
      <c r="F2548" t="s">
        <v>19</v>
      </c>
      <c r="G2548" t="s">
        <v>95</v>
      </c>
      <c r="H2548" t="s">
        <v>21</v>
      </c>
      <c r="I2548" s="12">
        <v>0.86805555555555558</v>
      </c>
      <c r="J2548" t="s">
        <v>96</v>
      </c>
      <c r="K2548" t="s">
        <v>21</v>
      </c>
      <c r="L2548" s="12">
        <v>0.89583333333333337</v>
      </c>
      <c r="M2548" t="s">
        <v>29</v>
      </c>
      <c r="N2548" s="3">
        <v>186</v>
      </c>
      <c r="O2548" t="s">
        <v>24</v>
      </c>
      <c r="P2548" t="s">
        <v>79</v>
      </c>
      <c r="R2548">
        <f>tblDailySchedule[[#This Row],[Capacity Approx]]*'[1]Load Factor Sheet June Acft  '!$B$5</f>
        <v>150.61772727272728</v>
      </c>
      <c r="S2548">
        <f>tblDailySchedule[[#This Row],[Capacity Approx]]*'[1]Load Factor Sheet June Acft  '!$D$5</f>
        <v>163.08818181818182</v>
      </c>
      <c r="T2548" s="22">
        <f>tblDailySchedule[[#This Row],[STD]]</f>
        <v>0.89583333333333337</v>
      </c>
    </row>
    <row r="2549" spans="1:20" hidden="1" x14ac:dyDescent="0.35">
      <c r="A2549" s="11">
        <v>46201</v>
      </c>
      <c r="B2549" s="3">
        <v>7</v>
      </c>
      <c r="C2549" t="s">
        <v>17</v>
      </c>
      <c r="D2549" t="s">
        <v>18</v>
      </c>
      <c r="E2549" s="3">
        <v>28</v>
      </c>
      <c r="F2549" t="s">
        <v>19</v>
      </c>
      <c r="G2549" t="s">
        <v>97</v>
      </c>
      <c r="H2549" t="s">
        <v>49</v>
      </c>
      <c r="I2549" s="12">
        <v>0.90277777777777779</v>
      </c>
      <c r="J2549" t="s">
        <v>97</v>
      </c>
      <c r="K2549" t="s">
        <v>61</v>
      </c>
      <c r="L2549" s="12">
        <v>0.92361111111111116</v>
      </c>
      <c r="M2549" t="s">
        <v>33</v>
      </c>
      <c r="N2549" s="3">
        <v>189</v>
      </c>
      <c r="O2549" t="s">
        <v>24</v>
      </c>
      <c r="P2549" t="s">
        <v>79</v>
      </c>
      <c r="R2549">
        <f>tblDailySchedule[[#This Row],[Capacity Approx]]*'[1]Load Factor Sheet June Acft  '!$B$5</f>
        <v>153.04704545454547</v>
      </c>
      <c r="S2549">
        <f>tblDailySchedule[[#This Row],[Capacity Approx]]*'[1]Load Factor Sheet June Acft  '!$D$5</f>
        <v>165.71863636363636</v>
      </c>
      <c r="T2549" s="22">
        <f>tblDailySchedule[[#This Row],[STD]]</f>
        <v>0.92361111111111116</v>
      </c>
    </row>
    <row r="2550" spans="1:20" hidden="1" x14ac:dyDescent="0.35">
      <c r="A2550" s="11">
        <v>46201</v>
      </c>
      <c r="B2550" s="3">
        <v>7</v>
      </c>
      <c r="C2550" t="s">
        <v>17</v>
      </c>
      <c r="D2550" t="s">
        <v>18</v>
      </c>
      <c r="E2550" s="3">
        <v>29</v>
      </c>
      <c r="F2550" t="s">
        <v>19</v>
      </c>
      <c r="G2550" t="s">
        <v>98</v>
      </c>
      <c r="H2550" t="s">
        <v>21</v>
      </c>
      <c r="I2550" s="12">
        <v>0.92013888888888884</v>
      </c>
      <c r="J2550" t="s">
        <v>99</v>
      </c>
      <c r="K2550" t="s">
        <v>21</v>
      </c>
      <c r="L2550" s="12">
        <v>0.94791666666666663</v>
      </c>
      <c r="M2550" t="s">
        <v>63</v>
      </c>
      <c r="N2550" s="3">
        <v>232</v>
      </c>
      <c r="O2550" t="s">
        <v>24</v>
      </c>
      <c r="P2550" t="s">
        <v>79</v>
      </c>
      <c r="R2550">
        <f>tblDailySchedule[[#This Row],[Capacity Approx]]*'[1]Load Factor Sheet June Acft  '!$B$5</f>
        <v>187.86727272727273</v>
      </c>
      <c r="S2550">
        <f>tblDailySchedule[[#This Row],[Capacity Approx]]*'[1]Load Factor Sheet June Acft  '!$D$5</f>
        <v>203.4218181818182</v>
      </c>
      <c r="T2550" s="22">
        <f>tblDailySchedule[[#This Row],[STD]]</f>
        <v>0.94791666666666663</v>
      </c>
    </row>
    <row r="2551" spans="1:20" hidden="1" x14ac:dyDescent="0.35">
      <c r="A2551" s="11">
        <v>46202</v>
      </c>
      <c r="B2551" s="3">
        <v>1</v>
      </c>
      <c r="C2551" t="s">
        <v>100</v>
      </c>
      <c r="D2551" t="s">
        <v>18</v>
      </c>
      <c r="E2551" s="3">
        <v>1</v>
      </c>
      <c r="F2551" t="s">
        <v>101</v>
      </c>
      <c r="G2551" t="s">
        <v>102</v>
      </c>
      <c r="H2551" t="s">
        <v>61</v>
      </c>
      <c r="I2551" s="12">
        <v>0.3125</v>
      </c>
      <c r="J2551" t="s">
        <v>103</v>
      </c>
      <c r="K2551" t="s">
        <v>61</v>
      </c>
      <c r="L2551" s="12">
        <v>0.33333333333333331</v>
      </c>
      <c r="M2551" t="s">
        <v>33</v>
      </c>
      <c r="N2551" s="3">
        <v>189</v>
      </c>
      <c r="O2551" t="s">
        <v>24</v>
      </c>
      <c r="P2551" t="s">
        <v>25</v>
      </c>
      <c r="R2551">
        <f>tblDailySchedule[[#This Row],[Capacity Approx]]*'[1]Load Factor Sheet June Acft  '!$B$5</f>
        <v>153.04704545454547</v>
      </c>
      <c r="S2551">
        <f>tblDailySchedule[[#This Row],[Capacity Approx]]*'[1]Load Factor Sheet June Acft  '!$D$5</f>
        <v>165.71863636363636</v>
      </c>
      <c r="T2551" s="22">
        <f>tblDailySchedule[[#This Row],[STD]]</f>
        <v>0.33333333333333331</v>
      </c>
    </row>
    <row r="2552" spans="1:20" hidden="1" x14ac:dyDescent="0.35">
      <c r="A2552" s="11">
        <v>46202</v>
      </c>
      <c r="B2552" s="3">
        <v>1</v>
      </c>
      <c r="C2552" t="s">
        <v>100</v>
      </c>
      <c r="D2552" t="s">
        <v>18</v>
      </c>
      <c r="E2552" s="3">
        <v>2</v>
      </c>
      <c r="F2552" t="s">
        <v>19</v>
      </c>
      <c r="G2552" t="s">
        <v>20</v>
      </c>
      <c r="H2552" t="s">
        <v>21</v>
      </c>
      <c r="I2552" s="12">
        <v>0.31944444444444442</v>
      </c>
      <c r="J2552" t="s">
        <v>22</v>
      </c>
      <c r="K2552" t="s">
        <v>21</v>
      </c>
      <c r="L2552" s="12">
        <v>0.34722222222222221</v>
      </c>
      <c r="M2552" t="s">
        <v>23</v>
      </c>
      <c r="N2552" s="3">
        <v>186</v>
      </c>
      <c r="O2552" t="s">
        <v>24</v>
      </c>
      <c r="P2552" t="s">
        <v>25</v>
      </c>
      <c r="R2552">
        <f>tblDailySchedule[[#This Row],[Capacity Approx]]*'[1]Load Factor Sheet June Acft  '!$B$5</f>
        <v>150.61772727272728</v>
      </c>
      <c r="S2552">
        <f>tblDailySchedule[[#This Row],[Capacity Approx]]*'[1]Load Factor Sheet June Acft  '!$D$5</f>
        <v>163.08818181818182</v>
      </c>
      <c r="T2552" s="22">
        <f>tblDailySchedule[[#This Row],[STD]]</f>
        <v>0.34722222222222221</v>
      </c>
    </row>
    <row r="2553" spans="1:20" hidden="1" x14ac:dyDescent="0.35">
      <c r="A2553" s="11">
        <v>46202</v>
      </c>
      <c r="B2553" s="3">
        <v>1</v>
      </c>
      <c r="C2553" t="s">
        <v>100</v>
      </c>
      <c r="D2553" t="s">
        <v>18</v>
      </c>
      <c r="E2553" s="3">
        <v>3</v>
      </c>
      <c r="F2553" t="s">
        <v>19</v>
      </c>
      <c r="G2553" t="s">
        <v>26</v>
      </c>
      <c r="H2553" t="s">
        <v>27</v>
      </c>
      <c r="I2553" s="12">
        <v>0.3263888888888889</v>
      </c>
      <c r="J2553" t="s">
        <v>28</v>
      </c>
      <c r="K2553" t="s">
        <v>27</v>
      </c>
      <c r="L2553" s="12">
        <v>0.35416666666666669</v>
      </c>
      <c r="M2553" t="s">
        <v>29</v>
      </c>
      <c r="N2553" s="3">
        <v>186</v>
      </c>
      <c r="O2553" t="s">
        <v>24</v>
      </c>
      <c r="P2553" t="s">
        <v>25</v>
      </c>
      <c r="R2553">
        <f>tblDailySchedule[[#This Row],[Capacity Approx]]*'[1]Load Factor Sheet June Acft  '!$B$5</f>
        <v>150.61772727272728</v>
      </c>
      <c r="S2553">
        <f>tblDailySchedule[[#This Row],[Capacity Approx]]*'[1]Load Factor Sheet June Acft  '!$D$5</f>
        <v>163.08818181818182</v>
      </c>
      <c r="T2553" s="22">
        <f>tblDailySchedule[[#This Row],[STD]]</f>
        <v>0.35416666666666669</v>
      </c>
    </row>
    <row r="2554" spans="1:20" hidden="1" x14ac:dyDescent="0.35">
      <c r="A2554" s="11">
        <v>46202</v>
      </c>
      <c r="B2554" s="3">
        <v>1</v>
      </c>
      <c r="C2554" t="s">
        <v>100</v>
      </c>
      <c r="D2554" t="s">
        <v>18</v>
      </c>
      <c r="E2554" s="3">
        <v>4</v>
      </c>
      <c r="F2554" t="s">
        <v>19</v>
      </c>
      <c r="G2554" t="s">
        <v>30</v>
      </c>
      <c r="H2554" t="s">
        <v>31</v>
      </c>
      <c r="I2554" s="12">
        <v>0.34722222222222221</v>
      </c>
      <c r="J2554" t="s">
        <v>32</v>
      </c>
      <c r="K2554" t="s">
        <v>31</v>
      </c>
      <c r="L2554" s="12">
        <v>0.36805555555555558</v>
      </c>
      <c r="M2554" t="s">
        <v>33</v>
      </c>
      <c r="N2554" s="3">
        <v>189</v>
      </c>
      <c r="O2554" t="s">
        <v>24</v>
      </c>
      <c r="P2554" t="s">
        <v>25</v>
      </c>
      <c r="R2554">
        <f>tblDailySchedule[[#This Row],[Capacity Approx]]*'[1]Load Factor Sheet June Acft  '!$B$5</f>
        <v>153.04704545454547</v>
      </c>
      <c r="S2554">
        <f>tblDailySchedule[[#This Row],[Capacity Approx]]*'[1]Load Factor Sheet June Acft  '!$D$5</f>
        <v>165.71863636363636</v>
      </c>
      <c r="T2554" s="22">
        <f>tblDailySchedule[[#This Row],[STD]]</f>
        <v>0.36805555555555558</v>
      </c>
    </row>
    <row r="2555" spans="1:20" hidden="1" x14ac:dyDescent="0.35">
      <c r="A2555" s="13">
        <v>46202</v>
      </c>
      <c r="B2555" s="7">
        <v>1</v>
      </c>
      <c r="C2555" s="14" t="s">
        <v>100</v>
      </c>
      <c r="D2555" s="14" t="s">
        <v>18</v>
      </c>
      <c r="E2555" s="7">
        <v>6</v>
      </c>
      <c r="F2555" s="14" t="s">
        <v>34</v>
      </c>
      <c r="G2555" s="14" t="s">
        <v>35</v>
      </c>
      <c r="H2555" s="14" t="s">
        <v>36</v>
      </c>
      <c r="I2555" s="15">
        <v>0.34722222222222221</v>
      </c>
      <c r="J2555" s="14" t="s">
        <v>37</v>
      </c>
      <c r="K2555" s="14" t="s">
        <v>36</v>
      </c>
      <c r="L2555" s="15">
        <v>0.40972222222222221</v>
      </c>
      <c r="M2555" s="14" t="s">
        <v>38</v>
      </c>
      <c r="N2555" s="7">
        <v>186</v>
      </c>
      <c r="O2555" s="14" t="s">
        <v>39</v>
      </c>
      <c r="P2555" s="14" t="s">
        <v>25</v>
      </c>
      <c r="Q2555" s="14" t="s">
        <v>39</v>
      </c>
      <c r="R2555">
        <f>tblDailySchedule[[#This Row],[Capacity Approx]]*'[1]Load Factor Sheet June Acft  '!$B$5</f>
        <v>150.61772727272728</v>
      </c>
      <c r="S2555">
        <f>tblDailySchedule[[#This Row],[Capacity Approx]]*'[1]Load Factor Sheet June Acft  '!$D$5</f>
        <v>163.08818181818182</v>
      </c>
      <c r="T2555" s="22">
        <f>tblDailySchedule[[#This Row],[STD]]</f>
        <v>0.40972222222222221</v>
      </c>
    </row>
    <row r="2556" spans="1:20" hidden="1" x14ac:dyDescent="0.35">
      <c r="A2556" s="11">
        <v>46202</v>
      </c>
      <c r="B2556" s="3">
        <v>1</v>
      </c>
      <c r="C2556" t="s">
        <v>100</v>
      </c>
      <c r="D2556" t="s">
        <v>18</v>
      </c>
      <c r="E2556" s="3">
        <v>5</v>
      </c>
      <c r="F2556" t="s">
        <v>19</v>
      </c>
      <c r="G2556" t="s">
        <v>40</v>
      </c>
      <c r="H2556" t="s">
        <v>31</v>
      </c>
      <c r="I2556" s="12">
        <v>0.35069444444444442</v>
      </c>
      <c r="J2556" t="s">
        <v>41</v>
      </c>
      <c r="K2556" t="s">
        <v>31</v>
      </c>
      <c r="L2556" s="12">
        <v>0.37152777777777779</v>
      </c>
      <c r="M2556" t="s">
        <v>23</v>
      </c>
      <c r="N2556" s="3">
        <v>186</v>
      </c>
      <c r="O2556" t="s">
        <v>24</v>
      </c>
      <c r="P2556" t="s">
        <v>25</v>
      </c>
      <c r="R2556">
        <f>tblDailySchedule[[#This Row],[Capacity Approx]]*'[1]Load Factor Sheet June Acft  '!$B$5</f>
        <v>150.61772727272728</v>
      </c>
      <c r="S2556">
        <f>tblDailySchedule[[#This Row],[Capacity Approx]]*'[1]Load Factor Sheet June Acft  '!$D$5</f>
        <v>163.08818181818182</v>
      </c>
      <c r="T2556" s="22">
        <f>tblDailySchedule[[#This Row],[STD]]</f>
        <v>0.37152777777777779</v>
      </c>
    </row>
    <row r="2557" spans="1:20" hidden="1" x14ac:dyDescent="0.35">
      <c r="A2557" s="11">
        <v>46202</v>
      </c>
      <c r="B2557" s="3">
        <v>1</v>
      </c>
      <c r="C2557" t="s">
        <v>100</v>
      </c>
      <c r="D2557" t="s">
        <v>18</v>
      </c>
      <c r="E2557" s="3">
        <v>7</v>
      </c>
      <c r="F2557" t="s">
        <v>19</v>
      </c>
      <c r="G2557" t="s">
        <v>42</v>
      </c>
      <c r="H2557" t="s">
        <v>43</v>
      </c>
      <c r="I2557" s="12">
        <v>0.3923611111111111</v>
      </c>
      <c r="J2557" t="s">
        <v>44</v>
      </c>
      <c r="K2557" t="s">
        <v>43</v>
      </c>
      <c r="L2557" s="12">
        <v>0.40277777777777779</v>
      </c>
      <c r="M2557" t="s">
        <v>45</v>
      </c>
      <c r="N2557" s="3">
        <v>9</v>
      </c>
      <c r="O2557" t="s">
        <v>24</v>
      </c>
      <c r="P2557" t="s">
        <v>25</v>
      </c>
      <c r="R2557">
        <f>tblDailySchedule[[#This Row],[Capacity Approx]]*'[1]Load Factor Sheet June Acft  '!$B$5</f>
        <v>7.2879545454545456</v>
      </c>
      <c r="S2557">
        <f>tblDailySchedule[[#This Row],[Capacity Approx]]*'[1]Load Factor Sheet June Acft  '!$D$5</f>
        <v>7.8913636363636366</v>
      </c>
      <c r="T2557" s="22">
        <f>tblDailySchedule[[#This Row],[STD]]</f>
        <v>0.40277777777777779</v>
      </c>
    </row>
    <row r="2558" spans="1:20" hidden="1" x14ac:dyDescent="0.35">
      <c r="A2558" s="11">
        <v>46202</v>
      </c>
      <c r="B2558" s="3">
        <v>1</v>
      </c>
      <c r="C2558" t="s">
        <v>100</v>
      </c>
      <c r="D2558" t="s">
        <v>18</v>
      </c>
      <c r="E2558" s="3">
        <v>8</v>
      </c>
      <c r="F2558" t="s">
        <v>19</v>
      </c>
      <c r="G2558" t="s">
        <v>46</v>
      </c>
      <c r="H2558" t="s">
        <v>31</v>
      </c>
      <c r="I2558" s="12">
        <v>0.4201388888888889</v>
      </c>
      <c r="J2558" t="s">
        <v>47</v>
      </c>
      <c r="K2558" t="s">
        <v>31</v>
      </c>
      <c r="L2558" s="12">
        <v>0.44444444444444442</v>
      </c>
      <c r="M2558" t="s">
        <v>29</v>
      </c>
      <c r="N2558" s="3">
        <v>186</v>
      </c>
      <c r="O2558" t="s">
        <v>24</v>
      </c>
      <c r="P2558" t="s">
        <v>25</v>
      </c>
      <c r="R2558">
        <f>tblDailySchedule[[#This Row],[Capacity Approx]]*'[1]Load Factor Sheet June Acft  '!$B$5</f>
        <v>150.61772727272728</v>
      </c>
      <c r="S2558">
        <f>tblDailySchedule[[#This Row],[Capacity Approx]]*'[1]Load Factor Sheet June Acft  '!$D$5</f>
        <v>163.08818181818182</v>
      </c>
      <c r="T2558" s="22">
        <f>tblDailySchedule[[#This Row],[STD]]</f>
        <v>0.44444444444444442</v>
      </c>
    </row>
    <row r="2559" spans="1:20" hidden="1" x14ac:dyDescent="0.35">
      <c r="A2559" s="11">
        <v>46202</v>
      </c>
      <c r="B2559" s="3">
        <v>1</v>
      </c>
      <c r="C2559" t="s">
        <v>100</v>
      </c>
      <c r="D2559" t="s">
        <v>18</v>
      </c>
      <c r="E2559" s="3">
        <v>9</v>
      </c>
      <c r="F2559" t="s">
        <v>19</v>
      </c>
      <c r="G2559" t="s">
        <v>48</v>
      </c>
      <c r="H2559" t="s">
        <v>49</v>
      </c>
      <c r="I2559" s="12">
        <v>0.4375</v>
      </c>
      <c r="J2559" t="s">
        <v>50</v>
      </c>
      <c r="K2559" t="s">
        <v>49</v>
      </c>
      <c r="L2559" s="12">
        <v>0.45833333333333331</v>
      </c>
      <c r="M2559" t="s">
        <v>51</v>
      </c>
      <c r="N2559" s="3">
        <v>78</v>
      </c>
      <c r="O2559" t="s">
        <v>24</v>
      </c>
      <c r="P2559" t="s">
        <v>25</v>
      </c>
      <c r="R2559">
        <f>tblDailySchedule[[#This Row],[Capacity Approx]]*'[1]Load Factor Sheet June Acft  '!$B$5</f>
        <v>63.162272727272729</v>
      </c>
      <c r="S2559">
        <f>tblDailySchedule[[#This Row],[Capacity Approx]]*'[1]Load Factor Sheet June Acft  '!$D$5</f>
        <v>68.391818181818181</v>
      </c>
      <c r="T2559" s="22">
        <f>tblDailySchedule[[#This Row],[STD]]</f>
        <v>0.45833333333333331</v>
      </c>
    </row>
    <row r="2560" spans="1:20" hidden="1" x14ac:dyDescent="0.35">
      <c r="A2560" s="11">
        <v>46202</v>
      </c>
      <c r="B2560" s="3">
        <v>1</v>
      </c>
      <c r="C2560" t="s">
        <v>100</v>
      </c>
      <c r="D2560" t="s">
        <v>18</v>
      </c>
      <c r="E2560" s="3">
        <v>10</v>
      </c>
      <c r="F2560" t="s">
        <v>19</v>
      </c>
      <c r="G2560" t="s">
        <v>52</v>
      </c>
      <c r="H2560" t="s">
        <v>27</v>
      </c>
      <c r="I2560" s="12">
        <v>0.4826388888888889</v>
      </c>
      <c r="J2560" t="s">
        <v>53</v>
      </c>
      <c r="K2560" t="s">
        <v>27</v>
      </c>
      <c r="L2560" s="12">
        <v>0.51041666666666663</v>
      </c>
      <c r="M2560" t="s">
        <v>23</v>
      </c>
      <c r="N2560" s="3">
        <v>186</v>
      </c>
      <c r="O2560" t="s">
        <v>24</v>
      </c>
      <c r="P2560" t="s">
        <v>25</v>
      </c>
      <c r="R2560">
        <f>tblDailySchedule[[#This Row],[Capacity Approx]]*'[1]Load Factor Sheet June Acft  '!$B$5</f>
        <v>150.61772727272728</v>
      </c>
      <c r="S2560">
        <f>tblDailySchedule[[#This Row],[Capacity Approx]]*'[1]Load Factor Sheet June Acft  '!$D$5</f>
        <v>163.08818181818182</v>
      </c>
      <c r="T2560" s="22">
        <f>tblDailySchedule[[#This Row],[STD]]</f>
        <v>0.51041666666666663</v>
      </c>
    </row>
    <row r="2561" spans="1:20" hidden="1" x14ac:dyDescent="0.35">
      <c r="A2561" s="11">
        <v>46202</v>
      </c>
      <c r="B2561" s="3">
        <v>1</v>
      </c>
      <c r="C2561" t="s">
        <v>100</v>
      </c>
      <c r="D2561" t="s">
        <v>18</v>
      </c>
      <c r="E2561" s="3">
        <v>11</v>
      </c>
      <c r="F2561" t="s">
        <v>19</v>
      </c>
      <c r="G2561" t="s">
        <v>54</v>
      </c>
      <c r="H2561" t="s">
        <v>31</v>
      </c>
      <c r="I2561" s="12">
        <v>0.51388888888888884</v>
      </c>
      <c r="J2561" t="s">
        <v>55</v>
      </c>
      <c r="K2561" t="s">
        <v>31</v>
      </c>
      <c r="L2561" s="12">
        <v>0.54166666666666663</v>
      </c>
      <c r="M2561" t="s">
        <v>23</v>
      </c>
      <c r="N2561" s="3">
        <v>186</v>
      </c>
      <c r="O2561" t="s">
        <v>24</v>
      </c>
      <c r="P2561" t="s">
        <v>56</v>
      </c>
      <c r="R2561">
        <f>tblDailySchedule[[#This Row],[Capacity Approx]]*'[1]Load Factor Sheet June Acft  '!$B$5</f>
        <v>150.61772727272728</v>
      </c>
      <c r="S2561">
        <f>tblDailySchedule[[#This Row],[Capacity Approx]]*'[1]Load Factor Sheet June Acft  '!$D$5</f>
        <v>163.08818181818182</v>
      </c>
      <c r="T2561" s="22">
        <f>tblDailySchedule[[#This Row],[STD]]</f>
        <v>0.54166666666666663</v>
      </c>
    </row>
    <row r="2562" spans="1:20" hidden="1" x14ac:dyDescent="0.35">
      <c r="A2562" s="11">
        <v>46202</v>
      </c>
      <c r="B2562" s="3">
        <v>1</v>
      </c>
      <c r="C2562" t="s">
        <v>100</v>
      </c>
      <c r="D2562" t="s">
        <v>18</v>
      </c>
      <c r="E2562" s="3">
        <v>13</v>
      </c>
      <c r="F2562" t="s">
        <v>19</v>
      </c>
      <c r="G2562" t="s">
        <v>57</v>
      </c>
      <c r="H2562" t="s">
        <v>58</v>
      </c>
      <c r="I2562" s="12">
        <v>0.55902777777777779</v>
      </c>
      <c r="J2562" t="s">
        <v>59</v>
      </c>
      <c r="K2562" t="s">
        <v>58</v>
      </c>
      <c r="L2562" s="12">
        <v>0.57638888888888884</v>
      </c>
      <c r="M2562" t="s">
        <v>51</v>
      </c>
      <c r="N2562" s="3">
        <v>78</v>
      </c>
      <c r="O2562" t="s">
        <v>24</v>
      </c>
      <c r="P2562" t="s">
        <v>56</v>
      </c>
      <c r="R2562">
        <f>tblDailySchedule[[#This Row],[Capacity Approx]]*'[1]Load Factor Sheet June Acft  '!$B$5</f>
        <v>63.162272727272729</v>
      </c>
      <c r="S2562">
        <f>tblDailySchedule[[#This Row],[Capacity Approx]]*'[1]Load Factor Sheet June Acft  '!$D$5</f>
        <v>68.391818181818181</v>
      </c>
      <c r="T2562" s="22">
        <f>tblDailySchedule[[#This Row],[STD]]</f>
        <v>0.57638888888888884</v>
      </c>
    </row>
    <row r="2563" spans="1:20" hidden="1" x14ac:dyDescent="0.35">
      <c r="A2563" s="11">
        <v>46202</v>
      </c>
      <c r="B2563" s="3">
        <v>1</v>
      </c>
      <c r="C2563" t="s">
        <v>100</v>
      </c>
      <c r="D2563" t="s">
        <v>18</v>
      </c>
      <c r="E2563" s="3">
        <v>14</v>
      </c>
      <c r="F2563" t="s">
        <v>19</v>
      </c>
      <c r="G2563" t="s">
        <v>60</v>
      </c>
      <c r="H2563" t="s">
        <v>61</v>
      </c>
      <c r="I2563" s="12">
        <v>0.59027777777777779</v>
      </c>
      <c r="J2563" t="s">
        <v>62</v>
      </c>
      <c r="K2563" t="s">
        <v>61</v>
      </c>
      <c r="L2563" s="12">
        <v>0.62152777777777779</v>
      </c>
      <c r="M2563" t="s">
        <v>63</v>
      </c>
      <c r="N2563" s="3">
        <v>232</v>
      </c>
      <c r="O2563" t="s">
        <v>24</v>
      </c>
      <c r="P2563" t="s">
        <v>56</v>
      </c>
      <c r="R2563">
        <f>tblDailySchedule[[#This Row],[Capacity Approx]]*'[1]Load Factor Sheet June Acft  '!$B$5</f>
        <v>187.86727272727273</v>
      </c>
      <c r="S2563">
        <f>tblDailySchedule[[#This Row],[Capacity Approx]]*'[1]Load Factor Sheet June Acft  '!$D$5</f>
        <v>203.4218181818182</v>
      </c>
      <c r="T2563" s="22">
        <f>tblDailySchedule[[#This Row],[STD]]</f>
        <v>0.62152777777777779</v>
      </c>
    </row>
    <row r="2564" spans="1:20" hidden="1" x14ac:dyDescent="0.35">
      <c r="A2564" s="11">
        <v>46202</v>
      </c>
      <c r="B2564" s="3">
        <v>1</v>
      </c>
      <c r="C2564" t="s">
        <v>100</v>
      </c>
      <c r="D2564" t="s">
        <v>18</v>
      </c>
      <c r="E2564" s="3">
        <v>15</v>
      </c>
      <c r="F2564" t="s">
        <v>19</v>
      </c>
      <c r="G2564" t="s">
        <v>64</v>
      </c>
      <c r="H2564" t="s">
        <v>31</v>
      </c>
      <c r="I2564" s="12">
        <v>0.60069444444444442</v>
      </c>
      <c r="J2564" t="s">
        <v>65</v>
      </c>
      <c r="K2564" t="s">
        <v>66</v>
      </c>
      <c r="L2564" s="12">
        <v>0.62847222222222221</v>
      </c>
      <c r="M2564" t="s">
        <v>63</v>
      </c>
      <c r="N2564" s="3">
        <v>232</v>
      </c>
      <c r="O2564" t="s">
        <v>24</v>
      </c>
      <c r="P2564" t="s">
        <v>56</v>
      </c>
      <c r="R2564">
        <f>tblDailySchedule[[#This Row],[Capacity Approx]]*'[1]Load Factor Sheet June Acft  '!$B$5</f>
        <v>187.86727272727273</v>
      </c>
      <c r="S2564">
        <f>tblDailySchedule[[#This Row],[Capacity Approx]]*'[1]Load Factor Sheet June Acft  '!$D$5</f>
        <v>203.4218181818182</v>
      </c>
      <c r="T2564" s="22">
        <f>tblDailySchedule[[#This Row],[STD]]</f>
        <v>0.62847222222222221</v>
      </c>
    </row>
    <row r="2565" spans="1:20" hidden="1" x14ac:dyDescent="0.35">
      <c r="A2565" s="11">
        <v>46202</v>
      </c>
      <c r="B2565" s="3">
        <v>1</v>
      </c>
      <c r="C2565" t="s">
        <v>100</v>
      </c>
      <c r="D2565" t="s">
        <v>18</v>
      </c>
      <c r="E2565" s="3">
        <v>16</v>
      </c>
      <c r="F2565" t="s">
        <v>19</v>
      </c>
      <c r="G2565" t="s">
        <v>67</v>
      </c>
      <c r="H2565" t="s">
        <v>31</v>
      </c>
      <c r="I2565" s="12">
        <v>0.65625</v>
      </c>
      <c r="J2565" t="s">
        <v>68</v>
      </c>
      <c r="K2565" t="s">
        <v>31</v>
      </c>
      <c r="L2565" s="12">
        <v>0.68402777777777779</v>
      </c>
      <c r="M2565" t="s">
        <v>63</v>
      </c>
      <c r="N2565" s="3">
        <v>232</v>
      </c>
      <c r="O2565" t="s">
        <v>24</v>
      </c>
      <c r="P2565" t="s">
        <v>56</v>
      </c>
      <c r="R2565">
        <f>tblDailySchedule[[#This Row],[Capacity Approx]]*'[1]Load Factor Sheet June Acft  '!$B$5</f>
        <v>187.86727272727273</v>
      </c>
      <c r="S2565">
        <f>tblDailySchedule[[#This Row],[Capacity Approx]]*'[1]Load Factor Sheet June Acft  '!$D$5</f>
        <v>203.4218181818182</v>
      </c>
      <c r="T2565" s="22">
        <f>tblDailySchedule[[#This Row],[STD]]</f>
        <v>0.68402777777777779</v>
      </c>
    </row>
    <row r="2566" spans="1:20" hidden="1" x14ac:dyDescent="0.35">
      <c r="A2566" s="11">
        <v>46202</v>
      </c>
      <c r="B2566" s="3">
        <v>1</v>
      </c>
      <c r="C2566" t="s">
        <v>100</v>
      </c>
      <c r="D2566" t="s">
        <v>18</v>
      </c>
      <c r="E2566" s="3">
        <v>17</v>
      </c>
      <c r="F2566" t="s">
        <v>19</v>
      </c>
      <c r="G2566" t="s">
        <v>69</v>
      </c>
      <c r="H2566" t="s">
        <v>31</v>
      </c>
      <c r="I2566" s="12">
        <v>0.66319444444444442</v>
      </c>
      <c r="J2566" t="s">
        <v>70</v>
      </c>
      <c r="K2566" t="s">
        <v>31</v>
      </c>
      <c r="L2566" s="12">
        <v>0.69097222222222221</v>
      </c>
      <c r="M2566" t="s">
        <v>33</v>
      </c>
      <c r="N2566" s="3">
        <v>189</v>
      </c>
      <c r="O2566" t="s">
        <v>24</v>
      </c>
      <c r="P2566" t="s">
        <v>56</v>
      </c>
      <c r="R2566">
        <f>tblDailySchedule[[#This Row],[Capacity Approx]]*'[1]Load Factor Sheet June Acft  '!$B$5</f>
        <v>153.04704545454547</v>
      </c>
      <c r="S2566">
        <f>tblDailySchedule[[#This Row],[Capacity Approx]]*'[1]Load Factor Sheet June Acft  '!$D$5</f>
        <v>165.71863636363636</v>
      </c>
      <c r="T2566" s="22">
        <f>tblDailySchedule[[#This Row],[STD]]</f>
        <v>0.69097222222222221</v>
      </c>
    </row>
    <row r="2567" spans="1:20" hidden="1" x14ac:dyDescent="0.35">
      <c r="A2567" s="11">
        <v>46202</v>
      </c>
      <c r="B2567" s="3">
        <v>1</v>
      </c>
      <c r="C2567" t="s">
        <v>100</v>
      </c>
      <c r="D2567" t="s">
        <v>18</v>
      </c>
      <c r="E2567" s="3">
        <v>18</v>
      </c>
      <c r="F2567" t="s">
        <v>19</v>
      </c>
      <c r="G2567" t="s">
        <v>71</v>
      </c>
      <c r="H2567" t="s">
        <v>21</v>
      </c>
      <c r="I2567" s="12">
        <v>0.67013888888888884</v>
      </c>
      <c r="J2567" t="s">
        <v>72</v>
      </c>
      <c r="K2567" t="s">
        <v>21</v>
      </c>
      <c r="L2567" s="12">
        <v>0.69791666666666663</v>
      </c>
      <c r="M2567" t="s">
        <v>63</v>
      </c>
      <c r="N2567" s="3">
        <v>232</v>
      </c>
      <c r="O2567" t="s">
        <v>24</v>
      </c>
      <c r="P2567" t="s">
        <v>56</v>
      </c>
      <c r="R2567">
        <f>tblDailySchedule[[#This Row],[Capacity Approx]]*'[1]Load Factor Sheet June Acft  '!$B$5</f>
        <v>187.86727272727273</v>
      </c>
      <c r="S2567">
        <f>tblDailySchedule[[#This Row],[Capacity Approx]]*'[1]Load Factor Sheet June Acft  '!$D$5</f>
        <v>203.4218181818182</v>
      </c>
      <c r="T2567" s="22">
        <f>tblDailySchedule[[#This Row],[STD]]</f>
        <v>0.69791666666666663</v>
      </c>
    </row>
    <row r="2568" spans="1:20" hidden="1" x14ac:dyDescent="0.35">
      <c r="A2568" s="11">
        <v>46202</v>
      </c>
      <c r="B2568" s="3">
        <v>1</v>
      </c>
      <c r="C2568" t="s">
        <v>100</v>
      </c>
      <c r="D2568" t="s">
        <v>18</v>
      </c>
      <c r="E2568" s="3">
        <v>19</v>
      </c>
      <c r="F2568" t="s">
        <v>19</v>
      </c>
      <c r="G2568" t="s">
        <v>73</v>
      </c>
      <c r="H2568" t="s">
        <v>27</v>
      </c>
      <c r="I2568" s="12">
        <v>0.74652777777777779</v>
      </c>
      <c r="J2568" t="s">
        <v>74</v>
      </c>
      <c r="K2568" t="s">
        <v>27</v>
      </c>
      <c r="L2568" s="12">
        <v>0.77430555555555558</v>
      </c>
      <c r="M2568" t="s">
        <v>63</v>
      </c>
      <c r="N2568" s="3">
        <v>232</v>
      </c>
      <c r="O2568" t="s">
        <v>24</v>
      </c>
      <c r="P2568" t="s">
        <v>56</v>
      </c>
      <c r="R2568">
        <f>tblDailySchedule[[#This Row],[Capacity Approx]]*'[1]Load Factor Sheet June Acft  '!$B$5</f>
        <v>187.86727272727273</v>
      </c>
      <c r="S2568">
        <f>tblDailySchedule[[#This Row],[Capacity Approx]]*'[1]Load Factor Sheet June Acft  '!$D$5</f>
        <v>203.4218181818182</v>
      </c>
      <c r="T2568" s="22">
        <f>tblDailySchedule[[#This Row],[STD]]</f>
        <v>0.77430555555555558</v>
      </c>
    </row>
    <row r="2569" spans="1:20" hidden="1" x14ac:dyDescent="0.35">
      <c r="A2569" s="11">
        <v>46202</v>
      </c>
      <c r="B2569" s="3">
        <v>1</v>
      </c>
      <c r="C2569" t="s">
        <v>100</v>
      </c>
      <c r="D2569" t="s">
        <v>18</v>
      </c>
      <c r="E2569" s="3">
        <v>20</v>
      </c>
      <c r="F2569" t="s">
        <v>34</v>
      </c>
      <c r="G2569" t="s">
        <v>75</v>
      </c>
      <c r="H2569" t="s">
        <v>76</v>
      </c>
      <c r="I2569" s="12">
        <v>0.76388888888888884</v>
      </c>
      <c r="J2569" t="s">
        <v>77</v>
      </c>
      <c r="K2569" t="s">
        <v>78</v>
      </c>
      <c r="L2569" s="12">
        <v>0.78472222222222221</v>
      </c>
      <c r="M2569" t="s">
        <v>51</v>
      </c>
      <c r="N2569" s="3">
        <v>78</v>
      </c>
      <c r="O2569" t="s">
        <v>24</v>
      </c>
      <c r="P2569" t="s">
        <v>79</v>
      </c>
      <c r="Q2569" s="16" t="s">
        <v>80</v>
      </c>
      <c r="R2569">
        <f>tblDailySchedule[[#This Row],[Capacity Approx]]*'[1]Load Factor Sheet June Acft  '!$B$5</f>
        <v>63.162272727272729</v>
      </c>
      <c r="S2569">
        <f>tblDailySchedule[[#This Row],[Capacity Approx]]*'[1]Load Factor Sheet June Acft  '!$D$5</f>
        <v>68.391818181818181</v>
      </c>
      <c r="T2569" s="22">
        <f>tblDailySchedule[[#This Row],[STD]]</f>
        <v>0.78472222222222221</v>
      </c>
    </row>
    <row r="2570" spans="1:20" hidden="1" x14ac:dyDescent="0.35">
      <c r="A2570" s="11">
        <v>46202</v>
      </c>
      <c r="B2570" s="3">
        <v>1</v>
      </c>
      <c r="C2570" t="s">
        <v>100</v>
      </c>
      <c r="D2570" t="s">
        <v>18</v>
      </c>
      <c r="E2570" s="3">
        <v>21</v>
      </c>
      <c r="F2570" t="s">
        <v>19</v>
      </c>
      <c r="G2570" t="s">
        <v>81</v>
      </c>
      <c r="H2570" t="s">
        <v>61</v>
      </c>
      <c r="I2570" s="12">
        <v>0.77083333333333337</v>
      </c>
      <c r="J2570" t="s">
        <v>82</v>
      </c>
      <c r="K2570" t="s">
        <v>49</v>
      </c>
      <c r="L2570" s="12">
        <v>0.79166666666666663</v>
      </c>
      <c r="M2570" t="s">
        <v>33</v>
      </c>
      <c r="N2570" s="3">
        <v>189</v>
      </c>
      <c r="O2570" t="s">
        <v>24</v>
      </c>
      <c r="P2570" t="s">
        <v>79</v>
      </c>
      <c r="R2570">
        <f>tblDailySchedule[[#This Row],[Capacity Approx]]*'[1]Load Factor Sheet June Acft  '!$B$5</f>
        <v>153.04704545454547</v>
      </c>
      <c r="S2570">
        <f>tblDailySchedule[[#This Row],[Capacity Approx]]*'[1]Load Factor Sheet June Acft  '!$D$5</f>
        <v>165.71863636363636</v>
      </c>
      <c r="T2570" s="22">
        <f>tblDailySchedule[[#This Row],[STD]]</f>
        <v>0.79166666666666663</v>
      </c>
    </row>
    <row r="2571" spans="1:20" hidden="1" x14ac:dyDescent="0.35">
      <c r="A2571" s="11">
        <v>46202</v>
      </c>
      <c r="B2571" s="3">
        <v>1</v>
      </c>
      <c r="C2571" t="s">
        <v>100</v>
      </c>
      <c r="D2571" t="s">
        <v>18</v>
      </c>
      <c r="E2571" s="3">
        <v>22</v>
      </c>
      <c r="F2571" t="s">
        <v>19</v>
      </c>
      <c r="G2571" t="s">
        <v>83</v>
      </c>
      <c r="H2571" t="s">
        <v>31</v>
      </c>
      <c r="I2571" s="12">
        <v>0.77777777777777779</v>
      </c>
      <c r="J2571" t="s">
        <v>84</v>
      </c>
      <c r="K2571" t="s">
        <v>31</v>
      </c>
      <c r="L2571" s="12">
        <v>0.80555555555555558</v>
      </c>
      <c r="M2571" t="s">
        <v>63</v>
      </c>
      <c r="N2571" s="3">
        <v>232</v>
      </c>
      <c r="O2571" t="s">
        <v>24</v>
      </c>
      <c r="P2571" t="s">
        <v>79</v>
      </c>
      <c r="R2571">
        <f>tblDailySchedule[[#This Row],[Capacity Approx]]*'[1]Load Factor Sheet June Acft  '!$B$5</f>
        <v>187.86727272727273</v>
      </c>
      <c r="S2571">
        <f>tblDailySchedule[[#This Row],[Capacity Approx]]*'[1]Load Factor Sheet June Acft  '!$D$5</f>
        <v>203.4218181818182</v>
      </c>
      <c r="T2571" s="22">
        <f>tblDailySchedule[[#This Row],[STD]]</f>
        <v>0.80555555555555558</v>
      </c>
    </row>
    <row r="2572" spans="1:20" hidden="1" x14ac:dyDescent="0.35">
      <c r="A2572" s="11">
        <v>46202</v>
      </c>
      <c r="B2572" s="3">
        <v>1</v>
      </c>
      <c r="C2572" t="s">
        <v>100</v>
      </c>
      <c r="D2572" t="s">
        <v>18</v>
      </c>
      <c r="E2572" s="3">
        <v>23</v>
      </c>
      <c r="F2572" t="s">
        <v>19</v>
      </c>
      <c r="G2572" t="s">
        <v>85</v>
      </c>
      <c r="H2572" t="s">
        <v>86</v>
      </c>
      <c r="I2572" s="12">
        <v>0.79861111111111116</v>
      </c>
      <c r="J2572" t="s">
        <v>87</v>
      </c>
      <c r="K2572" t="s">
        <v>86</v>
      </c>
      <c r="L2572" s="12">
        <v>0.82638888888888884</v>
      </c>
      <c r="M2572" t="s">
        <v>63</v>
      </c>
      <c r="N2572" s="3">
        <v>232</v>
      </c>
      <c r="O2572" t="s">
        <v>24</v>
      </c>
      <c r="P2572" t="s">
        <v>79</v>
      </c>
      <c r="R2572">
        <f>tblDailySchedule[[#This Row],[Capacity Approx]]*'[1]Load Factor Sheet June Acft  '!$B$5</f>
        <v>187.86727272727273</v>
      </c>
      <c r="S2572">
        <f>tblDailySchedule[[#This Row],[Capacity Approx]]*'[1]Load Factor Sheet June Acft  '!$D$5</f>
        <v>203.4218181818182</v>
      </c>
      <c r="T2572" s="22">
        <f>tblDailySchedule[[#This Row],[STD]]</f>
        <v>0.82638888888888884</v>
      </c>
    </row>
    <row r="2573" spans="1:20" hidden="1" x14ac:dyDescent="0.35">
      <c r="A2573" s="11">
        <v>46202</v>
      </c>
      <c r="B2573" s="3">
        <v>1</v>
      </c>
      <c r="C2573" t="s">
        <v>100</v>
      </c>
      <c r="D2573" t="s">
        <v>18</v>
      </c>
      <c r="E2573" s="3">
        <v>24</v>
      </c>
      <c r="F2573" t="s">
        <v>19</v>
      </c>
      <c r="G2573" t="s">
        <v>88</v>
      </c>
      <c r="H2573" t="s">
        <v>89</v>
      </c>
      <c r="I2573" s="12">
        <v>0.83333333333333337</v>
      </c>
      <c r="J2573" t="s">
        <v>90</v>
      </c>
      <c r="K2573" t="s">
        <v>31</v>
      </c>
      <c r="L2573" s="12">
        <v>0.86111111111111116</v>
      </c>
      <c r="M2573" t="s">
        <v>63</v>
      </c>
      <c r="N2573" s="3">
        <v>232</v>
      </c>
      <c r="O2573" t="s">
        <v>24</v>
      </c>
      <c r="P2573" t="s">
        <v>79</v>
      </c>
      <c r="R2573">
        <f>tblDailySchedule[[#This Row],[Capacity Approx]]*'[1]Load Factor Sheet June Acft  '!$B$5</f>
        <v>187.86727272727273</v>
      </c>
      <c r="S2573">
        <f>tblDailySchedule[[#This Row],[Capacity Approx]]*'[1]Load Factor Sheet June Acft  '!$D$5</f>
        <v>203.4218181818182</v>
      </c>
      <c r="T2573" s="22">
        <f>tblDailySchedule[[#This Row],[STD]]</f>
        <v>0.86111111111111116</v>
      </c>
    </row>
    <row r="2574" spans="1:20" hidden="1" x14ac:dyDescent="0.35">
      <c r="A2574" s="11">
        <v>46202</v>
      </c>
      <c r="B2574" s="3">
        <v>1</v>
      </c>
      <c r="C2574" t="s">
        <v>100</v>
      </c>
      <c r="D2574" t="s">
        <v>18</v>
      </c>
      <c r="E2574" s="3">
        <v>25</v>
      </c>
      <c r="F2574" t="s">
        <v>19</v>
      </c>
      <c r="G2574" t="s">
        <v>91</v>
      </c>
      <c r="H2574" t="s">
        <v>61</v>
      </c>
      <c r="I2574" s="12">
        <v>0.85416666666666663</v>
      </c>
      <c r="J2574" t="s">
        <v>92</v>
      </c>
      <c r="K2574" t="s">
        <v>61</v>
      </c>
      <c r="L2574" s="12">
        <v>0.88194444444444442</v>
      </c>
      <c r="M2574" t="s">
        <v>63</v>
      </c>
      <c r="N2574" s="3">
        <v>232</v>
      </c>
      <c r="O2574" t="s">
        <v>24</v>
      </c>
      <c r="P2574" t="s">
        <v>79</v>
      </c>
      <c r="R2574">
        <f>tblDailySchedule[[#This Row],[Capacity Approx]]*'[1]Load Factor Sheet June Acft  '!$B$5</f>
        <v>187.86727272727273</v>
      </c>
      <c r="S2574">
        <f>tblDailySchedule[[#This Row],[Capacity Approx]]*'[1]Load Factor Sheet June Acft  '!$D$5</f>
        <v>203.4218181818182</v>
      </c>
      <c r="T2574" s="22">
        <f>tblDailySchedule[[#This Row],[STD]]</f>
        <v>0.88194444444444442</v>
      </c>
    </row>
    <row r="2575" spans="1:20" hidden="1" x14ac:dyDescent="0.35">
      <c r="A2575" s="11">
        <v>46202</v>
      </c>
      <c r="B2575" s="3">
        <v>1</v>
      </c>
      <c r="C2575" t="s">
        <v>100</v>
      </c>
      <c r="D2575" t="s">
        <v>18</v>
      </c>
      <c r="E2575" s="3">
        <v>26</v>
      </c>
      <c r="F2575" t="s">
        <v>19</v>
      </c>
      <c r="G2575" t="s">
        <v>93</v>
      </c>
      <c r="H2575" t="s">
        <v>31</v>
      </c>
      <c r="I2575" s="12">
        <v>0.86111111111111116</v>
      </c>
      <c r="J2575" t="s">
        <v>94</v>
      </c>
      <c r="K2575" t="s">
        <v>31</v>
      </c>
      <c r="L2575" s="12">
        <v>0.88888888888888884</v>
      </c>
      <c r="M2575" t="s">
        <v>23</v>
      </c>
      <c r="N2575" s="3">
        <v>186</v>
      </c>
      <c r="O2575" t="s">
        <v>24</v>
      </c>
      <c r="P2575" t="s">
        <v>79</v>
      </c>
      <c r="R2575">
        <f>tblDailySchedule[[#This Row],[Capacity Approx]]*'[1]Load Factor Sheet June Acft  '!$B$5</f>
        <v>150.61772727272728</v>
      </c>
      <c r="S2575">
        <f>tblDailySchedule[[#This Row],[Capacity Approx]]*'[1]Load Factor Sheet June Acft  '!$D$5</f>
        <v>163.08818181818182</v>
      </c>
      <c r="T2575" s="22">
        <f>tblDailySchedule[[#This Row],[STD]]</f>
        <v>0.88888888888888884</v>
      </c>
    </row>
    <row r="2576" spans="1:20" hidden="1" x14ac:dyDescent="0.35">
      <c r="A2576" s="11">
        <v>46202</v>
      </c>
      <c r="B2576" s="3">
        <v>1</v>
      </c>
      <c r="C2576" t="s">
        <v>100</v>
      </c>
      <c r="D2576" t="s">
        <v>18</v>
      </c>
      <c r="E2576" s="3">
        <v>27</v>
      </c>
      <c r="F2576" t="s">
        <v>19</v>
      </c>
      <c r="G2576" t="s">
        <v>95</v>
      </c>
      <c r="H2576" t="s">
        <v>21</v>
      </c>
      <c r="I2576" s="12">
        <v>0.86805555555555558</v>
      </c>
      <c r="J2576" t="s">
        <v>96</v>
      </c>
      <c r="K2576" t="s">
        <v>21</v>
      </c>
      <c r="L2576" s="12">
        <v>0.89583333333333337</v>
      </c>
      <c r="M2576" t="s">
        <v>29</v>
      </c>
      <c r="N2576" s="3">
        <v>186</v>
      </c>
      <c r="O2576" t="s">
        <v>24</v>
      </c>
      <c r="P2576" t="s">
        <v>79</v>
      </c>
      <c r="R2576">
        <f>tblDailySchedule[[#This Row],[Capacity Approx]]*'[1]Load Factor Sheet June Acft  '!$B$5</f>
        <v>150.61772727272728</v>
      </c>
      <c r="S2576">
        <f>tblDailySchedule[[#This Row],[Capacity Approx]]*'[1]Load Factor Sheet June Acft  '!$D$5</f>
        <v>163.08818181818182</v>
      </c>
      <c r="T2576" s="22">
        <f>tblDailySchedule[[#This Row],[STD]]</f>
        <v>0.89583333333333337</v>
      </c>
    </row>
    <row r="2577" spans="1:20" hidden="1" x14ac:dyDescent="0.35">
      <c r="A2577" s="11">
        <v>46202</v>
      </c>
      <c r="B2577" s="3">
        <v>1</v>
      </c>
      <c r="C2577" t="s">
        <v>100</v>
      </c>
      <c r="D2577" t="s">
        <v>18</v>
      </c>
      <c r="E2577" s="3">
        <v>28</v>
      </c>
      <c r="F2577" t="s">
        <v>19</v>
      </c>
      <c r="G2577" t="s">
        <v>97</v>
      </c>
      <c r="H2577" t="s">
        <v>49</v>
      </c>
      <c r="I2577" s="12">
        <v>0.90277777777777779</v>
      </c>
      <c r="J2577" t="s">
        <v>97</v>
      </c>
      <c r="K2577" t="s">
        <v>61</v>
      </c>
      <c r="L2577" s="12">
        <v>0.92361111111111116</v>
      </c>
      <c r="M2577" t="s">
        <v>33</v>
      </c>
      <c r="N2577" s="3">
        <v>189</v>
      </c>
      <c r="O2577" t="s">
        <v>24</v>
      </c>
      <c r="P2577" t="s">
        <v>79</v>
      </c>
      <c r="R2577">
        <f>tblDailySchedule[[#This Row],[Capacity Approx]]*'[1]Load Factor Sheet June Acft  '!$B$5</f>
        <v>153.04704545454547</v>
      </c>
      <c r="S2577">
        <f>tblDailySchedule[[#This Row],[Capacity Approx]]*'[1]Load Factor Sheet June Acft  '!$D$5</f>
        <v>165.71863636363636</v>
      </c>
      <c r="T2577" s="22">
        <f>tblDailySchedule[[#This Row],[STD]]</f>
        <v>0.92361111111111116</v>
      </c>
    </row>
    <row r="2578" spans="1:20" hidden="1" x14ac:dyDescent="0.35">
      <c r="A2578" s="11">
        <v>46202</v>
      </c>
      <c r="B2578" s="3">
        <v>1</v>
      </c>
      <c r="C2578" t="s">
        <v>100</v>
      </c>
      <c r="D2578" t="s">
        <v>18</v>
      </c>
      <c r="E2578" s="3">
        <v>29</v>
      </c>
      <c r="F2578" t="s">
        <v>19</v>
      </c>
      <c r="G2578" t="s">
        <v>98</v>
      </c>
      <c r="H2578" t="s">
        <v>21</v>
      </c>
      <c r="I2578" s="12">
        <v>0.92013888888888884</v>
      </c>
      <c r="J2578" t="s">
        <v>99</v>
      </c>
      <c r="K2578" t="s">
        <v>21</v>
      </c>
      <c r="L2578" s="12">
        <v>0.94791666666666663</v>
      </c>
      <c r="M2578" t="s">
        <v>63</v>
      </c>
      <c r="N2578" s="3">
        <v>232</v>
      </c>
      <c r="O2578" t="s">
        <v>24</v>
      </c>
      <c r="P2578" t="s">
        <v>79</v>
      </c>
      <c r="R2578">
        <f>tblDailySchedule[[#This Row],[Capacity Approx]]*'[1]Load Factor Sheet June Acft  '!$B$5</f>
        <v>187.86727272727273</v>
      </c>
      <c r="S2578">
        <f>tblDailySchedule[[#This Row],[Capacity Approx]]*'[1]Load Factor Sheet June Acft  '!$D$5</f>
        <v>203.4218181818182</v>
      </c>
      <c r="T2578" s="22">
        <f>tblDailySchedule[[#This Row],[STD]]</f>
        <v>0.94791666666666663</v>
      </c>
    </row>
    <row r="2579" spans="1:20" hidden="1" x14ac:dyDescent="0.35">
      <c r="A2579" s="13">
        <v>46202</v>
      </c>
      <c r="B2579" s="7">
        <v>1</v>
      </c>
      <c r="C2579" s="14" t="s">
        <v>100</v>
      </c>
      <c r="D2579" s="14" t="s">
        <v>18</v>
      </c>
      <c r="E2579" s="7">
        <v>30</v>
      </c>
      <c r="F2579" s="14" t="s">
        <v>104</v>
      </c>
      <c r="G2579" s="14" t="s">
        <v>105</v>
      </c>
      <c r="H2579" s="14" t="s">
        <v>106</v>
      </c>
      <c r="I2579" s="15">
        <v>0.92708333333333337</v>
      </c>
      <c r="J2579" s="14" t="s">
        <v>107</v>
      </c>
      <c r="K2579" s="14" t="s">
        <v>106</v>
      </c>
      <c r="L2579" s="15">
        <v>0.95833333333333337</v>
      </c>
      <c r="M2579" s="14" t="s">
        <v>38</v>
      </c>
      <c r="N2579" s="7">
        <v>186</v>
      </c>
      <c r="O2579" s="14" t="s">
        <v>39</v>
      </c>
      <c r="P2579" s="14" t="s">
        <v>79</v>
      </c>
      <c r="Q2579" s="14" t="s">
        <v>39</v>
      </c>
      <c r="R2579">
        <f>tblDailySchedule[[#This Row],[Capacity Approx]]*'[1]Load Factor Sheet June Acft  '!$B$5</f>
        <v>150.61772727272728</v>
      </c>
      <c r="S2579">
        <f>tblDailySchedule[[#This Row],[Capacity Approx]]*'[1]Load Factor Sheet June Acft  '!$D$5</f>
        <v>163.08818181818182</v>
      </c>
      <c r="T2579" s="22">
        <f>tblDailySchedule[[#This Row],[STD]]</f>
        <v>0.95833333333333337</v>
      </c>
    </row>
    <row r="2580" spans="1:20" hidden="1" x14ac:dyDescent="0.35">
      <c r="A2580" s="11">
        <v>46203</v>
      </c>
      <c r="B2580" s="3">
        <v>2</v>
      </c>
      <c r="C2580" t="s">
        <v>108</v>
      </c>
      <c r="D2580" t="s">
        <v>18</v>
      </c>
      <c r="E2580" s="3">
        <v>1</v>
      </c>
      <c r="F2580" t="s">
        <v>101</v>
      </c>
      <c r="G2580" t="s">
        <v>102</v>
      </c>
      <c r="H2580" t="s">
        <v>61</v>
      </c>
      <c r="I2580" s="12">
        <v>0.3125</v>
      </c>
      <c r="J2580" t="s">
        <v>103</v>
      </c>
      <c r="K2580" t="s">
        <v>61</v>
      </c>
      <c r="L2580" s="12">
        <v>0.33333333333333331</v>
      </c>
      <c r="M2580" t="s">
        <v>33</v>
      </c>
      <c r="N2580" s="3">
        <v>189</v>
      </c>
      <c r="O2580" t="s">
        <v>24</v>
      </c>
      <c r="P2580" t="s">
        <v>25</v>
      </c>
      <c r="R2580">
        <f>tblDailySchedule[[#This Row],[Capacity Approx]]*'[1]Load Factor Sheet June Acft  '!$B$5</f>
        <v>153.04704545454547</v>
      </c>
      <c r="S2580">
        <f>tblDailySchedule[[#This Row],[Capacity Approx]]*'[1]Load Factor Sheet June Acft  '!$D$5</f>
        <v>165.71863636363636</v>
      </c>
      <c r="T2580" s="22">
        <f>tblDailySchedule[[#This Row],[STD]]</f>
        <v>0.33333333333333331</v>
      </c>
    </row>
    <row r="2581" spans="1:20" hidden="1" x14ac:dyDescent="0.35">
      <c r="A2581" s="11">
        <v>46203</v>
      </c>
      <c r="B2581" s="3">
        <v>2</v>
      </c>
      <c r="C2581" t="s">
        <v>108</v>
      </c>
      <c r="D2581" t="s">
        <v>18</v>
      </c>
      <c r="E2581" s="3">
        <v>2</v>
      </c>
      <c r="F2581" t="s">
        <v>19</v>
      </c>
      <c r="G2581" t="s">
        <v>20</v>
      </c>
      <c r="H2581" t="s">
        <v>21</v>
      </c>
      <c r="I2581" s="12">
        <v>0.31944444444444442</v>
      </c>
      <c r="J2581" t="s">
        <v>22</v>
      </c>
      <c r="K2581" t="s">
        <v>21</v>
      </c>
      <c r="L2581" s="12">
        <v>0.34722222222222221</v>
      </c>
      <c r="M2581" t="s">
        <v>23</v>
      </c>
      <c r="N2581" s="3">
        <v>186</v>
      </c>
      <c r="O2581" t="s">
        <v>24</v>
      </c>
      <c r="P2581" t="s">
        <v>25</v>
      </c>
      <c r="R2581">
        <f>tblDailySchedule[[#This Row],[Capacity Approx]]*'[1]Load Factor Sheet June Acft  '!$B$5</f>
        <v>150.61772727272728</v>
      </c>
      <c r="S2581">
        <f>tblDailySchedule[[#This Row],[Capacity Approx]]*'[1]Load Factor Sheet June Acft  '!$D$5</f>
        <v>163.08818181818182</v>
      </c>
      <c r="T2581" s="22">
        <f>tblDailySchedule[[#This Row],[STD]]</f>
        <v>0.34722222222222221</v>
      </c>
    </row>
    <row r="2582" spans="1:20" hidden="1" x14ac:dyDescent="0.35">
      <c r="A2582" s="11">
        <v>46203</v>
      </c>
      <c r="B2582" s="3">
        <v>2</v>
      </c>
      <c r="C2582" t="s">
        <v>108</v>
      </c>
      <c r="D2582" t="s">
        <v>18</v>
      </c>
      <c r="E2582" s="3">
        <v>3</v>
      </c>
      <c r="F2582" t="s">
        <v>19</v>
      </c>
      <c r="G2582" t="s">
        <v>26</v>
      </c>
      <c r="H2582" t="s">
        <v>27</v>
      </c>
      <c r="I2582" s="12">
        <v>0.3263888888888889</v>
      </c>
      <c r="J2582" t="s">
        <v>28</v>
      </c>
      <c r="K2582" t="s">
        <v>27</v>
      </c>
      <c r="L2582" s="12">
        <v>0.35416666666666669</v>
      </c>
      <c r="M2582" t="s">
        <v>29</v>
      </c>
      <c r="N2582" s="3">
        <v>186</v>
      </c>
      <c r="O2582" t="s">
        <v>24</v>
      </c>
      <c r="P2582" t="s">
        <v>25</v>
      </c>
      <c r="R2582">
        <f>tblDailySchedule[[#This Row],[Capacity Approx]]*'[1]Load Factor Sheet June Acft  '!$B$5</f>
        <v>150.61772727272728</v>
      </c>
      <c r="S2582">
        <f>tblDailySchedule[[#This Row],[Capacity Approx]]*'[1]Load Factor Sheet June Acft  '!$D$5</f>
        <v>163.08818181818182</v>
      </c>
      <c r="T2582" s="22">
        <f>tblDailySchedule[[#This Row],[STD]]</f>
        <v>0.35416666666666669</v>
      </c>
    </row>
    <row r="2583" spans="1:20" hidden="1" x14ac:dyDescent="0.35">
      <c r="A2583" s="11">
        <v>46203</v>
      </c>
      <c r="B2583" s="3">
        <v>2</v>
      </c>
      <c r="C2583" t="s">
        <v>108</v>
      </c>
      <c r="D2583" t="s">
        <v>18</v>
      </c>
      <c r="E2583" s="3">
        <v>4</v>
      </c>
      <c r="F2583" t="s">
        <v>19</v>
      </c>
      <c r="G2583" t="s">
        <v>30</v>
      </c>
      <c r="H2583" t="s">
        <v>31</v>
      </c>
      <c r="I2583" s="12">
        <v>0.34722222222222221</v>
      </c>
      <c r="J2583" t="s">
        <v>32</v>
      </c>
      <c r="K2583" t="s">
        <v>31</v>
      </c>
      <c r="L2583" s="12">
        <v>0.36805555555555558</v>
      </c>
      <c r="M2583" t="s">
        <v>33</v>
      </c>
      <c r="N2583" s="3">
        <v>189</v>
      </c>
      <c r="O2583" t="s">
        <v>24</v>
      </c>
      <c r="P2583" t="s">
        <v>25</v>
      </c>
      <c r="R2583">
        <f>tblDailySchedule[[#This Row],[Capacity Approx]]*'[1]Load Factor Sheet June Acft  '!$B$5</f>
        <v>153.04704545454547</v>
      </c>
      <c r="S2583">
        <f>tblDailySchedule[[#This Row],[Capacity Approx]]*'[1]Load Factor Sheet June Acft  '!$D$5</f>
        <v>165.71863636363636</v>
      </c>
      <c r="T2583" s="22">
        <f>tblDailySchedule[[#This Row],[STD]]</f>
        <v>0.36805555555555558</v>
      </c>
    </row>
    <row r="2584" spans="1:20" hidden="1" x14ac:dyDescent="0.35">
      <c r="A2584" s="11">
        <v>46203</v>
      </c>
      <c r="B2584" s="3">
        <v>2</v>
      </c>
      <c r="C2584" t="s">
        <v>108</v>
      </c>
      <c r="D2584" t="s">
        <v>18</v>
      </c>
      <c r="E2584" s="3">
        <v>5</v>
      </c>
      <c r="F2584" t="s">
        <v>19</v>
      </c>
      <c r="G2584" t="s">
        <v>40</v>
      </c>
      <c r="H2584" t="s">
        <v>31</v>
      </c>
      <c r="I2584" s="12">
        <v>0.35069444444444442</v>
      </c>
      <c r="J2584" t="s">
        <v>41</v>
      </c>
      <c r="K2584" t="s">
        <v>31</v>
      </c>
      <c r="L2584" s="12">
        <v>0.37152777777777779</v>
      </c>
      <c r="M2584" t="s">
        <v>23</v>
      </c>
      <c r="N2584" s="3">
        <v>186</v>
      </c>
      <c r="O2584" t="s">
        <v>24</v>
      </c>
      <c r="P2584" t="s">
        <v>25</v>
      </c>
      <c r="R2584">
        <f>tblDailySchedule[[#This Row],[Capacity Approx]]*'[1]Load Factor Sheet June Acft  '!$B$5</f>
        <v>150.61772727272728</v>
      </c>
      <c r="S2584">
        <f>tblDailySchedule[[#This Row],[Capacity Approx]]*'[1]Load Factor Sheet June Acft  '!$D$5</f>
        <v>163.08818181818182</v>
      </c>
      <c r="T2584" s="22">
        <f>tblDailySchedule[[#This Row],[STD]]</f>
        <v>0.37152777777777779</v>
      </c>
    </row>
    <row r="2585" spans="1:20" hidden="1" x14ac:dyDescent="0.35">
      <c r="A2585" s="11">
        <v>46203</v>
      </c>
      <c r="B2585" s="3">
        <v>2</v>
      </c>
      <c r="C2585" t="s">
        <v>108</v>
      </c>
      <c r="D2585" t="s">
        <v>18</v>
      </c>
      <c r="E2585" s="3">
        <v>7</v>
      </c>
      <c r="F2585" t="s">
        <v>19</v>
      </c>
      <c r="G2585" t="s">
        <v>42</v>
      </c>
      <c r="H2585" t="s">
        <v>43</v>
      </c>
      <c r="I2585" s="12">
        <v>0.3923611111111111</v>
      </c>
      <c r="J2585" t="s">
        <v>44</v>
      </c>
      <c r="K2585" t="s">
        <v>43</v>
      </c>
      <c r="L2585" s="12">
        <v>0.40277777777777779</v>
      </c>
      <c r="M2585" t="s">
        <v>45</v>
      </c>
      <c r="N2585" s="3">
        <v>9</v>
      </c>
      <c r="O2585" t="s">
        <v>24</v>
      </c>
      <c r="P2585" t="s">
        <v>25</v>
      </c>
      <c r="R2585">
        <f>tblDailySchedule[[#This Row],[Capacity Approx]]*'[1]Load Factor Sheet June Acft  '!$B$5</f>
        <v>7.2879545454545456</v>
      </c>
      <c r="S2585">
        <f>tblDailySchedule[[#This Row],[Capacity Approx]]*'[1]Load Factor Sheet June Acft  '!$D$5</f>
        <v>7.8913636363636366</v>
      </c>
      <c r="T2585" s="22">
        <f>tblDailySchedule[[#This Row],[STD]]</f>
        <v>0.40277777777777779</v>
      </c>
    </row>
    <row r="2586" spans="1:20" hidden="1" x14ac:dyDescent="0.35">
      <c r="A2586" s="11">
        <v>46203</v>
      </c>
      <c r="B2586" s="3">
        <v>2</v>
      </c>
      <c r="C2586" t="s">
        <v>108</v>
      </c>
      <c r="D2586" t="s">
        <v>18</v>
      </c>
      <c r="E2586" s="3">
        <v>8</v>
      </c>
      <c r="F2586" t="s">
        <v>19</v>
      </c>
      <c r="G2586" t="s">
        <v>46</v>
      </c>
      <c r="H2586" t="s">
        <v>31</v>
      </c>
      <c r="I2586" s="12">
        <v>0.4201388888888889</v>
      </c>
      <c r="J2586" t="s">
        <v>47</v>
      </c>
      <c r="K2586" t="s">
        <v>31</v>
      </c>
      <c r="L2586" s="12">
        <v>0.44444444444444442</v>
      </c>
      <c r="M2586" t="s">
        <v>29</v>
      </c>
      <c r="N2586" s="3">
        <v>186</v>
      </c>
      <c r="O2586" t="s">
        <v>24</v>
      </c>
      <c r="P2586" t="s">
        <v>25</v>
      </c>
      <c r="R2586">
        <f>tblDailySchedule[[#This Row],[Capacity Approx]]*'[1]Load Factor Sheet June Acft  '!$B$5</f>
        <v>150.61772727272728</v>
      </c>
      <c r="S2586">
        <f>tblDailySchedule[[#This Row],[Capacity Approx]]*'[1]Load Factor Sheet June Acft  '!$D$5</f>
        <v>163.08818181818182</v>
      </c>
      <c r="T2586" s="22">
        <f>tblDailySchedule[[#This Row],[STD]]</f>
        <v>0.44444444444444442</v>
      </c>
    </row>
    <row r="2587" spans="1:20" hidden="1" x14ac:dyDescent="0.35">
      <c r="A2587" s="11">
        <v>46203</v>
      </c>
      <c r="B2587" s="3">
        <v>2</v>
      </c>
      <c r="C2587" t="s">
        <v>108</v>
      </c>
      <c r="D2587" t="s">
        <v>18</v>
      </c>
      <c r="E2587" s="3">
        <v>9</v>
      </c>
      <c r="F2587" t="s">
        <v>19</v>
      </c>
      <c r="G2587" t="s">
        <v>48</v>
      </c>
      <c r="H2587" t="s">
        <v>49</v>
      </c>
      <c r="I2587" s="12">
        <v>0.4375</v>
      </c>
      <c r="J2587" t="s">
        <v>50</v>
      </c>
      <c r="K2587" t="s">
        <v>49</v>
      </c>
      <c r="L2587" s="12">
        <v>0.45833333333333331</v>
      </c>
      <c r="M2587" t="s">
        <v>51</v>
      </c>
      <c r="N2587" s="3">
        <v>78</v>
      </c>
      <c r="O2587" t="s">
        <v>24</v>
      </c>
      <c r="P2587" t="s">
        <v>25</v>
      </c>
      <c r="R2587">
        <f>tblDailySchedule[[#This Row],[Capacity Approx]]*'[1]Load Factor Sheet June Acft  '!$B$5</f>
        <v>63.162272727272729</v>
      </c>
      <c r="S2587">
        <f>tblDailySchedule[[#This Row],[Capacity Approx]]*'[1]Load Factor Sheet June Acft  '!$D$5</f>
        <v>68.391818181818181</v>
      </c>
      <c r="T2587" s="22">
        <f>tblDailySchedule[[#This Row],[STD]]</f>
        <v>0.45833333333333331</v>
      </c>
    </row>
    <row r="2588" spans="1:20" hidden="1" x14ac:dyDescent="0.35">
      <c r="A2588" s="11">
        <v>46203</v>
      </c>
      <c r="B2588" s="3">
        <v>2</v>
      </c>
      <c r="C2588" t="s">
        <v>108</v>
      </c>
      <c r="D2588" t="s">
        <v>18</v>
      </c>
      <c r="E2588" s="3">
        <v>10</v>
      </c>
      <c r="F2588" t="s">
        <v>19</v>
      </c>
      <c r="G2588" t="s">
        <v>52</v>
      </c>
      <c r="H2588" t="s">
        <v>27</v>
      </c>
      <c r="I2588" s="12">
        <v>0.4826388888888889</v>
      </c>
      <c r="J2588" t="s">
        <v>53</v>
      </c>
      <c r="K2588" t="s">
        <v>27</v>
      </c>
      <c r="L2588" s="12">
        <v>0.51041666666666663</v>
      </c>
      <c r="M2588" t="s">
        <v>23</v>
      </c>
      <c r="N2588" s="3">
        <v>186</v>
      </c>
      <c r="O2588" t="s">
        <v>24</v>
      </c>
      <c r="P2588" t="s">
        <v>25</v>
      </c>
      <c r="R2588">
        <f>tblDailySchedule[[#This Row],[Capacity Approx]]*'[1]Load Factor Sheet June Acft  '!$B$5</f>
        <v>150.61772727272728</v>
      </c>
      <c r="S2588">
        <f>tblDailySchedule[[#This Row],[Capacity Approx]]*'[1]Load Factor Sheet June Acft  '!$D$5</f>
        <v>163.08818181818182</v>
      </c>
      <c r="T2588" s="22">
        <f>tblDailySchedule[[#This Row],[STD]]</f>
        <v>0.51041666666666663</v>
      </c>
    </row>
    <row r="2589" spans="1:20" hidden="1" x14ac:dyDescent="0.35">
      <c r="A2589" s="11">
        <v>46203</v>
      </c>
      <c r="B2589" s="3">
        <v>2</v>
      </c>
      <c r="C2589" t="s">
        <v>108</v>
      </c>
      <c r="D2589" t="s">
        <v>18</v>
      </c>
      <c r="E2589" s="3">
        <v>11</v>
      </c>
      <c r="F2589" t="s">
        <v>19</v>
      </c>
      <c r="G2589" t="s">
        <v>54</v>
      </c>
      <c r="H2589" t="s">
        <v>31</v>
      </c>
      <c r="I2589" s="12">
        <v>0.51388888888888884</v>
      </c>
      <c r="J2589" t="s">
        <v>55</v>
      </c>
      <c r="K2589" t="s">
        <v>31</v>
      </c>
      <c r="L2589" s="12">
        <v>0.54166666666666663</v>
      </c>
      <c r="M2589" t="s">
        <v>23</v>
      </c>
      <c r="N2589" s="3">
        <v>186</v>
      </c>
      <c r="O2589" t="s">
        <v>24</v>
      </c>
      <c r="P2589" t="s">
        <v>56</v>
      </c>
      <c r="R2589">
        <f>tblDailySchedule[[#This Row],[Capacity Approx]]*'[1]Load Factor Sheet June Acft  '!$B$5</f>
        <v>150.61772727272728</v>
      </c>
      <c r="S2589">
        <f>tblDailySchedule[[#This Row],[Capacity Approx]]*'[1]Load Factor Sheet June Acft  '!$D$5</f>
        <v>163.08818181818182</v>
      </c>
      <c r="T2589" s="22">
        <f>tblDailySchedule[[#This Row],[STD]]</f>
        <v>0.54166666666666663</v>
      </c>
    </row>
    <row r="2590" spans="1:20" hidden="1" x14ac:dyDescent="0.35">
      <c r="A2590" s="11">
        <v>46203</v>
      </c>
      <c r="B2590" s="3">
        <v>2</v>
      </c>
      <c r="C2590" t="s">
        <v>108</v>
      </c>
      <c r="D2590" t="s">
        <v>18</v>
      </c>
      <c r="E2590" s="3">
        <v>12</v>
      </c>
      <c r="F2590" t="s">
        <v>109</v>
      </c>
      <c r="G2590" t="s">
        <v>110</v>
      </c>
      <c r="H2590" t="s">
        <v>111</v>
      </c>
      <c r="I2590" s="12">
        <v>0.55555555555555558</v>
      </c>
      <c r="J2590" t="s">
        <v>112</v>
      </c>
      <c r="K2590" t="s">
        <v>111</v>
      </c>
      <c r="L2590" s="12">
        <v>0.56944444444444442</v>
      </c>
      <c r="M2590" t="s">
        <v>51</v>
      </c>
      <c r="N2590" s="3">
        <v>78</v>
      </c>
      <c r="O2590" t="s">
        <v>24</v>
      </c>
      <c r="P2590" t="s">
        <v>56</v>
      </c>
      <c r="R2590">
        <f>tblDailySchedule[[#This Row],[Capacity Approx]]*'[1]Load Factor Sheet June Acft  '!$B$5</f>
        <v>63.162272727272729</v>
      </c>
      <c r="S2590">
        <f>tblDailySchedule[[#This Row],[Capacity Approx]]*'[1]Load Factor Sheet June Acft  '!$D$5</f>
        <v>68.391818181818181</v>
      </c>
      <c r="T2590" s="22">
        <f>tblDailySchedule[[#This Row],[STD]]</f>
        <v>0.56944444444444442</v>
      </c>
    </row>
    <row r="2591" spans="1:20" hidden="1" x14ac:dyDescent="0.35">
      <c r="A2591" s="11">
        <v>46203</v>
      </c>
      <c r="B2591" s="3">
        <v>2</v>
      </c>
      <c r="C2591" t="s">
        <v>108</v>
      </c>
      <c r="D2591" t="s">
        <v>18</v>
      </c>
      <c r="E2591" s="3">
        <v>13</v>
      </c>
      <c r="F2591" t="s">
        <v>19</v>
      </c>
      <c r="G2591" t="s">
        <v>57</v>
      </c>
      <c r="H2591" t="s">
        <v>58</v>
      </c>
      <c r="I2591" s="12">
        <v>0.55902777777777779</v>
      </c>
      <c r="J2591" t="s">
        <v>59</v>
      </c>
      <c r="K2591" t="s">
        <v>58</v>
      </c>
      <c r="L2591" s="12">
        <v>0.57638888888888884</v>
      </c>
      <c r="M2591" t="s">
        <v>51</v>
      </c>
      <c r="N2591" s="3">
        <v>78</v>
      </c>
      <c r="O2591" t="s">
        <v>24</v>
      </c>
      <c r="P2591" t="s">
        <v>56</v>
      </c>
      <c r="R2591">
        <f>tblDailySchedule[[#This Row],[Capacity Approx]]*'[1]Load Factor Sheet June Acft  '!$B$5</f>
        <v>63.162272727272729</v>
      </c>
      <c r="S2591">
        <f>tblDailySchedule[[#This Row],[Capacity Approx]]*'[1]Load Factor Sheet June Acft  '!$D$5</f>
        <v>68.391818181818181</v>
      </c>
      <c r="T2591" s="22">
        <f>tblDailySchedule[[#This Row],[STD]]</f>
        <v>0.57638888888888884</v>
      </c>
    </row>
    <row r="2592" spans="1:20" hidden="1" x14ac:dyDescent="0.35">
      <c r="A2592" s="11">
        <v>46203</v>
      </c>
      <c r="B2592" s="3">
        <v>2</v>
      </c>
      <c r="C2592" t="s">
        <v>108</v>
      </c>
      <c r="D2592" t="s">
        <v>18</v>
      </c>
      <c r="E2592" s="3">
        <v>14</v>
      </c>
      <c r="F2592" t="s">
        <v>19</v>
      </c>
      <c r="G2592" t="s">
        <v>60</v>
      </c>
      <c r="H2592" t="s">
        <v>61</v>
      </c>
      <c r="I2592" s="12">
        <v>0.59027777777777779</v>
      </c>
      <c r="J2592" t="s">
        <v>62</v>
      </c>
      <c r="K2592" t="s">
        <v>61</v>
      </c>
      <c r="L2592" s="12">
        <v>0.62152777777777779</v>
      </c>
      <c r="M2592" t="s">
        <v>63</v>
      </c>
      <c r="N2592" s="3">
        <v>232</v>
      </c>
      <c r="O2592" t="s">
        <v>24</v>
      </c>
      <c r="P2592" t="s">
        <v>56</v>
      </c>
      <c r="R2592">
        <f>tblDailySchedule[[#This Row],[Capacity Approx]]*'[1]Load Factor Sheet June Acft  '!$B$5</f>
        <v>187.86727272727273</v>
      </c>
      <c r="S2592">
        <f>tblDailySchedule[[#This Row],[Capacity Approx]]*'[1]Load Factor Sheet June Acft  '!$D$5</f>
        <v>203.4218181818182</v>
      </c>
      <c r="T2592" s="22">
        <f>tblDailySchedule[[#This Row],[STD]]</f>
        <v>0.62152777777777779</v>
      </c>
    </row>
    <row r="2593" spans="1:20" hidden="1" x14ac:dyDescent="0.35">
      <c r="A2593" s="11">
        <v>46203</v>
      </c>
      <c r="B2593" s="3">
        <v>2</v>
      </c>
      <c r="C2593" t="s">
        <v>108</v>
      </c>
      <c r="D2593" t="s">
        <v>18</v>
      </c>
      <c r="E2593" s="3">
        <v>15</v>
      </c>
      <c r="F2593" t="s">
        <v>19</v>
      </c>
      <c r="G2593" t="s">
        <v>64</v>
      </c>
      <c r="H2593" t="s">
        <v>31</v>
      </c>
      <c r="I2593" s="12">
        <v>0.60069444444444442</v>
      </c>
      <c r="J2593" t="s">
        <v>65</v>
      </c>
      <c r="K2593" t="s">
        <v>66</v>
      </c>
      <c r="L2593" s="12">
        <v>0.62847222222222221</v>
      </c>
      <c r="M2593" t="s">
        <v>63</v>
      </c>
      <c r="N2593" s="3">
        <v>232</v>
      </c>
      <c r="O2593" t="s">
        <v>24</v>
      </c>
      <c r="P2593" t="s">
        <v>56</v>
      </c>
      <c r="R2593">
        <f>tblDailySchedule[[#This Row],[Capacity Approx]]*'[1]Load Factor Sheet June Acft  '!$B$5</f>
        <v>187.86727272727273</v>
      </c>
      <c r="S2593">
        <f>tblDailySchedule[[#This Row],[Capacity Approx]]*'[1]Load Factor Sheet June Acft  '!$D$5</f>
        <v>203.4218181818182</v>
      </c>
      <c r="T2593" s="22">
        <f>tblDailySchedule[[#This Row],[STD]]</f>
        <v>0.62847222222222221</v>
      </c>
    </row>
    <row r="2594" spans="1:20" hidden="1" x14ac:dyDescent="0.35">
      <c r="A2594" s="11">
        <v>46203</v>
      </c>
      <c r="B2594" s="3">
        <v>2</v>
      </c>
      <c r="C2594" t="s">
        <v>108</v>
      </c>
      <c r="D2594" t="s">
        <v>18</v>
      </c>
      <c r="E2594" s="3">
        <v>16</v>
      </c>
      <c r="F2594" t="s">
        <v>19</v>
      </c>
      <c r="G2594" t="s">
        <v>67</v>
      </c>
      <c r="H2594" t="s">
        <v>31</v>
      </c>
      <c r="I2594" s="12">
        <v>0.65625</v>
      </c>
      <c r="J2594" t="s">
        <v>68</v>
      </c>
      <c r="K2594" t="s">
        <v>31</v>
      </c>
      <c r="L2594" s="12">
        <v>0.68402777777777779</v>
      </c>
      <c r="M2594" t="s">
        <v>63</v>
      </c>
      <c r="N2594" s="3">
        <v>232</v>
      </c>
      <c r="O2594" t="s">
        <v>24</v>
      </c>
      <c r="P2594" t="s">
        <v>56</v>
      </c>
      <c r="R2594">
        <f>tblDailySchedule[[#This Row],[Capacity Approx]]*'[1]Load Factor Sheet June Acft  '!$B$5</f>
        <v>187.86727272727273</v>
      </c>
      <c r="S2594">
        <f>tblDailySchedule[[#This Row],[Capacity Approx]]*'[1]Load Factor Sheet June Acft  '!$D$5</f>
        <v>203.4218181818182</v>
      </c>
      <c r="T2594" s="22">
        <f>tblDailySchedule[[#This Row],[STD]]</f>
        <v>0.68402777777777779</v>
      </c>
    </row>
    <row r="2595" spans="1:20" hidden="1" x14ac:dyDescent="0.35">
      <c r="A2595" s="11">
        <v>46203</v>
      </c>
      <c r="B2595" s="3">
        <v>2</v>
      </c>
      <c r="C2595" t="s">
        <v>108</v>
      </c>
      <c r="D2595" t="s">
        <v>18</v>
      </c>
      <c r="E2595" s="3">
        <v>17</v>
      </c>
      <c r="F2595" t="s">
        <v>19</v>
      </c>
      <c r="G2595" t="s">
        <v>69</v>
      </c>
      <c r="H2595" t="s">
        <v>31</v>
      </c>
      <c r="I2595" s="12">
        <v>0.66319444444444442</v>
      </c>
      <c r="J2595" t="s">
        <v>70</v>
      </c>
      <c r="K2595" t="s">
        <v>31</v>
      </c>
      <c r="L2595" s="12">
        <v>0.69097222222222221</v>
      </c>
      <c r="M2595" t="s">
        <v>33</v>
      </c>
      <c r="N2595" s="3">
        <v>189</v>
      </c>
      <c r="O2595" t="s">
        <v>24</v>
      </c>
      <c r="P2595" t="s">
        <v>56</v>
      </c>
      <c r="R2595">
        <f>tblDailySchedule[[#This Row],[Capacity Approx]]*'[1]Load Factor Sheet June Acft  '!$B$5</f>
        <v>153.04704545454547</v>
      </c>
      <c r="S2595">
        <f>tblDailySchedule[[#This Row],[Capacity Approx]]*'[1]Load Factor Sheet June Acft  '!$D$5</f>
        <v>165.71863636363636</v>
      </c>
      <c r="T2595" s="22">
        <f>tblDailySchedule[[#This Row],[STD]]</f>
        <v>0.69097222222222221</v>
      </c>
    </row>
    <row r="2596" spans="1:20" hidden="1" x14ac:dyDescent="0.35">
      <c r="A2596" s="11">
        <v>46203</v>
      </c>
      <c r="B2596" s="3">
        <v>2</v>
      </c>
      <c r="C2596" t="s">
        <v>108</v>
      </c>
      <c r="D2596" t="s">
        <v>18</v>
      </c>
      <c r="E2596" s="3">
        <v>18</v>
      </c>
      <c r="F2596" t="s">
        <v>19</v>
      </c>
      <c r="G2596" t="s">
        <v>71</v>
      </c>
      <c r="H2596" t="s">
        <v>21</v>
      </c>
      <c r="I2596" s="12">
        <v>0.67013888888888884</v>
      </c>
      <c r="J2596" t="s">
        <v>72</v>
      </c>
      <c r="K2596" t="s">
        <v>21</v>
      </c>
      <c r="L2596" s="12">
        <v>0.69791666666666663</v>
      </c>
      <c r="M2596" t="s">
        <v>63</v>
      </c>
      <c r="N2596" s="3">
        <v>232</v>
      </c>
      <c r="O2596" t="s">
        <v>24</v>
      </c>
      <c r="P2596" t="s">
        <v>56</v>
      </c>
      <c r="R2596">
        <f>tblDailySchedule[[#This Row],[Capacity Approx]]*'[1]Load Factor Sheet June Acft  '!$B$5</f>
        <v>187.86727272727273</v>
      </c>
      <c r="S2596">
        <f>tblDailySchedule[[#This Row],[Capacity Approx]]*'[1]Load Factor Sheet June Acft  '!$D$5</f>
        <v>203.4218181818182</v>
      </c>
      <c r="T2596" s="22">
        <f>tblDailySchedule[[#This Row],[STD]]</f>
        <v>0.69791666666666663</v>
      </c>
    </row>
    <row r="2597" spans="1:20" hidden="1" x14ac:dyDescent="0.35">
      <c r="A2597" s="11">
        <v>46203</v>
      </c>
      <c r="B2597" s="3">
        <v>2</v>
      </c>
      <c r="C2597" t="s">
        <v>108</v>
      </c>
      <c r="D2597" t="s">
        <v>18</v>
      </c>
      <c r="E2597" s="3">
        <v>19</v>
      </c>
      <c r="F2597" t="s">
        <v>19</v>
      </c>
      <c r="G2597" t="s">
        <v>73</v>
      </c>
      <c r="H2597" t="s">
        <v>27</v>
      </c>
      <c r="I2597" s="12">
        <v>0.74652777777777779</v>
      </c>
      <c r="J2597" t="s">
        <v>74</v>
      </c>
      <c r="K2597" t="s">
        <v>27</v>
      </c>
      <c r="L2597" s="12">
        <v>0.77430555555555558</v>
      </c>
      <c r="M2597" t="s">
        <v>63</v>
      </c>
      <c r="N2597" s="3">
        <v>232</v>
      </c>
      <c r="O2597" t="s">
        <v>24</v>
      </c>
      <c r="P2597" t="s">
        <v>56</v>
      </c>
      <c r="R2597">
        <f>tblDailySchedule[[#This Row],[Capacity Approx]]*'[1]Load Factor Sheet June Acft  '!$B$5</f>
        <v>187.86727272727273</v>
      </c>
      <c r="S2597">
        <f>tblDailySchedule[[#This Row],[Capacity Approx]]*'[1]Load Factor Sheet June Acft  '!$D$5</f>
        <v>203.4218181818182</v>
      </c>
      <c r="T2597" s="22">
        <f>tblDailySchedule[[#This Row],[STD]]</f>
        <v>0.77430555555555558</v>
      </c>
    </row>
    <row r="2598" spans="1:20" hidden="1" x14ac:dyDescent="0.35">
      <c r="A2598" s="11">
        <v>46203</v>
      </c>
      <c r="B2598" s="3">
        <v>2</v>
      </c>
      <c r="C2598" t="s">
        <v>108</v>
      </c>
      <c r="D2598" t="s">
        <v>18</v>
      </c>
      <c r="E2598" s="3">
        <v>21</v>
      </c>
      <c r="F2598" t="s">
        <v>19</v>
      </c>
      <c r="G2598" t="s">
        <v>81</v>
      </c>
      <c r="H2598" t="s">
        <v>61</v>
      </c>
      <c r="I2598" s="12">
        <v>0.77083333333333337</v>
      </c>
      <c r="J2598" t="s">
        <v>82</v>
      </c>
      <c r="K2598" t="s">
        <v>49</v>
      </c>
      <c r="L2598" s="12">
        <v>0.79166666666666663</v>
      </c>
      <c r="M2598" t="s">
        <v>33</v>
      </c>
      <c r="N2598" s="3">
        <v>189</v>
      </c>
      <c r="O2598" t="s">
        <v>24</v>
      </c>
      <c r="P2598" t="s">
        <v>79</v>
      </c>
      <c r="R2598">
        <f>tblDailySchedule[[#This Row],[Capacity Approx]]*'[1]Load Factor Sheet June Acft  '!$B$5</f>
        <v>153.04704545454547</v>
      </c>
      <c r="S2598">
        <f>tblDailySchedule[[#This Row],[Capacity Approx]]*'[1]Load Factor Sheet June Acft  '!$D$5</f>
        <v>165.71863636363636</v>
      </c>
      <c r="T2598" s="22">
        <f>tblDailySchedule[[#This Row],[STD]]</f>
        <v>0.79166666666666663</v>
      </c>
    </row>
    <row r="2599" spans="1:20" hidden="1" x14ac:dyDescent="0.35">
      <c r="A2599" s="11">
        <v>46203</v>
      </c>
      <c r="B2599" s="3">
        <v>2</v>
      </c>
      <c r="C2599" t="s">
        <v>108</v>
      </c>
      <c r="D2599" t="s">
        <v>18</v>
      </c>
      <c r="E2599" s="3">
        <v>22</v>
      </c>
      <c r="F2599" t="s">
        <v>19</v>
      </c>
      <c r="G2599" t="s">
        <v>83</v>
      </c>
      <c r="H2599" t="s">
        <v>31</v>
      </c>
      <c r="I2599" s="12">
        <v>0.77777777777777779</v>
      </c>
      <c r="J2599" t="s">
        <v>84</v>
      </c>
      <c r="K2599" t="s">
        <v>31</v>
      </c>
      <c r="L2599" s="12">
        <v>0.80555555555555558</v>
      </c>
      <c r="M2599" t="s">
        <v>63</v>
      </c>
      <c r="N2599" s="3">
        <v>232</v>
      </c>
      <c r="O2599" t="s">
        <v>24</v>
      </c>
      <c r="P2599" t="s">
        <v>79</v>
      </c>
      <c r="R2599">
        <f>tblDailySchedule[[#This Row],[Capacity Approx]]*'[1]Load Factor Sheet June Acft  '!$B$5</f>
        <v>187.86727272727273</v>
      </c>
      <c r="S2599">
        <f>tblDailySchedule[[#This Row],[Capacity Approx]]*'[1]Load Factor Sheet June Acft  '!$D$5</f>
        <v>203.4218181818182</v>
      </c>
      <c r="T2599" s="22">
        <f>tblDailySchedule[[#This Row],[STD]]</f>
        <v>0.80555555555555558</v>
      </c>
    </row>
    <row r="2600" spans="1:20" hidden="1" x14ac:dyDescent="0.35">
      <c r="A2600" s="11">
        <v>46203</v>
      </c>
      <c r="B2600" s="3">
        <v>2</v>
      </c>
      <c r="C2600" t="s">
        <v>108</v>
      </c>
      <c r="D2600" t="s">
        <v>18</v>
      </c>
      <c r="E2600" s="3">
        <v>23</v>
      </c>
      <c r="F2600" t="s">
        <v>19</v>
      </c>
      <c r="G2600" t="s">
        <v>85</v>
      </c>
      <c r="H2600" t="s">
        <v>86</v>
      </c>
      <c r="I2600" s="12">
        <v>0.79861111111111116</v>
      </c>
      <c r="J2600" t="s">
        <v>87</v>
      </c>
      <c r="K2600" t="s">
        <v>86</v>
      </c>
      <c r="L2600" s="12">
        <v>0.82638888888888884</v>
      </c>
      <c r="M2600" t="s">
        <v>63</v>
      </c>
      <c r="N2600" s="3">
        <v>232</v>
      </c>
      <c r="O2600" t="s">
        <v>24</v>
      </c>
      <c r="P2600" t="s">
        <v>79</v>
      </c>
      <c r="R2600">
        <f>tblDailySchedule[[#This Row],[Capacity Approx]]*'[1]Load Factor Sheet June Acft  '!$B$5</f>
        <v>187.86727272727273</v>
      </c>
      <c r="S2600">
        <f>tblDailySchedule[[#This Row],[Capacity Approx]]*'[1]Load Factor Sheet June Acft  '!$D$5</f>
        <v>203.4218181818182</v>
      </c>
      <c r="T2600" s="22">
        <f>tblDailySchedule[[#This Row],[STD]]</f>
        <v>0.82638888888888884</v>
      </c>
    </row>
    <row r="2601" spans="1:20" hidden="1" x14ac:dyDescent="0.35">
      <c r="A2601" s="11">
        <v>46203</v>
      </c>
      <c r="B2601" s="3">
        <v>2</v>
      </c>
      <c r="C2601" t="s">
        <v>108</v>
      </c>
      <c r="D2601" t="s">
        <v>18</v>
      </c>
      <c r="E2601" s="3">
        <v>24</v>
      </c>
      <c r="F2601" t="s">
        <v>19</v>
      </c>
      <c r="G2601" t="s">
        <v>88</v>
      </c>
      <c r="H2601" t="s">
        <v>89</v>
      </c>
      <c r="I2601" s="12">
        <v>0.83333333333333337</v>
      </c>
      <c r="J2601" t="s">
        <v>90</v>
      </c>
      <c r="K2601" t="s">
        <v>31</v>
      </c>
      <c r="L2601" s="12">
        <v>0.86111111111111116</v>
      </c>
      <c r="M2601" t="s">
        <v>63</v>
      </c>
      <c r="N2601" s="3">
        <v>232</v>
      </c>
      <c r="O2601" t="s">
        <v>24</v>
      </c>
      <c r="P2601" t="s">
        <v>79</v>
      </c>
      <c r="R2601">
        <f>tblDailySchedule[[#This Row],[Capacity Approx]]*'[1]Load Factor Sheet June Acft  '!$B$5</f>
        <v>187.86727272727273</v>
      </c>
      <c r="S2601">
        <f>tblDailySchedule[[#This Row],[Capacity Approx]]*'[1]Load Factor Sheet June Acft  '!$D$5</f>
        <v>203.4218181818182</v>
      </c>
      <c r="T2601" s="22">
        <f>tblDailySchedule[[#This Row],[STD]]</f>
        <v>0.86111111111111116</v>
      </c>
    </row>
    <row r="2602" spans="1:20" hidden="1" x14ac:dyDescent="0.35">
      <c r="A2602" s="11">
        <v>46203</v>
      </c>
      <c r="B2602" s="3">
        <v>2</v>
      </c>
      <c r="C2602" t="s">
        <v>108</v>
      </c>
      <c r="D2602" t="s">
        <v>18</v>
      </c>
      <c r="E2602" s="3">
        <v>25</v>
      </c>
      <c r="F2602" t="s">
        <v>19</v>
      </c>
      <c r="G2602" t="s">
        <v>91</v>
      </c>
      <c r="H2602" t="s">
        <v>61</v>
      </c>
      <c r="I2602" s="12">
        <v>0.85416666666666663</v>
      </c>
      <c r="J2602" t="s">
        <v>92</v>
      </c>
      <c r="K2602" t="s">
        <v>61</v>
      </c>
      <c r="L2602" s="12">
        <v>0.88194444444444442</v>
      </c>
      <c r="M2602" t="s">
        <v>63</v>
      </c>
      <c r="N2602" s="3">
        <v>232</v>
      </c>
      <c r="O2602" t="s">
        <v>24</v>
      </c>
      <c r="P2602" t="s">
        <v>79</v>
      </c>
      <c r="R2602">
        <f>tblDailySchedule[[#This Row],[Capacity Approx]]*'[1]Load Factor Sheet June Acft  '!$B$5</f>
        <v>187.86727272727273</v>
      </c>
      <c r="S2602">
        <f>tblDailySchedule[[#This Row],[Capacity Approx]]*'[1]Load Factor Sheet June Acft  '!$D$5</f>
        <v>203.4218181818182</v>
      </c>
      <c r="T2602" s="22">
        <f>tblDailySchedule[[#This Row],[STD]]</f>
        <v>0.88194444444444442</v>
      </c>
    </row>
    <row r="2603" spans="1:20" hidden="1" x14ac:dyDescent="0.35">
      <c r="A2603" s="11">
        <v>46203</v>
      </c>
      <c r="B2603" s="3">
        <v>2</v>
      </c>
      <c r="C2603" t="s">
        <v>108</v>
      </c>
      <c r="D2603" t="s">
        <v>18</v>
      </c>
      <c r="E2603" s="3">
        <v>26</v>
      </c>
      <c r="F2603" t="s">
        <v>19</v>
      </c>
      <c r="G2603" t="s">
        <v>93</v>
      </c>
      <c r="H2603" t="s">
        <v>31</v>
      </c>
      <c r="I2603" s="12">
        <v>0.86111111111111116</v>
      </c>
      <c r="J2603" t="s">
        <v>94</v>
      </c>
      <c r="K2603" t="s">
        <v>31</v>
      </c>
      <c r="L2603" s="12">
        <v>0.88888888888888884</v>
      </c>
      <c r="M2603" t="s">
        <v>23</v>
      </c>
      <c r="N2603" s="3">
        <v>186</v>
      </c>
      <c r="O2603" t="s">
        <v>24</v>
      </c>
      <c r="P2603" t="s">
        <v>79</v>
      </c>
      <c r="R2603">
        <f>tblDailySchedule[[#This Row],[Capacity Approx]]*'[1]Load Factor Sheet June Acft  '!$B$5</f>
        <v>150.61772727272728</v>
      </c>
      <c r="S2603">
        <f>tblDailySchedule[[#This Row],[Capacity Approx]]*'[1]Load Factor Sheet June Acft  '!$D$5</f>
        <v>163.08818181818182</v>
      </c>
      <c r="T2603" s="22">
        <f>tblDailySchedule[[#This Row],[STD]]</f>
        <v>0.88888888888888884</v>
      </c>
    </row>
    <row r="2604" spans="1:20" hidden="1" x14ac:dyDescent="0.35">
      <c r="A2604" s="11">
        <v>46203</v>
      </c>
      <c r="B2604" s="3">
        <v>2</v>
      </c>
      <c r="C2604" t="s">
        <v>108</v>
      </c>
      <c r="D2604" t="s">
        <v>18</v>
      </c>
      <c r="E2604" s="3">
        <v>27</v>
      </c>
      <c r="F2604" t="s">
        <v>19</v>
      </c>
      <c r="G2604" t="s">
        <v>95</v>
      </c>
      <c r="H2604" t="s">
        <v>21</v>
      </c>
      <c r="I2604" s="12">
        <v>0.86805555555555558</v>
      </c>
      <c r="J2604" t="s">
        <v>96</v>
      </c>
      <c r="K2604" t="s">
        <v>21</v>
      </c>
      <c r="L2604" s="12">
        <v>0.89583333333333337</v>
      </c>
      <c r="M2604" t="s">
        <v>29</v>
      </c>
      <c r="N2604" s="3">
        <v>186</v>
      </c>
      <c r="O2604" t="s">
        <v>24</v>
      </c>
      <c r="P2604" t="s">
        <v>79</v>
      </c>
      <c r="R2604">
        <f>tblDailySchedule[[#This Row],[Capacity Approx]]*'[1]Load Factor Sheet June Acft  '!$B$5</f>
        <v>150.61772727272728</v>
      </c>
      <c r="S2604">
        <f>tblDailySchedule[[#This Row],[Capacity Approx]]*'[1]Load Factor Sheet June Acft  '!$D$5</f>
        <v>163.08818181818182</v>
      </c>
      <c r="T2604" s="22">
        <f>tblDailySchedule[[#This Row],[STD]]</f>
        <v>0.89583333333333337</v>
      </c>
    </row>
    <row r="2605" spans="1:20" hidden="1" x14ac:dyDescent="0.35">
      <c r="A2605" s="11">
        <v>46203</v>
      </c>
      <c r="B2605" s="3">
        <v>2</v>
      </c>
      <c r="C2605" t="s">
        <v>108</v>
      </c>
      <c r="D2605" t="s">
        <v>18</v>
      </c>
      <c r="E2605" s="3">
        <v>28</v>
      </c>
      <c r="F2605" t="s">
        <v>19</v>
      </c>
      <c r="G2605" t="s">
        <v>97</v>
      </c>
      <c r="H2605" t="s">
        <v>49</v>
      </c>
      <c r="I2605" s="12">
        <v>0.90277777777777779</v>
      </c>
      <c r="J2605" t="s">
        <v>97</v>
      </c>
      <c r="K2605" t="s">
        <v>61</v>
      </c>
      <c r="L2605" s="12">
        <v>0.92361111111111116</v>
      </c>
      <c r="M2605" t="s">
        <v>33</v>
      </c>
      <c r="N2605" s="3">
        <v>189</v>
      </c>
      <c r="O2605" t="s">
        <v>24</v>
      </c>
      <c r="P2605" t="s">
        <v>79</v>
      </c>
      <c r="R2605">
        <f>tblDailySchedule[[#This Row],[Capacity Approx]]*'[1]Load Factor Sheet June Acft  '!$B$5</f>
        <v>153.04704545454547</v>
      </c>
      <c r="S2605">
        <f>tblDailySchedule[[#This Row],[Capacity Approx]]*'[1]Load Factor Sheet June Acft  '!$D$5</f>
        <v>165.71863636363636</v>
      </c>
      <c r="T2605" s="22">
        <f>tblDailySchedule[[#This Row],[STD]]</f>
        <v>0.92361111111111116</v>
      </c>
    </row>
    <row r="2606" spans="1:20" hidden="1" x14ac:dyDescent="0.35">
      <c r="A2606" s="11">
        <v>46203</v>
      </c>
      <c r="B2606" s="3">
        <v>2</v>
      </c>
      <c r="C2606" t="s">
        <v>108</v>
      </c>
      <c r="D2606" t="s">
        <v>18</v>
      </c>
      <c r="E2606" s="3">
        <v>29</v>
      </c>
      <c r="F2606" t="s">
        <v>19</v>
      </c>
      <c r="G2606" t="s">
        <v>98</v>
      </c>
      <c r="H2606" t="s">
        <v>21</v>
      </c>
      <c r="I2606" s="12">
        <v>0.92013888888888884</v>
      </c>
      <c r="J2606" t="s">
        <v>99</v>
      </c>
      <c r="K2606" t="s">
        <v>21</v>
      </c>
      <c r="L2606" s="12">
        <v>0.94791666666666663</v>
      </c>
      <c r="M2606" t="s">
        <v>63</v>
      </c>
      <c r="N2606" s="3">
        <v>232</v>
      </c>
      <c r="O2606" t="s">
        <v>24</v>
      </c>
      <c r="P2606" t="s">
        <v>79</v>
      </c>
      <c r="R2606">
        <f>tblDailySchedule[[#This Row],[Capacity Approx]]*'[1]Load Factor Sheet June Acft  '!$B$5</f>
        <v>187.86727272727273</v>
      </c>
      <c r="S2606">
        <f>tblDailySchedule[[#This Row],[Capacity Approx]]*'[1]Load Factor Sheet June Acft  '!$D$5</f>
        <v>203.4218181818182</v>
      </c>
      <c r="T2606" s="22">
        <f>tblDailySchedule[[#This Row],[STD]]</f>
        <v>0.94791666666666663</v>
      </c>
    </row>
    <row r="2607" spans="1:20" hidden="1" x14ac:dyDescent="0.35">
      <c r="A2607" s="11">
        <v>46204</v>
      </c>
      <c r="B2607" s="3">
        <v>3</v>
      </c>
      <c r="C2607" t="s">
        <v>113</v>
      </c>
      <c r="D2607" t="s">
        <v>18</v>
      </c>
      <c r="E2607" s="3">
        <v>2</v>
      </c>
      <c r="F2607" t="s">
        <v>19</v>
      </c>
      <c r="G2607" t="s">
        <v>20</v>
      </c>
      <c r="H2607" t="s">
        <v>21</v>
      </c>
      <c r="I2607" s="12">
        <v>0.31944444444444442</v>
      </c>
      <c r="J2607" t="s">
        <v>22</v>
      </c>
      <c r="K2607" t="s">
        <v>21</v>
      </c>
      <c r="L2607" s="12">
        <v>0.34722222222222221</v>
      </c>
      <c r="M2607" t="s">
        <v>23</v>
      </c>
      <c r="N2607" s="3">
        <v>186</v>
      </c>
      <c r="O2607" t="s">
        <v>24</v>
      </c>
      <c r="P2607" t="s">
        <v>25</v>
      </c>
      <c r="R2607">
        <f>tblDailySchedule[[#This Row],[Capacity Approx]]*'[1]Load Factor Sheet June Acft  '!$B$5</f>
        <v>150.61772727272728</v>
      </c>
      <c r="S2607">
        <f>tblDailySchedule[[#This Row],[Capacity Approx]]*'[1]Load Factor Sheet June Acft  '!$D$5</f>
        <v>163.08818181818182</v>
      </c>
      <c r="T2607" s="22">
        <f>tblDailySchedule[[#This Row],[STD]]</f>
        <v>0.34722222222222221</v>
      </c>
    </row>
    <row r="2608" spans="1:20" hidden="1" x14ac:dyDescent="0.35">
      <c r="A2608" s="11">
        <v>46204</v>
      </c>
      <c r="B2608" s="3">
        <v>3</v>
      </c>
      <c r="C2608" t="s">
        <v>113</v>
      </c>
      <c r="D2608" t="s">
        <v>18</v>
      </c>
      <c r="E2608" s="3">
        <v>3</v>
      </c>
      <c r="F2608" t="s">
        <v>19</v>
      </c>
      <c r="G2608" t="s">
        <v>26</v>
      </c>
      <c r="H2608" t="s">
        <v>27</v>
      </c>
      <c r="I2608" s="12">
        <v>0.3263888888888889</v>
      </c>
      <c r="J2608" t="s">
        <v>28</v>
      </c>
      <c r="K2608" t="s">
        <v>27</v>
      </c>
      <c r="L2608" s="12">
        <v>0.35416666666666669</v>
      </c>
      <c r="M2608" t="s">
        <v>29</v>
      </c>
      <c r="N2608" s="3">
        <v>186</v>
      </c>
      <c r="O2608" t="s">
        <v>24</v>
      </c>
      <c r="P2608" t="s">
        <v>25</v>
      </c>
      <c r="R2608">
        <f>tblDailySchedule[[#This Row],[Capacity Approx]]*'[1]Load Factor Sheet June Acft  '!$B$5</f>
        <v>150.61772727272728</v>
      </c>
      <c r="S2608">
        <f>tblDailySchedule[[#This Row],[Capacity Approx]]*'[1]Load Factor Sheet June Acft  '!$D$5</f>
        <v>163.08818181818182</v>
      </c>
      <c r="T2608" s="22">
        <f>tblDailySchedule[[#This Row],[STD]]</f>
        <v>0.35416666666666669</v>
      </c>
    </row>
    <row r="2609" spans="1:20" hidden="1" x14ac:dyDescent="0.35">
      <c r="A2609" s="11">
        <v>46204</v>
      </c>
      <c r="B2609" s="3">
        <v>3</v>
      </c>
      <c r="C2609" t="s">
        <v>113</v>
      </c>
      <c r="D2609" t="s">
        <v>18</v>
      </c>
      <c r="E2609" s="3">
        <v>4</v>
      </c>
      <c r="F2609" t="s">
        <v>19</v>
      </c>
      <c r="G2609" t="s">
        <v>30</v>
      </c>
      <c r="H2609" t="s">
        <v>31</v>
      </c>
      <c r="I2609" s="12">
        <v>0.34722222222222221</v>
      </c>
      <c r="J2609" t="s">
        <v>32</v>
      </c>
      <c r="K2609" t="s">
        <v>31</v>
      </c>
      <c r="L2609" s="12">
        <v>0.36805555555555558</v>
      </c>
      <c r="M2609" t="s">
        <v>33</v>
      </c>
      <c r="N2609" s="3">
        <v>189</v>
      </c>
      <c r="O2609" t="s">
        <v>24</v>
      </c>
      <c r="P2609" t="s">
        <v>25</v>
      </c>
      <c r="R2609">
        <f>tblDailySchedule[[#This Row],[Capacity Approx]]*'[1]Load Factor Sheet June Acft  '!$B$5</f>
        <v>153.04704545454547</v>
      </c>
      <c r="S2609">
        <f>tblDailySchedule[[#This Row],[Capacity Approx]]*'[1]Load Factor Sheet June Acft  '!$D$5</f>
        <v>165.71863636363636</v>
      </c>
      <c r="T2609" s="22">
        <f>tblDailySchedule[[#This Row],[STD]]</f>
        <v>0.36805555555555558</v>
      </c>
    </row>
    <row r="2610" spans="1:20" hidden="1" x14ac:dyDescent="0.35">
      <c r="A2610" s="13">
        <v>46204</v>
      </c>
      <c r="B2610" s="7">
        <v>3</v>
      </c>
      <c r="C2610" s="14" t="s">
        <v>113</v>
      </c>
      <c r="D2610" s="14" t="s">
        <v>18</v>
      </c>
      <c r="E2610" s="7">
        <v>6</v>
      </c>
      <c r="F2610" s="14" t="s">
        <v>34</v>
      </c>
      <c r="G2610" s="14" t="s">
        <v>35</v>
      </c>
      <c r="H2610" s="14" t="s">
        <v>36</v>
      </c>
      <c r="I2610" s="15">
        <v>0.34722222222222221</v>
      </c>
      <c r="J2610" s="14" t="s">
        <v>37</v>
      </c>
      <c r="K2610" s="14" t="s">
        <v>36</v>
      </c>
      <c r="L2610" s="15">
        <v>0.40972222222222221</v>
      </c>
      <c r="M2610" s="14" t="s">
        <v>38</v>
      </c>
      <c r="N2610" s="7">
        <v>186</v>
      </c>
      <c r="O2610" s="14" t="s">
        <v>39</v>
      </c>
      <c r="P2610" s="14" t="s">
        <v>25</v>
      </c>
      <c r="Q2610" s="14" t="s">
        <v>39</v>
      </c>
      <c r="R2610">
        <f>tblDailySchedule[[#This Row],[Capacity Approx]]*'[1]Load Factor Sheet June Acft  '!$B$5</f>
        <v>150.61772727272728</v>
      </c>
      <c r="S2610">
        <f>tblDailySchedule[[#This Row],[Capacity Approx]]*'[1]Load Factor Sheet June Acft  '!$D$5</f>
        <v>163.08818181818182</v>
      </c>
      <c r="T2610" s="22">
        <f>tblDailySchedule[[#This Row],[STD]]</f>
        <v>0.40972222222222221</v>
      </c>
    </row>
    <row r="2611" spans="1:20" hidden="1" x14ac:dyDescent="0.35">
      <c r="A2611" s="11">
        <v>46204</v>
      </c>
      <c r="B2611" s="3">
        <v>3</v>
      </c>
      <c r="C2611" t="s">
        <v>113</v>
      </c>
      <c r="D2611" t="s">
        <v>18</v>
      </c>
      <c r="E2611" s="3">
        <v>5</v>
      </c>
      <c r="F2611" t="s">
        <v>19</v>
      </c>
      <c r="G2611" t="s">
        <v>40</v>
      </c>
      <c r="H2611" t="s">
        <v>31</v>
      </c>
      <c r="I2611" s="12">
        <v>0.35069444444444442</v>
      </c>
      <c r="J2611" t="s">
        <v>41</v>
      </c>
      <c r="K2611" t="s">
        <v>31</v>
      </c>
      <c r="L2611" s="12">
        <v>0.37152777777777779</v>
      </c>
      <c r="M2611" t="s">
        <v>23</v>
      </c>
      <c r="N2611" s="3">
        <v>186</v>
      </c>
      <c r="O2611" t="s">
        <v>24</v>
      </c>
      <c r="P2611" t="s">
        <v>25</v>
      </c>
      <c r="R2611">
        <f>tblDailySchedule[[#This Row],[Capacity Approx]]*'[1]Load Factor Sheet June Acft  '!$B$5</f>
        <v>150.61772727272728</v>
      </c>
      <c r="S2611">
        <f>tblDailySchedule[[#This Row],[Capacity Approx]]*'[1]Load Factor Sheet June Acft  '!$D$5</f>
        <v>163.08818181818182</v>
      </c>
      <c r="T2611" s="22">
        <f>tblDailySchedule[[#This Row],[STD]]</f>
        <v>0.37152777777777779</v>
      </c>
    </row>
    <row r="2612" spans="1:20" hidden="1" x14ac:dyDescent="0.35">
      <c r="A2612" s="11">
        <v>46204</v>
      </c>
      <c r="B2612" s="3">
        <v>3</v>
      </c>
      <c r="C2612" t="s">
        <v>113</v>
      </c>
      <c r="D2612" t="s">
        <v>18</v>
      </c>
      <c r="E2612" s="3">
        <v>7</v>
      </c>
      <c r="F2612" t="s">
        <v>19</v>
      </c>
      <c r="G2612" t="s">
        <v>42</v>
      </c>
      <c r="H2612" t="s">
        <v>43</v>
      </c>
      <c r="I2612" s="12">
        <v>0.3923611111111111</v>
      </c>
      <c r="J2612" t="s">
        <v>44</v>
      </c>
      <c r="K2612" t="s">
        <v>43</v>
      </c>
      <c r="L2612" s="12">
        <v>0.40277777777777779</v>
      </c>
      <c r="M2612" t="s">
        <v>45</v>
      </c>
      <c r="N2612" s="3">
        <v>9</v>
      </c>
      <c r="O2612" t="s">
        <v>24</v>
      </c>
      <c r="P2612" t="s">
        <v>25</v>
      </c>
      <c r="R2612">
        <f>tblDailySchedule[[#This Row],[Capacity Approx]]*'[1]Load Factor Sheet June Acft  '!$B$5</f>
        <v>7.2879545454545456</v>
      </c>
      <c r="S2612">
        <f>tblDailySchedule[[#This Row],[Capacity Approx]]*'[1]Load Factor Sheet June Acft  '!$D$5</f>
        <v>7.8913636363636366</v>
      </c>
      <c r="T2612" s="22">
        <f>tblDailySchedule[[#This Row],[STD]]</f>
        <v>0.40277777777777779</v>
      </c>
    </row>
    <row r="2613" spans="1:20" hidden="1" x14ac:dyDescent="0.35">
      <c r="A2613" s="11">
        <v>46204</v>
      </c>
      <c r="B2613" s="3">
        <v>3</v>
      </c>
      <c r="C2613" t="s">
        <v>113</v>
      </c>
      <c r="D2613" t="s">
        <v>18</v>
      </c>
      <c r="E2613" s="3">
        <v>8</v>
      </c>
      <c r="F2613" t="s">
        <v>19</v>
      </c>
      <c r="G2613" t="s">
        <v>46</v>
      </c>
      <c r="H2613" t="s">
        <v>31</v>
      </c>
      <c r="I2613" s="12">
        <v>0.4201388888888889</v>
      </c>
      <c r="J2613" t="s">
        <v>47</v>
      </c>
      <c r="K2613" t="s">
        <v>31</v>
      </c>
      <c r="L2613" s="12">
        <v>0.44444444444444442</v>
      </c>
      <c r="M2613" t="s">
        <v>29</v>
      </c>
      <c r="N2613" s="3">
        <v>186</v>
      </c>
      <c r="O2613" t="s">
        <v>24</v>
      </c>
      <c r="P2613" t="s">
        <v>25</v>
      </c>
      <c r="R2613">
        <f>tblDailySchedule[[#This Row],[Capacity Approx]]*'[1]Load Factor Sheet June Acft  '!$B$5</f>
        <v>150.61772727272728</v>
      </c>
      <c r="S2613">
        <f>tblDailySchedule[[#This Row],[Capacity Approx]]*'[1]Load Factor Sheet June Acft  '!$D$5</f>
        <v>163.08818181818182</v>
      </c>
      <c r="T2613" s="22">
        <f>tblDailySchedule[[#This Row],[STD]]</f>
        <v>0.44444444444444442</v>
      </c>
    </row>
    <row r="2614" spans="1:20" hidden="1" x14ac:dyDescent="0.35">
      <c r="A2614" s="11">
        <v>46204</v>
      </c>
      <c r="B2614" s="3">
        <v>3</v>
      </c>
      <c r="C2614" t="s">
        <v>113</v>
      </c>
      <c r="D2614" t="s">
        <v>18</v>
      </c>
      <c r="E2614" s="3">
        <v>9</v>
      </c>
      <c r="F2614" t="s">
        <v>19</v>
      </c>
      <c r="G2614" t="s">
        <v>48</v>
      </c>
      <c r="H2614" t="s">
        <v>49</v>
      </c>
      <c r="I2614" s="12">
        <v>0.4375</v>
      </c>
      <c r="J2614" t="s">
        <v>50</v>
      </c>
      <c r="K2614" t="s">
        <v>49</v>
      </c>
      <c r="L2614" s="12">
        <v>0.45833333333333331</v>
      </c>
      <c r="M2614" t="s">
        <v>51</v>
      </c>
      <c r="N2614" s="3">
        <v>78</v>
      </c>
      <c r="O2614" t="s">
        <v>24</v>
      </c>
      <c r="P2614" t="s">
        <v>25</v>
      </c>
      <c r="R2614">
        <f>tblDailySchedule[[#This Row],[Capacity Approx]]*'[1]Load Factor Sheet June Acft  '!$B$5</f>
        <v>63.162272727272729</v>
      </c>
      <c r="S2614">
        <f>tblDailySchedule[[#This Row],[Capacity Approx]]*'[1]Load Factor Sheet June Acft  '!$D$5</f>
        <v>68.391818181818181</v>
      </c>
      <c r="T2614" s="22">
        <f>tblDailySchedule[[#This Row],[STD]]</f>
        <v>0.45833333333333331</v>
      </c>
    </row>
    <row r="2615" spans="1:20" hidden="1" x14ac:dyDescent="0.35">
      <c r="A2615" s="11">
        <v>46204</v>
      </c>
      <c r="B2615" s="3">
        <v>3</v>
      </c>
      <c r="C2615" t="s">
        <v>113</v>
      </c>
      <c r="D2615" t="s">
        <v>18</v>
      </c>
      <c r="E2615" s="3">
        <v>10</v>
      </c>
      <c r="F2615" t="s">
        <v>19</v>
      </c>
      <c r="G2615" t="s">
        <v>52</v>
      </c>
      <c r="H2615" t="s">
        <v>27</v>
      </c>
      <c r="I2615" s="12">
        <v>0.4826388888888889</v>
      </c>
      <c r="J2615" t="s">
        <v>53</v>
      </c>
      <c r="K2615" t="s">
        <v>27</v>
      </c>
      <c r="L2615" s="12">
        <v>0.51041666666666663</v>
      </c>
      <c r="M2615" t="s">
        <v>23</v>
      </c>
      <c r="N2615" s="3">
        <v>186</v>
      </c>
      <c r="O2615" t="s">
        <v>24</v>
      </c>
      <c r="P2615" t="s">
        <v>25</v>
      </c>
      <c r="R2615">
        <f>tblDailySchedule[[#This Row],[Capacity Approx]]*'[1]Load Factor Sheet June Acft  '!$B$5</f>
        <v>150.61772727272728</v>
      </c>
      <c r="S2615">
        <f>tblDailySchedule[[#This Row],[Capacity Approx]]*'[1]Load Factor Sheet June Acft  '!$D$5</f>
        <v>163.08818181818182</v>
      </c>
      <c r="T2615" s="22">
        <f>tblDailySchedule[[#This Row],[STD]]</f>
        <v>0.51041666666666663</v>
      </c>
    </row>
    <row r="2616" spans="1:20" hidden="1" x14ac:dyDescent="0.35">
      <c r="A2616" s="11">
        <v>46204</v>
      </c>
      <c r="B2616" s="3">
        <v>3</v>
      </c>
      <c r="C2616" t="s">
        <v>113</v>
      </c>
      <c r="D2616" t="s">
        <v>18</v>
      </c>
      <c r="E2616" s="3">
        <v>11</v>
      </c>
      <c r="F2616" t="s">
        <v>19</v>
      </c>
      <c r="G2616" t="s">
        <v>54</v>
      </c>
      <c r="H2616" t="s">
        <v>31</v>
      </c>
      <c r="I2616" s="12">
        <v>0.51388888888888884</v>
      </c>
      <c r="J2616" t="s">
        <v>55</v>
      </c>
      <c r="K2616" t="s">
        <v>31</v>
      </c>
      <c r="L2616" s="12">
        <v>0.54166666666666663</v>
      </c>
      <c r="M2616" t="s">
        <v>23</v>
      </c>
      <c r="N2616" s="3">
        <v>186</v>
      </c>
      <c r="O2616" t="s">
        <v>24</v>
      </c>
      <c r="P2616" t="s">
        <v>56</v>
      </c>
      <c r="R2616">
        <f>tblDailySchedule[[#This Row],[Capacity Approx]]*'[1]Load Factor Sheet June Acft  '!$B$5</f>
        <v>150.61772727272728</v>
      </c>
      <c r="S2616">
        <f>tblDailySchedule[[#This Row],[Capacity Approx]]*'[1]Load Factor Sheet June Acft  '!$D$5</f>
        <v>163.08818181818182</v>
      </c>
      <c r="T2616" s="22">
        <f>tblDailySchedule[[#This Row],[STD]]</f>
        <v>0.54166666666666663</v>
      </c>
    </row>
    <row r="2617" spans="1:20" hidden="1" x14ac:dyDescent="0.35">
      <c r="A2617" s="11">
        <v>46204</v>
      </c>
      <c r="B2617" s="3">
        <v>3</v>
      </c>
      <c r="C2617" t="s">
        <v>113</v>
      </c>
      <c r="D2617" t="s">
        <v>18</v>
      </c>
      <c r="E2617" s="3">
        <v>13</v>
      </c>
      <c r="F2617" t="s">
        <v>19</v>
      </c>
      <c r="G2617" t="s">
        <v>57</v>
      </c>
      <c r="H2617" t="s">
        <v>58</v>
      </c>
      <c r="I2617" s="12">
        <v>0.55902777777777779</v>
      </c>
      <c r="J2617" t="s">
        <v>59</v>
      </c>
      <c r="K2617" t="s">
        <v>58</v>
      </c>
      <c r="L2617" s="12">
        <v>0.57638888888888884</v>
      </c>
      <c r="M2617" t="s">
        <v>51</v>
      </c>
      <c r="N2617" s="3">
        <v>78</v>
      </c>
      <c r="O2617" t="s">
        <v>24</v>
      </c>
      <c r="P2617" t="s">
        <v>56</v>
      </c>
      <c r="R2617">
        <f>tblDailySchedule[[#This Row],[Capacity Approx]]*'[1]Load Factor Sheet June Acft  '!$B$5</f>
        <v>63.162272727272729</v>
      </c>
      <c r="S2617">
        <f>tblDailySchedule[[#This Row],[Capacity Approx]]*'[1]Load Factor Sheet June Acft  '!$D$5</f>
        <v>68.391818181818181</v>
      </c>
      <c r="T2617" s="22">
        <f>tblDailySchedule[[#This Row],[STD]]</f>
        <v>0.57638888888888884</v>
      </c>
    </row>
    <row r="2618" spans="1:20" hidden="1" x14ac:dyDescent="0.35">
      <c r="A2618" s="11">
        <v>46204</v>
      </c>
      <c r="B2618" s="3">
        <v>3</v>
      </c>
      <c r="C2618" t="s">
        <v>113</v>
      </c>
      <c r="D2618" t="s">
        <v>18</v>
      </c>
      <c r="E2618" s="3">
        <v>14</v>
      </c>
      <c r="F2618" t="s">
        <v>19</v>
      </c>
      <c r="G2618" t="s">
        <v>60</v>
      </c>
      <c r="H2618" t="s">
        <v>61</v>
      </c>
      <c r="I2618" s="12">
        <v>0.59027777777777779</v>
      </c>
      <c r="J2618" t="s">
        <v>62</v>
      </c>
      <c r="K2618" t="s">
        <v>61</v>
      </c>
      <c r="L2618" s="12">
        <v>0.62152777777777779</v>
      </c>
      <c r="M2618" t="s">
        <v>63</v>
      </c>
      <c r="N2618" s="3">
        <v>232</v>
      </c>
      <c r="O2618" t="s">
        <v>24</v>
      </c>
      <c r="P2618" t="s">
        <v>56</v>
      </c>
      <c r="R2618">
        <f>tblDailySchedule[[#This Row],[Capacity Approx]]*'[1]Load Factor Sheet June Acft  '!$B$5</f>
        <v>187.86727272727273</v>
      </c>
      <c r="S2618">
        <f>tblDailySchedule[[#This Row],[Capacity Approx]]*'[1]Load Factor Sheet June Acft  '!$D$5</f>
        <v>203.4218181818182</v>
      </c>
      <c r="T2618" s="22">
        <f>tblDailySchedule[[#This Row],[STD]]</f>
        <v>0.62152777777777779</v>
      </c>
    </row>
    <row r="2619" spans="1:20" hidden="1" x14ac:dyDescent="0.35">
      <c r="A2619" s="11">
        <v>46204</v>
      </c>
      <c r="B2619" s="3">
        <v>3</v>
      </c>
      <c r="C2619" t="s">
        <v>113</v>
      </c>
      <c r="D2619" t="s">
        <v>18</v>
      </c>
      <c r="E2619" s="3">
        <v>15</v>
      </c>
      <c r="F2619" t="s">
        <v>19</v>
      </c>
      <c r="G2619" t="s">
        <v>64</v>
      </c>
      <c r="H2619" t="s">
        <v>31</v>
      </c>
      <c r="I2619" s="12">
        <v>0.60069444444444442</v>
      </c>
      <c r="J2619" t="s">
        <v>65</v>
      </c>
      <c r="K2619" t="s">
        <v>66</v>
      </c>
      <c r="L2619" s="12">
        <v>0.62847222222222221</v>
      </c>
      <c r="M2619" t="s">
        <v>63</v>
      </c>
      <c r="N2619" s="3">
        <v>232</v>
      </c>
      <c r="O2619" t="s">
        <v>24</v>
      </c>
      <c r="P2619" t="s">
        <v>56</v>
      </c>
      <c r="R2619">
        <f>tblDailySchedule[[#This Row],[Capacity Approx]]*'[1]Load Factor Sheet June Acft  '!$B$5</f>
        <v>187.86727272727273</v>
      </c>
      <c r="S2619">
        <f>tblDailySchedule[[#This Row],[Capacity Approx]]*'[1]Load Factor Sheet June Acft  '!$D$5</f>
        <v>203.4218181818182</v>
      </c>
      <c r="T2619" s="22">
        <f>tblDailySchedule[[#This Row],[STD]]</f>
        <v>0.62847222222222221</v>
      </c>
    </row>
    <row r="2620" spans="1:20" hidden="1" x14ac:dyDescent="0.35">
      <c r="A2620" s="11">
        <v>46204</v>
      </c>
      <c r="B2620" s="3">
        <v>3</v>
      </c>
      <c r="C2620" t="s">
        <v>113</v>
      </c>
      <c r="D2620" t="s">
        <v>18</v>
      </c>
      <c r="E2620" s="3">
        <v>16</v>
      </c>
      <c r="F2620" t="s">
        <v>19</v>
      </c>
      <c r="G2620" t="s">
        <v>67</v>
      </c>
      <c r="H2620" t="s">
        <v>31</v>
      </c>
      <c r="I2620" s="12">
        <v>0.65625</v>
      </c>
      <c r="J2620" t="s">
        <v>68</v>
      </c>
      <c r="K2620" t="s">
        <v>31</v>
      </c>
      <c r="L2620" s="12">
        <v>0.68402777777777779</v>
      </c>
      <c r="M2620" t="s">
        <v>63</v>
      </c>
      <c r="N2620" s="3">
        <v>232</v>
      </c>
      <c r="O2620" t="s">
        <v>24</v>
      </c>
      <c r="P2620" t="s">
        <v>56</v>
      </c>
      <c r="R2620">
        <f>tblDailySchedule[[#This Row],[Capacity Approx]]*'[1]Load Factor Sheet June Acft  '!$B$5</f>
        <v>187.86727272727273</v>
      </c>
      <c r="S2620">
        <f>tblDailySchedule[[#This Row],[Capacity Approx]]*'[1]Load Factor Sheet June Acft  '!$D$5</f>
        <v>203.4218181818182</v>
      </c>
      <c r="T2620" s="22">
        <f>tblDailySchedule[[#This Row],[STD]]</f>
        <v>0.68402777777777779</v>
      </c>
    </row>
    <row r="2621" spans="1:20" hidden="1" x14ac:dyDescent="0.35">
      <c r="A2621" s="11">
        <v>46204</v>
      </c>
      <c r="B2621" s="3">
        <v>3</v>
      </c>
      <c r="C2621" t="s">
        <v>113</v>
      </c>
      <c r="D2621" t="s">
        <v>18</v>
      </c>
      <c r="E2621" s="3">
        <v>17</v>
      </c>
      <c r="F2621" t="s">
        <v>19</v>
      </c>
      <c r="G2621" t="s">
        <v>69</v>
      </c>
      <c r="H2621" t="s">
        <v>31</v>
      </c>
      <c r="I2621" s="12">
        <v>0.66319444444444442</v>
      </c>
      <c r="J2621" t="s">
        <v>70</v>
      </c>
      <c r="K2621" t="s">
        <v>31</v>
      </c>
      <c r="L2621" s="12">
        <v>0.69097222222222221</v>
      </c>
      <c r="M2621" t="s">
        <v>33</v>
      </c>
      <c r="N2621" s="3">
        <v>189</v>
      </c>
      <c r="O2621" t="s">
        <v>24</v>
      </c>
      <c r="P2621" t="s">
        <v>56</v>
      </c>
      <c r="R2621">
        <f>tblDailySchedule[[#This Row],[Capacity Approx]]*'[1]Load Factor Sheet June Acft  '!$B$5</f>
        <v>153.04704545454547</v>
      </c>
      <c r="S2621">
        <f>tblDailySchedule[[#This Row],[Capacity Approx]]*'[1]Load Factor Sheet June Acft  '!$D$5</f>
        <v>165.71863636363636</v>
      </c>
      <c r="T2621" s="22">
        <f>tblDailySchedule[[#This Row],[STD]]</f>
        <v>0.69097222222222221</v>
      </c>
    </row>
    <row r="2622" spans="1:20" hidden="1" x14ac:dyDescent="0.35">
      <c r="A2622" s="11">
        <v>46204</v>
      </c>
      <c r="B2622" s="3">
        <v>3</v>
      </c>
      <c r="C2622" t="s">
        <v>113</v>
      </c>
      <c r="D2622" t="s">
        <v>18</v>
      </c>
      <c r="E2622" s="3">
        <v>18</v>
      </c>
      <c r="F2622" t="s">
        <v>19</v>
      </c>
      <c r="G2622" t="s">
        <v>71</v>
      </c>
      <c r="H2622" t="s">
        <v>21</v>
      </c>
      <c r="I2622" s="12">
        <v>0.67013888888888884</v>
      </c>
      <c r="J2622" t="s">
        <v>72</v>
      </c>
      <c r="K2622" t="s">
        <v>21</v>
      </c>
      <c r="L2622" s="12">
        <v>0.69791666666666663</v>
      </c>
      <c r="M2622" t="s">
        <v>63</v>
      </c>
      <c r="N2622" s="3">
        <v>232</v>
      </c>
      <c r="O2622" t="s">
        <v>24</v>
      </c>
      <c r="P2622" t="s">
        <v>56</v>
      </c>
      <c r="R2622">
        <f>tblDailySchedule[[#This Row],[Capacity Approx]]*'[1]Load Factor Sheet June Acft  '!$B$5</f>
        <v>187.86727272727273</v>
      </c>
      <c r="S2622">
        <f>tblDailySchedule[[#This Row],[Capacity Approx]]*'[1]Load Factor Sheet June Acft  '!$D$5</f>
        <v>203.4218181818182</v>
      </c>
      <c r="T2622" s="22">
        <f>tblDailySchedule[[#This Row],[STD]]</f>
        <v>0.69791666666666663</v>
      </c>
    </row>
    <row r="2623" spans="1:20" hidden="1" x14ac:dyDescent="0.35">
      <c r="A2623" s="11">
        <v>46204</v>
      </c>
      <c r="B2623" s="3">
        <v>3</v>
      </c>
      <c r="C2623" t="s">
        <v>113</v>
      </c>
      <c r="D2623" t="s">
        <v>18</v>
      </c>
      <c r="E2623" s="3">
        <v>19</v>
      </c>
      <c r="F2623" t="s">
        <v>19</v>
      </c>
      <c r="G2623" t="s">
        <v>73</v>
      </c>
      <c r="H2623" t="s">
        <v>27</v>
      </c>
      <c r="I2623" s="12">
        <v>0.74652777777777779</v>
      </c>
      <c r="J2623" t="s">
        <v>74</v>
      </c>
      <c r="K2623" t="s">
        <v>27</v>
      </c>
      <c r="L2623" s="12">
        <v>0.77430555555555558</v>
      </c>
      <c r="M2623" t="s">
        <v>63</v>
      </c>
      <c r="N2623" s="3">
        <v>232</v>
      </c>
      <c r="O2623" t="s">
        <v>24</v>
      </c>
      <c r="P2623" t="s">
        <v>56</v>
      </c>
      <c r="R2623">
        <f>tblDailySchedule[[#This Row],[Capacity Approx]]*'[1]Load Factor Sheet June Acft  '!$B$5</f>
        <v>187.86727272727273</v>
      </c>
      <c r="S2623">
        <f>tblDailySchedule[[#This Row],[Capacity Approx]]*'[1]Load Factor Sheet June Acft  '!$D$5</f>
        <v>203.4218181818182</v>
      </c>
      <c r="T2623" s="22">
        <f>tblDailySchedule[[#This Row],[STD]]</f>
        <v>0.77430555555555558</v>
      </c>
    </row>
    <row r="2624" spans="1:20" hidden="1" x14ac:dyDescent="0.35">
      <c r="A2624" s="11">
        <v>46204</v>
      </c>
      <c r="B2624" s="3">
        <v>3</v>
      </c>
      <c r="C2624" t="s">
        <v>113</v>
      </c>
      <c r="D2624" t="s">
        <v>18</v>
      </c>
      <c r="E2624" s="3">
        <v>20</v>
      </c>
      <c r="F2624" t="s">
        <v>34</v>
      </c>
      <c r="G2624" t="s">
        <v>75</v>
      </c>
      <c r="H2624" t="s">
        <v>76</v>
      </c>
      <c r="I2624" s="12">
        <v>0.76388888888888884</v>
      </c>
      <c r="J2624" t="s">
        <v>77</v>
      </c>
      <c r="K2624" t="s">
        <v>78</v>
      </c>
      <c r="L2624" s="12">
        <v>0.78472222222222221</v>
      </c>
      <c r="M2624" t="s">
        <v>51</v>
      </c>
      <c r="N2624" s="3">
        <v>78</v>
      </c>
      <c r="O2624" t="s">
        <v>24</v>
      </c>
      <c r="P2624" t="s">
        <v>79</v>
      </c>
      <c r="Q2624" s="16" t="s">
        <v>80</v>
      </c>
      <c r="R2624">
        <f>tblDailySchedule[[#This Row],[Capacity Approx]]*'[1]Load Factor Sheet June Acft  '!$B$5</f>
        <v>63.162272727272729</v>
      </c>
      <c r="S2624">
        <f>tblDailySchedule[[#This Row],[Capacity Approx]]*'[1]Load Factor Sheet June Acft  '!$D$5</f>
        <v>68.391818181818181</v>
      </c>
      <c r="T2624" s="22">
        <f>tblDailySchedule[[#This Row],[STD]]</f>
        <v>0.78472222222222221</v>
      </c>
    </row>
    <row r="2625" spans="1:20" hidden="1" x14ac:dyDescent="0.35">
      <c r="A2625" s="11">
        <v>46204</v>
      </c>
      <c r="B2625" s="3">
        <v>3</v>
      </c>
      <c r="C2625" t="s">
        <v>113</v>
      </c>
      <c r="D2625" t="s">
        <v>18</v>
      </c>
      <c r="E2625" s="3">
        <v>21</v>
      </c>
      <c r="F2625" t="s">
        <v>19</v>
      </c>
      <c r="G2625" t="s">
        <v>81</v>
      </c>
      <c r="H2625" t="s">
        <v>61</v>
      </c>
      <c r="I2625" s="12">
        <v>0.77083333333333337</v>
      </c>
      <c r="J2625" t="s">
        <v>82</v>
      </c>
      <c r="K2625" t="s">
        <v>49</v>
      </c>
      <c r="L2625" s="12">
        <v>0.79166666666666663</v>
      </c>
      <c r="M2625" t="s">
        <v>33</v>
      </c>
      <c r="N2625" s="3">
        <v>189</v>
      </c>
      <c r="O2625" t="s">
        <v>24</v>
      </c>
      <c r="P2625" t="s">
        <v>79</v>
      </c>
      <c r="R2625">
        <f>tblDailySchedule[[#This Row],[Capacity Approx]]*'[1]Load Factor Sheet June Acft  '!$B$5</f>
        <v>153.04704545454547</v>
      </c>
      <c r="S2625">
        <f>tblDailySchedule[[#This Row],[Capacity Approx]]*'[1]Load Factor Sheet June Acft  '!$D$5</f>
        <v>165.71863636363636</v>
      </c>
      <c r="T2625" s="22">
        <f>tblDailySchedule[[#This Row],[STD]]</f>
        <v>0.79166666666666663</v>
      </c>
    </row>
    <row r="2626" spans="1:20" hidden="1" x14ac:dyDescent="0.35">
      <c r="A2626" s="11">
        <v>46204</v>
      </c>
      <c r="B2626" s="3">
        <v>3</v>
      </c>
      <c r="C2626" t="s">
        <v>113</v>
      </c>
      <c r="D2626" t="s">
        <v>18</v>
      </c>
      <c r="E2626" s="3">
        <v>22</v>
      </c>
      <c r="F2626" t="s">
        <v>19</v>
      </c>
      <c r="G2626" t="s">
        <v>83</v>
      </c>
      <c r="H2626" t="s">
        <v>31</v>
      </c>
      <c r="I2626" s="12">
        <v>0.77777777777777779</v>
      </c>
      <c r="J2626" t="s">
        <v>84</v>
      </c>
      <c r="K2626" t="s">
        <v>31</v>
      </c>
      <c r="L2626" s="12">
        <v>0.80555555555555558</v>
      </c>
      <c r="M2626" t="s">
        <v>63</v>
      </c>
      <c r="N2626" s="3">
        <v>232</v>
      </c>
      <c r="O2626" t="s">
        <v>24</v>
      </c>
      <c r="P2626" t="s">
        <v>79</v>
      </c>
      <c r="R2626">
        <f>tblDailySchedule[[#This Row],[Capacity Approx]]*'[1]Load Factor Sheet June Acft  '!$B$5</f>
        <v>187.86727272727273</v>
      </c>
      <c r="S2626">
        <f>tblDailySchedule[[#This Row],[Capacity Approx]]*'[1]Load Factor Sheet June Acft  '!$D$5</f>
        <v>203.4218181818182</v>
      </c>
      <c r="T2626" s="22">
        <f>tblDailySchedule[[#This Row],[STD]]</f>
        <v>0.80555555555555558</v>
      </c>
    </row>
    <row r="2627" spans="1:20" hidden="1" x14ac:dyDescent="0.35">
      <c r="A2627" s="11">
        <v>46204</v>
      </c>
      <c r="B2627" s="3">
        <v>3</v>
      </c>
      <c r="C2627" t="s">
        <v>113</v>
      </c>
      <c r="D2627" t="s">
        <v>18</v>
      </c>
      <c r="E2627" s="3">
        <v>23</v>
      </c>
      <c r="F2627" t="s">
        <v>19</v>
      </c>
      <c r="G2627" t="s">
        <v>85</v>
      </c>
      <c r="H2627" t="s">
        <v>86</v>
      </c>
      <c r="I2627" s="12">
        <v>0.79861111111111116</v>
      </c>
      <c r="J2627" t="s">
        <v>87</v>
      </c>
      <c r="K2627" t="s">
        <v>86</v>
      </c>
      <c r="L2627" s="12">
        <v>0.82638888888888884</v>
      </c>
      <c r="M2627" t="s">
        <v>63</v>
      </c>
      <c r="N2627" s="3">
        <v>232</v>
      </c>
      <c r="O2627" t="s">
        <v>24</v>
      </c>
      <c r="P2627" t="s">
        <v>79</v>
      </c>
      <c r="R2627">
        <f>tblDailySchedule[[#This Row],[Capacity Approx]]*'[1]Load Factor Sheet June Acft  '!$B$5</f>
        <v>187.86727272727273</v>
      </c>
      <c r="S2627">
        <f>tblDailySchedule[[#This Row],[Capacity Approx]]*'[1]Load Factor Sheet June Acft  '!$D$5</f>
        <v>203.4218181818182</v>
      </c>
      <c r="T2627" s="22">
        <f>tblDailySchedule[[#This Row],[STD]]</f>
        <v>0.82638888888888884</v>
      </c>
    </row>
    <row r="2628" spans="1:20" hidden="1" x14ac:dyDescent="0.35">
      <c r="A2628" s="11">
        <v>46204</v>
      </c>
      <c r="B2628" s="3">
        <v>3</v>
      </c>
      <c r="C2628" t="s">
        <v>113</v>
      </c>
      <c r="D2628" t="s">
        <v>18</v>
      </c>
      <c r="E2628" s="3">
        <v>24</v>
      </c>
      <c r="F2628" t="s">
        <v>19</v>
      </c>
      <c r="G2628" t="s">
        <v>88</v>
      </c>
      <c r="H2628" t="s">
        <v>89</v>
      </c>
      <c r="I2628" s="12">
        <v>0.83333333333333337</v>
      </c>
      <c r="J2628" t="s">
        <v>90</v>
      </c>
      <c r="K2628" t="s">
        <v>31</v>
      </c>
      <c r="L2628" s="12">
        <v>0.86111111111111116</v>
      </c>
      <c r="M2628" t="s">
        <v>63</v>
      </c>
      <c r="N2628" s="3">
        <v>232</v>
      </c>
      <c r="O2628" t="s">
        <v>24</v>
      </c>
      <c r="P2628" t="s">
        <v>79</v>
      </c>
      <c r="R2628">
        <f>tblDailySchedule[[#This Row],[Capacity Approx]]*'[1]Load Factor Sheet June Acft  '!$B$5</f>
        <v>187.86727272727273</v>
      </c>
      <c r="S2628">
        <f>tblDailySchedule[[#This Row],[Capacity Approx]]*'[1]Load Factor Sheet June Acft  '!$D$5</f>
        <v>203.4218181818182</v>
      </c>
      <c r="T2628" s="22">
        <f>tblDailySchedule[[#This Row],[STD]]</f>
        <v>0.86111111111111116</v>
      </c>
    </row>
    <row r="2629" spans="1:20" hidden="1" x14ac:dyDescent="0.35">
      <c r="A2629" s="11">
        <v>46204</v>
      </c>
      <c r="B2629" s="3">
        <v>3</v>
      </c>
      <c r="C2629" t="s">
        <v>113</v>
      </c>
      <c r="D2629" t="s">
        <v>18</v>
      </c>
      <c r="E2629" s="3">
        <v>25</v>
      </c>
      <c r="F2629" t="s">
        <v>19</v>
      </c>
      <c r="G2629" t="s">
        <v>91</v>
      </c>
      <c r="H2629" t="s">
        <v>61</v>
      </c>
      <c r="I2629" s="12">
        <v>0.85416666666666663</v>
      </c>
      <c r="J2629" t="s">
        <v>92</v>
      </c>
      <c r="K2629" t="s">
        <v>61</v>
      </c>
      <c r="L2629" s="12">
        <v>0.88194444444444442</v>
      </c>
      <c r="M2629" t="s">
        <v>63</v>
      </c>
      <c r="N2629" s="3">
        <v>232</v>
      </c>
      <c r="O2629" t="s">
        <v>24</v>
      </c>
      <c r="P2629" t="s">
        <v>79</v>
      </c>
      <c r="R2629">
        <f>tblDailySchedule[[#This Row],[Capacity Approx]]*'[1]Load Factor Sheet June Acft  '!$B$5</f>
        <v>187.86727272727273</v>
      </c>
      <c r="S2629">
        <f>tblDailySchedule[[#This Row],[Capacity Approx]]*'[1]Load Factor Sheet June Acft  '!$D$5</f>
        <v>203.4218181818182</v>
      </c>
      <c r="T2629" s="22">
        <f>tblDailySchedule[[#This Row],[STD]]</f>
        <v>0.88194444444444442</v>
      </c>
    </row>
    <row r="2630" spans="1:20" hidden="1" x14ac:dyDescent="0.35">
      <c r="A2630" s="11">
        <v>46204</v>
      </c>
      <c r="B2630" s="3">
        <v>3</v>
      </c>
      <c r="C2630" t="s">
        <v>113</v>
      </c>
      <c r="D2630" t="s">
        <v>18</v>
      </c>
      <c r="E2630" s="3">
        <v>26</v>
      </c>
      <c r="F2630" t="s">
        <v>19</v>
      </c>
      <c r="G2630" t="s">
        <v>93</v>
      </c>
      <c r="H2630" t="s">
        <v>31</v>
      </c>
      <c r="I2630" s="12">
        <v>0.86111111111111116</v>
      </c>
      <c r="J2630" t="s">
        <v>94</v>
      </c>
      <c r="K2630" t="s">
        <v>31</v>
      </c>
      <c r="L2630" s="12">
        <v>0.88888888888888884</v>
      </c>
      <c r="M2630" t="s">
        <v>23</v>
      </c>
      <c r="N2630" s="3">
        <v>186</v>
      </c>
      <c r="O2630" t="s">
        <v>24</v>
      </c>
      <c r="P2630" t="s">
        <v>79</v>
      </c>
      <c r="R2630">
        <f>tblDailySchedule[[#This Row],[Capacity Approx]]*'[1]Load Factor Sheet June Acft  '!$B$5</f>
        <v>150.61772727272728</v>
      </c>
      <c r="S2630">
        <f>tblDailySchedule[[#This Row],[Capacity Approx]]*'[1]Load Factor Sheet June Acft  '!$D$5</f>
        <v>163.08818181818182</v>
      </c>
      <c r="T2630" s="22">
        <f>tblDailySchedule[[#This Row],[STD]]</f>
        <v>0.88888888888888884</v>
      </c>
    </row>
    <row r="2631" spans="1:20" hidden="1" x14ac:dyDescent="0.35">
      <c r="A2631" s="11">
        <v>46204</v>
      </c>
      <c r="B2631" s="3">
        <v>3</v>
      </c>
      <c r="C2631" t="s">
        <v>113</v>
      </c>
      <c r="D2631" t="s">
        <v>18</v>
      </c>
      <c r="E2631" s="3">
        <v>27</v>
      </c>
      <c r="F2631" t="s">
        <v>19</v>
      </c>
      <c r="G2631" t="s">
        <v>95</v>
      </c>
      <c r="H2631" t="s">
        <v>21</v>
      </c>
      <c r="I2631" s="12">
        <v>0.86805555555555558</v>
      </c>
      <c r="J2631" t="s">
        <v>96</v>
      </c>
      <c r="K2631" t="s">
        <v>21</v>
      </c>
      <c r="L2631" s="12">
        <v>0.89583333333333337</v>
      </c>
      <c r="M2631" t="s">
        <v>29</v>
      </c>
      <c r="N2631" s="3">
        <v>186</v>
      </c>
      <c r="O2631" t="s">
        <v>24</v>
      </c>
      <c r="P2631" t="s">
        <v>79</v>
      </c>
      <c r="R2631">
        <f>tblDailySchedule[[#This Row],[Capacity Approx]]*'[1]Load Factor Sheet June Acft  '!$B$5</f>
        <v>150.61772727272728</v>
      </c>
      <c r="S2631">
        <f>tblDailySchedule[[#This Row],[Capacity Approx]]*'[1]Load Factor Sheet June Acft  '!$D$5</f>
        <v>163.08818181818182</v>
      </c>
      <c r="T2631" s="22">
        <f>tblDailySchedule[[#This Row],[STD]]</f>
        <v>0.89583333333333337</v>
      </c>
    </row>
    <row r="2632" spans="1:20" hidden="1" x14ac:dyDescent="0.35">
      <c r="A2632" s="11">
        <v>46204</v>
      </c>
      <c r="B2632" s="3">
        <v>3</v>
      </c>
      <c r="C2632" t="s">
        <v>113</v>
      </c>
      <c r="D2632" t="s">
        <v>18</v>
      </c>
      <c r="E2632" s="3">
        <v>28</v>
      </c>
      <c r="F2632" t="s">
        <v>19</v>
      </c>
      <c r="G2632" t="s">
        <v>97</v>
      </c>
      <c r="H2632" t="s">
        <v>49</v>
      </c>
      <c r="I2632" s="12">
        <v>0.90277777777777779</v>
      </c>
      <c r="J2632" t="s">
        <v>97</v>
      </c>
      <c r="K2632" t="s">
        <v>61</v>
      </c>
      <c r="L2632" s="12">
        <v>0.92361111111111116</v>
      </c>
      <c r="M2632" t="s">
        <v>33</v>
      </c>
      <c r="N2632" s="3">
        <v>189</v>
      </c>
      <c r="O2632" t="s">
        <v>24</v>
      </c>
      <c r="P2632" t="s">
        <v>79</v>
      </c>
      <c r="R2632">
        <f>tblDailySchedule[[#This Row],[Capacity Approx]]*'[1]Load Factor Sheet June Acft  '!$B$5</f>
        <v>153.04704545454547</v>
      </c>
      <c r="S2632">
        <f>tblDailySchedule[[#This Row],[Capacity Approx]]*'[1]Load Factor Sheet June Acft  '!$D$5</f>
        <v>165.71863636363636</v>
      </c>
      <c r="T2632" s="22">
        <f>tblDailySchedule[[#This Row],[STD]]</f>
        <v>0.92361111111111116</v>
      </c>
    </row>
    <row r="2633" spans="1:20" hidden="1" x14ac:dyDescent="0.35">
      <c r="A2633" s="11">
        <v>46204</v>
      </c>
      <c r="B2633" s="3">
        <v>3</v>
      </c>
      <c r="C2633" t="s">
        <v>113</v>
      </c>
      <c r="D2633" t="s">
        <v>18</v>
      </c>
      <c r="E2633" s="3">
        <v>29</v>
      </c>
      <c r="F2633" t="s">
        <v>19</v>
      </c>
      <c r="G2633" t="s">
        <v>98</v>
      </c>
      <c r="H2633" t="s">
        <v>21</v>
      </c>
      <c r="I2633" s="12">
        <v>0.92013888888888884</v>
      </c>
      <c r="J2633" t="s">
        <v>99</v>
      </c>
      <c r="K2633" t="s">
        <v>21</v>
      </c>
      <c r="L2633" s="12">
        <v>0.94791666666666663</v>
      </c>
      <c r="M2633" t="s">
        <v>63</v>
      </c>
      <c r="N2633" s="3">
        <v>232</v>
      </c>
      <c r="O2633" t="s">
        <v>24</v>
      </c>
      <c r="P2633" t="s">
        <v>79</v>
      </c>
      <c r="R2633">
        <f>tblDailySchedule[[#This Row],[Capacity Approx]]*'[1]Load Factor Sheet June Acft  '!$B$5</f>
        <v>187.86727272727273</v>
      </c>
      <c r="S2633">
        <f>tblDailySchedule[[#This Row],[Capacity Approx]]*'[1]Load Factor Sheet June Acft  '!$D$5</f>
        <v>203.4218181818182</v>
      </c>
      <c r="T2633" s="22">
        <f>tblDailySchedule[[#This Row],[STD]]</f>
        <v>0.94791666666666663</v>
      </c>
    </row>
    <row r="2634" spans="1:20" hidden="1" x14ac:dyDescent="0.35">
      <c r="A2634" s="13">
        <v>46204</v>
      </c>
      <c r="B2634" s="7">
        <v>3</v>
      </c>
      <c r="C2634" s="14" t="s">
        <v>113</v>
      </c>
      <c r="D2634" s="14" t="s">
        <v>18</v>
      </c>
      <c r="E2634" s="7">
        <v>30</v>
      </c>
      <c r="F2634" s="14" t="s">
        <v>104</v>
      </c>
      <c r="G2634" s="14" t="s">
        <v>105</v>
      </c>
      <c r="H2634" s="14" t="s">
        <v>106</v>
      </c>
      <c r="I2634" s="15">
        <v>0.92708333333333337</v>
      </c>
      <c r="J2634" s="14" t="s">
        <v>107</v>
      </c>
      <c r="K2634" s="14" t="s">
        <v>106</v>
      </c>
      <c r="L2634" s="15">
        <v>0.95833333333333337</v>
      </c>
      <c r="M2634" s="14" t="s">
        <v>38</v>
      </c>
      <c r="N2634" s="7">
        <v>186</v>
      </c>
      <c r="O2634" s="14" t="s">
        <v>39</v>
      </c>
      <c r="P2634" s="14" t="s">
        <v>79</v>
      </c>
      <c r="Q2634" s="14" t="s">
        <v>39</v>
      </c>
      <c r="R2634">
        <f>tblDailySchedule[[#This Row],[Capacity Approx]]*'[1]Load Factor Sheet June Acft  '!$B$5</f>
        <v>150.61772727272728</v>
      </c>
      <c r="S2634">
        <f>tblDailySchedule[[#This Row],[Capacity Approx]]*'[1]Load Factor Sheet June Acft  '!$D$5</f>
        <v>163.08818181818182</v>
      </c>
      <c r="T2634" s="22">
        <f>tblDailySchedule[[#This Row],[STD]]</f>
        <v>0.95833333333333337</v>
      </c>
    </row>
    <row r="2635" spans="1:20" hidden="1" x14ac:dyDescent="0.35">
      <c r="A2635" s="11">
        <v>46205</v>
      </c>
      <c r="B2635" s="3">
        <v>4</v>
      </c>
      <c r="C2635" t="s">
        <v>114</v>
      </c>
      <c r="D2635" t="s">
        <v>18</v>
      </c>
      <c r="E2635" s="3">
        <v>1</v>
      </c>
      <c r="F2635" t="s">
        <v>101</v>
      </c>
      <c r="G2635" t="s">
        <v>102</v>
      </c>
      <c r="H2635" t="s">
        <v>61</v>
      </c>
      <c r="I2635" s="12">
        <v>0.3125</v>
      </c>
      <c r="J2635" t="s">
        <v>103</v>
      </c>
      <c r="K2635" t="s">
        <v>61</v>
      </c>
      <c r="L2635" s="12">
        <v>0.33333333333333331</v>
      </c>
      <c r="M2635" t="s">
        <v>33</v>
      </c>
      <c r="N2635" s="3">
        <v>189</v>
      </c>
      <c r="O2635" t="s">
        <v>24</v>
      </c>
      <c r="P2635" t="s">
        <v>25</v>
      </c>
      <c r="R2635">
        <f>tblDailySchedule[[#This Row],[Capacity Approx]]*'[1]Load Factor Sheet June Acft  '!$B$5</f>
        <v>153.04704545454547</v>
      </c>
      <c r="S2635">
        <f>tblDailySchedule[[#This Row],[Capacity Approx]]*'[1]Load Factor Sheet June Acft  '!$D$5</f>
        <v>165.71863636363636</v>
      </c>
      <c r="T2635" s="22">
        <f>tblDailySchedule[[#This Row],[STD]]</f>
        <v>0.33333333333333331</v>
      </c>
    </row>
    <row r="2636" spans="1:20" hidden="1" x14ac:dyDescent="0.35">
      <c r="A2636" s="11">
        <v>46205</v>
      </c>
      <c r="B2636" s="3">
        <v>4</v>
      </c>
      <c r="C2636" t="s">
        <v>114</v>
      </c>
      <c r="D2636" t="s">
        <v>18</v>
      </c>
      <c r="E2636" s="3">
        <v>2</v>
      </c>
      <c r="F2636" t="s">
        <v>19</v>
      </c>
      <c r="G2636" t="s">
        <v>20</v>
      </c>
      <c r="H2636" t="s">
        <v>21</v>
      </c>
      <c r="I2636" s="12">
        <v>0.31944444444444442</v>
      </c>
      <c r="J2636" t="s">
        <v>22</v>
      </c>
      <c r="K2636" t="s">
        <v>21</v>
      </c>
      <c r="L2636" s="12">
        <v>0.34722222222222221</v>
      </c>
      <c r="M2636" t="s">
        <v>23</v>
      </c>
      <c r="N2636" s="3">
        <v>186</v>
      </c>
      <c r="O2636" t="s">
        <v>24</v>
      </c>
      <c r="P2636" t="s">
        <v>25</v>
      </c>
      <c r="R2636">
        <f>tblDailySchedule[[#This Row],[Capacity Approx]]*'[1]Load Factor Sheet June Acft  '!$B$5</f>
        <v>150.61772727272728</v>
      </c>
      <c r="S2636">
        <f>tblDailySchedule[[#This Row],[Capacity Approx]]*'[1]Load Factor Sheet June Acft  '!$D$5</f>
        <v>163.08818181818182</v>
      </c>
      <c r="T2636" s="22">
        <f>tblDailySchedule[[#This Row],[STD]]</f>
        <v>0.34722222222222221</v>
      </c>
    </row>
    <row r="2637" spans="1:20" hidden="1" x14ac:dyDescent="0.35">
      <c r="A2637" s="11">
        <v>46205</v>
      </c>
      <c r="B2637" s="3">
        <v>4</v>
      </c>
      <c r="C2637" t="s">
        <v>114</v>
      </c>
      <c r="D2637" t="s">
        <v>18</v>
      </c>
      <c r="E2637" s="3">
        <v>3</v>
      </c>
      <c r="F2637" t="s">
        <v>19</v>
      </c>
      <c r="G2637" t="s">
        <v>26</v>
      </c>
      <c r="H2637" t="s">
        <v>27</v>
      </c>
      <c r="I2637" s="12">
        <v>0.3263888888888889</v>
      </c>
      <c r="J2637" t="s">
        <v>28</v>
      </c>
      <c r="K2637" t="s">
        <v>27</v>
      </c>
      <c r="L2637" s="12">
        <v>0.35416666666666669</v>
      </c>
      <c r="M2637" t="s">
        <v>29</v>
      </c>
      <c r="N2637" s="3">
        <v>186</v>
      </c>
      <c r="O2637" t="s">
        <v>24</v>
      </c>
      <c r="P2637" t="s">
        <v>25</v>
      </c>
      <c r="R2637">
        <f>tblDailySchedule[[#This Row],[Capacity Approx]]*'[1]Load Factor Sheet June Acft  '!$B$5</f>
        <v>150.61772727272728</v>
      </c>
      <c r="S2637">
        <f>tblDailySchedule[[#This Row],[Capacity Approx]]*'[1]Load Factor Sheet June Acft  '!$D$5</f>
        <v>163.08818181818182</v>
      </c>
      <c r="T2637" s="22">
        <f>tblDailySchedule[[#This Row],[STD]]</f>
        <v>0.35416666666666669</v>
      </c>
    </row>
    <row r="2638" spans="1:20" hidden="1" x14ac:dyDescent="0.35">
      <c r="A2638" s="11">
        <v>46205</v>
      </c>
      <c r="B2638" s="3">
        <v>4</v>
      </c>
      <c r="C2638" t="s">
        <v>114</v>
      </c>
      <c r="D2638" t="s">
        <v>18</v>
      </c>
      <c r="E2638" s="3">
        <v>4</v>
      </c>
      <c r="F2638" t="s">
        <v>19</v>
      </c>
      <c r="G2638" t="s">
        <v>30</v>
      </c>
      <c r="H2638" t="s">
        <v>31</v>
      </c>
      <c r="I2638" s="12">
        <v>0.34722222222222221</v>
      </c>
      <c r="J2638" t="s">
        <v>32</v>
      </c>
      <c r="K2638" t="s">
        <v>31</v>
      </c>
      <c r="L2638" s="12">
        <v>0.36805555555555558</v>
      </c>
      <c r="M2638" t="s">
        <v>33</v>
      </c>
      <c r="N2638" s="3">
        <v>189</v>
      </c>
      <c r="O2638" t="s">
        <v>24</v>
      </c>
      <c r="P2638" t="s">
        <v>25</v>
      </c>
      <c r="R2638">
        <f>tblDailySchedule[[#This Row],[Capacity Approx]]*'[1]Load Factor Sheet June Acft  '!$B$5</f>
        <v>153.04704545454547</v>
      </c>
      <c r="S2638">
        <f>tblDailySchedule[[#This Row],[Capacity Approx]]*'[1]Load Factor Sheet June Acft  '!$D$5</f>
        <v>165.71863636363636</v>
      </c>
      <c r="T2638" s="22">
        <f>tblDailySchedule[[#This Row],[STD]]</f>
        <v>0.36805555555555558</v>
      </c>
    </row>
    <row r="2639" spans="1:20" hidden="1" x14ac:dyDescent="0.35">
      <c r="A2639" s="11">
        <v>46205</v>
      </c>
      <c r="B2639" s="3">
        <v>4</v>
      </c>
      <c r="C2639" t="s">
        <v>114</v>
      </c>
      <c r="D2639" t="s">
        <v>18</v>
      </c>
      <c r="E2639" s="3">
        <v>5</v>
      </c>
      <c r="F2639" t="s">
        <v>19</v>
      </c>
      <c r="G2639" t="s">
        <v>40</v>
      </c>
      <c r="H2639" t="s">
        <v>31</v>
      </c>
      <c r="I2639" s="12">
        <v>0.35069444444444442</v>
      </c>
      <c r="J2639" t="s">
        <v>41</v>
      </c>
      <c r="K2639" t="s">
        <v>31</v>
      </c>
      <c r="L2639" s="12">
        <v>0.37152777777777779</v>
      </c>
      <c r="M2639" t="s">
        <v>23</v>
      </c>
      <c r="N2639" s="3">
        <v>186</v>
      </c>
      <c r="O2639" t="s">
        <v>24</v>
      </c>
      <c r="P2639" t="s">
        <v>25</v>
      </c>
      <c r="R2639">
        <f>tblDailySchedule[[#This Row],[Capacity Approx]]*'[1]Load Factor Sheet June Acft  '!$B$5</f>
        <v>150.61772727272728</v>
      </c>
      <c r="S2639">
        <f>tblDailySchedule[[#This Row],[Capacity Approx]]*'[1]Load Factor Sheet June Acft  '!$D$5</f>
        <v>163.08818181818182</v>
      </c>
      <c r="T2639" s="22">
        <f>tblDailySchedule[[#This Row],[STD]]</f>
        <v>0.37152777777777779</v>
      </c>
    </row>
    <row r="2640" spans="1:20" hidden="1" x14ac:dyDescent="0.35">
      <c r="A2640" s="11">
        <v>46205</v>
      </c>
      <c r="B2640" s="3">
        <v>4</v>
      </c>
      <c r="C2640" t="s">
        <v>114</v>
      </c>
      <c r="D2640" t="s">
        <v>18</v>
      </c>
      <c r="E2640" s="3">
        <v>7</v>
      </c>
      <c r="F2640" t="s">
        <v>19</v>
      </c>
      <c r="G2640" t="s">
        <v>42</v>
      </c>
      <c r="H2640" t="s">
        <v>43</v>
      </c>
      <c r="I2640" s="12">
        <v>0.3923611111111111</v>
      </c>
      <c r="J2640" t="s">
        <v>44</v>
      </c>
      <c r="K2640" t="s">
        <v>43</v>
      </c>
      <c r="L2640" s="12">
        <v>0.40277777777777779</v>
      </c>
      <c r="M2640" t="s">
        <v>45</v>
      </c>
      <c r="N2640" s="3">
        <v>9</v>
      </c>
      <c r="O2640" t="s">
        <v>24</v>
      </c>
      <c r="P2640" t="s">
        <v>25</v>
      </c>
      <c r="R2640">
        <f>tblDailySchedule[[#This Row],[Capacity Approx]]*'[1]Load Factor Sheet June Acft  '!$B$5</f>
        <v>7.2879545454545456</v>
      </c>
      <c r="S2640">
        <f>tblDailySchedule[[#This Row],[Capacity Approx]]*'[1]Load Factor Sheet June Acft  '!$D$5</f>
        <v>7.8913636363636366</v>
      </c>
      <c r="T2640" s="22">
        <f>tblDailySchedule[[#This Row],[STD]]</f>
        <v>0.40277777777777779</v>
      </c>
    </row>
    <row r="2641" spans="1:20" hidden="1" x14ac:dyDescent="0.35">
      <c r="A2641" s="11">
        <v>46205</v>
      </c>
      <c r="B2641" s="3">
        <v>4</v>
      </c>
      <c r="C2641" t="s">
        <v>114</v>
      </c>
      <c r="D2641" t="s">
        <v>18</v>
      </c>
      <c r="E2641" s="3">
        <v>8</v>
      </c>
      <c r="F2641" t="s">
        <v>19</v>
      </c>
      <c r="G2641" t="s">
        <v>46</v>
      </c>
      <c r="H2641" t="s">
        <v>31</v>
      </c>
      <c r="I2641" s="12">
        <v>0.4201388888888889</v>
      </c>
      <c r="J2641" t="s">
        <v>47</v>
      </c>
      <c r="K2641" t="s">
        <v>31</v>
      </c>
      <c r="L2641" s="12">
        <v>0.44444444444444442</v>
      </c>
      <c r="M2641" t="s">
        <v>29</v>
      </c>
      <c r="N2641" s="3">
        <v>186</v>
      </c>
      <c r="O2641" t="s">
        <v>24</v>
      </c>
      <c r="P2641" t="s">
        <v>25</v>
      </c>
      <c r="R2641">
        <f>tblDailySchedule[[#This Row],[Capacity Approx]]*'[1]Load Factor Sheet June Acft  '!$B$5</f>
        <v>150.61772727272728</v>
      </c>
      <c r="S2641">
        <f>tblDailySchedule[[#This Row],[Capacity Approx]]*'[1]Load Factor Sheet June Acft  '!$D$5</f>
        <v>163.08818181818182</v>
      </c>
      <c r="T2641" s="22">
        <f>tblDailySchedule[[#This Row],[STD]]</f>
        <v>0.44444444444444442</v>
      </c>
    </row>
    <row r="2642" spans="1:20" hidden="1" x14ac:dyDescent="0.35">
      <c r="A2642" s="11">
        <v>46205</v>
      </c>
      <c r="B2642" s="3">
        <v>4</v>
      </c>
      <c r="C2642" t="s">
        <v>114</v>
      </c>
      <c r="D2642" t="s">
        <v>18</v>
      </c>
      <c r="E2642" s="3">
        <v>9</v>
      </c>
      <c r="F2642" t="s">
        <v>19</v>
      </c>
      <c r="G2642" t="s">
        <v>48</v>
      </c>
      <c r="H2642" t="s">
        <v>49</v>
      </c>
      <c r="I2642" s="12">
        <v>0.4375</v>
      </c>
      <c r="J2642" t="s">
        <v>50</v>
      </c>
      <c r="K2642" t="s">
        <v>49</v>
      </c>
      <c r="L2642" s="12">
        <v>0.45833333333333331</v>
      </c>
      <c r="M2642" t="s">
        <v>51</v>
      </c>
      <c r="N2642" s="3">
        <v>78</v>
      </c>
      <c r="O2642" t="s">
        <v>24</v>
      </c>
      <c r="P2642" t="s">
        <v>25</v>
      </c>
      <c r="R2642">
        <f>tblDailySchedule[[#This Row],[Capacity Approx]]*'[1]Load Factor Sheet June Acft  '!$B$5</f>
        <v>63.162272727272729</v>
      </c>
      <c r="S2642">
        <f>tblDailySchedule[[#This Row],[Capacity Approx]]*'[1]Load Factor Sheet June Acft  '!$D$5</f>
        <v>68.391818181818181</v>
      </c>
      <c r="T2642" s="22">
        <f>tblDailySchedule[[#This Row],[STD]]</f>
        <v>0.45833333333333331</v>
      </c>
    </row>
    <row r="2643" spans="1:20" hidden="1" x14ac:dyDescent="0.35">
      <c r="A2643" s="11">
        <v>46205</v>
      </c>
      <c r="B2643" s="3">
        <v>4</v>
      </c>
      <c r="C2643" t="s">
        <v>114</v>
      </c>
      <c r="D2643" t="s">
        <v>18</v>
      </c>
      <c r="E2643" s="3">
        <v>10</v>
      </c>
      <c r="F2643" t="s">
        <v>19</v>
      </c>
      <c r="G2643" t="s">
        <v>52</v>
      </c>
      <c r="H2643" t="s">
        <v>27</v>
      </c>
      <c r="I2643" s="12">
        <v>0.4826388888888889</v>
      </c>
      <c r="J2643" t="s">
        <v>53</v>
      </c>
      <c r="K2643" t="s">
        <v>27</v>
      </c>
      <c r="L2643" s="12">
        <v>0.51041666666666663</v>
      </c>
      <c r="M2643" t="s">
        <v>23</v>
      </c>
      <c r="N2643" s="3">
        <v>186</v>
      </c>
      <c r="O2643" t="s">
        <v>24</v>
      </c>
      <c r="P2643" t="s">
        <v>25</v>
      </c>
      <c r="R2643">
        <f>tblDailySchedule[[#This Row],[Capacity Approx]]*'[1]Load Factor Sheet June Acft  '!$B$5</f>
        <v>150.61772727272728</v>
      </c>
      <c r="S2643">
        <f>tblDailySchedule[[#This Row],[Capacity Approx]]*'[1]Load Factor Sheet June Acft  '!$D$5</f>
        <v>163.08818181818182</v>
      </c>
      <c r="T2643" s="22">
        <f>tblDailySchedule[[#This Row],[STD]]</f>
        <v>0.51041666666666663</v>
      </c>
    </row>
    <row r="2644" spans="1:20" hidden="1" x14ac:dyDescent="0.35">
      <c r="A2644" s="11">
        <v>46205</v>
      </c>
      <c r="B2644" s="3">
        <v>4</v>
      </c>
      <c r="C2644" t="s">
        <v>114</v>
      </c>
      <c r="D2644" t="s">
        <v>18</v>
      </c>
      <c r="E2644" s="3">
        <v>11</v>
      </c>
      <c r="F2644" t="s">
        <v>19</v>
      </c>
      <c r="G2644" t="s">
        <v>54</v>
      </c>
      <c r="H2644" t="s">
        <v>31</v>
      </c>
      <c r="I2644" s="12">
        <v>0.51388888888888884</v>
      </c>
      <c r="J2644" t="s">
        <v>55</v>
      </c>
      <c r="K2644" t="s">
        <v>31</v>
      </c>
      <c r="L2644" s="12">
        <v>0.54166666666666663</v>
      </c>
      <c r="M2644" t="s">
        <v>23</v>
      </c>
      <c r="N2644" s="3">
        <v>186</v>
      </c>
      <c r="O2644" t="s">
        <v>24</v>
      </c>
      <c r="P2644" t="s">
        <v>56</v>
      </c>
      <c r="R2644">
        <f>tblDailySchedule[[#This Row],[Capacity Approx]]*'[1]Load Factor Sheet June Acft  '!$B$5</f>
        <v>150.61772727272728</v>
      </c>
      <c r="S2644">
        <f>tblDailySchedule[[#This Row],[Capacity Approx]]*'[1]Load Factor Sheet June Acft  '!$D$5</f>
        <v>163.08818181818182</v>
      </c>
      <c r="T2644" s="22">
        <f>tblDailySchedule[[#This Row],[STD]]</f>
        <v>0.54166666666666663</v>
      </c>
    </row>
    <row r="2645" spans="1:20" hidden="1" x14ac:dyDescent="0.35">
      <c r="A2645" s="11">
        <v>46205</v>
      </c>
      <c r="B2645" s="3">
        <v>4</v>
      </c>
      <c r="C2645" t="s">
        <v>114</v>
      </c>
      <c r="D2645" t="s">
        <v>18</v>
      </c>
      <c r="E2645" s="3">
        <v>12</v>
      </c>
      <c r="F2645" t="s">
        <v>109</v>
      </c>
      <c r="G2645" t="s">
        <v>110</v>
      </c>
      <c r="H2645" t="s">
        <v>111</v>
      </c>
      <c r="I2645" s="12">
        <v>0.55555555555555558</v>
      </c>
      <c r="J2645" t="s">
        <v>112</v>
      </c>
      <c r="K2645" t="s">
        <v>111</v>
      </c>
      <c r="L2645" s="12">
        <v>0.56944444444444442</v>
      </c>
      <c r="M2645" t="s">
        <v>51</v>
      </c>
      <c r="N2645" s="3">
        <v>78</v>
      </c>
      <c r="O2645" t="s">
        <v>24</v>
      </c>
      <c r="P2645" t="s">
        <v>56</v>
      </c>
      <c r="R2645">
        <f>tblDailySchedule[[#This Row],[Capacity Approx]]*'[1]Load Factor Sheet June Acft  '!$B$5</f>
        <v>63.162272727272729</v>
      </c>
      <c r="S2645">
        <f>tblDailySchedule[[#This Row],[Capacity Approx]]*'[1]Load Factor Sheet June Acft  '!$D$5</f>
        <v>68.391818181818181</v>
      </c>
      <c r="T2645" s="22">
        <f>tblDailySchedule[[#This Row],[STD]]</f>
        <v>0.56944444444444442</v>
      </c>
    </row>
    <row r="2646" spans="1:20" hidden="1" x14ac:dyDescent="0.35">
      <c r="A2646" s="11">
        <v>46205</v>
      </c>
      <c r="B2646" s="3">
        <v>4</v>
      </c>
      <c r="C2646" t="s">
        <v>114</v>
      </c>
      <c r="D2646" t="s">
        <v>18</v>
      </c>
      <c r="E2646" s="3">
        <v>13</v>
      </c>
      <c r="F2646" t="s">
        <v>19</v>
      </c>
      <c r="G2646" t="s">
        <v>57</v>
      </c>
      <c r="H2646" t="s">
        <v>58</v>
      </c>
      <c r="I2646" s="12">
        <v>0.55902777777777779</v>
      </c>
      <c r="J2646" t="s">
        <v>59</v>
      </c>
      <c r="K2646" t="s">
        <v>58</v>
      </c>
      <c r="L2646" s="12">
        <v>0.57638888888888884</v>
      </c>
      <c r="M2646" t="s">
        <v>51</v>
      </c>
      <c r="N2646" s="3">
        <v>78</v>
      </c>
      <c r="O2646" t="s">
        <v>24</v>
      </c>
      <c r="P2646" t="s">
        <v>56</v>
      </c>
      <c r="R2646">
        <f>tblDailySchedule[[#This Row],[Capacity Approx]]*'[1]Load Factor Sheet June Acft  '!$B$5</f>
        <v>63.162272727272729</v>
      </c>
      <c r="S2646">
        <f>tblDailySchedule[[#This Row],[Capacity Approx]]*'[1]Load Factor Sheet June Acft  '!$D$5</f>
        <v>68.391818181818181</v>
      </c>
      <c r="T2646" s="22">
        <f>tblDailySchedule[[#This Row],[STD]]</f>
        <v>0.57638888888888884</v>
      </c>
    </row>
    <row r="2647" spans="1:20" hidden="1" x14ac:dyDescent="0.35">
      <c r="A2647" s="11">
        <v>46205</v>
      </c>
      <c r="B2647" s="3">
        <v>4</v>
      </c>
      <c r="C2647" t="s">
        <v>114</v>
      </c>
      <c r="D2647" t="s">
        <v>18</v>
      </c>
      <c r="E2647" s="3">
        <v>14</v>
      </c>
      <c r="F2647" t="s">
        <v>19</v>
      </c>
      <c r="G2647" t="s">
        <v>60</v>
      </c>
      <c r="H2647" t="s">
        <v>61</v>
      </c>
      <c r="I2647" s="12">
        <v>0.59027777777777779</v>
      </c>
      <c r="J2647" t="s">
        <v>62</v>
      </c>
      <c r="K2647" t="s">
        <v>61</v>
      </c>
      <c r="L2647" s="12">
        <v>0.62152777777777779</v>
      </c>
      <c r="M2647" t="s">
        <v>63</v>
      </c>
      <c r="N2647" s="3">
        <v>232</v>
      </c>
      <c r="O2647" t="s">
        <v>24</v>
      </c>
      <c r="P2647" t="s">
        <v>56</v>
      </c>
      <c r="R2647">
        <f>tblDailySchedule[[#This Row],[Capacity Approx]]*'[1]Load Factor Sheet June Acft  '!$B$5</f>
        <v>187.86727272727273</v>
      </c>
      <c r="S2647">
        <f>tblDailySchedule[[#This Row],[Capacity Approx]]*'[1]Load Factor Sheet June Acft  '!$D$5</f>
        <v>203.4218181818182</v>
      </c>
      <c r="T2647" s="22">
        <f>tblDailySchedule[[#This Row],[STD]]</f>
        <v>0.62152777777777779</v>
      </c>
    </row>
    <row r="2648" spans="1:20" hidden="1" x14ac:dyDescent="0.35">
      <c r="A2648" s="11">
        <v>46205</v>
      </c>
      <c r="B2648" s="3">
        <v>4</v>
      </c>
      <c r="C2648" t="s">
        <v>114</v>
      </c>
      <c r="D2648" t="s">
        <v>18</v>
      </c>
      <c r="E2648" s="3">
        <v>15</v>
      </c>
      <c r="F2648" t="s">
        <v>19</v>
      </c>
      <c r="G2648" t="s">
        <v>64</v>
      </c>
      <c r="H2648" t="s">
        <v>31</v>
      </c>
      <c r="I2648" s="12">
        <v>0.60069444444444442</v>
      </c>
      <c r="J2648" t="s">
        <v>65</v>
      </c>
      <c r="K2648" t="s">
        <v>66</v>
      </c>
      <c r="L2648" s="12">
        <v>0.62847222222222221</v>
      </c>
      <c r="M2648" t="s">
        <v>63</v>
      </c>
      <c r="N2648" s="3">
        <v>232</v>
      </c>
      <c r="O2648" t="s">
        <v>24</v>
      </c>
      <c r="P2648" t="s">
        <v>56</v>
      </c>
      <c r="R2648">
        <f>tblDailySchedule[[#This Row],[Capacity Approx]]*'[1]Load Factor Sheet June Acft  '!$B$5</f>
        <v>187.86727272727273</v>
      </c>
      <c r="S2648">
        <f>tblDailySchedule[[#This Row],[Capacity Approx]]*'[1]Load Factor Sheet June Acft  '!$D$5</f>
        <v>203.4218181818182</v>
      </c>
      <c r="T2648" s="22">
        <f>tblDailySchedule[[#This Row],[STD]]</f>
        <v>0.62847222222222221</v>
      </c>
    </row>
    <row r="2649" spans="1:20" hidden="1" x14ac:dyDescent="0.35">
      <c r="A2649" s="11">
        <v>46205</v>
      </c>
      <c r="B2649" s="3">
        <v>4</v>
      </c>
      <c r="C2649" t="s">
        <v>114</v>
      </c>
      <c r="D2649" t="s">
        <v>18</v>
      </c>
      <c r="E2649" s="3">
        <v>16</v>
      </c>
      <c r="F2649" t="s">
        <v>19</v>
      </c>
      <c r="G2649" t="s">
        <v>67</v>
      </c>
      <c r="H2649" t="s">
        <v>31</v>
      </c>
      <c r="I2649" s="12">
        <v>0.65625</v>
      </c>
      <c r="J2649" t="s">
        <v>68</v>
      </c>
      <c r="K2649" t="s">
        <v>31</v>
      </c>
      <c r="L2649" s="12">
        <v>0.68402777777777779</v>
      </c>
      <c r="M2649" t="s">
        <v>63</v>
      </c>
      <c r="N2649" s="3">
        <v>232</v>
      </c>
      <c r="O2649" t="s">
        <v>24</v>
      </c>
      <c r="P2649" t="s">
        <v>56</v>
      </c>
      <c r="R2649">
        <f>tblDailySchedule[[#This Row],[Capacity Approx]]*'[1]Load Factor Sheet June Acft  '!$B$5</f>
        <v>187.86727272727273</v>
      </c>
      <c r="S2649">
        <f>tblDailySchedule[[#This Row],[Capacity Approx]]*'[1]Load Factor Sheet June Acft  '!$D$5</f>
        <v>203.4218181818182</v>
      </c>
      <c r="T2649" s="22">
        <f>tblDailySchedule[[#This Row],[STD]]</f>
        <v>0.68402777777777779</v>
      </c>
    </row>
    <row r="2650" spans="1:20" hidden="1" x14ac:dyDescent="0.35">
      <c r="A2650" s="11">
        <v>46205</v>
      </c>
      <c r="B2650" s="3">
        <v>4</v>
      </c>
      <c r="C2650" t="s">
        <v>114</v>
      </c>
      <c r="D2650" t="s">
        <v>18</v>
      </c>
      <c r="E2650" s="3">
        <v>17</v>
      </c>
      <c r="F2650" t="s">
        <v>19</v>
      </c>
      <c r="G2650" t="s">
        <v>69</v>
      </c>
      <c r="H2650" t="s">
        <v>31</v>
      </c>
      <c r="I2650" s="12">
        <v>0.66319444444444442</v>
      </c>
      <c r="J2650" t="s">
        <v>70</v>
      </c>
      <c r="K2650" t="s">
        <v>31</v>
      </c>
      <c r="L2650" s="12">
        <v>0.69097222222222221</v>
      </c>
      <c r="M2650" t="s">
        <v>33</v>
      </c>
      <c r="N2650" s="3">
        <v>189</v>
      </c>
      <c r="O2650" t="s">
        <v>24</v>
      </c>
      <c r="P2650" t="s">
        <v>56</v>
      </c>
      <c r="R2650">
        <f>tblDailySchedule[[#This Row],[Capacity Approx]]*'[1]Load Factor Sheet June Acft  '!$B$5</f>
        <v>153.04704545454547</v>
      </c>
      <c r="S2650">
        <f>tblDailySchedule[[#This Row],[Capacity Approx]]*'[1]Load Factor Sheet June Acft  '!$D$5</f>
        <v>165.71863636363636</v>
      </c>
      <c r="T2650" s="22">
        <f>tblDailySchedule[[#This Row],[STD]]</f>
        <v>0.69097222222222221</v>
      </c>
    </row>
    <row r="2651" spans="1:20" hidden="1" x14ac:dyDescent="0.35">
      <c r="A2651" s="11">
        <v>46205</v>
      </c>
      <c r="B2651" s="3">
        <v>4</v>
      </c>
      <c r="C2651" t="s">
        <v>114</v>
      </c>
      <c r="D2651" t="s">
        <v>18</v>
      </c>
      <c r="E2651" s="3">
        <v>18</v>
      </c>
      <c r="F2651" t="s">
        <v>19</v>
      </c>
      <c r="G2651" t="s">
        <v>71</v>
      </c>
      <c r="H2651" t="s">
        <v>21</v>
      </c>
      <c r="I2651" s="12">
        <v>0.67013888888888884</v>
      </c>
      <c r="J2651" t="s">
        <v>72</v>
      </c>
      <c r="K2651" t="s">
        <v>21</v>
      </c>
      <c r="L2651" s="12">
        <v>0.69791666666666663</v>
      </c>
      <c r="M2651" t="s">
        <v>63</v>
      </c>
      <c r="N2651" s="3">
        <v>232</v>
      </c>
      <c r="O2651" t="s">
        <v>24</v>
      </c>
      <c r="P2651" t="s">
        <v>56</v>
      </c>
      <c r="R2651">
        <f>tblDailySchedule[[#This Row],[Capacity Approx]]*'[1]Load Factor Sheet June Acft  '!$B$5</f>
        <v>187.86727272727273</v>
      </c>
      <c r="S2651">
        <f>tblDailySchedule[[#This Row],[Capacity Approx]]*'[1]Load Factor Sheet June Acft  '!$D$5</f>
        <v>203.4218181818182</v>
      </c>
      <c r="T2651" s="22">
        <f>tblDailySchedule[[#This Row],[STD]]</f>
        <v>0.69791666666666663</v>
      </c>
    </row>
    <row r="2652" spans="1:20" hidden="1" x14ac:dyDescent="0.35">
      <c r="A2652" s="11">
        <v>46205</v>
      </c>
      <c r="B2652" s="3">
        <v>4</v>
      </c>
      <c r="C2652" t="s">
        <v>114</v>
      </c>
      <c r="D2652" t="s">
        <v>18</v>
      </c>
      <c r="E2652" s="3">
        <v>19</v>
      </c>
      <c r="F2652" t="s">
        <v>19</v>
      </c>
      <c r="G2652" t="s">
        <v>73</v>
      </c>
      <c r="H2652" t="s">
        <v>27</v>
      </c>
      <c r="I2652" s="12">
        <v>0.74652777777777779</v>
      </c>
      <c r="J2652" t="s">
        <v>74</v>
      </c>
      <c r="K2652" t="s">
        <v>27</v>
      </c>
      <c r="L2652" s="12">
        <v>0.77430555555555558</v>
      </c>
      <c r="M2652" t="s">
        <v>63</v>
      </c>
      <c r="N2652" s="3">
        <v>232</v>
      </c>
      <c r="O2652" t="s">
        <v>24</v>
      </c>
      <c r="P2652" t="s">
        <v>56</v>
      </c>
      <c r="R2652">
        <f>tblDailySchedule[[#This Row],[Capacity Approx]]*'[1]Load Factor Sheet June Acft  '!$B$5</f>
        <v>187.86727272727273</v>
      </c>
      <c r="S2652">
        <f>tblDailySchedule[[#This Row],[Capacity Approx]]*'[1]Load Factor Sheet June Acft  '!$D$5</f>
        <v>203.4218181818182</v>
      </c>
      <c r="T2652" s="22">
        <f>tblDailySchedule[[#This Row],[STD]]</f>
        <v>0.77430555555555558</v>
      </c>
    </row>
    <row r="2653" spans="1:20" hidden="1" x14ac:dyDescent="0.35">
      <c r="A2653" s="11">
        <v>46205</v>
      </c>
      <c r="B2653" s="3">
        <v>4</v>
      </c>
      <c r="C2653" t="s">
        <v>114</v>
      </c>
      <c r="D2653" t="s">
        <v>18</v>
      </c>
      <c r="E2653" s="3">
        <v>21</v>
      </c>
      <c r="F2653" t="s">
        <v>19</v>
      </c>
      <c r="G2653" t="s">
        <v>81</v>
      </c>
      <c r="H2653" t="s">
        <v>61</v>
      </c>
      <c r="I2653" s="12">
        <v>0.77083333333333337</v>
      </c>
      <c r="J2653" t="s">
        <v>82</v>
      </c>
      <c r="K2653" t="s">
        <v>49</v>
      </c>
      <c r="L2653" s="12">
        <v>0.79166666666666663</v>
      </c>
      <c r="M2653" t="s">
        <v>33</v>
      </c>
      <c r="N2653" s="3">
        <v>189</v>
      </c>
      <c r="O2653" t="s">
        <v>24</v>
      </c>
      <c r="P2653" t="s">
        <v>79</v>
      </c>
      <c r="R2653">
        <f>tblDailySchedule[[#This Row],[Capacity Approx]]*'[1]Load Factor Sheet June Acft  '!$B$5</f>
        <v>153.04704545454547</v>
      </c>
      <c r="S2653">
        <f>tblDailySchedule[[#This Row],[Capacity Approx]]*'[1]Load Factor Sheet June Acft  '!$D$5</f>
        <v>165.71863636363636</v>
      </c>
      <c r="T2653" s="22">
        <f>tblDailySchedule[[#This Row],[STD]]</f>
        <v>0.79166666666666663</v>
      </c>
    </row>
    <row r="2654" spans="1:20" hidden="1" x14ac:dyDescent="0.35">
      <c r="A2654" s="11">
        <v>46205</v>
      </c>
      <c r="B2654" s="3">
        <v>4</v>
      </c>
      <c r="C2654" t="s">
        <v>114</v>
      </c>
      <c r="D2654" t="s">
        <v>18</v>
      </c>
      <c r="E2654" s="3">
        <v>22</v>
      </c>
      <c r="F2654" t="s">
        <v>19</v>
      </c>
      <c r="G2654" t="s">
        <v>83</v>
      </c>
      <c r="H2654" t="s">
        <v>31</v>
      </c>
      <c r="I2654" s="12">
        <v>0.77777777777777779</v>
      </c>
      <c r="J2654" t="s">
        <v>84</v>
      </c>
      <c r="K2654" t="s">
        <v>31</v>
      </c>
      <c r="L2654" s="12">
        <v>0.80555555555555558</v>
      </c>
      <c r="M2654" t="s">
        <v>63</v>
      </c>
      <c r="N2654" s="3">
        <v>232</v>
      </c>
      <c r="O2654" t="s">
        <v>24</v>
      </c>
      <c r="P2654" t="s">
        <v>79</v>
      </c>
      <c r="R2654">
        <f>tblDailySchedule[[#This Row],[Capacity Approx]]*'[1]Load Factor Sheet June Acft  '!$B$5</f>
        <v>187.86727272727273</v>
      </c>
      <c r="S2654">
        <f>tblDailySchedule[[#This Row],[Capacity Approx]]*'[1]Load Factor Sheet June Acft  '!$D$5</f>
        <v>203.4218181818182</v>
      </c>
      <c r="T2654" s="22">
        <f>tblDailySchedule[[#This Row],[STD]]</f>
        <v>0.80555555555555558</v>
      </c>
    </row>
    <row r="2655" spans="1:20" hidden="1" x14ac:dyDescent="0.35">
      <c r="A2655" s="11">
        <v>46205</v>
      </c>
      <c r="B2655" s="3">
        <v>4</v>
      </c>
      <c r="C2655" t="s">
        <v>114</v>
      </c>
      <c r="D2655" t="s">
        <v>18</v>
      </c>
      <c r="E2655" s="3">
        <v>23</v>
      </c>
      <c r="F2655" t="s">
        <v>19</v>
      </c>
      <c r="G2655" t="s">
        <v>85</v>
      </c>
      <c r="H2655" t="s">
        <v>86</v>
      </c>
      <c r="I2655" s="12">
        <v>0.79861111111111116</v>
      </c>
      <c r="J2655" t="s">
        <v>87</v>
      </c>
      <c r="K2655" t="s">
        <v>86</v>
      </c>
      <c r="L2655" s="12">
        <v>0.82638888888888884</v>
      </c>
      <c r="M2655" t="s">
        <v>63</v>
      </c>
      <c r="N2655" s="3">
        <v>232</v>
      </c>
      <c r="O2655" t="s">
        <v>24</v>
      </c>
      <c r="P2655" t="s">
        <v>79</v>
      </c>
      <c r="R2655">
        <f>tblDailySchedule[[#This Row],[Capacity Approx]]*'[1]Load Factor Sheet June Acft  '!$B$5</f>
        <v>187.86727272727273</v>
      </c>
      <c r="S2655">
        <f>tblDailySchedule[[#This Row],[Capacity Approx]]*'[1]Load Factor Sheet June Acft  '!$D$5</f>
        <v>203.4218181818182</v>
      </c>
      <c r="T2655" s="22">
        <f>tblDailySchedule[[#This Row],[STD]]</f>
        <v>0.82638888888888884</v>
      </c>
    </row>
    <row r="2656" spans="1:20" hidden="1" x14ac:dyDescent="0.35">
      <c r="A2656" s="11">
        <v>46205</v>
      </c>
      <c r="B2656" s="3">
        <v>4</v>
      </c>
      <c r="C2656" t="s">
        <v>114</v>
      </c>
      <c r="D2656" t="s">
        <v>18</v>
      </c>
      <c r="E2656" s="3">
        <v>24</v>
      </c>
      <c r="F2656" t="s">
        <v>19</v>
      </c>
      <c r="G2656" t="s">
        <v>88</v>
      </c>
      <c r="H2656" t="s">
        <v>89</v>
      </c>
      <c r="I2656" s="12">
        <v>0.83333333333333337</v>
      </c>
      <c r="J2656" t="s">
        <v>90</v>
      </c>
      <c r="K2656" t="s">
        <v>31</v>
      </c>
      <c r="L2656" s="12">
        <v>0.86111111111111116</v>
      </c>
      <c r="M2656" t="s">
        <v>63</v>
      </c>
      <c r="N2656" s="3">
        <v>232</v>
      </c>
      <c r="O2656" t="s">
        <v>24</v>
      </c>
      <c r="P2656" t="s">
        <v>79</v>
      </c>
      <c r="R2656">
        <f>tblDailySchedule[[#This Row],[Capacity Approx]]*'[1]Load Factor Sheet June Acft  '!$B$5</f>
        <v>187.86727272727273</v>
      </c>
      <c r="S2656">
        <f>tblDailySchedule[[#This Row],[Capacity Approx]]*'[1]Load Factor Sheet June Acft  '!$D$5</f>
        <v>203.4218181818182</v>
      </c>
      <c r="T2656" s="22">
        <f>tblDailySchedule[[#This Row],[STD]]</f>
        <v>0.86111111111111116</v>
      </c>
    </row>
    <row r="2657" spans="1:20" hidden="1" x14ac:dyDescent="0.35">
      <c r="A2657" s="11">
        <v>46205</v>
      </c>
      <c r="B2657" s="3">
        <v>4</v>
      </c>
      <c r="C2657" t="s">
        <v>114</v>
      </c>
      <c r="D2657" t="s">
        <v>18</v>
      </c>
      <c r="E2657" s="3">
        <v>25</v>
      </c>
      <c r="F2657" t="s">
        <v>19</v>
      </c>
      <c r="G2657" t="s">
        <v>91</v>
      </c>
      <c r="H2657" t="s">
        <v>61</v>
      </c>
      <c r="I2657" s="12">
        <v>0.85416666666666663</v>
      </c>
      <c r="J2657" t="s">
        <v>92</v>
      </c>
      <c r="K2657" t="s">
        <v>61</v>
      </c>
      <c r="L2657" s="12">
        <v>0.88194444444444442</v>
      </c>
      <c r="M2657" t="s">
        <v>63</v>
      </c>
      <c r="N2657" s="3">
        <v>232</v>
      </c>
      <c r="O2657" t="s">
        <v>24</v>
      </c>
      <c r="P2657" t="s">
        <v>79</v>
      </c>
      <c r="R2657">
        <f>tblDailySchedule[[#This Row],[Capacity Approx]]*'[1]Load Factor Sheet June Acft  '!$B$5</f>
        <v>187.86727272727273</v>
      </c>
      <c r="S2657">
        <f>tblDailySchedule[[#This Row],[Capacity Approx]]*'[1]Load Factor Sheet June Acft  '!$D$5</f>
        <v>203.4218181818182</v>
      </c>
      <c r="T2657" s="22">
        <f>tblDailySchedule[[#This Row],[STD]]</f>
        <v>0.88194444444444442</v>
      </c>
    </row>
    <row r="2658" spans="1:20" hidden="1" x14ac:dyDescent="0.35">
      <c r="A2658" s="11">
        <v>46205</v>
      </c>
      <c r="B2658" s="3">
        <v>4</v>
      </c>
      <c r="C2658" t="s">
        <v>114</v>
      </c>
      <c r="D2658" t="s">
        <v>18</v>
      </c>
      <c r="E2658" s="3">
        <v>26</v>
      </c>
      <c r="F2658" t="s">
        <v>19</v>
      </c>
      <c r="G2658" t="s">
        <v>93</v>
      </c>
      <c r="H2658" t="s">
        <v>31</v>
      </c>
      <c r="I2658" s="12">
        <v>0.86111111111111116</v>
      </c>
      <c r="J2658" t="s">
        <v>94</v>
      </c>
      <c r="K2658" t="s">
        <v>31</v>
      </c>
      <c r="L2658" s="12">
        <v>0.88888888888888884</v>
      </c>
      <c r="M2658" t="s">
        <v>23</v>
      </c>
      <c r="N2658" s="3">
        <v>186</v>
      </c>
      <c r="O2658" t="s">
        <v>24</v>
      </c>
      <c r="P2658" t="s">
        <v>79</v>
      </c>
      <c r="R2658">
        <f>tblDailySchedule[[#This Row],[Capacity Approx]]*'[1]Load Factor Sheet June Acft  '!$B$5</f>
        <v>150.61772727272728</v>
      </c>
      <c r="S2658">
        <f>tblDailySchedule[[#This Row],[Capacity Approx]]*'[1]Load Factor Sheet June Acft  '!$D$5</f>
        <v>163.08818181818182</v>
      </c>
      <c r="T2658" s="22">
        <f>tblDailySchedule[[#This Row],[STD]]</f>
        <v>0.88888888888888884</v>
      </c>
    </row>
    <row r="2659" spans="1:20" hidden="1" x14ac:dyDescent="0.35">
      <c r="A2659" s="11">
        <v>46205</v>
      </c>
      <c r="B2659" s="3">
        <v>4</v>
      </c>
      <c r="C2659" t="s">
        <v>114</v>
      </c>
      <c r="D2659" t="s">
        <v>18</v>
      </c>
      <c r="E2659" s="3">
        <v>27</v>
      </c>
      <c r="F2659" t="s">
        <v>19</v>
      </c>
      <c r="G2659" t="s">
        <v>95</v>
      </c>
      <c r="H2659" t="s">
        <v>21</v>
      </c>
      <c r="I2659" s="12">
        <v>0.86805555555555558</v>
      </c>
      <c r="J2659" t="s">
        <v>96</v>
      </c>
      <c r="K2659" t="s">
        <v>21</v>
      </c>
      <c r="L2659" s="12">
        <v>0.89583333333333337</v>
      </c>
      <c r="M2659" t="s">
        <v>29</v>
      </c>
      <c r="N2659" s="3">
        <v>186</v>
      </c>
      <c r="O2659" t="s">
        <v>24</v>
      </c>
      <c r="P2659" t="s">
        <v>79</v>
      </c>
      <c r="R2659">
        <f>tblDailySchedule[[#This Row],[Capacity Approx]]*'[1]Load Factor Sheet June Acft  '!$B$5</f>
        <v>150.61772727272728</v>
      </c>
      <c r="S2659">
        <f>tblDailySchedule[[#This Row],[Capacity Approx]]*'[1]Load Factor Sheet June Acft  '!$D$5</f>
        <v>163.08818181818182</v>
      </c>
      <c r="T2659" s="22">
        <f>tblDailySchedule[[#This Row],[STD]]</f>
        <v>0.89583333333333337</v>
      </c>
    </row>
    <row r="2660" spans="1:20" hidden="1" x14ac:dyDescent="0.35">
      <c r="A2660" s="11">
        <v>46205</v>
      </c>
      <c r="B2660" s="3">
        <v>4</v>
      </c>
      <c r="C2660" t="s">
        <v>114</v>
      </c>
      <c r="D2660" t="s">
        <v>18</v>
      </c>
      <c r="E2660" s="3">
        <v>28</v>
      </c>
      <c r="F2660" t="s">
        <v>19</v>
      </c>
      <c r="G2660" t="s">
        <v>97</v>
      </c>
      <c r="H2660" t="s">
        <v>49</v>
      </c>
      <c r="I2660" s="12">
        <v>0.90277777777777779</v>
      </c>
      <c r="J2660" t="s">
        <v>97</v>
      </c>
      <c r="K2660" t="s">
        <v>61</v>
      </c>
      <c r="L2660" s="12">
        <v>0.92361111111111116</v>
      </c>
      <c r="M2660" t="s">
        <v>33</v>
      </c>
      <c r="N2660" s="3">
        <v>189</v>
      </c>
      <c r="O2660" t="s">
        <v>24</v>
      </c>
      <c r="P2660" t="s">
        <v>79</v>
      </c>
      <c r="R2660">
        <f>tblDailySchedule[[#This Row],[Capacity Approx]]*'[1]Load Factor Sheet June Acft  '!$B$5</f>
        <v>153.04704545454547</v>
      </c>
      <c r="S2660">
        <f>tblDailySchedule[[#This Row],[Capacity Approx]]*'[1]Load Factor Sheet June Acft  '!$D$5</f>
        <v>165.71863636363636</v>
      </c>
      <c r="T2660" s="22">
        <f>tblDailySchedule[[#This Row],[STD]]</f>
        <v>0.92361111111111116</v>
      </c>
    </row>
    <row r="2661" spans="1:20" hidden="1" x14ac:dyDescent="0.35">
      <c r="A2661" s="11">
        <v>46205</v>
      </c>
      <c r="B2661" s="3">
        <v>4</v>
      </c>
      <c r="C2661" t="s">
        <v>114</v>
      </c>
      <c r="D2661" t="s">
        <v>18</v>
      </c>
      <c r="E2661" s="3">
        <v>29</v>
      </c>
      <c r="F2661" t="s">
        <v>19</v>
      </c>
      <c r="G2661" t="s">
        <v>98</v>
      </c>
      <c r="H2661" t="s">
        <v>21</v>
      </c>
      <c r="I2661" s="12">
        <v>0.92013888888888884</v>
      </c>
      <c r="J2661" t="s">
        <v>99</v>
      </c>
      <c r="K2661" t="s">
        <v>21</v>
      </c>
      <c r="L2661" s="12">
        <v>0.94791666666666663</v>
      </c>
      <c r="M2661" t="s">
        <v>63</v>
      </c>
      <c r="N2661" s="3">
        <v>232</v>
      </c>
      <c r="O2661" t="s">
        <v>24</v>
      </c>
      <c r="P2661" t="s">
        <v>79</v>
      </c>
      <c r="R2661">
        <f>tblDailySchedule[[#This Row],[Capacity Approx]]*'[1]Load Factor Sheet June Acft  '!$B$5</f>
        <v>187.86727272727273</v>
      </c>
      <c r="S2661">
        <f>tblDailySchedule[[#This Row],[Capacity Approx]]*'[1]Load Factor Sheet June Acft  '!$D$5</f>
        <v>203.4218181818182</v>
      </c>
      <c r="T2661" s="22">
        <f>tblDailySchedule[[#This Row],[STD]]</f>
        <v>0.94791666666666663</v>
      </c>
    </row>
    <row r="2662" spans="1:20" hidden="1" x14ac:dyDescent="0.35">
      <c r="A2662" s="11">
        <v>46206</v>
      </c>
      <c r="B2662" s="3">
        <v>5</v>
      </c>
      <c r="C2662" t="s">
        <v>115</v>
      </c>
      <c r="D2662" t="s">
        <v>18</v>
      </c>
      <c r="E2662" s="3">
        <v>2</v>
      </c>
      <c r="F2662" t="s">
        <v>19</v>
      </c>
      <c r="G2662" t="s">
        <v>20</v>
      </c>
      <c r="H2662" t="s">
        <v>21</v>
      </c>
      <c r="I2662" s="12">
        <v>0.31944444444444442</v>
      </c>
      <c r="J2662" t="s">
        <v>22</v>
      </c>
      <c r="K2662" t="s">
        <v>21</v>
      </c>
      <c r="L2662" s="12">
        <v>0.34722222222222221</v>
      </c>
      <c r="M2662" t="s">
        <v>23</v>
      </c>
      <c r="N2662" s="3">
        <v>186</v>
      </c>
      <c r="O2662" t="s">
        <v>24</v>
      </c>
      <c r="P2662" t="s">
        <v>25</v>
      </c>
      <c r="R2662">
        <f>tblDailySchedule[[#This Row],[Capacity Approx]]*'[1]Load Factor Sheet June Acft  '!$B$5</f>
        <v>150.61772727272728</v>
      </c>
      <c r="S2662">
        <f>tblDailySchedule[[#This Row],[Capacity Approx]]*'[1]Load Factor Sheet June Acft  '!$D$5</f>
        <v>163.08818181818182</v>
      </c>
      <c r="T2662" s="22">
        <f>tblDailySchedule[[#This Row],[STD]]</f>
        <v>0.34722222222222221</v>
      </c>
    </row>
    <row r="2663" spans="1:20" hidden="1" x14ac:dyDescent="0.35">
      <c r="A2663" s="11">
        <v>46206</v>
      </c>
      <c r="B2663" s="3">
        <v>5</v>
      </c>
      <c r="C2663" t="s">
        <v>115</v>
      </c>
      <c r="D2663" t="s">
        <v>18</v>
      </c>
      <c r="E2663" s="3">
        <v>3</v>
      </c>
      <c r="F2663" t="s">
        <v>19</v>
      </c>
      <c r="G2663" t="s">
        <v>26</v>
      </c>
      <c r="H2663" t="s">
        <v>27</v>
      </c>
      <c r="I2663" s="12">
        <v>0.3263888888888889</v>
      </c>
      <c r="J2663" t="s">
        <v>28</v>
      </c>
      <c r="K2663" t="s">
        <v>27</v>
      </c>
      <c r="L2663" s="12">
        <v>0.35416666666666669</v>
      </c>
      <c r="M2663" t="s">
        <v>29</v>
      </c>
      <c r="N2663" s="3">
        <v>186</v>
      </c>
      <c r="O2663" t="s">
        <v>24</v>
      </c>
      <c r="P2663" t="s">
        <v>25</v>
      </c>
      <c r="R2663">
        <f>tblDailySchedule[[#This Row],[Capacity Approx]]*'[1]Load Factor Sheet June Acft  '!$B$5</f>
        <v>150.61772727272728</v>
      </c>
      <c r="S2663">
        <f>tblDailySchedule[[#This Row],[Capacity Approx]]*'[1]Load Factor Sheet June Acft  '!$D$5</f>
        <v>163.08818181818182</v>
      </c>
      <c r="T2663" s="22">
        <f>tblDailySchedule[[#This Row],[STD]]</f>
        <v>0.35416666666666669</v>
      </c>
    </row>
    <row r="2664" spans="1:20" hidden="1" x14ac:dyDescent="0.35">
      <c r="A2664" s="11">
        <v>46206</v>
      </c>
      <c r="B2664" s="3">
        <v>5</v>
      </c>
      <c r="C2664" t="s">
        <v>115</v>
      </c>
      <c r="D2664" t="s">
        <v>18</v>
      </c>
      <c r="E2664" s="3">
        <v>4</v>
      </c>
      <c r="F2664" t="s">
        <v>19</v>
      </c>
      <c r="G2664" t="s">
        <v>30</v>
      </c>
      <c r="H2664" t="s">
        <v>31</v>
      </c>
      <c r="I2664" s="12">
        <v>0.34722222222222221</v>
      </c>
      <c r="J2664" t="s">
        <v>32</v>
      </c>
      <c r="K2664" t="s">
        <v>31</v>
      </c>
      <c r="L2664" s="12">
        <v>0.36805555555555558</v>
      </c>
      <c r="M2664" t="s">
        <v>33</v>
      </c>
      <c r="N2664" s="3">
        <v>189</v>
      </c>
      <c r="O2664" t="s">
        <v>24</v>
      </c>
      <c r="P2664" t="s">
        <v>25</v>
      </c>
      <c r="R2664">
        <f>tblDailySchedule[[#This Row],[Capacity Approx]]*'[1]Load Factor Sheet June Acft  '!$B$5</f>
        <v>153.04704545454547</v>
      </c>
      <c r="S2664">
        <f>tblDailySchedule[[#This Row],[Capacity Approx]]*'[1]Load Factor Sheet June Acft  '!$D$5</f>
        <v>165.71863636363636</v>
      </c>
      <c r="T2664" s="22">
        <f>tblDailySchedule[[#This Row],[STD]]</f>
        <v>0.36805555555555558</v>
      </c>
    </row>
    <row r="2665" spans="1:20" hidden="1" x14ac:dyDescent="0.35">
      <c r="A2665" s="13">
        <v>46206</v>
      </c>
      <c r="B2665" s="7">
        <v>5</v>
      </c>
      <c r="C2665" s="14" t="s">
        <v>115</v>
      </c>
      <c r="D2665" s="14" t="s">
        <v>18</v>
      </c>
      <c r="E2665" s="7">
        <v>6</v>
      </c>
      <c r="F2665" s="14" t="s">
        <v>34</v>
      </c>
      <c r="G2665" s="14" t="s">
        <v>35</v>
      </c>
      <c r="H2665" s="14" t="s">
        <v>36</v>
      </c>
      <c r="I2665" s="15">
        <v>0.34722222222222221</v>
      </c>
      <c r="J2665" s="14" t="s">
        <v>37</v>
      </c>
      <c r="K2665" s="14" t="s">
        <v>36</v>
      </c>
      <c r="L2665" s="15">
        <v>0.40972222222222221</v>
      </c>
      <c r="M2665" s="14" t="s">
        <v>38</v>
      </c>
      <c r="N2665" s="7">
        <v>186</v>
      </c>
      <c r="O2665" s="14" t="s">
        <v>39</v>
      </c>
      <c r="P2665" s="14" t="s">
        <v>25</v>
      </c>
      <c r="Q2665" s="14" t="s">
        <v>39</v>
      </c>
      <c r="R2665">
        <f>tblDailySchedule[[#This Row],[Capacity Approx]]*'[1]Load Factor Sheet June Acft  '!$B$5</f>
        <v>150.61772727272728</v>
      </c>
      <c r="S2665">
        <f>tblDailySchedule[[#This Row],[Capacity Approx]]*'[1]Load Factor Sheet June Acft  '!$D$5</f>
        <v>163.08818181818182</v>
      </c>
      <c r="T2665" s="22">
        <f>tblDailySchedule[[#This Row],[STD]]</f>
        <v>0.40972222222222221</v>
      </c>
    </row>
    <row r="2666" spans="1:20" hidden="1" x14ac:dyDescent="0.35">
      <c r="A2666" s="11">
        <v>46206</v>
      </c>
      <c r="B2666" s="3">
        <v>5</v>
      </c>
      <c r="C2666" t="s">
        <v>115</v>
      </c>
      <c r="D2666" t="s">
        <v>18</v>
      </c>
      <c r="E2666" s="3">
        <v>5</v>
      </c>
      <c r="F2666" t="s">
        <v>19</v>
      </c>
      <c r="G2666" t="s">
        <v>40</v>
      </c>
      <c r="H2666" t="s">
        <v>31</v>
      </c>
      <c r="I2666" s="12">
        <v>0.35069444444444442</v>
      </c>
      <c r="J2666" t="s">
        <v>41</v>
      </c>
      <c r="K2666" t="s">
        <v>31</v>
      </c>
      <c r="L2666" s="12">
        <v>0.37152777777777779</v>
      </c>
      <c r="M2666" t="s">
        <v>23</v>
      </c>
      <c r="N2666" s="3">
        <v>186</v>
      </c>
      <c r="O2666" t="s">
        <v>24</v>
      </c>
      <c r="P2666" t="s">
        <v>25</v>
      </c>
      <c r="R2666">
        <f>tblDailySchedule[[#This Row],[Capacity Approx]]*'[1]Load Factor Sheet June Acft  '!$B$5</f>
        <v>150.61772727272728</v>
      </c>
      <c r="S2666">
        <f>tblDailySchedule[[#This Row],[Capacity Approx]]*'[1]Load Factor Sheet June Acft  '!$D$5</f>
        <v>163.08818181818182</v>
      </c>
      <c r="T2666" s="22">
        <f>tblDailySchedule[[#This Row],[STD]]</f>
        <v>0.37152777777777779</v>
      </c>
    </row>
    <row r="2667" spans="1:20" hidden="1" x14ac:dyDescent="0.35">
      <c r="A2667" s="11">
        <v>46206</v>
      </c>
      <c r="B2667" s="3">
        <v>5</v>
      </c>
      <c r="C2667" t="s">
        <v>115</v>
      </c>
      <c r="D2667" t="s">
        <v>18</v>
      </c>
      <c r="E2667" s="3">
        <v>7</v>
      </c>
      <c r="F2667" t="s">
        <v>19</v>
      </c>
      <c r="G2667" t="s">
        <v>42</v>
      </c>
      <c r="H2667" t="s">
        <v>43</v>
      </c>
      <c r="I2667" s="12">
        <v>0.3923611111111111</v>
      </c>
      <c r="J2667" t="s">
        <v>44</v>
      </c>
      <c r="K2667" t="s">
        <v>43</v>
      </c>
      <c r="L2667" s="12">
        <v>0.40277777777777779</v>
      </c>
      <c r="M2667" t="s">
        <v>45</v>
      </c>
      <c r="N2667" s="3">
        <v>9</v>
      </c>
      <c r="O2667" t="s">
        <v>24</v>
      </c>
      <c r="P2667" t="s">
        <v>25</v>
      </c>
      <c r="R2667">
        <f>tblDailySchedule[[#This Row],[Capacity Approx]]*'[1]Load Factor Sheet June Acft  '!$B$5</f>
        <v>7.2879545454545456</v>
      </c>
      <c r="S2667">
        <f>tblDailySchedule[[#This Row],[Capacity Approx]]*'[1]Load Factor Sheet June Acft  '!$D$5</f>
        <v>7.8913636363636366</v>
      </c>
      <c r="T2667" s="22">
        <f>tblDailySchedule[[#This Row],[STD]]</f>
        <v>0.40277777777777779</v>
      </c>
    </row>
    <row r="2668" spans="1:20" hidden="1" x14ac:dyDescent="0.35">
      <c r="A2668" s="11">
        <v>46206</v>
      </c>
      <c r="B2668" s="3">
        <v>5</v>
      </c>
      <c r="C2668" t="s">
        <v>115</v>
      </c>
      <c r="D2668" t="s">
        <v>18</v>
      </c>
      <c r="E2668" s="3">
        <v>8</v>
      </c>
      <c r="F2668" t="s">
        <v>19</v>
      </c>
      <c r="G2668" t="s">
        <v>46</v>
      </c>
      <c r="H2668" t="s">
        <v>31</v>
      </c>
      <c r="I2668" s="12">
        <v>0.4201388888888889</v>
      </c>
      <c r="J2668" t="s">
        <v>47</v>
      </c>
      <c r="K2668" t="s">
        <v>31</v>
      </c>
      <c r="L2668" s="12">
        <v>0.44444444444444442</v>
      </c>
      <c r="M2668" t="s">
        <v>29</v>
      </c>
      <c r="N2668" s="3">
        <v>186</v>
      </c>
      <c r="O2668" t="s">
        <v>24</v>
      </c>
      <c r="P2668" t="s">
        <v>25</v>
      </c>
      <c r="R2668">
        <f>tblDailySchedule[[#This Row],[Capacity Approx]]*'[1]Load Factor Sheet June Acft  '!$B$5</f>
        <v>150.61772727272728</v>
      </c>
      <c r="S2668">
        <f>tblDailySchedule[[#This Row],[Capacity Approx]]*'[1]Load Factor Sheet June Acft  '!$D$5</f>
        <v>163.08818181818182</v>
      </c>
      <c r="T2668" s="22">
        <f>tblDailySchedule[[#This Row],[STD]]</f>
        <v>0.44444444444444442</v>
      </c>
    </row>
    <row r="2669" spans="1:20" hidden="1" x14ac:dyDescent="0.35">
      <c r="A2669" s="11">
        <v>46206</v>
      </c>
      <c r="B2669" s="3">
        <v>5</v>
      </c>
      <c r="C2669" t="s">
        <v>115</v>
      </c>
      <c r="D2669" t="s">
        <v>18</v>
      </c>
      <c r="E2669" s="3">
        <v>9</v>
      </c>
      <c r="F2669" t="s">
        <v>19</v>
      </c>
      <c r="G2669" t="s">
        <v>48</v>
      </c>
      <c r="H2669" t="s">
        <v>49</v>
      </c>
      <c r="I2669" s="12">
        <v>0.4375</v>
      </c>
      <c r="J2669" t="s">
        <v>50</v>
      </c>
      <c r="K2669" t="s">
        <v>49</v>
      </c>
      <c r="L2669" s="12">
        <v>0.45833333333333331</v>
      </c>
      <c r="M2669" t="s">
        <v>51</v>
      </c>
      <c r="N2669" s="3">
        <v>78</v>
      </c>
      <c r="O2669" t="s">
        <v>24</v>
      </c>
      <c r="P2669" t="s">
        <v>25</v>
      </c>
      <c r="R2669">
        <f>tblDailySchedule[[#This Row],[Capacity Approx]]*'[1]Load Factor Sheet June Acft  '!$B$5</f>
        <v>63.162272727272729</v>
      </c>
      <c r="S2669">
        <f>tblDailySchedule[[#This Row],[Capacity Approx]]*'[1]Load Factor Sheet June Acft  '!$D$5</f>
        <v>68.391818181818181</v>
      </c>
      <c r="T2669" s="22">
        <f>tblDailySchedule[[#This Row],[STD]]</f>
        <v>0.45833333333333331</v>
      </c>
    </row>
    <row r="2670" spans="1:20" hidden="1" x14ac:dyDescent="0.35">
      <c r="A2670" s="11">
        <v>46206</v>
      </c>
      <c r="B2670" s="3">
        <v>5</v>
      </c>
      <c r="C2670" t="s">
        <v>115</v>
      </c>
      <c r="D2670" t="s">
        <v>18</v>
      </c>
      <c r="E2670" s="3">
        <v>10</v>
      </c>
      <c r="F2670" t="s">
        <v>19</v>
      </c>
      <c r="G2670" t="s">
        <v>52</v>
      </c>
      <c r="H2670" t="s">
        <v>27</v>
      </c>
      <c r="I2670" s="12">
        <v>0.4826388888888889</v>
      </c>
      <c r="J2670" t="s">
        <v>53</v>
      </c>
      <c r="K2670" t="s">
        <v>27</v>
      </c>
      <c r="L2670" s="12">
        <v>0.51041666666666663</v>
      </c>
      <c r="M2670" t="s">
        <v>23</v>
      </c>
      <c r="N2670" s="3">
        <v>186</v>
      </c>
      <c r="O2670" t="s">
        <v>24</v>
      </c>
      <c r="P2670" t="s">
        <v>25</v>
      </c>
      <c r="R2670">
        <f>tblDailySchedule[[#This Row],[Capacity Approx]]*'[1]Load Factor Sheet June Acft  '!$B$5</f>
        <v>150.61772727272728</v>
      </c>
      <c r="S2670">
        <f>tblDailySchedule[[#This Row],[Capacity Approx]]*'[1]Load Factor Sheet June Acft  '!$D$5</f>
        <v>163.08818181818182</v>
      </c>
      <c r="T2670" s="22">
        <f>tblDailySchedule[[#This Row],[STD]]</f>
        <v>0.51041666666666663</v>
      </c>
    </row>
    <row r="2671" spans="1:20" hidden="1" x14ac:dyDescent="0.35">
      <c r="A2671" s="11">
        <v>46206</v>
      </c>
      <c r="B2671" s="3">
        <v>5</v>
      </c>
      <c r="C2671" t="s">
        <v>115</v>
      </c>
      <c r="D2671" t="s">
        <v>18</v>
      </c>
      <c r="E2671" s="3">
        <v>11</v>
      </c>
      <c r="F2671" t="s">
        <v>19</v>
      </c>
      <c r="G2671" t="s">
        <v>54</v>
      </c>
      <c r="H2671" t="s">
        <v>31</v>
      </c>
      <c r="I2671" s="12">
        <v>0.51388888888888884</v>
      </c>
      <c r="J2671" t="s">
        <v>55</v>
      </c>
      <c r="K2671" t="s">
        <v>31</v>
      </c>
      <c r="L2671" s="12">
        <v>0.54166666666666663</v>
      </c>
      <c r="M2671" t="s">
        <v>23</v>
      </c>
      <c r="N2671" s="3">
        <v>186</v>
      </c>
      <c r="O2671" t="s">
        <v>24</v>
      </c>
      <c r="P2671" t="s">
        <v>56</v>
      </c>
      <c r="R2671">
        <f>tblDailySchedule[[#This Row],[Capacity Approx]]*'[1]Load Factor Sheet June Acft  '!$B$5</f>
        <v>150.61772727272728</v>
      </c>
      <c r="S2671">
        <f>tblDailySchedule[[#This Row],[Capacity Approx]]*'[1]Load Factor Sheet June Acft  '!$D$5</f>
        <v>163.08818181818182</v>
      </c>
      <c r="T2671" s="22">
        <f>tblDailySchedule[[#This Row],[STD]]</f>
        <v>0.54166666666666663</v>
      </c>
    </row>
    <row r="2672" spans="1:20" hidden="1" x14ac:dyDescent="0.35">
      <c r="A2672" s="11">
        <v>46206</v>
      </c>
      <c r="B2672" s="3">
        <v>5</v>
      </c>
      <c r="C2672" t="s">
        <v>115</v>
      </c>
      <c r="D2672" t="s">
        <v>18</v>
      </c>
      <c r="E2672" s="3">
        <v>13</v>
      </c>
      <c r="F2672" t="s">
        <v>19</v>
      </c>
      <c r="G2672" t="s">
        <v>57</v>
      </c>
      <c r="H2672" t="s">
        <v>58</v>
      </c>
      <c r="I2672" s="12">
        <v>0.55902777777777779</v>
      </c>
      <c r="J2672" t="s">
        <v>59</v>
      </c>
      <c r="K2672" t="s">
        <v>58</v>
      </c>
      <c r="L2672" s="12">
        <v>0.57638888888888884</v>
      </c>
      <c r="M2672" t="s">
        <v>51</v>
      </c>
      <c r="N2672" s="3">
        <v>78</v>
      </c>
      <c r="O2672" t="s">
        <v>24</v>
      </c>
      <c r="P2672" t="s">
        <v>56</v>
      </c>
      <c r="R2672">
        <f>tblDailySchedule[[#This Row],[Capacity Approx]]*'[1]Load Factor Sheet June Acft  '!$B$5</f>
        <v>63.162272727272729</v>
      </c>
      <c r="S2672">
        <f>tblDailySchedule[[#This Row],[Capacity Approx]]*'[1]Load Factor Sheet June Acft  '!$D$5</f>
        <v>68.391818181818181</v>
      </c>
      <c r="T2672" s="22">
        <f>tblDailySchedule[[#This Row],[STD]]</f>
        <v>0.57638888888888884</v>
      </c>
    </row>
    <row r="2673" spans="1:20" hidden="1" x14ac:dyDescent="0.35">
      <c r="A2673" s="11">
        <v>46206</v>
      </c>
      <c r="B2673" s="3">
        <v>5</v>
      </c>
      <c r="C2673" t="s">
        <v>115</v>
      </c>
      <c r="D2673" t="s">
        <v>18</v>
      </c>
      <c r="E2673" s="3">
        <v>14</v>
      </c>
      <c r="F2673" t="s">
        <v>19</v>
      </c>
      <c r="G2673" t="s">
        <v>60</v>
      </c>
      <c r="H2673" t="s">
        <v>61</v>
      </c>
      <c r="I2673" s="12">
        <v>0.59027777777777779</v>
      </c>
      <c r="J2673" t="s">
        <v>62</v>
      </c>
      <c r="K2673" t="s">
        <v>61</v>
      </c>
      <c r="L2673" s="12">
        <v>0.62152777777777779</v>
      </c>
      <c r="M2673" t="s">
        <v>63</v>
      </c>
      <c r="N2673" s="3">
        <v>232</v>
      </c>
      <c r="O2673" t="s">
        <v>24</v>
      </c>
      <c r="P2673" t="s">
        <v>56</v>
      </c>
      <c r="R2673">
        <f>tblDailySchedule[[#This Row],[Capacity Approx]]*'[1]Load Factor Sheet June Acft  '!$B$5</f>
        <v>187.86727272727273</v>
      </c>
      <c r="S2673">
        <f>tblDailySchedule[[#This Row],[Capacity Approx]]*'[1]Load Factor Sheet June Acft  '!$D$5</f>
        <v>203.4218181818182</v>
      </c>
      <c r="T2673" s="22">
        <f>tblDailySchedule[[#This Row],[STD]]</f>
        <v>0.62152777777777779</v>
      </c>
    </row>
    <row r="2674" spans="1:20" hidden="1" x14ac:dyDescent="0.35">
      <c r="A2674" s="11">
        <v>46206</v>
      </c>
      <c r="B2674" s="3">
        <v>5</v>
      </c>
      <c r="C2674" t="s">
        <v>115</v>
      </c>
      <c r="D2674" t="s">
        <v>18</v>
      </c>
      <c r="E2674" s="3">
        <v>15</v>
      </c>
      <c r="F2674" t="s">
        <v>19</v>
      </c>
      <c r="G2674" t="s">
        <v>64</v>
      </c>
      <c r="H2674" t="s">
        <v>31</v>
      </c>
      <c r="I2674" s="12">
        <v>0.60069444444444442</v>
      </c>
      <c r="J2674" t="s">
        <v>65</v>
      </c>
      <c r="K2674" t="s">
        <v>66</v>
      </c>
      <c r="L2674" s="12">
        <v>0.62847222222222221</v>
      </c>
      <c r="M2674" t="s">
        <v>63</v>
      </c>
      <c r="N2674" s="3">
        <v>232</v>
      </c>
      <c r="O2674" t="s">
        <v>24</v>
      </c>
      <c r="P2674" t="s">
        <v>56</v>
      </c>
      <c r="R2674">
        <f>tblDailySchedule[[#This Row],[Capacity Approx]]*'[1]Load Factor Sheet June Acft  '!$B$5</f>
        <v>187.86727272727273</v>
      </c>
      <c r="S2674">
        <f>tblDailySchedule[[#This Row],[Capacity Approx]]*'[1]Load Factor Sheet June Acft  '!$D$5</f>
        <v>203.4218181818182</v>
      </c>
      <c r="T2674" s="22">
        <f>tblDailySchedule[[#This Row],[STD]]</f>
        <v>0.62847222222222221</v>
      </c>
    </row>
    <row r="2675" spans="1:20" hidden="1" x14ac:dyDescent="0.35">
      <c r="A2675" s="11">
        <v>46206</v>
      </c>
      <c r="B2675" s="3">
        <v>5</v>
      </c>
      <c r="C2675" t="s">
        <v>115</v>
      </c>
      <c r="D2675" t="s">
        <v>18</v>
      </c>
      <c r="E2675" s="3">
        <v>16</v>
      </c>
      <c r="F2675" t="s">
        <v>19</v>
      </c>
      <c r="G2675" t="s">
        <v>67</v>
      </c>
      <c r="H2675" t="s">
        <v>31</v>
      </c>
      <c r="I2675" s="12">
        <v>0.65625</v>
      </c>
      <c r="J2675" t="s">
        <v>68</v>
      </c>
      <c r="K2675" t="s">
        <v>31</v>
      </c>
      <c r="L2675" s="12">
        <v>0.68402777777777779</v>
      </c>
      <c r="M2675" t="s">
        <v>63</v>
      </c>
      <c r="N2675" s="3">
        <v>232</v>
      </c>
      <c r="O2675" t="s">
        <v>24</v>
      </c>
      <c r="P2675" t="s">
        <v>56</v>
      </c>
      <c r="R2675">
        <f>tblDailySchedule[[#This Row],[Capacity Approx]]*'[1]Load Factor Sheet June Acft  '!$B$5</f>
        <v>187.86727272727273</v>
      </c>
      <c r="S2675">
        <f>tblDailySchedule[[#This Row],[Capacity Approx]]*'[1]Load Factor Sheet June Acft  '!$D$5</f>
        <v>203.4218181818182</v>
      </c>
      <c r="T2675" s="22">
        <f>tblDailySchedule[[#This Row],[STD]]</f>
        <v>0.68402777777777779</v>
      </c>
    </row>
    <row r="2676" spans="1:20" hidden="1" x14ac:dyDescent="0.35">
      <c r="A2676" s="11">
        <v>46206</v>
      </c>
      <c r="B2676" s="3">
        <v>5</v>
      </c>
      <c r="C2676" t="s">
        <v>115</v>
      </c>
      <c r="D2676" t="s">
        <v>18</v>
      </c>
      <c r="E2676" s="3">
        <v>17</v>
      </c>
      <c r="F2676" t="s">
        <v>19</v>
      </c>
      <c r="G2676" t="s">
        <v>69</v>
      </c>
      <c r="H2676" t="s">
        <v>31</v>
      </c>
      <c r="I2676" s="12">
        <v>0.66319444444444442</v>
      </c>
      <c r="J2676" t="s">
        <v>70</v>
      </c>
      <c r="K2676" t="s">
        <v>31</v>
      </c>
      <c r="L2676" s="12">
        <v>0.69097222222222221</v>
      </c>
      <c r="M2676" t="s">
        <v>33</v>
      </c>
      <c r="N2676" s="3">
        <v>189</v>
      </c>
      <c r="O2676" t="s">
        <v>24</v>
      </c>
      <c r="P2676" t="s">
        <v>56</v>
      </c>
      <c r="R2676">
        <f>tblDailySchedule[[#This Row],[Capacity Approx]]*'[1]Load Factor Sheet June Acft  '!$B$5</f>
        <v>153.04704545454547</v>
      </c>
      <c r="S2676">
        <f>tblDailySchedule[[#This Row],[Capacity Approx]]*'[1]Load Factor Sheet June Acft  '!$D$5</f>
        <v>165.71863636363636</v>
      </c>
      <c r="T2676" s="22">
        <f>tblDailySchedule[[#This Row],[STD]]</f>
        <v>0.69097222222222221</v>
      </c>
    </row>
    <row r="2677" spans="1:20" hidden="1" x14ac:dyDescent="0.35">
      <c r="A2677" s="11">
        <v>46206</v>
      </c>
      <c r="B2677" s="3">
        <v>5</v>
      </c>
      <c r="C2677" t="s">
        <v>115</v>
      </c>
      <c r="D2677" t="s">
        <v>18</v>
      </c>
      <c r="E2677" s="3">
        <v>18</v>
      </c>
      <c r="F2677" t="s">
        <v>19</v>
      </c>
      <c r="G2677" t="s">
        <v>71</v>
      </c>
      <c r="H2677" t="s">
        <v>21</v>
      </c>
      <c r="I2677" s="12">
        <v>0.67013888888888884</v>
      </c>
      <c r="J2677" t="s">
        <v>72</v>
      </c>
      <c r="K2677" t="s">
        <v>21</v>
      </c>
      <c r="L2677" s="12">
        <v>0.69791666666666663</v>
      </c>
      <c r="M2677" t="s">
        <v>63</v>
      </c>
      <c r="N2677" s="3">
        <v>232</v>
      </c>
      <c r="O2677" t="s">
        <v>24</v>
      </c>
      <c r="P2677" t="s">
        <v>56</v>
      </c>
      <c r="R2677">
        <f>tblDailySchedule[[#This Row],[Capacity Approx]]*'[1]Load Factor Sheet June Acft  '!$B$5</f>
        <v>187.86727272727273</v>
      </c>
      <c r="S2677">
        <f>tblDailySchedule[[#This Row],[Capacity Approx]]*'[1]Load Factor Sheet June Acft  '!$D$5</f>
        <v>203.4218181818182</v>
      </c>
      <c r="T2677" s="22">
        <f>tblDailySchedule[[#This Row],[STD]]</f>
        <v>0.69791666666666663</v>
      </c>
    </row>
    <row r="2678" spans="1:20" hidden="1" x14ac:dyDescent="0.35">
      <c r="A2678" s="11">
        <v>46206</v>
      </c>
      <c r="B2678" s="3">
        <v>5</v>
      </c>
      <c r="C2678" t="s">
        <v>115</v>
      </c>
      <c r="D2678" t="s">
        <v>18</v>
      </c>
      <c r="E2678" s="3">
        <v>19</v>
      </c>
      <c r="F2678" t="s">
        <v>19</v>
      </c>
      <c r="G2678" t="s">
        <v>73</v>
      </c>
      <c r="H2678" t="s">
        <v>27</v>
      </c>
      <c r="I2678" s="12">
        <v>0.74652777777777779</v>
      </c>
      <c r="J2678" t="s">
        <v>74</v>
      </c>
      <c r="K2678" t="s">
        <v>27</v>
      </c>
      <c r="L2678" s="12">
        <v>0.77430555555555558</v>
      </c>
      <c r="M2678" t="s">
        <v>63</v>
      </c>
      <c r="N2678" s="3">
        <v>232</v>
      </c>
      <c r="O2678" t="s">
        <v>24</v>
      </c>
      <c r="P2678" t="s">
        <v>56</v>
      </c>
      <c r="R2678">
        <f>tblDailySchedule[[#This Row],[Capacity Approx]]*'[1]Load Factor Sheet June Acft  '!$B$5</f>
        <v>187.86727272727273</v>
      </c>
      <c r="S2678">
        <f>tblDailySchedule[[#This Row],[Capacity Approx]]*'[1]Load Factor Sheet June Acft  '!$D$5</f>
        <v>203.4218181818182</v>
      </c>
      <c r="T2678" s="22">
        <f>tblDailySchedule[[#This Row],[STD]]</f>
        <v>0.77430555555555558</v>
      </c>
    </row>
    <row r="2679" spans="1:20" hidden="1" x14ac:dyDescent="0.35">
      <c r="A2679" s="11">
        <v>46206</v>
      </c>
      <c r="B2679" s="3">
        <v>5</v>
      </c>
      <c r="C2679" t="s">
        <v>115</v>
      </c>
      <c r="D2679" t="s">
        <v>18</v>
      </c>
      <c r="E2679" s="3">
        <v>20</v>
      </c>
      <c r="F2679" t="s">
        <v>34</v>
      </c>
      <c r="G2679" t="s">
        <v>75</v>
      </c>
      <c r="H2679" t="s">
        <v>76</v>
      </c>
      <c r="I2679" s="12">
        <v>0.76388888888888884</v>
      </c>
      <c r="J2679" t="s">
        <v>77</v>
      </c>
      <c r="K2679" t="s">
        <v>78</v>
      </c>
      <c r="L2679" s="12">
        <v>0.78472222222222221</v>
      </c>
      <c r="M2679" t="s">
        <v>51</v>
      </c>
      <c r="N2679" s="3">
        <v>78</v>
      </c>
      <c r="O2679" t="s">
        <v>24</v>
      </c>
      <c r="P2679" t="s">
        <v>79</v>
      </c>
      <c r="Q2679" s="16" t="s">
        <v>80</v>
      </c>
      <c r="R2679">
        <f>tblDailySchedule[[#This Row],[Capacity Approx]]*'[1]Load Factor Sheet June Acft  '!$B$5</f>
        <v>63.162272727272729</v>
      </c>
      <c r="S2679">
        <f>tblDailySchedule[[#This Row],[Capacity Approx]]*'[1]Load Factor Sheet June Acft  '!$D$5</f>
        <v>68.391818181818181</v>
      </c>
      <c r="T2679" s="22">
        <f>tblDailySchedule[[#This Row],[STD]]</f>
        <v>0.78472222222222221</v>
      </c>
    </row>
    <row r="2680" spans="1:20" hidden="1" x14ac:dyDescent="0.35">
      <c r="A2680" s="11">
        <v>46206</v>
      </c>
      <c r="B2680" s="3">
        <v>5</v>
      </c>
      <c r="C2680" t="s">
        <v>115</v>
      </c>
      <c r="D2680" t="s">
        <v>18</v>
      </c>
      <c r="E2680" s="3">
        <v>21</v>
      </c>
      <c r="F2680" t="s">
        <v>19</v>
      </c>
      <c r="G2680" t="s">
        <v>81</v>
      </c>
      <c r="H2680" t="s">
        <v>61</v>
      </c>
      <c r="I2680" s="12">
        <v>0.77083333333333337</v>
      </c>
      <c r="J2680" t="s">
        <v>82</v>
      </c>
      <c r="K2680" t="s">
        <v>49</v>
      </c>
      <c r="L2680" s="12">
        <v>0.79166666666666663</v>
      </c>
      <c r="M2680" t="s">
        <v>33</v>
      </c>
      <c r="N2680" s="3">
        <v>189</v>
      </c>
      <c r="O2680" t="s">
        <v>24</v>
      </c>
      <c r="P2680" t="s">
        <v>79</v>
      </c>
      <c r="R2680">
        <f>tblDailySchedule[[#This Row],[Capacity Approx]]*'[1]Load Factor Sheet June Acft  '!$B$5</f>
        <v>153.04704545454547</v>
      </c>
      <c r="S2680">
        <f>tblDailySchedule[[#This Row],[Capacity Approx]]*'[1]Load Factor Sheet June Acft  '!$D$5</f>
        <v>165.71863636363636</v>
      </c>
      <c r="T2680" s="22">
        <f>tblDailySchedule[[#This Row],[STD]]</f>
        <v>0.79166666666666663</v>
      </c>
    </row>
    <row r="2681" spans="1:20" hidden="1" x14ac:dyDescent="0.35">
      <c r="A2681" s="11">
        <v>46206</v>
      </c>
      <c r="B2681" s="3">
        <v>5</v>
      </c>
      <c r="C2681" t="s">
        <v>115</v>
      </c>
      <c r="D2681" t="s">
        <v>18</v>
      </c>
      <c r="E2681" s="3">
        <v>22</v>
      </c>
      <c r="F2681" t="s">
        <v>19</v>
      </c>
      <c r="G2681" t="s">
        <v>83</v>
      </c>
      <c r="H2681" t="s">
        <v>31</v>
      </c>
      <c r="I2681" s="12">
        <v>0.77777777777777779</v>
      </c>
      <c r="J2681" t="s">
        <v>84</v>
      </c>
      <c r="K2681" t="s">
        <v>31</v>
      </c>
      <c r="L2681" s="12">
        <v>0.80555555555555558</v>
      </c>
      <c r="M2681" t="s">
        <v>63</v>
      </c>
      <c r="N2681" s="3">
        <v>232</v>
      </c>
      <c r="O2681" t="s">
        <v>24</v>
      </c>
      <c r="P2681" t="s">
        <v>79</v>
      </c>
      <c r="R2681">
        <f>tblDailySchedule[[#This Row],[Capacity Approx]]*'[1]Load Factor Sheet June Acft  '!$B$5</f>
        <v>187.86727272727273</v>
      </c>
      <c r="S2681">
        <f>tblDailySchedule[[#This Row],[Capacity Approx]]*'[1]Load Factor Sheet June Acft  '!$D$5</f>
        <v>203.4218181818182</v>
      </c>
      <c r="T2681" s="22">
        <f>tblDailySchedule[[#This Row],[STD]]</f>
        <v>0.80555555555555558</v>
      </c>
    </row>
    <row r="2682" spans="1:20" hidden="1" x14ac:dyDescent="0.35">
      <c r="A2682" s="11">
        <v>46206</v>
      </c>
      <c r="B2682" s="3">
        <v>5</v>
      </c>
      <c r="C2682" t="s">
        <v>115</v>
      </c>
      <c r="D2682" t="s">
        <v>18</v>
      </c>
      <c r="E2682" s="3">
        <v>23</v>
      </c>
      <c r="F2682" t="s">
        <v>19</v>
      </c>
      <c r="G2682" t="s">
        <v>85</v>
      </c>
      <c r="H2682" t="s">
        <v>86</v>
      </c>
      <c r="I2682" s="12">
        <v>0.79861111111111116</v>
      </c>
      <c r="J2682" t="s">
        <v>87</v>
      </c>
      <c r="K2682" t="s">
        <v>86</v>
      </c>
      <c r="L2682" s="12">
        <v>0.82638888888888884</v>
      </c>
      <c r="M2682" t="s">
        <v>63</v>
      </c>
      <c r="N2682" s="3">
        <v>232</v>
      </c>
      <c r="O2682" t="s">
        <v>24</v>
      </c>
      <c r="P2682" t="s">
        <v>79</v>
      </c>
      <c r="R2682">
        <f>tblDailySchedule[[#This Row],[Capacity Approx]]*'[1]Load Factor Sheet June Acft  '!$B$5</f>
        <v>187.86727272727273</v>
      </c>
      <c r="S2682">
        <f>tblDailySchedule[[#This Row],[Capacity Approx]]*'[1]Load Factor Sheet June Acft  '!$D$5</f>
        <v>203.4218181818182</v>
      </c>
      <c r="T2682" s="22">
        <f>tblDailySchedule[[#This Row],[STD]]</f>
        <v>0.82638888888888884</v>
      </c>
    </row>
    <row r="2683" spans="1:20" hidden="1" x14ac:dyDescent="0.35">
      <c r="A2683" s="11">
        <v>46206</v>
      </c>
      <c r="B2683" s="3">
        <v>5</v>
      </c>
      <c r="C2683" t="s">
        <v>115</v>
      </c>
      <c r="D2683" t="s">
        <v>18</v>
      </c>
      <c r="E2683" s="3">
        <v>24</v>
      </c>
      <c r="F2683" t="s">
        <v>19</v>
      </c>
      <c r="G2683" t="s">
        <v>88</v>
      </c>
      <c r="H2683" t="s">
        <v>89</v>
      </c>
      <c r="I2683" s="12">
        <v>0.83333333333333337</v>
      </c>
      <c r="J2683" t="s">
        <v>90</v>
      </c>
      <c r="K2683" t="s">
        <v>31</v>
      </c>
      <c r="L2683" s="12">
        <v>0.86111111111111116</v>
      </c>
      <c r="M2683" t="s">
        <v>63</v>
      </c>
      <c r="N2683" s="3">
        <v>232</v>
      </c>
      <c r="O2683" t="s">
        <v>24</v>
      </c>
      <c r="P2683" t="s">
        <v>79</v>
      </c>
      <c r="R2683">
        <f>tblDailySchedule[[#This Row],[Capacity Approx]]*'[1]Load Factor Sheet June Acft  '!$B$5</f>
        <v>187.86727272727273</v>
      </c>
      <c r="S2683">
        <f>tblDailySchedule[[#This Row],[Capacity Approx]]*'[1]Load Factor Sheet June Acft  '!$D$5</f>
        <v>203.4218181818182</v>
      </c>
      <c r="T2683" s="22">
        <f>tblDailySchedule[[#This Row],[STD]]</f>
        <v>0.86111111111111116</v>
      </c>
    </row>
    <row r="2684" spans="1:20" hidden="1" x14ac:dyDescent="0.35">
      <c r="A2684" s="11">
        <v>46206</v>
      </c>
      <c r="B2684" s="3">
        <v>5</v>
      </c>
      <c r="C2684" t="s">
        <v>115</v>
      </c>
      <c r="D2684" t="s">
        <v>18</v>
      </c>
      <c r="E2684" s="3">
        <v>25</v>
      </c>
      <c r="F2684" t="s">
        <v>19</v>
      </c>
      <c r="G2684" t="s">
        <v>91</v>
      </c>
      <c r="H2684" t="s">
        <v>61</v>
      </c>
      <c r="I2684" s="12">
        <v>0.85416666666666663</v>
      </c>
      <c r="J2684" t="s">
        <v>92</v>
      </c>
      <c r="K2684" t="s">
        <v>61</v>
      </c>
      <c r="L2684" s="12">
        <v>0.88194444444444442</v>
      </c>
      <c r="M2684" t="s">
        <v>63</v>
      </c>
      <c r="N2684" s="3">
        <v>232</v>
      </c>
      <c r="O2684" t="s">
        <v>24</v>
      </c>
      <c r="P2684" t="s">
        <v>79</v>
      </c>
      <c r="R2684">
        <f>tblDailySchedule[[#This Row],[Capacity Approx]]*'[1]Load Factor Sheet June Acft  '!$B$5</f>
        <v>187.86727272727273</v>
      </c>
      <c r="S2684">
        <f>tblDailySchedule[[#This Row],[Capacity Approx]]*'[1]Load Factor Sheet June Acft  '!$D$5</f>
        <v>203.4218181818182</v>
      </c>
      <c r="T2684" s="22">
        <f>tblDailySchedule[[#This Row],[STD]]</f>
        <v>0.88194444444444442</v>
      </c>
    </row>
    <row r="2685" spans="1:20" hidden="1" x14ac:dyDescent="0.35">
      <c r="A2685" s="11">
        <v>46206</v>
      </c>
      <c r="B2685" s="3">
        <v>5</v>
      </c>
      <c r="C2685" t="s">
        <v>115</v>
      </c>
      <c r="D2685" t="s">
        <v>18</v>
      </c>
      <c r="E2685" s="3">
        <v>26</v>
      </c>
      <c r="F2685" t="s">
        <v>19</v>
      </c>
      <c r="G2685" t="s">
        <v>93</v>
      </c>
      <c r="H2685" t="s">
        <v>31</v>
      </c>
      <c r="I2685" s="12">
        <v>0.86111111111111116</v>
      </c>
      <c r="J2685" t="s">
        <v>94</v>
      </c>
      <c r="K2685" t="s">
        <v>31</v>
      </c>
      <c r="L2685" s="12">
        <v>0.88888888888888884</v>
      </c>
      <c r="M2685" t="s">
        <v>23</v>
      </c>
      <c r="N2685" s="3">
        <v>186</v>
      </c>
      <c r="O2685" t="s">
        <v>24</v>
      </c>
      <c r="P2685" t="s">
        <v>79</v>
      </c>
      <c r="R2685">
        <f>tblDailySchedule[[#This Row],[Capacity Approx]]*'[1]Load Factor Sheet June Acft  '!$B$5</f>
        <v>150.61772727272728</v>
      </c>
      <c r="S2685">
        <f>tblDailySchedule[[#This Row],[Capacity Approx]]*'[1]Load Factor Sheet June Acft  '!$D$5</f>
        <v>163.08818181818182</v>
      </c>
      <c r="T2685" s="22">
        <f>tblDailySchedule[[#This Row],[STD]]</f>
        <v>0.88888888888888884</v>
      </c>
    </row>
    <row r="2686" spans="1:20" hidden="1" x14ac:dyDescent="0.35">
      <c r="A2686" s="11">
        <v>46206</v>
      </c>
      <c r="B2686" s="3">
        <v>5</v>
      </c>
      <c r="C2686" t="s">
        <v>115</v>
      </c>
      <c r="D2686" t="s">
        <v>18</v>
      </c>
      <c r="E2686" s="3">
        <v>27</v>
      </c>
      <c r="F2686" t="s">
        <v>19</v>
      </c>
      <c r="G2686" t="s">
        <v>95</v>
      </c>
      <c r="H2686" t="s">
        <v>21</v>
      </c>
      <c r="I2686" s="12">
        <v>0.86805555555555558</v>
      </c>
      <c r="J2686" t="s">
        <v>96</v>
      </c>
      <c r="K2686" t="s">
        <v>21</v>
      </c>
      <c r="L2686" s="12">
        <v>0.89583333333333337</v>
      </c>
      <c r="M2686" t="s">
        <v>29</v>
      </c>
      <c r="N2686" s="3">
        <v>186</v>
      </c>
      <c r="O2686" t="s">
        <v>24</v>
      </c>
      <c r="P2686" t="s">
        <v>79</v>
      </c>
      <c r="R2686">
        <f>tblDailySchedule[[#This Row],[Capacity Approx]]*'[1]Load Factor Sheet June Acft  '!$B$5</f>
        <v>150.61772727272728</v>
      </c>
      <c r="S2686">
        <f>tblDailySchedule[[#This Row],[Capacity Approx]]*'[1]Load Factor Sheet June Acft  '!$D$5</f>
        <v>163.08818181818182</v>
      </c>
      <c r="T2686" s="22">
        <f>tblDailySchedule[[#This Row],[STD]]</f>
        <v>0.89583333333333337</v>
      </c>
    </row>
    <row r="2687" spans="1:20" hidden="1" x14ac:dyDescent="0.35">
      <c r="A2687" s="11">
        <v>46206</v>
      </c>
      <c r="B2687" s="3">
        <v>5</v>
      </c>
      <c r="C2687" t="s">
        <v>115</v>
      </c>
      <c r="D2687" t="s">
        <v>18</v>
      </c>
      <c r="E2687" s="3">
        <v>28</v>
      </c>
      <c r="F2687" t="s">
        <v>19</v>
      </c>
      <c r="G2687" t="s">
        <v>97</v>
      </c>
      <c r="H2687" t="s">
        <v>49</v>
      </c>
      <c r="I2687" s="12">
        <v>0.90277777777777779</v>
      </c>
      <c r="J2687" t="s">
        <v>97</v>
      </c>
      <c r="K2687" t="s">
        <v>61</v>
      </c>
      <c r="L2687" s="12">
        <v>0.92361111111111116</v>
      </c>
      <c r="M2687" t="s">
        <v>33</v>
      </c>
      <c r="N2687" s="3">
        <v>189</v>
      </c>
      <c r="O2687" t="s">
        <v>24</v>
      </c>
      <c r="P2687" t="s">
        <v>79</v>
      </c>
      <c r="R2687">
        <f>tblDailySchedule[[#This Row],[Capacity Approx]]*'[1]Load Factor Sheet June Acft  '!$B$5</f>
        <v>153.04704545454547</v>
      </c>
      <c r="S2687">
        <f>tblDailySchedule[[#This Row],[Capacity Approx]]*'[1]Load Factor Sheet June Acft  '!$D$5</f>
        <v>165.71863636363636</v>
      </c>
      <c r="T2687" s="22">
        <f>tblDailySchedule[[#This Row],[STD]]</f>
        <v>0.92361111111111116</v>
      </c>
    </row>
    <row r="2688" spans="1:20" hidden="1" x14ac:dyDescent="0.35">
      <c r="A2688" s="11">
        <v>46206</v>
      </c>
      <c r="B2688" s="3">
        <v>5</v>
      </c>
      <c r="C2688" t="s">
        <v>115</v>
      </c>
      <c r="D2688" t="s">
        <v>18</v>
      </c>
      <c r="E2688" s="3">
        <v>29</v>
      </c>
      <c r="F2688" t="s">
        <v>19</v>
      </c>
      <c r="G2688" t="s">
        <v>98</v>
      </c>
      <c r="H2688" t="s">
        <v>21</v>
      </c>
      <c r="I2688" s="12">
        <v>0.92013888888888884</v>
      </c>
      <c r="J2688" t="s">
        <v>99</v>
      </c>
      <c r="K2688" t="s">
        <v>21</v>
      </c>
      <c r="L2688" s="12">
        <v>0.94791666666666663</v>
      </c>
      <c r="M2688" t="s">
        <v>63</v>
      </c>
      <c r="N2688" s="3">
        <v>232</v>
      </c>
      <c r="O2688" t="s">
        <v>24</v>
      </c>
      <c r="P2688" t="s">
        <v>79</v>
      </c>
      <c r="R2688">
        <f>tblDailySchedule[[#This Row],[Capacity Approx]]*'[1]Load Factor Sheet June Acft  '!$B$5</f>
        <v>187.86727272727273</v>
      </c>
      <c r="S2688">
        <f>tblDailySchedule[[#This Row],[Capacity Approx]]*'[1]Load Factor Sheet June Acft  '!$D$5</f>
        <v>203.4218181818182</v>
      </c>
      <c r="T2688" s="22">
        <f>tblDailySchedule[[#This Row],[STD]]</f>
        <v>0.94791666666666663</v>
      </c>
    </row>
    <row r="2689" spans="1:20" hidden="1" x14ac:dyDescent="0.35">
      <c r="A2689" s="13">
        <v>46206</v>
      </c>
      <c r="B2689" s="7">
        <v>5</v>
      </c>
      <c r="C2689" s="14" t="s">
        <v>115</v>
      </c>
      <c r="D2689" s="14" t="s">
        <v>18</v>
      </c>
      <c r="E2689" s="7">
        <v>30</v>
      </c>
      <c r="F2689" s="14" t="s">
        <v>104</v>
      </c>
      <c r="G2689" s="14" t="s">
        <v>105</v>
      </c>
      <c r="H2689" s="14" t="s">
        <v>106</v>
      </c>
      <c r="I2689" s="15">
        <v>0.92708333333333337</v>
      </c>
      <c r="J2689" s="14" t="s">
        <v>107</v>
      </c>
      <c r="K2689" s="14" t="s">
        <v>106</v>
      </c>
      <c r="L2689" s="15">
        <v>0.95833333333333337</v>
      </c>
      <c r="M2689" s="14" t="s">
        <v>38</v>
      </c>
      <c r="N2689" s="7">
        <v>186</v>
      </c>
      <c r="O2689" s="14" t="s">
        <v>39</v>
      </c>
      <c r="P2689" s="14" t="s">
        <v>79</v>
      </c>
      <c r="Q2689" s="14" t="s">
        <v>39</v>
      </c>
      <c r="R2689">
        <f>tblDailySchedule[[#This Row],[Capacity Approx]]*'[1]Load Factor Sheet June Acft  '!$B$5</f>
        <v>150.61772727272728</v>
      </c>
      <c r="S2689">
        <f>tblDailySchedule[[#This Row],[Capacity Approx]]*'[1]Load Factor Sheet June Acft  '!$D$5</f>
        <v>163.08818181818182</v>
      </c>
      <c r="T2689" s="22">
        <f>tblDailySchedule[[#This Row],[STD]]</f>
        <v>0.95833333333333337</v>
      </c>
    </row>
    <row r="2690" spans="1:20" hidden="1" x14ac:dyDescent="0.35">
      <c r="A2690" s="11">
        <v>46207</v>
      </c>
      <c r="B2690" s="3">
        <v>6</v>
      </c>
      <c r="C2690" t="s">
        <v>116</v>
      </c>
      <c r="D2690" t="s">
        <v>18</v>
      </c>
      <c r="E2690" s="3">
        <v>1</v>
      </c>
      <c r="F2690" t="s">
        <v>101</v>
      </c>
      <c r="G2690" t="s">
        <v>102</v>
      </c>
      <c r="H2690" t="s">
        <v>61</v>
      </c>
      <c r="I2690" s="12">
        <v>0.3125</v>
      </c>
      <c r="J2690" t="s">
        <v>103</v>
      </c>
      <c r="K2690" t="s">
        <v>61</v>
      </c>
      <c r="L2690" s="12">
        <v>0.33333333333333331</v>
      </c>
      <c r="M2690" t="s">
        <v>33</v>
      </c>
      <c r="N2690" s="3">
        <v>189</v>
      </c>
      <c r="O2690" t="s">
        <v>24</v>
      </c>
      <c r="P2690" t="s">
        <v>25</v>
      </c>
      <c r="R2690">
        <f>tblDailySchedule[[#This Row],[Capacity Approx]]*'[1]Load Factor Sheet June Acft  '!$B$5</f>
        <v>153.04704545454547</v>
      </c>
      <c r="S2690">
        <f>tblDailySchedule[[#This Row],[Capacity Approx]]*'[1]Load Factor Sheet June Acft  '!$D$5</f>
        <v>165.71863636363636</v>
      </c>
      <c r="T2690" s="22">
        <f>tblDailySchedule[[#This Row],[STD]]</f>
        <v>0.33333333333333331</v>
      </c>
    </row>
    <row r="2691" spans="1:20" hidden="1" x14ac:dyDescent="0.35">
      <c r="A2691" s="11">
        <v>46207</v>
      </c>
      <c r="B2691" s="3">
        <v>6</v>
      </c>
      <c r="C2691" t="s">
        <v>116</v>
      </c>
      <c r="D2691" t="s">
        <v>18</v>
      </c>
      <c r="E2691" s="3">
        <v>2</v>
      </c>
      <c r="F2691" t="s">
        <v>19</v>
      </c>
      <c r="G2691" t="s">
        <v>20</v>
      </c>
      <c r="H2691" t="s">
        <v>21</v>
      </c>
      <c r="I2691" s="12">
        <v>0.31944444444444442</v>
      </c>
      <c r="J2691" t="s">
        <v>22</v>
      </c>
      <c r="K2691" t="s">
        <v>21</v>
      </c>
      <c r="L2691" s="12">
        <v>0.34722222222222221</v>
      </c>
      <c r="M2691" t="s">
        <v>23</v>
      </c>
      <c r="N2691" s="3">
        <v>186</v>
      </c>
      <c r="O2691" t="s">
        <v>24</v>
      </c>
      <c r="P2691" t="s">
        <v>25</v>
      </c>
      <c r="R2691">
        <f>tblDailySchedule[[#This Row],[Capacity Approx]]*'[1]Load Factor Sheet June Acft  '!$B$5</f>
        <v>150.61772727272728</v>
      </c>
      <c r="S2691">
        <f>tblDailySchedule[[#This Row],[Capacity Approx]]*'[1]Load Factor Sheet June Acft  '!$D$5</f>
        <v>163.08818181818182</v>
      </c>
      <c r="T2691" s="22">
        <f>tblDailySchedule[[#This Row],[STD]]</f>
        <v>0.34722222222222221</v>
      </c>
    </row>
    <row r="2692" spans="1:20" hidden="1" x14ac:dyDescent="0.35">
      <c r="A2692" s="11">
        <v>46207</v>
      </c>
      <c r="B2692" s="3">
        <v>6</v>
      </c>
      <c r="C2692" t="s">
        <v>116</v>
      </c>
      <c r="D2692" t="s">
        <v>18</v>
      </c>
      <c r="E2692" s="3">
        <v>3</v>
      </c>
      <c r="F2692" t="s">
        <v>19</v>
      </c>
      <c r="G2692" t="s">
        <v>26</v>
      </c>
      <c r="H2692" t="s">
        <v>27</v>
      </c>
      <c r="I2692" s="12">
        <v>0.3263888888888889</v>
      </c>
      <c r="J2692" t="s">
        <v>28</v>
      </c>
      <c r="K2692" t="s">
        <v>27</v>
      </c>
      <c r="L2692" s="12">
        <v>0.35416666666666669</v>
      </c>
      <c r="M2692" t="s">
        <v>29</v>
      </c>
      <c r="N2692" s="3">
        <v>186</v>
      </c>
      <c r="O2692" t="s">
        <v>24</v>
      </c>
      <c r="P2692" t="s">
        <v>25</v>
      </c>
      <c r="R2692">
        <f>tblDailySchedule[[#This Row],[Capacity Approx]]*'[1]Load Factor Sheet June Acft  '!$B$5</f>
        <v>150.61772727272728</v>
      </c>
      <c r="S2692">
        <f>tblDailySchedule[[#This Row],[Capacity Approx]]*'[1]Load Factor Sheet June Acft  '!$D$5</f>
        <v>163.08818181818182</v>
      </c>
      <c r="T2692" s="22">
        <f>tblDailySchedule[[#This Row],[STD]]</f>
        <v>0.35416666666666669</v>
      </c>
    </row>
    <row r="2693" spans="1:20" hidden="1" x14ac:dyDescent="0.35">
      <c r="A2693" s="11">
        <v>46207</v>
      </c>
      <c r="B2693" s="3">
        <v>6</v>
      </c>
      <c r="C2693" t="s">
        <v>116</v>
      </c>
      <c r="D2693" t="s">
        <v>18</v>
      </c>
      <c r="E2693" s="3">
        <v>4</v>
      </c>
      <c r="F2693" t="s">
        <v>19</v>
      </c>
      <c r="G2693" t="s">
        <v>30</v>
      </c>
      <c r="H2693" t="s">
        <v>31</v>
      </c>
      <c r="I2693" s="12">
        <v>0.34722222222222221</v>
      </c>
      <c r="J2693" t="s">
        <v>32</v>
      </c>
      <c r="K2693" t="s">
        <v>31</v>
      </c>
      <c r="L2693" s="12">
        <v>0.36805555555555558</v>
      </c>
      <c r="M2693" t="s">
        <v>33</v>
      </c>
      <c r="N2693" s="3">
        <v>189</v>
      </c>
      <c r="O2693" t="s">
        <v>24</v>
      </c>
      <c r="P2693" t="s">
        <v>25</v>
      </c>
      <c r="R2693">
        <f>tblDailySchedule[[#This Row],[Capacity Approx]]*'[1]Load Factor Sheet June Acft  '!$B$5</f>
        <v>153.04704545454547</v>
      </c>
      <c r="S2693">
        <f>tblDailySchedule[[#This Row],[Capacity Approx]]*'[1]Load Factor Sheet June Acft  '!$D$5</f>
        <v>165.71863636363636</v>
      </c>
      <c r="T2693" s="22">
        <f>tblDailySchedule[[#This Row],[STD]]</f>
        <v>0.36805555555555558</v>
      </c>
    </row>
    <row r="2694" spans="1:20" hidden="1" x14ac:dyDescent="0.35">
      <c r="A2694" s="11">
        <v>46207</v>
      </c>
      <c r="B2694" s="3">
        <v>6</v>
      </c>
      <c r="C2694" t="s">
        <v>116</v>
      </c>
      <c r="D2694" t="s">
        <v>18</v>
      </c>
      <c r="E2694" s="3">
        <v>5</v>
      </c>
      <c r="F2694" t="s">
        <v>19</v>
      </c>
      <c r="G2694" t="s">
        <v>40</v>
      </c>
      <c r="H2694" t="s">
        <v>31</v>
      </c>
      <c r="I2694" s="12">
        <v>0.35069444444444442</v>
      </c>
      <c r="J2694" t="s">
        <v>41</v>
      </c>
      <c r="K2694" t="s">
        <v>31</v>
      </c>
      <c r="L2694" s="12">
        <v>0.37152777777777779</v>
      </c>
      <c r="M2694" t="s">
        <v>23</v>
      </c>
      <c r="N2694" s="3">
        <v>186</v>
      </c>
      <c r="O2694" t="s">
        <v>24</v>
      </c>
      <c r="P2694" t="s">
        <v>25</v>
      </c>
      <c r="R2694">
        <f>tblDailySchedule[[#This Row],[Capacity Approx]]*'[1]Load Factor Sheet June Acft  '!$B$5</f>
        <v>150.61772727272728</v>
      </c>
      <c r="S2694">
        <f>tblDailySchedule[[#This Row],[Capacity Approx]]*'[1]Load Factor Sheet June Acft  '!$D$5</f>
        <v>163.08818181818182</v>
      </c>
      <c r="T2694" s="22">
        <f>tblDailySchedule[[#This Row],[STD]]</f>
        <v>0.37152777777777779</v>
      </c>
    </row>
    <row r="2695" spans="1:20" hidden="1" x14ac:dyDescent="0.35">
      <c r="A2695" s="11">
        <v>46207</v>
      </c>
      <c r="B2695" s="3">
        <v>6</v>
      </c>
      <c r="C2695" t="s">
        <v>116</v>
      </c>
      <c r="D2695" t="s">
        <v>18</v>
      </c>
      <c r="E2695" s="3">
        <v>7</v>
      </c>
      <c r="F2695" t="s">
        <v>19</v>
      </c>
      <c r="G2695" t="s">
        <v>42</v>
      </c>
      <c r="H2695" t="s">
        <v>43</v>
      </c>
      <c r="I2695" s="12">
        <v>0.3923611111111111</v>
      </c>
      <c r="J2695" t="s">
        <v>44</v>
      </c>
      <c r="K2695" t="s">
        <v>43</v>
      </c>
      <c r="L2695" s="12">
        <v>0.40277777777777779</v>
      </c>
      <c r="M2695" t="s">
        <v>45</v>
      </c>
      <c r="N2695" s="3">
        <v>9</v>
      </c>
      <c r="O2695" t="s">
        <v>24</v>
      </c>
      <c r="P2695" t="s">
        <v>25</v>
      </c>
      <c r="R2695">
        <f>tblDailySchedule[[#This Row],[Capacity Approx]]*'[1]Load Factor Sheet June Acft  '!$B$5</f>
        <v>7.2879545454545456</v>
      </c>
      <c r="S2695">
        <f>tblDailySchedule[[#This Row],[Capacity Approx]]*'[1]Load Factor Sheet June Acft  '!$D$5</f>
        <v>7.8913636363636366</v>
      </c>
      <c r="T2695" s="22">
        <f>tblDailySchedule[[#This Row],[STD]]</f>
        <v>0.40277777777777779</v>
      </c>
    </row>
    <row r="2696" spans="1:20" hidden="1" x14ac:dyDescent="0.35">
      <c r="A2696" s="11">
        <v>46207</v>
      </c>
      <c r="B2696" s="3">
        <v>6</v>
      </c>
      <c r="C2696" t="s">
        <v>116</v>
      </c>
      <c r="D2696" t="s">
        <v>18</v>
      </c>
      <c r="E2696" s="3">
        <v>8</v>
      </c>
      <c r="F2696" t="s">
        <v>19</v>
      </c>
      <c r="G2696" t="s">
        <v>46</v>
      </c>
      <c r="H2696" t="s">
        <v>31</v>
      </c>
      <c r="I2696" s="12">
        <v>0.4201388888888889</v>
      </c>
      <c r="J2696" t="s">
        <v>47</v>
      </c>
      <c r="K2696" t="s">
        <v>31</v>
      </c>
      <c r="L2696" s="12">
        <v>0.44444444444444442</v>
      </c>
      <c r="M2696" t="s">
        <v>29</v>
      </c>
      <c r="N2696" s="3">
        <v>186</v>
      </c>
      <c r="O2696" t="s">
        <v>24</v>
      </c>
      <c r="P2696" t="s">
        <v>25</v>
      </c>
      <c r="R2696">
        <f>tblDailySchedule[[#This Row],[Capacity Approx]]*'[1]Load Factor Sheet June Acft  '!$B$5</f>
        <v>150.61772727272728</v>
      </c>
      <c r="S2696">
        <f>tblDailySchedule[[#This Row],[Capacity Approx]]*'[1]Load Factor Sheet June Acft  '!$D$5</f>
        <v>163.08818181818182</v>
      </c>
      <c r="T2696" s="22">
        <f>tblDailySchedule[[#This Row],[STD]]</f>
        <v>0.44444444444444442</v>
      </c>
    </row>
    <row r="2697" spans="1:20" hidden="1" x14ac:dyDescent="0.35">
      <c r="A2697" s="11">
        <v>46207</v>
      </c>
      <c r="B2697" s="3">
        <v>6</v>
      </c>
      <c r="C2697" t="s">
        <v>116</v>
      </c>
      <c r="D2697" t="s">
        <v>18</v>
      </c>
      <c r="E2697" s="3">
        <v>9</v>
      </c>
      <c r="F2697" t="s">
        <v>19</v>
      </c>
      <c r="G2697" t="s">
        <v>48</v>
      </c>
      <c r="H2697" t="s">
        <v>49</v>
      </c>
      <c r="I2697" s="12">
        <v>0.4375</v>
      </c>
      <c r="J2697" t="s">
        <v>50</v>
      </c>
      <c r="K2697" t="s">
        <v>49</v>
      </c>
      <c r="L2697" s="12">
        <v>0.45833333333333331</v>
      </c>
      <c r="M2697" t="s">
        <v>51</v>
      </c>
      <c r="N2697" s="3">
        <v>78</v>
      </c>
      <c r="O2697" t="s">
        <v>24</v>
      </c>
      <c r="P2697" t="s">
        <v>25</v>
      </c>
      <c r="R2697">
        <f>tblDailySchedule[[#This Row],[Capacity Approx]]*'[1]Load Factor Sheet June Acft  '!$B$5</f>
        <v>63.162272727272729</v>
      </c>
      <c r="S2697">
        <f>tblDailySchedule[[#This Row],[Capacity Approx]]*'[1]Load Factor Sheet June Acft  '!$D$5</f>
        <v>68.391818181818181</v>
      </c>
      <c r="T2697" s="22">
        <f>tblDailySchedule[[#This Row],[STD]]</f>
        <v>0.45833333333333331</v>
      </c>
    </row>
    <row r="2698" spans="1:20" hidden="1" x14ac:dyDescent="0.35">
      <c r="A2698" s="11">
        <v>46207</v>
      </c>
      <c r="B2698" s="3">
        <v>6</v>
      </c>
      <c r="C2698" t="s">
        <v>116</v>
      </c>
      <c r="D2698" t="s">
        <v>18</v>
      </c>
      <c r="E2698" s="3">
        <v>10</v>
      </c>
      <c r="F2698" t="s">
        <v>19</v>
      </c>
      <c r="G2698" t="s">
        <v>52</v>
      </c>
      <c r="H2698" t="s">
        <v>27</v>
      </c>
      <c r="I2698" s="12">
        <v>0.4826388888888889</v>
      </c>
      <c r="J2698" t="s">
        <v>53</v>
      </c>
      <c r="K2698" t="s">
        <v>27</v>
      </c>
      <c r="L2698" s="12">
        <v>0.51041666666666663</v>
      </c>
      <c r="M2698" t="s">
        <v>23</v>
      </c>
      <c r="N2698" s="3">
        <v>186</v>
      </c>
      <c r="O2698" t="s">
        <v>24</v>
      </c>
      <c r="P2698" t="s">
        <v>25</v>
      </c>
      <c r="R2698">
        <f>tblDailySchedule[[#This Row],[Capacity Approx]]*'[1]Load Factor Sheet June Acft  '!$B$5</f>
        <v>150.61772727272728</v>
      </c>
      <c r="S2698">
        <f>tblDailySchedule[[#This Row],[Capacity Approx]]*'[1]Load Factor Sheet June Acft  '!$D$5</f>
        <v>163.08818181818182</v>
      </c>
      <c r="T2698" s="22">
        <f>tblDailySchedule[[#This Row],[STD]]</f>
        <v>0.51041666666666663</v>
      </c>
    </row>
    <row r="2699" spans="1:20" hidden="1" x14ac:dyDescent="0.35">
      <c r="A2699" s="11">
        <v>46207</v>
      </c>
      <c r="B2699" s="3">
        <v>6</v>
      </c>
      <c r="C2699" t="s">
        <v>116</v>
      </c>
      <c r="D2699" t="s">
        <v>18</v>
      </c>
      <c r="E2699" s="3">
        <v>11</v>
      </c>
      <c r="F2699" t="s">
        <v>19</v>
      </c>
      <c r="G2699" t="s">
        <v>54</v>
      </c>
      <c r="H2699" t="s">
        <v>31</v>
      </c>
      <c r="I2699" s="12">
        <v>0.51388888888888884</v>
      </c>
      <c r="J2699" t="s">
        <v>55</v>
      </c>
      <c r="K2699" t="s">
        <v>31</v>
      </c>
      <c r="L2699" s="12">
        <v>0.54166666666666663</v>
      </c>
      <c r="M2699" t="s">
        <v>23</v>
      </c>
      <c r="N2699" s="3">
        <v>186</v>
      </c>
      <c r="O2699" t="s">
        <v>24</v>
      </c>
      <c r="P2699" t="s">
        <v>56</v>
      </c>
      <c r="R2699">
        <f>tblDailySchedule[[#This Row],[Capacity Approx]]*'[1]Load Factor Sheet June Acft  '!$B$5</f>
        <v>150.61772727272728</v>
      </c>
      <c r="S2699">
        <f>tblDailySchedule[[#This Row],[Capacity Approx]]*'[1]Load Factor Sheet June Acft  '!$D$5</f>
        <v>163.08818181818182</v>
      </c>
      <c r="T2699" s="22">
        <f>tblDailySchedule[[#This Row],[STD]]</f>
        <v>0.54166666666666663</v>
      </c>
    </row>
    <row r="2700" spans="1:20" hidden="1" x14ac:dyDescent="0.35">
      <c r="A2700" s="11">
        <v>46207</v>
      </c>
      <c r="B2700" s="3">
        <v>6</v>
      </c>
      <c r="C2700" t="s">
        <v>116</v>
      </c>
      <c r="D2700" t="s">
        <v>18</v>
      </c>
      <c r="E2700" s="3">
        <v>12</v>
      </c>
      <c r="F2700" t="s">
        <v>109</v>
      </c>
      <c r="G2700" t="s">
        <v>110</v>
      </c>
      <c r="H2700" t="s">
        <v>111</v>
      </c>
      <c r="I2700" s="12">
        <v>0.55555555555555558</v>
      </c>
      <c r="J2700" t="s">
        <v>112</v>
      </c>
      <c r="K2700" t="s">
        <v>111</v>
      </c>
      <c r="L2700" s="12">
        <v>0.56944444444444442</v>
      </c>
      <c r="M2700" t="s">
        <v>51</v>
      </c>
      <c r="N2700" s="3">
        <v>78</v>
      </c>
      <c r="O2700" t="s">
        <v>24</v>
      </c>
      <c r="P2700" t="s">
        <v>56</v>
      </c>
      <c r="R2700">
        <f>tblDailySchedule[[#This Row],[Capacity Approx]]*'[1]Load Factor Sheet June Acft  '!$B$5</f>
        <v>63.162272727272729</v>
      </c>
      <c r="S2700">
        <f>tblDailySchedule[[#This Row],[Capacity Approx]]*'[1]Load Factor Sheet June Acft  '!$D$5</f>
        <v>68.391818181818181</v>
      </c>
      <c r="T2700" s="22">
        <f>tblDailySchedule[[#This Row],[STD]]</f>
        <v>0.56944444444444442</v>
      </c>
    </row>
    <row r="2701" spans="1:20" hidden="1" x14ac:dyDescent="0.35">
      <c r="A2701" s="11">
        <v>46207</v>
      </c>
      <c r="B2701" s="3">
        <v>6</v>
      </c>
      <c r="C2701" t="s">
        <v>116</v>
      </c>
      <c r="D2701" t="s">
        <v>18</v>
      </c>
      <c r="E2701" s="3">
        <v>13</v>
      </c>
      <c r="F2701" t="s">
        <v>19</v>
      </c>
      <c r="G2701" t="s">
        <v>57</v>
      </c>
      <c r="H2701" t="s">
        <v>58</v>
      </c>
      <c r="I2701" s="12">
        <v>0.55902777777777779</v>
      </c>
      <c r="J2701" t="s">
        <v>59</v>
      </c>
      <c r="K2701" t="s">
        <v>58</v>
      </c>
      <c r="L2701" s="12">
        <v>0.57638888888888884</v>
      </c>
      <c r="M2701" t="s">
        <v>51</v>
      </c>
      <c r="N2701" s="3">
        <v>78</v>
      </c>
      <c r="O2701" t="s">
        <v>24</v>
      </c>
      <c r="P2701" t="s">
        <v>56</v>
      </c>
      <c r="R2701">
        <f>tblDailySchedule[[#This Row],[Capacity Approx]]*'[1]Load Factor Sheet June Acft  '!$B$5</f>
        <v>63.162272727272729</v>
      </c>
      <c r="S2701">
        <f>tblDailySchedule[[#This Row],[Capacity Approx]]*'[1]Load Factor Sheet June Acft  '!$D$5</f>
        <v>68.391818181818181</v>
      </c>
      <c r="T2701" s="22">
        <f>tblDailySchedule[[#This Row],[STD]]</f>
        <v>0.57638888888888884</v>
      </c>
    </row>
    <row r="2702" spans="1:20" hidden="1" x14ac:dyDescent="0.35">
      <c r="A2702" s="11">
        <v>46207</v>
      </c>
      <c r="B2702" s="3">
        <v>6</v>
      </c>
      <c r="C2702" t="s">
        <v>116</v>
      </c>
      <c r="D2702" t="s">
        <v>18</v>
      </c>
      <c r="E2702" s="3">
        <v>14</v>
      </c>
      <c r="F2702" t="s">
        <v>19</v>
      </c>
      <c r="G2702" t="s">
        <v>60</v>
      </c>
      <c r="H2702" t="s">
        <v>61</v>
      </c>
      <c r="I2702" s="12">
        <v>0.59027777777777779</v>
      </c>
      <c r="J2702" t="s">
        <v>62</v>
      </c>
      <c r="K2702" t="s">
        <v>61</v>
      </c>
      <c r="L2702" s="12">
        <v>0.62152777777777779</v>
      </c>
      <c r="M2702" t="s">
        <v>63</v>
      </c>
      <c r="N2702" s="3">
        <v>232</v>
      </c>
      <c r="O2702" t="s">
        <v>24</v>
      </c>
      <c r="P2702" t="s">
        <v>56</v>
      </c>
      <c r="R2702">
        <f>tblDailySchedule[[#This Row],[Capacity Approx]]*'[1]Load Factor Sheet June Acft  '!$B$5</f>
        <v>187.86727272727273</v>
      </c>
      <c r="S2702">
        <f>tblDailySchedule[[#This Row],[Capacity Approx]]*'[1]Load Factor Sheet June Acft  '!$D$5</f>
        <v>203.4218181818182</v>
      </c>
      <c r="T2702" s="22">
        <f>tblDailySchedule[[#This Row],[STD]]</f>
        <v>0.62152777777777779</v>
      </c>
    </row>
    <row r="2703" spans="1:20" hidden="1" x14ac:dyDescent="0.35">
      <c r="A2703" s="11">
        <v>46207</v>
      </c>
      <c r="B2703" s="3">
        <v>6</v>
      </c>
      <c r="C2703" t="s">
        <v>116</v>
      </c>
      <c r="D2703" t="s">
        <v>18</v>
      </c>
      <c r="E2703" s="3">
        <v>15</v>
      </c>
      <c r="F2703" t="s">
        <v>19</v>
      </c>
      <c r="G2703" t="s">
        <v>64</v>
      </c>
      <c r="H2703" t="s">
        <v>31</v>
      </c>
      <c r="I2703" s="12">
        <v>0.60069444444444442</v>
      </c>
      <c r="J2703" t="s">
        <v>65</v>
      </c>
      <c r="K2703" t="s">
        <v>66</v>
      </c>
      <c r="L2703" s="12">
        <v>0.62847222222222221</v>
      </c>
      <c r="M2703" t="s">
        <v>63</v>
      </c>
      <c r="N2703" s="3">
        <v>232</v>
      </c>
      <c r="O2703" t="s">
        <v>24</v>
      </c>
      <c r="P2703" t="s">
        <v>56</v>
      </c>
      <c r="R2703">
        <f>tblDailySchedule[[#This Row],[Capacity Approx]]*'[1]Load Factor Sheet June Acft  '!$B$5</f>
        <v>187.86727272727273</v>
      </c>
      <c r="S2703">
        <f>tblDailySchedule[[#This Row],[Capacity Approx]]*'[1]Load Factor Sheet June Acft  '!$D$5</f>
        <v>203.4218181818182</v>
      </c>
      <c r="T2703" s="22">
        <f>tblDailySchedule[[#This Row],[STD]]</f>
        <v>0.62847222222222221</v>
      </c>
    </row>
    <row r="2704" spans="1:20" hidden="1" x14ac:dyDescent="0.35">
      <c r="A2704" s="11">
        <v>46207</v>
      </c>
      <c r="B2704" s="3">
        <v>6</v>
      </c>
      <c r="C2704" t="s">
        <v>116</v>
      </c>
      <c r="D2704" t="s">
        <v>18</v>
      </c>
      <c r="E2704" s="3">
        <v>16</v>
      </c>
      <c r="F2704" t="s">
        <v>19</v>
      </c>
      <c r="G2704" t="s">
        <v>67</v>
      </c>
      <c r="H2704" t="s">
        <v>31</v>
      </c>
      <c r="I2704" s="12">
        <v>0.65625</v>
      </c>
      <c r="J2704" t="s">
        <v>68</v>
      </c>
      <c r="K2704" t="s">
        <v>31</v>
      </c>
      <c r="L2704" s="12">
        <v>0.68402777777777779</v>
      </c>
      <c r="M2704" t="s">
        <v>63</v>
      </c>
      <c r="N2704" s="3">
        <v>232</v>
      </c>
      <c r="O2704" t="s">
        <v>24</v>
      </c>
      <c r="P2704" t="s">
        <v>56</v>
      </c>
      <c r="R2704">
        <f>tblDailySchedule[[#This Row],[Capacity Approx]]*'[1]Load Factor Sheet June Acft  '!$B$5</f>
        <v>187.86727272727273</v>
      </c>
      <c r="S2704">
        <f>tblDailySchedule[[#This Row],[Capacity Approx]]*'[1]Load Factor Sheet June Acft  '!$D$5</f>
        <v>203.4218181818182</v>
      </c>
      <c r="T2704" s="22">
        <f>tblDailySchedule[[#This Row],[STD]]</f>
        <v>0.68402777777777779</v>
      </c>
    </row>
    <row r="2705" spans="1:20" hidden="1" x14ac:dyDescent="0.35">
      <c r="A2705" s="11">
        <v>46207</v>
      </c>
      <c r="B2705" s="3">
        <v>6</v>
      </c>
      <c r="C2705" t="s">
        <v>116</v>
      </c>
      <c r="D2705" t="s">
        <v>18</v>
      </c>
      <c r="E2705" s="3">
        <v>17</v>
      </c>
      <c r="F2705" t="s">
        <v>19</v>
      </c>
      <c r="G2705" t="s">
        <v>69</v>
      </c>
      <c r="H2705" t="s">
        <v>31</v>
      </c>
      <c r="I2705" s="12">
        <v>0.66319444444444442</v>
      </c>
      <c r="J2705" t="s">
        <v>70</v>
      </c>
      <c r="K2705" t="s">
        <v>31</v>
      </c>
      <c r="L2705" s="12">
        <v>0.69097222222222221</v>
      </c>
      <c r="M2705" t="s">
        <v>33</v>
      </c>
      <c r="N2705" s="3">
        <v>189</v>
      </c>
      <c r="O2705" t="s">
        <v>24</v>
      </c>
      <c r="P2705" t="s">
        <v>56</v>
      </c>
      <c r="R2705">
        <f>tblDailySchedule[[#This Row],[Capacity Approx]]*'[1]Load Factor Sheet June Acft  '!$B$5</f>
        <v>153.04704545454547</v>
      </c>
      <c r="S2705">
        <f>tblDailySchedule[[#This Row],[Capacity Approx]]*'[1]Load Factor Sheet June Acft  '!$D$5</f>
        <v>165.71863636363636</v>
      </c>
      <c r="T2705" s="22">
        <f>tblDailySchedule[[#This Row],[STD]]</f>
        <v>0.69097222222222221</v>
      </c>
    </row>
    <row r="2706" spans="1:20" hidden="1" x14ac:dyDescent="0.35">
      <c r="A2706" s="11">
        <v>46207</v>
      </c>
      <c r="B2706" s="3">
        <v>6</v>
      </c>
      <c r="C2706" t="s">
        <v>116</v>
      </c>
      <c r="D2706" t="s">
        <v>18</v>
      </c>
      <c r="E2706" s="3">
        <v>18</v>
      </c>
      <c r="F2706" t="s">
        <v>19</v>
      </c>
      <c r="G2706" t="s">
        <v>71</v>
      </c>
      <c r="H2706" t="s">
        <v>21</v>
      </c>
      <c r="I2706" s="12">
        <v>0.67013888888888884</v>
      </c>
      <c r="J2706" t="s">
        <v>72</v>
      </c>
      <c r="K2706" t="s">
        <v>21</v>
      </c>
      <c r="L2706" s="12">
        <v>0.69791666666666663</v>
      </c>
      <c r="M2706" t="s">
        <v>63</v>
      </c>
      <c r="N2706" s="3">
        <v>232</v>
      </c>
      <c r="O2706" t="s">
        <v>24</v>
      </c>
      <c r="P2706" t="s">
        <v>56</v>
      </c>
      <c r="R2706">
        <f>tblDailySchedule[[#This Row],[Capacity Approx]]*'[1]Load Factor Sheet June Acft  '!$B$5</f>
        <v>187.86727272727273</v>
      </c>
      <c r="S2706">
        <f>tblDailySchedule[[#This Row],[Capacity Approx]]*'[1]Load Factor Sheet June Acft  '!$D$5</f>
        <v>203.4218181818182</v>
      </c>
      <c r="T2706" s="22">
        <f>tblDailySchedule[[#This Row],[STD]]</f>
        <v>0.69791666666666663</v>
      </c>
    </row>
    <row r="2707" spans="1:20" hidden="1" x14ac:dyDescent="0.35">
      <c r="A2707" s="11">
        <v>46207</v>
      </c>
      <c r="B2707" s="3">
        <v>6</v>
      </c>
      <c r="C2707" t="s">
        <v>116</v>
      </c>
      <c r="D2707" t="s">
        <v>18</v>
      </c>
      <c r="E2707" s="3">
        <v>19</v>
      </c>
      <c r="F2707" t="s">
        <v>19</v>
      </c>
      <c r="G2707" t="s">
        <v>73</v>
      </c>
      <c r="H2707" t="s">
        <v>27</v>
      </c>
      <c r="I2707" s="12">
        <v>0.74652777777777779</v>
      </c>
      <c r="J2707" t="s">
        <v>74</v>
      </c>
      <c r="K2707" t="s">
        <v>27</v>
      </c>
      <c r="L2707" s="12">
        <v>0.77430555555555558</v>
      </c>
      <c r="M2707" t="s">
        <v>63</v>
      </c>
      <c r="N2707" s="3">
        <v>232</v>
      </c>
      <c r="O2707" t="s">
        <v>24</v>
      </c>
      <c r="P2707" t="s">
        <v>56</v>
      </c>
      <c r="R2707">
        <f>tblDailySchedule[[#This Row],[Capacity Approx]]*'[1]Load Factor Sheet June Acft  '!$B$5</f>
        <v>187.86727272727273</v>
      </c>
      <c r="S2707">
        <f>tblDailySchedule[[#This Row],[Capacity Approx]]*'[1]Load Factor Sheet June Acft  '!$D$5</f>
        <v>203.4218181818182</v>
      </c>
      <c r="T2707" s="22">
        <f>tblDailySchedule[[#This Row],[STD]]</f>
        <v>0.77430555555555558</v>
      </c>
    </row>
    <row r="2708" spans="1:20" hidden="1" x14ac:dyDescent="0.35">
      <c r="A2708" s="11">
        <v>46207</v>
      </c>
      <c r="B2708" s="3">
        <v>6</v>
      </c>
      <c r="C2708" t="s">
        <v>116</v>
      </c>
      <c r="D2708" t="s">
        <v>18</v>
      </c>
      <c r="E2708" s="3">
        <v>21</v>
      </c>
      <c r="F2708" t="s">
        <v>19</v>
      </c>
      <c r="G2708" t="s">
        <v>81</v>
      </c>
      <c r="H2708" t="s">
        <v>61</v>
      </c>
      <c r="I2708" s="12">
        <v>0.77083333333333337</v>
      </c>
      <c r="J2708" t="s">
        <v>82</v>
      </c>
      <c r="K2708" t="s">
        <v>49</v>
      </c>
      <c r="L2708" s="12">
        <v>0.79166666666666663</v>
      </c>
      <c r="M2708" t="s">
        <v>33</v>
      </c>
      <c r="N2708" s="3">
        <v>189</v>
      </c>
      <c r="O2708" t="s">
        <v>24</v>
      </c>
      <c r="P2708" t="s">
        <v>79</v>
      </c>
      <c r="R2708">
        <f>tblDailySchedule[[#This Row],[Capacity Approx]]*'[1]Load Factor Sheet June Acft  '!$B$5</f>
        <v>153.04704545454547</v>
      </c>
      <c r="S2708">
        <f>tblDailySchedule[[#This Row],[Capacity Approx]]*'[1]Load Factor Sheet June Acft  '!$D$5</f>
        <v>165.71863636363636</v>
      </c>
      <c r="T2708" s="22">
        <f>tblDailySchedule[[#This Row],[STD]]</f>
        <v>0.79166666666666663</v>
      </c>
    </row>
    <row r="2709" spans="1:20" hidden="1" x14ac:dyDescent="0.35">
      <c r="A2709" s="11">
        <v>46207</v>
      </c>
      <c r="B2709" s="3">
        <v>6</v>
      </c>
      <c r="C2709" t="s">
        <v>116</v>
      </c>
      <c r="D2709" t="s">
        <v>18</v>
      </c>
      <c r="E2709" s="3">
        <v>22</v>
      </c>
      <c r="F2709" t="s">
        <v>19</v>
      </c>
      <c r="G2709" t="s">
        <v>83</v>
      </c>
      <c r="H2709" t="s">
        <v>31</v>
      </c>
      <c r="I2709" s="12">
        <v>0.77777777777777779</v>
      </c>
      <c r="J2709" t="s">
        <v>84</v>
      </c>
      <c r="K2709" t="s">
        <v>31</v>
      </c>
      <c r="L2709" s="12">
        <v>0.80555555555555558</v>
      </c>
      <c r="M2709" t="s">
        <v>63</v>
      </c>
      <c r="N2709" s="3">
        <v>232</v>
      </c>
      <c r="O2709" t="s">
        <v>24</v>
      </c>
      <c r="P2709" t="s">
        <v>79</v>
      </c>
      <c r="R2709">
        <f>tblDailySchedule[[#This Row],[Capacity Approx]]*'[1]Load Factor Sheet June Acft  '!$B$5</f>
        <v>187.86727272727273</v>
      </c>
      <c r="S2709">
        <f>tblDailySchedule[[#This Row],[Capacity Approx]]*'[1]Load Factor Sheet June Acft  '!$D$5</f>
        <v>203.4218181818182</v>
      </c>
      <c r="T2709" s="22">
        <f>tblDailySchedule[[#This Row],[STD]]</f>
        <v>0.80555555555555558</v>
      </c>
    </row>
    <row r="2710" spans="1:20" hidden="1" x14ac:dyDescent="0.35">
      <c r="A2710" s="11">
        <v>46207</v>
      </c>
      <c r="B2710" s="3">
        <v>6</v>
      </c>
      <c r="C2710" t="s">
        <v>116</v>
      </c>
      <c r="D2710" t="s">
        <v>18</v>
      </c>
      <c r="E2710" s="3">
        <v>23</v>
      </c>
      <c r="F2710" t="s">
        <v>19</v>
      </c>
      <c r="G2710" t="s">
        <v>85</v>
      </c>
      <c r="H2710" t="s">
        <v>86</v>
      </c>
      <c r="I2710" s="12">
        <v>0.79861111111111116</v>
      </c>
      <c r="J2710" t="s">
        <v>87</v>
      </c>
      <c r="K2710" t="s">
        <v>86</v>
      </c>
      <c r="L2710" s="12">
        <v>0.82638888888888884</v>
      </c>
      <c r="M2710" t="s">
        <v>63</v>
      </c>
      <c r="N2710" s="3">
        <v>232</v>
      </c>
      <c r="O2710" t="s">
        <v>24</v>
      </c>
      <c r="P2710" t="s">
        <v>79</v>
      </c>
      <c r="R2710">
        <f>tblDailySchedule[[#This Row],[Capacity Approx]]*'[1]Load Factor Sheet June Acft  '!$B$5</f>
        <v>187.86727272727273</v>
      </c>
      <c r="S2710">
        <f>tblDailySchedule[[#This Row],[Capacity Approx]]*'[1]Load Factor Sheet June Acft  '!$D$5</f>
        <v>203.4218181818182</v>
      </c>
      <c r="T2710" s="22">
        <f>tblDailySchedule[[#This Row],[STD]]</f>
        <v>0.82638888888888884</v>
      </c>
    </row>
    <row r="2711" spans="1:20" hidden="1" x14ac:dyDescent="0.35">
      <c r="A2711" s="11">
        <v>46207</v>
      </c>
      <c r="B2711" s="3">
        <v>6</v>
      </c>
      <c r="C2711" t="s">
        <v>116</v>
      </c>
      <c r="D2711" t="s">
        <v>18</v>
      </c>
      <c r="E2711" s="3">
        <v>24</v>
      </c>
      <c r="F2711" t="s">
        <v>19</v>
      </c>
      <c r="G2711" t="s">
        <v>88</v>
      </c>
      <c r="H2711" t="s">
        <v>89</v>
      </c>
      <c r="I2711" s="12">
        <v>0.83333333333333337</v>
      </c>
      <c r="J2711" t="s">
        <v>90</v>
      </c>
      <c r="K2711" t="s">
        <v>31</v>
      </c>
      <c r="L2711" s="12">
        <v>0.86111111111111116</v>
      </c>
      <c r="M2711" t="s">
        <v>63</v>
      </c>
      <c r="N2711" s="3">
        <v>232</v>
      </c>
      <c r="O2711" t="s">
        <v>24</v>
      </c>
      <c r="P2711" t="s">
        <v>79</v>
      </c>
      <c r="R2711">
        <f>tblDailySchedule[[#This Row],[Capacity Approx]]*'[1]Load Factor Sheet June Acft  '!$B$5</f>
        <v>187.86727272727273</v>
      </c>
      <c r="S2711">
        <f>tblDailySchedule[[#This Row],[Capacity Approx]]*'[1]Load Factor Sheet June Acft  '!$D$5</f>
        <v>203.4218181818182</v>
      </c>
      <c r="T2711" s="22">
        <f>tblDailySchedule[[#This Row],[STD]]</f>
        <v>0.86111111111111116</v>
      </c>
    </row>
    <row r="2712" spans="1:20" hidden="1" x14ac:dyDescent="0.35">
      <c r="A2712" s="11">
        <v>46207</v>
      </c>
      <c r="B2712" s="3">
        <v>6</v>
      </c>
      <c r="C2712" t="s">
        <v>116</v>
      </c>
      <c r="D2712" t="s">
        <v>18</v>
      </c>
      <c r="E2712" s="3">
        <v>25</v>
      </c>
      <c r="F2712" t="s">
        <v>19</v>
      </c>
      <c r="G2712" t="s">
        <v>91</v>
      </c>
      <c r="H2712" t="s">
        <v>61</v>
      </c>
      <c r="I2712" s="12">
        <v>0.85416666666666663</v>
      </c>
      <c r="J2712" t="s">
        <v>92</v>
      </c>
      <c r="K2712" t="s">
        <v>61</v>
      </c>
      <c r="L2712" s="12">
        <v>0.88194444444444442</v>
      </c>
      <c r="M2712" t="s">
        <v>63</v>
      </c>
      <c r="N2712" s="3">
        <v>232</v>
      </c>
      <c r="O2712" t="s">
        <v>24</v>
      </c>
      <c r="P2712" t="s">
        <v>79</v>
      </c>
      <c r="R2712">
        <f>tblDailySchedule[[#This Row],[Capacity Approx]]*'[1]Load Factor Sheet June Acft  '!$B$5</f>
        <v>187.86727272727273</v>
      </c>
      <c r="S2712">
        <f>tblDailySchedule[[#This Row],[Capacity Approx]]*'[1]Load Factor Sheet June Acft  '!$D$5</f>
        <v>203.4218181818182</v>
      </c>
      <c r="T2712" s="22">
        <f>tblDailySchedule[[#This Row],[STD]]</f>
        <v>0.88194444444444442</v>
      </c>
    </row>
    <row r="2713" spans="1:20" hidden="1" x14ac:dyDescent="0.35">
      <c r="A2713" s="11">
        <v>46207</v>
      </c>
      <c r="B2713" s="3">
        <v>6</v>
      </c>
      <c r="C2713" t="s">
        <v>116</v>
      </c>
      <c r="D2713" t="s">
        <v>18</v>
      </c>
      <c r="E2713" s="3">
        <v>26</v>
      </c>
      <c r="F2713" t="s">
        <v>19</v>
      </c>
      <c r="G2713" t="s">
        <v>93</v>
      </c>
      <c r="H2713" t="s">
        <v>31</v>
      </c>
      <c r="I2713" s="12">
        <v>0.86111111111111116</v>
      </c>
      <c r="J2713" t="s">
        <v>94</v>
      </c>
      <c r="K2713" t="s">
        <v>31</v>
      </c>
      <c r="L2713" s="12">
        <v>0.88888888888888884</v>
      </c>
      <c r="M2713" t="s">
        <v>23</v>
      </c>
      <c r="N2713" s="3">
        <v>186</v>
      </c>
      <c r="O2713" t="s">
        <v>24</v>
      </c>
      <c r="P2713" t="s">
        <v>79</v>
      </c>
      <c r="R2713">
        <f>tblDailySchedule[[#This Row],[Capacity Approx]]*'[1]Load Factor Sheet June Acft  '!$B$5</f>
        <v>150.61772727272728</v>
      </c>
      <c r="S2713">
        <f>tblDailySchedule[[#This Row],[Capacity Approx]]*'[1]Load Factor Sheet June Acft  '!$D$5</f>
        <v>163.08818181818182</v>
      </c>
      <c r="T2713" s="22">
        <f>tblDailySchedule[[#This Row],[STD]]</f>
        <v>0.88888888888888884</v>
      </c>
    </row>
    <row r="2714" spans="1:20" hidden="1" x14ac:dyDescent="0.35">
      <c r="A2714" s="11">
        <v>46207</v>
      </c>
      <c r="B2714" s="3">
        <v>6</v>
      </c>
      <c r="C2714" t="s">
        <v>116</v>
      </c>
      <c r="D2714" t="s">
        <v>18</v>
      </c>
      <c r="E2714" s="3">
        <v>27</v>
      </c>
      <c r="F2714" t="s">
        <v>19</v>
      </c>
      <c r="G2714" t="s">
        <v>95</v>
      </c>
      <c r="H2714" t="s">
        <v>21</v>
      </c>
      <c r="I2714" s="12">
        <v>0.86805555555555558</v>
      </c>
      <c r="J2714" t="s">
        <v>96</v>
      </c>
      <c r="K2714" t="s">
        <v>21</v>
      </c>
      <c r="L2714" s="12">
        <v>0.89583333333333337</v>
      </c>
      <c r="M2714" t="s">
        <v>29</v>
      </c>
      <c r="N2714" s="3">
        <v>186</v>
      </c>
      <c r="O2714" t="s">
        <v>24</v>
      </c>
      <c r="P2714" t="s">
        <v>79</v>
      </c>
      <c r="R2714">
        <f>tblDailySchedule[[#This Row],[Capacity Approx]]*'[1]Load Factor Sheet June Acft  '!$B$5</f>
        <v>150.61772727272728</v>
      </c>
      <c r="S2714">
        <f>tblDailySchedule[[#This Row],[Capacity Approx]]*'[1]Load Factor Sheet June Acft  '!$D$5</f>
        <v>163.08818181818182</v>
      </c>
      <c r="T2714" s="22">
        <f>tblDailySchedule[[#This Row],[STD]]</f>
        <v>0.89583333333333337</v>
      </c>
    </row>
    <row r="2715" spans="1:20" hidden="1" x14ac:dyDescent="0.35">
      <c r="A2715" s="11">
        <v>46207</v>
      </c>
      <c r="B2715" s="3">
        <v>6</v>
      </c>
      <c r="C2715" t="s">
        <v>116</v>
      </c>
      <c r="D2715" t="s">
        <v>18</v>
      </c>
      <c r="E2715" s="3">
        <v>28</v>
      </c>
      <c r="F2715" t="s">
        <v>19</v>
      </c>
      <c r="G2715" t="s">
        <v>97</v>
      </c>
      <c r="H2715" t="s">
        <v>49</v>
      </c>
      <c r="I2715" s="12">
        <v>0.90277777777777779</v>
      </c>
      <c r="J2715" t="s">
        <v>97</v>
      </c>
      <c r="K2715" t="s">
        <v>61</v>
      </c>
      <c r="L2715" s="12">
        <v>0.92361111111111116</v>
      </c>
      <c r="M2715" t="s">
        <v>33</v>
      </c>
      <c r="N2715" s="3">
        <v>189</v>
      </c>
      <c r="O2715" t="s">
        <v>24</v>
      </c>
      <c r="P2715" t="s">
        <v>79</v>
      </c>
      <c r="R2715">
        <f>tblDailySchedule[[#This Row],[Capacity Approx]]*'[1]Load Factor Sheet June Acft  '!$B$5</f>
        <v>153.04704545454547</v>
      </c>
      <c r="S2715">
        <f>tblDailySchedule[[#This Row],[Capacity Approx]]*'[1]Load Factor Sheet June Acft  '!$D$5</f>
        <v>165.71863636363636</v>
      </c>
      <c r="T2715" s="22">
        <f>tblDailySchedule[[#This Row],[STD]]</f>
        <v>0.92361111111111116</v>
      </c>
    </row>
    <row r="2716" spans="1:20" hidden="1" x14ac:dyDescent="0.35">
      <c r="A2716" s="11">
        <v>46207</v>
      </c>
      <c r="B2716" s="3">
        <v>6</v>
      </c>
      <c r="C2716" t="s">
        <v>116</v>
      </c>
      <c r="D2716" t="s">
        <v>18</v>
      </c>
      <c r="E2716" s="3">
        <v>29</v>
      </c>
      <c r="F2716" t="s">
        <v>19</v>
      </c>
      <c r="G2716" t="s">
        <v>98</v>
      </c>
      <c r="H2716" t="s">
        <v>21</v>
      </c>
      <c r="I2716" s="12">
        <v>0.92013888888888884</v>
      </c>
      <c r="J2716" t="s">
        <v>99</v>
      </c>
      <c r="K2716" t="s">
        <v>21</v>
      </c>
      <c r="L2716" s="12">
        <v>0.94791666666666663</v>
      </c>
      <c r="M2716" t="s">
        <v>63</v>
      </c>
      <c r="N2716" s="3">
        <v>232</v>
      </c>
      <c r="O2716" t="s">
        <v>24</v>
      </c>
      <c r="P2716" t="s">
        <v>79</v>
      </c>
      <c r="R2716">
        <f>tblDailySchedule[[#This Row],[Capacity Approx]]*'[1]Load Factor Sheet June Acft  '!$B$5</f>
        <v>187.86727272727273</v>
      </c>
      <c r="S2716">
        <f>tblDailySchedule[[#This Row],[Capacity Approx]]*'[1]Load Factor Sheet June Acft  '!$D$5</f>
        <v>203.4218181818182</v>
      </c>
      <c r="T2716" s="22">
        <f>tblDailySchedule[[#This Row],[STD]]</f>
        <v>0.94791666666666663</v>
      </c>
    </row>
    <row r="2717" spans="1:20" hidden="1" x14ac:dyDescent="0.35">
      <c r="A2717" s="13">
        <v>46207</v>
      </c>
      <c r="B2717" s="7">
        <v>6</v>
      </c>
      <c r="C2717" s="14" t="s">
        <v>116</v>
      </c>
      <c r="D2717" s="14" t="s">
        <v>18</v>
      </c>
      <c r="E2717" s="7">
        <v>30</v>
      </c>
      <c r="F2717" s="14" t="s">
        <v>104</v>
      </c>
      <c r="G2717" s="14" t="s">
        <v>105</v>
      </c>
      <c r="H2717" s="14" t="s">
        <v>106</v>
      </c>
      <c r="I2717" s="15">
        <v>0.92708333333333337</v>
      </c>
      <c r="J2717" s="14" t="s">
        <v>107</v>
      </c>
      <c r="K2717" s="14" t="s">
        <v>106</v>
      </c>
      <c r="L2717" s="15">
        <v>0.95833333333333337</v>
      </c>
      <c r="M2717" s="14" t="s">
        <v>38</v>
      </c>
      <c r="N2717" s="7">
        <v>186</v>
      </c>
      <c r="O2717" s="14" t="s">
        <v>39</v>
      </c>
      <c r="P2717" s="14" t="s">
        <v>79</v>
      </c>
      <c r="Q2717" s="14" t="s">
        <v>39</v>
      </c>
      <c r="R2717">
        <f>tblDailySchedule[[#This Row],[Capacity Approx]]*'[1]Load Factor Sheet June Acft  '!$B$5</f>
        <v>150.61772727272728</v>
      </c>
      <c r="S2717">
        <f>tblDailySchedule[[#This Row],[Capacity Approx]]*'[1]Load Factor Sheet June Acft  '!$D$5</f>
        <v>163.08818181818182</v>
      </c>
      <c r="T2717" s="22">
        <f>tblDailySchedule[[#This Row],[STD]]</f>
        <v>0.95833333333333337</v>
      </c>
    </row>
    <row r="2718" spans="1:20" hidden="1" x14ac:dyDescent="0.35">
      <c r="A2718" s="11">
        <v>46208</v>
      </c>
      <c r="B2718" s="3">
        <v>7</v>
      </c>
      <c r="C2718" t="s">
        <v>17</v>
      </c>
      <c r="D2718" t="s">
        <v>18</v>
      </c>
      <c r="E2718" s="3">
        <v>2</v>
      </c>
      <c r="F2718" t="s">
        <v>19</v>
      </c>
      <c r="G2718" t="s">
        <v>20</v>
      </c>
      <c r="H2718" t="s">
        <v>21</v>
      </c>
      <c r="I2718" s="12">
        <v>0.31944444444444442</v>
      </c>
      <c r="J2718" t="s">
        <v>22</v>
      </c>
      <c r="K2718" t="s">
        <v>21</v>
      </c>
      <c r="L2718" s="12">
        <v>0.34722222222222221</v>
      </c>
      <c r="M2718" t="s">
        <v>23</v>
      </c>
      <c r="N2718" s="3">
        <v>186</v>
      </c>
      <c r="O2718" t="s">
        <v>24</v>
      </c>
      <c r="P2718" t="s">
        <v>25</v>
      </c>
      <c r="R2718">
        <f>tblDailySchedule[[#This Row],[Capacity Approx]]*'[1]Load Factor Sheet June Acft  '!$B$5</f>
        <v>150.61772727272728</v>
      </c>
      <c r="S2718">
        <f>tblDailySchedule[[#This Row],[Capacity Approx]]*'[1]Load Factor Sheet June Acft  '!$D$5</f>
        <v>163.08818181818182</v>
      </c>
      <c r="T2718" s="22">
        <f>tblDailySchedule[[#This Row],[STD]]</f>
        <v>0.34722222222222221</v>
      </c>
    </row>
    <row r="2719" spans="1:20" hidden="1" x14ac:dyDescent="0.35">
      <c r="A2719" s="11">
        <v>46208</v>
      </c>
      <c r="B2719" s="3">
        <v>7</v>
      </c>
      <c r="C2719" t="s">
        <v>17</v>
      </c>
      <c r="D2719" t="s">
        <v>18</v>
      </c>
      <c r="E2719" s="3">
        <v>3</v>
      </c>
      <c r="F2719" t="s">
        <v>19</v>
      </c>
      <c r="G2719" t="s">
        <v>26</v>
      </c>
      <c r="H2719" t="s">
        <v>27</v>
      </c>
      <c r="I2719" s="12">
        <v>0.3263888888888889</v>
      </c>
      <c r="J2719" t="s">
        <v>28</v>
      </c>
      <c r="K2719" t="s">
        <v>27</v>
      </c>
      <c r="L2719" s="12">
        <v>0.35416666666666669</v>
      </c>
      <c r="M2719" t="s">
        <v>29</v>
      </c>
      <c r="N2719" s="3">
        <v>186</v>
      </c>
      <c r="O2719" t="s">
        <v>24</v>
      </c>
      <c r="P2719" t="s">
        <v>25</v>
      </c>
      <c r="R2719">
        <f>tblDailySchedule[[#This Row],[Capacity Approx]]*'[1]Load Factor Sheet June Acft  '!$B$5</f>
        <v>150.61772727272728</v>
      </c>
      <c r="S2719">
        <f>tblDailySchedule[[#This Row],[Capacity Approx]]*'[1]Load Factor Sheet June Acft  '!$D$5</f>
        <v>163.08818181818182</v>
      </c>
      <c r="T2719" s="22">
        <f>tblDailySchedule[[#This Row],[STD]]</f>
        <v>0.35416666666666669</v>
      </c>
    </row>
    <row r="2720" spans="1:20" hidden="1" x14ac:dyDescent="0.35">
      <c r="A2720" s="11">
        <v>46208</v>
      </c>
      <c r="B2720" s="3">
        <v>7</v>
      </c>
      <c r="C2720" t="s">
        <v>17</v>
      </c>
      <c r="D2720" t="s">
        <v>18</v>
      </c>
      <c r="E2720" s="3">
        <v>4</v>
      </c>
      <c r="F2720" t="s">
        <v>19</v>
      </c>
      <c r="G2720" t="s">
        <v>30</v>
      </c>
      <c r="H2720" t="s">
        <v>31</v>
      </c>
      <c r="I2720" s="12">
        <v>0.34722222222222221</v>
      </c>
      <c r="J2720" t="s">
        <v>32</v>
      </c>
      <c r="K2720" t="s">
        <v>31</v>
      </c>
      <c r="L2720" s="12">
        <v>0.36805555555555558</v>
      </c>
      <c r="M2720" t="s">
        <v>33</v>
      </c>
      <c r="N2720" s="3">
        <v>189</v>
      </c>
      <c r="O2720" t="s">
        <v>24</v>
      </c>
      <c r="P2720" t="s">
        <v>25</v>
      </c>
      <c r="R2720">
        <f>tblDailySchedule[[#This Row],[Capacity Approx]]*'[1]Load Factor Sheet June Acft  '!$B$5</f>
        <v>153.04704545454547</v>
      </c>
      <c r="S2720">
        <f>tblDailySchedule[[#This Row],[Capacity Approx]]*'[1]Load Factor Sheet June Acft  '!$D$5</f>
        <v>165.71863636363636</v>
      </c>
      <c r="T2720" s="22">
        <f>tblDailySchedule[[#This Row],[STD]]</f>
        <v>0.36805555555555558</v>
      </c>
    </row>
    <row r="2721" spans="1:20" hidden="1" x14ac:dyDescent="0.35">
      <c r="A2721" s="13">
        <v>46208</v>
      </c>
      <c r="B2721" s="7">
        <v>7</v>
      </c>
      <c r="C2721" s="14" t="s">
        <v>17</v>
      </c>
      <c r="D2721" s="14" t="s">
        <v>18</v>
      </c>
      <c r="E2721" s="7">
        <v>6</v>
      </c>
      <c r="F2721" s="14" t="s">
        <v>34</v>
      </c>
      <c r="G2721" s="14" t="s">
        <v>35</v>
      </c>
      <c r="H2721" s="14" t="s">
        <v>36</v>
      </c>
      <c r="I2721" s="15">
        <v>0.34722222222222221</v>
      </c>
      <c r="J2721" s="14" t="s">
        <v>37</v>
      </c>
      <c r="K2721" s="14" t="s">
        <v>36</v>
      </c>
      <c r="L2721" s="15">
        <v>0.40972222222222221</v>
      </c>
      <c r="M2721" s="14" t="s">
        <v>38</v>
      </c>
      <c r="N2721" s="7">
        <v>186</v>
      </c>
      <c r="O2721" s="14" t="s">
        <v>39</v>
      </c>
      <c r="P2721" s="14" t="s">
        <v>25</v>
      </c>
      <c r="Q2721" s="14" t="s">
        <v>39</v>
      </c>
      <c r="R2721">
        <f>tblDailySchedule[[#This Row],[Capacity Approx]]*'[1]Load Factor Sheet June Acft  '!$B$5</f>
        <v>150.61772727272728</v>
      </c>
      <c r="S2721">
        <f>tblDailySchedule[[#This Row],[Capacity Approx]]*'[1]Load Factor Sheet June Acft  '!$D$5</f>
        <v>163.08818181818182</v>
      </c>
      <c r="T2721" s="22">
        <f>tblDailySchedule[[#This Row],[STD]]</f>
        <v>0.40972222222222221</v>
      </c>
    </row>
    <row r="2722" spans="1:20" hidden="1" x14ac:dyDescent="0.35">
      <c r="A2722" s="11">
        <v>46208</v>
      </c>
      <c r="B2722" s="3">
        <v>7</v>
      </c>
      <c r="C2722" t="s">
        <v>17</v>
      </c>
      <c r="D2722" t="s">
        <v>18</v>
      </c>
      <c r="E2722" s="3">
        <v>5</v>
      </c>
      <c r="F2722" t="s">
        <v>19</v>
      </c>
      <c r="G2722" t="s">
        <v>40</v>
      </c>
      <c r="H2722" t="s">
        <v>31</v>
      </c>
      <c r="I2722" s="12">
        <v>0.35069444444444442</v>
      </c>
      <c r="J2722" t="s">
        <v>41</v>
      </c>
      <c r="K2722" t="s">
        <v>31</v>
      </c>
      <c r="L2722" s="12">
        <v>0.37152777777777779</v>
      </c>
      <c r="M2722" t="s">
        <v>23</v>
      </c>
      <c r="N2722" s="3">
        <v>186</v>
      </c>
      <c r="O2722" t="s">
        <v>24</v>
      </c>
      <c r="P2722" t="s">
        <v>25</v>
      </c>
      <c r="R2722">
        <f>tblDailySchedule[[#This Row],[Capacity Approx]]*'[1]Load Factor Sheet June Acft  '!$B$5</f>
        <v>150.61772727272728</v>
      </c>
      <c r="S2722">
        <f>tblDailySchedule[[#This Row],[Capacity Approx]]*'[1]Load Factor Sheet June Acft  '!$D$5</f>
        <v>163.08818181818182</v>
      </c>
      <c r="T2722" s="22">
        <f>tblDailySchedule[[#This Row],[STD]]</f>
        <v>0.37152777777777779</v>
      </c>
    </row>
    <row r="2723" spans="1:20" hidden="1" x14ac:dyDescent="0.35">
      <c r="A2723" s="11">
        <v>46208</v>
      </c>
      <c r="B2723" s="3">
        <v>7</v>
      </c>
      <c r="C2723" t="s">
        <v>17</v>
      </c>
      <c r="D2723" t="s">
        <v>18</v>
      </c>
      <c r="E2723" s="3">
        <v>7</v>
      </c>
      <c r="F2723" t="s">
        <v>19</v>
      </c>
      <c r="G2723" t="s">
        <v>42</v>
      </c>
      <c r="H2723" t="s">
        <v>43</v>
      </c>
      <c r="I2723" s="12">
        <v>0.3923611111111111</v>
      </c>
      <c r="J2723" t="s">
        <v>44</v>
      </c>
      <c r="K2723" t="s">
        <v>43</v>
      </c>
      <c r="L2723" s="12">
        <v>0.40277777777777779</v>
      </c>
      <c r="M2723" t="s">
        <v>45</v>
      </c>
      <c r="N2723" s="3">
        <v>9</v>
      </c>
      <c r="O2723" t="s">
        <v>24</v>
      </c>
      <c r="P2723" t="s">
        <v>25</v>
      </c>
      <c r="R2723">
        <f>tblDailySchedule[[#This Row],[Capacity Approx]]*'[1]Load Factor Sheet June Acft  '!$B$5</f>
        <v>7.2879545454545456</v>
      </c>
      <c r="S2723">
        <f>tblDailySchedule[[#This Row],[Capacity Approx]]*'[1]Load Factor Sheet June Acft  '!$D$5</f>
        <v>7.8913636363636366</v>
      </c>
      <c r="T2723" s="22">
        <f>tblDailySchedule[[#This Row],[STD]]</f>
        <v>0.40277777777777779</v>
      </c>
    </row>
    <row r="2724" spans="1:20" hidden="1" x14ac:dyDescent="0.35">
      <c r="A2724" s="11">
        <v>46208</v>
      </c>
      <c r="B2724" s="3">
        <v>7</v>
      </c>
      <c r="C2724" t="s">
        <v>17</v>
      </c>
      <c r="D2724" t="s">
        <v>18</v>
      </c>
      <c r="E2724" s="3">
        <v>8</v>
      </c>
      <c r="F2724" t="s">
        <v>19</v>
      </c>
      <c r="G2724" t="s">
        <v>46</v>
      </c>
      <c r="H2724" t="s">
        <v>31</v>
      </c>
      <c r="I2724" s="12">
        <v>0.4201388888888889</v>
      </c>
      <c r="J2724" t="s">
        <v>47</v>
      </c>
      <c r="K2724" t="s">
        <v>31</v>
      </c>
      <c r="L2724" s="12">
        <v>0.44444444444444442</v>
      </c>
      <c r="M2724" t="s">
        <v>29</v>
      </c>
      <c r="N2724" s="3">
        <v>186</v>
      </c>
      <c r="O2724" t="s">
        <v>24</v>
      </c>
      <c r="P2724" t="s">
        <v>25</v>
      </c>
      <c r="R2724">
        <f>tblDailySchedule[[#This Row],[Capacity Approx]]*'[1]Load Factor Sheet June Acft  '!$B$5</f>
        <v>150.61772727272728</v>
      </c>
      <c r="S2724">
        <f>tblDailySchedule[[#This Row],[Capacity Approx]]*'[1]Load Factor Sheet June Acft  '!$D$5</f>
        <v>163.08818181818182</v>
      </c>
      <c r="T2724" s="22">
        <f>tblDailySchedule[[#This Row],[STD]]</f>
        <v>0.44444444444444442</v>
      </c>
    </row>
    <row r="2725" spans="1:20" hidden="1" x14ac:dyDescent="0.35">
      <c r="A2725" s="11">
        <v>46208</v>
      </c>
      <c r="B2725" s="3">
        <v>7</v>
      </c>
      <c r="C2725" t="s">
        <v>17</v>
      </c>
      <c r="D2725" t="s">
        <v>18</v>
      </c>
      <c r="E2725" s="3">
        <v>9</v>
      </c>
      <c r="F2725" t="s">
        <v>19</v>
      </c>
      <c r="G2725" t="s">
        <v>48</v>
      </c>
      <c r="H2725" t="s">
        <v>49</v>
      </c>
      <c r="I2725" s="12">
        <v>0.4375</v>
      </c>
      <c r="J2725" t="s">
        <v>50</v>
      </c>
      <c r="K2725" t="s">
        <v>49</v>
      </c>
      <c r="L2725" s="12">
        <v>0.45833333333333331</v>
      </c>
      <c r="M2725" t="s">
        <v>51</v>
      </c>
      <c r="N2725" s="3">
        <v>78</v>
      </c>
      <c r="O2725" t="s">
        <v>24</v>
      </c>
      <c r="P2725" t="s">
        <v>25</v>
      </c>
      <c r="R2725">
        <f>tblDailySchedule[[#This Row],[Capacity Approx]]*'[1]Load Factor Sheet June Acft  '!$B$5</f>
        <v>63.162272727272729</v>
      </c>
      <c r="S2725">
        <f>tblDailySchedule[[#This Row],[Capacity Approx]]*'[1]Load Factor Sheet June Acft  '!$D$5</f>
        <v>68.391818181818181</v>
      </c>
      <c r="T2725" s="22">
        <f>tblDailySchedule[[#This Row],[STD]]</f>
        <v>0.45833333333333331</v>
      </c>
    </row>
    <row r="2726" spans="1:20" hidden="1" x14ac:dyDescent="0.35">
      <c r="A2726" s="11">
        <v>46208</v>
      </c>
      <c r="B2726" s="3">
        <v>7</v>
      </c>
      <c r="C2726" t="s">
        <v>17</v>
      </c>
      <c r="D2726" t="s">
        <v>18</v>
      </c>
      <c r="E2726" s="3">
        <v>10</v>
      </c>
      <c r="F2726" t="s">
        <v>19</v>
      </c>
      <c r="G2726" t="s">
        <v>52</v>
      </c>
      <c r="H2726" t="s">
        <v>27</v>
      </c>
      <c r="I2726" s="12">
        <v>0.4826388888888889</v>
      </c>
      <c r="J2726" t="s">
        <v>53</v>
      </c>
      <c r="K2726" t="s">
        <v>27</v>
      </c>
      <c r="L2726" s="12">
        <v>0.51041666666666663</v>
      </c>
      <c r="M2726" t="s">
        <v>23</v>
      </c>
      <c r="N2726" s="3">
        <v>186</v>
      </c>
      <c r="O2726" t="s">
        <v>24</v>
      </c>
      <c r="P2726" t="s">
        <v>25</v>
      </c>
      <c r="R2726">
        <f>tblDailySchedule[[#This Row],[Capacity Approx]]*'[1]Load Factor Sheet June Acft  '!$B$5</f>
        <v>150.61772727272728</v>
      </c>
      <c r="S2726">
        <f>tblDailySchedule[[#This Row],[Capacity Approx]]*'[1]Load Factor Sheet June Acft  '!$D$5</f>
        <v>163.08818181818182</v>
      </c>
      <c r="T2726" s="22">
        <f>tblDailySchedule[[#This Row],[STD]]</f>
        <v>0.51041666666666663</v>
      </c>
    </row>
    <row r="2727" spans="1:20" hidden="1" x14ac:dyDescent="0.35">
      <c r="A2727" s="11">
        <v>46208</v>
      </c>
      <c r="B2727" s="3">
        <v>7</v>
      </c>
      <c r="C2727" t="s">
        <v>17</v>
      </c>
      <c r="D2727" t="s">
        <v>18</v>
      </c>
      <c r="E2727" s="3">
        <v>11</v>
      </c>
      <c r="F2727" t="s">
        <v>19</v>
      </c>
      <c r="G2727" t="s">
        <v>54</v>
      </c>
      <c r="H2727" t="s">
        <v>31</v>
      </c>
      <c r="I2727" s="12">
        <v>0.51388888888888884</v>
      </c>
      <c r="J2727" t="s">
        <v>55</v>
      </c>
      <c r="K2727" t="s">
        <v>31</v>
      </c>
      <c r="L2727" s="12">
        <v>0.54166666666666663</v>
      </c>
      <c r="M2727" t="s">
        <v>23</v>
      </c>
      <c r="N2727" s="3">
        <v>186</v>
      </c>
      <c r="O2727" t="s">
        <v>24</v>
      </c>
      <c r="P2727" t="s">
        <v>56</v>
      </c>
      <c r="R2727">
        <f>tblDailySchedule[[#This Row],[Capacity Approx]]*'[1]Load Factor Sheet June Acft  '!$B$5</f>
        <v>150.61772727272728</v>
      </c>
      <c r="S2727">
        <f>tblDailySchedule[[#This Row],[Capacity Approx]]*'[1]Load Factor Sheet June Acft  '!$D$5</f>
        <v>163.08818181818182</v>
      </c>
      <c r="T2727" s="22">
        <f>tblDailySchedule[[#This Row],[STD]]</f>
        <v>0.54166666666666663</v>
      </c>
    </row>
    <row r="2728" spans="1:20" hidden="1" x14ac:dyDescent="0.35">
      <c r="A2728" s="11">
        <v>46208</v>
      </c>
      <c r="B2728" s="3">
        <v>7</v>
      </c>
      <c r="C2728" t="s">
        <v>17</v>
      </c>
      <c r="D2728" t="s">
        <v>18</v>
      </c>
      <c r="E2728" s="3">
        <v>13</v>
      </c>
      <c r="F2728" t="s">
        <v>19</v>
      </c>
      <c r="G2728" t="s">
        <v>57</v>
      </c>
      <c r="H2728" t="s">
        <v>58</v>
      </c>
      <c r="I2728" s="12">
        <v>0.55902777777777779</v>
      </c>
      <c r="J2728" t="s">
        <v>59</v>
      </c>
      <c r="K2728" t="s">
        <v>58</v>
      </c>
      <c r="L2728" s="12">
        <v>0.57638888888888884</v>
      </c>
      <c r="M2728" t="s">
        <v>51</v>
      </c>
      <c r="N2728" s="3">
        <v>78</v>
      </c>
      <c r="O2728" t="s">
        <v>24</v>
      </c>
      <c r="P2728" t="s">
        <v>56</v>
      </c>
      <c r="R2728">
        <f>tblDailySchedule[[#This Row],[Capacity Approx]]*'[1]Load Factor Sheet June Acft  '!$B$5</f>
        <v>63.162272727272729</v>
      </c>
      <c r="S2728">
        <f>tblDailySchedule[[#This Row],[Capacity Approx]]*'[1]Load Factor Sheet June Acft  '!$D$5</f>
        <v>68.391818181818181</v>
      </c>
      <c r="T2728" s="22">
        <f>tblDailySchedule[[#This Row],[STD]]</f>
        <v>0.57638888888888884</v>
      </c>
    </row>
    <row r="2729" spans="1:20" hidden="1" x14ac:dyDescent="0.35">
      <c r="A2729" s="11">
        <v>46208</v>
      </c>
      <c r="B2729" s="3">
        <v>7</v>
      </c>
      <c r="C2729" t="s">
        <v>17</v>
      </c>
      <c r="D2729" t="s">
        <v>18</v>
      </c>
      <c r="E2729" s="3">
        <v>14</v>
      </c>
      <c r="F2729" t="s">
        <v>19</v>
      </c>
      <c r="G2729" t="s">
        <v>60</v>
      </c>
      <c r="H2729" t="s">
        <v>61</v>
      </c>
      <c r="I2729" s="12">
        <v>0.59027777777777779</v>
      </c>
      <c r="J2729" t="s">
        <v>62</v>
      </c>
      <c r="K2729" t="s">
        <v>61</v>
      </c>
      <c r="L2729" s="12">
        <v>0.62152777777777779</v>
      </c>
      <c r="M2729" t="s">
        <v>63</v>
      </c>
      <c r="N2729" s="3">
        <v>232</v>
      </c>
      <c r="O2729" t="s">
        <v>24</v>
      </c>
      <c r="P2729" t="s">
        <v>56</v>
      </c>
      <c r="R2729">
        <f>tblDailySchedule[[#This Row],[Capacity Approx]]*'[1]Load Factor Sheet June Acft  '!$B$5</f>
        <v>187.86727272727273</v>
      </c>
      <c r="S2729">
        <f>tblDailySchedule[[#This Row],[Capacity Approx]]*'[1]Load Factor Sheet June Acft  '!$D$5</f>
        <v>203.4218181818182</v>
      </c>
      <c r="T2729" s="22">
        <f>tblDailySchedule[[#This Row],[STD]]</f>
        <v>0.62152777777777779</v>
      </c>
    </row>
    <row r="2730" spans="1:20" hidden="1" x14ac:dyDescent="0.35">
      <c r="A2730" s="11">
        <v>46208</v>
      </c>
      <c r="B2730" s="3">
        <v>7</v>
      </c>
      <c r="C2730" t="s">
        <v>17</v>
      </c>
      <c r="D2730" t="s">
        <v>18</v>
      </c>
      <c r="E2730" s="3">
        <v>15</v>
      </c>
      <c r="F2730" t="s">
        <v>19</v>
      </c>
      <c r="G2730" t="s">
        <v>64</v>
      </c>
      <c r="H2730" t="s">
        <v>31</v>
      </c>
      <c r="I2730" s="12">
        <v>0.60069444444444442</v>
      </c>
      <c r="J2730" t="s">
        <v>65</v>
      </c>
      <c r="K2730" t="s">
        <v>66</v>
      </c>
      <c r="L2730" s="12">
        <v>0.62847222222222221</v>
      </c>
      <c r="M2730" t="s">
        <v>63</v>
      </c>
      <c r="N2730" s="3">
        <v>232</v>
      </c>
      <c r="O2730" t="s">
        <v>24</v>
      </c>
      <c r="P2730" t="s">
        <v>56</v>
      </c>
      <c r="R2730">
        <f>tblDailySchedule[[#This Row],[Capacity Approx]]*'[1]Load Factor Sheet June Acft  '!$B$5</f>
        <v>187.86727272727273</v>
      </c>
      <c r="S2730">
        <f>tblDailySchedule[[#This Row],[Capacity Approx]]*'[1]Load Factor Sheet June Acft  '!$D$5</f>
        <v>203.4218181818182</v>
      </c>
      <c r="T2730" s="22">
        <f>tblDailySchedule[[#This Row],[STD]]</f>
        <v>0.62847222222222221</v>
      </c>
    </row>
    <row r="2731" spans="1:20" hidden="1" x14ac:dyDescent="0.35">
      <c r="A2731" s="11">
        <v>46208</v>
      </c>
      <c r="B2731" s="3">
        <v>7</v>
      </c>
      <c r="C2731" t="s">
        <v>17</v>
      </c>
      <c r="D2731" t="s">
        <v>18</v>
      </c>
      <c r="E2731" s="3">
        <v>16</v>
      </c>
      <c r="F2731" t="s">
        <v>19</v>
      </c>
      <c r="G2731" t="s">
        <v>67</v>
      </c>
      <c r="H2731" t="s">
        <v>31</v>
      </c>
      <c r="I2731" s="12">
        <v>0.65625</v>
      </c>
      <c r="J2731" t="s">
        <v>68</v>
      </c>
      <c r="K2731" t="s">
        <v>31</v>
      </c>
      <c r="L2731" s="12">
        <v>0.68402777777777779</v>
      </c>
      <c r="M2731" t="s">
        <v>63</v>
      </c>
      <c r="N2731" s="3">
        <v>232</v>
      </c>
      <c r="O2731" t="s">
        <v>24</v>
      </c>
      <c r="P2731" t="s">
        <v>56</v>
      </c>
      <c r="R2731">
        <f>tblDailySchedule[[#This Row],[Capacity Approx]]*'[1]Load Factor Sheet June Acft  '!$B$5</f>
        <v>187.86727272727273</v>
      </c>
      <c r="S2731">
        <f>tblDailySchedule[[#This Row],[Capacity Approx]]*'[1]Load Factor Sheet June Acft  '!$D$5</f>
        <v>203.4218181818182</v>
      </c>
      <c r="T2731" s="22">
        <f>tblDailySchedule[[#This Row],[STD]]</f>
        <v>0.68402777777777779</v>
      </c>
    </row>
    <row r="2732" spans="1:20" hidden="1" x14ac:dyDescent="0.35">
      <c r="A2732" s="11">
        <v>46208</v>
      </c>
      <c r="B2732" s="3">
        <v>7</v>
      </c>
      <c r="C2732" t="s">
        <v>17</v>
      </c>
      <c r="D2732" t="s">
        <v>18</v>
      </c>
      <c r="E2732" s="3">
        <v>17</v>
      </c>
      <c r="F2732" t="s">
        <v>19</v>
      </c>
      <c r="G2732" t="s">
        <v>69</v>
      </c>
      <c r="H2732" t="s">
        <v>31</v>
      </c>
      <c r="I2732" s="12">
        <v>0.66319444444444442</v>
      </c>
      <c r="J2732" t="s">
        <v>70</v>
      </c>
      <c r="K2732" t="s">
        <v>31</v>
      </c>
      <c r="L2732" s="12">
        <v>0.69097222222222221</v>
      </c>
      <c r="M2732" t="s">
        <v>33</v>
      </c>
      <c r="N2732" s="3">
        <v>189</v>
      </c>
      <c r="O2732" t="s">
        <v>24</v>
      </c>
      <c r="P2732" t="s">
        <v>56</v>
      </c>
      <c r="R2732">
        <f>tblDailySchedule[[#This Row],[Capacity Approx]]*'[1]Load Factor Sheet June Acft  '!$B$5</f>
        <v>153.04704545454547</v>
      </c>
      <c r="S2732">
        <f>tblDailySchedule[[#This Row],[Capacity Approx]]*'[1]Load Factor Sheet June Acft  '!$D$5</f>
        <v>165.71863636363636</v>
      </c>
      <c r="T2732" s="22">
        <f>tblDailySchedule[[#This Row],[STD]]</f>
        <v>0.69097222222222221</v>
      </c>
    </row>
    <row r="2733" spans="1:20" hidden="1" x14ac:dyDescent="0.35">
      <c r="A2733" s="11">
        <v>46208</v>
      </c>
      <c r="B2733" s="3">
        <v>7</v>
      </c>
      <c r="C2733" t="s">
        <v>17</v>
      </c>
      <c r="D2733" t="s">
        <v>18</v>
      </c>
      <c r="E2733" s="3">
        <v>18</v>
      </c>
      <c r="F2733" t="s">
        <v>19</v>
      </c>
      <c r="G2733" t="s">
        <v>71</v>
      </c>
      <c r="H2733" t="s">
        <v>21</v>
      </c>
      <c r="I2733" s="12">
        <v>0.67013888888888884</v>
      </c>
      <c r="J2733" t="s">
        <v>72</v>
      </c>
      <c r="K2733" t="s">
        <v>21</v>
      </c>
      <c r="L2733" s="12">
        <v>0.69791666666666663</v>
      </c>
      <c r="M2733" t="s">
        <v>63</v>
      </c>
      <c r="N2733" s="3">
        <v>232</v>
      </c>
      <c r="O2733" t="s">
        <v>24</v>
      </c>
      <c r="P2733" t="s">
        <v>56</v>
      </c>
      <c r="R2733">
        <f>tblDailySchedule[[#This Row],[Capacity Approx]]*'[1]Load Factor Sheet June Acft  '!$B$5</f>
        <v>187.86727272727273</v>
      </c>
      <c r="S2733">
        <f>tblDailySchedule[[#This Row],[Capacity Approx]]*'[1]Load Factor Sheet June Acft  '!$D$5</f>
        <v>203.4218181818182</v>
      </c>
      <c r="T2733" s="22">
        <f>tblDailySchedule[[#This Row],[STD]]</f>
        <v>0.69791666666666663</v>
      </c>
    </row>
    <row r="2734" spans="1:20" hidden="1" x14ac:dyDescent="0.35">
      <c r="A2734" s="11">
        <v>46208</v>
      </c>
      <c r="B2734" s="3">
        <v>7</v>
      </c>
      <c r="C2734" t="s">
        <v>17</v>
      </c>
      <c r="D2734" t="s">
        <v>18</v>
      </c>
      <c r="E2734" s="3">
        <v>19</v>
      </c>
      <c r="F2734" t="s">
        <v>19</v>
      </c>
      <c r="G2734" t="s">
        <v>73</v>
      </c>
      <c r="H2734" t="s">
        <v>27</v>
      </c>
      <c r="I2734" s="12">
        <v>0.74652777777777779</v>
      </c>
      <c r="J2734" t="s">
        <v>74</v>
      </c>
      <c r="K2734" t="s">
        <v>27</v>
      </c>
      <c r="L2734" s="12">
        <v>0.77430555555555558</v>
      </c>
      <c r="M2734" t="s">
        <v>63</v>
      </c>
      <c r="N2734" s="3">
        <v>232</v>
      </c>
      <c r="O2734" t="s">
        <v>24</v>
      </c>
      <c r="P2734" t="s">
        <v>56</v>
      </c>
      <c r="R2734">
        <f>tblDailySchedule[[#This Row],[Capacity Approx]]*'[1]Load Factor Sheet June Acft  '!$B$5</f>
        <v>187.86727272727273</v>
      </c>
      <c r="S2734">
        <f>tblDailySchedule[[#This Row],[Capacity Approx]]*'[1]Load Factor Sheet June Acft  '!$D$5</f>
        <v>203.4218181818182</v>
      </c>
      <c r="T2734" s="22">
        <f>tblDailySchedule[[#This Row],[STD]]</f>
        <v>0.77430555555555558</v>
      </c>
    </row>
    <row r="2735" spans="1:20" hidden="1" x14ac:dyDescent="0.35">
      <c r="A2735" s="11">
        <v>46208</v>
      </c>
      <c r="B2735" s="3">
        <v>7</v>
      </c>
      <c r="C2735" t="s">
        <v>17</v>
      </c>
      <c r="D2735" t="s">
        <v>18</v>
      </c>
      <c r="E2735" s="3">
        <v>20</v>
      </c>
      <c r="F2735" t="s">
        <v>34</v>
      </c>
      <c r="G2735" t="s">
        <v>75</v>
      </c>
      <c r="H2735" t="s">
        <v>76</v>
      </c>
      <c r="I2735" s="12">
        <v>0.76388888888888884</v>
      </c>
      <c r="J2735" t="s">
        <v>77</v>
      </c>
      <c r="K2735" t="s">
        <v>78</v>
      </c>
      <c r="L2735" s="12">
        <v>0.78472222222222221</v>
      </c>
      <c r="M2735" t="s">
        <v>51</v>
      </c>
      <c r="N2735" s="3">
        <v>78</v>
      </c>
      <c r="O2735" t="s">
        <v>24</v>
      </c>
      <c r="P2735" t="s">
        <v>79</v>
      </c>
      <c r="Q2735" s="16" t="s">
        <v>80</v>
      </c>
      <c r="R2735">
        <f>tblDailySchedule[[#This Row],[Capacity Approx]]*'[1]Load Factor Sheet June Acft  '!$B$5</f>
        <v>63.162272727272729</v>
      </c>
      <c r="S2735">
        <f>tblDailySchedule[[#This Row],[Capacity Approx]]*'[1]Load Factor Sheet June Acft  '!$D$5</f>
        <v>68.391818181818181</v>
      </c>
      <c r="T2735" s="22">
        <f>tblDailySchedule[[#This Row],[STD]]</f>
        <v>0.78472222222222221</v>
      </c>
    </row>
    <row r="2736" spans="1:20" hidden="1" x14ac:dyDescent="0.35">
      <c r="A2736" s="11">
        <v>46208</v>
      </c>
      <c r="B2736" s="3">
        <v>7</v>
      </c>
      <c r="C2736" t="s">
        <v>17</v>
      </c>
      <c r="D2736" t="s">
        <v>18</v>
      </c>
      <c r="E2736" s="3">
        <v>21</v>
      </c>
      <c r="F2736" t="s">
        <v>19</v>
      </c>
      <c r="G2736" t="s">
        <v>81</v>
      </c>
      <c r="H2736" t="s">
        <v>61</v>
      </c>
      <c r="I2736" s="12">
        <v>0.77083333333333337</v>
      </c>
      <c r="J2736" t="s">
        <v>82</v>
      </c>
      <c r="K2736" t="s">
        <v>49</v>
      </c>
      <c r="L2736" s="12">
        <v>0.79166666666666663</v>
      </c>
      <c r="M2736" t="s">
        <v>33</v>
      </c>
      <c r="N2736" s="3">
        <v>189</v>
      </c>
      <c r="O2736" t="s">
        <v>24</v>
      </c>
      <c r="P2736" t="s">
        <v>79</v>
      </c>
      <c r="R2736">
        <f>tblDailySchedule[[#This Row],[Capacity Approx]]*'[1]Load Factor Sheet June Acft  '!$B$5</f>
        <v>153.04704545454547</v>
      </c>
      <c r="S2736">
        <f>tblDailySchedule[[#This Row],[Capacity Approx]]*'[1]Load Factor Sheet June Acft  '!$D$5</f>
        <v>165.71863636363636</v>
      </c>
      <c r="T2736" s="22">
        <f>tblDailySchedule[[#This Row],[STD]]</f>
        <v>0.79166666666666663</v>
      </c>
    </row>
    <row r="2737" spans="1:20" hidden="1" x14ac:dyDescent="0.35">
      <c r="A2737" s="11">
        <v>46208</v>
      </c>
      <c r="B2737" s="3">
        <v>7</v>
      </c>
      <c r="C2737" t="s">
        <v>17</v>
      </c>
      <c r="D2737" t="s">
        <v>18</v>
      </c>
      <c r="E2737" s="3">
        <v>22</v>
      </c>
      <c r="F2737" t="s">
        <v>19</v>
      </c>
      <c r="G2737" t="s">
        <v>83</v>
      </c>
      <c r="H2737" t="s">
        <v>31</v>
      </c>
      <c r="I2737" s="12">
        <v>0.77777777777777779</v>
      </c>
      <c r="J2737" t="s">
        <v>84</v>
      </c>
      <c r="K2737" t="s">
        <v>31</v>
      </c>
      <c r="L2737" s="12">
        <v>0.80555555555555558</v>
      </c>
      <c r="M2737" t="s">
        <v>63</v>
      </c>
      <c r="N2737" s="3">
        <v>232</v>
      </c>
      <c r="O2737" t="s">
        <v>24</v>
      </c>
      <c r="P2737" t="s">
        <v>79</v>
      </c>
      <c r="R2737">
        <f>tblDailySchedule[[#This Row],[Capacity Approx]]*'[1]Load Factor Sheet June Acft  '!$B$5</f>
        <v>187.86727272727273</v>
      </c>
      <c r="S2737">
        <f>tblDailySchedule[[#This Row],[Capacity Approx]]*'[1]Load Factor Sheet June Acft  '!$D$5</f>
        <v>203.4218181818182</v>
      </c>
      <c r="T2737" s="22">
        <f>tblDailySchedule[[#This Row],[STD]]</f>
        <v>0.80555555555555558</v>
      </c>
    </row>
    <row r="2738" spans="1:20" hidden="1" x14ac:dyDescent="0.35">
      <c r="A2738" s="11">
        <v>46208</v>
      </c>
      <c r="B2738" s="3">
        <v>7</v>
      </c>
      <c r="C2738" t="s">
        <v>17</v>
      </c>
      <c r="D2738" t="s">
        <v>18</v>
      </c>
      <c r="E2738" s="3">
        <v>23</v>
      </c>
      <c r="F2738" t="s">
        <v>19</v>
      </c>
      <c r="G2738" t="s">
        <v>85</v>
      </c>
      <c r="H2738" t="s">
        <v>86</v>
      </c>
      <c r="I2738" s="12">
        <v>0.79861111111111116</v>
      </c>
      <c r="J2738" t="s">
        <v>87</v>
      </c>
      <c r="K2738" t="s">
        <v>86</v>
      </c>
      <c r="L2738" s="12">
        <v>0.82638888888888884</v>
      </c>
      <c r="M2738" t="s">
        <v>63</v>
      </c>
      <c r="N2738" s="3">
        <v>232</v>
      </c>
      <c r="O2738" t="s">
        <v>24</v>
      </c>
      <c r="P2738" t="s">
        <v>79</v>
      </c>
      <c r="R2738">
        <f>tblDailySchedule[[#This Row],[Capacity Approx]]*'[1]Load Factor Sheet June Acft  '!$B$5</f>
        <v>187.86727272727273</v>
      </c>
      <c r="S2738">
        <f>tblDailySchedule[[#This Row],[Capacity Approx]]*'[1]Load Factor Sheet June Acft  '!$D$5</f>
        <v>203.4218181818182</v>
      </c>
      <c r="T2738" s="22">
        <f>tblDailySchedule[[#This Row],[STD]]</f>
        <v>0.82638888888888884</v>
      </c>
    </row>
    <row r="2739" spans="1:20" hidden="1" x14ac:dyDescent="0.35">
      <c r="A2739" s="11">
        <v>46208</v>
      </c>
      <c r="B2739" s="3">
        <v>7</v>
      </c>
      <c r="C2739" t="s">
        <v>17</v>
      </c>
      <c r="D2739" t="s">
        <v>18</v>
      </c>
      <c r="E2739" s="3">
        <v>24</v>
      </c>
      <c r="F2739" t="s">
        <v>19</v>
      </c>
      <c r="G2739" t="s">
        <v>88</v>
      </c>
      <c r="H2739" t="s">
        <v>89</v>
      </c>
      <c r="I2739" s="12">
        <v>0.83333333333333337</v>
      </c>
      <c r="J2739" t="s">
        <v>90</v>
      </c>
      <c r="K2739" t="s">
        <v>31</v>
      </c>
      <c r="L2739" s="12">
        <v>0.86111111111111116</v>
      </c>
      <c r="M2739" t="s">
        <v>63</v>
      </c>
      <c r="N2739" s="3">
        <v>232</v>
      </c>
      <c r="O2739" t="s">
        <v>24</v>
      </c>
      <c r="P2739" t="s">
        <v>79</v>
      </c>
      <c r="R2739">
        <f>tblDailySchedule[[#This Row],[Capacity Approx]]*'[1]Load Factor Sheet June Acft  '!$B$5</f>
        <v>187.86727272727273</v>
      </c>
      <c r="S2739">
        <f>tblDailySchedule[[#This Row],[Capacity Approx]]*'[1]Load Factor Sheet June Acft  '!$D$5</f>
        <v>203.4218181818182</v>
      </c>
      <c r="T2739" s="22">
        <f>tblDailySchedule[[#This Row],[STD]]</f>
        <v>0.86111111111111116</v>
      </c>
    </row>
    <row r="2740" spans="1:20" hidden="1" x14ac:dyDescent="0.35">
      <c r="A2740" s="11">
        <v>46208</v>
      </c>
      <c r="B2740" s="3">
        <v>7</v>
      </c>
      <c r="C2740" t="s">
        <v>17</v>
      </c>
      <c r="D2740" t="s">
        <v>18</v>
      </c>
      <c r="E2740" s="3">
        <v>25</v>
      </c>
      <c r="F2740" t="s">
        <v>19</v>
      </c>
      <c r="G2740" t="s">
        <v>91</v>
      </c>
      <c r="H2740" t="s">
        <v>61</v>
      </c>
      <c r="I2740" s="12">
        <v>0.85416666666666663</v>
      </c>
      <c r="J2740" t="s">
        <v>92</v>
      </c>
      <c r="K2740" t="s">
        <v>61</v>
      </c>
      <c r="L2740" s="12">
        <v>0.88194444444444442</v>
      </c>
      <c r="M2740" t="s">
        <v>63</v>
      </c>
      <c r="N2740" s="3">
        <v>232</v>
      </c>
      <c r="O2740" t="s">
        <v>24</v>
      </c>
      <c r="P2740" t="s">
        <v>79</v>
      </c>
      <c r="R2740">
        <f>tblDailySchedule[[#This Row],[Capacity Approx]]*'[1]Load Factor Sheet June Acft  '!$B$5</f>
        <v>187.86727272727273</v>
      </c>
      <c r="S2740">
        <f>tblDailySchedule[[#This Row],[Capacity Approx]]*'[1]Load Factor Sheet June Acft  '!$D$5</f>
        <v>203.4218181818182</v>
      </c>
      <c r="T2740" s="22">
        <f>tblDailySchedule[[#This Row],[STD]]</f>
        <v>0.88194444444444442</v>
      </c>
    </row>
    <row r="2741" spans="1:20" hidden="1" x14ac:dyDescent="0.35">
      <c r="A2741" s="11">
        <v>46208</v>
      </c>
      <c r="B2741" s="3">
        <v>7</v>
      </c>
      <c r="C2741" t="s">
        <v>17</v>
      </c>
      <c r="D2741" t="s">
        <v>18</v>
      </c>
      <c r="E2741" s="3">
        <v>26</v>
      </c>
      <c r="F2741" t="s">
        <v>19</v>
      </c>
      <c r="G2741" t="s">
        <v>93</v>
      </c>
      <c r="H2741" t="s">
        <v>31</v>
      </c>
      <c r="I2741" s="12">
        <v>0.86111111111111116</v>
      </c>
      <c r="J2741" t="s">
        <v>94</v>
      </c>
      <c r="K2741" t="s">
        <v>31</v>
      </c>
      <c r="L2741" s="12">
        <v>0.88888888888888884</v>
      </c>
      <c r="M2741" t="s">
        <v>23</v>
      </c>
      <c r="N2741" s="3">
        <v>186</v>
      </c>
      <c r="O2741" t="s">
        <v>24</v>
      </c>
      <c r="P2741" t="s">
        <v>79</v>
      </c>
      <c r="R2741">
        <f>tblDailySchedule[[#This Row],[Capacity Approx]]*'[1]Load Factor Sheet June Acft  '!$B$5</f>
        <v>150.61772727272728</v>
      </c>
      <c r="S2741">
        <f>tblDailySchedule[[#This Row],[Capacity Approx]]*'[1]Load Factor Sheet June Acft  '!$D$5</f>
        <v>163.08818181818182</v>
      </c>
      <c r="T2741" s="22">
        <f>tblDailySchedule[[#This Row],[STD]]</f>
        <v>0.88888888888888884</v>
      </c>
    </row>
    <row r="2742" spans="1:20" hidden="1" x14ac:dyDescent="0.35">
      <c r="A2742" s="11">
        <v>46208</v>
      </c>
      <c r="B2742" s="3">
        <v>7</v>
      </c>
      <c r="C2742" t="s">
        <v>17</v>
      </c>
      <c r="D2742" t="s">
        <v>18</v>
      </c>
      <c r="E2742" s="3">
        <v>27</v>
      </c>
      <c r="F2742" t="s">
        <v>19</v>
      </c>
      <c r="G2742" t="s">
        <v>95</v>
      </c>
      <c r="H2742" t="s">
        <v>21</v>
      </c>
      <c r="I2742" s="12">
        <v>0.86805555555555558</v>
      </c>
      <c r="J2742" t="s">
        <v>96</v>
      </c>
      <c r="K2742" t="s">
        <v>21</v>
      </c>
      <c r="L2742" s="12">
        <v>0.89583333333333337</v>
      </c>
      <c r="M2742" t="s">
        <v>29</v>
      </c>
      <c r="N2742" s="3">
        <v>186</v>
      </c>
      <c r="O2742" t="s">
        <v>24</v>
      </c>
      <c r="P2742" t="s">
        <v>79</v>
      </c>
      <c r="R2742">
        <f>tblDailySchedule[[#This Row],[Capacity Approx]]*'[1]Load Factor Sheet June Acft  '!$B$5</f>
        <v>150.61772727272728</v>
      </c>
      <c r="S2742">
        <f>tblDailySchedule[[#This Row],[Capacity Approx]]*'[1]Load Factor Sheet June Acft  '!$D$5</f>
        <v>163.08818181818182</v>
      </c>
      <c r="T2742" s="22">
        <f>tblDailySchedule[[#This Row],[STD]]</f>
        <v>0.89583333333333337</v>
      </c>
    </row>
    <row r="2743" spans="1:20" hidden="1" x14ac:dyDescent="0.35">
      <c r="A2743" s="11">
        <v>46208</v>
      </c>
      <c r="B2743" s="3">
        <v>7</v>
      </c>
      <c r="C2743" t="s">
        <v>17</v>
      </c>
      <c r="D2743" t="s">
        <v>18</v>
      </c>
      <c r="E2743" s="3">
        <v>28</v>
      </c>
      <c r="F2743" t="s">
        <v>19</v>
      </c>
      <c r="G2743" t="s">
        <v>97</v>
      </c>
      <c r="H2743" t="s">
        <v>49</v>
      </c>
      <c r="I2743" s="12">
        <v>0.90277777777777779</v>
      </c>
      <c r="J2743" t="s">
        <v>97</v>
      </c>
      <c r="K2743" t="s">
        <v>61</v>
      </c>
      <c r="L2743" s="12">
        <v>0.92361111111111116</v>
      </c>
      <c r="M2743" t="s">
        <v>33</v>
      </c>
      <c r="N2743" s="3">
        <v>189</v>
      </c>
      <c r="O2743" t="s">
        <v>24</v>
      </c>
      <c r="P2743" t="s">
        <v>79</v>
      </c>
      <c r="R2743">
        <f>tblDailySchedule[[#This Row],[Capacity Approx]]*'[1]Load Factor Sheet June Acft  '!$B$5</f>
        <v>153.04704545454547</v>
      </c>
      <c r="S2743">
        <f>tblDailySchedule[[#This Row],[Capacity Approx]]*'[1]Load Factor Sheet June Acft  '!$D$5</f>
        <v>165.71863636363636</v>
      </c>
      <c r="T2743" s="22">
        <f>tblDailySchedule[[#This Row],[STD]]</f>
        <v>0.92361111111111116</v>
      </c>
    </row>
    <row r="2744" spans="1:20" hidden="1" x14ac:dyDescent="0.35">
      <c r="A2744" s="11">
        <v>46208</v>
      </c>
      <c r="B2744" s="3">
        <v>7</v>
      </c>
      <c r="C2744" t="s">
        <v>17</v>
      </c>
      <c r="D2744" t="s">
        <v>18</v>
      </c>
      <c r="E2744" s="3">
        <v>29</v>
      </c>
      <c r="F2744" t="s">
        <v>19</v>
      </c>
      <c r="G2744" t="s">
        <v>98</v>
      </c>
      <c r="H2744" t="s">
        <v>21</v>
      </c>
      <c r="I2744" s="12">
        <v>0.92013888888888884</v>
      </c>
      <c r="J2744" t="s">
        <v>99</v>
      </c>
      <c r="K2744" t="s">
        <v>21</v>
      </c>
      <c r="L2744" s="12">
        <v>0.94791666666666663</v>
      </c>
      <c r="M2744" t="s">
        <v>63</v>
      </c>
      <c r="N2744" s="3">
        <v>232</v>
      </c>
      <c r="O2744" t="s">
        <v>24</v>
      </c>
      <c r="P2744" t="s">
        <v>79</v>
      </c>
      <c r="R2744">
        <f>tblDailySchedule[[#This Row],[Capacity Approx]]*'[1]Load Factor Sheet June Acft  '!$B$5</f>
        <v>187.86727272727273</v>
      </c>
      <c r="S2744">
        <f>tblDailySchedule[[#This Row],[Capacity Approx]]*'[1]Load Factor Sheet June Acft  '!$D$5</f>
        <v>203.4218181818182</v>
      </c>
      <c r="T2744" s="22">
        <f>tblDailySchedule[[#This Row],[STD]]</f>
        <v>0.94791666666666663</v>
      </c>
    </row>
    <row r="2745" spans="1:20" hidden="1" x14ac:dyDescent="0.35">
      <c r="A2745" s="11">
        <v>46209</v>
      </c>
      <c r="B2745" s="3">
        <v>1</v>
      </c>
      <c r="C2745" t="s">
        <v>100</v>
      </c>
      <c r="D2745" t="s">
        <v>18</v>
      </c>
      <c r="E2745" s="3">
        <v>1</v>
      </c>
      <c r="F2745" t="s">
        <v>101</v>
      </c>
      <c r="G2745" t="s">
        <v>102</v>
      </c>
      <c r="H2745" t="s">
        <v>61</v>
      </c>
      <c r="I2745" s="12">
        <v>0.3125</v>
      </c>
      <c r="J2745" t="s">
        <v>103</v>
      </c>
      <c r="K2745" t="s">
        <v>61</v>
      </c>
      <c r="L2745" s="12">
        <v>0.33333333333333331</v>
      </c>
      <c r="M2745" t="s">
        <v>33</v>
      </c>
      <c r="N2745" s="3">
        <v>189</v>
      </c>
      <c r="O2745" t="s">
        <v>24</v>
      </c>
      <c r="P2745" t="s">
        <v>25</v>
      </c>
      <c r="R2745">
        <f>tblDailySchedule[[#This Row],[Capacity Approx]]*'[1]Load Factor Sheet June Acft  '!$B$5</f>
        <v>153.04704545454547</v>
      </c>
      <c r="S2745">
        <f>tblDailySchedule[[#This Row],[Capacity Approx]]*'[1]Load Factor Sheet June Acft  '!$D$5</f>
        <v>165.71863636363636</v>
      </c>
      <c r="T2745" s="22">
        <f>tblDailySchedule[[#This Row],[STD]]</f>
        <v>0.33333333333333331</v>
      </c>
    </row>
    <row r="2746" spans="1:20" hidden="1" x14ac:dyDescent="0.35">
      <c r="A2746" s="11">
        <v>46209</v>
      </c>
      <c r="B2746" s="3">
        <v>1</v>
      </c>
      <c r="C2746" t="s">
        <v>100</v>
      </c>
      <c r="D2746" t="s">
        <v>18</v>
      </c>
      <c r="E2746" s="3">
        <v>2</v>
      </c>
      <c r="F2746" t="s">
        <v>19</v>
      </c>
      <c r="G2746" t="s">
        <v>20</v>
      </c>
      <c r="H2746" t="s">
        <v>21</v>
      </c>
      <c r="I2746" s="12">
        <v>0.31944444444444442</v>
      </c>
      <c r="J2746" t="s">
        <v>22</v>
      </c>
      <c r="K2746" t="s">
        <v>21</v>
      </c>
      <c r="L2746" s="12">
        <v>0.34722222222222221</v>
      </c>
      <c r="M2746" t="s">
        <v>23</v>
      </c>
      <c r="N2746" s="3">
        <v>186</v>
      </c>
      <c r="O2746" t="s">
        <v>24</v>
      </c>
      <c r="P2746" t="s">
        <v>25</v>
      </c>
      <c r="R2746">
        <f>tblDailySchedule[[#This Row],[Capacity Approx]]*'[1]Load Factor Sheet June Acft  '!$B$5</f>
        <v>150.61772727272728</v>
      </c>
      <c r="S2746">
        <f>tblDailySchedule[[#This Row],[Capacity Approx]]*'[1]Load Factor Sheet June Acft  '!$D$5</f>
        <v>163.08818181818182</v>
      </c>
      <c r="T2746" s="22">
        <f>tblDailySchedule[[#This Row],[STD]]</f>
        <v>0.34722222222222221</v>
      </c>
    </row>
    <row r="2747" spans="1:20" hidden="1" x14ac:dyDescent="0.35">
      <c r="A2747" s="11">
        <v>46209</v>
      </c>
      <c r="B2747" s="3">
        <v>1</v>
      </c>
      <c r="C2747" t="s">
        <v>100</v>
      </c>
      <c r="D2747" t="s">
        <v>18</v>
      </c>
      <c r="E2747" s="3">
        <v>3</v>
      </c>
      <c r="F2747" t="s">
        <v>19</v>
      </c>
      <c r="G2747" t="s">
        <v>26</v>
      </c>
      <c r="H2747" t="s">
        <v>27</v>
      </c>
      <c r="I2747" s="12">
        <v>0.3263888888888889</v>
      </c>
      <c r="J2747" t="s">
        <v>28</v>
      </c>
      <c r="K2747" t="s">
        <v>27</v>
      </c>
      <c r="L2747" s="12">
        <v>0.35416666666666669</v>
      </c>
      <c r="M2747" t="s">
        <v>29</v>
      </c>
      <c r="N2747" s="3">
        <v>186</v>
      </c>
      <c r="O2747" t="s">
        <v>24</v>
      </c>
      <c r="P2747" t="s">
        <v>25</v>
      </c>
      <c r="R2747">
        <f>tblDailySchedule[[#This Row],[Capacity Approx]]*'[1]Load Factor Sheet June Acft  '!$B$5</f>
        <v>150.61772727272728</v>
      </c>
      <c r="S2747">
        <f>tblDailySchedule[[#This Row],[Capacity Approx]]*'[1]Load Factor Sheet June Acft  '!$D$5</f>
        <v>163.08818181818182</v>
      </c>
      <c r="T2747" s="22">
        <f>tblDailySchedule[[#This Row],[STD]]</f>
        <v>0.35416666666666669</v>
      </c>
    </row>
    <row r="2748" spans="1:20" hidden="1" x14ac:dyDescent="0.35">
      <c r="A2748" s="11">
        <v>46209</v>
      </c>
      <c r="B2748" s="3">
        <v>1</v>
      </c>
      <c r="C2748" t="s">
        <v>100</v>
      </c>
      <c r="D2748" t="s">
        <v>18</v>
      </c>
      <c r="E2748" s="3">
        <v>4</v>
      </c>
      <c r="F2748" t="s">
        <v>19</v>
      </c>
      <c r="G2748" t="s">
        <v>30</v>
      </c>
      <c r="H2748" t="s">
        <v>31</v>
      </c>
      <c r="I2748" s="12">
        <v>0.34722222222222221</v>
      </c>
      <c r="J2748" t="s">
        <v>32</v>
      </c>
      <c r="K2748" t="s">
        <v>31</v>
      </c>
      <c r="L2748" s="12">
        <v>0.36805555555555558</v>
      </c>
      <c r="M2748" t="s">
        <v>33</v>
      </c>
      <c r="N2748" s="3">
        <v>189</v>
      </c>
      <c r="O2748" t="s">
        <v>24</v>
      </c>
      <c r="P2748" t="s">
        <v>25</v>
      </c>
      <c r="R2748">
        <f>tblDailySchedule[[#This Row],[Capacity Approx]]*'[1]Load Factor Sheet June Acft  '!$B$5</f>
        <v>153.04704545454547</v>
      </c>
      <c r="S2748">
        <f>tblDailySchedule[[#This Row],[Capacity Approx]]*'[1]Load Factor Sheet June Acft  '!$D$5</f>
        <v>165.71863636363636</v>
      </c>
      <c r="T2748" s="22">
        <f>tblDailySchedule[[#This Row],[STD]]</f>
        <v>0.36805555555555558</v>
      </c>
    </row>
    <row r="2749" spans="1:20" hidden="1" x14ac:dyDescent="0.35">
      <c r="A2749" s="13">
        <v>46209</v>
      </c>
      <c r="B2749" s="7">
        <v>1</v>
      </c>
      <c r="C2749" s="14" t="s">
        <v>100</v>
      </c>
      <c r="D2749" s="14" t="s">
        <v>18</v>
      </c>
      <c r="E2749" s="7">
        <v>6</v>
      </c>
      <c r="F2749" s="14" t="s">
        <v>34</v>
      </c>
      <c r="G2749" s="14" t="s">
        <v>35</v>
      </c>
      <c r="H2749" s="14" t="s">
        <v>36</v>
      </c>
      <c r="I2749" s="15">
        <v>0.34722222222222221</v>
      </c>
      <c r="J2749" s="14" t="s">
        <v>37</v>
      </c>
      <c r="K2749" s="14" t="s">
        <v>36</v>
      </c>
      <c r="L2749" s="15">
        <v>0.40972222222222221</v>
      </c>
      <c r="M2749" s="14" t="s">
        <v>38</v>
      </c>
      <c r="N2749" s="7">
        <v>186</v>
      </c>
      <c r="O2749" s="14" t="s">
        <v>39</v>
      </c>
      <c r="P2749" s="14" t="s">
        <v>25</v>
      </c>
      <c r="Q2749" s="14" t="s">
        <v>39</v>
      </c>
      <c r="R2749">
        <f>tblDailySchedule[[#This Row],[Capacity Approx]]*'[1]Load Factor Sheet June Acft  '!$B$5</f>
        <v>150.61772727272728</v>
      </c>
      <c r="S2749">
        <f>tblDailySchedule[[#This Row],[Capacity Approx]]*'[1]Load Factor Sheet June Acft  '!$D$5</f>
        <v>163.08818181818182</v>
      </c>
      <c r="T2749" s="22">
        <f>tblDailySchedule[[#This Row],[STD]]</f>
        <v>0.40972222222222221</v>
      </c>
    </row>
    <row r="2750" spans="1:20" hidden="1" x14ac:dyDescent="0.35">
      <c r="A2750" s="11">
        <v>46209</v>
      </c>
      <c r="B2750" s="3">
        <v>1</v>
      </c>
      <c r="C2750" t="s">
        <v>100</v>
      </c>
      <c r="D2750" t="s">
        <v>18</v>
      </c>
      <c r="E2750" s="3">
        <v>5</v>
      </c>
      <c r="F2750" t="s">
        <v>19</v>
      </c>
      <c r="G2750" t="s">
        <v>40</v>
      </c>
      <c r="H2750" t="s">
        <v>31</v>
      </c>
      <c r="I2750" s="12">
        <v>0.35069444444444442</v>
      </c>
      <c r="J2750" t="s">
        <v>41</v>
      </c>
      <c r="K2750" t="s">
        <v>31</v>
      </c>
      <c r="L2750" s="12">
        <v>0.37152777777777779</v>
      </c>
      <c r="M2750" t="s">
        <v>23</v>
      </c>
      <c r="N2750" s="3">
        <v>186</v>
      </c>
      <c r="O2750" t="s">
        <v>24</v>
      </c>
      <c r="P2750" t="s">
        <v>25</v>
      </c>
      <c r="R2750">
        <f>tblDailySchedule[[#This Row],[Capacity Approx]]*'[1]Load Factor Sheet June Acft  '!$B$5</f>
        <v>150.61772727272728</v>
      </c>
      <c r="S2750">
        <f>tblDailySchedule[[#This Row],[Capacity Approx]]*'[1]Load Factor Sheet June Acft  '!$D$5</f>
        <v>163.08818181818182</v>
      </c>
      <c r="T2750" s="22">
        <f>tblDailySchedule[[#This Row],[STD]]</f>
        <v>0.37152777777777779</v>
      </c>
    </row>
    <row r="2751" spans="1:20" hidden="1" x14ac:dyDescent="0.35">
      <c r="A2751" s="11">
        <v>46209</v>
      </c>
      <c r="B2751" s="3">
        <v>1</v>
      </c>
      <c r="C2751" t="s">
        <v>100</v>
      </c>
      <c r="D2751" t="s">
        <v>18</v>
      </c>
      <c r="E2751" s="3">
        <v>7</v>
      </c>
      <c r="F2751" t="s">
        <v>19</v>
      </c>
      <c r="G2751" t="s">
        <v>42</v>
      </c>
      <c r="H2751" t="s">
        <v>43</v>
      </c>
      <c r="I2751" s="12">
        <v>0.3923611111111111</v>
      </c>
      <c r="J2751" t="s">
        <v>44</v>
      </c>
      <c r="K2751" t="s">
        <v>43</v>
      </c>
      <c r="L2751" s="12">
        <v>0.40277777777777779</v>
      </c>
      <c r="M2751" t="s">
        <v>45</v>
      </c>
      <c r="N2751" s="3">
        <v>9</v>
      </c>
      <c r="O2751" t="s">
        <v>24</v>
      </c>
      <c r="P2751" t="s">
        <v>25</v>
      </c>
      <c r="R2751">
        <f>tblDailySchedule[[#This Row],[Capacity Approx]]*'[1]Load Factor Sheet June Acft  '!$B$5</f>
        <v>7.2879545454545456</v>
      </c>
      <c r="S2751">
        <f>tblDailySchedule[[#This Row],[Capacity Approx]]*'[1]Load Factor Sheet June Acft  '!$D$5</f>
        <v>7.8913636363636366</v>
      </c>
      <c r="T2751" s="22">
        <f>tblDailySchedule[[#This Row],[STD]]</f>
        <v>0.40277777777777779</v>
      </c>
    </row>
    <row r="2752" spans="1:20" hidden="1" x14ac:dyDescent="0.35">
      <c r="A2752" s="11">
        <v>46209</v>
      </c>
      <c r="B2752" s="3">
        <v>1</v>
      </c>
      <c r="C2752" t="s">
        <v>100</v>
      </c>
      <c r="D2752" t="s">
        <v>18</v>
      </c>
      <c r="E2752" s="3">
        <v>8</v>
      </c>
      <c r="F2752" t="s">
        <v>19</v>
      </c>
      <c r="G2752" t="s">
        <v>46</v>
      </c>
      <c r="H2752" t="s">
        <v>31</v>
      </c>
      <c r="I2752" s="12">
        <v>0.4201388888888889</v>
      </c>
      <c r="J2752" t="s">
        <v>47</v>
      </c>
      <c r="K2752" t="s">
        <v>31</v>
      </c>
      <c r="L2752" s="12">
        <v>0.44444444444444442</v>
      </c>
      <c r="M2752" t="s">
        <v>29</v>
      </c>
      <c r="N2752" s="3">
        <v>186</v>
      </c>
      <c r="O2752" t="s">
        <v>24</v>
      </c>
      <c r="P2752" t="s">
        <v>25</v>
      </c>
      <c r="R2752">
        <f>tblDailySchedule[[#This Row],[Capacity Approx]]*'[1]Load Factor Sheet June Acft  '!$B$5</f>
        <v>150.61772727272728</v>
      </c>
      <c r="S2752">
        <f>tblDailySchedule[[#This Row],[Capacity Approx]]*'[1]Load Factor Sheet June Acft  '!$D$5</f>
        <v>163.08818181818182</v>
      </c>
      <c r="T2752" s="22">
        <f>tblDailySchedule[[#This Row],[STD]]</f>
        <v>0.44444444444444442</v>
      </c>
    </row>
    <row r="2753" spans="1:20" hidden="1" x14ac:dyDescent="0.35">
      <c r="A2753" s="11">
        <v>46209</v>
      </c>
      <c r="B2753" s="3">
        <v>1</v>
      </c>
      <c r="C2753" t="s">
        <v>100</v>
      </c>
      <c r="D2753" t="s">
        <v>18</v>
      </c>
      <c r="E2753" s="3">
        <v>9</v>
      </c>
      <c r="F2753" t="s">
        <v>19</v>
      </c>
      <c r="G2753" t="s">
        <v>48</v>
      </c>
      <c r="H2753" t="s">
        <v>49</v>
      </c>
      <c r="I2753" s="12">
        <v>0.4375</v>
      </c>
      <c r="J2753" t="s">
        <v>50</v>
      </c>
      <c r="K2753" t="s">
        <v>49</v>
      </c>
      <c r="L2753" s="12">
        <v>0.45833333333333331</v>
      </c>
      <c r="M2753" t="s">
        <v>51</v>
      </c>
      <c r="N2753" s="3">
        <v>78</v>
      </c>
      <c r="O2753" t="s">
        <v>24</v>
      </c>
      <c r="P2753" t="s">
        <v>25</v>
      </c>
      <c r="R2753">
        <f>tblDailySchedule[[#This Row],[Capacity Approx]]*'[1]Load Factor Sheet June Acft  '!$B$5</f>
        <v>63.162272727272729</v>
      </c>
      <c r="S2753">
        <f>tblDailySchedule[[#This Row],[Capacity Approx]]*'[1]Load Factor Sheet June Acft  '!$D$5</f>
        <v>68.391818181818181</v>
      </c>
      <c r="T2753" s="22">
        <f>tblDailySchedule[[#This Row],[STD]]</f>
        <v>0.45833333333333331</v>
      </c>
    </row>
    <row r="2754" spans="1:20" hidden="1" x14ac:dyDescent="0.35">
      <c r="A2754" s="11">
        <v>46209</v>
      </c>
      <c r="B2754" s="3">
        <v>1</v>
      </c>
      <c r="C2754" t="s">
        <v>100</v>
      </c>
      <c r="D2754" t="s">
        <v>18</v>
      </c>
      <c r="E2754" s="3">
        <v>10</v>
      </c>
      <c r="F2754" t="s">
        <v>19</v>
      </c>
      <c r="G2754" t="s">
        <v>52</v>
      </c>
      <c r="H2754" t="s">
        <v>27</v>
      </c>
      <c r="I2754" s="12">
        <v>0.4826388888888889</v>
      </c>
      <c r="J2754" t="s">
        <v>53</v>
      </c>
      <c r="K2754" t="s">
        <v>27</v>
      </c>
      <c r="L2754" s="12">
        <v>0.51041666666666663</v>
      </c>
      <c r="M2754" t="s">
        <v>23</v>
      </c>
      <c r="N2754" s="3">
        <v>186</v>
      </c>
      <c r="O2754" t="s">
        <v>24</v>
      </c>
      <c r="P2754" t="s">
        <v>25</v>
      </c>
      <c r="R2754">
        <f>tblDailySchedule[[#This Row],[Capacity Approx]]*'[1]Load Factor Sheet June Acft  '!$B$5</f>
        <v>150.61772727272728</v>
      </c>
      <c r="S2754">
        <f>tblDailySchedule[[#This Row],[Capacity Approx]]*'[1]Load Factor Sheet June Acft  '!$D$5</f>
        <v>163.08818181818182</v>
      </c>
      <c r="T2754" s="22">
        <f>tblDailySchedule[[#This Row],[STD]]</f>
        <v>0.51041666666666663</v>
      </c>
    </row>
    <row r="2755" spans="1:20" hidden="1" x14ac:dyDescent="0.35">
      <c r="A2755" s="11">
        <v>46209</v>
      </c>
      <c r="B2755" s="3">
        <v>1</v>
      </c>
      <c r="C2755" t="s">
        <v>100</v>
      </c>
      <c r="D2755" t="s">
        <v>18</v>
      </c>
      <c r="E2755" s="3">
        <v>11</v>
      </c>
      <c r="F2755" t="s">
        <v>19</v>
      </c>
      <c r="G2755" t="s">
        <v>54</v>
      </c>
      <c r="H2755" t="s">
        <v>31</v>
      </c>
      <c r="I2755" s="12">
        <v>0.51388888888888884</v>
      </c>
      <c r="J2755" t="s">
        <v>55</v>
      </c>
      <c r="K2755" t="s">
        <v>31</v>
      </c>
      <c r="L2755" s="12">
        <v>0.54166666666666663</v>
      </c>
      <c r="M2755" t="s">
        <v>23</v>
      </c>
      <c r="N2755" s="3">
        <v>186</v>
      </c>
      <c r="O2755" t="s">
        <v>24</v>
      </c>
      <c r="P2755" t="s">
        <v>56</v>
      </c>
      <c r="R2755">
        <f>tblDailySchedule[[#This Row],[Capacity Approx]]*'[1]Load Factor Sheet June Acft  '!$B$5</f>
        <v>150.61772727272728</v>
      </c>
      <c r="S2755">
        <f>tblDailySchedule[[#This Row],[Capacity Approx]]*'[1]Load Factor Sheet June Acft  '!$D$5</f>
        <v>163.08818181818182</v>
      </c>
      <c r="T2755" s="22">
        <f>tblDailySchedule[[#This Row],[STD]]</f>
        <v>0.54166666666666663</v>
      </c>
    </row>
    <row r="2756" spans="1:20" hidden="1" x14ac:dyDescent="0.35">
      <c r="A2756" s="11">
        <v>46209</v>
      </c>
      <c r="B2756" s="3">
        <v>1</v>
      </c>
      <c r="C2756" t="s">
        <v>100</v>
      </c>
      <c r="D2756" t="s">
        <v>18</v>
      </c>
      <c r="E2756" s="3">
        <v>13</v>
      </c>
      <c r="F2756" t="s">
        <v>19</v>
      </c>
      <c r="G2756" t="s">
        <v>57</v>
      </c>
      <c r="H2756" t="s">
        <v>58</v>
      </c>
      <c r="I2756" s="12">
        <v>0.55902777777777779</v>
      </c>
      <c r="J2756" t="s">
        <v>59</v>
      </c>
      <c r="K2756" t="s">
        <v>58</v>
      </c>
      <c r="L2756" s="12">
        <v>0.57638888888888884</v>
      </c>
      <c r="M2756" t="s">
        <v>51</v>
      </c>
      <c r="N2756" s="3">
        <v>78</v>
      </c>
      <c r="O2756" t="s">
        <v>24</v>
      </c>
      <c r="P2756" t="s">
        <v>56</v>
      </c>
      <c r="R2756">
        <f>tblDailySchedule[[#This Row],[Capacity Approx]]*'[1]Load Factor Sheet June Acft  '!$B$5</f>
        <v>63.162272727272729</v>
      </c>
      <c r="S2756">
        <f>tblDailySchedule[[#This Row],[Capacity Approx]]*'[1]Load Factor Sheet June Acft  '!$D$5</f>
        <v>68.391818181818181</v>
      </c>
      <c r="T2756" s="22">
        <f>tblDailySchedule[[#This Row],[STD]]</f>
        <v>0.57638888888888884</v>
      </c>
    </row>
    <row r="2757" spans="1:20" hidden="1" x14ac:dyDescent="0.35">
      <c r="A2757" s="11">
        <v>46209</v>
      </c>
      <c r="B2757" s="3">
        <v>1</v>
      </c>
      <c r="C2757" t="s">
        <v>100</v>
      </c>
      <c r="D2757" t="s">
        <v>18</v>
      </c>
      <c r="E2757" s="3">
        <v>14</v>
      </c>
      <c r="F2757" t="s">
        <v>19</v>
      </c>
      <c r="G2757" t="s">
        <v>60</v>
      </c>
      <c r="H2757" t="s">
        <v>61</v>
      </c>
      <c r="I2757" s="12">
        <v>0.59027777777777779</v>
      </c>
      <c r="J2757" t="s">
        <v>62</v>
      </c>
      <c r="K2757" t="s">
        <v>61</v>
      </c>
      <c r="L2757" s="12">
        <v>0.62152777777777779</v>
      </c>
      <c r="M2757" t="s">
        <v>63</v>
      </c>
      <c r="N2757" s="3">
        <v>232</v>
      </c>
      <c r="O2757" t="s">
        <v>24</v>
      </c>
      <c r="P2757" t="s">
        <v>56</v>
      </c>
      <c r="R2757">
        <f>tblDailySchedule[[#This Row],[Capacity Approx]]*'[1]Load Factor Sheet June Acft  '!$B$5</f>
        <v>187.86727272727273</v>
      </c>
      <c r="S2757">
        <f>tblDailySchedule[[#This Row],[Capacity Approx]]*'[1]Load Factor Sheet June Acft  '!$D$5</f>
        <v>203.4218181818182</v>
      </c>
      <c r="T2757" s="22">
        <f>tblDailySchedule[[#This Row],[STD]]</f>
        <v>0.62152777777777779</v>
      </c>
    </row>
    <row r="2758" spans="1:20" hidden="1" x14ac:dyDescent="0.35">
      <c r="A2758" s="11">
        <v>46209</v>
      </c>
      <c r="B2758" s="3">
        <v>1</v>
      </c>
      <c r="C2758" t="s">
        <v>100</v>
      </c>
      <c r="D2758" t="s">
        <v>18</v>
      </c>
      <c r="E2758" s="3">
        <v>15</v>
      </c>
      <c r="F2758" t="s">
        <v>19</v>
      </c>
      <c r="G2758" t="s">
        <v>64</v>
      </c>
      <c r="H2758" t="s">
        <v>31</v>
      </c>
      <c r="I2758" s="12">
        <v>0.60069444444444442</v>
      </c>
      <c r="J2758" t="s">
        <v>65</v>
      </c>
      <c r="K2758" t="s">
        <v>66</v>
      </c>
      <c r="L2758" s="12">
        <v>0.62847222222222221</v>
      </c>
      <c r="M2758" t="s">
        <v>63</v>
      </c>
      <c r="N2758" s="3">
        <v>232</v>
      </c>
      <c r="O2758" t="s">
        <v>24</v>
      </c>
      <c r="P2758" t="s">
        <v>56</v>
      </c>
      <c r="R2758">
        <f>tblDailySchedule[[#This Row],[Capacity Approx]]*'[1]Load Factor Sheet June Acft  '!$B$5</f>
        <v>187.86727272727273</v>
      </c>
      <c r="S2758">
        <f>tblDailySchedule[[#This Row],[Capacity Approx]]*'[1]Load Factor Sheet June Acft  '!$D$5</f>
        <v>203.4218181818182</v>
      </c>
      <c r="T2758" s="22">
        <f>tblDailySchedule[[#This Row],[STD]]</f>
        <v>0.62847222222222221</v>
      </c>
    </row>
    <row r="2759" spans="1:20" hidden="1" x14ac:dyDescent="0.35">
      <c r="A2759" s="11">
        <v>46209</v>
      </c>
      <c r="B2759" s="3">
        <v>1</v>
      </c>
      <c r="C2759" t="s">
        <v>100</v>
      </c>
      <c r="D2759" t="s">
        <v>18</v>
      </c>
      <c r="E2759" s="3">
        <v>16</v>
      </c>
      <c r="F2759" t="s">
        <v>19</v>
      </c>
      <c r="G2759" t="s">
        <v>67</v>
      </c>
      <c r="H2759" t="s">
        <v>31</v>
      </c>
      <c r="I2759" s="12">
        <v>0.65625</v>
      </c>
      <c r="J2759" t="s">
        <v>68</v>
      </c>
      <c r="K2759" t="s">
        <v>31</v>
      </c>
      <c r="L2759" s="12">
        <v>0.68402777777777779</v>
      </c>
      <c r="M2759" t="s">
        <v>63</v>
      </c>
      <c r="N2759" s="3">
        <v>232</v>
      </c>
      <c r="O2759" t="s">
        <v>24</v>
      </c>
      <c r="P2759" t="s">
        <v>56</v>
      </c>
      <c r="R2759">
        <f>tblDailySchedule[[#This Row],[Capacity Approx]]*'[1]Load Factor Sheet June Acft  '!$B$5</f>
        <v>187.86727272727273</v>
      </c>
      <c r="S2759">
        <f>tblDailySchedule[[#This Row],[Capacity Approx]]*'[1]Load Factor Sheet June Acft  '!$D$5</f>
        <v>203.4218181818182</v>
      </c>
      <c r="T2759" s="22">
        <f>tblDailySchedule[[#This Row],[STD]]</f>
        <v>0.68402777777777779</v>
      </c>
    </row>
    <row r="2760" spans="1:20" hidden="1" x14ac:dyDescent="0.35">
      <c r="A2760" s="11">
        <v>46209</v>
      </c>
      <c r="B2760" s="3">
        <v>1</v>
      </c>
      <c r="C2760" t="s">
        <v>100</v>
      </c>
      <c r="D2760" t="s">
        <v>18</v>
      </c>
      <c r="E2760" s="3">
        <v>17</v>
      </c>
      <c r="F2760" t="s">
        <v>19</v>
      </c>
      <c r="G2760" t="s">
        <v>69</v>
      </c>
      <c r="H2760" t="s">
        <v>31</v>
      </c>
      <c r="I2760" s="12">
        <v>0.66319444444444442</v>
      </c>
      <c r="J2760" t="s">
        <v>70</v>
      </c>
      <c r="K2760" t="s">
        <v>31</v>
      </c>
      <c r="L2760" s="12">
        <v>0.69097222222222221</v>
      </c>
      <c r="M2760" t="s">
        <v>33</v>
      </c>
      <c r="N2760" s="3">
        <v>189</v>
      </c>
      <c r="O2760" t="s">
        <v>24</v>
      </c>
      <c r="P2760" t="s">
        <v>56</v>
      </c>
      <c r="R2760">
        <f>tblDailySchedule[[#This Row],[Capacity Approx]]*'[1]Load Factor Sheet June Acft  '!$B$5</f>
        <v>153.04704545454547</v>
      </c>
      <c r="S2760">
        <f>tblDailySchedule[[#This Row],[Capacity Approx]]*'[1]Load Factor Sheet June Acft  '!$D$5</f>
        <v>165.71863636363636</v>
      </c>
      <c r="T2760" s="22">
        <f>tblDailySchedule[[#This Row],[STD]]</f>
        <v>0.69097222222222221</v>
      </c>
    </row>
    <row r="2761" spans="1:20" hidden="1" x14ac:dyDescent="0.35">
      <c r="A2761" s="11">
        <v>46209</v>
      </c>
      <c r="B2761" s="3">
        <v>1</v>
      </c>
      <c r="C2761" t="s">
        <v>100</v>
      </c>
      <c r="D2761" t="s">
        <v>18</v>
      </c>
      <c r="E2761" s="3">
        <v>18</v>
      </c>
      <c r="F2761" t="s">
        <v>19</v>
      </c>
      <c r="G2761" t="s">
        <v>71</v>
      </c>
      <c r="H2761" t="s">
        <v>21</v>
      </c>
      <c r="I2761" s="12">
        <v>0.67013888888888884</v>
      </c>
      <c r="J2761" t="s">
        <v>72</v>
      </c>
      <c r="K2761" t="s">
        <v>21</v>
      </c>
      <c r="L2761" s="12">
        <v>0.69791666666666663</v>
      </c>
      <c r="M2761" t="s">
        <v>63</v>
      </c>
      <c r="N2761" s="3">
        <v>232</v>
      </c>
      <c r="O2761" t="s">
        <v>24</v>
      </c>
      <c r="P2761" t="s">
        <v>56</v>
      </c>
      <c r="R2761">
        <f>tblDailySchedule[[#This Row],[Capacity Approx]]*'[1]Load Factor Sheet June Acft  '!$B$5</f>
        <v>187.86727272727273</v>
      </c>
      <c r="S2761">
        <f>tblDailySchedule[[#This Row],[Capacity Approx]]*'[1]Load Factor Sheet June Acft  '!$D$5</f>
        <v>203.4218181818182</v>
      </c>
      <c r="T2761" s="22">
        <f>tblDailySchedule[[#This Row],[STD]]</f>
        <v>0.69791666666666663</v>
      </c>
    </row>
    <row r="2762" spans="1:20" hidden="1" x14ac:dyDescent="0.35">
      <c r="A2762" s="11">
        <v>46209</v>
      </c>
      <c r="B2762" s="3">
        <v>1</v>
      </c>
      <c r="C2762" t="s">
        <v>100</v>
      </c>
      <c r="D2762" t="s">
        <v>18</v>
      </c>
      <c r="E2762" s="3">
        <v>19</v>
      </c>
      <c r="F2762" t="s">
        <v>19</v>
      </c>
      <c r="G2762" t="s">
        <v>73</v>
      </c>
      <c r="H2762" t="s">
        <v>27</v>
      </c>
      <c r="I2762" s="12">
        <v>0.74652777777777779</v>
      </c>
      <c r="J2762" t="s">
        <v>74</v>
      </c>
      <c r="K2762" t="s">
        <v>27</v>
      </c>
      <c r="L2762" s="12">
        <v>0.77430555555555558</v>
      </c>
      <c r="M2762" t="s">
        <v>63</v>
      </c>
      <c r="N2762" s="3">
        <v>232</v>
      </c>
      <c r="O2762" t="s">
        <v>24</v>
      </c>
      <c r="P2762" t="s">
        <v>56</v>
      </c>
      <c r="R2762">
        <f>tblDailySchedule[[#This Row],[Capacity Approx]]*'[1]Load Factor Sheet June Acft  '!$B$5</f>
        <v>187.86727272727273</v>
      </c>
      <c r="S2762">
        <f>tblDailySchedule[[#This Row],[Capacity Approx]]*'[1]Load Factor Sheet June Acft  '!$D$5</f>
        <v>203.4218181818182</v>
      </c>
      <c r="T2762" s="22">
        <f>tblDailySchedule[[#This Row],[STD]]</f>
        <v>0.77430555555555558</v>
      </c>
    </row>
    <row r="2763" spans="1:20" hidden="1" x14ac:dyDescent="0.35">
      <c r="A2763" s="11">
        <v>46209</v>
      </c>
      <c r="B2763" s="3">
        <v>1</v>
      </c>
      <c r="C2763" t="s">
        <v>100</v>
      </c>
      <c r="D2763" t="s">
        <v>18</v>
      </c>
      <c r="E2763" s="3">
        <v>20</v>
      </c>
      <c r="F2763" t="s">
        <v>34</v>
      </c>
      <c r="G2763" t="s">
        <v>75</v>
      </c>
      <c r="H2763" t="s">
        <v>76</v>
      </c>
      <c r="I2763" s="12">
        <v>0.76388888888888884</v>
      </c>
      <c r="J2763" t="s">
        <v>77</v>
      </c>
      <c r="K2763" t="s">
        <v>78</v>
      </c>
      <c r="L2763" s="12">
        <v>0.78472222222222221</v>
      </c>
      <c r="M2763" t="s">
        <v>51</v>
      </c>
      <c r="N2763" s="3">
        <v>78</v>
      </c>
      <c r="O2763" t="s">
        <v>24</v>
      </c>
      <c r="P2763" t="s">
        <v>79</v>
      </c>
      <c r="Q2763" s="16" t="s">
        <v>80</v>
      </c>
      <c r="R2763">
        <f>tblDailySchedule[[#This Row],[Capacity Approx]]*'[1]Load Factor Sheet June Acft  '!$B$5</f>
        <v>63.162272727272729</v>
      </c>
      <c r="S2763">
        <f>tblDailySchedule[[#This Row],[Capacity Approx]]*'[1]Load Factor Sheet June Acft  '!$D$5</f>
        <v>68.391818181818181</v>
      </c>
      <c r="T2763" s="22">
        <f>tblDailySchedule[[#This Row],[STD]]</f>
        <v>0.78472222222222221</v>
      </c>
    </row>
    <row r="2764" spans="1:20" hidden="1" x14ac:dyDescent="0.35">
      <c r="A2764" s="11">
        <v>46209</v>
      </c>
      <c r="B2764" s="3">
        <v>1</v>
      </c>
      <c r="C2764" t="s">
        <v>100</v>
      </c>
      <c r="D2764" t="s">
        <v>18</v>
      </c>
      <c r="E2764" s="3">
        <v>21</v>
      </c>
      <c r="F2764" t="s">
        <v>19</v>
      </c>
      <c r="G2764" t="s">
        <v>81</v>
      </c>
      <c r="H2764" t="s">
        <v>61</v>
      </c>
      <c r="I2764" s="12">
        <v>0.77083333333333337</v>
      </c>
      <c r="J2764" t="s">
        <v>82</v>
      </c>
      <c r="K2764" t="s">
        <v>49</v>
      </c>
      <c r="L2764" s="12">
        <v>0.79166666666666663</v>
      </c>
      <c r="M2764" t="s">
        <v>33</v>
      </c>
      <c r="N2764" s="3">
        <v>189</v>
      </c>
      <c r="O2764" t="s">
        <v>24</v>
      </c>
      <c r="P2764" t="s">
        <v>79</v>
      </c>
      <c r="R2764">
        <f>tblDailySchedule[[#This Row],[Capacity Approx]]*'[1]Load Factor Sheet June Acft  '!$B$5</f>
        <v>153.04704545454547</v>
      </c>
      <c r="S2764">
        <f>tblDailySchedule[[#This Row],[Capacity Approx]]*'[1]Load Factor Sheet June Acft  '!$D$5</f>
        <v>165.71863636363636</v>
      </c>
      <c r="T2764" s="22">
        <f>tblDailySchedule[[#This Row],[STD]]</f>
        <v>0.79166666666666663</v>
      </c>
    </row>
    <row r="2765" spans="1:20" hidden="1" x14ac:dyDescent="0.35">
      <c r="A2765" s="11">
        <v>46209</v>
      </c>
      <c r="B2765" s="3">
        <v>1</v>
      </c>
      <c r="C2765" t="s">
        <v>100</v>
      </c>
      <c r="D2765" t="s">
        <v>18</v>
      </c>
      <c r="E2765" s="3">
        <v>22</v>
      </c>
      <c r="F2765" t="s">
        <v>19</v>
      </c>
      <c r="G2765" t="s">
        <v>83</v>
      </c>
      <c r="H2765" t="s">
        <v>31</v>
      </c>
      <c r="I2765" s="12">
        <v>0.77777777777777779</v>
      </c>
      <c r="J2765" t="s">
        <v>84</v>
      </c>
      <c r="K2765" t="s">
        <v>31</v>
      </c>
      <c r="L2765" s="12">
        <v>0.80555555555555558</v>
      </c>
      <c r="M2765" t="s">
        <v>63</v>
      </c>
      <c r="N2765" s="3">
        <v>232</v>
      </c>
      <c r="O2765" t="s">
        <v>24</v>
      </c>
      <c r="P2765" t="s">
        <v>79</v>
      </c>
      <c r="R2765">
        <f>tblDailySchedule[[#This Row],[Capacity Approx]]*'[1]Load Factor Sheet June Acft  '!$B$5</f>
        <v>187.86727272727273</v>
      </c>
      <c r="S2765">
        <f>tblDailySchedule[[#This Row],[Capacity Approx]]*'[1]Load Factor Sheet June Acft  '!$D$5</f>
        <v>203.4218181818182</v>
      </c>
      <c r="T2765" s="22">
        <f>tblDailySchedule[[#This Row],[STD]]</f>
        <v>0.80555555555555558</v>
      </c>
    </row>
    <row r="2766" spans="1:20" hidden="1" x14ac:dyDescent="0.35">
      <c r="A2766" s="11">
        <v>46209</v>
      </c>
      <c r="B2766" s="3">
        <v>1</v>
      </c>
      <c r="C2766" t="s">
        <v>100</v>
      </c>
      <c r="D2766" t="s">
        <v>18</v>
      </c>
      <c r="E2766" s="3">
        <v>23</v>
      </c>
      <c r="F2766" t="s">
        <v>19</v>
      </c>
      <c r="G2766" t="s">
        <v>85</v>
      </c>
      <c r="H2766" t="s">
        <v>86</v>
      </c>
      <c r="I2766" s="12">
        <v>0.79861111111111116</v>
      </c>
      <c r="J2766" t="s">
        <v>87</v>
      </c>
      <c r="K2766" t="s">
        <v>86</v>
      </c>
      <c r="L2766" s="12">
        <v>0.82638888888888884</v>
      </c>
      <c r="M2766" t="s">
        <v>63</v>
      </c>
      <c r="N2766" s="3">
        <v>232</v>
      </c>
      <c r="O2766" t="s">
        <v>24</v>
      </c>
      <c r="P2766" t="s">
        <v>79</v>
      </c>
      <c r="R2766">
        <f>tblDailySchedule[[#This Row],[Capacity Approx]]*'[1]Load Factor Sheet June Acft  '!$B$5</f>
        <v>187.86727272727273</v>
      </c>
      <c r="S2766">
        <f>tblDailySchedule[[#This Row],[Capacity Approx]]*'[1]Load Factor Sheet June Acft  '!$D$5</f>
        <v>203.4218181818182</v>
      </c>
      <c r="T2766" s="22">
        <f>tblDailySchedule[[#This Row],[STD]]</f>
        <v>0.82638888888888884</v>
      </c>
    </row>
    <row r="2767" spans="1:20" hidden="1" x14ac:dyDescent="0.35">
      <c r="A2767" s="11">
        <v>46209</v>
      </c>
      <c r="B2767" s="3">
        <v>1</v>
      </c>
      <c r="C2767" t="s">
        <v>100</v>
      </c>
      <c r="D2767" t="s">
        <v>18</v>
      </c>
      <c r="E2767" s="3">
        <v>24</v>
      </c>
      <c r="F2767" t="s">
        <v>19</v>
      </c>
      <c r="G2767" t="s">
        <v>88</v>
      </c>
      <c r="H2767" t="s">
        <v>89</v>
      </c>
      <c r="I2767" s="12">
        <v>0.83333333333333337</v>
      </c>
      <c r="J2767" t="s">
        <v>90</v>
      </c>
      <c r="K2767" t="s">
        <v>31</v>
      </c>
      <c r="L2767" s="12">
        <v>0.86111111111111116</v>
      </c>
      <c r="M2767" t="s">
        <v>63</v>
      </c>
      <c r="N2767" s="3">
        <v>232</v>
      </c>
      <c r="O2767" t="s">
        <v>24</v>
      </c>
      <c r="P2767" t="s">
        <v>79</v>
      </c>
      <c r="R2767">
        <f>tblDailySchedule[[#This Row],[Capacity Approx]]*'[1]Load Factor Sheet June Acft  '!$B$5</f>
        <v>187.86727272727273</v>
      </c>
      <c r="S2767">
        <f>tblDailySchedule[[#This Row],[Capacity Approx]]*'[1]Load Factor Sheet June Acft  '!$D$5</f>
        <v>203.4218181818182</v>
      </c>
      <c r="T2767" s="22">
        <f>tblDailySchedule[[#This Row],[STD]]</f>
        <v>0.86111111111111116</v>
      </c>
    </row>
    <row r="2768" spans="1:20" hidden="1" x14ac:dyDescent="0.35">
      <c r="A2768" s="11">
        <v>46209</v>
      </c>
      <c r="B2768" s="3">
        <v>1</v>
      </c>
      <c r="C2768" t="s">
        <v>100</v>
      </c>
      <c r="D2768" t="s">
        <v>18</v>
      </c>
      <c r="E2768" s="3">
        <v>25</v>
      </c>
      <c r="F2768" t="s">
        <v>19</v>
      </c>
      <c r="G2768" t="s">
        <v>91</v>
      </c>
      <c r="H2768" t="s">
        <v>61</v>
      </c>
      <c r="I2768" s="12">
        <v>0.85416666666666663</v>
      </c>
      <c r="J2768" t="s">
        <v>92</v>
      </c>
      <c r="K2768" t="s">
        <v>61</v>
      </c>
      <c r="L2768" s="12">
        <v>0.88194444444444442</v>
      </c>
      <c r="M2768" t="s">
        <v>63</v>
      </c>
      <c r="N2768" s="3">
        <v>232</v>
      </c>
      <c r="O2768" t="s">
        <v>24</v>
      </c>
      <c r="P2768" t="s">
        <v>79</v>
      </c>
      <c r="R2768">
        <f>tblDailySchedule[[#This Row],[Capacity Approx]]*'[1]Load Factor Sheet June Acft  '!$B$5</f>
        <v>187.86727272727273</v>
      </c>
      <c r="S2768">
        <f>tblDailySchedule[[#This Row],[Capacity Approx]]*'[1]Load Factor Sheet June Acft  '!$D$5</f>
        <v>203.4218181818182</v>
      </c>
      <c r="T2768" s="22">
        <f>tblDailySchedule[[#This Row],[STD]]</f>
        <v>0.88194444444444442</v>
      </c>
    </row>
    <row r="2769" spans="1:20" hidden="1" x14ac:dyDescent="0.35">
      <c r="A2769" s="11">
        <v>46209</v>
      </c>
      <c r="B2769" s="3">
        <v>1</v>
      </c>
      <c r="C2769" t="s">
        <v>100</v>
      </c>
      <c r="D2769" t="s">
        <v>18</v>
      </c>
      <c r="E2769" s="3">
        <v>26</v>
      </c>
      <c r="F2769" t="s">
        <v>19</v>
      </c>
      <c r="G2769" t="s">
        <v>93</v>
      </c>
      <c r="H2769" t="s">
        <v>31</v>
      </c>
      <c r="I2769" s="12">
        <v>0.86111111111111116</v>
      </c>
      <c r="J2769" t="s">
        <v>94</v>
      </c>
      <c r="K2769" t="s">
        <v>31</v>
      </c>
      <c r="L2769" s="12">
        <v>0.88888888888888884</v>
      </c>
      <c r="M2769" t="s">
        <v>23</v>
      </c>
      <c r="N2769" s="3">
        <v>186</v>
      </c>
      <c r="O2769" t="s">
        <v>24</v>
      </c>
      <c r="P2769" t="s">
        <v>79</v>
      </c>
      <c r="R2769">
        <f>tblDailySchedule[[#This Row],[Capacity Approx]]*'[1]Load Factor Sheet June Acft  '!$B$5</f>
        <v>150.61772727272728</v>
      </c>
      <c r="S2769">
        <f>tblDailySchedule[[#This Row],[Capacity Approx]]*'[1]Load Factor Sheet June Acft  '!$D$5</f>
        <v>163.08818181818182</v>
      </c>
      <c r="T2769" s="22">
        <f>tblDailySchedule[[#This Row],[STD]]</f>
        <v>0.88888888888888884</v>
      </c>
    </row>
    <row r="2770" spans="1:20" hidden="1" x14ac:dyDescent="0.35">
      <c r="A2770" s="11">
        <v>46209</v>
      </c>
      <c r="B2770" s="3">
        <v>1</v>
      </c>
      <c r="C2770" t="s">
        <v>100</v>
      </c>
      <c r="D2770" t="s">
        <v>18</v>
      </c>
      <c r="E2770" s="3">
        <v>27</v>
      </c>
      <c r="F2770" t="s">
        <v>19</v>
      </c>
      <c r="G2770" t="s">
        <v>95</v>
      </c>
      <c r="H2770" t="s">
        <v>21</v>
      </c>
      <c r="I2770" s="12">
        <v>0.86805555555555558</v>
      </c>
      <c r="J2770" t="s">
        <v>96</v>
      </c>
      <c r="K2770" t="s">
        <v>21</v>
      </c>
      <c r="L2770" s="12">
        <v>0.89583333333333337</v>
      </c>
      <c r="M2770" t="s">
        <v>29</v>
      </c>
      <c r="N2770" s="3">
        <v>186</v>
      </c>
      <c r="O2770" t="s">
        <v>24</v>
      </c>
      <c r="P2770" t="s">
        <v>79</v>
      </c>
      <c r="R2770">
        <f>tblDailySchedule[[#This Row],[Capacity Approx]]*'[1]Load Factor Sheet June Acft  '!$B$5</f>
        <v>150.61772727272728</v>
      </c>
      <c r="S2770">
        <f>tblDailySchedule[[#This Row],[Capacity Approx]]*'[1]Load Factor Sheet June Acft  '!$D$5</f>
        <v>163.08818181818182</v>
      </c>
      <c r="T2770" s="22">
        <f>tblDailySchedule[[#This Row],[STD]]</f>
        <v>0.89583333333333337</v>
      </c>
    </row>
    <row r="2771" spans="1:20" hidden="1" x14ac:dyDescent="0.35">
      <c r="A2771" s="11">
        <v>46209</v>
      </c>
      <c r="B2771" s="3">
        <v>1</v>
      </c>
      <c r="C2771" t="s">
        <v>100</v>
      </c>
      <c r="D2771" t="s">
        <v>18</v>
      </c>
      <c r="E2771" s="3">
        <v>28</v>
      </c>
      <c r="F2771" t="s">
        <v>19</v>
      </c>
      <c r="G2771" t="s">
        <v>97</v>
      </c>
      <c r="H2771" t="s">
        <v>49</v>
      </c>
      <c r="I2771" s="12">
        <v>0.90277777777777779</v>
      </c>
      <c r="J2771" t="s">
        <v>97</v>
      </c>
      <c r="K2771" t="s">
        <v>61</v>
      </c>
      <c r="L2771" s="12">
        <v>0.92361111111111116</v>
      </c>
      <c r="M2771" t="s">
        <v>33</v>
      </c>
      <c r="N2771" s="3">
        <v>189</v>
      </c>
      <c r="O2771" t="s">
        <v>24</v>
      </c>
      <c r="P2771" t="s">
        <v>79</v>
      </c>
      <c r="R2771">
        <f>tblDailySchedule[[#This Row],[Capacity Approx]]*'[1]Load Factor Sheet June Acft  '!$B$5</f>
        <v>153.04704545454547</v>
      </c>
      <c r="S2771">
        <f>tblDailySchedule[[#This Row],[Capacity Approx]]*'[1]Load Factor Sheet June Acft  '!$D$5</f>
        <v>165.71863636363636</v>
      </c>
      <c r="T2771" s="22">
        <f>tblDailySchedule[[#This Row],[STD]]</f>
        <v>0.92361111111111116</v>
      </c>
    </row>
    <row r="2772" spans="1:20" hidden="1" x14ac:dyDescent="0.35">
      <c r="A2772" s="11">
        <v>46209</v>
      </c>
      <c r="B2772" s="3">
        <v>1</v>
      </c>
      <c r="C2772" t="s">
        <v>100</v>
      </c>
      <c r="D2772" t="s">
        <v>18</v>
      </c>
      <c r="E2772" s="3">
        <v>29</v>
      </c>
      <c r="F2772" t="s">
        <v>19</v>
      </c>
      <c r="G2772" t="s">
        <v>98</v>
      </c>
      <c r="H2772" t="s">
        <v>21</v>
      </c>
      <c r="I2772" s="12">
        <v>0.92013888888888884</v>
      </c>
      <c r="J2772" t="s">
        <v>99</v>
      </c>
      <c r="K2772" t="s">
        <v>21</v>
      </c>
      <c r="L2772" s="12">
        <v>0.94791666666666663</v>
      </c>
      <c r="M2772" t="s">
        <v>63</v>
      </c>
      <c r="N2772" s="3">
        <v>232</v>
      </c>
      <c r="O2772" t="s">
        <v>24</v>
      </c>
      <c r="P2772" t="s">
        <v>79</v>
      </c>
      <c r="R2772">
        <f>tblDailySchedule[[#This Row],[Capacity Approx]]*'[1]Load Factor Sheet June Acft  '!$B$5</f>
        <v>187.86727272727273</v>
      </c>
      <c r="S2772">
        <f>tblDailySchedule[[#This Row],[Capacity Approx]]*'[1]Load Factor Sheet June Acft  '!$D$5</f>
        <v>203.4218181818182</v>
      </c>
      <c r="T2772" s="22">
        <f>tblDailySchedule[[#This Row],[STD]]</f>
        <v>0.94791666666666663</v>
      </c>
    </row>
    <row r="2773" spans="1:20" hidden="1" x14ac:dyDescent="0.35">
      <c r="A2773" s="13">
        <v>46209</v>
      </c>
      <c r="B2773" s="7">
        <v>1</v>
      </c>
      <c r="C2773" s="14" t="s">
        <v>100</v>
      </c>
      <c r="D2773" s="14" t="s">
        <v>18</v>
      </c>
      <c r="E2773" s="7">
        <v>30</v>
      </c>
      <c r="F2773" s="14" t="s">
        <v>104</v>
      </c>
      <c r="G2773" s="14" t="s">
        <v>105</v>
      </c>
      <c r="H2773" s="14" t="s">
        <v>106</v>
      </c>
      <c r="I2773" s="15">
        <v>0.92708333333333337</v>
      </c>
      <c r="J2773" s="14" t="s">
        <v>107</v>
      </c>
      <c r="K2773" s="14" t="s">
        <v>106</v>
      </c>
      <c r="L2773" s="15">
        <v>0.95833333333333337</v>
      </c>
      <c r="M2773" s="14" t="s">
        <v>38</v>
      </c>
      <c r="N2773" s="7">
        <v>186</v>
      </c>
      <c r="O2773" s="14" t="s">
        <v>39</v>
      </c>
      <c r="P2773" s="14" t="s">
        <v>79</v>
      </c>
      <c r="Q2773" s="14" t="s">
        <v>39</v>
      </c>
      <c r="R2773">
        <f>tblDailySchedule[[#This Row],[Capacity Approx]]*'[1]Load Factor Sheet June Acft  '!$B$5</f>
        <v>150.61772727272728</v>
      </c>
      <c r="S2773">
        <f>tblDailySchedule[[#This Row],[Capacity Approx]]*'[1]Load Factor Sheet June Acft  '!$D$5</f>
        <v>163.08818181818182</v>
      </c>
      <c r="T2773" s="22">
        <f>tblDailySchedule[[#This Row],[STD]]</f>
        <v>0.95833333333333337</v>
      </c>
    </row>
    <row r="2774" spans="1:20" hidden="1" x14ac:dyDescent="0.35">
      <c r="A2774" s="11">
        <v>46210</v>
      </c>
      <c r="B2774" s="3">
        <v>2</v>
      </c>
      <c r="C2774" t="s">
        <v>108</v>
      </c>
      <c r="D2774" t="s">
        <v>18</v>
      </c>
      <c r="E2774" s="3">
        <v>1</v>
      </c>
      <c r="F2774" t="s">
        <v>101</v>
      </c>
      <c r="G2774" t="s">
        <v>102</v>
      </c>
      <c r="H2774" t="s">
        <v>61</v>
      </c>
      <c r="I2774" s="12">
        <v>0.3125</v>
      </c>
      <c r="J2774" t="s">
        <v>103</v>
      </c>
      <c r="K2774" t="s">
        <v>61</v>
      </c>
      <c r="L2774" s="12">
        <v>0.33333333333333331</v>
      </c>
      <c r="M2774" t="s">
        <v>33</v>
      </c>
      <c r="N2774" s="3">
        <v>189</v>
      </c>
      <c r="O2774" t="s">
        <v>24</v>
      </c>
      <c r="P2774" t="s">
        <v>25</v>
      </c>
      <c r="R2774">
        <f>tblDailySchedule[[#This Row],[Capacity Approx]]*'[1]Load Factor Sheet June Acft  '!$B$5</f>
        <v>153.04704545454547</v>
      </c>
      <c r="S2774">
        <f>tblDailySchedule[[#This Row],[Capacity Approx]]*'[1]Load Factor Sheet June Acft  '!$D$5</f>
        <v>165.71863636363636</v>
      </c>
      <c r="T2774" s="22">
        <f>tblDailySchedule[[#This Row],[STD]]</f>
        <v>0.33333333333333331</v>
      </c>
    </row>
    <row r="2775" spans="1:20" hidden="1" x14ac:dyDescent="0.35">
      <c r="A2775" s="11">
        <v>46210</v>
      </c>
      <c r="B2775" s="3">
        <v>2</v>
      </c>
      <c r="C2775" t="s">
        <v>108</v>
      </c>
      <c r="D2775" t="s">
        <v>18</v>
      </c>
      <c r="E2775" s="3">
        <v>2</v>
      </c>
      <c r="F2775" t="s">
        <v>19</v>
      </c>
      <c r="G2775" t="s">
        <v>20</v>
      </c>
      <c r="H2775" t="s">
        <v>21</v>
      </c>
      <c r="I2775" s="12">
        <v>0.31944444444444442</v>
      </c>
      <c r="J2775" t="s">
        <v>22</v>
      </c>
      <c r="K2775" t="s">
        <v>21</v>
      </c>
      <c r="L2775" s="12">
        <v>0.34722222222222221</v>
      </c>
      <c r="M2775" t="s">
        <v>23</v>
      </c>
      <c r="N2775" s="3">
        <v>186</v>
      </c>
      <c r="O2775" t="s">
        <v>24</v>
      </c>
      <c r="P2775" t="s">
        <v>25</v>
      </c>
      <c r="R2775">
        <f>tblDailySchedule[[#This Row],[Capacity Approx]]*'[1]Load Factor Sheet June Acft  '!$B$5</f>
        <v>150.61772727272728</v>
      </c>
      <c r="S2775">
        <f>tblDailySchedule[[#This Row],[Capacity Approx]]*'[1]Load Factor Sheet June Acft  '!$D$5</f>
        <v>163.08818181818182</v>
      </c>
      <c r="T2775" s="22">
        <f>tblDailySchedule[[#This Row],[STD]]</f>
        <v>0.34722222222222221</v>
      </c>
    </row>
    <row r="2776" spans="1:20" hidden="1" x14ac:dyDescent="0.35">
      <c r="A2776" s="11">
        <v>46210</v>
      </c>
      <c r="B2776" s="3">
        <v>2</v>
      </c>
      <c r="C2776" t="s">
        <v>108</v>
      </c>
      <c r="D2776" t="s">
        <v>18</v>
      </c>
      <c r="E2776" s="3">
        <v>3</v>
      </c>
      <c r="F2776" t="s">
        <v>19</v>
      </c>
      <c r="G2776" t="s">
        <v>26</v>
      </c>
      <c r="H2776" t="s">
        <v>27</v>
      </c>
      <c r="I2776" s="12">
        <v>0.3263888888888889</v>
      </c>
      <c r="J2776" t="s">
        <v>28</v>
      </c>
      <c r="K2776" t="s">
        <v>27</v>
      </c>
      <c r="L2776" s="12">
        <v>0.35416666666666669</v>
      </c>
      <c r="M2776" t="s">
        <v>29</v>
      </c>
      <c r="N2776" s="3">
        <v>186</v>
      </c>
      <c r="O2776" t="s">
        <v>24</v>
      </c>
      <c r="P2776" t="s">
        <v>25</v>
      </c>
      <c r="R2776">
        <f>tblDailySchedule[[#This Row],[Capacity Approx]]*'[1]Load Factor Sheet June Acft  '!$B$5</f>
        <v>150.61772727272728</v>
      </c>
      <c r="S2776">
        <f>tblDailySchedule[[#This Row],[Capacity Approx]]*'[1]Load Factor Sheet June Acft  '!$D$5</f>
        <v>163.08818181818182</v>
      </c>
      <c r="T2776" s="22">
        <f>tblDailySchedule[[#This Row],[STD]]</f>
        <v>0.35416666666666669</v>
      </c>
    </row>
    <row r="2777" spans="1:20" hidden="1" x14ac:dyDescent="0.35">
      <c r="A2777" s="11">
        <v>46210</v>
      </c>
      <c r="B2777" s="3">
        <v>2</v>
      </c>
      <c r="C2777" t="s">
        <v>108</v>
      </c>
      <c r="D2777" t="s">
        <v>18</v>
      </c>
      <c r="E2777" s="3">
        <v>4</v>
      </c>
      <c r="F2777" t="s">
        <v>19</v>
      </c>
      <c r="G2777" t="s">
        <v>30</v>
      </c>
      <c r="H2777" t="s">
        <v>31</v>
      </c>
      <c r="I2777" s="12">
        <v>0.34722222222222221</v>
      </c>
      <c r="J2777" t="s">
        <v>32</v>
      </c>
      <c r="K2777" t="s">
        <v>31</v>
      </c>
      <c r="L2777" s="12">
        <v>0.36805555555555558</v>
      </c>
      <c r="M2777" t="s">
        <v>33</v>
      </c>
      <c r="N2777" s="3">
        <v>189</v>
      </c>
      <c r="O2777" t="s">
        <v>24</v>
      </c>
      <c r="P2777" t="s">
        <v>25</v>
      </c>
      <c r="R2777">
        <f>tblDailySchedule[[#This Row],[Capacity Approx]]*'[1]Load Factor Sheet June Acft  '!$B$5</f>
        <v>153.04704545454547</v>
      </c>
      <c r="S2777">
        <f>tblDailySchedule[[#This Row],[Capacity Approx]]*'[1]Load Factor Sheet June Acft  '!$D$5</f>
        <v>165.71863636363636</v>
      </c>
      <c r="T2777" s="22">
        <f>tblDailySchedule[[#This Row],[STD]]</f>
        <v>0.36805555555555558</v>
      </c>
    </row>
    <row r="2778" spans="1:20" hidden="1" x14ac:dyDescent="0.35">
      <c r="A2778" s="11">
        <v>46210</v>
      </c>
      <c r="B2778" s="3">
        <v>2</v>
      </c>
      <c r="C2778" t="s">
        <v>108</v>
      </c>
      <c r="D2778" t="s">
        <v>18</v>
      </c>
      <c r="E2778" s="3">
        <v>5</v>
      </c>
      <c r="F2778" t="s">
        <v>19</v>
      </c>
      <c r="G2778" t="s">
        <v>40</v>
      </c>
      <c r="H2778" t="s">
        <v>31</v>
      </c>
      <c r="I2778" s="12">
        <v>0.35069444444444442</v>
      </c>
      <c r="J2778" t="s">
        <v>41</v>
      </c>
      <c r="K2778" t="s">
        <v>31</v>
      </c>
      <c r="L2778" s="12">
        <v>0.37152777777777779</v>
      </c>
      <c r="M2778" t="s">
        <v>23</v>
      </c>
      <c r="N2778" s="3">
        <v>186</v>
      </c>
      <c r="O2778" t="s">
        <v>24</v>
      </c>
      <c r="P2778" t="s">
        <v>25</v>
      </c>
      <c r="R2778">
        <f>tblDailySchedule[[#This Row],[Capacity Approx]]*'[1]Load Factor Sheet June Acft  '!$B$5</f>
        <v>150.61772727272728</v>
      </c>
      <c r="S2778">
        <f>tblDailySchedule[[#This Row],[Capacity Approx]]*'[1]Load Factor Sheet June Acft  '!$D$5</f>
        <v>163.08818181818182</v>
      </c>
      <c r="T2778" s="22">
        <f>tblDailySchedule[[#This Row],[STD]]</f>
        <v>0.37152777777777779</v>
      </c>
    </row>
    <row r="2779" spans="1:20" hidden="1" x14ac:dyDescent="0.35">
      <c r="A2779" s="11">
        <v>46210</v>
      </c>
      <c r="B2779" s="3">
        <v>2</v>
      </c>
      <c r="C2779" t="s">
        <v>108</v>
      </c>
      <c r="D2779" t="s">
        <v>18</v>
      </c>
      <c r="E2779" s="3">
        <v>7</v>
      </c>
      <c r="F2779" t="s">
        <v>19</v>
      </c>
      <c r="G2779" t="s">
        <v>42</v>
      </c>
      <c r="H2779" t="s">
        <v>43</v>
      </c>
      <c r="I2779" s="12">
        <v>0.3923611111111111</v>
      </c>
      <c r="J2779" t="s">
        <v>44</v>
      </c>
      <c r="K2779" t="s">
        <v>43</v>
      </c>
      <c r="L2779" s="12">
        <v>0.40277777777777779</v>
      </c>
      <c r="M2779" t="s">
        <v>45</v>
      </c>
      <c r="N2779" s="3">
        <v>9</v>
      </c>
      <c r="O2779" t="s">
        <v>24</v>
      </c>
      <c r="P2779" t="s">
        <v>25</v>
      </c>
      <c r="R2779">
        <f>tblDailySchedule[[#This Row],[Capacity Approx]]*'[1]Load Factor Sheet June Acft  '!$B$5</f>
        <v>7.2879545454545456</v>
      </c>
      <c r="S2779">
        <f>tblDailySchedule[[#This Row],[Capacity Approx]]*'[1]Load Factor Sheet June Acft  '!$D$5</f>
        <v>7.8913636363636366</v>
      </c>
      <c r="T2779" s="22">
        <f>tblDailySchedule[[#This Row],[STD]]</f>
        <v>0.40277777777777779</v>
      </c>
    </row>
    <row r="2780" spans="1:20" hidden="1" x14ac:dyDescent="0.35">
      <c r="A2780" s="11">
        <v>46210</v>
      </c>
      <c r="B2780" s="3">
        <v>2</v>
      </c>
      <c r="C2780" t="s">
        <v>108</v>
      </c>
      <c r="D2780" t="s">
        <v>18</v>
      </c>
      <c r="E2780" s="3">
        <v>8</v>
      </c>
      <c r="F2780" t="s">
        <v>19</v>
      </c>
      <c r="G2780" t="s">
        <v>46</v>
      </c>
      <c r="H2780" t="s">
        <v>31</v>
      </c>
      <c r="I2780" s="12">
        <v>0.4201388888888889</v>
      </c>
      <c r="J2780" t="s">
        <v>47</v>
      </c>
      <c r="K2780" t="s">
        <v>31</v>
      </c>
      <c r="L2780" s="12">
        <v>0.44444444444444442</v>
      </c>
      <c r="M2780" t="s">
        <v>29</v>
      </c>
      <c r="N2780" s="3">
        <v>186</v>
      </c>
      <c r="O2780" t="s">
        <v>24</v>
      </c>
      <c r="P2780" t="s">
        <v>25</v>
      </c>
      <c r="R2780">
        <f>tblDailySchedule[[#This Row],[Capacity Approx]]*'[1]Load Factor Sheet June Acft  '!$B$5</f>
        <v>150.61772727272728</v>
      </c>
      <c r="S2780">
        <f>tblDailySchedule[[#This Row],[Capacity Approx]]*'[1]Load Factor Sheet June Acft  '!$D$5</f>
        <v>163.08818181818182</v>
      </c>
      <c r="T2780" s="22">
        <f>tblDailySchedule[[#This Row],[STD]]</f>
        <v>0.44444444444444442</v>
      </c>
    </row>
    <row r="2781" spans="1:20" hidden="1" x14ac:dyDescent="0.35">
      <c r="A2781" s="11">
        <v>46210</v>
      </c>
      <c r="B2781" s="3">
        <v>2</v>
      </c>
      <c r="C2781" t="s">
        <v>108</v>
      </c>
      <c r="D2781" t="s">
        <v>18</v>
      </c>
      <c r="E2781" s="3">
        <v>9</v>
      </c>
      <c r="F2781" t="s">
        <v>19</v>
      </c>
      <c r="G2781" t="s">
        <v>48</v>
      </c>
      <c r="H2781" t="s">
        <v>49</v>
      </c>
      <c r="I2781" s="12">
        <v>0.4375</v>
      </c>
      <c r="J2781" t="s">
        <v>50</v>
      </c>
      <c r="K2781" t="s">
        <v>49</v>
      </c>
      <c r="L2781" s="12">
        <v>0.45833333333333331</v>
      </c>
      <c r="M2781" t="s">
        <v>51</v>
      </c>
      <c r="N2781" s="3">
        <v>78</v>
      </c>
      <c r="O2781" t="s">
        <v>24</v>
      </c>
      <c r="P2781" t="s">
        <v>25</v>
      </c>
      <c r="R2781">
        <f>tblDailySchedule[[#This Row],[Capacity Approx]]*'[1]Load Factor Sheet June Acft  '!$B$5</f>
        <v>63.162272727272729</v>
      </c>
      <c r="S2781">
        <f>tblDailySchedule[[#This Row],[Capacity Approx]]*'[1]Load Factor Sheet June Acft  '!$D$5</f>
        <v>68.391818181818181</v>
      </c>
      <c r="T2781" s="22">
        <f>tblDailySchedule[[#This Row],[STD]]</f>
        <v>0.45833333333333331</v>
      </c>
    </row>
    <row r="2782" spans="1:20" hidden="1" x14ac:dyDescent="0.35">
      <c r="A2782" s="11">
        <v>46210</v>
      </c>
      <c r="B2782" s="3">
        <v>2</v>
      </c>
      <c r="C2782" t="s">
        <v>108</v>
      </c>
      <c r="D2782" t="s">
        <v>18</v>
      </c>
      <c r="E2782" s="3">
        <v>10</v>
      </c>
      <c r="F2782" t="s">
        <v>19</v>
      </c>
      <c r="G2782" t="s">
        <v>52</v>
      </c>
      <c r="H2782" t="s">
        <v>27</v>
      </c>
      <c r="I2782" s="12">
        <v>0.4826388888888889</v>
      </c>
      <c r="J2782" t="s">
        <v>53</v>
      </c>
      <c r="K2782" t="s">
        <v>27</v>
      </c>
      <c r="L2782" s="12">
        <v>0.51041666666666663</v>
      </c>
      <c r="M2782" t="s">
        <v>23</v>
      </c>
      <c r="N2782" s="3">
        <v>186</v>
      </c>
      <c r="O2782" t="s">
        <v>24</v>
      </c>
      <c r="P2782" t="s">
        <v>25</v>
      </c>
      <c r="R2782">
        <f>tblDailySchedule[[#This Row],[Capacity Approx]]*'[1]Load Factor Sheet June Acft  '!$B$5</f>
        <v>150.61772727272728</v>
      </c>
      <c r="S2782">
        <f>tblDailySchedule[[#This Row],[Capacity Approx]]*'[1]Load Factor Sheet June Acft  '!$D$5</f>
        <v>163.08818181818182</v>
      </c>
      <c r="T2782" s="22">
        <f>tblDailySchedule[[#This Row],[STD]]</f>
        <v>0.51041666666666663</v>
      </c>
    </row>
    <row r="2783" spans="1:20" hidden="1" x14ac:dyDescent="0.35">
      <c r="A2783" s="11">
        <v>46210</v>
      </c>
      <c r="B2783" s="3">
        <v>2</v>
      </c>
      <c r="C2783" t="s">
        <v>108</v>
      </c>
      <c r="D2783" t="s">
        <v>18</v>
      </c>
      <c r="E2783" s="3">
        <v>11</v>
      </c>
      <c r="F2783" t="s">
        <v>19</v>
      </c>
      <c r="G2783" t="s">
        <v>54</v>
      </c>
      <c r="H2783" t="s">
        <v>31</v>
      </c>
      <c r="I2783" s="12">
        <v>0.51388888888888884</v>
      </c>
      <c r="J2783" t="s">
        <v>55</v>
      </c>
      <c r="K2783" t="s">
        <v>31</v>
      </c>
      <c r="L2783" s="12">
        <v>0.54166666666666663</v>
      </c>
      <c r="M2783" t="s">
        <v>23</v>
      </c>
      <c r="N2783" s="3">
        <v>186</v>
      </c>
      <c r="O2783" t="s">
        <v>24</v>
      </c>
      <c r="P2783" t="s">
        <v>56</v>
      </c>
      <c r="R2783">
        <f>tblDailySchedule[[#This Row],[Capacity Approx]]*'[1]Load Factor Sheet June Acft  '!$B$5</f>
        <v>150.61772727272728</v>
      </c>
      <c r="S2783">
        <f>tblDailySchedule[[#This Row],[Capacity Approx]]*'[1]Load Factor Sheet June Acft  '!$D$5</f>
        <v>163.08818181818182</v>
      </c>
      <c r="T2783" s="22">
        <f>tblDailySchedule[[#This Row],[STD]]</f>
        <v>0.54166666666666663</v>
      </c>
    </row>
    <row r="2784" spans="1:20" hidden="1" x14ac:dyDescent="0.35">
      <c r="A2784" s="11">
        <v>46210</v>
      </c>
      <c r="B2784" s="3">
        <v>2</v>
      </c>
      <c r="C2784" t="s">
        <v>108</v>
      </c>
      <c r="D2784" t="s">
        <v>18</v>
      </c>
      <c r="E2784" s="3">
        <v>12</v>
      </c>
      <c r="F2784" t="s">
        <v>109</v>
      </c>
      <c r="G2784" t="s">
        <v>110</v>
      </c>
      <c r="H2784" t="s">
        <v>111</v>
      </c>
      <c r="I2784" s="12">
        <v>0.55555555555555558</v>
      </c>
      <c r="J2784" t="s">
        <v>112</v>
      </c>
      <c r="K2784" t="s">
        <v>111</v>
      </c>
      <c r="L2784" s="12">
        <v>0.56944444444444442</v>
      </c>
      <c r="M2784" t="s">
        <v>51</v>
      </c>
      <c r="N2784" s="3">
        <v>78</v>
      </c>
      <c r="O2784" t="s">
        <v>24</v>
      </c>
      <c r="P2784" t="s">
        <v>56</v>
      </c>
      <c r="R2784">
        <f>tblDailySchedule[[#This Row],[Capacity Approx]]*'[1]Load Factor Sheet June Acft  '!$B$5</f>
        <v>63.162272727272729</v>
      </c>
      <c r="S2784">
        <f>tblDailySchedule[[#This Row],[Capacity Approx]]*'[1]Load Factor Sheet June Acft  '!$D$5</f>
        <v>68.391818181818181</v>
      </c>
      <c r="T2784" s="22">
        <f>tblDailySchedule[[#This Row],[STD]]</f>
        <v>0.56944444444444442</v>
      </c>
    </row>
    <row r="2785" spans="1:20" hidden="1" x14ac:dyDescent="0.35">
      <c r="A2785" s="11">
        <v>46210</v>
      </c>
      <c r="B2785" s="3">
        <v>2</v>
      </c>
      <c r="C2785" t="s">
        <v>108</v>
      </c>
      <c r="D2785" t="s">
        <v>18</v>
      </c>
      <c r="E2785" s="3">
        <v>13</v>
      </c>
      <c r="F2785" t="s">
        <v>19</v>
      </c>
      <c r="G2785" t="s">
        <v>57</v>
      </c>
      <c r="H2785" t="s">
        <v>58</v>
      </c>
      <c r="I2785" s="12">
        <v>0.55902777777777779</v>
      </c>
      <c r="J2785" t="s">
        <v>59</v>
      </c>
      <c r="K2785" t="s">
        <v>58</v>
      </c>
      <c r="L2785" s="12">
        <v>0.57638888888888884</v>
      </c>
      <c r="M2785" t="s">
        <v>51</v>
      </c>
      <c r="N2785" s="3">
        <v>78</v>
      </c>
      <c r="O2785" t="s">
        <v>24</v>
      </c>
      <c r="P2785" t="s">
        <v>56</v>
      </c>
      <c r="R2785">
        <f>tblDailySchedule[[#This Row],[Capacity Approx]]*'[1]Load Factor Sheet June Acft  '!$B$5</f>
        <v>63.162272727272729</v>
      </c>
      <c r="S2785">
        <f>tblDailySchedule[[#This Row],[Capacity Approx]]*'[1]Load Factor Sheet June Acft  '!$D$5</f>
        <v>68.391818181818181</v>
      </c>
      <c r="T2785" s="22">
        <f>tblDailySchedule[[#This Row],[STD]]</f>
        <v>0.57638888888888884</v>
      </c>
    </row>
    <row r="2786" spans="1:20" hidden="1" x14ac:dyDescent="0.35">
      <c r="A2786" s="11">
        <v>46210</v>
      </c>
      <c r="B2786" s="3">
        <v>2</v>
      </c>
      <c r="C2786" t="s">
        <v>108</v>
      </c>
      <c r="D2786" t="s">
        <v>18</v>
      </c>
      <c r="E2786" s="3">
        <v>14</v>
      </c>
      <c r="F2786" t="s">
        <v>19</v>
      </c>
      <c r="G2786" t="s">
        <v>60</v>
      </c>
      <c r="H2786" t="s">
        <v>61</v>
      </c>
      <c r="I2786" s="12">
        <v>0.59027777777777779</v>
      </c>
      <c r="J2786" t="s">
        <v>62</v>
      </c>
      <c r="K2786" t="s">
        <v>61</v>
      </c>
      <c r="L2786" s="12">
        <v>0.62152777777777779</v>
      </c>
      <c r="M2786" t="s">
        <v>63</v>
      </c>
      <c r="N2786" s="3">
        <v>232</v>
      </c>
      <c r="O2786" t="s">
        <v>24</v>
      </c>
      <c r="P2786" t="s">
        <v>56</v>
      </c>
      <c r="R2786">
        <f>tblDailySchedule[[#This Row],[Capacity Approx]]*'[1]Load Factor Sheet June Acft  '!$B$5</f>
        <v>187.86727272727273</v>
      </c>
      <c r="S2786">
        <f>tblDailySchedule[[#This Row],[Capacity Approx]]*'[1]Load Factor Sheet June Acft  '!$D$5</f>
        <v>203.4218181818182</v>
      </c>
      <c r="T2786" s="22">
        <f>tblDailySchedule[[#This Row],[STD]]</f>
        <v>0.62152777777777779</v>
      </c>
    </row>
    <row r="2787" spans="1:20" hidden="1" x14ac:dyDescent="0.35">
      <c r="A2787" s="11">
        <v>46210</v>
      </c>
      <c r="B2787" s="3">
        <v>2</v>
      </c>
      <c r="C2787" t="s">
        <v>108</v>
      </c>
      <c r="D2787" t="s">
        <v>18</v>
      </c>
      <c r="E2787" s="3">
        <v>15</v>
      </c>
      <c r="F2787" t="s">
        <v>19</v>
      </c>
      <c r="G2787" t="s">
        <v>64</v>
      </c>
      <c r="H2787" t="s">
        <v>31</v>
      </c>
      <c r="I2787" s="12">
        <v>0.60069444444444442</v>
      </c>
      <c r="J2787" t="s">
        <v>65</v>
      </c>
      <c r="K2787" t="s">
        <v>66</v>
      </c>
      <c r="L2787" s="12">
        <v>0.62847222222222221</v>
      </c>
      <c r="M2787" t="s">
        <v>63</v>
      </c>
      <c r="N2787" s="3">
        <v>232</v>
      </c>
      <c r="O2787" t="s">
        <v>24</v>
      </c>
      <c r="P2787" t="s">
        <v>56</v>
      </c>
      <c r="R2787">
        <f>tblDailySchedule[[#This Row],[Capacity Approx]]*'[1]Load Factor Sheet June Acft  '!$B$5</f>
        <v>187.86727272727273</v>
      </c>
      <c r="S2787">
        <f>tblDailySchedule[[#This Row],[Capacity Approx]]*'[1]Load Factor Sheet June Acft  '!$D$5</f>
        <v>203.4218181818182</v>
      </c>
      <c r="T2787" s="22">
        <f>tblDailySchedule[[#This Row],[STD]]</f>
        <v>0.62847222222222221</v>
      </c>
    </row>
    <row r="2788" spans="1:20" hidden="1" x14ac:dyDescent="0.35">
      <c r="A2788" s="11">
        <v>46210</v>
      </c>
      <c r="B2788" s="3">
        <v>2</v>
      </c>
      <c r="C2788" t="s">
        <v>108</v>
      </c>
      <c r="D2788" t="s">
        <v>18</v>
      </c>
      <c r="E2788" s="3">
        <v>16</v>
      </c>
      <c r="F2788" t="s">
        <v>19</v>
      </c>
      <c r="G2788" t="s">
        <v>67</v>
      </c>
      <c r="H2788" t="s">
        <v>31</v>
      </c>
      <c r="I2788" s="12">
        <v>0.65625</v>
      </c>
      <c r="J2788" t="s">
        <v>68</v>
      </c>
      <c r="K2788" t="s">
        <v>31</v>
      </c>
      <c r="L2788" s="12">
        <v>0.68402777777777779</v>
      </c>
      <c r="M2788" t="s">
        <v>63</v>
      </c>
      <c r="N2788" s="3">
        <v>232</v>
      </c>
      <c r="O2788" t="s">
        <v>24</v>
      </c>
      <c r="P2788" t="s">
        <v>56</v>
      </c>
      <c r="R2788">
        <f>tblDailySchedule[[#This Row],[Capacity Approx]]*'[1]Load Factor Sheet June Acft  '!$B$5</f>
        <v>187.86727272727273</v>
      </c>
      <c r="S2788">
        <f>tblDailySchedule[[#This Row],[Capacity Approx]]*'[1]Load Factor Sheet June Acft  '!$D$5</f>
        <v>203.4218181818182</v>
      </c>
      <c r="T2788" s="22">
        <f>tblDailySchedule[[#This Row],[STD]]</f>
        <v>0.68402777777777779</v>
      </c>
    </row>
    <row r="2789" spans="1:20" hidden="1" x14ac:dyDescent="0.35">
      <c r="A2789" s="11">
        <v>46210</v>
      </c>
      <c r="B2789" s="3">
        <v>2</v>
      </c>
      <c r="C2789" t="s">
        <v>108</v>
      </c>
      <c r="D2789" t="s">
        <v>18</v>
      </c>
      <c r="E2789" s="3">
        <v>17</v>
      </c>
      <c r="F2789" t="s">
        <v>19</v>
      </c>
      <c r="G2789" t="s">
        <v>69</v>
      </c>
      <c r="H2789" t="s">
        <v>31</v>
      </c>
      <c r="I2789" s="12">
        <v>0.66319444444444442</v>
      </c>
      <c r="J2789" t="s">
        <v>70</v>
      </c>
      <c r="K2789" t="s">
        <v>31</v>
      </c>
      <c r="L2789" s="12">
        <v>0.69097222222222221</v>
      </c>
      <c r="M2789" t="s">
        <v>33</v>
      </c>
      <c r="N2789" s="3">
        <v>189</v>
      </c>
      <c r="O2789" t="s">
        <v>24</v>
      </c>
      <c r="P2789" t="s">
        <v>56</v>
      </c>
      <c r="R2789">
        <f>tblDailySchedule[[#This Row],[Capacity Approx]]*'[1]Load Factor Sheet June Acft  '!$B$5</f>
        <v>153.04704545454547</v>
      </c>
      <c r="S2789">
        <f>tblDailySchedule[[#This Row],[Capacity Approx]]*'[1]Load Factor Sheet June Acft  '!$D$5</f>
        <v>165.71863636363636</v>
      </c>
      <c r="T2789" s="22">
        <f>tblDailySchedule[[#This Row],[STD]]</f>
        <v>0.69097222222222221</v>
      </c>
    </row>
    <row r="2790" spans="1:20" hidden="1" x14ac:dyDescent="0.35">
      <c r="A2790" s="11">
        <v>46210</v>
      </c>
      <c r="B2790" s="3">
        <v>2</v>
      </c>
      <c r="C2790" t="s">
        <v>108</v>
      </c>
      <c r="D2790" t="s">
        <v>18</v>
      </c>
      <c r="E2790" s="3">
        <v>18</v>
      </c>
      <c r="F2790" t="s">
        <v>19</v>
      </c>
      <c r="G2790" t="s">
        <v>71</v>
      </c>
      <c r="H2790" t="s">
        <v>21</v>
      </c>
      <c r="I2790" s="12">
        <v>0.67013888888888884</v>
      </c>
      <c r="J2790" t="s">
        <v>72</v>
      </c>
      <c r="K2790" t="s">
        <v>21</v>
      </c>
      <c r="L2790" s="12">
        <v>0.69791666666666663</v>
      </c>
      <c r="M2790" t="s">
        <v>63</v>
      </c>
      <c r="N2790" s="3">
        <v>232</v>
      </c>
      <c r="O2790" t="s">
        <v>24</v>
      </c>
      <c r="P2790" t="s">
        <v>56</v>
      </c>
      <c r="R2790">
        <f>tblDailySchedule[[#This Row],[Capacity Approx]]*'[1]Load Factor Sheet June Acft  '!$B$5</f>
        <v>187.86727272727273</v>
      </c>
      <c r="S2790">
        <f>tblDailySchedule[[#This Row],[Capacity Approx]]*'[1]Load Factor Sheet June Acft  '!$D$5</f>
        <v>203.4218181818182</v>
      </c>
      <c r="T2790" s="22">
        <f>tblDailySchedule[[#This Row],[STD]]</f>
        <v>0.69791666666666663</v>
      </c>
    </row>
    <row r="2791" spans="1:20" hidden="1" x14ac:dyDescent="0.35">
      <c r="A2791" s="11">
        <v>46210</v>
      </c>
      <c r="B2791" s="3">
        <v>2</v>
      </c>
      <c r="C2791" t="s">
        <v>108</v>
      </c>
      <c r="D2791" t="s">
        <v>18</v>
      </c>
      <c r="E2791" s="3">
        <v>19</v>
      </c>
      <c r="F2791" t="s">
        <v>19</v>
      </c>
      <c r="G2791" t="s">
        <v>73</v>
      </c>
      <c r="H2791" t="s">
        <v>27</v>
      </c>
      <c r="I2791" s="12">
        <v>0.74652777777777779</v>
      </c>
      <c r="J2791" t="s">
        <v>74</v>
      </c>
      <c r="K2791" t="s">
        <v>27</v>
      </c>
      <c r="L2791" s="12">
        <v>0.77430555555555558</v>
      </c>
      <c r="M2791" t="s">
        <v>63</v>
      </c>
      <c r="N2791" s="3">
        <v>232</v>
      </c>
      <c r="O2791" t="s">
        <v>24</v>
      </c>
      <c r="P2791" t="s">
        <v>56</v>
      </c>
      <c r="R2791">
        <f>tblDailySchedule[[#This Row],[Capacity Approx]]*'[1]Load Factor Sheet June Acft  '!$B$5</f>
        <v>187.86727272727273</v>
      </c>
      <c r="S2791">
        <f>tblDailySchedule[[#This Row],[Capacity Approx]]*'[1]Load Factor Sheet June Acft  '!$D$5</f>
        <v>203.4218181818182</v>
      </c>
      <c r="T2791" s="22">
        <f>tblDailySchedule[[#This Row],[STD]]</f>
        <v>0.77430555555555558</v>
      </c>
    </row>
    <row r="2792" spans="1:20" hidden="1" x14ac:dyDescent="0.35">
      <c r="A2792" s="11">
        <v>46210</v>
      </c>
      <c r="B2792" s="3">
        <v>2</v>
      </c>
      <c r="C2792" t="s">
        <v>108</v>
      </c>
      <c r="D2792" t="s">
        <v>18</v>
      </c>
      <c r="E2792" s="3">
        <v>21</v>
      </c>
      <c r="F2792" t="s">
        <v>19</v>
      </c>
      <c r="G2792" t="s">
        <v>81</v>
      </c>
      <c r="H2792" t="s">
        <v>61</v>
      </c>
      <c r="I2792" s="12">
        <v>0.77083333333333337</v>
      </c>
      <c r="J2792" t="s">
        <v>82</v>
      </c>
      <c r="K2792" t="s">
        <v>49</v>
      </c>
      <c r="L2792" s="12">
        <v>0.79166666666666663</v>
      </c>
      <c r="M2792" t="s">
        <v>33</v>
      </c>
      <c r="N2792" s="3">
        <v>189</v>
      </c>
      <c r="O2792" t="s">
        <v>24</v>
      </c>
      <c r="P2792" t="s">
        <v>79</v>
      </c>
      <c r="R2792">
        <f>tblDailySchedule[[#This Row],[Capacity Approx]]*'[1]Load Factor Sheet June Acft  '!$B$5</f>
        <v>153.04704545454547</v>
      </c>
      <c r="S2792">
        <f>tblDailySchedule[[#This Row],[Capacity Approx]]*'[1]Load Factor Sheet June Acft  '!$D$5</f>
        <v>165.71863636363636</v>
      </c>
      <c r="T2792" s="22">
        <f>tblDailySchedule[[#This Row],[STD]]</f>
        <v>0.79166666666666663</v>
      </c>
    </row>
    <row r="2793" spans="1:20" hidden="1" x14ac:dyDescent="0.35">
      <c r="A2793" s="11">
        <v>46210</v>
      </c>
      <c r="B2793" s="3">
        <v>2</v>
      </c>
      <c r="C2793" t="s">
        <v>108</v>
      </c>
      <c r="D2793" t="s">
        <v>18</v>
      </c>
      <c r="E2793" s="3">
        <v>22</v>
      </c>
      <c r="F2793" t="s">
        <v>19</v>
      </c>
      <c r="G2793" t="s">
        <v>83</v>
      </c>
      <c r="H2793" t="s">
        <v>31</v>
      </c>
      <c r="I2793" s="12">
        <v>0.77777777777777779</v>
      </c>
      <c r="J2793" t="s">
        <v>84</v>
      </c>
      <c r="K2793" t="s">
        <v>31</v>
      </c>
      <c r="L2793" s="12">
        <v>0.80555555555555558</v>
      </c>
      <c r="M2793" t="s">
        <v>63</v>
      </c>
      <c r="N2793" s="3">
        <v>232</v>
      </c>
      <c r="O2793" t="s">
        <v>24</v>
      </c>
      <c r="P2793" t="s">
        <v>79</v>
      </c>
      <c r="R2793">
        <f>tblDailySchedule[[#This Row],[Capacity Approx]]*'[1]Load Factor Sheet June Acft  '!$B$5</f>
        <v>187.86727272727273</v>
      </c>
      <c r="S2793">
        <f>tblDailySchedule[[#This Row],[Capacity Approx]]*'[1]Load Factor Sheet June Acft  '!$D$5</f>
        <v>203.4218181818182</v>
      </c>
      <c r="T2793" s="22">
        <f>tblDailySchedule[[#This Row],[STD]]</f>
        <v>0.80555555555555558</v>
      </c>
    </row>
    <row r="2794" spans="1:20" hidden="1" x14ac:dyDescent="0.35">
      <c r="A2794" s="11">
        <v>46210</v>
      </c>
      <c r="B2794" s="3">
        <v>2</v>
      </c>
      <c r="C2794" t="s">
        <v>108</v>
      </c>
      <c r="D2794" t="s">
        <v>18</v>
      </c>
      <c r="E2794" s="3">
        <v>23</v>
      </c>
      <c r="F2794" t="s">
        <v>19</v>
      </c>
      <c r="G2794" t="s">
        <v>85</v>
      </c>
      <c r="H2794" t="s">
        <v>86</v>
      </c>
      <c r="I2794" s="12">
        <v>0.79861111111111116</v>
      </c>
      <c r="J2794" t="s">
        <v>87</v>
      </c>
      <c r="K2794" t="s">
        <v>86</v>
      </c>
      <c r="L2794" s="12">
        <v>0.82638888888888884</v>
      </c>
      <c r="M2794" t="s">
        <v>63</v>
      </c>
      <c r="N2794" s="3">
        <v>232</v>
      </c>
      <c r="O2794" t="s">
        <v>24</v>
      </c>
      <c r="P2794" t="s">
        <v>79</v>
      </c>
      <c r="R2794">
        <f>tblDailySchedule[[#This Row],[Capacity Approx]]*'[1]Load Factor Sheet June Acft  '!$B$5</f>
        <v>187.86727272727273</v>
      </c>
      <c r="S2794">
        <f>tblDailySchedule[[#This Row],[Capacity Approx]]*'[1]Load Factor Sheet June Acft  '!$D$5</f>
        <v>203.4218181818182</v>
      </c>
      <c r="T2794" s="22">
        <f>tblDailySchedule[[#This Row],[STD]]</f>
        <v>0.82638888888888884</v>
      </c>
    </row>
    <row r="2795" spans="1:20" hidden="1" x14ac:dyDescent="0.35">
      <c r="A2795" s="11">
        <v>46210</v>
      </c>
      <c r="B2795" s="3">
        <v>2</v>
      </c>
      <c r="C2795" t="s">
        <v>108</v>
      </c>
      <c r="D2795" t="s">
        <v>18</v>
      </c>
      <c r="E2795" s="3">
        <v>24</v>
      </c>
      <c r="F2795" t="s">
        <v>19</v>
      </c>
      <c r="G2795" t="s">
        <v>88</v>
      </c>
      <c r="H2795" t="s">
        <v>89</v>
      </c>
      <c r="I2795" s="12">
        <v>0.83333333333333337</v>
      </c>
      <c r="J2795" t="s">
        <v>90</v>
      </c>
      <c r="K2795" t="s">
        <v>31</v>
      </c>
      <c r="L2795" s="12">
        <v>0.86111111111111116</v>
      </c>
      <c r="M2795" t="s">
        <v>63</v>
      </c>
      <c r="N2795" s="3">
        <v>232</v>
      </c>
      <c r="O2795" t="s">
        <v>24</v>
      </c>
      <c r="P2795" t="s">
        <v>79</v>
      </c>
      <c r="R2795">
        <f>tblDailySchedule[[#This Row],[Capacity Approx]]*'[1]Load Factor Sheet June Acft  '!$B$5</f>
        <v>187.86727272727273</v>
      </c>
      <c r="S2795">
        <f>tblDailySchedule[[#This Row],[Capacity Approx]]*'[1]Load Factor Sheet June Acft  '!$D$5</f>
        <v>203.4218181818182</v>
      </c>
      <c r="T2795" s="22">
        <f>tblDailySchedule[[#This Row],[STD]]</f>
        <v>0.86111111111111116</v>
      </c>
    </row>
    <row r="2796" spans="1:20" hidden="1" x14ac:dyDescent="0.35">
      <c r="A2796" s="11">
        <v>46210</v>
      </c>
      <c r="B2796" s="3">
        <v>2</v>
      </c>
      <c r="C2796" t="s">
        <v>108</v>
      </c>
      <c r="D2796" t="s">
        <v>18</v>
      </c>
      <c r="E2796" s="3">
        <v>25</v>
      </c>
      <c r="F2796" t="s">
        <v>19</v>
      </c>
      <c r="G2796" t="s">
        <v>91</v>
      </c>
      <c r="H2796" t="s">
        <v>61</v>
      </c>
      <c r="I2796" s="12">
        <v>0.85416666666666663</v>
      </c>
      <c r="J2796" t="s">
        <v>92</v>
      </c>
      <c r="K2796" t="s">
        <v>61</v>
      </c>
      <c r="L2796" s="12">
        <v>0.88194444444444442</v>
      </c>
      <c r="M2796" t="s">
        <v>63</v>
      </c>
      <c r="N2796" s="3">
        <v>232</v>
      </c>
      <c r="O2796" t="s">
        <v>24</v>
      </c>
      <c r="P2796" t="s">
        <v>79</v>
      </c>
      <c r="R2796">
        <f>tblDailySchedule[[#This Row],[Capacity Approx]]*'[1]Load Factor Sheet June Acft  '!$B$5</f>
        <v>187.86727272727273</v>
      </c>
      <c r="S2796">
        <f>tblDailySchedule[[#This Row],[Capacity Approx]]*'[1]Load Factor Sheet June Acft  '!$D$5</f>
        <v>203.4218181818182</v>
      </c>
      <c r="T2796" s="22">
        <f>tblDailySchedule[[#This Row],[STD]]</f>
        <v>0.88194444444444442</v>
      </c>
    </row>
    <row r="2797" spans="1:20" hidden="1" x14ac:dyDescent="0.35">
      <c r="A2797" s="11">
        <v>46210</v>
      </c>
      <c r="B2797" s="3">
        <v>2</v>
      </c>
      <c r="C2797" t="s">
        <v>108</v>
      </c>
      <c r="D2797" t="s">
        <v>18</v>
      </c>
      <c r="E2797" s="3">
        <v>26</v>
      </c>
      <c r="F2797" t="s">
        <v>19</v>
      </c>
      <c r="G2797" t="s">
        <v>93</v>
      </c>
      <c r="H2797" t="s">
        <v>31</v>
      </c>
      <c r="I2797" s="12">
        <v>0.86111111111111116</v>
      </c>
      <c r="J2797" t="s">
        <v>94</v>
      </c>
      <c r="K2797" t="s">
        <v>31</v>
      </c>
      <c r="L2797" s="12">
        <v>0.88888888888888884</v>
      </c>
      <c r="M2797" t="s">
        <v>23</v>
      </c>
      <c r="N2797" s="3">
        <v>186</v>
      </c>
      <c r="O2797" t="s">
        <v>24</v>
      </c>
      <c r="P2797" t="s">
        <v>79</v>
      </c>
      <c r="R2797">
        <f>tblDailySchedule[[#This Row],[Capacity Approx]]*'[1]Load Factor Sheet June Acft  '!$B$5</f>
        <v>150.61772727272728</v>
      </c>
      <c r="S2797">
        <f>tblDailySchedule[[#This Row],[Capacity Approx]]*'[1]Load Factor Sheet June Acft  '!$D$5</f>
        <v>163.08818181818182</v>
      </c>
      <c r="T2797" s="22">
        <f>tblDailySchedule[[#This Row],[STD]]</f>
        <v>0.88888888888888884</v>
      </c>
    </row>
    <row r="2798" spans="1:20" hidden="1" x14ac:dyDescent="0.35">
      <c r="A2798" s="11">
        <v>46210</v>
      </c>
      <c r="B2798" s="3">
        <v>2</v>
      </c>
      <c r="C2798" t="s">
        <v>108</v>
      </c>
      <c r="D2798" t="s">
        <v>18</v>
      </c>
      <c r="E2798" s="3">
        <v>27</v>
      </c>
      <c r="F2798" t="s">
        <v>19</v>
      </c>
      <c r="G2798" t="s">
        <v>95</v>
      </c>
      <c r="H2798" t="s">
        <v>21</v>
      </c>
      <c r="I2798" s="12">
        <v>0.86805555555555558</v>
      </c>
      <c r="J2798" t="s">
        <v>96</v>
      </c>
      <c r="K2798" t="s">
        <v>21</v>
      </c>
      <c r="L2798" s="12">
        <v>0.89583333333333337</v>
      </c>
      <c r="M2798" t="s">
        <v>29</v>
      </c>
      <c r="N2798" s="3">
        <v>186</v>
      </c>
      <c r="O2798" t="s">
        <v>24</v>
      </c>
      <c r="P2798" t="s">
        <v>79</v>
      </c>
      <c r="R2798">
        <f>tblDailySchedule[[#This Row],[Capacity Approx]]*'[1]Load Factor Sheet June Acft  '!$B$5</f>
        <v>150.61772727272728</v>
      </c>
      <c r="S2798">
        <f>tblDailySchedule[[#This Row],[Capacity Approx]]*'[1]Load Factor Sheet June Acft  '!$D$5</f>
        <v>163.08818181818182</v>
      </c>
      <c r="T2798" s="22">
        <f>tblDailySchedule[[#This Row],[STD]]</f>
        <v>0.89583333333333337</v>
      </c>
    </row>
    <row r="2799" spans="1:20" hidden="1" x14ac:dyDescent="0.35">
      <c r="A2799" s="11">
        <v>46210</v>
      </c>
      <c r="B2799" s="3">
        <v>2</v>
      </c>
      <c r="C2799" t="s">
        <v>108</v>
      </c>
      <c r="D2799" t="s">
        <v>18</v>
      </c>
      <c r="E2799" s="3">
        <v>28</v>
      </c>
      <c r="F2799" t="s">
        <v>19</v>
      </c>
      <c r="G2799" t="s">
        <v>97</v>
      </c>
      <c r="H2799" t="s">
        <v>49</v>
      </c>
      <c r="I2799" s="12">
        <v>0.90277777777777779</v>
      </c>
      <c r="J2799" t="s">
        <v>97</v>
      </c>
      <c r="K2799" t="s">
        <v>61</v>
      </c>
      <c r="L2799" s="12">
        <v>0.92361111111111116</v>
      </c>
      <c r="M2799" t="s">
        <v>33</v>
      </c>
      <c r="N2799" s="3">
        <v>189</v>
      </c>
      <c r="O2799" t="s">
        <v>24</v>
      </c>
      <c r="P2799" t="s">
        <v>79</v>
      </c>
      <c r="R2799">
        <f>tblDailySchedule[[#This Row],[Capacity Approx]]*'[1]Load Factor Sheet June Acft  '!$B$5</f>
        <v>153.04704545454547</v>
      </c>
      <c r="S2799">
        <f>tblDailySchedule[[#This Row],[Capacity Approx]]*'[1]Load Factor Sheet June Acft  '!$D$5</f>
        <v>165.71863636363636</v>
      </c>
      <c r="T2799" s="22">
        <f>tblDailySchedule[[#This Row],[STD]]</f>
        <v>0.92361111111111116</v>
      </c>
    </row>
    <row r="2800" spans="1:20" hidden="1" x14ac:dyDescent="0.35">
      <c r="A2800" s="11">
        <v>46210</v>
      </c>
      <c r="B2800" s="3">
        <v>2</v>
      </c>
      <c r="C2800" t="s">
        <v>108</v>
      </c>
      <c r="D2800" t="s">
        <v>18</v>
      </c>
      <c r="E2800" s="3">
        <v>29</v>
      </c>
      <c r="F2800" t="s">
        <v>19</v>
      </c>
      <c r="G2800" t="s">
        <v>98</v>
      </c>
      <c r="H2800" t="s">
        <v>21</v>
      </c>
      <c r="I2800" s="12">
        <v>0.92013888888888884</v>
      </c>
      <c r="J2800" t="s">
        <v>99</v>
      </c>
      <c r="K2800" t="s">
        <v>21</v>
      </c>
      <c r="L2800" s="12">
        <v>0.94791666666666663</v>
      </c>
      <c r="M2800" t="s">
        <v>63</v>
      </c>
      <c r="N2800" s="3">
        <v>232</v>
      </c>
      <c r="O2800" t="s">
        <v>24</v>
      </c>
      <c r="P2800" t="s">
        <v>79</v>
      </c>
      <c r="R2800">
        <f>tblDailySchedule[[#This Row],[Capacity Approx]]*'[1]Load Factor Sheet June Acft  '!$B$5</f>
        <v>187.86727272727273</v>
      </c>
      <c r="S2800">
        <f>tblDailySchedule[[#This Row],[Capacity Approx]]*'[1]Load Factor Sheet June Acft  '!$D$5</f>
        <v>203.4218181818182</v>
      </c>
      <c r="T2800" s="22">
        <f>tblDailySchedule[[#This Row],[STD]]</f>
        <v>0.94791666666666663</v>
      </c>
    </row>
    <row r="2801" spans="1:20" hidden="1" x14ac:dyDescent="0.35">
      <c r="A2801" s="11">
        <v>46211</v>
      </c>
      <c r="B2801" s="3">
        <v>3</v>
      </c>
      <c r="C2801" t="s">
        <v>113</v>
      </c>
      <c r="D2801" t="s">
        <v>18</v>
      </c>
      <c r="E2801" s="3">
        <v>2</v>
      </c>
      <c r="F2801" t="s">
        <v>19</v>
      </c>
      <c r="G2801" t="s">
        <v>20</v>
      </c>
      <c r="H2801" t="s">
        <v>21</v>
      </c>
      <c r="I2801" s="12">
        <v>0.31944444444444442</v>
      </c>
      <c r="J2801" t="s">
        <v>22</v>
      </c>
      <c r="K2801" t="s">
        <v>21</v>
      </c>
      <c r="L2801" s="12">
        <v>0.34722222222222221</v>
      </c>
      <c r="M2801" t="s">
        <v>23</v>
      </c>
      <c r="N2801" s="3">
        <v>186</v>
      </c>
      <c r="O2801" t="s">
        <v>24</v>
      </c>
      <c r="P2801" t="s">
        <v>25</v>
      </c>
      <c r="R2801">
        <f>tblDailySchedule[[#This Row],[Capacity Approx]]*'[1]Load Factor Sheet June Acft  '!$B$5</f>
        <v>150.61772727272728</v>
      </c>
      <c r="S2801">
        <f>tblDailySchedule[[#This Row],[Capacity Approx]]*'[1]Load Factor Sheet June Acft  '!$D$5</f>
        <v>163.08818181818182</v>
      </c>
      <c r="T2801" s="22">
        <f>tblDailySchedule[[#This Row],[STD]]</f>
        <v>0.34722222222222221</v>
      </c>
    </row>
    <row r="2802" spans="1:20" hidden="1" x14ac:dyDescent="0.35">
      <c r="A2802" s="11">
        <v>46211</v>
      </c>
      <c r="B2802" s="3">
        <v>3</v>
      </c>
      <c r="C2802" t="s">
        <v>113</v>
      </c>
      <c r="D2802" t="s">
        <v>18</v>
      </c>
      <c r="E2802" s="3">
        <v>3</v>
      </c>
      <c r="F2802" t="s">
        <v>19</v>
      </c>
      <c r="G2802" t="s">
        <v>26</v>
      </c>
      <c r="H2802" t="s">
        <v>27</v>
      </c>
      <c r="I2802" s="12">
        <v>0.3263888888888889</v>
      </c>
      <c r="J2802" t="s">
        <v>28</v>
      </c>
      <c r="K2802" t="s">
        <v>27</v>
      </c>
      <c r="L2802" s="12">
        <v>0.35416666666666669</v>
      </c>
      <c r="M2802" t="s">
        <v>29</v>
      </c>
      <c r="N2802" s="3">
        <v>186</v>
      </c>
      <c r="O2802" t="s">
        <v>24</v>
      </c>
      <c r="P2802" t="s">
        <v>25</v>
      </c>
      <c r="R2802">
        <f>tblDailySchedule[[#This Row],[Capacity Approx]]*'[1]Load Factor Sheet June Acft  '!$B$5</f>
        <v>150.61772727272728</v>
      </c>
      <c r="S2802">
        <f>tblDailySchedule[[#This Row],[Capacity Approx]]*'[1]Load Factor Sheet June Acft  '!$D$5</f>
        <v>163.08818181818182</v>
      </c>
      <c r="T2802" s="22">
        <f>tblDailySchedule[[#This Row],[STD]]</f>
        <v>0.35416666666666669</v>
      </c>
    </row>
    <row r="2803" spans="1:20" hidden="1" x14ac:dyDescent="0.35">
      <c r="A2803" s="11">
        <v>46211</v>
      </c>
      <c r="B2803" s="3">
        <v>3</v>
      </c>
      <c r="C2803" t="s">
        <v>113</v>
      </c>
      <c r="D2803" t="s">
        <v>18</v>
      </c>
      <c r="E2803" s="3">
        <v>4</v>
      </c>
      <c r="F2803" t="s">
        <v>19</v>
      </c>
      <c r="G2803" t="s">
        <v>30</v>
      </c>
      <c r="H2803" t="s">
        <v>31</v>
      </c>
      <c r="I2803" s="12">
        <v>0.34722222222222221</v>
      </c>
      <c r="J2803" t="s">
        <v>32</v>
      </c>
      <c r="K2803" t="s">
        <v>31</v>
      </c>
      <c r="L2803" s="12">
        <v>0.36805555555555558</v>
      </c>
      <c r="M2803" t="s">
        <v>33</v>
      </c>
      <c r="N2803" s="3">
        <v>189</v>
      </c>
      <c r="O2803" t="s">
        <v>24</v>
      </c>
      <c r="P2803" t="s">
        <v>25</v>
      </c>
      <c r="R2803">
        <f>tblDailySchedule[[#This Row],[Capacity Approx]]*'[1]Load Factor Sheet June Acft  '!$B$5</f>
        <v>153.04704545454547</v>
      </c>
      <c r="S2803">
        <f>tblDailySchedule[[#This Row],[Capacity Approx]]*'[1]Load Factor Sheet June Acft  '!$D$5</f>
        <v>165.71863636363636</v>
      </c>
      <c r="T2803" s="22">
        <f>tblDailySchedule[[#This Row],[STD]]</f>
        <v>0.36805555555555558</v>
      </c>
    </row>
    <row r="2804" spans="1:20" hidden="1" x14ac:dyDescent="0.35">
      <c r="A2804" s="13">
        <v>46211</v>
      </c>
      <c r="B2804" s="7">
        <v>3</v>
      </c>
      <c r="C2804" s="14" t="s">
        <v>113</v>
      </c>
      <c r="D2804" s="14" t="s">
        <v>18</v>
      </c>
      <c r="E2804" s="7">
        <v>6</v>
      </c>
      <c r="F2804" s="14" t="s">
        <v>34</v>
      </c>
      <c r="G2804" s="14" t="s">
        <v>35</v>
      </c>
      <c r="H2804" s="14" t="s">
        <v>36</v>
      </c>
      <c r="I2804" s="15">
        <v>0.34722222222222221</v>
      </c>
      <c r="J2804" s="14" t="s">
        <v>37</v>
      </c>
      <c r="K2804" s="14" t="s">
        <v>36</v>
      </c>
      <c r="L2804" s="15">
        <v>0.40972222222222221</v>
      </c>
      <c r="M2804" s="14" t="s">
        <v>38</v>
      </c>
      <c r="N2804" s="7">
        <v>186</v>
      </c>
      <c r="O2804" s="14" t="s">
        <v>39</v>
      </c>
      <c r="P2804" s="14" t="s">
        <v>25</v>
      </c>
      <c r="Q2804" s="14" t="s">
        <v>39</v>
      </c>
      <c r="R2804">
        <f>tblDailySchedule[[#This Row],[Capacity Approx]]*'[1]Load Factor Sheet June Acft  '!$B$5</f>
        <v>150.61772727272728</v>
      </c>
      <c r="S2804">
        <f>tblDailySchedule[[#This Row],[Capacity Approx]]*'[1]Load Factor Sheet June Acft  '!$D$5</f>
        <v>163.08818181818182</v>
      </c>
      <c r="T2804" s="22">
        <f>tblDailySchedule[[#This Row],[STD]]</f>
        <v>0.40972222222222221</v>
      </c>
    </row>
    <row r="2805" spans="1:20" hidden="1" x14ac:dyDescent="0.35">
      <c r="A2805" s="11">
        <v>46211</v>
      </c>
      <c r="B2805" s="3">
        <v>3</v>
      </c>
      <c r="C2805" t="s">
        <v>113</v>
      </c>
      <c r="D2805" t="s">
        <v>18</v>
      </c>
      <c r="E2805" s="3">
        <v>5</v>
      </c>
      <c r="F2805" t="s">
        <v>19</v>
      </c>
      <c r="G2805" t="s">
        <v>40</v>
      </c>
      <c r="H2805" t="s">
        <v>31</v>
      </c>
      <c r="I2805" s="12">
        <v>0.35069444444444442</v>
      </c>
      <c r="J2805" t="s">
        <v>41</v>
      </c>
      <c r="K2805" t="s">
        <v>31</v>
      </c>
      <c r="L2805" s="12">
        <v>0.37152777777777779</v>
      </c>
      <c r="M2805" t="s">
        <v>23</v>
      </c>
      <c r="N2805" s="3">
        <v>186</v>
      </c>
      <c r="O2805" t="s">
        <v>24</v>
      </c>
      <c r="P2805" t="s">
        <v>25</v>
      </c>
      <c r="R2805">
        <f>tblDailySchedule[[#This Row],[Capacity Approx]]*'[1]Load Factor Sheet June Acft  '!$B$5</f>
        <v>150.61772727272728</v>
      </c>
      <c r="S2805">
        <f>tblDailySchedule[[#This Row],[Capacity Approx]]*'[1]Load Factor Sheet June Acft  '!$D$5</f>
        <v>163.08818181818182</v>
      </c>
      <c r="T2805" s="22">
        <f>tblDailySchedule[[#This Row],[STD]]</f>
        <v>0.37152777777777779</v>
      </c>
    </row>
    <row r="2806" spans="1:20" hidden="1" x14ac:dyDescent="0.35">
      <c r="A2806" s="11">
        <v>46211</v>
      </c>
      <c r="B2806" s="3">
        <v>3</v>
      </c>
      <c r="C2806" t="s">
        <v>113</v>
      </c>
      <c r="D2806" t="s">
        <v>18</v>
      </c>
      <c r="E2806" s="3">
        <v>7</v>
      </c>
      <c r="F2806" t="s">
        <v>19</v>
      </c>
      <c r="G2806" t="s">
        <v>42</v>
      </c>
      <c r="H2806" t="s">
        <v>43</v>
      </c>
      <c r="I2806" s="12">
        <v>0.3923611111111111</v>
      </c>
      <c r="J2806" t="s">
        <v>44</v>
      </c>
      <c r="K2806" t="s">
        <v>43</v>
      </c>
      <c r="L2806" s="12">
        <v>0.40277777777777779</v>
      </c>
      <c r="M2806" t="s">
        <v>45</v>
      </c>
      <c r="N2806" s="3">
        <v>9</v>
      </c>
      <c r="O2806" t="s">
        <v>24</v>
      </c>
      <c r="P2806" t="s">
        <v>25</v>
      </c>
      <c r="R2806">
        <f>tblDailySchedule[[#This Row],[Capacity Approx]]*'[1]Load Factor Sheet June Acft  '!$B$5</f>
        <v>7.2879545454545456</v>
      </c>
      <c r="S2806">
        <f>tblDailySchedule[[#This Row],[Capacity Approx]]*'[1]Load Factor Sheet June Acft  '!$D$5</f>
        <v>7.8913636363636366</v>
      </c>
      <c r="T2806" s="22">
        <f>tblDailySchedule[[#This Row],[STD]]</f>
        <v>0.40277777777777779</v>
      </c>
    </row>
    <row r="2807" spans="1:20" hidden="1" x14ac:dyDescent="0.35">
      <c r="A2807" s="11">
        <v>46211</v>
      </c>
      <c r="B2807" s="3">
        <v>3</v>
      </c>
      <c r="C2807" t="s">
        <v>113</v>
      </c>
      <c r="D2807" t="s">
        <v>18</v>
      </c>
      <c r="E2807" s="3">
        <v>8</v>
      </c>
      <c r="F2807" t="s">
        <v>19</v>
      </c>
      <c r="G2807" t="s">
        <v>46</v>
      </c>
      <c r="H2807" t="s">
        <v>31</v>
      </c>
      <c r="I2807" s="12">
        <v>0.4201388888888889</v>
      </c>
      <c r="J2807" t="s">
        <v>47</v>
      </c>
      <c r="K2807" t="s">
        <v>31</v>
      </c>
      <c r="L2807" s="12">
        <v>0.44444444444444442</v>
      </c>
      <c r="M2807" t="s">
        <v>29</v>
      </c>
      <c r="N2807" s="3">
        <v>186</v>
      </c>
      <c r="O2807" t="s">
        <v>24</v>
      </c>
      <c r="P2807" t="s">
        <v>25</v>
      </c>
      <c r="R2807">
        <f>tblDailySchedule[[#This Row],[Capacity Approx]]*'[1]Load Factor Sheet June Acft  '!$B$5</f>
        <v>150.61772727272728</v>
      </c>
      <c r="S2807">
        <f>tblDailySchedule[[#This Row],[Capacity Approx]]*'[1]Load Factor Sheet June Acft  '!$D$5</f>
        <v>163.08818181818182</v>
      </c>
      <c r="T2807" s="22">
        <f>tblDailySchedule[[#This Row],[STD]]</f>
        <v>0.44444444444444442</v>
      </c>
    </row>
    <row r="2808" spans="1:20" hidden="1" x14ac:dyDescent="0.35">
      <c r="A2808" s="11">
        <v>46211</v>
      </c>
      <c r="B2808" s="3">
        <v>3</v>
      </c>
      <c r="C2808" t="s">
        <v>113</v>
      </c>
      <c r="D2808" t="s">
        <v>18</v>
      </c>
      <c r="E2808" s="3">
        <v>9</v>
      </c>
      <c r="F2808" t="s">
        <v>19</v>
      </c>
      <c r="G2808" t="s">
        <v>48</v>
      </c>
      <c r="H2808" t="s">
        <v>49</v>
      </c>
      <c r="I2808" s="12">
        <v>0.4375</v>
      </c>
      <c r="J2808" t="s">
        <v>50</v>
      </c>
      <c r="K2808" t="s">
        <v>49</v>
      </c>
      <c r="L2808" s="12">
        <v>0.45833333333333331</v>
      </c>
      <c r="M2808" t="s">
        <v>51</v>
      </c>
      <c r="N2808" s="3">
        <v>78</v>
      </c>
      <c r="O2808" t="s">
        <v>24</v>
      </c>
      <c r="P2808" t="s">
        <v>25</v>
      </c>
      <c r="R2808">
        <f>tblDailySchedule[[#This Row],[Capacity Approx]]*'[1]Load Factor Sheet June Acft  '!$B$5</f>
        <v>63.162272727272729</v>
      </c>
      <c r="S2808">
        <f>tblDailySchedule[[#This Row],[Capacity Approx]]*'[1]Load Factor Sheet June Acft  '!$D$5</f>
        <v>68.391818181818181</v>
      </c>
      <c r="T2808" s="22">
        <f>tblDailySchedule[[#This Row],[STD]]</f>
        <v>0.45833333333333331</v>
      </c>
    </row>
    <row r="2809" spans="1:20" hidden="1" x14ac:dyDescent="0.35">
      <c r="A2809" s="11">
        <v>46211</v>
      </c>
      <c r="B2809" s="3">
        <v>3</v>
      </c>
      <c r="C2809" t="s">
        <v>113</v>
      </c>
      <c r="D2809" t="s">
        <v>18</v>
      </c>
      <c r="E2809" s="3">
        <v>10</v>
      </c>
      <c r="F2809" t="s">
        <v>19</v>
      </c>
      <c r="G2809" t="s">
        <v>52</v>
      </c>
      <c r="H2809" t="s">
        <v>27</v>
      </c>
      <c r="I2809" s="12">
        <v>0.4826388888888889</v>
      </c>
      <c r="J2809" t="s">
        <v>53</v>
      </c>
      <c r="K2809" t="s">
        <v>27</v>
      </c>
      <c r="L2809" s="12">
        <v>0.51041666666666663</v>
      </c>
      <c r="M2809" t="s">
        <v>23</v>
      </c>
      <c r="N2809" s="3">
        <v>186</v>
      </c>
      <c r="O2809" t="s">
        <v>24</v>
      </c>
      <c r="P2809" t="s">
        <v>25</v>
      </c>
      <c r="R2809">
        <f>tblDailySchedule[[#This Row],[Capacity Approx]]*'[1]Load Factor Sheet June Acft  '!$B$5</f>
        <v>150.61772727272728</v>
      </c>
      <c r="S2809">
        <f>tblDailySchedule[[#This Row],[Capacity Approx]]*'[1]Load Factor Sheet June Acft  '!$D$5</f>
        <v>163.08818181818182</v>
      </c>
      <c r="T2809" s="22">
        <f>tblDailySchedule[[#This Row],[STD]]</f>
        <v>0.51041666666666663</v>
      </c>
    </row>
    <row r="2810" spans="1:20" hidden="1" x14ac:dyDescent="0.35">
      <c r="A2810" s="11">
        <v>46211</v>
      </c>
      <c r="B2810" s="3">
        <v>3</v>
      </c>
      <c r="C2810" t="s">
        <v>113</v>
      </c>
      <c r="D2810" t="s">
        <v>18</v>
      </c>
      <c r="E2810" s="3">
        <v>11</v>
      </c>
      <c r="F2810" t="s">
        <v>19</v>
      </c>
      <c r="G2810" t="s">
        <v>54</v>
      </c>
      <c r="H2810" t="s">
        <v>31</v>
      </c>
      <c r="I2810" s="12">
        <v>0.51388888888888884</v>
      </c>
      <c r="J2810" t="s">
        <v>55</v>
      </c>
      <c r="K2810" t="s">
        <v>31</v>
      </c>
      <c r="L2810" s="12">
        <v>0.54166666666666663</v>
      </c>
      <c r="M2810" t="s">
        <v>23</v>
      </c>
      <c r="N2810" s="3">
        <v>186</v>
      </c>
      <c r="O2810" t="s">
        <v>24</v>
      </c>
      <c r="P2810" t="s">
        <v>56</v>
      </c>
      <c r="R2810">
        <f>tblDailySchedule[[#This Row],[Capacity Approx]]*'[1]Load Factor Sheet June Acft  '!$B$5</f>
        <v>150.61772727272728</v>
      </c>
      <c r="S2810">
        <f>tblDailySchedule[[#This Row],[Capacity Approx]]*'[1]Load Factor Sheet June Acft  '!$D$5</f>
        <v>163.08818181818182</v>
      </c>
      <c r="T2810" s="22">
        <f>tblDailySchedule[[#This Row],[STD]]</f>
        <v>0.54166666666666663</v>
      </c>
    </row>
    <row r="2811" spans="1:20" hidden="1" x14ac:dyDescent="0.35">
      <c r="A2811" s="11">
        <v>46211</v>
      </c>
      <c r="B2811" s="3">
        <v>3</v>
      </c>
      <c r="C2811" t="s">
        <v>113</v>
      </c>
      <c r="D2811" t="s">
        <v>18</v>
      </c>
      <c r="E2811" s="3">
        <v>13</v>
      </c>
      <c r="F2811" t="s">
        <v>19</v>
      </c>
      <c r="G2811" t="s">
        <v>57</v>
      </c>
      <c r="H2811" t="s">
        <v>58</v>
      </c>
      <c r="I2811" s="12">
        <v>0.55902777777777779</v>
      </c>
      <c r="J2811" t="s">
        <v>59</v>
      </c>
      <c r="K2811" t="s">
        <v>58</v>
      </c>
      <c r="L2811" s="12">
        <v>0.57638888888888884</v>
      </c>
      <c r="M2811" t="s">
        <v>51</v>
      </c>
      <c r="N2811" s="3">
        <v>78</v>
      </c>
      <c r="O2811" t="s">
        <v>24</v>
      </c>
      <c r="P2811" t="s">
        <v>56</v>
      </c>
      <c r="R2811">
        <f>tblDailySchedule[[#This Row],[Capacity Approx]]*'[1]Load Factor Sheet June Acft  '!$B$5</f>
        <v>63.162272727272729</v>
      </c>
      <c r="S2811">
        <f>tblDailySchedule[[#This Row],[Capacity Approx]]*'[1]Load Factor Sheet June Acft  '!$D$5</f>
        <v>68.391818181818181</v>
      </c>
      <c r="T2811" s="22">
        <f>tblDailySchedule[[#This Row],[STD]]</f>
        <v>0.57638888888888884</v>
      </c>
    </row>
    <row r="2812" spans="1:20" hidden="1" x14ac:dyDescent="0.35">
      <c r="A2812" s="11">
        <v>46211</v>
      </c>
      <c r="B2812" s="3">
        <v>3</v>
      </c>
      <c r="C2812" t="s">
        <v>113</v>
      </c>
      <c r="D2812" t="s">
        <v>18</v>
      </c>
      <c r="E2812" s="3">
        <v>14</v>
      </c>
      <c r="F2812" t="s">
        <v>19</v>
      </c>
      <c r="G2812" t="s">
        <v>60</v>
      </c>
      <c r="H2812" t="s">
        <v>61</v>
      </c>
      <c r="I2812" s="12">
        <v>0.59027777777777779</v>
      </c>
      <c r="J2812" t="s">
        <v>62</v>
      </c>
      <c r="K2812" t="s">
        <v>61</v>
      </c>
      <c r="L2812" s="12">
        <v>0.62152777777777779</v>
      </c>
      <c r="M2812" t="s">
        <v>63</v>
      </c>
      <c r="N2812" s="3">
        <v>232</v>
      </c>
      <c r="O2812" t="s">
        <v>24</v>
      </c>
      <c r="P2812" t="s">
        <v>56</v>
      </c>
      <c r="R2812">
        <f>tblDailySchedule[[#This Row],[Capacity Approx]]*'[1]Load Factor Sheet June Acft  '!$B$5</f>
        <v>187.86727272727273</v>
      </c>
      <c r="S2812">
        <f>tblDailySchedule[[#This Row],[Capacity Approx]]*'[1]Load Factor Sheet June Acft  '!$D$5</f>
        <v>203.4218181818182</v>
      </c>
      <c r="T2812" s="22">
        <f>tblDailySchedule[[#This Row],[STD]]</f>
        <v>0.62152777777777779</v>
      </c>
    </row>
    <row r="2813" spans="1:20" hidden="1" x14ac:dyDescent="0.35">
      <c r="A2813" s="11">
        <v>46211</v>
      </c>
      <c r="B2813" s="3">
        <v>3</v>
      </c>
      <c r="C2813" t="s">
        <v>113</v>
      </c>
      <c r="D2813" t="s">
        <v>18</v>
      </c>
      <c r="E2813" s="3">
        <v>15</v>
      </c>
      <c r="F2813" t="s">
        <v>19</v>
      </c>
      <c r="G2813" t="s">
        <v>64</v>
      </c>
      <c r="H2813" t="s">
        <v>31</v>
      </c>
      <c r="I2813" s="12">
        <v>0.60069444444444442</v>
      </c>
      <c r="J2813" t="s">
        <v>65</v>
      </c>
      <c r="K2813" t="s">
        <v>66</v>
      </c>
      <c r="L2813" s="12">
        <v>0.62847222222222221</v>
      </c>
      <c r="M2813" t="s">
        <v>63</v>
      </c>
      <c r="N2813" s="3">
        <v>232</v>
      </c>
      <c r="O2813" t="s">
        <v>24</v>
      </c>
      <c r="P2813" t="s">
        <v>56</v>
      </c>
      <c r="R2813">
        <f>tblDailySchedule[[#This Row],[Capacity Approx]]*'[1]Load Factor Sheet June Acft  '!$B$5</f>
        <v>187.86727272727273</v>
      </c>
      <c r="S2813">
        <f>tblDailySchedule[[#This Row],[Capacity Approx]]*'[1]Load Factor Sheet June Acft  '!$D$5</f>
        <v>203.4218181818182</v>
      </c>
      <c r="T2813" s="22">
        <f>tblDailySchedule[[#This Row],[STD]]</f>
        <v>0.62847222222222221</v>
      </c>
    </row>
    <row r="2814" spans="1:20" hidden="1" x14ac:dyDescent="0.35">
      <c r="A2814" s="11">
        <v>46211</v>
      </c>
      <c r="B2814" s="3">
        <v>3</v>
      </c>
      <c r="C2814" t="s">
        <v>113</v>
      </c>
      <c r="D2814" t="s">
        <v>18</v>
      </c>
      <c r="E2814" s="3">
        <v>16</v>
      </c>
      <c r="F2814" t="s">
        <v>19</v>
      </c>
      <c r="G2814" t="s">
        <v>67</v>
      </c>
      <c r="H2814" t="s">
        <v>31</v>
      </c>
      <c r="I2814" s="12">
        <v>0.65625</v>
      </c>
      <c r="J2814" t="s">
        <v>68</v>
      </c>
      <c r="K2814" t="s">
        <v>31</v>
      </c>
      <c r="L2814" s="12">
        <v>0.68402777777777779</v>
      </c>
      <c r="M2814" t="s">
        <v>63</v>
      </c>
      <c r="N2814" s="3">
        <v>232</v>
      </c>
      <c r="O2814" t="s">
        <v>24</v>
      </c>
      <c r="P2814" t="s">
        <v>56</v>
      </c>
      <c r="R2814">
        <f>tblDailySchedule[[#This Row],[Capacity Approx]]*'[1]Load Factor Sheet June Acft  '!$B$5</f>
        <v>187.86727272727273</v>
      </c>
      <c r="S2814">
        <f>tblDailySchedule[[#This Row],[Capacity Approx]]*'[1]Load Factor Sheet June Acft  '!$D$5</f>
        <v>203.4218181818182</v>
      </c>
      <c r="T2814" s="22">
        <f>tblDailySchedule[[#This Row],[STD]]</f>
        <v>0.68402777777777779</v>
      </c>
    </row>
    <row r="2815" spans="1:20" hidden="1" x14ac:dyDescent="0.35">
      <c r="A2815" s="11">
        <v>46211</v>
      </c>
      <c r="B2815" s="3">
        <v>3</v>
      </c>
      <c r="C2815" t="s">
        <v>113</v>
      </c>
      <c r="D2815" t="s">
        <v>18</v>
      </c>
      <c r="E2815" s="3">
        <v>17</v>
      </c>
      <c r="F2815" t="s">
        <v>19</v>
      </c>
      <c r="G2815" t="s">
        <v>69</v>
      </c>
      <c r="H2815" t="s">
        <v>31</v>
      </c>
      <c r="I2815" s="12">
        <v>0.66319444444444442</v>
      </c>
      <c r="J2815" t="s">
        <v>70</v>
      </c>
      <c r="K2815" t="s">
        <v>31</v>
      </c>
      <c r="L2815" s="12">
        <v>0.69097222222222221</v>
      </c>
      <c r="M2815" t="s">
        <v>33</v>
      </c>
      <c r="N2815" s="3">
        <v>189</v>
      </c>
      <c r="O2815" t="s">
        <v>24</v>
      </c>
      <c r="P2815" t="s">
        <v>56</v>
      </c>
      <c r="R2815">
        <f>tblDailySchedule[[#This Row],[Capacity Approx]]*'[1]Load Factor Sheet June Acft  '!$B$5</f>
        <v>153.04704545454547</v>
      </c>
      <c r="S2815">
        <f>tblDailySchedule[[#This Row],[Capacity Approx]]*'[1]Load Factor Sheet June Acft  '!$D$5</f>
        <v>165.71863636363636</v>
      </c>
      <c r="T2815" s="22">
        <f>tblDailySchedule[[#This Row],[STD]]</f>
        <v>0.69097222222222221</v>
      </c>
    </row>
    <row r="2816" spans="1:20" hidden="1" x14ac:dyDescent="0.35">
      <c r="A2816" s="11">
        <v>46211</v>
      </c>
      <c r="B2816" s="3">
        <v>3</v>
      </c>
      <c r="C2816" t="s">
        <v>113</v>
      </c>
      <c r="D2816" t="s">
        <v>18</v>
      </c>
      <c r="E2816" s="3">
        <v>18</v>
      </c>
      <c r="F2816" t="s">
        <v>19</v>
      </c>
      <c r="G2816" t="s">
        <v>71</v>
      </c>
      <c r="H2816" t="s">
        <v>21</v>
      </c>
      <c r="I2816" s="12">
        <v>0.67013888888888884</v>
      </c>
      <c r="J2816" t="s">
        <v>72</v>
      </c>
      <c r="K2816" t="s">
        <v>21</v>
      </c>
      <c r="L2816" s="12">
        <v>0.69791666666666663</v>
      </c>
      <c r="M2816" t="s">
        <v>63</v>
      </c>
      <c r="N2816" s="3">
        <v>232</v>
      </c>
      <c r="O2816" t="s">
        <v>24</v>
      </c>
      <c r="P2816" t="s">
        <v>56</v>
      </c>
      <c r="R2816">
        <f>tblDailySchedule[[#This Row],[Capacity Approx]]*'[1]Load Factor Sheet June Acft  '!$B$5</f>
        <v>187.86727272727273</v>
      </c>
      <c r="S2816">
        <f>tblDailySchedule[[#This Row],[Capacity Approx]]*'[1]Load Factor Sheet June Acft  '!$D$5</f>
        <v>203.4218181818182</v>
      </c>
      <c r="T2816" s="22">
        <f>tblDailySchedule[[#This Row],[STD]]</f>
        <v>0.69791666666666663</v>
      </c>
    </row>
    <row r="2817" spans="1:20" hidden="1" x14ac:dyDescent="0.35">
      <c r="A2817" s="11">
        <v>46211</v>
      </c>
      <c r="B2817" s="3">
        <v>3</v>
      </c>
      <c r="C2817" t="s">
        <v>113</v>
      </c>
      <c r="D2817" t="s">
        <v>18</v>
      </c>
      <c r="E2817" s="3">
        <v>19</v>
      </c>
      <c r="F2817" t="s">
        <v>19</v>
      </c>
      <c r="G2817" t="s">
        <v>73</v>
      </c>
      <c r="H2817" t="s">
        <v>27</v>
      </c>
      <c r="I2817" s="12">
        <v>0.74652777777777779</v>
      </c>
      <c r="J2817" t="s">
        <v>74</v>
      </c>
      <c r="K2817" t="s">
        <v>27</v>
      </c>
      <c r="L2817" s="12">
        <v>0.77430555555555558</v>
      </c>
      <c r="M2817" t="s">
        <v>63</v>
      </c>
      <c r="N2817" s="3">
        <v>232</v>
      </c>
      <c r="O2817" t="s">
        <v>24</v>
      </c>
      <c r="P2817" t="s">
        <v>56</v>
      </c>
      <c r="R2817">
        <f>tblDailySchedule[[#This Row],[Capacity Approx]]*'[1]Load Factor Sheet June Acft  '!$B$5</f>
        <v>187.86727272727273</v>
      </c>
      <c r="S2817">
        <f>tblDailySchedule[[#This Row],[Capacity Approx]]*'[1]Load Factor Sheet June Acft  '!$D$5</f>
        <v>203.4218181818182</v>
      </c>
      <c r="T2817" s="22">
        <f>tblDailySchedule[[#This Row],[STD]]</f>
        <v>0.77430555555555558</v>
      </c>
    </row>
    <row r="2818" spans="1:20" hidden="1" x14ac:dyDescent="0.35">
      <c r="A2818" s="11">
        <v>46211</v>
      </c>
      <c r="B2818" s="3">
        <v>3</v>
      </c>
      <c r="C2818" t="s">
        <v>113</v>
      </c>
      <c r="D2818" t="s">
        <v>18</v>
      </c>
      <c r="E2818" s="3">
        <v>20</v>
      </c>
      <c r="F2818" t="s">
        <v>34</v>
      </c>
      <c r="G2818" t="s">
        <v>75</v>
      </c>
      <c r="H2818" t="s">
        <v>76</v>
      </c>
      <c r="I2818" s="12">
        <v>0.76388888888888884</v>
      </c>
      <c r="J2818" t="s">
        <v>77</v>
      </c>
      <c r="K2818" t="s">
        <v>78</v>
      </c>
      <c r="L2818" s="12">
        <v>0.78472222222222221</v>
      </c>
      <c r="M2818" t="s">
        <v>51</v>
      </c>
      <c r="N2818" s="3">
        <v>78</v>
      </c>
      <c r="O2818" t="s">
        <v>24</v>
      </c>
      <c r="P2818" t="s">
        <v>79</v>
      </c>
      <c r="Q2818" s="16" t="s">
        <v>80</v>
      </c>
      <c r="R2818">
        <f>tblDailySchedule[[#This Row],[Capacity Approx]]*'[1]Load Factor Sheet June Acft  '!$B$5</f>
        <v>63.162272727272729</v>
      </c>
      <c r="S2818">
        <f>tblDailySchedule[[#This Row],[Capacity Approx]]*'[1]Load Factor Sheet June Acft  '!$D$5</f>
        <v>68.391818181818181</v>
      </c>
      <c r="T2818" s="22">
        <f>tblDailySchedule[[#This Row],[STD]]</f>
        <v>0.78472222222222221</v>
      </c>
    </row>
    <row r="2819" spans="1:20" hidden="1" x14ac:dyDescent="0.35">
      <c r="A2819" s="11">
        <v>46211</v>
      </c>
      <c r="B2819" s="3">
        <v>3</v>
      </c>
      <c r="C2819" t="s">
        <v>113</v>
      </c>
      <c r="D2819" t="s">
        <v>18</v>
      </c>
      <c r="E2819" s="3">
        <v>21</v>
      </c>
      <c r="F2819" t="s">
        <v>19</v>
      </c>
      <c r="G2819" t="s">
        <v>81</v>
      </c>
      <c r="H2819" t="s">
        <v>61</v>
      </c>
      <c r="I2819" s="12">
        <v>0.77083333333333337</v>
      </c>
      <c r="J2819" t="s">
        <v>82</v>
      </c>
      <c r="K2819" t="s">
        <v>49</v>
      </c>
      <c r="L2819" s="12">
        <v>0.79166666666666663</v>
      </c>
      <c r="M2819" t="s">
        <v>33</v>
      </c>
      <c r="N2819" s="3">
        <v>189</v>
      </c>
      <c r="O2819" t="s">
        <v>24</v>
      </c>
      <c r="P2819" t="s">
        <v>79</v>
      </c>
      <c r="R2819">
        <f>tblDailySchedule[[#This Row],[Capacity Approx]]*'[1]Load Factor Sheet June Acft  '!$B$5</f>
        <v>153.04704545454547</v>
      </c>
      <c r="S2819">
        <f>tblDailySchedule[[#This Row],[Capacity Approx]]*'[1]Load Factor Sheet June Acft  '!$D$5</f>
        <v>165.71863636363636</v>
      </c>
      <c r="T2819" s="22">
        <f>tblDailySchedule[[#This Row],[STD]]</f>
        <v>0.79166666666666663</v>
      </c>
    </row>
    <row r="2820" spans="1:20" hidden="1" x14ac:dyDescent="0.35">
      <c r="A2820" s="11">
        <v>46211</v>
      </c>
      <c r="B2820" s="3">
        <v>3</v>
      </c>
      <c r="C2820" t="s">
        <v>113</v>
      </c>
      <c r="D2820" t="s">
        <v>18</v>
      </c>
      <c r="E2820" s="3">
        <v>22</v>
      </c>
      <c r="F2820" t="s">
        <v>19</v>
      </c>
      <c r="G2820" t="s">
        <v>83</v>
      </c>
      <c r="H2820" t="s">
        <v>31</v>
      </c>
      <c r="I2820" s="12">
        <v>0.77777777777777779</v>
      </c>
      <c r="J2820" t="s">
        <v>84</v>
      </c>
      <c r="K2820" t="s">
        <v>31</v>
      </c>
      <c r="L2820" s="12">
        <v>0.80555555555555558</v>
      </c>
      <c r="M2820" t="s">
        <v>63</v>
      </c>
      <c r="N2820" s="3">
        <v>232</v>
      </c>
      <c r="O2820" t="s">
        <v>24</v>
      </c>
      <c r="P2820" t="s">
        <v>79</v>
      </c>
      <c r="R2820">
        <f>tblDailySchedule[[#This Row],[Capacity Approx]]*'[1]Load Factor Sheet June Acft  '!$B$5</f>
        <v>187.86727272727273</v>
      </c>
      <c r="S2820">
        <f>tblDailySchedule[[#This Row],[Capacity Approx]]*'[1]Load Factor Sheet June Acft  '!$D$5</f>
        <v>203.4218181818182</v>
      </c>
      <c r="T2820" s="22">
        <f>tblDailySchedule[[#This Row],[STD]]</f>
        <v>0.80555555555555558</v>
      </c>
    </row>
    <row r="2821" spans="1:20" hidden="1" x14ac:dyDescent="0.35">
      <c r="A2821" s="11">
        <v>46211</v>
      </c>
      <c r="B2821" s="3">
        <v>3</v>
      </c>
      <c r="C2821" t="s">
        <v>113</v>
      </c>
      <c r="D2821" t="s">
        <v>18</v>
      </c>
      <c r="E2821" s="3">
        <v>23</v>
      </c>
      <c r="F2821" t="s">
        <v>19</v>
      </c>
      <c r="G2821" t="s">
        <v>85</v>
      </c>
      <c r="H2821" t="s">
        <v>86</v>
      </c>
      <c r="I2821" s="12">
        <v>0.79861111111111116</v>
      </c>
      <c r="J2821" t="s">
        <v>87</v>
      </c>
      <c r="K2821" t="s">
        <v>86</v>
      </c>
      <c r="L2821" s="12">
        <v>0.82638888888888884</v>
      </c>
      <c r="M2821" t="s">
        <v>63</v>
      </c>
      <c r="N2821" s="3">
        <v>232</v>
      </c>
      <c r="O2821" t="s">
        <v>24</v>
      </c>
      <c r="P2821" t="s">
        <v>79</v>
      </c>
      <c r="R2821">
        <f>tblDailySchedule[[#This Row],[Capacity Approx]]*'[1]Load Factor Sheet June Acft  '!$B$5</f>
        <v>187.86727272727273</v>
      </c>
      <c r="S2821">
        <f>tblDailySchedule[[#This Row],[Capacity Approx]]*'[1]Load Factor Sheet June Acft  '!$D$5</f>
        <v>203.4218181818182</v>
      </c>
      <c r="T2821" s="22">
        <f>tblDailySchedule[[#This Row],[STD]]</f>
        <v>0.82638888888888884</v>
      </c>
    </row>
    <row r="2822" spans="1:20" hidden="1" x14ac:dyDescent="0.35">
      <c r="A2822" s="11">
        <v>46211</v>
      </c>
      <c r="B2822" s="3">
        <v>3</v>
      </c>
      <c r="C2822" t="s">
        <v>113</v>
      </c>
      <c r="D2822" t="s">
        <v>18</v>
      </c>
      <c r="E2822" s="3">
        <v>24</v>
      </c>
      <c r="F2822" t="s">
        <v>19</v>
      </c>
      <c r="G2822" t="s">
        <v>88</v>
      </c>
      <c r="H2822" t="s">
        <v>89</v>
      </c>
      <c r="I2822" s="12">
        <v>0.83333333333333337</v>
      </c>
      <c r="J2822" t="s">
        <v>90</v>
      </c>
      <c r="K2822" t="s">
        <v>31</v>
      </c>
      <c r="L2822" s="12">
        <v>0.86111111111111116</v>
      </c>
      <c r="M2822" t="s">
        <v>63</v>
      </c>
      <c r="N2822" s="3">
        <v>232</v>
      </c>
      <c r="O2822" t="s">
        <v>24</v>
      </c>
      <c r="P2822" t="s">
        <v>79</v>
      </c>
      <c r="R2822">
        <f>tblDailySchedule[[#This Row],[Capacity Approx]]*'[1]Load Factor Sheet June Acft  '!$B$5</f>
        <v>187.86727272727273</v>
      </c>
      <c r="S2822">
        <f>tblDailySchedule[[#This Row],[Capacity Approx]]*'[1]Load Factor Sheet June Acft  '!$D$5</f>
        <v>203.4218181818182</v>
      </c>
      <c r="T2822" s="22">
        <f>tblDailySchedule[[#This Row],[STD]]</f>
        <v>0.86111111111111116</v>
      </c>
    </row>
    <row r="2823" spans="1:20" hidden="1" x14ac:dyDescent="0.35">
      <c r="A2823" s="11">
        <v>46211</v>
      </c>
      <c r="B2823" s="3">
        <v>3</v>
      </c>
      <c r="C2823" t="s">
        <v>113</v>
      </c>
      <c r="D2823" t="s">
        <v>18</v>
      </c>
      <c r="E2823" s="3">
        <v>25</v>
      </c>
      <c r="F2823" t="s">
        <v>19</v>
      </c>
      <c r="G2823" t="s">
        <v>91</v>
      </c>
      <c r="H2823" t="s">
        <v>61</v>
      </c>
      <c r="I2823" s="12">
        <v>0.85416666666666663</v>
      </c>
      <c r="J2823" t="s">
        <v>92</v>
      </c>
      <c r="K2823" t="s">
        <v>61</v>
      </c>
      <c r="L2823" s="12">
        <v>0.88194444444444442</v>
      </c>
      <c r="M2823" t="s">
        <v>63</v>
      </c>
      <c r="N2823" s="3">
        <v>232</v>
      </c>
      <c r="O2823" t="s">
        <v>24</v>
      </c>
      <c r="P2823" t="s">
        <v>79</v>
      </c>
      <c r="R2823">
        <f>tblDailySchedule[[#This Row],[Capacity Approx]]*'[1]Load Factor Sheet June Acft  '!$B$5</f>
        <v>187.86727272727273</v>
      </c>
      <c r="S2823">
        <f>tblDailySchedule[[#This Row],[Capacity Approx]]*'[1]Load Factor Sheet June Acft  '!$D$5</f>
        <v>203.4218181818182</v>
      </c>
      <c r="T2823" s="22">
        <f>tblDailySchedule[[#This Row],[STD]]</f>
        <v>0.88194444444444442</v>
      </c>
    </row>
    <row r="2824" spans="1:20" hidden="1" x14ac:dyDescent="0.35">
      <c r="A2824" s="11">
        <v>46211</v>
      </c>
      <c r="B2824" s="3">
        <v>3</v>
      </c>
      <c r="C2824" t="s">
        <v>113</v>
      </c>
      <c r="D2824" t="s">
        <v>18</v>
      </c>
      <c r="E2824" s="3">
        <v>26</v>
      </c>
      <c r="F2824" t="s">
        <v>19</v>
      </c>
      <c r="G2824" t="s">
        <v>93</v>
      </c>
      <c r="H2824" t="s">
        <v>31</v>
      </c>
      <c r="I2824" s="12">
        <v>0.86111111111111116</v>
      </c>
      <c r="J2824" t="s">
        <v>94</v>
      </c>
      <c r="K2824" t="s">
        <v>31</v>
      </c>
      <c r="L2824" s="12">
        <v>0.88888888888888884</v>
      </c>
      <c r="M2824" t="s">
        <v>23</v>
      </c>
      <c r="N2824" s="3">
        <v>186</v>
      </c>
      <c r="O2824" t="s">
        <v>24</v>
      </c>
      <c r="P2824" t="s">
        <v>79</v>
      </c>
      <c r="R2824">
        <f>tblDailySchedule[[#This Row],[Capacity Approx]]*'[1]Load Factor Sheet June Acft  '!$B$5</f>
        <v>150.61772727272728</v>
      </c>
      <c r="S2824">
        <f>tblDailySchedule[[#This Row],[Capacity Approx]]*'[1]Load Factor Sheet June Acft  '!$D$5</f>
        <v>163.08818181818182</v>
      </c>
      <c r="T2824" s="22">
        <f>tblDailySchedule[[#This Row],[STD]]</f>
        <v>0.88888888888888884</v>
      </c>
    </row>
    <row r="2825" spans="1:20" hidden="1" x14ac:dyDescent="0.35">
      <c r="A2825" s="11">
        <v>46211</v>
      </c>
      <c r="B2825" s="3">
        <v>3</v>
      </c>
      <c r="C2825" t="s">
        <v>113</v>
      </c>
      <c r="D2825" t="s">
        <v>18</v>
      </c>
      <c r="E2825" s="3">
        <v>27</v>
      </c>
      <c r="F2825" t="s">
        <v>19</v>
      </c>
      <c r="G2825" t="s">
        <v>95</v>
      </c>
      <c r="H2825" t="s">
        <v>21</v>
      </c>
      <c r="I2825" s="12">
        <v>0.86805555555555558</v>
      </c>
      <c r="J2825" t="s">
        <v>96</v>
      </c>
      <c r="K2825" t="s">
        <v>21</v>
      </c>
      <c r="L2825" s="12">
        <v>0.89583333333333337</v>
      </c>
      <c r="M2825" t="s">
        <v>29</v>
      </c>
      <c r="N2825" s="3">
        <v>186</v>
      </c>
      <c r="O2825" t="s">
        <v>24</v>
      </c>
      <c r="P2825" t="s">
        <v>79</v>
      </c>
      <c r="R2825">
        <f>tblDailySchedule[[#This Row],[Capacity Approx]]*'[1]Load Factor Sheet June Acft  '!$B$5</f>
        <v>150.61772727272728</v>
      </c>
      <c r="S2825">
        <f>tblDailySchedule[[#This Row],[Capacity Approx]]*'[1]Load Factor Sheet June Acft  '!$D$5</f>
        <v>163.08818181818182</v>
      </c>
      <c r="T2825" s="22">
        <f>tblDailySchedule[[#This Row],[STD]]</f>
        <v>0.89583333333333337</v>
      </c>
    </row>
    <row r="2826" spans="1:20" hidden="1" x14ac:dyDescent="0.35">
      <c r="A2826" s="11">
        <v>46211</v>
      </c>
      <c r="B2826" s="3">
        <v>3</v>
      </c>
      <c r="C2826" t="s">
        <v>113</v>
      </c>
      <c r="D2826" t="s">
        <v>18</v>
      </c>
      <c r="E2826" s="3">
        <v>28</v>
      </c>
      <c r="F2826" t="s">
        <v>19</v>
      </c>
      <c r="G2826" t="s">
        <v>97</v>
      </c>
      <c r="H2826" t="s">
        <v>49</v>
      </c>
      <c r="I2826" s="12">
        <v>0.90277777777777779</v>
      </c>
      <c r="J2826" t="s">
        <v>97</v>
      </c>
      <c r="K2826" t="s">
        <v>61</v>
      </c>
      <c r="L2826" s="12">
        <v>0.92361111111111116</v>
      </c>
      <c r="M2826" t="s">
        <v>33</v>
      </c>
      <c r="N2826" s="3">
        <v>189</v>
      </c>
      <c r="O2826" t="s">
        <v>24</v>
      </c>
      <c r="P2826" t="s">
        <v>79</v>
      </c>
      <c r="R2826">
        <f>tblDailySchedule[[#This Row],[Capacity Approx]]*'[1]Load Factor Sheet June Acft  '!$B$5</f>
        <v>153.04704545454547</v>
      </c>
      <c r="S2826">
        <f>tblDailySchedule[[#This Row],[Capacity Approx]]*'[1]Load Factor Sheet June Acft  '!$D$5</f>
        <v>165.71863636363636</v>
      </c>
      <c r="T2826" s="22">
        <f>tblDailySchedule[[#This Row],[STD]]</f>
        <v>0.92361111111111116</v>
      </c>
    </row>
    <row r="2827" spans="1:20" hidden="1" x14ac:dyDescent="0.35">
      <c r="A2827" s="11">
        <v>46211</v>
      </c>
      <c r="B2827" s="3">
        <v>3</v>
      </c>
      <c r="C2827" t="s">
        <v>113</v>
      </c>
      <c r="D2827" t="s">
        <v>18</v>
      </c>
      <c r="E2827" s="3">
        <v>29</v>
      </c>
      <c r="F2827" t="s">
        <v>19</v>
      </c>
      <c r="G2827" t="s">
        <v>98</v>
      </c>
      <c r="H2827" t="s">
        <v>21</v>
      </c>
      <c r="I2827" s="12">
        <v>0.92013888888888884</v>
      </c>
      <c r="J2827" t="s">
        <v>99</v>
      </c>
      <c r="K2827" t="s">
        <v>21</v>
      </c>
      <c r="L2827" s="12">
        <v>0.94791666666666663</v>
      </c>
      <c r="M2827" t="s">
        <v>63</v>
      </c>
      <c r="N2827" s="3">
        <v>232</v>
      </c>
      <c r="O2827" t="s">
        <v>24</v>
      </c>
      <c r="P2827" t="s">
        <v>79</v>
      </c>
      <c r="R2827">
        <f>tblDailySchedule[[#This Row],[Capacity Approx]]*'[1]Load Factor Sheet June Acft  '!$B$5</f>
        <v>187.86727272727273</v>
      </c>
      <c r="S2827">
        <f>tblDailySchedule[[#This Row],[Capacity Approx]]*'[1]Load Factor Sheet June Acft  '!$D$5</f>
        <v>203.4218181818182</v>
      </c>
      <c r="T2827" s="22">
        <f>tblDailySchedule[[#This Row],[STD]]</f>
        <v>0.94791666666666663</v>
      </c>
    </row>
    <row r="2828" spans="1:20" hidden="1" x14ac:dyDescent="0.35">
      <c r="A2828" s="13">
        <v>46211</v>
      </c>
      <c r="B2828" s="7">
        <v>3</v>
      </c>
      <c r="C2828" s="14" t="s">
        <v>113</v>
      </c>
      <c r="D2828" s="14" t="s">
        <v>18</v>
      </c>
      <c r="E2828" s="7">
        <v>30</v>
      </c>
      <c r="F2828" s="14" t="s">
        <v>104</v>
      </c>
      <c r="G2828" s="14" t="s">
        <v>105</v>
      </c>
      <c r="H2828" s="14" t="s">
        <v>106</v>
      </c>
      <c r="I2828" s="15">
        <v>0.92708333333333337</v>
      </c>
      <c r="J2828" s="14" t="s">
        <v>107</v>
      </c>
      <c r="K2828" s="14" t="s">
        <v>106</v>
      </c>
      <c r="L2828" s="15">
        <v>0.95833333333333337</v>
      </c>
      <c r="M2828" s="14" t="s">
        <v>38</v>
      </c>
      <c r="N2828" s="7">
        <v>186</v>
      </c>
      <c r="O2828" s="14" t="s">
        <v>39</v>
      </c>
      <c r="P2828" s="14" t="s">
        <v>79</v>
      </c>
      <c r="Q2828" s="14" t="s">
        <v>39</v>
      </c>
      <c r="R2828">
        <f>tblDailySchedule[[#This Row],[Capacity Approx]]*'[1]Load Factor Sheet June Acft  '!$B$5</f>
        <v>150.61772727272728</v>
      </c>
      <c r="S2828">
        <f>tblDailySchedule[[#This Row],[Capacity Approx]]*'[1]Load Factor Sheet June Acft  '!$D$5</f>
        <v>163.08818181818182</v>
      </c>
      <c r="T2828" s="22">
        <f>tblDailySchedule[[#This Row],[STD]]</f>
        <v>0.95833333333333337</v>
      </c>
    </row>
    <row r="2829" spans="1:20" hidden="1" x14ac:dyDescent="0.35">
      <c r="A2829" s="11">
        <v>46212</v>
      </c>
      <c r="B2829" s="3">
        <v>4</v>
      </c>
      <c r="C2829" t="s">
        <v>114</v>
      </c>
      <c r="D2829" t="s">
        <v>18</v>
      </c>
      <c r="E2829" s="3">
        <v>1</v>
      </c>
      <c r="F2829" t="s">
        <v>101</v>
      </c>
      <c r="G2829" t="s">
        <v>102</v>
      </c>
      <c r="H2829" t="s">
        <v>61</v>
      </c>
      <c r="I2829" s="12">
        <v>0.3125</v>
      </c>
      <c r="J2829" t="s">
        <v>103</v>
      </c>
      <c r="K2829" t="s">
        <v>61</v>
      </c>
      <c r="L2829" s="12">
        <v>0.33333333333333331</v>
      </c>
      <c r="M2829" t="s">
        <v>33</v>
      </c>
      <c r="N2829" s="3">
        <v>189</v>
      </c>
      <c r="O2829" t="s">
        <v>24</v>
      </c>
      <c r="P2829" t="s">
        <v>25</v>
      </c>
      <c r="R2829">
        <f>tblDailySchedule[[#This Row],[Capacity Approx]]*'[1]Load Factor Sheet June Acft  '!$B$5</f>
        <v>153.04704545454547</v>
      </c>
      <c r="S2829">
        <f>tblDailySchedule[[#This Row],[Capacity Approx]]*'[1]Load Factor Sheet June Acft  '!$D$5</f>
        <v>165.71863636363636</v>
      </c>
      <c r="T2829" s="22">
        <f>tblDailySchedule[[#This Row],[STD]]</f>
        <v>0.33333333333333331</v>
      </c>
    </row>
    <row r="2830" spans="1:20" hidden="1" x14ac:dyDescent="0.35">
      <c r="A2830" s="11">
        <v>46212</v>
      </c>
      <c r="B2830" s="3">
        <v>4</v>
      </c>
      <c r="C2830" t="s">
        <v>114</v>
      </c>
      <c r="D2830" t="s">
        <v>18</v>
      </c>
      <c r="E2830" s="3">
        <v>2</v>
      </c>
      <c r="F2830" t="s">
        <v>19</v>
      </c>
      <c r="G2830" t="s">
        <v>20</v>
      </c>
      <c r="H2830" t="s">
        <v>21</v>
      </c>
      <c r="I2830" s="12">
        <v>0.31944444444444442</v>
      </c>
      <c r="J2830" t="s">
        <v>22</v>
      </c>
      <c r="K2830" t="s">
        <v>21</v>
      </c>
      <c r="L2830" s="12">
        <v>0.34722222222222221</v>
      </c>
      <c r="M2830" t="s">
        <v>23</v>
      </c>
      <c r="N2830" s="3">
        <v>186</v>
      </c>
      <c r="O2830" t="s">
        <v>24</v>
      </c>
      <c r="P2830" t="s">
        <v>25</v>
      </c>
      <c r="R2830">
        <f>tblDailySchedule[[#This Row],[Capacity Approx]]*'[1]Load Factor Sheet June Acft  '!$B$5</f>
        <v>150.61772727272728</v>
      </c>
      <c r="S2830">
        <f>tblDailySchedule[[#This Row],[Capacity Approx]]*'[1]Load Factor Sheet June Acft  '!$D$5</f>
        <v>163.08818181818182</v>
      </c>
      <c r="T2830" s="22">
        <f>tblDailySchedule[[#This Row],[STD]]</f>
        <v>0.34722222222222221</v>
      </c>
    </row>
    <row r="2831" spans="1:20" hidden="1" x14ac:dyDescent="0.35">
      <c r="A2831" s="11">
        <v>46212</v>
      </c>
      <c r="B2831" s="3">
        <v>4</v>
      </c>
      <c r="C2831" t="s">
        <v>114</v>
      </c>
      <c r="D2831" t="s">
        <v>18</v>
      </c>
      <c r="E2831" s="3">
        <v>3</v>
      </c>
      <c r="F2831" t="s">
        <v>19</v>
      </c>
      <c r="G2831" t="s">
        <v>26</v>
      </c>
      <c r="H2831" t="s">
        <v>27</v>
      </c>
      <c r="I2831" s="12">
        <v>0.3263888888888889</v>
      </c>
      <c r="J2831" t="s">
        <v>28</v>
      </c>
      <c r="K2831" t="s">
        <v>27</v>
      </c>
      <c r="L2831" s="12">
        <v>0.35416666666666669</v>
      </c>
      <c r="M2831" t="s">
        <v>29</v>
      </c>
      <c r="N2831" s="3">
        <v>186</v>
      </c>
      <c r="O2831" t="s">
        <v>24</v>
      </c>
      <c r="P2831" t="s">
        <v>25</v>
      </c>
      <c r="R2831">
        <f>tblDailySchedule[[#This Row],[Capacity Approx]]*'[1]Load Factor Sheet June Acft  '!$B$5</f>
        <v>150.61772727272728</v>
      </c>
      <c r="S2831">
        <f>tblDailySchedule[[#This Row],[Capacity Approx]]*'[1]Load Factor Sheet June Acft  '!$D$5</f>
        <v>163.08818181818182</v>
      </c>
      <c r="T2831" s="22">
        <f>tblDailySchedule[[#This Row],[STD]]</f>
        <v>0.35416666666666669</v>
      </c>
    </row>
    <row r="2832" spans="1:20" hidden="1" x14ac:dyDescent="0.35">
      <c r="A2832" s="11">
        <v>46212</v>
      </c>
      <c r="B2832" s="3">
        <v>4</v>
      </c>
      <c r="C2832" t="s">
        <v>114</v>
      </c>
      <c r="D2832" t="s">
        <v>18</v>
      </c>
      <c r="E2832" s="3">
        <v>4</v>
      </c>
      <c r="F2832" t="s">
        <v>19</v>
      </c>
      <c r="G2832" t="s">
        <v>30</v>
      </c>
      <c r="H2832" t="s">
        <v>31</v>
      </c>
      <c r="I2832" s="12">
        <v>0.34722222222222221</v>
      </c>
      <c r="J2832" t="s">
        <v>32</v>
      </c>
      <c r="K2832" t="s">
        <v>31</v>
      </c>
      <c r="L2832" s="12">
        <v>0.36805555555555558</v>
      </c>
      <c r="M2832" t="s">
        <v>33</v>
      </c>
      <c r="N2832" s="3">
        <v>189</v>
      </c>
      <c r="O2832" t="s">
        <v>24</v>
      </c>
      <c r="P2832" t="s">
        <v>25</v>
      </c>
      <c r="R2832">
        <f>tblDailySchedule[[#This Row],[Capacity Approx]]*'[1]Load Factor Sheet June Acft  '!$B$5</f>
        <v>153.04704545454547</v>
      </c>
      <c r="S2832">
        <f>tblDailySchedule[[#This Row],[Capacity Approx]]*'[1]Load Factor Sheet June Acft  '!$D$5</f>
        <v>165.71863636363636</v>
      </c>
      <c r="T2832" s="22">
        <f>tblDailySchedule[[#This Row],[STD]]</f>
        <v>0.36805555555555558</v>
      </c>
    </row>
    <row r="2833" spans="1:20" hidden="1" x14ac:dyDescent="0.35">
      <c r="A2833" s="11">
        <v>46212</v>
      </c>
      <c r="B2833" s="3">
        <v>4</v>
      </c>
      <c r="C2833" t="s">
        <v>114</v>
      </c>
      <c r="D2833" t="s">
        <v>18</v>
      </c>
      <c r="E2833" s="3">
        <v>5</v>
      </c>
      <c r="F2833" t="s">
        <v>19</v>
      </c>
      <c r="G2833" t="s">
        <v>40</v>
      </c>
      <c r="H2833" t="s">
        <v>31</v>
      </c>
      <c r="I2833" s="12">
        <v>0.35069444444444442</v>
      </c>
      <c r="J2833" t="s">
        <v>41</v>
      </c>
      <c r="K2833" t="s">
        <v>31</v>
      </c>
      <c r="L2833" s="12">
        <v>0.37152777777777779</v>
      </c>
      <c r="M2833" t="s">
        <v>23</v>
      </c>
      <c r="N2833" s="3">
        <v>186</v>
      </c>
      <c r="O2833" t="s">
        <v>24</v>
      </c>
      <c r="P2833" t="s">
        <v>25</v>
      </c>
      <c r="R2833">
        <f>tblDailySchedule[[#This Row],[Capacity Approx]]*'[1]Load Factor Sheet June Acft  '!$B$5</f>
        <v>150.61772727272728</v>
      </c>
      <c r="S2833">
        <f>tblDailySchedule[[#This Row],[Capacity Approx]]*'[1]Load Factor Sheet June Acft  '!$D$5</f>
        <v>163.08818181818182</v>
      </c>
      <c r="T2833" s="22">
        <f>tblDailySchedule[[#This Row],[STD]]</f>
        <v>0.37152777777777779</v>
      </c>
    </row>
    <row r="2834" spans="1:20" hidden="1" x14ac:dyDescent="0.35">
      <c r="A2834" s="11">
        <v>46212</v>
      </c>
      <c r="B2834" s="3">
        <v>4</v>
      </c>
      <c r="C2834" t="s">
        <v>114</v>
      </c>
      <c r="D2834" t="s">
        <v>18</v>
      </c>
      <c r="E2834" s="3">
        <v>7</v>
      </c>
      <c r="F2834" t="s">
        <v>19</v>
      </c>
      <c r="G2834" t="s">
        <v>42</v>
      </c>
      <c r="H2834" t="s">
        <v>43</v>
      </c>
      <c r="I2834" s="12">
        <v>0.3923611111111111</v>
      </c>
      <c r="J2834" t="s">
        <v>44</v>
      </c>
      <c r="K2834" t="s">
        <v>43</v>
      </c>
      <c r="L2834" s="12">
        <v>0.40277777777777779</v>
      </c>
      <c r="M2834" t="s">
        <v>45</v>
      </c>
      <c r="N2834" s="3">
        <v>9</v>
      </c>
      <c r="O2834" t="s">
        <v>24</v>
      </c>
      <c r="P2834" t="s">
        <v>25</v>
      </c>
      <c r="R2834">
        <f>tblDailySchedule[[#This Row],[Capacity Approx]]*'[1]Load Factor Sheet June Acft  '!$B$5</f>
        <v>7.2879545454545456</v>
      </c>
      <c r="S2834">
        <f>tblDailySchedule[[#This Row],[Capacity Approx]]*'[1]Load Factor Sheet June Acft  '!$D$5</f>
        <v>7.8913636363636366</v>
      </c>
      <c r="T2834" s="22">
        <f>tblDailySchedule[[#This Row],[STD]]</f>
        <v>0.40277777777777779</v>
      </c>
    </row>
    <row r="2835" spans="1:20" hidden="1" x14ac:dyDescent="0.35">
      <c r="A2835" s="11">
        <v>46212</v>
      </c>
      <c r="B2835" s="3">
        <v>4</v>
      </c>
      <c r="C2835" t="s">
        <v>114</v>
      </c>
      <c r="D2835" t="s">
        <v>18</v>
      </c>
      <c r="E2835" s="3">
        <v>8</v>
      </c>
      <c r="F2835" t="s">
        <v>19</v>
      </c>
      <c r="G2835" t="s">
        <v>46</v>
      </c>
      <c r="H2835" t="s">
        <v>31</v>
      </c>
      <c r="I2835" s="12">
        <v>0.4201388888888889</v>
      </c>
      <c r="J2835" t="s">
        <v>47</v>
      </c>
      <c r="K2835" t="s">
        <v>31</v>
      </c>
      <c r="L2835" s="12">
        <v>0.44444444444444442</v>
      </c>
      <c r="M2835" t="s">
        <v>29</v>
      </c>
      <c r="N2835" s="3">
        <v>186</v>
      </c>
      <c r="O2835" t="s">
        <v>24</v>
      </c>
      <c r="P2835" t="s">
        <v>25</v>
      </c>
      <c r="R2835">
        <f>tblDailySchedule[[#This Row],[Capacity Approx]]*'[1]Load Factor Sheet June Acft  '!$B$5</f>
        <v>150.61772727272728</v>
      </c>
      <c r="S2835">
        <f>tblDailySchedule[[#This Row],[Capacity Approx]]*'[1]Load Factor Sheet June Acft  '!$D$5</f>
        <v>163.08818181818182</v>
      </c>
      <c r="T2835" s="22">
        <f>tblDailySchedule[[#This Row],[STD]]</f>
        <v>0.44444444444444442</v>
      </c>
    </row>
    <row r="2836" spans="1:20" hidden="1" x14ac:dyDescent="0.35">
      <c r="A2836" s="11">
        <v>46212</v>
      </c>
      <c r="B2836" s="3">
        <v>4</v>
      </c>
      <c r="C2836" t="s">
        <v>114</v>
      </c>
      <c r="D2836" t="s">
        <v>18</v>
      </c>
      <c r="E2836" s="3">
        <v>9</v>
      </c>
      <c r="F2836" t="s">
        <v>19</v>
      </c>
      <c r="G2836" t="s">
        <v>48</v>
      </c>
      <c r="H2836" t="s">
        <v>49</v>
      </c>
      <c r="I2836" s="12">
        <v>0.4375</v>
      </c>
      <c r="J2836" t="s">
        <v>50</v>
      </c>
      <c r="K2836" t="s">
        <v>49</v>
      </c>
      <c r="L2836" s="12">
        <v>0.45833333333333331</v>
      </c>
      <c r="M2836" t="s">
        <v>51</v>
      </c>
      <c r="N2836" s="3">
        <v>78</v>
      </c>
      <c r="O2836" t="s">
        <v>24</v>
      </c>
      <c r="P2836" t="s">
        <v>25</v>
      </c>
      <c r="R2836">
        <f>tblDailySchedule[[#This Row],[Capacity Approx]]*'[1]Load Factor Sheet June Acft  '!$B$5</f>
        <v>63.162272727272729</v>
      </c>
      <c r="S2836">
        <f>tblDailySchedule[[#This Row],[Capacity Approx]]*'[1]Load Factor Sheet June Acft  '!$D$5</f>
        <v>68.391818181818181</v>
      </c>
      <c r="T2836" s="22">
        <f>tblDailySchedule[[#This Row],[STD]]</f>
        <v>0.45833333333333331</v>
      </c>
    </row>
    <row r="2837" spans="1:20" hidden="1" x14ac:dyDescent="0.35">
      <c r="A2837" s="11">
        <v>46212</v>
      </c>
      <c r="B2837" s="3">
        <v>4</v>
      </c>
      <c r="C2837" t="s">
        <v>114</v>
      </c>
      <c r="D2837" t="s">
        <v>18</v>
      </c>
      <c r="E2837" s="3">
        <v>10</v>
      </c>
      <c r="F2837" t="s">
        <v>19</v>
      </c>
      <c r="G2837" t="s">
        <v>52</v>
      </c>
      <c r="H2837" t="s">
        <v>27</v>
      </c>
      <c r="I2837" s="12">
        <v>0.4826388888888889</v>
      </c>
      <c r="J2837" t="s">
        <v>53</v>
      </c>
      <c r="K2837" t="s">
        <v>27</v>
      </c>
      <c r="L2837" s="12">
        <v>0.51041666666666663</v>
      </c>
      <c r="M2837" t="s">
        <v>23</v>
      </c>
      <c r="N2837" s="3">
        <v>186</v>
      </c>
      <c r="O2837" t="s">
        <v>24</v>
      </c>
      <c r="P2837" t="s">
        <v>25</v>
      </c>
      <c r="R2837">
        <f>tblDailySchedule[[#This Row],[Capacity Approx]]*'[1]Load Factor Sheet June Acft  '!$B$5</f>
        <v>150.61772727272728</v>
      </c>
      <c r="S2837">
        <f>tblDailySchedule[[#This Row],[Capacity Approx]]*'[1]Load Factor Sheet June Acft  '!$D$5</f>
        <v>163.08818181818182</v>
      </c>
      <c r="T2837" s="22">
        <f>tblDailySchedule[[#This Row],[STD]]</f>
        <v>0.51041666666666663</v>
      </c>
    </row>
    <row r="2838" spans="1:20" hidden="1" x14ac:dyDescent="0.35">
      <c r="A2838" s="11">
        <v>46212</v>
      </c>
      <c r="B2838" s="3">
        <v>4</v>
      </c>
      <c r="C2838" t="s">
        <v>114</v>
      </c>
      <c r="D2838" t="s">
        <v>18</v>
      </c>
      <c r="E2838" s="3">
        <v>11</v>
      </c>
      <c r="F2838" t="s">
        <v>19</v>
      </c>
      <c r="G2838" t="s">
        <v>54</v>
      </c>
      <c r="H2838" t="s">
        <v>31</v>
      </c>
      <c r="I2838" s="12">
        <v>0.51388888888888884</v>
      </c>
      <c r="J2838" t="s">
        <v>55</v>
      </c>
      <c r="K2838" t="s">
        <v>31</v>
      </c>
      <c r="L2838" s="12">
        <v>0.54166666666666663</v>
      </c>
      <c r="M2838" t="s">
        <v>23</v>
      </c>
      <c r="N2838" s="3">
        <v>186</v>
      </c>
      <c r="O2838" t="s">
        <v>24</v>
      </c>
      <c r="P2838" t="s">
        <v>56</v>
      </c>
      <c r="R2838">
        <f>tblDailySchedule[[#This Row],[Capacity Approx]]*'[1]Load Factor Sheet June Acft  '!$B$5</f>
        <v>150.61772727272728</v>
      </c>
      <c r="S2838">
        <f>tblDailySchedule[[#This Row],[Capacity Approx]]*'[1]Load Factor Sheet June Acft  '!$D$5</f>
        <v>163.08818181818182</v>
      </c>
      <c r="T2838" s="22">
        <f>tblDailySchedule[[#This Row],[STD]]</f>
        <v>0.54166666666666663</v>
      </c>
    </row>
    <row r="2839" spans="1:20" hidden="1" x14ac:dyDescent="0.35">
      <c r="A2839" s="11">
        <v>46212</v>
      </c>
      <c r="B2839" s="3">
        <v>4</v>
      </c>
      <c r="C2839" t="s">
        <v>114</v>
      </c>
      <c r="D2839" t="s">
        <v>18</v>
      </c>
      <c r="E2839" s="3">
        <v>12</v>
      </c>
      <c r="F2839" t="s">
        <v>109</v>
      </c>
      <c r="G2839" t="s">
        <v>110</v>
      </c>
      <c r="H2839" t="s">
        <v>111</v>
      </c>
      <c r="I2839" s="12">
        <v>0.55555555555555558</v>
      </c>
      <c r="J2839" t="s">
        <v>112</v>
      </c>
      <c r="K2839" t="s">
        <v>111</v>
      </c>
      <c r="L2839" s="12">
        <v>0.56944444444444442</v>
      </c>
      <c r="M2839" t="s">
        <v>51</v>
      </c>
      <c r="N2839" s="3">
        <v>78</v>
      </c>
      <c r="O2839" t="s">
        <v>24</v>
      </c>
      <c r="P2839" t="s">
        <v>56</v>
      </c>
      <c r="R2839">
        <f>tblDailySchedule[[#This Row],[Capacity Approx]]*'[1]Load Factor Sheet June Acft  '!$B$5</f>
        <v>63.162272727272729</v>
      </c>
      <c r="S2839">
        <f>tblDailySchedule[[#This Row],[Capacity Approx]]*'[1]Load Factor Sheet June Acft  '!$D$5</f>
        <v>68.391818181818181</v>
      </c>
      <c r="T2839" s="22">
        <f>tblDailySchedule[[#This Row],[STD]]</f>
        <v>0.56944444444444442</v>
      </c>
    </row>
    <row r="2840" spans="1:20" hidden="1" x14ac:dyDescent="0.35">
      <c r="A2840" s="11">
        <v>46212</v>
      </c>
      <c r="B2840" s="3">
        <v>4</v>
      </c>
      <c r="C2840" t="s">
        <v>114</v>
      </c>
      <c r="D2840" t="s">
        <v>18</v>
      </c>
      <c r="E2840" s="3">
        <v>13</v>
      </c>
      <c r="F2840" t="s">
        <v>19</v>
      </c>
      <c r="G2840" t="s">
        <v>57</v>
      </c>
      <c r="H2840" t="s">
        <v>58</v>
      </c>
      <c r="I2840" s="12">
        <v>0.55902777777777779</v>
      </c>
      <c r="J2840" t="s">
        <v>59</v>
      </c>
      <c r="K2840" t="s">
        <v>58</v>
      </c>
      <c r="L2840" s="12">
        <v>0.57638888888888884</v>
      </c>
      <c r="M2840" t="s">
        <v>51</v>
      </c>
      <c r="N2840" s="3">
        <v>78</v>
      </c>
      <c r="O2840" t="s">
        <v>24</v>
      </c>
      <c r="P2840" t="s">
        <v>56</v>
      </c>
      <c r="R2840">
        <f>tblDailySchedule[[#This Row],[Capacity Approx]]*'[1]Load Factor Sheet June Acft  '!$B$5</f>
        <v>63.162272727272729</v>
      </c>
      <c r="S2840">
        <f>tblDailySchedule[[#This Row],[Capacity Approx]]*'[1]Load Factor Sheet June Acft  '!$D$5</f>
        <v>68.391818181818181</v>
      </c>
      <c r="T2840" s="22">
        <f>tblDailySchedule[[#This Row],[STD]]</f>
        <v>0.57638888888888884</v>
      </c>
    </row>
    <row r="2841" spans="1:20" hidden="1" x14ac:dyDescent="0.35">
      <c r="A2841" s="11">
        <v>46212</v>
      </c>
      <c r="B2841" s="3">
        <v>4</v>
      </c>
      <c r="C2841" t="s">
        <v>114</v>
      </c>
      <c r="D2841" t="s">
        <v>18</v>
      </c>
      <c r="E2841" s="3">
        <v>14</v>
      </c>
      <c r="F2841" t="s">
        <v>19</v>
      </c>
      <c r="G2841" t="s">
        <v>60</v>
      </c>
      <c r="H2841" t="s">
        <v>61</v>
      </c>
      <c r="I2841" s="12">
        <v>0.59027777777777779</v>
      </c>
      <c r="J2841" t="s">
        <v>62</v>
      </c>
      <c r="K2841" t="s">
        <v>61</v>
      </c>
      <c r="L2841" s="12">
        <v>0.62152777777777779</v>
      </c>
      <c r="M2841" t="s">
        <v>63</v>
      </c>
      <c r="N2841" s="3">
        <v>232</v>
      </c>
      <c r="O2841" t="s">
        <v>24</v>
      </c>
      <c r="P2841" t="s">
        <v>56</v>
      </c>
      <c r="R2841">
        <f>tblDailySchedule[[#This Row],[Capacity Approx]]*'[1]Load Factor Sheet June Acft  '!$B$5</f>
        <v>187.86727272727273</v>
      </c>
      <c r="S2841">
        <f>tblDailySchedule[[#This Row],[Capacity Approx]]*'[1]Load Factor Sheet June Acft  '!$D$5</f>
        <v>203.4218181818182</v>
      </c>
      <c r="T2841" s="22">
        <f>tblDailySchedule[[#This Row],[STD]]</f>
        <v>0.62152777777777779</v>
      </c>
    </row>
    <row r="2842" spans="1:20" hidden="1" x14ac:dyDescent="0.35">
      <c r="A2842" s="11">
        <v>46212</v>
      </c>
      <c r="B2842" s="3">
        <v>4</v>
      </c>
      <c r="C2842" t="s">
        <v>114</v>
      </c>
      <c r="D2842" t="s">
        <v>18</v>
      </c>
      <c r="E2842" s="3">
        <v>15</v>
      </c>
      <c r="F2842" t="s">
        <v>19</v>
      </c>
      <c r="G2842" t="s">
        <v>64</v>
      </c>
      <c r="H2842" t="s">
        <v>31</v>
      </c>
      <c r="I2842" s="12">
        <v>0.60069444444444442</v>
      </c>
      <c r="J2842" t="s">
        <v>65</v>
      </c>
      <c r="K2842" t="s">
        <v>66</v>
      </c>
      <c r="L2842" s="12">
        <v>0.62847222222222221</v>
      </c>
      <c r="M2842" t="s">
        <v>63</v>
      </c>
      <c r="N2842" s="3">
        <v>232</v>
      </c>
      <c r="O2842" t="s">
        <v>24</v>
      </c>
      <c r="P2842" t="s">
        <v>56</v>
      </c>
      <c r="R2842">
        <f>tblDailySchedule[[#This Row],[Capacity Approx]]*'[1]Load Factor Sheet June Acft  '!$B$5</f>
        <v>187.86727272727273</v>
      </c>
      <c r="S2842">
        <f>tblDailySchedule[[#This Row],[Capacity Approx]]*'[1]Load Factor Sheet June Acft  '!$D$5</f>
        <v>203.4218181818182</v>
      </c>
      <c r="T2842" s="22">
        <f>tblDailySchedule[[#This Row],[STD]]</f>
        <v>0.62847222222222221</v>
      </c>
    </row>
    <row r="2843" spans="1:20" hidden="1" x14ac:dyDescent="0.35">
      <c r="A2843" s="11">
        <v>46212</v>
      </c>
      <c r="B2843" s="3">
        <v>4</v>
      </c>
      <c r="C2843" t="s">
        <v>114</v>
      </c>
      <c r="D2843" t="s">
        <v>18</v>
      </c>
      <c r="E2843" s="3">
        <v>16</v>
      </c>
      <c r="F2843" t="s">
        <v>19</v>
      </c>
      <c r="G2843" t="s">
        <v>67</v>
      </c>
      <c r="H2843" t="s">
        <v>31</v>
      </c>
      <c r="I2843" s="12">
        <v>0.65625</v>
      </c>
      <c r="J2843" t="s">
        <v>68</v>
      </c>
      <c r="K2843" t="s">
        <v>31</v>
      </c>
      <c r="L2843" s="12">
        <v>0.68402777777777779</v>
      </c>
      <c r="M2843" t="s">
        <v>63</v>
      </c>
      <c r="N2843" s="3">
        <v>232</v>
      </c>
      <c r="O2843" t="s">
        <v>24</v>
      </c>
      <c r="P2843" t="s">
        <v>56</v>
      </c>
      <c r="R2843">
        <f>tblDailySchedule[[#This Row],[Capacity Approx]]*'[1]Load Factor Sheet June Acft  '!$B$5</f>
        <v>187.86727272727273</v>
      </c>
      <c r="S2843">
        <f>tblDailySchedule[[#This Row],[Capacity Approx]]*'[1]Load Factor Sheet June Acft  '!$D$5</f>
        <v>203.4218181818182</v>
      </c>
      <c r="T2843" s="22">
        <f>tblDailySchedule[[#This Row],[STD]]</f>
        <v>0.68402777777777779</v>
      </c>
    </row>
    <row r="2844" spans="1:20" hidden="1" x14ac:dyDescent="0.35">
      <c r="A2844" s="11">
        <v>46212</v>
      </c>
      <c r="B2844" s="3">
        <v>4</v>
      </c>
      <c r="C2844" t="s">
        <v>114</v>
      </c>
      <c r="D2844" t="s">
        <v>18</v>
      </c>
      <c r="E2844" s="3">
        <v>17</v>
      </c>
      <c r="F2844" t="s">
        <v>19</v>
      </c>
      <c r="G2844" t="s">
        <v>69</v>
      </c>
      <c r="H2844" t="s">
        <v>31</v>
      </c>
      <c r="I2844" s="12">
        <v>0.66319444444444442</v>
      </c>
      <c r="J2844" t="s">
        <v>70</v>
      </c>
      <c r="K2844" t="s">
        <v>31</v>
      </c>
      <c r="L2844" s="12">
        <v>0.69097222222222221</v>
      </c>
      <c r="M2844" t="s">
        <v>33</v>
      </c>
      <c r="N2844" s="3">
        <v>189</v>
      </c>
      <c r="O2844" t="s">
        <v>24</v>
      </c>
      <c r="P2844" t="s">
        <v>56</v>
      </c>
      <c r="R2844">
        <f>tblDailySchedule[[#This Row],[Capacity Approx]]*'[1]Load Factor Sheet June Acft  '!$B$5</f>
        <v>153.04704545454547</v>
      </c>
      <c r="S2844">
        <f>tblDailySchedule[[#This Row],[Capacity Approx]]*'[1]Load Factor Sheet June Acft  '!$D$5</f>
        <v>165.71863636363636</v>
      </c>
      <c r="T2844" s="22">
        <f>tblDailySchedule[[#This Row],[STD]]</f>
        <v>0.69097222222222221</v>
      </c>
    </row>
    <row r="2845" spans="1:20" hidden="1" x14ac:dyDescent="0.35">
      <c r="A2845" s="11">
        <v>46212</v>
      </c>
      <c r="B2845" s="3">
        <v>4</v>
      </c>
      <c r="C2845" t="s">
        <v>114</v>
      </c>
      <c r="D2845" t="s">
        <v>18</v>
      </c>
      <c r="E2845" s="3">
        <v>18</v>
      </c>
      <c r="F2845" t="s">
        <v>19</v>
      </c>
      <c r="G2845" t="s">
        <v>71</v>
      </c>
      <c r="H2845" t="s">
        <v>21</v>
      </c>
      <c r="I2845" s="12">
        <v>0.67013888888888884</v>
      </c>
      <c r="J2845" t="s">
        <v>72</v>
      </c>
      <c r="K2845" t="s">
        <v>21</v>
      </c>
      <c r="L2845" s="12">
        <v>0.69791666666666663</v>
      </c>
      <c r="M2845" t="s">
        <v>63</v>
      </c>
      <c r="N2845" s="3">
        <v>232</v>
      </c>
      <c r="O2845" t="s">
        <v>24</v>
      </c>
      <c r="P2845" t="s">
        <v>56</v>
      </c>
      <c r="R2845">
        <f>tblDailySchedule[[#This Row],[Capacity Approx]]*'[1]Load Factor Sheet June Acft  '!$B$5</f>
        <v>187.86727272727273</v>
      </c>
      <c r="S2845">
        <f>tblDailySchedule[[#This Row],[Capacity Approx]]*'[1]Load Factor Sheet June Acft  '!$D$5</f>
        <v>203.4218181818182</v>
      </c>
      <c r="T2845" s="22">
        <f>tblDailySchedule[[#This Row],[STD]]</f>
        <v>0.69791666666666663</v>
      </c>
    </row>
    <row r="2846" spans="1:20" hidden="1" x14ac:dyDescent="0.35">
      <c r="A2846" s="11">
        <v>46212</v>
      </c>
      <c r="B2846" s="3">
        <v>4</v>
      </c>
      <c r="C2846" t="s">
        <v>114</v>
      </c>
      <c r="D2846" t="s">
        <v>18</v>
      </c>
      <c r="E2846" s="3">
        <v>19</v>
      </c>
      <c r="F2846" t="s">
        <v>19</v>
      </c>
      <c r="G2846" t="s">
        <v>73</v>
      </c>
      <c r="H2846" t="s">
        <v>27</v>
      </c>
      <c r="I2846" s="12">
        <v>0.74652777777777779</v>
      </c>
      <c r="J2846" t="s">
        <v>74</v>
      </c>
      <c r="K2846" t="s">
        <v>27</v>
      </c>
      <c r="L2846" s="12">
        <v>0.77430555555555558</v>
      </c>
      <c r="M2846" t="s">
        <v>63</v>
      </c>
      <c r="N2846" s="3">
        <v>232</v>
      </c>
      <c r="O2846" t="s">
        <v>24</v>
      </c>
      <c r="P2846" t="s">
        <v>56</v>
      </c>
      <c r="R2846">
        <f>tblDailySchedule[[#This Row],[Capacity Approx]]*'[1]Load Factor Sheet June Acft  '!$B$5</f>
        <v>187.86727272727273</v>
      </c>
      <c r="S2846">
        <f>tblDailySchedule[[#This Row],[Capacity Approx]]*'[1]Load Factor Sheet June Acft  '!$D$5</f>
        <v>203.4218181818182</v>
      </c>
      <c r="T2846" s="22">
        <f>tblDailySchedule[[#This Row],[STD]]</f>
        <v>0.77430555555555558</v>
      </c>
    </row>
    <row r="2847" spans="1:20" hidden="1" x14ac:dyDescent="0.35">
      <c r="A2847" s="11">
        <v>46212</v>
      </c>
      <c r="B2847" s="3">
        <v>4</v>
      </c>
      <c r="C2847" t="s">
        <v>114</v>
      </c>
      <c r="D2847" t="s">
        <v>18</v>
      </c>
      <c r="E2847" s="3">
        <v>21</v>
      </c>
      <c r="F2847" t="s">
        <v>19</v>
      </c>
      <c r="G2847" t="s">
        <v>81</v>
      </c>
      <c r="H2847" t="s">
        <v>61</v>
      </c>
      <c r="I2847" s="12">
        <v>0.77083333333333337</v>
      </c>
      <c r="J2847" t="s">
        <v>82</v>
      </c>
      <c r="K2847" t="s">
        <v>49</v>
      </c>
      <c r="L2847" s="12">
        <v>0.79166666666666663</v>
      </c>
      <c r="M2847" t="s">
        <v>33</v>
      </c>
      <c r="N2847" s="3">
        <v>189</v>
      </c>
      <c r="O2847" t="s">
        <v>24</v>
      </c>
      <c r="P2847" t="s">
        <v>79</v>
      </c>
      <c r="R2847">
        <f>tblDailySchedule[[#This Row],[Capacity Approx]]*'[1]Load Factor Sheet June Acft  '!$B$5</f>
        <v>153.04704545454547</v>
      </c>
      <c r="S2847">
        <f>tblDailySchedule[[#This Row],[Capacity Approx]]*'[1]Load Factor Sheet June Acft  '!$D$5</f>
        <v>165.71863636363636</v>
      </c>
      <c r="T2847" s="22">
        <f>tblDailySchedule[[#This Row],[STD]]</f>
        <v>0.79166666666666663</v>
      </c>
    </row>
    <row r="2848" spans="1:20" hidden="1" x14ac:dyDescent="0.35">
      <c r="A2848" s="11">
        <v>46212</v>
      </c>
      <c r="B2848" s="3">
        <v>4</v>
      </c>
      <c r="C2848" t="s">
        <v>114</v>
      </c>
      <c r="D2848" t="s">
        <v>18</v>
      </c>
      <c r="E2848" s="3">
        <v>22</v>
      </c>
      <c r="F2848" t="s">
        <v>19</v>
      </c>
      <c r="G2848" t="s">
        <v>83</v>
      </c>
      <c r="H2848" t="s">
        <v>31</v>
      </c>
      <c r="I2848" s="12">
        <v>0.77777777777777779</v>
      </c>
      <c r="J2848" t="s">
        <v>84</v>
      </c>
      <c r="K2848" t="s">
        <v>31</v>
      </c>
      <c r="L2848" s="12">
        <v>0.80555555555555558</v>
      </c>
      <c r="M2848" t="s">
        <v>63</v>
      </c>
      <c r="N2848" s="3">
        <v>232</v>
      </c>
      <c r="O2848" t="s">
        <v>24</v>
      </c>
      <c r="P2848" t="s">
        <v>79</v>
      </c>
      <c r="R2848">
        <f>tblDailySchedule[[#This Row],[Capacity Approx]]*'[1]Load Factor Sheet June Acft  '!$B$5</f>
        <v>187.86727272727273</v>
      </c>
      <c r="S2848">
        <f>tblDailySchedule[[#This Row],[Capacity Approx]]*'[1]Load Factor Sheet June Acft  '!$D$5</f>
        <v>203.4218181818182</v>
      </c>
      <c r="T2848" s="22">
        <f>tblDailySchedule[[#This Row],[STD]]</f>
        <v>0.80555555555555558</v>
      </c>
    </row>
    <row r="2849" spans="1:20" hidden="1" x14ac:dyDescent="0.35">
      <c r="A2849" s="11">
        <v>46212</v>
      </c>
      <c r="B2849" s="3">
        <v>4</v>
      </c>
      <c r="C2849" t="s">
        <v>114</v>
      </c>
      <c r="D2849" t="s">
        <v>18</v>
      </c>
      <c r="E2849" s="3">
        <v>23</v>
      </c>
      <c r="F2849" t="s">
        <v>19</v>
      </c>
      <c r="G2849" t="s">
        <v>85</v>
      </c>
      <c r="H2849" t="s">
        <v>86</v>
      </c>
      <c r="I2849" s="12">
        <v>0.79861111111111116</v>
      </c>
      <c r="J2849" t="s">
        <v>87</v>
      </c>
      <c r="K2849" t="s">
        <v>86</v>
      </c>
      <c r="L2849" s="12">
        <v>0.82638888888888884</v>
      </c>
      <c r="M2849" t="s">
        <v>63</v>
      </c>
      <c r="N2849" s="3">
        <v>232</v>
      </c>
      <c r="O2849" t="s">
        <v>24</v>
      </c>
      <c r="P2849" t="s">
        <v>79</v>
      </c>
      <c r="R2849">
        <f>tblDailySchedule[[#This Row],[Capacity Approx]]*'[1]Load Factor Sheet June Acft  '!$B$5</f>
        <v>187.86727272727273</v>
      </c>
      <c r="S2849">
        <f>tblDailySchedule[[#This Row],[Capacity Approx]]*'[1]Load Factor Sheet June Acft  '!$D$5</f>
        <v>203.4218181818182</v>
      </c>
      <c r="T2849" s="22">
        <f>tblDailySchedule[[#This Row],[STD]]</f>
        <v>0.82638888888888884</v>
      </c>
    </row>
    <row r="2850" spans="1:20" hidden="1" x14ac:dyDescent="0.35">
      <c r="A2850" s="11">
        <v>46212</v>
      </c>
      <c r="B2850" s="3">
        <v>4</v>
      </c>
      <c r="C2850" t="s">
        <v>114</v>
      </c>
      <c r="D2850" t="s">
        <v>18</v>
      </c>
      <c r="E2850" s="3">
        <v>24</v>
      </c>
      <c r="F2850" t="s">
        <v>19</v>
      </c>
      <c r="G2850" t="s">
        <v>88</v>
      </c>
      <c r="H2850" t="s">
        <v>89</v>
      </c>
      <c r="I2850" s="12">
        <v>0.83333333333333337</v>
      </c>
      <c r="J2850" t="s">
        <v>90</v>
      </c>
      <c r="K2850" t="s">
        <v>31</v>
      </c>
      <c r="L2850" s="12">
        <v>0.86111111111111116</v>
      </c>
      <c r="M2850" t="s">
        <v>63</v>
      </c>
      <c r="N2850" s="3">
        <v>232</v>
      </c>
      <c r="O2850" t="s">
        <v>24</v>
      </c>
      <c r="P2850" t="s">
        <v>79</v>
      </c>
      <c r="R2850">
        <f>tblDailySchedule[[#This Row],[Capacity Approx]]*'[1]Load Factor Sheet June Acft  '!$B$5</f>
        <v>187.86727272727273</v>
      </c>
      <c r="S2850">
        <f>tblDailySchedule[[#This Row],[Capacity Approx]]*'[1]Load Factor Sheet June Acft  '!$D$5</f>
        <v>203.4218181818182</v>
      </c>
      <c r="T2850" s="22">
        <f>tblDailySchedule[[#This Row],[STD]]</f>
        <v>0.86111111111111116</v>
      </c>
    </row>
    <row r="2851" spans="1:20" hidden="1" x14ac:dyDescent="0.35">
      <c r="A2851" s="11">
        <v>46212</v>
      </c>
      <c r="B2851" s="3">
        <v>4</v>
      </c>
      <c r="C2851" t="s">
        <v>114</v>
      </c>
      <c r="D2851" t="s">
        <v>18</v>
      </c>
      <c r="E2851" s="3">
        <v>25</v>
      </c>
      <c r="F2851" t="s">
        <v>19</v>
      </c>
      <c r="G2851" t="s">
        <v>91</v>
      </c>
      <c r="H2851" t="s">
        <v>61</v>
      </c>
      <c r="I2851" s="12">
        <v>0.85416666666666663</v>
      </c>
      <c r="J2851" t="s">
        <v>92</v>
      </c>
      <c r="K2851" t="s">
        <v>61</v>
      </c>
      <c r="L2851" s="12">
        <v>0.88194444444444442</v>
      </c>
      <c r="M2851" t="s">
        <v>63</v>
      </c>
      <c r="N2851" s="3">
        <v>232</v>
      </c>
      <c r="O2851" t="s">
        <v>24</v>
      </c>
      <c r="P2851" t="s">
        <v>79</v>
      </c>
      <c r="R2851">
        <f>tblDailySchedule[[#This Row],[Capacity Approx]]*'[1]Load Factor Sheet June Acft  '!$B$5</f>
        <v>187.86727272727273</v>
      </c>
      <c r="S2851">
        <f>tblDailySchedule[[#This Row],[Capacity Approx]]*'[1]Load Factor Sheet June Acft  '!$D$5</f>
        <v>203.4218181818182</v>
      </c>
      <c r="T2851" s="22">
        <f>tblDailySchedule[[#This Row],[STD]]</f>
        <v>0.88194444444444442</v>
      </c>
    </row>
    <row r="2852" spans="1:20" hidden="1" x14ac:dyDescent="0.35">
      <c r="A2852" s="11">
        <v>46212</v>
      </c>
      <c r="B2852" s="3">
        <v>4</v>
      </c>
      <c r="C2852" t="s">
        <v>114</v>
      </c>
      <c r="D2852" t="s">
        <v>18</v>
      </c>
      <c r="E2852" s="3">
        <v>26</v>
      </c>
      <c r="F2852" t="s">
        <v>19</v>
      </c>
      <c r="G2852" t="s">
        <v>93</v>
      </c>
      <c r="H2852" t="s">
        <v>31</v>
      </c>
      <c r="I2852" s="12">
        <v>0.86111111111111116</v>
      </c>
      <c r="J2852" t="s">
        <v>94</v>
      </c>
      <c r="K2852" t="s">
        <v>31</v>
      </c>
      <c r="L2852" s="12">
        <v>0.88888888888888884</v>
      </c>
      <c r="M2852" t="s">
        <v>23</v>
      </c>
      <c r="N2852" s="3">
        <v>186</v>
      </c>
      <c r="O2852" t="s">
        <v>24</v>
      </c>
      <c r="P2852" t="s">
        <v>79</v>
      </c>
      <c r="R2852">
        <f>tblDailySchedule[[#This Row],[Capacity Approx]]*'[1]Load Factor Sheet June Acft  '!$B$5</f>
        <v>150.61772727272728</v>
      </c>
      <c r="S2852">
        <f>tblDailySchedule[[#This Row],[Capacity Approx]]*'[1]Load Factor Sheet June Acft  '!$D$5</f>
        <v>163.08818181818182</v>
      </c>
      <c r="T2852" s="22">
        <f>tblDailySchedule[[#This Row],[STD]]</f>
        <v>0.88888888888888884</v>
      </c>
    </row>
    <row r="2853" spans="1:20" hidden="1" x14ac:dyDescent="0.35">
      <c r="A2853" s="11">
        <v>46212</v>
      </c>
      <c r="B2853" s="3">
        <v>4</v>
      </c>
      <c r="C2853" t="s">
        <v>114</v>
      </c>
      <c r="D2853" t="s">
        <v>18</v>
      </c>
      <c r="E2853" s="3">
        <v>27</v>
      </c>
      <c r="F2853" t="s">
        <v>19</v>
      </c>
      <c r="G2853" t="s">
        <v>95</v>
      </c>
      <c r="H2853" t="s">
        <v>21</v>
      </c>
      <c r="I2853" s="12">
        <v>0.86805555555555558</v>
      </c>
      <c r="J2853" t="s">
        <v>96</v>
      </c>
      <c r="K2853" t="s">
        <v>21</v>
      </c>
      <c r="L2853" s="12">
        <v>0.89583333333333337</v>
      </c>
      <c r="M2853" t="s">
        <v>29</v>
      </c>
      <c r="N2853" s="3">
        <v>186</v>
      </c>
      <c r="O2853" t="s">
        <v>24</v>
      </c>
      <c r="P2853" t="s">
        <v>79</v>
      </c>
      <c r="R2853">
        <f>tblDailySchedule[[#This Row],[Capacity Approx]]*'[1]Load Factor Sheet June Acft  '!$B$5</f>
        <v>150.61772727272728</v>
      </c>
      <c r="S2853">
        <f>tblDailySchedule[[#This Row],[Capacity Approx]]*'[1]Load Factor Sheet June Acft  '!$D$5</f>
        <v>163.08818181818182</v>
      </c>
      <c r="T2853" s="22">
        <f>tblDailySchedule[[#This Row],[STD]]</f>
        <v>0.89583333333333337</v>
      </c>
    </row>
    <row r="2854" spans="1:20" hidden="1" x14ac:dyDescent="0.35">
      <c r="A2854" s="11">
        <v>46212</v>
      </c>
      <c r="B2854" s="3">
        <v>4</v>
      </c>
      <c r="C2854" t="s">
        <v>114</v>
      </c>
      <c r="D2854" t="s">
        <v>18</v>
      </c>
      <c r="E2854" s="3">
        <v>28</v>
      </c>
      <c r="F2854" t="s">
        <v>19</v>
      </c>
      <c r="G2854" t="s">
        <v>97</v>
      </c>
      <c r="H2854" t="s">
        <v>49</v>
      </c>
      <c r="I2854" s="12">
        <v>0.90277777777777779</v>
      </c>
      <c r="J2854" t="s">
        <v>97</v>
      </c>
      <c r="K2854" t="s">
        <v>61</v>
      </c>
      <c r="L2854" s="12">
        <v>0.92361111111111116</v>
      </c>
      <c r="M2854" t="s">
        <v>33</v>
      </c>
      <c r="N2854" s="3">
        <v>189</v>
      </c>
      <c r="O2854" t="s">
        <v>24</v>
      </c>
      <c r="P2854" t="s">
        <v>79</v>
      </c>
      <c r="R2854">
        <f>tblDailySchedule[[#This Row],[Capacity Approx]]*'[1]Load Factor Sheet June Acft  '!$B$5</f>
        <v>153.04704545454547</v>
      </c>
      <c r="S2854">
        <f>tblDailySchedule[[#This Row],[Capacity Approx]]*'[1]Load Factor Sheet June Acft  '!$D$5</f>
        <v>165.71863636363636</v>
      </c>
      <c r="T2854" s="22">
        <f>tblDailySchedule[[#This Row],[STD]]</f>
        <v>0.92361111111111116</v>
      </c>
    </row>
    <row r="2855" spans="1:20" hidden="1" x14ac:dyDescent="0.35">
      <c r="A2855" s="11">
        <v>46212</v>
      </c>
      <c r="B2855" s="3">
        <v>4</v>
      </c>
      <c r="C2855" t="s">
        <v>114</v>
      </c>
      <c r="D2855" t="s">
        <v>18</v>
      </c>
      <c r="E2855" s="3">
        <v>29</v>
      </c>
      <c r="F2855" t="s">
        <v>19</v>
      </c>
      <c r="G2855" t="s">
        <v>98</v>
      </c>
      <c r="H2855" t="s">
        <v>21</v>
      </c>
      <c r="I2855" s="12">
        <v>0.92013888888888884</v>
      </c>
      <c r="J2855" t="s">
        <v>99</v>
      </c>
      <c r="K2855" t="s">
        <v>21</v>
      </c>
      <c r="L2855" s="12">
        <v>0.94791666666666663</v>
      </c>
      <c r="M2855" t="s">
        <v>63</v>
      </c>
      <c r="N2855" s="3">
        <v>232</v>
      </c>
      <c r="O2855" t="s">
        <v>24</v>
      </c>
      <c r="P2855" t="s">
        <v>79</v>
      </c>
      <c r="R2855">
        <f>tblDailySchedule[[#This Row],[Capacity Approx]]*'[1]Load Factor Sheet June Acft  '!$B$5</f>
        <v>187.86727272727273</v>
      </c>
      <c r="S2855">
        <f>tblDailySchedule[[#This Row],[Capacity Approx]]*'[1]Load Factor Sheet June Acft  '!$D$5</f>
        <v>203.4218181818182</v>
      </c>
      <c r="T2855" s="22">
        <f>tblDailySchedule[[#This Row],[STD]]</f>
        <v>0.94791666666666663</v>
      </c>
    </row>
    <row r="2856" spans="1:20" hidden="1" x14ac:dyDescent="0.35">
      <c r="A2856" s="11">
        <v>46213</v>
      </c>
      <c r="B2856" s="3">
        <v>5</v>
      </c>
      <c r="C2856" t="s">
        <v>115</v>
      </c>
      <c r="D2856" t="s">
        <v>18</v>
      </c>
      <c r="E2856" s="3">
        <v>2</v>
      </c>
      <c r="F2856" t="s">
        <v>19</v>
      </c>
      <c r="G2856" t="s">
        <v>20</v>
      </c>
      <c r="H2856" t="s">
        <v>21</v>
      </c>
      <c r="I2856" s="12">
        <v>0.31944444444444442</v>
      </c>
      <c r="J2856" t="s">
        <v>22</v>
      </c>
      <c r="K2856" t="s">
        <v>21</v>
      </c>
      <c r="L2856" s="12">
        <v>0.34722222222222221</v>
      </c>
      <c r="M2856" t="s">
        <v>23</v>
      </c>
      <c r="N2856" s="3">
        <v>186</v>
      </c>
      <c r="O2856" t="s">
        <v>24</v>
      </c>
      <c r="P2856" t="s">
        <v>25</v>
      </c>
      <c r="R2856">
        <f>tblDailySchedule[[#This Row],[Capacity Approx]]*'[1]Load Factor Sheet June Acft  '!$B$5</f>
        <v>150.61772727272728</v>
      </c>
      <c r="S2856">
        <f>tblDailySchedule[[#This Row],[Capacity Approx]]*'[1]Load Factor Sheet June Acft  '!$D$5</f>
        <v>163.08818181818182</v>
      </c>
      <c r="T2856" s="22">
        <f>tblDailySchedule[[#This Row],[STD]]</f>
        <v>0.34722222222222221</v>
      </c>
    </row>
    <row r="2857" spans="1:20" hidden="1" x14ac:dyDescent="0.35">
      <c r="A2857" s="11">
        <v>46213</v>
      </c>
      <c r="B2857" s="3">
        <v>5</v>
      </c>
      <c r="C2857" t="s">
        <v>115</v>
      </c>
      <c r="D2857" t="s">
        <v>18</v>
      </c>
      <c r="E2857" s="3">
        <v>3</v>
      </c>
      <c r="F2857" t="s">
        <v>19</v>
      </c>
      <c r="G2857" t="s">
        <v>26</v>
      </c>
      <c r="H2857" t="s">
        <v>27</v>
      </c>
      <c r="I2857" s="12">
        <v>0.3263888888888889</v>
      </c>
      <c r="J2857" t="s">
        <v>28</v>
      </c>
      <c r="K2857" t="s">
        <v>27</v>
      </c>
      <c r="L2857" s="12">
        <v>0.35416666666666669</v>
      </c>
      <c r="M2857" t="s">
        <v>29</v>
      </c>
      <c r="N2857" s="3">
        <v>186</v>
      </c>
      <c r="O2857" t="s">
        <v>24</v>
      </c>
      <c r="P2857" t="s">
        <v>25</v>
      </c>
      <c r="R2857">
        <f>tblDailySchedule[[#This Row],[Capacity Approx]]*'[1]Load Factor Sheet June Acft  '!$B$5</f>
        <v>150.61772727272728</v>
      </c>
      <c r="S2857">
        <f>tblDailySchedule[[#This Row],[Capacity Approx]]*'[1]Load Factor Sheet June Acft  '!$D$5</f>
        <v>163.08818181818182</v>
      </c>
      <c r="T2857" s="22">
        <f>tblDailySchedule[[#This Row],[STD]]</f>
        <v>0.35416666666666669</v>
      </c>
    </row>
    <row r="2858" spans="1:20" hidden="1" x14ac:dyDescent="0.35">
      <c r="A2858" s="11">
        <v>46213</v>
      </c>
      <c r="B2858" s="3">
        <v>5</v>
      </c>
      <c r="C2858" t="s">
        <v>115</v>
      </c>
      <c r="D2858" t="s">
        <v>18</v>
      </c>
      <c r="E2858" s="3">
        <v>4</v>
      </c>
      <c r="F2858" t="s">
        <v>19</v>
      </c>
      <c r="G2858" t="s">
        <v>30</v>
      </c>
      <c r="H2858" t="s">
        <v>31</v>
      </c>
      <c r="I2858" s="12">
        <v>0.34722222222222221</v>
      </c>
      <c r="J2858" t="s">
        <v>32</v>
      </c>
      <c r="K2858" t="s">
        <v>31</v>
      </c>
      <c r="L2858" s="12">
        <v>0.36805555555555558</v>
      </c>
      <c r="M2858" t="s">
        <v>33</v>
      </c>
      <c r="N2858" s="3">
        <v>189</v>
      </c>
      <c r="O2858" t="s">
        <v>24</v>
      </c>
      <c r="P2858" t="s">
        <v>25</v>
      </c>
      <c r="R2858">
        <f>tblDailySchedule[[#This Row],[Capacity Approx]]*'[1]Load Factor Sheet June Acft  '!$B$5</f>
        <v>153.04704545454547</v>
      </c>
      <c r="S2858">
        <f>tblDailySchedule[[#This Row],[Capacity Approx]]*'[1]Load Factor Sheet June Acft  '!$D$5</f>
        <v>165.71863636363636</v>
      </c>
      <c r="T2858" s="22">
        <f>tblDailySchedule[[#This Row],[STD]]</f>
        <v>0.36805555555555558</v>
      </c>
    </row>
    <row r="2859" spans="1:20" hidden="1" x14ac:dyDescent="0.35">
      <c r="A2859" s="13">
        <v>46213</v>
      </c>
      <c r="B2859" s="7">
        <v>5</v>
      </c>
      <c r="C2859" s="14" t="s">
        <v>115</v>
      </c>
      <c r="D2859" s="14" t="s">
        <v>18</v>
      </c>
      <c r="E2859" s="7">
        <v>6</v>
      </c>
      <c r="F2859" s="14" t="s">
        <v>34</v>
      </c>
      <c r="G2859" s="14" t="s">
        <v>35</v>
      </c>
      <c r="H2859" s="14" t="s">
        <v>36</v>
      </c>
      <c r="I2859" s="15">
        <v>0.34722222222222221</v>
      </c>
      <c r="J2859" s="14" t="s">
        <v>37</v>
      </c>
      <c r="K2859" s="14" t="s">
        <v>36</v>
      </c>
      <c r="L2859" s="15">
        <v>0.40972222222222221</v>
      </c>
      <c r="M2859" s="14" t="s">
        <v>38</v>
      </c>
      <c r="N2859" s="7">
        <v>186</v>
      </c>
      <c r="O2859" s="14" t="s">
        <v>39</v>
      </c>
      <c r="P2859" s="14" t="s">
        <v>25</v>
      </c>
      <c r="Q2859" s="14" t="s">
        <v>39</v>
      </c>
      <c r="R2859">
        <f>tblDailySchedule[[#This Row],[Capacity Approx]]*'[1]Load Factor Sheet June Acft  '!$B$5</f>
        <v>150.61772727272728</v>
      </c>
      <c r="S2859">
        <f>tblDailySchedule[[#This Row],[Capacity Approx]]*'[1]Load Factor Sheet June Acft  '!$D$5</f>
        <v>163.08818181818182</v>
      </c>
      <c r="T2859" s="22">
        <f>tblDailySchedule[[#This Row],[STD]]</f>
        <v>0.40972222222222221</v>
      </c>
    </row>
    <row r="2860" spans="1:20" hidden="1" x14ac:dyDescent="0.35">
      <c r="A2860" s="11">
        <v>46213</v>
      </c>
      <c r="B2860" s="3">
        <v>5</v>
      </c>
      <c r="C2860" t="s">
        <v>115</v>
      </c>
      <c r="D2860" t="s">
        <v>18</v>
      </c>
      <c r="E2860" s="3">
        <v>5</v>
      </c>
      <c r="F2860" t="s">
        <v>19</v>
      </c>
      <c r="G2860" t="s">
        <v>40</v>
      </c>
      <c r="H2860" t="s">
        <v>31</v>
      </c>
      <c r="I2860" s="12">
        <v>0.35069444444444442</v>
      </c>
      <c r="J2860" t="s">
        <v>41</v>
      </c>
      <c r="K2860" t="s">
        <v>31</v>
      </c>
      <c r="L2860" s="12">
        <v>0.37152777777777779</v>
      </c>
      <c r="M2860" t="s">
        <v>23</v>
      </c>
      <c r="N2860" s="3">
        <v>186</v>
      </c>
      <c r="O2860" t="s">
        <v>24</v>
      </c>
      <c r="P2860" t="s">
        <v>25</v>
      </c>
      <c r="R2860">
        <f>tblDailySchedule[[#This Row],[Capacity Approx]]*'[1]Load Factor Sheet June Acft  '!$B$5</f>
        <v>150.61772727272728</v>
      </c>
      <c r="S2860">
        <f>tblDailySchedule[[#This Row],[Capacity Approx]]*'[1]Load Factor Sheet June Acft  '!$D$5</f>
        <v>163.08818181818182</v>
      </c>
      <c r="T2860" s="22">
        <f>tblDailySchedule[[#This Row],[STD]]</f>
        <v>0.37152777777777779</v>
      </c>
    </row>
    <row r="2861" spans="1:20" hidden="1" x14ac:dyDescent="0.35">
      <c r="A2861" s="11">
        <v>46213</v>
      </c>
      <c r="B2861" s="3">
        <v>5</v>
      </c>
      <c r="C2861" t="s">
        <v>115</v>
      </c>
      <c r="D2861" t="s">
        <v>18</v>
      </c>
      <c r="E2861" s="3">
        <v>7</v>
      </c>
      <c r="F2861" t="s">
        <v>19</v>
      </c>
      <c r="G2861" t="s">
        <v>42</v>
      </c>
      <c r="H2861" t="s">
        <v>43</v>
      </c>
      <c r="I2861" s="12">
        <v>0.3923611111111111</v>
      </c>
      <c r="J2861" t="s">
        <v>44</v>
      </c>
      <c r="K2861" t="s">
        <v>43</v>
      </c>
      <c r="L2861" s="12">
        <v>0.40277777777777779</v>
      </c>
      <c r="M2861" t="s">
        <v>45</v>
      </c>
      <c r="N2861" s="3">
        <v>9</v>
      </c>
      <c r="O2861" t="s">
        <v>24</v>
      </c>
      <c r="P2861" t="s">
        <v>25</v>
      </c>
      <c r="R2861">
        <f>tblDailySchedule[[#This Row],[Capacity Approx]]*'[1]Load Factor Sheet June Acft  '!$B$5</f>
        <v>7.2879545454545456</v>
      </c>
      <c r="S2861">
        <f>tblDailySchedule[[#This Row],[Capacity Approx]]*'[1]Load Factor Sheet June Acft  '!$D$5</f>
        <v>7.8913636363636366</v>
      </c>
      <c r="T2861" s="22">
        <f>tblDailySchedule[[#This Row],[STD]]</f>
        <v>0.40277777777777779</v>
      </c>
    </row>
    <row r="2862" spans="1:20" hidden="1" x14ac:dyDescent="0.35">
      <c r="A2862" s="11">
        <v>46213</v>
      </c>
      <c r="B2862" s="3">
        <v>5</v>
      </c>
      <c r="C2862" t="s">
        <v>115</v>
      </c>
      <c r="D2862" t="s">
        <v>18</v>
      </c>
      <c r="E2862" s="3">
        <v>8</v>
      </c>
      <c r="F2862" t="s">
        <v>19</v>
      </c>
      <c r="G2862" t="s">
        <v>46</v>
      </c>
      <c r="H2862" t="s">
        <v>31</v>
      </c>
      <c r="I2862" s="12">
        <v>0.4201388888888889</v>
      </c>
      <c r="J2862" t="s">
        <v>47</v>
      </c>
      <c r="K2862" t="s">
        <v>31</v>
      </c>
      <c r="L2862" s="12">
        <v>0.44444444444444442</v>
      </c>
      <c r="M2862" t="s">
        <v>29</v>
      </c>
      <c r="N2862" s="3">
        <v>186</v>
      </c>
      <c r="O2862" t="s">
        <v>24</v>
      </c>
      <c r="P2862" t="s">
        <v>25</v>
      </c>
      <c r="R2862">
        <f>tblDailySchedule[[#This Row],[Capacity Approx]]*'[1]Load Factor Sheet June Acft  '!$B$5</f>
        <v>150.61772727272728</v>
      </c>
      <c r="S2862">
        <f>tblDailySchedule[[#This Row],[Capacity Approx]]*'[1]Load Factor Sheet June Acft  '!$D$5</f>
        <v>163.08818181818182</v>
      </c>
      <c r="T2862" s="22">
        <f>tblDailySchedule[[#This Row],[STD]]</f>
        <v>0.44444444444444442</v>
      </c>
    </row>
    <row r="2863" spans="1:20" hidden="1" x14ac:dyDescent="0.35">
      <c r="A2863" s="11">
        <v>46213</v>
      </c>
      <c r="B2863" s="3">
        <v>5</v>
      </c>
      <c r="C2863" t="s">
        <v>115</v>
      </c>
      <c r="D2863" t="s">
        <v>18</v>
      </c>
      <c r="E2863" s="3">
        <v>9</v>
      </c>
      <c r="F2863" t="s">
        <v>19</v>
      </c>
      <c r="G2863" t="s">
        <v>48</v>
      </c>
      <c r="H2863" t="s">
        <v>49</v>
      </c>
      <c r="I2863" s="12">
        <v>0.4375</v>
      </c>
      <c r="J2863" t="s">
        <v>50</v>
      </c>
      <c r="K2863" t="s">
        <v>49</v>
      </c>
      <c r="L2863" s="12">
        <v>0.45833333333333331</v>
      </c>
      <c r="M2863" t="s">
        <v>51</v>
      </c>
      <c r="N2863" s="3">
        <v>78</v>
      </c>
      <c r="O2863" t="s">
        <v>24</v>
      </c>
      <c r="P2863" t="s">
        <v>25</v>
      </c>
      <c r="R2863">
        <f>tblDailySchedule[[#This Row],[Capacity Approx]]*'[1]Load Factor Sheet June Acft  '!$B$5</f>
        <v>63.162272727272729</v>
      </c>
      <c r="S2863">
        <f>tblDailySchedule[[#This Row],[Capacity Approx]]*'[1]Load Factor Sheet June Acft  '!$D$5</f>
        <v>68.391818181818181</v>
      </c>
      <c r="T2863" s="22">
        <f>tblDailySchedule[[#This Row],[STD]]</f>
        <v>0.45833333333333331</v>
      </c>
    </row>
    <row r="2864" spans="1:20" hidden="1" x14ac:dyDescent="0.35">
      <c r="A2864" s="11">
        <v>46213</v>
      </c>
      <c r="B2864" s="3">
        <v>5</v>
      </c>
      <c r="C2864" t="s">
        <v>115</v>
      </c>
      <c r="D2864" t="s">
        <v>18</v>
      </c>
      <c r="E2864" s="3">
        <v>10</v>
      </c>
      <c r="F2864" t="s">
        <v>19</v>
      </c>
      <c r="G2864" t="s">
        <v>52</v>
      </c>
      <c r="H2864" t="s">
        <v>27</v>
      </c>
      <c r="I2864" s="12">
        <v>0.4826388888888889</v>
      </c>
      <c r="J2864" t="s">
        <v>53</v>
      </c>
      <c r="K2864" t="s">
        <v>27</v>
      </c>
      <c r="L2864" s="12">
        <v>0.51041666666666663</v>
      </c>
      <c r="M2864" t="s">
        <v>23</v>
      </c>
      <c r="N2864" s="3">
        <v>186</v>
      </c>
      <c r="O2864" t="s">
        <v>24</v>
      </c>
      <c r="P2864" t="s">
        <v>25</v>
      </c>
      <c r="R2864">
        <f>tblDailySchedule[[#This Row],[Capacity Approx]]*'[1]Load Factor Sheet June Acft  '!$B$5</f>
        <v>150.61772727272728</v>
      </c>
      <c r="S2864">
        <f>tblDailySchedule[[#This Row],[Capacity Approx]]*'[1]Load Factor Sheet June Acft  '!$D$5</f>
        <v>163.08818181818182</v>
      </c>
      <c r="T2864" s="22">
        <f>tblDailySchedule[[#This Row],[STD]]</f>
        <v>0.51041666666666663</v>
      </c>
    </row>
    <row r="2865" spans="1:20" hidden="1" x14ac:dyDescent="0.35">
      <c r="A2865" s="11">
        <v>46213</v>
      </c>
      <c r="B2865" s="3">
        <v>5</v>
      </c>
      <c r="C2865" t="s">
        <v>115</v>
      </c>
      <c r="D2865" t="s">
        <v>18</v>
      </c>
      <c r="E2865" s="3">
        <v>11</v>
      </c>
      <c r="F2865" t="s">
        <v>19</v>
      </c>
      <c r="G2865" t="s">
        <v>54</v>
      </c>
      <c r="H2865" t="s">
        <v>31</v>
      </c>
      <c r="I2865" s="12">
        <v>0.51388888888888884</v>
      </c>
      <c r="J2865" t="s">
        <v>55</v>
      </c>
      <c r="K2865" t="s">
        <v>31</v>
      </c>
      <c r="L2865" s="12">
        <v>0.54166666666666663</v>
      </c>
      <c r="M2865" t="s">
        <v>23</v>
      </c>
      <c r="N2865" s="3">
        <v>186</v>
      </c>
      <c r="O2865" t="s">
        <v>24</v>
      </c>
      <c r="P2865" t="s">
        <v>56</v>
      </c>
      <c r="R2865">
        <f>tblDailySchedule[[#This Row],[Capacity Approx]]*'[1]Load Factor Sheet June Acft  '!$B$5</f>
        <v>150.61772727272728</v>
      </c>
      <c r="S2865">
        <f>tblDailySchedule[[#This Row],[Capacity Approx]]*'[1]Load Factor Sheet June Acft  '!$D$5</f>
        <v>163.08818181818182</v>
      </c>
      <c r="T2865" s="22">
        <f>tblDailySchedule[[#This Row],[STD]]</f>
        <v>0.54166666666666663</v>
      </c>
    </row>
    <row r="2866" spans="1:20" hidden="1" x14ac:dyDescent="0.35">
      <c r="A2866" s="11">
        <v>46213</v>
      </c>
      <c r="B2866" s="3">
        <v>5</v>
      </c>
      <c r="C2866" t="s">
        <v>115</v>
      </c>
      <c r="D2866" t="s">
        <v>18</v>
      </c>
      <c r="E2866" s="3">
        <v>13</v>
      </c>
      <c r="F2866" t="s">
        <v>19</v>
      </c>
      <c r="G2866" t="s">
        <v>57</v>
      </c>
      <c r="H2866" t="s">
        <v>58</v>
      </c>
      <c r="I2866" s="12">
        <v>0.55902777777777779</v>
      </c>
      <c r="J2866" t="s">
        <v>59</v>
      </c>
      <c r="K2866" t="s">
        <v>58</v>
      </c>
      <c r="L2866" s="12">
        <v>0.57638888888888884</v>
      </c>
      <c r="M2866" t="s">
        <v>51</v>
      </c>
      <c r="N2866" s="3">
        <v>78</v>
      </c>
      <c r="O2866" t="s">
        <v>24</v>
      </c>
      <c r="P2866" t="s">
        <v>56</v>
      </c>
      <c r="R2866">
        <f>tblDailySchedule[[#This Row],[Capacity Approx]]*'[1]Load Factor Sheet June Acft  '!$B$5</f>
        <v>63.162272727272729</v>
      </c>
      <c r="S2866">
        <f>tblDailySchedule[[#This Row],[Capacity Approx]]*'[1]Load Factor Sheet June Acft  '!$D$5</f>
        <v>68.391818181818181</v>
      </c>
      <c r="T2866" s="22">
        <f>tblDailySchedule[[#This Row],[STD]]</f>
        <v>0.57638888888888884</v>
      </c>
    </row>
    <row r="2867" spans="1:20" hidden="1" x14ac:dyDescent="0.35">
      <c r="A2867" s="11">
        <v>46213</v>
      </c>
      <c r="B2867" s="3">
        <v>5</v>
      </c>
      <c r="C2867" t="s">
        <v>115</v>
      </c>
      <c r="D2867" t="s">
        <v>18</v>
      </c>
      <c r="E2867" s="3">
        <v>14</v>
      </c>
      <c r="F2867" t="s">
        <v>19</v>
      </c>
      <c r="G2867" t="s">
        <v>60</v>
      </c>
      <c r="H2867" t="s">
        <v>61</v>
      </c>
      <c r="I2867" s="12">
        <v>0.59027777777777779</v>
      </c>
      <c r="J2867" t="s">
        <v>62</v>
      </c>
      <c r="K2867" t="s">
        <v>61</v>
      </c>
      <c r="L2867" s="12">
        <v>0.62152777777777779</v>
      </c>
      <c r="M2867" t="s">
        <v>63</v>
      </c>
      <c r="N2867" s="3">
        <v>232</v>
      </c>
      <c r="O2867" t="s">
        <v>24</v>
      </c>
      <c r="P2867" t="s">
        <v>56</v>
      </c>
      <c r="R2867">
        <f>tblDailySchedule[[#This Row],[Capacity Approx]]*'[1]Load Factor Sheet June Acft  '!$B$5</f>
        <v>187.86727272727273</v>
      </c>
      <c r="S2867">
        <f>tblDailySchedule[[#This Row],[Capacity Approx]]*'[1]Load Factor Sheet June Acft  '!$D$5</f>
        <v>203.4218181818182</v>
      </c>
      <c r="T2867" s="22">
        <f>tblDailySchedule[[#This Row],[STD]]</f>
        <v>0.62152777777777779</v>
      </c>
    </row>
    <row r="2868" spans="1:20" hidden="1" x14ac:dyDescent="0.35">
      <c r="A2868" s="11">
        <v>46213</v>
      </c>
      <c r="B2868" s="3">
        <v>5</v>
      </c>
      <c r="C2868" t="s">
        <v>115</v>
      </c>
      <c r="D2868" t="s">
        <v>18</v>
      </c>
      <c r="E2868" s="3">
        <v>15</v>
      </c>
      <c r="F2868" t="s">
        <v>19</v>
      </c>
      <c r="G2868" t="s">
        <v>64</v>
      </c>
      <c r="H2868" t="s">
        <v>31</v>
      </c>
      <c r="I2868" s="12">
        <v>0.60069444444444442</v>
      </c>
      <c r="J2868" t="s">
        <v>65</v>
      </c>
      <c r="K2868" t="s">
        <v>66</v>
      </c>
      <c r="L2868" s="12">
        <v>0.62847222222222221</v>
      </c>
      <c r="M2868" t="s">
        <v>63</v>
      </c>
      <c r="N2868" s="3">
        <v>232</v>
      </c>
      <c r="O2868" t="s">
        <v>24</v>
      </c>
      <c r="P2868" t="s">
        <v>56</v>
      </c>
      <c r="R2868">
        <f>tblDailySchedule[[#This Row],[Capacity Approx]]*'[1]Load Factor Sheet June Acft  '!$B$5</f>
        <v>187.86727272727273</v>
      </c>
      <c r="S2868">
        <f>tblDailySchedule[[#This Row],[Capacity Approx]]*'[1]Load Factor Sheet June Acft  '!$D$5</f>
        <v>203.4218181818182</v>
      </c>
      <c r="T2868" s="22">
        <f>tblDailySchedule[[#This Row],[STD]]</f>
        <v>0.62847222222222221</v>
      </c>
    </row>
    <row r="2869" spans="1:20" hidden="1" x14ac:dyDescent="0.35">
      <c r="A2869" s="11">
        <v>46213</v>
      </c>
      <c r="B2869" s="3">
        <v>5</v>
      </c>
      <c r="C2869" t="s">
        <v>115</v>
      </c>
      <c r="D2869" t="s">
        <v>18</v>
      </c>
      <c r="E2869" s="3">
        <v>16</v>
      </c>
      <c r="F2869" t="s">
        <v>19</v>
      </c>
      <c r="G2869" t="s">
        <v>67</v>
      </c>
      <c r="H2869" t="s">
        <v>31</v>
      </c>
      <c r="I2869" s="12">
        <v>0.65625</v>
      </c>
      <c r="J2869" t="s">
        <v>68</v>
      </c>
      <c r="K2869" t="s">
        <v>31</v>
      </c>
      <c r="L2869" s="12">
        <v>0.68402777777777779</v>
      </c>
      <c r="M2869" t="s">
        <v>63</v>
      </c>
      <c r="N2869" s="3">
        <v>232</v>
      </c>
      <c r="O2869" t="s">
        <v>24</v>
      </c>
      <c r="P2869" t="s">
        <v>56</v>
      </c>
      <c r="R2869">
        <f>tblDailySchedule[[#This Row],[Capacity Approx]]*'[1]Load Factor Sheet June Acft  '!$B$5</f>
        <v>187.86727272727273</v>
      </c>
      <c r="S2869">
        <f>tblDailySchedule[[#This Row],[Capacity Approx]]*'[1]Load Factor Sheet June Acft  '!$D$5</f>
        <v>203.4218181818182</v>
      </c>
      <c r="T2869" s="22">
        <f>tblDailySchedule[[#This Row],[STD]]</f>
        <v>0.68402777777777779</v>
      </c>
    </row>
    <row r="2870" spans="1:20" hidden="1" x14ac:dyDescent="0.35">
      <c r="A2870" s="11">
        <v>46213</v>
      </c>
      <c r="B2870" s="3">
        <v>5</v>
      </c>
      <c r="C2870" t="s">
        <v>115</v>
      </c>
      <c r="D2870" t="s">
        <v>18</v>
      </c>
      <c r="E2870" s="3">
        <v>17</v>
      </c>
      <c r="F2870" t="s">
        <v>19</v>
      </c>
      <c r="G2870" t="s">
        <v>69</v>
      </c>
      <c r="H2870" t="s">
        <v>31</v>
      </c>
      <c r="I2870" s="12">
        <v>0.66319444444444442</v>
      </c>
      <c r="J2870" t="s">
        <v>70</v>
      </c>
      <c r="K2870" t="s">
        <v>31</v>
      </c>
      <c r="L2870" s="12">
        <v>0.69097222222222221</v>
      </c>
      <c r="M2870" t="s">
        <v>33</v>
      </c>
      <c r="N2870" s="3">
        <v>189</v>
      </c>
      <c r="O2870" t="s">
        <v>24</v>
      </c>
      <c r="P2870" t="s">
        <v>56</v>
      </c>
      <c r="R2870">
        <f>tblDailySchedule[[#This Row],[Capacity Approx]]*'[1]Load Factor Sheet June Acft  '!$B$5</f>
        <v>153.04704545454547</v>
      </c>
      <c r="S2870">
        <f>tblDailySchedule[[#This Row],[Capacity Approx]]*'[1]Load Factor Sheet June Acft  '!$D$5</f>
        <v>165.71863636363636</v>
      </c>
      <c r="T2870" s="22">
        <f>tblDailySchedule[[#This Row],[STD]]</f>
        <v>0.69097222222222221</v>
      </c>
    </row>
    <row r="2871" spans="1:20" hidden="1" x14ac:dyDescent="0.35">
      <c r="A2871" s="11">
        <v>46213</v>
      </c>
      <c r="B2871" s="3">
        <v>5</v>
      </c>
      <c r="C2871" t="s">
        <v>115</v>
      </c>
      <c r="D2871" t="s">
        <v>18</v>
      </c>
      <c r="E2871" s="3">
        <v>18</v>
      </c>
      <c r="F2871" t="s">
        <v>19</v>
      </c>
      <c r="G2871" t="s">
        <v>71</v>
      </c>
      <c r="H2871" t="s">
        <v>21</v>
      </c>
      <c r="I2871" s="12">
        <v>0.67013888888888884</v>
      </c>
      <c r="J2871" t="s">
        <v>72</v>
      </c>
      <c r="K2871" t="s">
        <v>21</v>
      </c>
      <c r="L2871" s="12">
        <v>0.69791666666666663</v>
      </c>
      <c r="M2871" t="s">
        <v>63</v>
      </c>
      <c r="N2871" s="3">
        <v>232</v>
      </c>
      <c r="O2871" t="s">
        <v>24</v>
      </c>
      <c r="P2871" t="s">
        <v>56</v>
      </c>
      <c r="R2871">
        <f>tblDailySchedule[[#This Row],[Capacity Approx]]*'[1]Load Factor Sheet June Acft  '!$B$5</f>
        <v>187.86727272727273</v>
      </c>
      <c r="S2871">
        <f>tblDailySchedule[[#This Row],[Capacity Approx]]*'[1]Load Factor Sheet June Acft  '!$D$5</f>
        <v>203.4218181818182</v>
      </c>
      <c r="T2871" s="22">
        <f>tblDailySchedule[[#This Row],[STD]]</f>
        <v>0.69791666666666663</v>
      </c>
    </row>
    <row r="2872" spans="1:20" hidden="1" x14ac:dyDescent="0.35">
      <c r="A2872" s="11">
        <v>46213</v>
      </c>
      <c r="B2872" s="3">
        <v>5</v>
      </c>
      <c r="C2872" t="s">
        <v>115</v>
      </c>
      <c r="D2872" t="s">
        <v>18</v>
      </c>
      <c r="E2872" s="3">
        <v>19</v>
      </c>
      <c r="F2872" t="s">
        <v>19</v>
      </c>
      <c r="G2872" t="s">
        <v>73</v>
      </c>
      <c r="H2872" t="s">
        <v>27</v>
      </c>
      <c r="I2872" s="12">
        <v>0.74652777777777779</v>
      </c>
      <c r="J2872" t="s">
        <v>74</v>
      </c>
      <c r="K2872" t="s">
        <v>27</v>
      </c>
      <c r="L2872" s="12">
        <v>0.77430555555555558</v>
      </c>
      <c r="M2872" t="s">
        <v>63</v>
      </c>
      <c r="N2872" s="3">
        <v>232</v>
      </c>
      <c r="O2872" t="s">
        <v>24</v>
      </c>
      <c r="P2872" t="s">
        <v>56</v>
      </c>
      <c r="R2872">
        <f>tblDailySchedule[[#This Row],[Capacity Approx]]*'[1]Load Factor Sheet June Acft  '!$B$5</f>
        <v>187.86727272727273</v>
      </c>
      <c r="S2872">
        <f>tblDailySchedule[[#This Row],[Capacity Approx]]*'[1]Load Factor Sheet June Acft  '!$D$5</f>
        <v>203.4218181818182</v>
      </c>
      <c r="T2872" s="22">
        <f>tblDailySchedule[[#This Row],[STD]]</f>
        <v>0.77430555555555558</v>
      </c>
    </row>
    <row r="2873" spans="1:20" hidden="1" x14ac:dyDescent="0.35">
      <c r="A2873" s="11">
        <v>46213</v>
      </c>
      <c r="B2873" s="3">
        <v>5</v>
      </c>
      <c r="C2873" t="s">
        <v>115</v>
      </c>
      <c r="D2873" t="s">
        <v>18</v>
      </c>
      <c r="E2873" s="3">
        <v>20</v>
      </c>
      <c r="F2873" t="s">
        <v>34</v>
      </c>
      <c r="G2873" t="s">
        <v>75</v>
      </c>
      <c r="H2873" t="s">
        <v>76</v>
      </c>
      <c r="I2873" s="12">
        <v>0.76388888888888884</v>
      </c>
      <c r="J2873" t="s">
        <v>77</v>
      </c>
      <c r="K2873" t="s">
        <v>78</v>
      </c>
      <c r="L2873" s="12">
        <v>0.78472222222222221</v>
      </c>
      <c r="M2873" t="s">
        <v>51</v>
      </c>
      <c r="N2873" s="3">
        <v>78</v>
      </c>
      <c r="O2873" t="s">
        <v>24</v>
      </c>
      <c r="P2873" t="s">
        <v>79</v>
      </c>
      <c r="Q2873" s="16" t="s">
        <v>80</v>
      </c>
      <c r="R2873">
        <f>tblDailySchedule[[#This Row],[Capacity Approx]]*'[1]Load Factor Sheet June Acft  '!$B$5</f>
        <v>63.162272727272729</v>
      </c>
      <c r="S2873">
        <f>tblDailySchedule[[#This Row],[Capacity Approx]]*'[1]Load Factor Sheet June Acft  '!$D$5</f>
        <v>68.391818181818181</v>
      </c>
      <c r="T2873" s="22">
        <f>tblDailySchedule[[#This Row],[STD]]</f>
        <v>0.78472222222222221</v>
      </c>
    </row>
    <row r="2874" spans="1:20" hidden="1" x14ac:dyDescent="0.35">
      <c r="A2874" s="11">
        <v>46213</v>
      </c>
      <c r="B2874" s="3">
        <v>5</v>
      </c>
      <c r="C2874" t="s">
        <v>115</v>
      </c>
      <c r="D2874" t="s">
        <v>18</v>
      </c>
      <c r="E2874" s="3">
        <v>21</v>
      </c>
      <c r="F2874" t="s">
        <v>19</v>
      </c>
      <c r="G2874" t="s">
        <v>81</v>
      </c>
      <c r="H2874" t="s">
        <v>61</v>
      </c>
      <c r="I2874" s="12">
        <v>0.77083333333333337</v>
      </c>
      <c r="J2874" t="s">
        <v>82</v>
      </c>
      <c r="K2874" t="s">
        <v>49</v>
      </c>
      <c r="L2874" s="12">
        <v>0.79166666666666663</v>
      </c>
      <c r="M2874" t="s">
        <v>33</v>
      </c>
      <c r="N2874" s="3">
        <v>189</v>
      </c>
      <c r="O2874" t="s">
        <v>24</v>
      </c>
      <c r="P2874" t="s">
        <v>79</v>
      </c>
      <c r="R2874">
        <f>tblDailySchedule[[#This Row],[Capacity Approx]]*'[1]Load Factor Sheet June Acft  '!$B$5</f>
        <v>153.04704545454547</v>
      </c>
      <c r="S2874">
        <f>tblDailySchedule[[#This Row],[Capacity Approx]]*'[1]Load Factor Sheet June Acft  '!$D$5</f>
        <v>165.71863636363636</v>
      </c>
      <c r="T2874" s="22">
        <f>tblDailySchedule[[#This Row],[STD]]</f>
        <v>0.79166666666666663</v>
      </c>
    </row>
    <row r="2875" spans="1:20" hidden="1" x14ac:dyDescent="0.35">
      <c r="A2875" s="11">
        <v>46213</v>
      </c>
      <c r="B2875" s="3">
        <v>5</v>
      </c>
      <c r="C2875" t="s">
        <v>115</v>
      </c>
      <c r="D2875" t="s">
        <v>18</v>
      </c>
      <c r="E2875" s="3">
        <v>22</v>
      </c>
      <c r="F2875" t="s">
        <v>19</v>
      </c>
      <c r="G2875" t="s">
        <v>83</v>
      </c>
      <c r="H2875" t="s">
        <v>31</v>
      </c>
      <c r="I2875" s="12">
        <v>0.77777777777777779</v>
      </c>
      <c r="J2875" t="s">
        <v>84</v>
      </c>
      <c r="K2875" t="s">
        <v>31</v>
      </c>
      <c r="L2875" s="12">
        <v>0.80555555555555558</v>
      </c>
      <c r="M2875" t="s">
        <v>63</v>
      </c>
      <c r="N2875" s="3">
        <v>232</v>
      </c>
      <c r="O2875" t="s">
        <v>24</v>
      </c>
      <c r="P2875" t="s">
        <v>79</v>
      </c>
      <c r="R2875">
        <f>tblDailySchedule[[#This Row],[Capacity Approx]]*'[1]Load Factor Sheet June Acft  '!$B$5</f>
        <v>187.86727272727273</v>
      </c>
      <c r="S2875">
        <f>tblDailySchedule[[#This Row],[Capacity Approx]]*'[1]Load Factor Sheet June Acft  '!$D$5</f>
        <v>203.4218181818182</v>
      </c>
      <c r="T2875" s="22">
        <f>tblDailySchedule[[#This Row],[STD]]</f>
        <v>0.80555555555555558</v>
      </c>
    </row>
    <row r="2876" spans="1:20" hidden="1" x14ac:dyDescent="0.35">
      <c r="A2876" s="11">
        <v>46213</v>
      </c>
      <c r="B2876" s="3">
        <v>5</v>
      </c>
      <c r="C2876" t="s">
        <v>115</v>
      </c>
      <c r="D2876" t="s">
        <v>18</v>
      </c>
      <c r="E2876" s="3">
        <v>23</v>
      </c>
      <c r="F2876" t="s">
        <v>19</v>
      </c>
      <c r="G2876" t="s">
        <v>85</v>
      </c>
      <c r="H2876" t="s">
        <v>86</v>
      </c>
      <c r="I2876" s="12">
        <v>0.79861111111111116</v>
      </c>
      <c r="J2876" t="s">
        <v>87</v>
      </c>
      <c r="K2876" t="s">
        <v>86</v>
      </c>
      <c r="L2876" s="12">
        <v>0.82638888888888884</v>
      </c>
      <c r="M2876" t="s">
        <v>63</v>
      </c>
      <c r="N2876" s="3">
        <v>232</v>
      </c>
      <c r="O2876" t="s">
        <v>24</v>
      </c>
      <c r="P2876" t="s">
        <v>79</v>
      </c>
      <c r="R2876">
        <f>tblDailySchedule[[#This Row],[Capacity Approx]]*'[1]Load Factor Sheet June Acft  '!$B$5</f>
        <v>187.86727272727273</v>
      </c>
      <c r="S2876">
        <f>tblDailySchedule[[#This Row],[Capacity Approx]]*'[1]Load Factor Sheet June Acft  '!$D$5</f>
        <v>203.4218181818182</v>
      </c>
      <c r="T2876" s="22">
        <f>tblDailySchedule[[#This Row],[STD]]</f>
        <v>0.82638888888888884</v>
      </c>
    </row>
    <row r="2877" spans="1:20" hidden="1" x14ac:dyDescent="0.35">
      <c r="A2877" s="11">
        <v>46213</v>
      </c>
      <c r="B2877" s="3">
        <v>5</v>
      </c>
      <c r="C2877" t="s">
        <v>115</v>
      </c>
      <c r="D2877" t="s">
        <v>18</v>
      </c>
      <c r="E2877" s="3">
        <v>24</v>
      </c>
      <c r="F2877" t="s">
        <v>19</v>
      </c>
      <c r="G2877" t="s">
        <v>88</v>
      </c>
      <c r="H2877" t="s">
        <v>89</v>
      </c>
      <c r="I2877" s="12">
        <v>0.83333333333333337</v>
      </c>
      <c r="J2877" t="s">
        <v>90</v>
      </c>
      <c r="K2877" t="s">
        <v>31</v>
      </c>
      <c r="L2877" s="12">
        <v>0.86111111111111116</v>
      </c>
      <c r="M2877" t="s">
        <v>63</v>
      </c>
      <c r="N2877" s="3">
        <v>232</v>
      </c>
      <c r="O2877" t="s">
        <v>24</v>
      </c>
      <c r="P2877" t="s">
        <v>79</v>
      </c>
      <c r="R2877">
        <f>tblDailySchedule[[#This Row],[Capacity Approx]]*'[1]Load Factor Sheet June Acft  '!$B$5</f>
        <v>187.86727272727273</v>
      </c>
      <c r="S2877">
        <f>tblDailySchedule[[#This Row],[Capacity Approx]]*'[1]Load Factor Sheet June Acft  '!$D$5</f>
        <v>203.4218181818182</v>
      </c>
      <c r="T2877" s="22">
        <f>tblDailySchedule[[#This Row],[STD]]</f>
        <v>0.86111111111111116</v>
      </c>
    </row>
    <row r="2878" spans="1:20" hidden="1" x14ac:dyDescent="0.35">
      <c r="A2878" s="11">
        <v>46213</v>
      </c>
      <c r="B2878" s="3">
        <v>5</v>
      </c>
      <c r="C2878" t="s">
        <v>115</v>
      </c>
      <c r="D2878" t="s">
        <v>18</v>
      </c>
      <c r="E2878" s="3">
        <v>25</v>
      </c>
      <c r="F2878" t="s">
        <v>19</v>
      </c>
      <c r="G2878" t="s">
        <v>91</v>
      </c>
      <c r="H2878" t="s">
        <v>61</v>
      </c>
      <c r="I2878" s="12">
        <v>0.85416666666666663</v>
      </c>
      <c r="J2878" t="s">
        <v>92</v>
      </c>
      <c r="K2878" t="s">
        <v>61</v>
      </c>
      <c r="L2878" s="12">
        <v>0.88194444444444442</v>
      </c>
      <c r="M2878" t="s">
        <v>63</v>
      </c>
      <c r="N2878" s="3">
        <v>232</v>
      </c>
      <c r="O2878" t="s">
        <v>24</v>
      </c>
      <c r="P2878" t="s">
        <v>79</v>
      </c>
      <c r="R2878">
        <f>tblDailySchedule[[#This Row],[Capacity Approx]]*'[1]Load Factor Sheet June Acft  '!$B$5</f>
        <v>187.86727272727273</v>
      </c>
      <c r="S2878">
        <f>tblDailySchedule[[#This Row],[Capacity Approx]]*'[1]Load Factor Sheet June Acft  '!$D$5</f>
        <v>203.4218181818182</v>
      </c>
      <c r="T2878" s="22">
        <f>tblDailySchedule[[#This Row],[STD]]</f>
        <v>0.88194444444444442</v>
      </c>
    </row>
    <row r="2879" spans="1:20" hidden="1" x14ac:dyDescent="0.35">
      <c r="A2879" s="11">
        <v>46213</v>
      </c>
      <c r="B2879" s="3">
        <v>5</v>
      </c>
      <c r="C2879" t="s">
        <v>115</v>
      </c>
      <c r="D2879" t="s">
        <v>18</v>
      </c>
      <c r="E2879" s="3">
        <v>26</v>
      </c>
      <c r="F2879" t="s">
        <v>19</v>
      </c>
      <c r="G2879" t="s">
        <v>93</v>
      </c>
      <c r="H2879" t="s">
        <v>31</v>
      </c>
      <c r="I2879" s="12">
        <v>0.86111111111111116</v>
      </c>
      <c r="J2879" t="s">
        <v>94</v>
      </c>
      <c r="K2879" t="s">
        <v>31</v>
      </c>
      <c r="L2879" s="12">
        <v>0.88888888888888884</v>
      </c>
      <c r="M2879" t="s">
        <v>23</v>
      </c>
      <c r="N2879" s="3">
        <v>186</v>
      </c>
      <c r="O2879" t="s">
        <v>24</v>
      </c>
      <c r="P2879" t="s">
        <v>79</v>
      </c>
      <c r="R2879">
        <f>tblDailySchedule[[#This Row],[Capacity Approx]]*'[1]Load Factor Sheet June Acft  '!$B$5</f>
        <v>150.61772727272728</v>
      </c>
      <c r="S2879">
        <f>tblDailySchedule[[#This Row],[Capacity Approx]]*'[1]Load Factor Sheet June Acft  '!$D$5</f>
        <v>163.08818181818182</v>
      </c>
      <c r="T2879" s="22">
        <f>tblDailySchedule[[#This Row],[STD]]</f>
        <v>0.88888888888888884</v>
      </c>
    </row>
    <row r="2880" spans="1:20" hidden="1" x14ac:dyDescent="0.35">
      <c r="A2880" s="11">
        <v>46213</v>
      </c>
      <c r="B2880" s="3">
        <v>5</v>
      </c>
      <c r="C2880" t="s">
        <v>115</v>
      </c>
      <c r="D2880" t="s">
        <v>18</v>
      </c>
      <c r="E2880" s="3">
        <v>27</v>
      </c>
      <c r="F2880" t="s">
        <v>19</v>
      </c>
      <c r="G2880" t="s">
        <v>95</v>
      </c>
      <c r="H2880" t="s">
        <v>21</v>
      </c>
      <c r="I2880" s="12">
        <v>0.86805555555555558</v>
      </c>
      <c r="J2880" t="s">
        <v>96</v>
      </c>
      <c r="K2880" t="s">
        <v>21</v>
      </c>
      <c r="L2880" s="12">
        <v>0.89583333333333337</v>
      </c>
      <c r="M2880" t="s">
        <v>29</v>
      </c>
      <c r="N2880" s="3">
        <v>186</v>
      </c>
      <c r="O2880" t="s">
        <v>24</v>
      </c>
      <c r="P2880" t="s">
        <v>79</v>
      </c>
      <c r="R2880">
        <f>tblDailySchedule[[#This Row],[Capacity Approx]]*'[1]Load Factor Sheet June Acft  '!$B$5</f>
        <v>150.61772727272728</v>
      </c>
      <c r="S2880">
        <f>tblDailySchedule[[#This Row],[Capacity Approx]]*'[1]Load Factor Sheet June Acft  '!$D$5</f>
        <v>163.08818181818182</v>
      </c>
      <c r="T2880" s="22">
        <f>tblDailySchedule[[#This Row],[STD]]</f>
        <v>0.89583333333333337</v>
      </c>
    </row>
    <row r="2881" spans="1:20" hidden="1" x14ac:dyDescent="0.35">
      <c r="A2881" s="11">
        <v>46213</v>
      </c>
      <c r="B2881" s="3">
        <v>5</v>
      </c>
      <c r="C2881" t="s">
        <v>115</v>
      </c>
      <c r="D2881" t="s">
        <v>18</v>
      </c>
      <c r="E2881" s="3">
        <v>28</v>
      </c>
      <c r="F2881" t="s">
        <v>19</v>
      </c>
      <c r="G2881" t="s">
        <v>97</v>
      </c>
      <c r="H2881" t="s">
        <v>49</v>
      </c>
      <c r="I2881" s="12">
        <v>0.90277777777777779</v>
      </c>
      <c r="J2881" t="s">
        <v>97</v>
      </c>
      <c r="K2881" t="s">
        <v>61</v>
      </c>
      <c r="L2881" s="12">
        <v>0.92361111111111116</v>
      </c>
      <c r="M2881" t="s">
        <v>33</v>
      </c>
      <c r="N2881" s="3">
        <v>189</v>
      </c>
      <c r="O2881" t="s">
        <v>24</v>
      </c>
      <c r="P2881" t="s">
        <v>79</v>
      </c>
      <c r="R2881">
        <f>tblDailySchedule[[#This Row],[Capacity Approx]]*'[1]Load Factor Sheet June Acft  '!$B$5</f>
        <v>153.04704545454547</v>
      </c>
      <c r="S2881">
        <f>tblDailySchedule[[#This Row],[Capacity Approx]]*'[1]Load Factor Sheet June Acft  '!$D$5</f>
        <v>165.71863636363636</v>
      </c>
      <c r="T2881" s="22">
        <f>tblDailySchedule[[#This Row],[STD]]</f>
        <v>0.92361111111111116</v>
      </c>
    </row>
    <row r="2882" spans="1:20" hidden="1" x14ac:dyDescent="0.35">
      <c r="A2882" s="11">
        <v>46213</v>
      </c>
      <c r="B2882" s="3">
        <v>5</v>
      </c>
      <c r="C2882" t="s">
        <v>115</v>
      </c>
      <c r="D2882" t="s">
        <v>18</v>
      </c>
      <c r="E2882" s="3">
        <v>29</v>
      </c>
      <c r="F2882" t="s">
        <v>19</v>
      </c>
      <c r="G2882" t="s">
        <v>98</v>
      </c>
      <c r="H2882" t="s">
        <v>21</v>
      </c>
      <c r="I2882" s="12">
        <v>0.92013888888888884</v>
      </c>
      <c r="J2882" t="s">
        <v>99</v>
      </c>
      <c r="K2882" t="s">
        <v>21</v>
      </c>
      <c r="L2882" s="12">
        <v>0.94791666666666663</v>
      </c>
      <c r="M2882" t="s">
        <v>63</v>
      </c>
      <c r="N2882" s="3">
        <v>232</v>
      </c>
      <c r="O2882" t="s">
        <v>24</v>
      </c>
      <c r="P2882" t="s">
        <v>79</v>
      </c>
      <c r="R2882">
        <f>tblDailySchedule[[#This Row],[Capacity Approx]]*'[1]Load Factor Sheet June Acft  '!$B$5</f>
        <v>187.86727272727273</v>
      </c>
      <c r="S2882">
        <f>tblDailySchedule[[#This Row],[Capacity Approx]]*'[1]Load Factor Sheet June Acft  '!$D$5</f>
        <v>203.4218181818182</v>
      </c>
      <c r="T2882" s="22">
        <f>tblDailySchedule[[#This Row],[STD]]</f>
        <v>0.94791666666666663</v>
      </c>
    </row>
    <row r="2883" spans="1:20" hidden="1" x14ac:dyDescent="0.35">
      <c r="A2883" s="13">
        <v>46213</v>
      </c>
      <c r="B2883" s="7">
        <v>5</v>
      </c>
      <c r="C2883" s="14" t="s">
        <v>115</v>
      </c>
      <c r="D2883" s="14" t="s">
        <v>18</v>
      </c>
      <c r="E2883" s="7">
        <v>30</v>
      </c>
      <c r="F2883" s="14" t="s">
        <v>104</v>
      </c>
      <c r="G2883" s="14" t="s">
        <v>105</v>
      </c>
      <c r="H2883" s="14" t="s">
        <v>106</v>
      </c>
      <c r="I2883" s="15">
        <v>0.92708333333333337</v>
      </c>
      <c r="J2883" s="14" t="s">
        <v>107</v>
      </c>
      <c r="K2883" s="14" t="s">
        <v>106</v>
      </c>
      <c r="L2883" s="15">
        <v>0.95833333333333337</v>
      </c>
      <c r="M2883" s="14" t="s">
        <v>38</v>
      </c>
      <c r="N2883" s="7">
        <v>186</v>
      </c>
      <c r="O2883" s="14" t="s">
        <v>39</v>
      </c>
      <c r="P2883" s="14" t="s">
        <v>79</v>
      </c>
      <c r="Q2883" s="14" t="s">
        <v>39</v>
      </c>
      <c r="R2883">
        <f>tblDailySchedule[[#This Row],[Capacity Approx]]*'[1]Load Factor Sheet June Acft  '!$B$5</f>
        <v>150.61772727272728</v>
      </c>
      <c r="S2883">
        <f>tblDailySchedule[[#This Row],[Capacity Approx]]*'[1]Load Factor Sheet June Acft  '!$D$5</f>
        <v>163.08818181818182</v>
      </c>
      <c r="T2883" s="22">
        <f>tblDailySchedule[[#This Row],[STD]]</f>
        <v>0.95833333333333337</v>
      </c>
    </row>
    <row r="2884" spans="1:20" hidden="1" x14ac:dyDescent="0.35">
      <c r="A2884" s="11">
        <v>46214</v>
      </c>
      <c r="B2884" s="3">
        <v>6</v>
      </c>
      <c r="C2884" t="s">
        <v>116</v>
      </c>
      <c r="D2884" t="s">
        <v>18</v>
      </c>
      <c r="E2884" s="3">
        <v>1</v>
      </c>
      <c r="F2884" t="s">
        <v>101</v>
      </c>
      <c r="G2884" t="s">
        <v>102</v>
      </c>
      <c r="H2884" t="s">
        <v>61</v>
      </c>
      <c r="I2884" s="12">
        <v>0.3125</v>
      </c>
      <c r="J2884" t="s">
        <v>103</v>
      </c>
      <c r="K2884" t="s">
        <v>61</v>
      </c>
      <c r="L2884" s="12">
        <v>0.33333333333333331</v>
      </c>
      <c r="M2884" t="s">
        <v>33</v>
      </c>
      <c r="N2884" s="3">
        <v>189</v>
      </c>
      <c r="O2884" t="s">
        <v>24</v>
      </c>
      <c r="P2884" t="s">
        <v>25</v>
      </c>
      <c r="R2884">
        <f>tblDailySchedule[[#This Row],[Capacity Approx]]*'[1]Load Factor Sheet June Acft  '!$B$5</f>
        <v>153.04704545454547</v>
      </c>
      <c r="S2884">
        <f>tblDailySchedule[[#This Row],[Capacity Approx]]*'[1]Load Factor Sheet June Acft  '!$D$5</f>
        <v>165.71863636363636</v>
      </c>
      <c r="T2884" s="22">
        <f>tblDailySchedule[[#This Row],[STD]]</f>
        <v>0.33333333333333331</v>
      </c>
    </row>
    <row r="2885" spans="1:20" hidden="1" x14ac:dyDescent="0.35">
      <c r="A2885" s="11">
        <v>46214</v>
      </c>
      <c r="B2885" s="3">
        <v>6</v>
      </c>
      <c r="C2885" t="s">
        <v>116</v>
      </c>
      <c r="D2885" t="s">
        <v>18</v>
      </c>
      <c r="E2885" s="3">
        <v>2</v>
      </c>
      <c r="F2885" t="s">
        <v>19</v>
      </c>
      <c r="G2885" t="s">
        <v>20</v>
      </c>
      <c r="H2885" t="s">
        <v>21</v>
      </c>
      <c r="I2885" s="12">
        <v>0.31944444444444442</v>
      </c>
      <c r="J2885" t="s">
        <v>22</v>
      </c>
      <c r="K2885" t="s">
        <v>21</v>
      </c>
      <c r="L2885" s="12">
        <v>0.34722222222222221</v>
      </c>
      <c r="M2885" t="s">
        <v>23</v>
      </c>
      <c r="N2885" s="3">
        <v>186</v>
      </c>
      <c r="O2885" t="s">
        <v>24</v>
      </c>
      <c r="P2885" t="s">
        <v>25</v>
      </c>
      <c r="R2885">
        <f>tblDailySchedule[[#This Row],[Capacity Approx]]*'[1]Load Factor Sheet June Acft  '!$B$5</f>
        <v>150.61772727272728</v>
      </c>
      <c r="S2885">
        <f>tblDailySchedule[[#This Row],[Capacity Approx]]*'[1]Load Factor Sheet June Acft  '!$D$5</f>
        <v>163.08818181818182</v>
      </c>
      <c r="T2885" s="22">
        <f>tblDailySchedule[[#This Row],[STD]]</f>
        <v>0.34722222222222221</v>
      </c>
    </row>
    <row r="2886" spans="1:20" hidden="1" x14ac:dyDescent="0.35">
      <c r="A2886" s="11">
        <v>46214</v>
      </c>
      <c r="B2886" s="3">
        <v>6</v>
      </c>
      <c r="C2886" t="s">
        <v>116</v>
      </c>
      <c r="D2886" t="s">
        <v>18</v>
      </c>
      <c r="E2886" s="3">
        <v>3</v>
      </c>
      <c r="F2886" t="s">
        <v>19</v>
      </c>
      <c r="G2886" t="s">
        <v>26</v>
      </c>
      <c r="H2886" t="s">
        <v>27</v>
      </c>
      <c r="I2886" s="12">
        <v>0.3263888888888889</v>
      </c>
      <c r="J2886" t="s">
        <v>28</v>
      </c>
      <c r="K2886" t="s">
        <v>27</v>
      </c>
      <c r="L2886" s="12">
        <v>0.35416666666666669</v>
      </c>
      <c r="M2886" t="s">
        <v>29</v>
      </c>
      <c r="N2886" s="3">
        <v>186</v>
      </c>
      <c r="O2886" t="s">
        <v>24</v>
      </c>
      <c r="P2886" t="s">
        <v>25</v>
      </c>
      <c r="R2886">
        <f>tblDailySchedule[[#This Row],[Capacity Approx]]*'[1]Load Factor Sheet June Acft  '!$B$5</f>
        <v>150.61772727272728</v>
      </c>
      <c r="S2886">
        <f>tblDailySchedule[[#This Row],[Capacity Approx]]*'[1]Load Factor Sheet June Acft  '!$D$5</f>
        <v>163.08818181818182</v>
      </c>
      <c r="T2886" s="22">
        <f>tblDailySchedule[[#This Row],[STD]]</f>
        <v>0.35416666666666669</v>
      </c>
    </row>
    <row r="2887" spans="1:20" hidden="1" x14ac:dyDescent="0.35">
      <c r="A2887" s="11">
        <v>46214</v>
      </c>
      <c r="B2887" s="3">
        <v>6</v>
      </c>
      <c r="C2887" t="s">
        <v>116</v>
      </c>
      <c r="D2887" t="s">
        <v>18</v>
      </c>
      <c r="E2887" s="3">
        <v>4</v>
      </c>
      <c r="F2887" t="s">
        <v>19</v>
      </c>
      <c r="G2887" t="s">
        <v>30</v>
      </c>
      <c r="H2887" t="s">
        <v>31</v>
      </c>
      <c r="I2887" s="12">
        <v>0.34722222222222221</v>
      </c>
      <c r="J2887" t="s">
        <v>32</v>
      </c>
      <c r="K2887" t="s">
        <v>31</v>
      </c>
      <c r="L2887" s="12">
        <v>0.36805555555555558</v>
      </c>
      <c r="M2887" t="s">
        <v>33</v>
      </c>
      <c r="N2887" s="3">
        <v>189</v>
      </c>
      <c r="O2887" t="s">
        <v>24</v>
      </c>
      <c r="P2887" t="s">
        <v>25</v>
      </c>
      <c r="R2887">
        <f>tblDailySchedule[[#This Row],[Capacity Approx]]*'[1]Load Factor Sheet June Acft  '!$B$5</f>
        <v>153.04704545454547</v>
      </c>
      <c r="S2887">
        <f>tblDailySchedule[[#This Row],[Capacity Approx]]*'[1]Load Factor Sheet June Acft  '!$D$5</f>
        <v>165.71863636363636</v>
      </c>
      <c r="T2887" s="22">
        <f>tblDailySchedule[[#This Row],[STD]]</f>
        <v>0.36805555555555558</v>
      </c>
    </row>
    <row r="2888" spans="1:20" hidden="1" x14ac:dyDescent="0.35">
      <c r="A2888" s="11">
        <v>46214</v>
      </c>
      <c r="B2888" s="3">
        <v>6</v>
      </c>
      <c r="C2888" t="s">
        <v>116</v>
      </c>
      <c r="D2888" t="s">
        <v>18</v>
      </c>
      <c r="E2888" s="3">
        <v>5</v>
      </c>
      <c r="F2888" t="s">
        <v>19</v>
      </c>
      <c r="G2888" t="s">
        <v>40</v>
      </c>
      <c r="H2888" t="s">
        <v>31</v>
      </c>
      <c r="I2888" s="12">
        <v>0.35069444444444442</v>
      </c>
      <c r="J2888" t="s">
        <v>41</v>
      </c>
      <c r="K2888" t="s">
        <v>31</v>
      </c>
      <c r="L2888" s="12">
        <v>0.37152777777777779</v>
      </c>
      <c r="M2888" t="s">
        <v>23</v>
      </c>
      <c r="N2888" s="3">
        <v>186</v>
      </c>
      <c r="O2888" t="s">
        <v>24</v>
      </c>
      <c r="P2888" t="s">
        <v>25</v>
      </c>
      <c r="R2888">
        <f>tblDailySchedule[[#This Row],[Capacity Approx]]*'[1]Load Factor Sheet June Acft  '!$B$5</f>
        <v>150.61772727272728</v>
      </c>
      <c r="S2888">
        <f>tblDailySchedule[[#This Row],[Capacity Approx]]*'[1]Load Factor Sheet June Acft  '!$D$5</f>
        <v>163.08818181818182</v>
      </c>
      <c r="T2888" s="22">
        <f>tblDailySchedule[[#This Row],[STD]]</f>
        <v>0.37152777777777779</v>
      </c>
    </row>
    <row r="2889" spans="1:20" hidden="1" x14ac:dyDescent="0.35">
      <c r="A2889" s="11">
        <v>46214</v>
      </c>
      <c r="B2889" s="3">
        <v>6</v>
      </c>
      <c r="C2889" t="s">
        <v>116</v>
      </c>
      <c r="D2889" t="s">
        <v>18</v>
      </c>
      <c r="E2889" s="3">
        <v>7</v>
      </c>
      <c r="F2889" t="s">
        <v>19</v>
      </c>
      <c r="G2889" t="s">
        <v>42</v>
      </c>
      <c r="H2889" t="s">
        <v>43</v>
      </c>
      <c r="I2889" s="12">
        <v>0.3923611111111111</v>
      </c>
      <c r="J2889" t="s">
        <v>44</v>
      </c>
      <c r="K2889" t="s">
        <v>43</v>
      </c>
      <c r="L2889" s="12">
        <v>0.40277777777777779</v>
      </c>
      <c r="M2889" t="s">
        <v>45</v>
      </c>
      <c r="N2889" s="3">
        <v>9</v>
      </c>
      <c r="O2889" t="s">
        <v>24</v>
      </c>
      <c r="P2889" t="s">
        <v>25</v>
      </c>
      <c r="R2889">
        <f>tblDailySchedule[[#This Row],[Capacity Approx]]*'[1]Load Factor Sheet June Acft  '!$B$5</f>
        <v>7.2879545454545456</v>
      </c>
      <c r="S2889">
        <f>tblDailySchedule[[#This Row],[Capacity Approx]]*'[1]Load Factor Sheet June Acft  '!$D$5</f>
        <v>7.8913636363636366</v>
      </c>
      <c r="T2889" s="22">
        <f>tblDailySchedule[[#This Row],[STD]]</f>
        <v>0.40277777777777779</v>
      </c>
    </row>
    <row r="2890" spans="1:20" hidden="1" x14ac:dyDescent="0.35">
      <c r="A2890" s="11">
        <v>46214</v>
      </c>
      <c r="B2890" s="3">
        <v>6</v>
      </c>
      <c r="C2890" t="s">
        <v>116</v>
      </c>
      <c r="D2890" t="s">
        <v>18</v>
      </c>
      <c r="E2890" s="3">
        <v>8</v>
      </c>
      <c r="F2890" t="s">
        <v>19</v>
      </c>
      <c r="G2890" t="s">
        <v>46</v>
      </c>
      <c r="H2890" t="s">
        <v>31</v>
      </c>
      <c r="I2890" s="12">
        <v>0.4201388888888889</v>
      </c>
      <c r="J2890" t="s">
        <v>47</v>
      </c>
      <c r="K2890" t="s">
        <v>31</v>
      </c>
      <c r="L2890" s="12">
        <v>0.44444444444444442</v>
      </c>
      <c r="M2890" t="s">
        <v>29</v>
      </c>
      <c r="N2890" s="3">
        <v>186</v>
      </c>
      <c r="O2890" t="s">
        <v>24</v>
      </c>
      <c r="P2890" t="s">
        <v>25</v>
      </c>
      <c r="R2890">
        <f>tblDailySchedule[[#This Row],[Capacity Approx]]*'[1]Load Factor Sheet June Acft  '!$B$5</f>
        <v>150.61772727272728</v>
      </c>
      <c r="S2890">
        <f>tblDailySchedule[[#This Row],[Capacity Approx]]*'[1]Load Factor Sheet June Acft  '!$D$5</f>
        <v>163.08818181818182</v>
      </c>
      <c r="T2890" s="22">
        <f>tblDailySchedule[[#This Row],[STD]]</f>
        <v>0.44444444444444442</v>
      </c>
    </row>
    <row r="2891" spans="1:20" hidden="1" x14ac:dyDescent="0.35">
      <c r="A2891" s="11">
        <v>46214</v>
      </c>
      <c r="B2891" s="3">
        <v>6</v>
      </c>
      <c r="C2891" t="s">
        <v>116</v>
      </c>
      <c r="D2891" t="s">
        <v>18</v>
      </c>
      <c r="E2891" s="3">
        <v>9</v>
      </c>
      <c r="F2891" t="s">
        <v>19</v>
      </c>
      <c r="G2891" t="s">
        <v>48</v>
      </c>
      <c r="H2891" t="s">
        <v>49</v>
      </c>
      <c r="I2891" s="12">
        <v>0.4375</v>
      </c>
      <c r="J2891" t="s">
        <v>50</v>
      </c>
      <c r="K2891" t="s">
        <v>49</v>
      </c>
      <c r="L2891" s="12">
        <v>0.45833333333333331</v>
      </c>
      <c r="M2891" t="s">
        <v>51</v>
      </c>
      <c r="N2891" s="3">
        <v>78</v>
      </c>
      <c r="O2891" t="s">
        <v>24</v>
      </c>
      <c r="P2891" t="s">
        <v>25</v>
      </c>
      <c r="R2891">
        <f>tblDailySchedule[[#This Row],[Capacity Approx]]*'[1]Load Factor Sheet June Acft  '!$B$5</f>
        <v>63.162272727272729</v>
      </c>
      <c r="S2891">
        <f>tblDailySchedule[[#This Row],[Capacity Approx]]*'[1]Load Factor Sheet June Acft  '!$D$5</f>
        <v>68.391818181818181</v>
      </c>
      <c r="T2891" s="22">
        <f>tblDailySchedule[[#This Row],[STD]]</f>
        <v>0.45833333333333331</v>
      </c>
    </row>
    <row r="2892" spans="1:20" hidden="1" x14ac:dyDescent="0.35">
      <c r="A2892" s="11">
        <v>46214</v>
      </c>
      <c r="B2892" s="3">
        <v>6</v>
      </c>
      <c r="C2892" t="s">
        <v>116</v>
      </c>
      <c r="D2892" t="s">
        <v>18</v>
      </c>
      <c r="E2892" s="3">
        <v>10</v>
      </c>
      <c r="F2892" t="s">
        <v>19</v>
      </c>
      <c r="G2892" t="s">
        <v>52</v>
      </c>
      <c r="H2892" t="s">
        <v>27</v>
      </c>
      <c r="I2892" s="12">
        <v>0.4826388888888889</v>
      </c>
      <c r="J2892" t="s">
        <v>53</v>
      </c>
      <c r="K2892" t="s">
        <v>27</v>
      </c>
      <c r="L2892" s="12">
        <v>0.51041666666666663</v>
      </c>
      <c r="M2892" t="s">
        <v>23</v>
      </c>
      <c r="N2892" s="3">
        <v>186</v>
      </c>
      <c r="O2892" t="s">
        <v>24</v>
      </c>
      <c r="P2892" t="s">
        <v>25</v>
      </c>
      <c r="R2892">
        <f>tblDailySchedule[[#This Row],[Capacity Approx]]*'[1]Load Factor Sheet June Acft  '!$B$5</f>
        <v>150.61772727272728</v>
      </c>
      <c r="S2892">
        <f>tblDailySchedule[[#This Row],[Capacity Approx]]*'[1]Load Factor Sheet June Acft  '!$D$5</f>
        <v>163.08818181818182</v>
      </c>
      <c r="T2892" s="22">
        <f>tblDailySchedule[[#This Row],[STD]]</f>
        <v>0.51041666666666663</v>
      </c>
    </row>
    <row r="2893" spans="1:20" hidden="1" x14ac:dyDescent="0.35">
      <c r="A2893" s="11">
        <v>46214</v>
      </c>
      <c r="B2893" s="3">
        <v>6</v>
      </c>
      <c r="C2893" t="s">
        <v>116</v>
      </c>
      <c r="D2893" t="s">
        <v>18</v>
      </c>
      <c r="E2893" s="3">
        <v>11</v>
      </c>
      <c r="F2893" t="s">
        <v>19</v>
      </c>
      <c r="G2893" t="s">
        <v>54</v>
      </c>
      <c r="H2893" t="s">
        <v>31</v>
      </c>
      <c r="I2893" s="12">
        <v>0.51388888888888884</v>
      </c>
      <c r="J2893" t="s">
        <v>55</v>
      </c>
      <c r="K2893" t="s">
        <v>31</v>
      </c>
      <c r="L2893" s="12">
        <v>0.54166666666666663</v>
      </c>
      <c r="M2893" t="s">
        <v>23</v>
      </c>
      <c r="N2893" s="3">
        <v>186</v>
      </c>
      <c r="O2893" t="s">
        <v>24</v>
      </c>
      <c r="P2893" t="s">
        <v>56</v>
      </c>
      <c r="R2893">
        <f>tblDailySchedule[[#This Row],[Capacity Approx]]*'[1]Load Factor Sheet June Acft  '!$B$5</f>
        <v>150.61772727272728</v>
      </c>
      <c r="S2893">
        <f>tblDailySchedule[[#This Row],[Capacity Approx]]*'[1]Load Factor Sheet June Acft  '!$D$5</f>
        <v>163.08818181818182</v>
      </c>
      <c r="T2893" s="22">
        <f>tblDailySchedule[[#This Row],[STD]]</f>
        <v>0.54166666666666663</v>
      </c>
    </row>
    <row r="2894" spans="1:20" hidden="1" x14ac:dyDescent="0.35">
      <c r="A2894" s="11">
        <v>46214</v>
      </c>
      <c r="B2894" s="3">
        <v>6</v>
      </c>
      <c r="C2894" t="s">
        <v>116</v>
      </c>
      <c r="D2894" t="s">
        <v>18</v>
      </c>
      <c r="E2894" s="3">
        <v>12</v>
      </c>
      <c r="F2894" t="s">
        <v>109</v>
      </c>
      <c r="G2894" t="s">
        <v>110</v>
      </c>
      <c r="H2894" t="s">
        <v>111</v>
      </c>
      <c r="I2894" s="12">
        <v>0.55555555555555558</v>
      </c>
      <c r="J2894" t="s">
        <v>112</v>
      </c>
      <c r="K2894" t="s">
        <v>111</v>
      </c>
      <c r="L2894" s="12">
        <v>0.56944444444444442</v>
      </c>
      <c r="M2894" t="s">
        <v>51</v>
      </c>
      <c r="N2894" s="3">
        <v>78</v>
      </c>
      <c r="O2894" t="s">
        <v>24</v>
      </c>
      <c r="P2894" t="s">
        <v>56</v>
      </c>
      <c r="R2894">
        <f>tblDailySchedule[[#This Row],[Capacity Approx]]*'[1]Load Factor Sheet June Acft  '!$B$5</f>
        <v>63.162272727272729</v>
      </c>
      <c r="S2894">
        <f>tblDailySchedule[[#This Row],[Capacity Approx]]*'[1]Load Factor Sheet June Acft  '!$D$5</f>
        <v>68.391818181818181</v>
      </c>
      <c r="T2894" s="22">
        <f>tblDailySchedule[[#This Row],[STD]]</f>
        <v>0.56944444444444442</v>
      </c>
    </row>
    <row r="2895" spans="1:20" hidden="1" x14ac:dyDescent="0.35">
      <c r="A2895" s="11">
        <v>46214</v>
      </c>
      <c r="B2895" s="3">
        <v>6</v>
      </c>
      <c r="C2895" t="s">
        <v>116</v>
      </c>
      <c r="D2895" t="s">
        <v>18</v>
      </c>
      <c r="E2895" s="3">
        <v>13</v>
      </c>
      <c r="F2895" t="s">
        <v>19</v>
      </c>
      <c r="G2895" t="s">
        <v>57</v>
      </c>
      <c r="H2895" t="s">
        <v>58</v>
      </c>
      <c r="I2895" s="12">
        <v>0.55902777777777779</v>
      </c>
      <c r="J2895" t="s">
        <v>59</v>
      </c>
      <c r="K2895" t="s">
        <v>58</v>
      </c>
      <c r="L2895" s="12">
        <v>0.57638888888888884</v>
      </c>
      <c r="M2895" t="s">
        <v>51</v>
      </c>
      <c r="N2895" s="3">
        <v>78</v>
      </c>
      <c r="O2895" t="s">
        <v>24</v>
      </c>
      <c r="P2895" t="s">
        <v>56</v>
      </c>
      <c r="R2895">
        <f>tblDailySchedule[[#This Row],[Capacity Approx]]*'[1]Load Factor Sheet June Acft  '!$B$5</f>
        <v>63.162272727272729</v>
      </c>
      <c r="S2895">
        <f>tblDailySchedule[[#This Row],[Capacity Approx]]*'[1]Load Factor Sheet June Acft  '!$D$5</f>
        <v>68.391818181818181</v>
      </c>
      <c r="T2895" s="22">
        <f>tblDailySchedule[[#This Row],[STD]]</f>
        <v>0.57638888888888884</v>
      </c>
    </row>
    <row r="2896" spans="1:20" hidden="1" x14ac:dyDescent="0.35">
      <c r="A2896" s="11">
        <v>46214</v>
      </c>
      <c r="B2896" s="3">
        <v>6</v>
      </c>
      <c r="C2896" t="s">
        <v>116</v>
      </c>
      <c r="D2896" t="s">
        <v>18</v>
      </c>
      <c r="E2896" s="3">
        <v>14</v>
      </c>
      <c r="F2896" t="s">
        <v>19</v>
      </c>
      <c r="G2896" t="s">
        <v>60</v>
      </c>
      <c r="H2896" t="s">
        <v>61</v>
      </c>
      <c r="I2896" s="12">
        <v>0.59027777777777779</v>
      </c>
      <c r="J2896" t="s">
        <v>62</v>
      </c>
      <c r="K2896" t="s">
        <v>61</v>
      </c>
      <c r="L2896" s="12">
        <v>0.62152777777777779</v>
      </c>
      <c r="M2896" t="s">
        <v>63</v>
      </c>
      <c r="N2896" s="3">
        <v>232</v>
      </c>
      <c r="O2896" t="s">
        <v>24</v>
      </c>
      <c r="P2896" t="s">
        <v>56</v>
      </c>
      <c r="R2896">
        <f>tblDailySchedule[[#This Row],[Capacity Approx]]*'[1]Load Factor Sheet June Acft  '!$B$5</f>
        <v>187.86727272727273</v>
      </c>
      <c r="S2896">
        <f>tblDailySchedule[[#This Row],[Capacity Approx]]*'[1]Load Factor Sheet June Acft  '!$D$5</f>
        <v>203.4218181818182</v>
      </c>
      <c r="T2896" s="22">
        <f>tblDailySchedule[[#This Row],[STD]]</f>
        <v>0.62152777777777779</v>
      </c>
    </row>
    <row r="2897" spans="1:20" hidden="1" x14ac:dyDescent="0.35">
      <c r="A2897" s="11">
        <v>46214</v>
      </c>
      <c r="B2897" s="3">
        <v>6</v>
      </c>
      <c r="C2897" t="s">
        <v>116</v>
      </c>
      <c r="D2897" t="s">
        <v>18</v>
      </c>
      <c r="E2897" s="3">
        <v>15</v>
      </c>
      <c r="F2897" t="s">
        <v>19</v>
      </c>
      <c r="G2897" t="s">
        <v>64</v>
      </c>
      <c r="H2897" t="s">
        <v>31</v>
      </c>
      <c r="I2897" s="12">
        <v>0.60069444444444442</v>
      </c>
      <c r="J2897" t="s">
        <v>65</v>
      </c>
      <c r="K2897" t="s">
        <v>66</v>
      </c>
      <c r="L2897" s="12">
        <v>0.62847222222222221</v>
      </c>
      <c r="M2897" t="s">
        <v>63</v>
      </c>
      <c r="N2897" s="3">
        <v>232</v>
      </c>
      <c r="O2897" t="s">
        <v>24</v>
      </c>
      <c r="P2897" t="s">
        <v>56</v>
      </c>
      <c r="R2897">
        <f>tblDailySchedule[[#This Row],[Capacity Approx]]*'[1]Load Factor Sheet June Acft  '!$B$5</f>
        <v>187.86727272727273</v>
      </c>
      <c r="S2897">
        <f>tblDailySchedule[[#This Row],[Capacity Approx]]*'[1]Load Factor Sheet June Acft  '!$D$5</f>
        <v>203.4218181818182</v>
      </c>
      <c r="T2897" s="22">
        <f>tblDailySchedule[[#This Row],[STD]]</f>
        <v>0.62847222222222221</v>
      </c>
    </row>
    <row r="2898" spans="1:20" hidden="1" x14ac:dyDescent="0.35">
      <c r="A2898" s="11">
        <v>46214</v>
      </c>
      <c r="B2898" s="3">
        <v>6</v>
      </c>
      <c r="C2898" t="s">
        <v>116</v>
      </c>
      <c r="D2898" t="s">
        <v>18</v>
      </c>
      <c r="E2898" s="3">
        <v>16</v>
      </c>
      <c r="F2898" t="s">
        <v>19</v>
      </c>
      <c r="G2898" t="s">
        <v>67</v>
      </c>
      <c r="H2898" t="s">
        <v>31</v>
      </c>
      <c r="I2898" s="12">
        <v>0.65625</v>
      </c>
      <c r="J2898" t="s">
        <v>68</v>
      </c>
      <c r="K2898" t="s">
        <v>31</v>
      </c>
      <c r="L2898" s="12">
        <v>0.68402777777777779</v>
      </c>
      <c r="M2898" t="s">
        <v>63</v>
      </c>
      <c r="N2898" s="3">
        <v>232</v>
      </c>
      <c r="O2898" t="s">
        <v>24</v>
      </c>
      <c r="P2898" t="s">
        <v>56</v>
      </c>
      <c r="R2898">
        <f>tblDailySchedule[[#This Row],[Capacity Approx]]*'[1]Load Factor Sheet June Acft  '!$B$5</f>
        <v>187.86727272727273</v>
      </c>
      <c r="S2898">
        <f>tblDailySchedule[[#This Row],[Capacity Approx]]*'[1]Load Factor Sheet June Acft  '!$D$5</f>
        <v>203.4218181818182</v>
      </c>
      <c r="T2898" s="22">
        <f>tblDailySchedule[[#This Row],[STD]]</f>
        <v>0.68402777777777779</v>
      </c>
    </row>
    <row r="2899" spans="1:20" hidden="1" x14ac:dyDescent="0.35">
      <c r="A2899" s="11">
        <v>46214</v>
      </c>
      <c r="B2899" s="3">
        <v>6</v>
      </c>
      <c r="C2899" t="s">
        <v>116</v>
      </c>
      <c r="D2899" t="s">
        <v>18</v>
      </c>
      <c r="E2899" s="3">
        <v>17</v>
      </c>
      <c r="F2899" t="s">
        <v>19</v>
      </c>
      <c r="G2899" t="s">
        <v>69</v>
      </c>
      <c r="H2899" t="s">
        <v>31</v>
      </c>
      <c r="I2899" s="12">
        <v>0.66319444444444442</v>
      </c>
      <c r="J2899" t="s">
        <v>70</v>
      </c>
      <c r="K2899" t="s">
        <v>31</v>
      </c>
      <c r="L2899" s="12">
        <v>0.69097222222222221</v>
      </c>
      <c r="M2899" t="s">
        <v>33</v>
      </c>
      <c r="N2899" s="3">
        <v>189</v>
      </c>
      <c r="O2899" t="s">
        <v>24</v>
      </c>
      <c r="P2899" t="s">
        <v>56</v>
      </c>
      <c r="R2899">
        <f>tblDailySchedule[[#This Row],[Capacity Approx]]*'[1]Load Factor Sheet June Acft  '!$B$5</f>
        <v>153.04704545454547</v>
      </c>
      <c r="S2899">
        <f>tblDailySchedule[[#This Row],[Capacity Approx]]*'[1]Load Factor Sheet June Acft  '!$D$5</f>
        <v>165.71863636363636</v>
      </c>
      <c r="T2899" s="22">
        <f>tblDailySchedule[[#This Row],[STD]]</f>
        <v>0.69097222222222221</v>
      </c>
    </row>
    <row r="2900" spans="1:20" hidden="1" x14ac:dyDescent="0.35">
      <c r="A2900" s="11">
        <v>46214</v>
      </c>
      <c r="B2900" s="3">
        <v>6</v>
      </c>
      <c r="C2900" t="s">
        <v>116</v>
      </c>
      <c r="D2900" t="s">
        <v>18</v>
      </c>
      <c r="E2900" s="3">
        <v>18</v>
      </c>
      <c r="F2900" t="s">
        <v>19</v>
      </c>
      <c r="G2900" t="s">
        <v>71</v>
      </c>
      <c r="H2900" t="s">
        <v>21</v>
      </c>
      <c r="I2900" s="12">
        <v>0.67013888888888884</v>
      </c>
      <c r="J2900" t="s">
        <v>72</v>
      </c>
      <c r="K2900" t="s">
        <v>21</v>
      </c>
      <c r="L2900" s="12">
        <v>0.69791666666666663</v>
      </c>
      <c r="M2900" t="s">
        <v>63</v>
      </c>
      <c r="N2900" s="3">
        <v>232</v>
      </c>
      <c r="O2900" t="s">
        <v>24</v>
      </c>
      <c r="P2900" t="s">
        <v>56</v>
      </c>
      <c r="R2900">
        <f>tblDailySchedule[[#This Row],[Capacity Approx]]*'[1]Load Factor Sheet June Acft  '!$B$5</f>
        <v>187.86727272727273</v>
      </c>
      <c r="S2900">
        <f>tblDailySchedule[[#This Row],[Capacity Approx]]*'[1]Load Factor Sheet June Acft  '!$D$5</f>
        <v>203.4218181818182</v>
      </c>
      <c r="T2900" s="22">
        <f>tblDailySchedule[[#This Row],[STD]]</f>
        <v>0.69791666666666663</v>
      </c>
    </row>
    <row r="2901" spans="1:20" hidden="1" x14ac:dyDescent="0.35">
      <c r="A2901" s="11">
        <v>46214</v>
      </c>
      <c r="B2901" s="3">
        <v>6</v>
      </c>
      <c r="C2901" t="s">
        <v>116</v>
      </c>
      <c r="D2901" t="s">
        <v>18</v>
      </c>
      <c r="E2901" s="3">
        <v>19</v>
      </c>
      <c r="F2901" t="s">
        <v>19</v>
      </c>
      <c r="G2901" t="s">
        <v>73</v>
      </c>
      <c r="H2901" t="s">
        <v>27</v>
      </c>
      <c r="I2901" s="12">
        <v>0.74652777777777779</v>
      </c>
      <c r="J2901" t="s">
        <v>74</v>
      </c>
      <c r="K2901" t="s">
        <v>27</v>
      </c>
      <c r="L2901" s="12">
        <v>0.77430555555555558</v>
      </c>
      <c r="M2901" t="s">
        <v>63</v>
      </c>
      <c r="N2901" s="3">
        <v>232</v>
      </c>
      <c r="O2901" t="s">
        <v>24</v>
      </c>
      <c r="P2901" t="s">
        <v>56</v>
      </c>
      <c r="R2901">
        <f>tblDailySchedule[[#This Row],[Capacity Approx]]*'[1]Load Factor Sheet June Acft  '!$B$5</f>
        <v>187.86727272727273</v>
      </c>
      <c r="S2901">
        <f>tblDailySchedule[[#This Row],[Capacity Approx]]*'[1]Load Factor Sheet June Acft  '!$D$5</f>
        <v>203.4218181818182</v>
      </c>
      <c r="T2901" s="22">
        <f>tblDailySchedule[[#This Row],[STD]]</f>
        <v>0.77430555555555558</v>
      </c>
    </row>
    <row r="2902" spans="1:20" hidden="1" x14ac:dyDescent="0.35">
      <c r="A2902" s="11">
        <v>46214</v>
      </c>
      <c r="B2902" s="3">
        <v>6</v>
      </c>
      <c r="C2902" t="s">
        <v>116</v>
      </c>
      <c r="D2902" t="s">
        <v>18</v>
      </c>
      <c r="E2902" s="3">
        <v>21</v>
      </c>
      <c r="F2902" t="s">
        <v>19</v>
      </c>
      <c r="G2902" t="s">
        <v>81</v>
      </c>
      <c r="H2902" t="s">
        <v>61</v>
      </c>
      <c r="I2902" s="12">
        <v>0.77083333333333337</v>
      </c>
      <c r="J2902" t="s">
        <v>82</v>
      </c>
      <c r="K2902" t="s">
        <v>49</v>
      </c>
      <c r="L2902" s="12">
        <v>0.79166666666666663</v>
      </c>
      <c r="M2902" t="s">
        <v>33</v>
      </c>
      <c r="N2902" s="3">
        <v>189</v>
      </c>
      <c r="O2902" t="s">
        <v>24</v>
      </c>
      <c r="P2902" t="s">
        <v>79</v>
      </c>
      <c r="R2902">
        <f>tblDailySchedule[[#This Row],[Capacity Approx]]*'[1]Load Factor Sheet June Acft  '!$B$5</f>
        <v>153.04704545454547</v>
      </c>
      <c r="S2902">
        <f>tblDailySchedule[[#This Row],[Capacity Approx]]*'[1]Load Factor Sheet June Acft  '!$D$5</f>
        <v>165.71863636363636</v>
      </c>
      <c r="T2902" s="22">
        <f>tblDailySchedule[[#This Row],[STD]]</f>
        <v>0.79166666666666663</v>
      </c>
    </row>
    <row r="2903" spans="1:20" hidden="1" x14ac:dyDescent="0.35">
      <c r="A2903" s="11">
        <v>46214</v>
      </c>
      <c r="B2903" s="3">
        <v>6</v>
      </c>
      <c r="C2903" t="s">
        <v>116</v>
      </c>
      <c r="D2903" t="s">
        <v>18</v>
      </c>
      <c r="E2903" s="3">
        <v>22</v>
      </c>
      <c r="F2903" t="s">
        <v>19</v>
      </c>
      <c r="G2903" t="s">
        <v>83</v>
      </c>
      <c r="H2903" t="s">
        <v>31</v>
      </c>
      <c r="I2903" s="12">
        <v>0.77777777777777779</v>
      </c>
      <c r="J2903" t="s">
        <v>84</v>
      </c>
      <c r="K2903" t="s">
        <v>31</v>
      </c>
      <c r="L2903" s="12">
        <v>0.80555555555555558</v>
      </c>
      <c r="M2903" t="s">
        <v>63</v>
      </c>
      <c r="N2903" s="3">
        <v>232</v>
      </c>
      <c r="O2903" t="s">
        <v>24</v>
      </c>
      <c r="P2903" t="s">
        <v>79</v>
      </c>
      <c r="R2903">
        <f>tblDailySchedule[[#This Row],[Capacity Approx]]*'[1]Load Factor Sheet June Acft  '!$B$5</f>
        <v>187.86727272727273</v>
      </c>
      <c r="S2903">
        <f>tblDailySchedule[[#This Row],[Capacity Approx]]*'[1]Load Factor Sheet June Acft  '!$D$5</f>
        <v>203.4218181818182</v>
      </c>
      <c r="T2903" s="22">
        <f>tblDailySchedule[[#This Row],[STD]]</f>
        <v>0.80555555555555558</v>
      </c>
    </row>
    <row r="2904" spans="1:20" hidden="1" x14ac:dyDescent="0.35">
      <c r="A2904" s="11">
        <v>46214</v>
      </c>
      <c r="B2904" s="3">
        <v>6</v>
      </c>
      <c r="C2904" t="s">
        <v>116</v>
      </c>
      <c r="D2904" t="s">
        <v>18</v>
      </c>
      <c r="E2904" s="3">
        <v>23</v>
      </c>
      <c r="F2904" t="s">
        <v>19</v>
      </c>
      <c r="G2904" t="s">
        <v>85</v>
      </c>
      <c r="H2904" t="s">
        <v>86</v>
      </c>
      <c r="I2904" s="12">
        <v>0.79861111111111116</v>
      </c>
      <c r="J2904" t="s">
        <v>87</v>
      </c>
      <c r="K2904" t="s">
        <v>86</v>
      </c>
      <c r="L2904" s="12">
        <v>0.82638888888888884</v>
      </c>
      <c r="M2904" t="s">
        <v>63</v>
      </c>
      <c r="N2904" s="3">
        <v>232</v>
      </c>
      <c r="O2904" t="s">
        <v>24</v>
      </c>
      <c r="P2904" t="s">
        <v>79</v>
      </c>
      <c r="R2904">
        <f>tblDailySchedule[[#This Row],[Capacity Approx]]*'[1]Load Factor Sheet June Acft  '!$B$5</f>
        <v>187.86727272727273</v>
      </c>
      <c r="S2904">
        <f>tblDailySchedule[[#This Row],[Capacity Approx]]*'[1]Load Factor Sheet June Acft  '!$D$5</f>
        <v>203.4218181818182</v>
      </c>
      <c r="T2904" s="22">
        <f>tblDailySchedule[[#This Row],[STD]]</f>
        <v>0.82638888888888884</v>
      </c>
    </row>
    <row r="2905" spans="1:20" hidden="1" x14ac:dyDescent="0.35">
      <c r="A2905" s="11">
        <v>46214</v>
      </c>
      <c r="B2905" s="3">
        <v>6</v>
      </c>
      <c r="C2905" t="s">
        <v>116</v>
      </c>
      <c r="D2905" t="s">
        <v>18</v>
      </c>
      <c r="E2905" s="3">
        <v>24</v>
      </c>
      <c r="F2905" t="s">
        <v>19</v>
      </c>
      <c r="G2905" t="s">
        <v>88</v>
      </c>
      <c r="H2905" t="s">
        <v>89</v>
      </c>
      <c r="I2905" s="12">
        <v>0.83333333333333337</v>
      </c>
      <c r="J2905" t="s">
        <v>90</v>
      </c>
      <c r="K2905" t="s">
        <v>31</v>
      </c>
      <c r="L2905" s="12">
        <v>0.86111111111111116</v>
      </c>
      <c r="M2905" t="s">
        <v>63</v>
      </c>
      <c r="N2905" s="3">
        <v>232</v>
      </c>
      <c r="O2905" t="s">
        <v>24</v>
      </c>
      <c r="P2905" t="s">
        <v>79</v>
      </c>
      <c r="R2905">
        <f>tblDailySchedule[[#This Row],[Capacity Approx]]*'[1]Load Factor Sheet June Acft  '!$B$5</f>
        <v>187.86727272727273</v>
      </c>
      <c r="S2905">
        <f>tblDailySchedule[[#This Row],[Capacity Approx]]*'[1]Load Factor Sheet June Acft  '!$D$5</f>
        <v>203.4218181818182</v>
      </c>
      <c r="T2905" s="22">
        <f>tblDailySchedule[[#This Row],[STD]]</f>
        <v>0.86111111111111116</v>
      </c>
    </row>
    <row r="2906" spans="1:20" hidden="1" x14ac:dyDescent="0.35">
      <c r="A2906" s="11">
        <v>46214</v>
      </c>
      <c r="B2906" s="3">
        <v>6</v>
      </c>
      <c r="C2906" t="s">
        <v>116</v>
      </c>
      <c r="D2906" t="s">
        <v>18</v>
      </c>
      <c r="E2906" s="3">
        <v>25</v>
      </c>
      <c r="F2906" t="s">
        <v>19</v>
      </c>
      <c r="G2906" t="s">
        <v>91</v>
      </c>
      <c r="H2906" t="s">
        <v>61</v>
      </c>
      <c r="I2906" s="12">
        <v>0.85416666666666663</v>
      </c>
      <c r="J2906" t="s">
        <v>92</v>
      </c>
      <c r="K2906" t="s">
        <v>61</v>
      </c>
      <c r="L2906" s="12">
        <v>0.88194444444444442</v>
      </c>
      <c r="M2906" t="s">
        <v>63</v>
      </c>
      <c r="N2906" s="3">
        <v>232</v>
      </c>
      <c r="O2906" t="s">
        <v>24</v>
      </c>
      <c r="P2906" t="s">
        <v>79</v>
      </c>
      <c r="R2906">
        <f>tblDailySchedule[[#This Row],[Capacity Approx]]*'[1]Load Factor Sheet June Acft  '!$B$5</f>
        <v>187.86727272727273</v>
      </c>
      <c r="S2906">
        <f>tblDailySchedule[[#This Row],[Capacity Approx]]*'[1]Load Factor Sheet June Acft  '!$D$5</f>
        <v>203.4218181818182</v>
      </c>
      <c r="T2906" s="22">
        <f>tblDailySchedule[[#This Row],[STD]]</f>
        <v>0.88194444444444442</v>
      </c>
    </row>
    <row r="2907" spans="1:20" hidden="1" x14ac:dyDescent="0.35">
      <c r="A2907" s="11">
        <v>46214</v>
      </c>
      <c r="B2907" s="3">
        <v>6</v>
      </c>
      <c r="C2907" t="s">
        <v>116</v>
      </c>
      <c r="D2907" t="s">
        <v>18</v>
      </c>
      <c r="E2907" s="3">
        <v>26</v>
      </c>
      <c r="F2907" t="s">
        <v>19</v>
      </c>
      <c r="G2907" t="s">
        <v>93</v>
      </c>
      <c r="H2907" t="s">
        <v>31</v>
      </c>
      <c r="I2907" s="12">
        <v>0.86111111111111116</v>
      </c>
      <c r="J2907" t="s">
        <v>94</v>
      </c>
      <c r="K2907" t="s">
        <v>31</v>
      </c>
      <c r="L2907" s="12">
        <v>0.88888888888888884</v>
      </c>
      <c r="M2907" t="s">
        <v>23</v>
      </c>
      <c r="N2907" s="3">
        <v>186</v>
      </c>
      <c r="O2907" t="s">
        <v>24</v>
      </c>
      <c r="P2907" t="s">
        <v>79</v>
      </c>
      <c r="R2907">
        <f>tblDailySchedule[[#This Row],[Capacity Approx]]*'[1]Load Factor Sheet June Acft  '!$B$5</f>
        <v>150.61772727272728</v>
      </c>
      <c r="S2907">
        <f>tblDailySchedule[[#This Row],[Capacity Approx]]*'[1]Load Factor Sheet June Acft  '!$D$5</f>
        <v>163.08818181818182</v>
      </c>
      <c r="T2907" s="22">
        <f>tblDailySchedule[[#This Row],[STD]]</f>
        <v>0.88888888888888884</v>
      </c>
    </row>
    <row r="2908" spans="1:20" hidden="1" x14ac:dyDescent="0.35">
      <c r="A2908" s="11">
        <v>46214</v>
      </c>
      <c r="B2908" s="3">
        <v>6</v>
      </c>
      <c r="C2908" t="s">
        <v>116</v>
      </c>
      <c r="D2908" t="s">
        <v>18</v>
      </c>
      <c r="E2908" s="3">
        <v>27</v>
      </c>
      <c r="F2908" t="s">
        <v>19</v>
      </c>
      <c r="G2908" t="s">
        <v>95</v>
      </c>
      <c r="H2908" t="s">
        <v>21</v>
      </c>
      <c r="I2908" s="12">
        <v>0.86805555555555558</v>
      </c>
      <c r="J2908" t="s">
        <v>96</v>
      </c>
      <c r="K2908" t="s">
        <v>21</v>
      </c>
      <c r="L2908" s="12">
        <v>0.89583333333333337</v>
      </c>
      <c r="M2908" t="s">
        <v>29</v>
      </c>
      <c r="N2908" s="3">
        <v>186</v>
      </c>
      <c r="O2908" t="s">
        <v>24</v>
      </c>
      <c r="P2908" t="s">
        <v>79</v>
      </c>
      <c r="R2908">
        <f>tblDailySchedule[[#This Row],[Capacity Approx]]*'[1]Load Factor Sheet June Acft  '!$B$5</f>
        <v>150.61772727272728</v>
      </c>
      <c r="S2908">
        <f>tblDailySchedule[[#This Row],[Capacity Approx]]*'[1]Load Factor Sheet June Acft  '!$D$5</f>
        <v>163.08818181818182</v>
      </c>
      <c r="T2908" s="22">
        <f>tblDailySchedule[[#This Row],[STD]]</f>
        <v>0.89583333333333337</v>
      </c>
    </row>
    <row r="2909" spans="1:20" hidden="1" x14ac:dyDescent="0.35">
      <c r="A2909" s="11">
        <v>46214</v>
      </c>
      <c r="B2909" s="3">
        <v>6</v>
      </c>
      <c r="C2909" t="s">
        <v>116</v>
      </c>
      <c r="D2909" t="s">
        <v>18</v>
      </c>
      <c r="E2909" s="3">
        <v>28</v>
      </c>
      <c r="F2909" t="s">
        <v>19</v>
      </c>
      <c r="G2909" t="s">
        <v>97</v>
      </c>
      <c r="H2909" t="s">
        <v>49</v>
      </c>
      <c r="I2909" s="12">
        <v>0.90277777777777779</v>
      </c>
      <c r="J2909" t="s">
        <v>97</v>
      </c>
      <c r="K2909" t="s">
        <v>61</v>
      </c>
      <c r="L2909" s="12">
        <v>0.92361111111111116</v>
      </c>
      <c r="M2909" t="s">
        <v>33</v>
      </c>
      <c r="N2909" s="3">
        <v>189</v>
      </c>
      <c r="O2909" t="s">
        <v>24</v>
      </c>
      <c r="P2909" t="s">
        <v>79</v>
      </c>
      <c r="R2909">
        <f>tblDailySchedule[[#This Row],[Capacity Approx]]*'[1]Load Factor Sheet June Acft  '!$B$5</f>
        <v>153.04704545454547</v>
      </c>
      <c r="S2909">
        <f>tblDailySchedule[[#This Row],[Capacity Approx]]*'[1]Load Factor Sheet June Acft  '!$D$5</f>
        <v>165.71863636363636</v>
      </c>
      <c r="T2909" s="22">
        <f>tblDailySchedule[[#This Row],[STD]]</f>
        <v>0.92361111111111116</v>
      </c>
    </row>
    <row r="2910" spans="1:20" hidden="1" x14ac:dyDescent="0.35">
      <c r="A2910" s="11">
        <v>46214</v>
      </c>
      <c r="B2910" s="3">
        <v>6</v>
      </c>
      <c r="C2910" t="s">
        <v>116</v>
      </c>
      <c r="D2910" t="s">
        <v>18</v>
      </c>
      <c r="E2910" s="3">
        <v>29</v>
      </c>
      <c r="F2910" t="s">
        <v>19</v>
      </c>
      <c r="G2910" t="s">
        <v>98</v>
      </c>
      <c r="H2910" t="s">
        <v>21</v>
      </c>
      <c r="I2910" s="12">
        <v>0.92013888888888884</v>
      </c>
      <c r="J2910" t="s">
        <v>99</v>
      </c>
      <c r="K2910" t="s">
        <v>21</v>
      </c>
      <c r="L2910" s="12">
        <v>0.94791666666666663</v>
      </c>
      <c r="M2910" t="s">
        <v>63</v>
      </c>
      <c r="N2910" s="3">
        <v>232</v>
      </c>
      <c r="O2910" t="s">
        <v>24</v>
      </c>
      <c r="P2910" t="s">
        <v>79</v>
      </c>
      <c r="R2910">
        <f>tblDailySchedule[[#This Row],[Capacity Approx]]*'[1]Load Factor Sheet June Acft  '!$B$5</f>
        <v>187.86727272727273</v>
      </c>
      <c r="S2910">
        <f>tblDailySchedule[[#This Row],[Capacity Approx]]*'[1]Load Factor Sheet June Acft  '!$D$5</f>
        <v>203.4218181818182</v>
      </c>
      <c r="T2910" s="22">
        <f>tblDailySchedule[[#This Row],[STD]]</f>
        <v>0.94791666666666663</v>
      </c>
    </row>
    <row r="2911" spans="1:20" hidden="1" x14ac:dyDescent="0.35">
      <c r="A2911" s="13">
        <v>46214</v>
      </c>
      <c r="B2911" s="7">
        <v>6</v>
      </c>
      <c r="C2911" s="14" t="s">
        <v>116</v>
      </c>
      <c r="D2911" s="14" t="s">
        <v>18</v>
      </c>
      <c r="E2911" s="7">
        <v>30</v>
      </c>
      <c r="F2911" s="14" t="s">
        <v>104</v>
      </c>
      <c r="G2911" s="14" t="s">
        <v>105</v>
      </c>
      <c r="H2911" s="14" t="s">
        <v>106</v>
      </c>
      <c r="I2911" s="15">
        <v>0.92708333333333337</v>
      </c>
      <c r="J2911" s="14" t="s">
        <v>107</v>
      </c>
      <c r="K2911" s="14" t="s">
        <v>106</v>
      </c>
      <c r="L2911" s="15">
        <v>0.95833333333333337</v>
      </c>
      <c r="M2911" s="14" t="s">
        <v>38</v>
      </c>
      <c r="N2911" s="7">
        <v>186</v>
      </c>
      <c r="O2911" s="14" t="s">
        <v>39</v>
      </c>
      <c r="P2911" s="14" t="s">
        <v>79</v>
      </c>
      <c r="Q2911" s="14" t="s">
        <v>39</v>
      </c>
      <c r="R2911">
        <f>tblDailySchedule[[#This Row],[Capacity Approx]]*'[1]Load Factor Sheet June Acft  '!$B$5</f>
        <v>150.61772727272728</v>
      </c>
      <c r="S2911">
        <f>tblDailySchedule[[#This Row],[Capacity Approx]]*'[1]Load Factor Sheet June Acft  '!$D$5</f>
        <v>163.08818181818182</v>
      </c>
      <c r="T2911" s="22">
        <f>tblDailySchedule[[#This Row],[STD]]</f>
        <v>0.95833333333333337</v>
      </c>
    </row>
    <row r="2912" spans="1:20" hidden="1" x14ac:dyDescent="0.35">
      <c r="A2912" s="11">
        <v>46215</v>
      </c>
      <c r="B2912" s="3">
        <v>7</v>
      </c>
      <c r="C2912" t="s">
        <v>17</v>
      </c>
      <c r="D2912" t="s">
        <v>18</v>
      </c>
      <c r="E2912" s="3">
        <v>2</v>
      </c>
      <c r="F2912" t="s">
        <v>19</v>
      </c>
      <c r="G2912" t="s">
        <v>20</v>
      </c>
      <c r="H2912" t="s">
        <v>21</v>
      </c>
      <c r="I2912" s="12">
        <v>0.31944444444444442</v>
      </c>
      <c r="J2912" t="s">
        <v>22</v>
      </c>
      <c r="K2912" t="s">
        <v>21</v>
      </c>
      <c r="L2912" s="12">
        <v>0.34722222222222221</v>
      </c>
      <c r="M2912" t="s">
        <v>23</v>
      </c>
      <c r="N2912" s="3">
        <v>186</v>
      </c>
      <c r="O2912" t="s">
        <v>24</v>
      </c>
      <c r="P2912" t="s">
        <v>25</v>
      </c>
      <c r="R2912">
        <f>tblDailySchedule[[#This Row],[Capacity Approx]]*'[1]Load Factor Sheet June Acft  '!$B$5</f>
        <v>150.61772727272728</v>
      </c>
      <c r="S2912">
        <f>tblDailySchedule[[#This Row],[Capacity Approx]]*'[1]Load Factor Sheet June Acft  '!$D$5</f>
        <v>163.08818181818182</v>
      </c>
      <c r="T2912" s="22">
        <f>tblDailySchedule[[#This Row],[STD]]</f>
        <v>0.34722222222222221</v>
      </c>
    </row>
    <row r="2913" spans="1:20" hidden="1" x14ac:dyDescent="0.35">
      <c r="A2913" s="11">
        <v>46215</v>
      </c>
      <c r="B2913" s="3">
        <v>7</v>
      </c>
      <c r="C2913" t="s">
        <v>17</v>
      </c>
      <c r="D2913" t="s">
        <v>18</v>
      </c>
      <c r="E2913" s="3">
        <v>3</v>
      </c>
      <c r="F2913" t="s">
        <v>19</v>
      </c>
      <c r="G2913" t="s">
        <v>26</v>
      </c>
      <c r="H2913" t="s">
        <v>27</v>
      </c>
      <c r="I2913" s="12">
        <v>0.3263888888888889</v>
      </c>
      <c r="J2913" t="s">
        <v>28</v>
      </c>
      <c r="K2913" t="s">
        <v>27</v>
      </c>
      <c r="L2913" s="12">
        <v>0.35416666666666669</v>
      </c>
      <c r="M2913" t="s">
        <v>29</v>
      </c>
      <c r="N2913" s="3">
        <v>186</v>
      </c>
      <c r="O2913" t="s">
        <v>24</v>
      </c>
      <c r="P2913" t="s">
        <v>25</v>
      </c>
      <c r="R2913">
        <f>tblDailySchedule[[#This Row],[Capacity Approx]]*'[1]Load Factor Sheet June Acft  '!$B$5</f>
        <v>150.61772727272728</v>
      </c>
      <c r="S2913">
        <f>tblDailySchedule[[#This Row],[Capacity Approx]]*'[1]Load Factor Sheet June Acft  '!$D$5</f>
        <v>163.08818181818182</v>
      </c>
      <c r="T2913" s="22">
        <f>tblDailySchedule[[#This Row],[STD]]</f>
        <v>0.35416666666666669</v>
      </c>
    </row>
    <row r="2914" spans="1:20" hidden="1" x14ac:dyDescent="0.35">
      <c r="A2914" s="11">
        <v>46215</v>
      </c>
      <c r="B2914" s="3">
        <v>7</v>
      </c>
      <c r="C2914" t="s">
        <v>17</v>
      </c>
      <c r="D2914" t="s">
        <v>18</v>
      </c>
      <c r="E2914" s="3">
        <v>4</v>
      </c>
      <c r="F2914" t="s">
        <v>19</v>
      </c>
      <c r="G2914" t="s">
        <v>30</v>
      </c>
      <c r="H2914" t="s">
        <v>31</v>
      </c>
      <c r="I2914" s="12">
        <v>0.34722222222222221</v>
      </c>
      <c r="J2914" t="s">
        <v>32</v>
      </c>
      <c r="K2914" t="s">
        <v>31</v>
      </c>
      <c r="L2914" s="12">
        <v>0.36805555555555558</v>
      </c>
      <c r="M2914" t="s">
        <v>33</v>
      </c>
      <c r="N2914" s="3">
        <v>189</v>
      </c>
      <c r="O2914" t="s">
        <v>24</v>
      </c>
      <c r="P2914" t="s">
        <v>25</v>
      </c>
      <c r="R2914">
        <f>tblDailySchedule[[#This Row],[Capacity Approx]]*'[1]Load Factor Sheet June Acft  '!$B$5</f>
        <v>153.04704545454547</v>
      </c>
      <c r="S2914">
        <f>tblDailySchedule[[#This Row],[Capacity Approx]]*'[1]Load Factor Sheet June Acft  '!$D$5</f>
        <v>165.71863636363636</v>
      </c>
      <c r="T2914" s="22">
        <f>tblDailySchedule[[#This Row],[STD]]</f>
        <v>0.36805555555555558</v>
      </c>
    </row>
    <row r="2915" spans="1:20" hidden="1" x14ac:dyDescent="0.35">
      <c r="A2915" s="13">
        <v>46215</v>
      </c>
      <c r="B2915" s="7">
        <v>7</v>
      </c>
      <c r="C2915" s="14" t="s">
        <v>17</v>
      </c>
      <c r="D2915" s="14" t="s">
        <v>18</v>
      </c>
      <c r="E2915" s="7">
        <v>6</v>
      </c>
      <c r="F2915" s="14" t="s">
        <v>34</v>
      </c>
      <c r="G2915" s="14" t="s">
        <v>35</v>
      </c>
      <c r="H2915" s="14" t="s">
        <v>36</v>
      </c>
      <c r="I2915" s="15">
        <v>0.34722222222222221</v>
      </c>
      <c r="J2915" s="14" t="s">
        <v>37</v>
      </c>
      <c r="K2915" s="14" t="s">
        <v>36</v>
      </c>
      <c r="L2915" s="15">
        <v>0.40972222222222221</v>
      </c>
      <c r="M2915" s="14" t="s">
        <v>38</v>
      </c>
      <c r="N2915" s="7">
        <v>186</v>
      </c>
      <c r="O2915" s="14" t="s">
        <v>39</v>
      </c>
      <c r="P2915" s="14" t="s">
        <v>25</v>
      </c>
      <c r="Q2915" s="14" t="s">
        <v>39</v>
      </c>
      <c r="R2915">
        <f>tblDailySchedule[[#This Row],[Capacity Approx]]*'[1]Load Factor Sheet June Acft  '!$B$5</f>
        <v>150.61772727272728</v>
      </c>
      <c r="S2915">
        <f>tblDailySchedule[[#This Row],[Capacity Approx]]*'[1]Load Factor Sheet June Acft  '!$D$5</f>
        <v>163.08818181818182</v>
      </c>
      <c r="T2915" s="22">
        <f>tblDailySchedule[[#This Row],[STD]]</f>
        <v>0.40972222222222221</v>
      </c>
    </row>
    <row r="2916" spans="1:20" hidden="1" x14ac:dyDescent="0.35">
      <c r="A2916" s="11">
        <v>46215</v>
      </c>
      <c r="B2916" s="3">
        <v>7</v>
      </c>
      <c r="C2916" t="s">
        <v>17</v>
      </c>
      <c r="D2916" t="s">
        <v>18</v>
      </c>
      <c r="E2916" s="3">
        <v>5</v>
      </c>
      <c r="F2916" t="s">
        <v>19</v>
      </c>
      <c r="G2916" t="s">
        <v>40</v>
      </c>
      <c r="H2916" t="s">
        <v>31</v>
      </c>
      <c r="I2916" s="12">
        <v>0.35069444444444442</v>
      </c>
      <c r="J2916" t="s">
        <v>41</v>
      </c>
      <c r="K2916" t="s">
        <v>31</v>
      </c>
      <c r="L2916" s="12">
        <v>0.37152777777777779</v>
      </c>
      <c r="M2916" t="s">
        <v>23</v>
      </c>
      <c r="N2916" s="3">
        <v>186</v>
      </c>
      <c r="O2916" t="s">
        <v>24</v>
      </c>
      <c r="P2916" t="s">
        <v>25</v>
      </c>
      <c r="R2916">
        <f>tblDailySchedule[[#This Row],[Capacity Approx]]*'[1]Load Factor Sheet June Acft  '!$B$5</f>
        <v>150.61772727272728</v>
      </c>
      <c r="S2916">
        <f>tblDailySchedule[[#This Row],[Capacity Approx]]*'[1]Load Factor Sheet June Acft  '!$D$5</f>
        <v>163.08818181818182</v>
      </c>
      <c r="T2916" s="22">
        <f>tblDailySchedule[[#This Row],[STD]]</f>
        <v>0.37152777777777779</v>
      </c>
    </row>
    <row r="2917" spans="1:20" hidden="1" x14ac:dyDescent="0.35">
      <c r="A2917" s="11">
        <v>46215</v>
      </c>
      <c r="B2917" s="3">
        <v>7</v>
      </c>
      <c r="C2917" t="s">
        <v>17</v>
      </c>
      <c r="D2917" t="s">
        <v>18</v>
      </c>
      <c r="E2917" s="3">
        <v>7</v>
      </c>
      <c r="F2917" t="s">
        <v>19</v>
      </c>
      <c r="G2917" t="s">
        <v>42</v>
      </c>
      <c r="H2917" t="s">
        <v>43</v>
      </c>
      <c r="I2917" s="12">
        <v>0.3923611111111111</v>
      </c>
      <c r="J2917" t="s">
        <v>44</v>
      </c>
      <c r="K2917" t="s">
        <v>43</v>
      </c>
      <c r="L2917" s="12">
        <v>0.40277777777777779</v>
      </c>
      <c r="M2917" t="s">
        <v>45</v>
      </c>
      <c r="N2917" s="3">
        <v>9</v>
      </c>
      <c r="O2917" t="s">
        <v>24</v>
      </c>
      <c r="P2917" t="s">
        <v>25</v>
      </c>
      <c r="R2917">
        <f>tblDailySchedule[[#This Row],[Capacity Approx]]*'[1]Load Factor Sheet June Acft  '!$B$5</f>
        <v>7.2879545454545456</v>
      </c>
      <c r="S2917">
        <f>tblDailySchedule[[#This Row],[Capacity Approx]]*'[1]Load Factor Sheet June Acft  '!$D$5</f>
        <v>7.8913636363636366</v>
      </c>
      <c r="T2917" s="22">
        <f>tblDailySchedule[[#This Row],[STD]]</f>
        <v>0.40277777777777779</v>
      </c>
    </row>
    <row r="2918" spans="1:20" hidden="1" x14ac:dyDescent="0.35">
      <c r="A2918" s="11">
        <v>46215</v>
      </c>
      <c r="B2918" s="3">
        <v>7</v>
      </c>
      <c r="C2918" t="s">
        <v>17</v>
      </c>
      <c r="D2918" t="s">
        <v>18</v>
      </c>
      <c r="E2918" s="3">
        <v>8</v>
      </c>
      <c r="F2918" t="s">
        <v>19</v>
      </c>
      <c r="G2918" t="s">
        <v>46</v>
      </c>
      <c r="H2918" t="s">
        <v>31</v>
      </c>
      <c r="I2918" s="12">
        <v>0.4201388888888889</v>
      </c>
      <c r="J2918" t="s">
        <v>47</v>
      </c>
      <c r="K2918" t="s">
        <v>31</v>
      </c>
      <c r="L2918" s="12">
        <v>0.44444444444444442</v>
      </c>
      <c r="M2918" t="s">
        <v>29</v>
      </c>
      <c r="N2918" s="3">
        <v>186</v>
      </c>
      <c r="O2918" t="s">
        <v>24</v>
      </c>
      <c r="P2918" t="s">
        <v>25</v>
      </c>
      <c r="R2918">
        <f>tblDailySchedule[[#This Row],[Capacity Approx]]*'[1]Load Factor Sheet June Acft  '!$B$5</f>
        <v>150.61772727272728</v>
      </c>
      <c r="S2918">
        <f>tblDailySchedule[[#This Row],[Capacity Approx]]*'[1]Load Factor Sheet June Acft  '!$D$5</f>
        <v>163.08818181818182</v>
      </c>
      <c r="T2918" s="22">
        <f>tblDailySchedule[[#This Row],[STD]]</f>
        <v>0.44444444444444442</v>
      </c>
    </row>
    <row r="2919" spans="1:20" hidden="1" x14ac:dyDescent="0.35">
      <c r="A2919" s="11">
        <v>46215</v>
      </c>
      <c r="B2919" s="3">
        <v>7</v>
      </c>
      <c r="C2919" t="s">
        <v>17</v>
      </c>
      <c r="D2919" t="s">
        <v>18</v>
      </c>
      <c r="E2919" s="3">
        <v>9</v>
      </c>
      <c r="F2919" t="s">
        <v>19</v>
      </c>
      <c r="G2919" t="s">
        <v>48</v>
      </c>
      <c r="H2919" t="s">
        <v>49</v>
      </c>
      <c r="I2919" s="12">
        <v>0.4375</v>
      </c>
      <c r="J2919" t="s">
        <v>50</v>
      </c>
      <c r="K2919" t="s">
        <v>49</v>
      </c>
      <c r="L2919" s="12">
        <v>0.45833333333333331</v>
      </c>
      <c r="M2919" t="s">
        <v>51</v>
      </c>
      <c r="N2919" s="3">
        <v>78</v>
      </c>
      <c r="O2919" t="s">
        <v>24</v>
      </c>
      <c r="P2919" t="s">
        <v>25</v>
      </c>
      <c r="R2919">
        <f>tblDailySchedule[[#This Row],[Capacity Approx]]*'[1]Load Factor Sheet June Acft  '!$B$5</f>
        <v>63.162272727272729</v>
      </c>
      <c r="S2919">
        <f>tblDailySchedule[[#This Row],[Capacity Approx]]*'[1]Load Factor Sheet June Acft  '!$D$5</f>
        <v>68.391818181818181</v>
      </c>
      <c r="T2919" s="22">
        <f>tblDailySchedule[[#This Row],[STD]]</f>
        <v>0.45833333333333331</v>
      </c>
    </row>
    <row r="2920" spans="1:20" hidden="1" x14ac:dyDescent="0.35">
      <c r="A2920" s="11">
        <v>46215</v>
      </c>
      <c r="B2920" s="3">
        <v>7</v>
      </c>
      <c r="C2920" t="s">
        <v>17</v>
      </c>
      <c r="D2920" t="s">
        <v>18</v>
      </c>
      <c r="E2920" s="3">
        <v>10</v>
      </c>
      <c r="F2920" t="s">
        <v>19</v>
      </c>
      <c r="G2920" t="s">
        <v>52</v>
      </c>
      <c r="H2920" t="s">
        <v>27</v>
      </c>
      <c r="I2920" s="12">
        <v>0.4826388888888889</v>
      </c>
      <c r="J2920" t="s">
        <v>53</v>
      </c>
      <c r="K2920" t="s">
        <v>27</v>
      </c>
      <c r="L2920" s="12">
        <v>0.51041666666666663</v>
      </c>
      <c r="M2920" t="s">
        <v>23</v>
      </c>
      <c r="N2920" s="3">
        <v>186</v>
      </c>
      <c r="O2920" t="s">
        <v>24</v>
      </c>
      <c r="P2920" t="s">
        <v>25</v>
      </c>
      <c r="R2920">
        <f>tblDailySchedule[[#This Row],[Capacity Approx]]*'[1]Load Factor Sheet June Acft  '!$B$5</f>
        <v>150.61772727272728</v>
      </c>
      <c r="S2920">
        <f>tblDailySchedule[[#This Row],[Capacity Approx]]*'[1]Load Factor Sheet June Acft  '!$D$5</f>
        <v>163.08818181818182</v>
      </c>
      <c r="T2920" s="22">
        <f>tblDailySchedule[[#This Row],[STD]]</f>
        <v>0.51041666666666663</v>
      </c>
    </row>
    <row r="2921" spans="1:20" hidden="1" x14ac:dyDescent="0.35">
      <c r="A2921" s="11">
        <v>46215</v>
      </c>
      <c r="B2921" s="3">
        <v>7</v>
      </c>
      <c r="C2921" t="s">
        <v>17</v>
      </c>
      <c r="D2921" t="s">
        <v>18</v>
      </c>
      <c r="E2921" s="3">
        <v>11</v>
      </c>
      <c r="F2921" t="s">
        <v>19</v>
      </c>
      <c r="G2921" t="s">
        <v>54</v>
      </c>
      <c r="H2921" t="s">
        <v>31</v>
      </c>
      <c r="I2921" s="12">
        <v>0.51388888888888884</v>
      </c>
      <c r="J2921" t="s">
        <v>55</v>
      </c>
      <c r="K2921" t="s">
        <v>31</v>
      </c>
      <c r="L2921" s="12">
        <v>0.54166666666666663</v>
      </c>
      <c r="M2921" t="s">
        <v>23</v>
      </c>
      <c r="N2921" s="3">
        <v>186</v>
      </c>
      <c r="O2921" t="s">
        <v>24</v>
      </c>
      <c r="P2921" t="s">
        <v>56</v>
      </c>
      <c r="R2921">
        <f>tblDailySchedule[[#This Row],[Capacity Approx]]*'[1]Load Factor Sheet June Acft  '!$B$5</f>
        <v>150.61772727272728</v>
      </c>
      <c r="S2921">
        <f>tblDailySchedule[[#This Row],[Capacity Approx]]*'[1]Load Factor Sheet June Acft  '!$D$5</f>
        <v>163.08818181818182</v>
      </c>
      <c r="T2921" s="22">
        <f>tblDailySchedule[[#This Row],[STD]]</f>
        <v>0.54166666666666663</v>
      </c>
    </row>
    <row r="2922" spans="1:20" hidden="1" x14ac:dyDescent="0.35">
      <c r="A2922" s="11">
        <v>46215</v>
      </c>
      <c r="B2922" s="3">
        <v>7</v>
      </c>
      <c r="C2922" t="s">
        <v>17</v>
      </c>
      <c r="D2922" t="s">
        <v>18</v>
      </c>
      <c r="E2922" s="3">
        <v>13</v>
      </c>
      <c r="F2922" t="s">
        <v>19</v>
      </c>
      <c r="G2922" t="s">
        <v>57</v>
      </c>
      <c r="H2922" t="s">
        <v>58</v>
      </c>
      <c r="I2922" s="12">
        <v>0.55902777777777779</v>
      </c>
      <c r="J2922" t="s">
        <v>59</v>
      </c>
      <c r="K2922" t="s">
        <v>58</v>
      </c>
      <c r="L2922" s="12">
        <v>0.57638888888888884</v>
      </c>
      <c r="M2922" t="s">
        <v>51</v>
      </c>
      <c r="N2922" s="3">
        <v>78</v>
      </c>
      <c r="O2922" t="s">
        <v>24</v>
      </c>
      <c r="P2922" t="s">
        <v>56</v>
      </c>
      <c r="R2922">
        <f>tblDailySchedule[[#This Row],[Capacity Approx]]*'[1]Load Factor Sheet June Acft  '!$B$5</f>
        <v>63.162272727272729</v>
      </c>
      <c r="S2922">
        <f>tblDailySchedule[[#This Row],[Capacity Approx]]*'[1]Load Factor Sheet June Acft  '!$D$5</f>
        <v>68.391818181818181</v>
      </c>
      <c r="T2922" s="22">
        <f>tblDailySchedule[[#This Row],[STD]]</f>
        <v>0.57638888888888884</v>
      </c>
    </row>
    <row r="2923" spans="1:20" hidden="1" x14ac:dyDescent="0.35">
      <c r="A2923" s="11">
        <v>46215</v>
      </c>
      <c r="B2923" s="3">
        <v>7</v>
      </c>
      <c r="C2923" t="s">
        <v>17</v>
      </c>
      <c r="D2923" t="s">
        <v>18</v>
      </c>
      <c r="E2923" s="3">
        <v>14</v>
      </c>
      <c r="F2923" t="s">
        <v>19</v>
      </c>
      <c r="G2923" t="s">
        <v>60</v>
      </c>
      <c r="H2923" t="s">
        <v>61</v>
      </c>
      <c r="I2923" s="12">
        <v>0.59027777777777779</v>
      </c>
      <c r="J2923" t="s">
        <v>62</v>
      </c>
      <c r="K2923" t="s">
        <v>61</v>
      </c>
      <c r="L2923" s="12">
        <v>0.62152777777777779</v>
      </c>
      <c r="M2923" t="s">
        <v>63</v>
      </c>
      <c r="N2923" s="3">
        <v>232</v>
      </c>
      <c r="O2923" t="s">
        <v>24</v>
      </c>
      <c r="P2923" t="s">
        <v>56</v>
      </c>
      <c r="R2923">
        <f>tblDailySchedule[[#This Row],[Capacity Approx]]*'[1]Load Factor Sheet June Acft  '!$B$5</f>
        <v>187.86727272727273</v>
      </c>
      <c r="S2923">
        <f>tblDailySchedule[[#This Row],[Capacity Approx]]*'[1]Load Factor Sheet June Acft  '!$D$5</f>
        <v>203.4218181818182</v>
      </c>
      <c r="T2923" s="22">
        <f>tblDailySchedule[[#This Row],[STD]]</f>
        <v>0.62152777777777779</v>
      </c>
    </row>
    <row r="2924" spans="1:20" hidden="1" x14ac:dyDescent="0.35">
      <c r="A2924" s="11">
        <v>46215</v>
      </c>
      <c r="B2924" s="3">
        <v>7</v>
      </c>
      <c r="C2924" t="s">
        <v>17</v>
      </c>
      <c r="D2924" t="s">
        <v>18</v>
      </c>
      <c r="E2924" s="3">
        <v>15</v>
      </c>
      <c r="F2924" t="s">
        <v>19</v>
      </c>
      <c r="G2924" t="s">
        <v>64</v>
      </c>
      <c r="H2924" t="s">
        <v>31</v>
      </c>
      <c r="I2924" s="12">
        <v>0.60069444444444442</v>
      </c>
      <c r="J2924" t="s">
        <v>65</v>
      </c>
      <c r="K2924" t="s">
        <v>66</v>
      </c>
      <c r="L2924" s="12">
        <v>0.62847222222222221</v>
      </c>
      <c r="M2924" t="s">
        <v>63</v>
      </c>
      <c r="N2924" s="3">
        <v>232</v>
      </c>
      <c r="O2924" t="s">
        <v>24</v>
      </c>
      <c r="P2924" t="s">
        <v>56</v>
      </c>
      <c r="R2924">
        <f>tblDailySchedule[[#This Row],[Capacity Approx]]*'[1]Load Factor Sheet June Acft  '!$B$5</f>
        <v>187.86727272727273</v>
      </c>
      <c r="S2924">
        <f>tblDailySchedule[[#This Row],[Capacity Approx]]*'[1]Load Factor Sheet June Acft  '!$D$5</f>
        <v>203.4218181818182</v>
      </c>
      <c r="T2924" s="22">
        <f>tblDailySchedule[[#This Row],[STD]]</f>
        <v>0.62847222222222221</v>
      </c>
    </row>
    <row r="2925" spans="1:20" hidden="1" x14ac:dyDescent="0.35">
      <c r="A2925" s="11">
        <v>46215</v>
      </c>
      <c r="B2925" s="3">
        <v>7</v>
      </c>
      <c r="C2925" t="s">
        <v>17</v>
      </c>
      <c r="D2925" t="s">
        <v>18</v>
      </c>
      <c r="E2925" s="3">
        <v>16</v>
      </c>
      <c r="F2925" t="s">
        <v>19</v>
      </c>
      <c r="G2925" t="s">
        <v>67</v>
      </c>
      <c r="H2925" t="s">
        <v>31</v>
      </c>
      <c r="I2925" s="12">
        <v>0.65625</v>
      </c>
      <c r="J2925" t="s">
        <v>68</v>
      </c>
      <c r="K2925" t="s">
        <v>31</v>
      </c>
      <c r="L2925" s="12">
        <v>0.68402777777777779</v>
      </c>
      <c r="M2925" t="s">
        <v>63</v>
      </c>
      <c r="N2925" s="3">
        <v>232</v>
      </c>
      <c r="O2925" t="s">
        <v>24</v>
      </c>
      <c r="P2925" t="s">
        <v>56</v>
      </c>
      <c r="R2925">
        <f>tblDailySchedule[[#This Row],[Capacity Approx]]*'[1]Load Factor Sheet June Acft  '!$B$5</f>
        <v>187.86727272727273</v>
      </c>
      <c r="S2925">
        <f>tblDailySchedule[[#This Row],[Capacity Approx]]*'[1]Load Factor Sheet June Acft  '!$D$5</f>
        <v>203.4218181818182</v>
      </c>
      <c r="T2925" s="22">
        <f>tblDailySchedule[[#This Row],[STD]]</f>
        <v>0.68402777777777779</v>
      </c>
    </row>
    <row r="2926" spans="1:20" hidden="1" x14ac:dyDescent="0.35">
      <c r="A2926" s="11">
        <v>46215</v>
      </c>
      <c r="B2926" s="3">
        <v>7</v>
      </c>
      <c r="C2926" t="s">
        <v>17</v>
      </c>
      <c r="D2926" t="s">
        <v>18</v>
      </c>
      <c r="E2926" s="3">
        <v>17</v>
      </c>
      <c r="F2926" t="s">
        <v>19</v>
      </c>
      <c r="G2926" t="s">
        <v>69</v>
      </c>
      <c r="H2926" t="s">
        <v>31</v>
      </c>
      <c r="I2926" s="12">
        <v>0.66319444444444442</v>
      </c>
      <c r="J2926" t="s">
        <v>70</v>
      </c>
      <c r="K2926" t="s">
        <v>31</v>
      </c>
      <c r="L2926" s="12">
        <v>0.69097222222222221</v>
      </c>
      <c r="M2926" t="s">
        <v>33</v>
      </c>
      <c r="N2926" s="3">
        <v>189</v>
      </c>
      <c r="O2926" t="s">
        <v>24</v>
      </c>
      <c r="P2926" t="s">
        <v>56</v>
      </c>
      <c r="R2926">
        <f>tblDailySchedule[[#This Row],[Capacity Approx]]*'[1]Load Factor Sheet June Acft  '!$B$5</f>
        <v>153.04704545454547</v>
      </c>
      <c r="S2926">
        <f>tblDailySchedule[[#This Row],[Capacity Approx]]*'[1]Load Factor Sheet June Acft  '!$D$5</f>
        <v>165.71863636363636</v>
      </c>
      <c r="T2926" s="22">
        <f>tblDailySchedule[[#This Row],[STD]]</f>
        <v>0.69097222222222221</v>
      </c>
    </row>
    <row r="2927" spans="1:20" hidden="1" x14ac:dyDescent="0.35">
      <c r="A2927" s="11">
        <v>46215</v>
      </c>
      <c r="B2927" s="3">
        <v>7</v>
      </c>
      <c r="C2927" t="s">
        <v>17</v>
      </c>
      <c r="D2927" t="s">
        <v>18</v>
      </c>
      <c r="E2927" s="3">
        <v>18</v>
      </c>
      <c r="F2927" t="s">
        <v>19</v>
      </c>
      <c r="G2927" t="s">
        <v>71</v>
      </c>
      <c r="H2927" t="s">
        <v>21</v>
      </c>
      <c r="I2927" s="12">
        <v>0.67013888888888884</v>
      </c>
      <c r="J2927" t="s">
        <v>72</v>
      </c>
      <c r="K2927" t="s">
        <v>21</v>
      </c>
      <c r="L2927" s="12">
        <v>0.69791666666666663</v>
      </c>
      <c r="M2927" t="s">
        <v>63</v>
      </c>
      <c r="N2927" s="3">
        <v>232</v>
      </c>
      <c r="O2927" t="s">
        <v>24</v>
      </c>
      <c r="P2927" t="s">
        <v>56</v>
      </c>
      <c r="R2927">
        <f>tblDailySchedule[[#This Row],[Capacity Approx]]*'[1]Load Factor Sheet June Acft  '!$B$5</f>
        <v>187.86727272727273</v>
      </c>
      <c r="S2927">
        <f>tblDailySchedule[[#This Row],[Capacity Approx]]*'[1]Load Factor Sheet June Acft  '!$D$5</f>
        <v>203.4218181818182</v>
      </c>
      <c r="T2927" s="22">
        <f>tblDailySchedule[[#This Row],[STD]]</f>
        <v>0.69791666666666663</v>
      </c>
    </row>
    <row r="2928" spans="1:20" hidden="1" x14ac:dyDescent="0.35">
      <c r="A2928" s="11">
        <v>46215</v>
      </c>
      <c r="B2928" s="3">
        <v>7</v>
      </c>
      <c r="C2928" t="s">
        <v>17</v>
      </c>
      <c r="D2928" t="s">
        <v>18</v>
      </c>
      <c r="E2928" s="3">
        <v>19</v>
      </c>
      <c r="F2928" t="s">
        <v>19</v>
      </c>
      <c r="G2928" t="s">
        <v>73</v>
      </c>
      <c r="H2928" t="s">
        <v>27</v>
      </c>
      <c r="I2928" s="12">
        <v>0.74652777777777779</v>
      </c>
      <c r="J2928" t="s">
        <v>74</v>
      </c>
      <c r="K2928" t="s">
        <v>27</v>
      </c>
      <c r="L2928" s="12">
        <v>0.77430555555555558</v>
      </c>
      <c r="M2928" t="s">
        <v>63</v>
      </c>
      <c r="N2928" s="3">
        <v>232</v>
      </c>
      <c r="O2928" t="s">
        <v>24</v>
      </c>
      <c r="P2928" t="s">
        <v>56</v>
      </c>
      <c r="R2928">
        <f>tblDailySchedule[[#This Row],[Capacity Approx]]*'[1]Load Factor Sheet June Acft  '!$B$5</f>
        <v>187.86727272727273</v>
      </c>
      <c r="S2928">
        <f>tblDailySchedule[[#This Row],[Capacity Approx]]*'[1]Load Factor Sheet June Acft  '!$D$5</f>
        <v>203.4218181818182</v>
      </c>
      <c r="T2928" s="22">
        <f>tblDailySchedule[[#This Row],[STD]]</f>
        <v>0.77430555555555558</v>
      </c>
    </row>
    <row r="2929" spans="1:20" hidden="1" x14ac:dyDescent="0.35">
      <c r="A2929" s="11">
        <v>46215</v>
      </c>
      <c r="B2929" s="3">
        <v>7</v>
      </c>
      <c r="C2929" t="s">
        <v>17</v>
      </c>
      <c r="D2929" t="s">
        <v>18</v>
      </c>
      <c r="E2929" s="3">
        <v>20</v>
      </c>
      <c r="F2929" t="s">
        <v>34</v>
      </c>
      <c r="G2929" t="s">
        <v>75</v>
      </c>
      <c r="H2929" t="s">
        <v>76</v>
      </c>
      <c r="I2929" s="12">
        <v>0.76388888888888884</v>
      </c>
      <c r="J2929" t="s">
        <v>77</v>
      </c>
      <c r="K2929" t="s">
        <v>78</v>
      </c>
      <c r="L2929" s="12">
        <v>0.78472222222222221</v>
      </c>
      <c r="M2929" t="s">
        <v>51</v>
      </c>
      <c r="N2929" s="3">
        <v>78</v>
      </c>
      <c r="O2929" t="s">
        <v>24</v>
      </c>
      <c r="P2929" t="s">
        <v>79</v>
      </c>
      <c r="Q2929" s="16" t="s">
        <v>80</v>
      </c>
      <c r="R2929">
        <f>tblDailySchedule[[#This Row],[Capacity Approx]]*'[1]Load Factor Sheet June Acft  '!$B$5</f>
        <v>63.162272727272729</v>
      </c>
      <c r="S2929">
        <f>tblDailySchedule[[#This Row],[Capacity Approx]]*'[1]Load Factor Sheet June Acft  '!$D$5</f>
        <v>68.391818181818181</v>
      </c>
      <c r="T2929" s="22">
        <f>tblDailySchedule[[#This Row],[STD]]</f>
        <v>0.78472222222222221</v>
      </c>
    </row>
    <row r="2930" spans="1:20" hidden="1" x14ac:dyDescent="0.35">
      <c r="A2930" s="11">
        <v>46215</v>
      </c>
      <c r="B2930" s="3">
        <v>7</v>
      </c>
      <c r="C2930" t="s">
        <v>17</v>
      </c>
      <c r="D2930" t="s">
        <v>18</v>
      </c>
      <c r="E2930" s="3">
        <v>21</v>
      </c>
      <c r="F2930" t="s">
        <v>19</v>
      </c>
      <c r="G2930" t="s">
        <v>81</v>
      </c>
      <c r="H2930" t="s">
        <v>61</v>
      </c>
      <c r="I2930" s="12">
        <v>0.77083333333333337</v>
      </c>
      <c r="J2930" t="s">
        <v>82</v>
      </c>
      <c r="K2930" t="s">
        <v>49</v>
      </c>
      <c r="L2930" s="12">
        <v>0.79166666666666663</v>
      </c>
      <c r="M2930" t="s">
        <v>33</v>
      </c>
      <c r="N2930" s="3">
        <v>189</v>
      </c>
      <c r="O2930" t="s">
        <v>24</v>
      </c>
      <c r="P2930" t="s">
        <v>79</v>
      </c>
      <c r="R2930">
        <f>tblDailySchedule[[#This Row],[Capacity Approx]]*'[1]Load Factor Sheet June Acft  '!$B$5</f>
        <v>153.04704545454547</v>
      </c>
      <c r="S2930">
        <f>tblDailySchedule[[#This Row],[Capacity Approx]]*'[1]Load Factor Sheet June Acft  '!$D$5</f>
        <v>165.71863636363636</v>
      </c>
      <c r="T2930" s="22">
        <f>tblDailySchedule[[#This Row],[STD]]</f>
        <v>0.79166666666666663</v>
      </c>
    </row>
    <row r="2931" spans="1:20" hidden="1" x14ac:dyDescent="0.35">
      <c r="A2931" s="11">
        <v>46215</v>
      </c>
      <c r="B2931" s="3">
        <v>7</v>
      </c>
      <c r="C2931" t="s">
        <v>17</v>
      </c>
      <c r="D2931" t="s">
        <v>18</v>
      </c>
      <c r="E2931" s="3">
        <v>22</v>
      </c>
      <c r="F2931" t="s">
        <v>19</v>
      </c>
      <c r="G2931" t="s">
        <v>83</v>
      </c>
      <c r="H2931" t="s">
        <v>31</v>
      </c>
      <c r="I2931" s="12">
        <v>0.77777777777777779</v>
      </c>
      <c r="J2931" t="s">
        <v>84</v>
      </c>
      <c r="K2931" t="s">
        <v>31</v>
      </c>
      <c r="L2931" s="12">
        <v>0.80555555555555558</v>
      </c>
      <c r="M2931" t="s">
        <v>63</v>
      </c>
      <c r="N2931" s="3">
        <v>232</v>
      </c>
      <c r="O2931" t="s">
        <v>24</v>
      </c>
      <c r="P2931" t="s">
        <v>79</v>
      </c>
      <c r="R2931">
        <f>tblDailySchedule[[#This Row],[Capacity Approx]]*'[1]Load Factor Sheet June Acft  '!$B$5</f>
        <v>187.86727272727273</v>
      </c>
      <c r="S2931">
        <f>tblDailySchedule[[#This Row],[Capacity Approx]]*'[1]Load Factor Sheet June Acft  '!$D$5</f>
        <v>203.4218181818182</v>
      </c>
      <c r="T2931" s="22">
        <f>tblDailySchedule[[#This Row],[STD]]</f>
        <v>0.80555555555555558</v>
      </c>
    </row>
    <row r="2932" spans="1:20" hidden="1" x14ac:dyDescent="0.35">
      <c r="A2932" s="11">
        <v>46215</v>
      </c>
      <c r="B2932" s="3">
        <v>7</v>
      </c>
      <c r="C2932" t="s">
        <v>17</v>
      </c>
      <c r="D2932" t="s">
        <v>18</v>
      </c>
      <c r="E2932" s="3">
        <v>23</v>
      </c>
      <c r="F2932" t="s">
        <v>19</v>
      </c>
      <c r="G2932" t="s">
        <v>85</v>
      </c>
      <c r="H2932" t="s">
        <v>86</v>
      </c>
      <c r="I2932" s="12">
        <v>0.79861111111111116</v>
      </c>
      <c r="J2932" t="s">
        <v>87</v>
      </c>
      <c r="K2932" t="s">
        <v>86</v>
      </c>
      <c r="L2932" s="12">
        <v>0.82638888888888884</v>
      </c>
      <c r="M2932" t="s">
        <v>63</v>
      </c>
      <c r="N2932" s="3">
        <v>232</v>
      </c>
      <c r="O2932" t="s">
        <v>24</v>
      </c>
      <c r="P2932" t="s">
        <v>79</v>
      </c>
      <c r="R2932">
        <f>tblDailySchedule[[#This Row],[Capacity Approx]]*'[1]Load Factor Sheet June Acft  '!$B$5</f>
        <v>187.86727272727273</v>
      </c>
      <c r="S2932">
        <f>tblDailySchedule[[#This Row],[Capacity Approx]]*'[1]Load Factor Sheet June Acft  '!$D$5</f>
        <v>203.4218181818182</v>
      </c>
      <c r="T2932" s="22">
        <f>tblDailySchedule[[#This Row],[STD]]</f>
        <v>0.82638888888888884</v>
      </c>
    </row>
    <row r="2933" spans="1:20" hidden="1" x14ac:dyDescent="0.35">
      <c r="A2933" s="11">
        <v>46215</v>
      </c>
      <c r="B2933" s="3">
        <v>7</v>
      </c>
      <c r="C2933" t="s">
        <v>17</v>
      </c>
      <c r="D2933" t="s">
        <v>18</v>
      </c>
      <c r="E2933" s="3">
        <v>24</v>
      </c>
      <c r="F2933" t="s">
        <v>19</v>
      </c>
      <c r="G2933" t="s">
        <v>88</v>
      </c>
      <c r="H2933" t="s">
        <v>89</v>
      </c>
      <c r="I2933" s="12">
        <v>0.83333333333333337</v>
      </c>
      <c r="J2933" t="s">
        <v>90</v>
      </c>
      <c r="K2933" t="s">
        <v>31</v>
      </c>
      <c r="L2933" s="12">
        <v>0.86111111111111116</v>
      </c>
      <c r="M2933" t="s">
        <v>63</v>
      </c>
      <c r="N2933" s="3">
        <v>232</v>
      </c>
      <c r="O2933" t="s">
        <v>24</v>
      </c>
      <c r="P2933" t="s">
        <v>79</v>
      </c>
      <c r="R2933">
        <f>tblDailySchedule[[#This Row],[Capacity Approx]]*'[1]Load Factor Sheet June Acft  '!$B$5</f>
        <v>187.86727272727273</v>
      </c>
      <c r="S2933">
        <f>tblDailySchedule[[#This Row],[Capacity Approx]]*'[1]Load Factor Sheet June Acft  '!$D$5</f>
        <v>203.4218181818182</v>
      </c>
      <c r="T2933" s="22">
        <f>tblDailySchedule[[#This Row],[STD]]</f>
        <v>0.86111111111111116</v>
      </c>
    </row>
    <row r="2934" spans="1:20" hidden="1" x14ac:dyDescent="0.35">
      <c r="A2934" s="11">
        <v>46215</v>
      </c>
      <c r="B2934" s="3">
        <v>7</v>
      </c>
      <c r="C2934" t="s">
        <v>17</v>
      </c>
      <c r="D2934" t="s">
        <v>18</v>
      </c>
      <c r="E2934" s="3">
        <v>25</v>
      </c>
      <c r="F2934" t="s">
        <v>19</v>
      </c>
      <c r="G2934" t="s">
        <v>91</v>
      </c>
      <c r="H2934" t="s">
        <v>61</v>
      </c>
      <c r="I2934" s="12">
        <v>0.85416666666666663</v>
      </c>
      <c r="J2934" t="s">
        <v>92</v>
      </c>
      <c r="K2934" t="s">
        <v>61</v>
      </c>
      <c r="L2934" s="12">
        <v>0.88194444444444442</v>
      </c>
      <c r="M2934" t="s">
        <v>63</v>
      </c>
      <c r="N2934" s="3">
        <v>232</v>
      </c>
      <c r="O2934" t="s">
        <v>24</v>
      </c>
      <c r="P2934" t="s">
        <v>79</v>
      </c>
      <c r="R2934">
        <f>tblDailySchedule[[#This Row],[Capacity Approx]]*'[1]Load Factor Sheet June Acft  '!$B$5</f>
        <v>187.86727272727273</v>
      </c>
      <c r="S2934">
        <f>tblDailySchedule[[#This Row],[Capacity Approx]]*'[1]Load Factor Sheet June Acft  '!$D$5</f>
        <v>203.4218181818182</v>
      </c>
      <c r="T2934" s="22">
        <f>tblDailySchedule[[#This Row],[STD]]</f>
        <v>0.88194444444444442</v>
      </c>
    </row>
    <row r="2935" spans="1:20" hidden="1" x14ac:dyDescent="0.35">
      <c r="A2935" s="11">
        <v>46215</v>
      </c>
      <c r="B2935" s="3">
        <v>7</v>
      </c>
      <c r="C2935" t="s">
        <v>17</v>
      </c>
      <c r="D2935" t="s">
        <v>18</v>
      </c>
      <c r="E2935" s="3">
        <v>26</v>
      </c>
      <c r="F2935" t="s">
        <v>19</v>
      </c>
      <c r="G2935" t="s">
        <v>93</v>
      </c>
      <c r="H2935" t="s">
        <v>31</v>
      </c>
      <c r="I2935" s="12">
        <v>0.86111111111111116</v>
      </c>
      <c r="J2935" t="s">
        <v>94</v>
      </c>
      <c r="K2935" t="s">
        <v>31</v>
      </c>
      <c r="L2935" s="12">
        <v>0.88888888888888884</v>
      </c>
      <c r="M2935" t="s">
        <v>23</v>
      </c>
      <c r="N2935" s="3">
        <v>186</v>
      </c>
      <c r="O2935" t="s">
        <v>24</v>
      </c>
      <c r="P2935" t="s">
        <v>79</v>
      </c>
      <c r="R2935">
        <f>tblDailySchedule[[#This Row],[Capacity Approx]]*'[1]Load Factor Sheet June Acft  '!$B$5</f>
        <v>150.61772727272728</v>
      </c>
      <c r="S2935">
        <f>tblDailySchedule[[#This Row],[Capacity Approx]]*'[1]Load Factor Sheet June Acft  '!$D$5</f>
        <v>163.08818181818182</v>
      </c>
      <c r="T2935" s="22">
        <f>tblDailySchedule[[#This Row],[STD]]</f>
        <v>0.88888888888888884</v>
      </c>
    </row>
    <row r="2936" spans="1:20" hidden="1" x14ac:dyDescent="0.35">
      <c r="A2936" s="11">
        <v>46215</v>
      </c>
      <c r="B2936" s="3">
        <v>7</v>
      </c>
      <c r="C2936" t="s">
        <v>17</v>
      </c>
      <c r="D2936" t="s">
        <v>18</v>
      </c>
      <c r="E2936" s="3">
        <v>27</v>
      </c>
      <c r="F2936" t="s">
        <v>19</v>
      </c>
      <c r="G2936" t="s">
        <v>95</v>
      </c>
      <c r="H2936" t="s">
        <v>21</v>
      </c>
      <c r="I2936" s="12">
        <v>0.86805555555555558</v>
      </c>
      <c r="J2936" t="s">
        <v>96</v>
      </c>
      <c r="K2936" t="s">
        <v>21</v>
      </c>
      <c r="L2936" s="12">
        <v>0.89583333333333337</v>
      </c>
      <c r="M2936" t="s">
        <v>29</v>
      </c>
      <c r="N2936" s="3">
        <v>186</v>
      </c>
      <c r="O2936" t="s">
        <v>24</v>
      </c>
      <c r="P2936" t="s">
        <v>79</v>
      </c>
      <c r="R2936">
        <f>tblDailySchedule[[#This Row],[Capacity Approx]]*'[1]Load Factor Sheet June Acft  '!$B$5</f>
        <v>150.61772727272728</v>
      </c>
      <c r="S2936">
        <f>tblDailySchedule[[#This Row],[Capacity Approx]]*'[1]Load Factor Sheet June Acft  '!$D$5</f>
        <v>163.08818181818182</v>
      </c>
      <c r="T2936" s="22">
        <f>tblDailySchedule[[#This Row],[STD]]</f>
        <v>0.89583333333333337</v>
      </c>
    </row>
    <row r="2937" spans="1:20" hidden="1" x14ac:dyDescent="0.35">
      <c r="A2937" s="11">
        <v>46215</v>
      </c>
      <c r="B2937" s="3">
        <v>7</v>
      </c>
      <c r="C2937" t="s">
        <v>17</v>
      </c>
      <c r="D2937" t="s">
        <v>18</v>
      </c>
      <c r="E2937" s="3">
        <v>28</v>
      </c>
      <c r="F2937" t="s">
        <v>19</v>
      </c>
      <c r="G2937" t="s">
        <v>97</v>
      </c>
      <c r="H2937" t="s">
        <v>49</v>
      </c>
      <c r="I2937" s="12">
        <v>0.90277777777777779</v>
      </c>
      <c r="J2937" t="s">
        <v>97</v>
      </c>
      <c r="K2937" t="s">
        <v>61</v>
      </c>
      <c r="L2937" s="12">
        <v>0.92361111111111116</v>
      </c>
      <c r="M2937" t="s">
        <v>33</v>
      </c>
      <c r="N2937" s="3">
        <v>189</v>
      </c>
      <c r="O2937" t="s">
        <v>24</v>
      </c>
      <c r="P2937" t="s">
        <v>79</v>
      </c>
      <c r="R2937">
        <f>tblDailySchedule[[#This Row],[Capacity Approx]]*'[1]Load Factor Sheet June Acft  '!$B$5</f>
        <v>153.04704545454547</v>
      </c>
      <c r="S2937">
        <f>tblDailySchedule[[#This Row],[Capacity Approx]]*'[1]Load Factor Sheet June Acft  '!$D$5</f>
        <v>165.71863636363636</v>
      </c>
      <c r="T2937" s="22">
        <f>tblDailySchedule[[#This Row],[STD]]</f>
        <v>0.92361111111111116</v>
      </c>
    </row>
    <row r="2938" spans="1:20" hidden="1" x14ac:dyDescent="0.35">
      <c r="A2938" s="11">
        <v>46215</v>
      </c>
      <c r="B2938" s="3">
        <v>7</v>
      </c>
      <c r="C2938" t="s">
        <v>17</v>
      </c>
      <c r="D2938" t="s">
        <v>18</v>
      </c>
      <c r="E2938" s="3">
        <v>29</v>
      </c>
      <c r="F2938" t="s">
        <v>19</v>
      </c>
      <c r="G2938" t="s">
        <v>98</v>
      </c>
      <c r="H2938" t="s">
        <v>21</v>
      </c>
      <c r="I2938" s="12">
        <v>0.92013888888888884</v>
      </c>
      <c r="J2938" t="s">
        <v>99</v>
      </c>
      <c r="K2938" t="s">
        <v>21</v>
      </c>
      <c r="L2938" s="12">
        <v>0.94791666666666663</v>
      </c>
      <c r="M2938" t="s">
        <v>63</v>
      </c>
      <c r="N2938" s="3">
        <v>232</v>
      </c>
      <c r="O2938" t="s">
        <v>24</v>
      </c>
      <c r="P2938" t="s">
        <v>79</v>
      </c>
      <c r="R2938">
        <f>tblDailySchedule[[#This Row],[Capacity Approx]]*'[1]Load Factor Sheet June Acft  '!$B$5</f>
        <v>187.86727272727273</v>
      </c>
      <c r="S2938">
        <f>tblDailySchedule[[#This Row],[Capacity Approx]]*'[1]Load Factor Sheet June Acft  '!$D$5</f>
        <v>203.4218181818182</v>
      </c>
      <c r="T2938" s="22">
        <f>tblDailySchedule[[#This Row],[STD]]</f>
        <v>0.94791666666666663</v>
      </c>
    </row>
    <row r="2939" spans="1:20" hidden="1" x14ac:dyDescent="0.35">
      <c r="A2939" s="11">
        <v>46216</v>
      </c>
      <c r="B2939" s="3">
        <v>1</v>
      </c>
      <c r="C2939" t="s">
        <v>100</v>
      </c>
      <c r="D2939" t="s">
        <v>18</v>
      </c>
      <c r="E2939" s="3">
        <v>1</v>
      </c>
      <c r="F2939" t="s">
        <v>101</v>
      </c>
      <c r="G2939" t="s">
        <v>102</v>
      </c>
      <c r="H2939" t="s">
        <v>61</v>
      </c>
      <c r="I2939" s="12">
        <v>0.3125</v>
      </c>
      <c r="J2939" t="s">
        <v>103</v>
      </c>
      <c r="K2939" t="s">
        <v>61</v>
      </c>
      <c r="L2939" s="12">
        <v>0.33333333333333331</v>
      </c>
      <c r="M2939" t="s">
        <v>33</v>
      </c>
      <c r="N2939" s="3">
        <v>189</v>
      </c>
      <c r="O2939" t="s">
        <v>24</v>
      </c>
      <c r="P2939" t="s">
        <v>25</v>
      </c>
      <c r="R2939">
        <f>tblDailySchedule[[#This Row],[Capacity Approx]]*'[1]Load Factor Sheet June Acft  '!$B$5</f>
        <v>153.04704545454547</v>
      </c>
      <c r="S2939">
        <f>tblDailySchedule[[#This Row],[Capacity Approx]]*'[1]Load Factor Sheet June Acft  '!$D$5</f>
        <v>165.71863636363636</v>
      </c>
      <c r="T2939" s="22">
        <f>tblDailySchedule[[#This Row],[STD]]</f>
        <v>0.33333333333333331</v>
      </c>
    </row>
    <row r="2940" spans="1:20" hidden="1" x14ac:dyDescent="0.35">
      <c r="A2940" s="11">
        <v>46216</v>
      </c>
      <c r="B2940" s="3">
        <v>1</v>
      </c>
      <c r="C2940" t="s">
        <v>100</v>
      </c>
      <c r="D2940" t="s">
        <v>18</v>
      </c>
      <c r="E2940" s="3">
        <v>2</v>
      </c>
      <c r="F2940" t="s">
        <v>19</v>
      </c>
      <c r="G2940" t="s">
        <v>20</v>
      </c>
      <c r="H2940" t="s">
        <v>21</v>
      </c>
      <c r="I2940" s="12">
        <v>0.31944444444444442</v>
      </c>
      <c r="J2940" t="s">
        <v>22</v>
      </c>
      <c r="K2940" t="s">
        <v>21</v>
      </c>
      <c r="L2940" s="12">
        <v>0.34722222222222221</v>
      </c>
      <c r="M2940" t="s">
        <v>23</v>
      </c>
      <c r="N2940" s="3">
        <v>186</v>
      </c>
      <c r="O2940" t="s">
        <v>24</v>
      </c>
      <c r="P2940" t="s">
        <v>25</v>
      </c>
      <c r="R2940">
        <f>tblDailySchedule[[#This Row],[Capacity Approx]]*'[1]Load Factor Sheet June Acft  '!$B$5</f>
        <v>150.61772727272728</v>
      </c>
      <c r="S2940">
        <f>tblDailySchedule[[#This Row],[Capacity Approx]]*'[1]Load Factor Sheet June Acft  '!$D$5</f>
        <v>163.08818181818182</v>
      </c>
      <c r="T2940" s="22">
        <f>tblDailySchedule[[#This Row],[STD]]</f>
        <v>0.34722222222222221</v>
      </c>
    </row>
    <row r="2941" spans="1:20" hidden="1" x14ac:dyDescent="0.35">
      <c r="A2941" s="11">
        <v>46216</v>
      </c>
      <c r="B2941" s="3">
        <v>1</v>
      </c>
      <c r="C2941" t="s">
        <v>100</v>
      </c>
      <c r="D2941" t="s">
        <v>18</v>
      </c>
      <c r="E2941" s="3">
        <v>3</v>
      </c>
      <c r="F2941" t="s">
        <v>19</v>
      </c>
      <c r="G2941" t="s">
        <v>26</v>
      </c>
      <c r="H2941" t="s">
        <v>27</v>
      </c>
      <c r="I2941" s="12">
        <v>0.3263888888888889</v>
      </c>
      <c r="J2941" t="s">
        <v>28</v>
      </c>
      <c r="K2941" t="s">
        <v>27</v>
      </c>
      <c r="L2941" s="12">
        <v>0.35416666666666669</v>
      </c>
      <c r="M2941" t="s">
        <v>29</v>
      </c>
      <c r="N2941" s="3">
        <v>186</v>
      </c>
      <c r="O2941" t="s">
        <v>24</v>
      </c>
      <c r="P2941" t="s">
        <v>25</v>
      </c>
      <c r="R2941">
        <f>tblDailySchedule[[#This Row],[Capacity Approx]]*'[1]Load Factor Sheet June Acft  '!$B$5</f>
        <v>150.61772727272728</v>
      </c>
      <c r="S2941">
        <f>tblDailySchedule[[#This Row],[Capacity Approx]]*'[1]Load Factor Sheet June Acft  '!$D$5</f>
        <v>163.08818181818182</v>
      </c>
      <c r="T2941" s="22">
        <f>tblDailySchedule[[#This Row],[STD]]</f>
        <v>0.35416666666666669</v>
      </c>
    </row>
    <row r="2942" spans="1:20" hidden="1" x14ac:dyDescent="0.35">
      <c r="A2942" s="11">
        <v>46216</v>
      </c>
      <c r="B2942" s="3">
        <v>1</v>
      </c>
      <c r="C2942" t="s">
        <v>100</v>
      </c>
      <c r="D2942" t="s">
        <v>18</v>
      </c>
      <c r="E2942" s="3">
        <v>4</v>
      </c>
      <c r="F2942" t="s">
        <v>19</v>
      </c>
      <c r="G2942" t="s">
        <v>30</v>
      </c>
      <c r="H2942" t="s">
        <v>31</v>
      </c>
      <c r="I2942" s="12">
        <v>0.34722222222222221</v>
      </c>
      <c r="J2942" t="s">
        <v>32</v>
      </c>
      <c r="K2942" t="s">
        <v>31</v>
      </c>
      <c r="L2942" s="12">
        <v>0.36805555555555558</v>
      </c>
      <c r="M2942" t="s">
        <v>33</v>
      </c>
      <c r="N2942" s="3">
        <v>189</v>
      </c>
      <c r="O2942" t="s">
        <v>24</v>
      </c>
      <c r="P2942" t="s">
        <v>25</v>
      </c>
      <c r="R2942">
        <f>tblDailySchedule[[#This Row],[Capacity Approx]]*'[1]Load Factor Sheet June Acft  '!$B$5</f>
        <v>153.04704545454547</v>
      </c>
      <c r="S2942">
        <f>tblDailySchedule[[#This Row],[Capacity Approx]]*'[1]Load Factor Sheet June Acft  '!$D$5</f>
        <v>165.71863636363636</v>
      </c>
      <c r="T2942" s="22">
        <f>tblDailySchedule[[#This Row],[STD]]</f>
        <v>0.36805555555555558</v>
      </c>
    </row>
    <row r="2943" spans="1:20" hidden="1" x14ac:dyDescent="0.35">
      <c r="A2943" s="13">
        <v>46216</v>
      </c>
      <c r="B2943" s="7">
        <v>1</v>
      </c>
      <c r="C2943" s="14" t="s">
        <v>100</v>
      </c>
      <c r="D2943" s="14" t="s">
        <v>18</v>
      </c>
      <c r="E2943" s="7">
        <v>6</v>
      </c>
      <c r="F2943" s="14" t="s">
        <v>34</v>
      </c>
      <c r="G2943" s="14" t="s">
        <v>35</v>
      </c>
      <c r="H2943" s="14" t="s">
        <v>36</v>
      </c>
      <c r="I2943" s="15">
        <v>0.34722222222222221</v>
      </c>
      <c r="J2943" s="14" t="s">
        <v>37</v>
      </c>
      <c r="K2943" s="14" t="s">
        <v>36</v>
      </c>
      <c r="L2943" s="15">
        <v>0.40972222222222221</v>
      </c>
      <c r="M2943" s="14" t="s">
        <v>38</v>
      </c>
      <c r="N2943" s="7">
        <v>186</v>
      </c>
      <c r="O2943" s="14" t="s">
        <v>39</v>
      </c>
      <c r="P2943" s="14" t="s">
        <v>25</v>
      </c>
      <c r="Q2943" s="14" t="s">
        <v>39</v>
      </c>
      <c r="R2943">
        <f>tblDailySchedule[[#This Row],[Capacity Approx]]*'[1]Load Factor Sheet June Acft  '!$B$5</f>
        <v>150.61772727272728</v>
      </c>
      <c r="S2943">
        <f>tblDailySchedule[[#This Row],[Capacity Approx]]*'[1]Load Factor Sheet June Acft  '!$D$5</f>
        <v>163.08818181818182</v>
      </c>
      <c r="T2943" s="22">
        <f>tblDailySchedule[[#This Row],[STD]]</f>
        <v>0.40972222222222221</v>
      </c>
    </row>
    <row r="2944" spans="1:20" hidden="1" x14ac:dyDescent="0.35">
      <c r="A2944" s="11">
        <v>46216</v>
      </c>
      <c r="B2944" s="3">
        <v>1</v>
      </c>
      <c r="C2944" t="s">
        <v>100</v>
      </c>
      <c r="D2944" t="s">
        <v>18</v>
      </c>
      <c r="E2944" s="3">
        <v>5</v>
      </c>
      <c r="F2944" t="s">
        <v>19</v>
      </c>
      <c r="G2944" t="s">
        <v>40</v>
      </c>
      <c r="H2944" t="s">
        <v>31</v>
      </c>
      <c r="I2944" s="12">
        <v>0.35069444444444442</v>
      </c>
      <c r="J2944" t="s">
        <v>41</v>
      </c>
      <c r="K2944" t="s">
        <v>31</v>
      </c>
      <c r="L2944" s="12">
        <v>0.37152777777777779</v>
      </c>
      <c r="M2944" t="s">
        <v>23</v>
      </c>
      <c r="N2944" s="3">
        <v>186</v>
      </c>
      <c r="O2944" t="s">
        <v>24</v>
      </c>
      <c r="P2944" t="s">
        <v>25</v>
      </c>
      <c r="R2944">
        <f>tblDailySchedule[[#This Row],[Capacity Approx]]*'[1]Load Factor Sheet June Acft  '!$B$5</f>
        <v>150.61772727272728</v>
      </c>
      <c r="S2944">
        <f>tblDailySchedule[[#This Row],[Capacity Approx]]*'[1]Load Factor Sheet June Acft  '!$D$5</f>
        <v>163.08818181818182</v>
      </c>
      <c r="T2944" s="22">
        <f>tblDailySchedule[[#This Row],[STD]]</f>
        <v>0.37152777777777779</v>
      </c>
    </row>
    <row r="2945" spans="1:20" hidden="1" x14ac:dyDescent="0.35">
      <c r="A2945" s="11">
        <v>46216</v>
      </c>
      <c r="B2945" s="3">
        <v>1</v>
      </c>
      <c r="C2945" t="s">
        <v>100</v>
      </c>
      <c r="D2945" t="s">
        <v>18</v>
      </c>
      <c r="E2945" s="3">
        <v>7</v>
      </c>
      <c r="F2945" t="s">
        <v>19</v>
      </c>
      <c r="G2945" t="s">
        <v>42</v>
      </c>
      <c r="H2945" t="s">
        <v>43</v>
      </c>
      <c r="I2945" s="12">
        <v>0.3923611111111111</v>
      </c>
      <c r="J2945" t="s">
        <v>44</v>
      </c>
      <c r="K2945" t="s">
        <v>43</v>
      </c>
      <c r="L2945" s="12">
        <v>0.40277777777777779</v>
      </c>
      <c r="M2945" t="s">
        <v>45</v>
      </c>
      <c r="N2945" s="3">
        <v>9</v>
      </c>
      <c r="O2945" t="s">
        <v>24</v>
      </c>
      <c r="P2945" t="s">
        <v>25</v>
      </c>
      <c r="R2945">
        <f>tblDailySchedule[[#This Row],[Capacity Approx]]*'[1]Load Factor Sheet June Acft  '!$B$5</f>
        <v>7.2879545454545456</v>
      </c>
      <c r="S2945">
        <f>tblDailySchedule[[#This Row],[Capacity Approx]]*'[1]Load Factor Sheet June Acft  '!$D$5</f>
        <v>7.8913636363636366</v>
      </c>
      <c r="T2945" s="22">
        <f>tblDailySchedule[[#This Row],[STD]]</f>
        <v>0.40277777777777779</v>
      </c>
    </row>
    <row r="2946" spans="1:20" hidden="1" x14ac:dyDescent="0.35">
      <c r="A2946" s="11">
        <v>46216</v>
      </c>
      <c r="B2946" s="3">
        <v>1</v>
      </c>
      <c r="C2946" t="s">
        <v>100</v>
      </c>
      <c r="D2946" t="s">
        <v>18</v>
      </c>
      <c r="E2946" s="3">
        <v>8</v>
      </c>
      <c r="F2946" t="s">
        <v>19</v>
      </c>
      <c r="G2946" t="s">
        <v>46</v>
      </c>
      <c r="H2946" t="s">
        <v>31</v>
      </c>
      <c r="I2946" s="12">
        <v>0.4201388888888889</v>
      </c>
      <c r="J2946" t="s">
        <v>47</v>
      </c>
      <c r="K2946" t="s">
        <v>31</v>
      </c>
      <c r="L2946" s="12">
        <v>0.44444444444444442</v>
      </c>
      <c r="M2946" t="s">
        <v>29</v>
      </c>
      <c r="N2946" s="3">
        <v>186</v>
      </c>
      <c r="O2946" t="s">
        <v>24</v>
      </c>
      <c r="P2946" t="s">
        <v>25</v>
      </c>
      <c r="R2946">
        <f>tblDailySchedule[[#This Row],[Capacity Approx]]*'[1]Load Factor Sheet June Acft  '!$B$5</f>
        <v>150.61772727272728</v>
      </c>
      <c r="S2946">
        <f>tblDailySchedule[[#This Row],[Capacity Approx]]*'[1]Load Factor Sheet June Acft  '!$D$5</f>
        <v>163.08818181818182</v>
      </c>
      <c r="T2946" s="22">
        <f>tblDailySchedule[[#This Row],[STD]]</f>
        <v>0.44444444444444442</v>
      </c>
    </row>
    <row r="2947" spans="1:20" hidden="1" x14ac:dyDescent="0.35">
      <c r="A2947" s="11">
        <v>46216</v>
      </c>
      <c r="B2947" s="3">
        <v>1</v>
      </c>
      <c r="C2947" t="s">
        <v>100</v>
      </c>
      <c r="D2947" t="s">
        <v>18</v>
      </c>
      <c r="E2947" s="3">
        <v>9</v>
      </c>
      <c r="F2947" t="s">
        <v>19</v>
      </c>
      <c r="G2947" t="s">
        <v>48</v>
      </c>
      <c r="H2947" t="s">
        <v>49</v>
      </c>
      <c r="I2947" s="12">
        <v>0.4375</v>
      </c>
      <c r="J2947" t="s">
        <v>50</v>
      </c>
      <c r="K2947" t="s">
        <v>49</v>
      </c>
      <c r="L2947" s="12">
        <v>0.45833333333333331</v>
      </c>
      <c r="M2947" t="s">
        <v>51</v>
      </c>
      <c r="N2947" s="3">
        <v>78</v>
      </c>
      <c r="O2947" t="s">
        <v>24</v>
      </c>
      <c r="P2947" t="s">
        <v>25</v>
      </c>
      <c r="R2947">
        <f>tblDailySchedule[[#This Row],[Capacity Approx]]*'[1]Load Factor Sheet June Acft  '!$B$5</f>
        <v>63.162272727272729</v>
      </c>
      <c r="S2947">
        <f>tblDailySchedule[[#This Row],[Capacity Approx]]*'[1]Load Factor Sheet June Acft  '!$D$5</f>
        <v>68.391818181818181</v>
      </c>
      <c r="T2947" s="22">
        <f>tblDailySchedule[[#This Row],[STD]]</f>
        <v>0.45833333333333331</v>
      </c>
    </row>
    <row r="2948" spans="1:20" hidden="1" x14ac:dyDescent="0.35">
      <c r="A2948" s="11">
        <v>46216</v>
      </c>
      <c r="B2948" s="3">
        <v>1</v>
      </c>
      <c r="C2948" t="s">
        <v>100</v>
      </c>
      <c r="D2948" t="s">
        <v>18</v>
      </c>
      <c r="E2948" s="3">
        <v>10</v>
      </c>
      <c r="F2948" t="s">
        <v>19</v>
      </c>
      <c r="G2948" t="s">
        <v>52</v>
      </c>
      <c r="H2948" t="s">
        <v>27</v>
      </c>
      <c r="I2948" s="12">
        <v>0.4826388888888889</v>
      </c>
      <c r="J2948" t="s">
        <v>53</v>
      </c>
      <c r="K2948" t="s">
        <v>27</v>
      </c>
      <c r="L2948" s="12">
        <v>0.51041666666666663</v>
      </c>
      <c r="M2948" t="s">
        <v>23</v>
      </c>
      <c r="N2948" s="3">
        <v>186</v>
      </c>
      <c r="O2948" t="s">
        <v>24</v>
      </c>
      <c r="P2948" t="s">
        <v>25</v>
      </c>
      <c r="R2948">
        <f>tblDailySchedule[[#This Row],[Capacity Approx]]*'[1]Load Factor Sheet June Acft  '!$B$5</f>
        <v>150.61772727272728</v>
      </c>
      <c r="S2948">
        <f>tblDailySchedule[[#This Row],[Capacity Approx]]*'[1]Load Factor Sheet June Acft  '!$D$5</f>
        <v>163.08818181818182</v>
      </c>
      <c r="T2948" s="22">
        <f>tblDailySchedule[[#This Row],[STD]]</f>
        <v>0.51041666666666663</v>
      </c>
    </row>
    <row r="2949" spans="1:20" hidden="1" x14ac:dyDescent="0.35">
      <c r="A2949" s="11">
        <v>46216</v>
      </c>
      <c r="B2949" s="3">
        <v>1</v>
      </c>
      <c r="C2949" t="s">
        <v>100</v>
      </c>
      <c r="D2949" t="s">
        <v>18</v>
      </c>
      <c r="E2949" s="3">
        <v>11</v>
      </c>
      <c r="F2949" t="s">
        <v>19</v>
      </c>
      <c r="G2949" t="s">
        <v>54</v>
      </c>
      <c r="H2949" t="s">
        <v>31</v>
      </c>
      <c r="I2949" s="12">
        <v>0.51388888888888884</v>
      </c>
      <c r="J2949" t="s">
        <v>55</v>
      </c>
      <c r="K2949" t="s">
        <v>31</v>
      </c>
      <c r="L2949" s="12">
        <v>0.54166666666666663</v>
      </c>
      <c r="M2949" t="s">
        <v>23</v>
      </c>
      <c r="N2949" s="3">
        <v>186</v>
      </c>
      <c r="O2949" t="s">
        <v>24</v>
      </c>
      <c r="P2949" t="s">
        <v>56</v>
      </c>
      <c r="R2949">
        <f>tblDailySchedule[[#This Row],[Capacity Approx]]*'[1]Load Factor Sheet June Acft  '!$B$5</f>
        <v>150.61772727272728</v>
      </c>
      <c r="S2949">
        <f>tblDailySchedule[[#This Row],[Capacity Approx]]*'[1]Load Factor Sheet June Acft  '!$D$5</f>
        <v>163.08818181818182</v>
      </c>
      <c r="T2949" s="22">
        <f>tblDailySchedule[[#This Row],[STD]]</f>
        <v>0.54166666666666663</v>
      </c>
    </row>
    <row r="2950" spans="1:20" hidden="1" x14ac:dyDescent="0.35">
      <c r="A2950" s="11">
        <v>46216</v>
      </c>
      <c r="B2950" s="3">
        <v>1</v>
      </c>
      <c r="C2950" t="s">
        <v>100</v>
      </c>
      <c r="D2950" t="s">
        <v>18</v>
      </c>
      <c r="E2950" s="3">
        <v>13</v>
      </c>
      <c r="F2950" t="s">
        <v>19</v>
      </c>
      <c r="G2950" t="s">
        <v>57</v>
      </c>
      <c r="H2950" t="s">
        <v>58</v>
      </c>
      <c r="I2950" s="12">
        <v>0.55902777777777779</v>
      </c>
      <c r="J2950" t="s">
        <v>59</v>
      </c>
      <c r="K2950" t="s">
        <v>58</v>
      </c>
      <c r="L2950" s="12">
        <v>0.57638888888888884</v>
      </c>
      <c r="M2950" t="s">
        <v>51</v>
      </c>
      <c r="N2950" s="3">
        <v>78</v>
      </c>
      <c r="O2950" t="s">
        <v>24</v>
      </c>
      <c r="P2950" t="s">
        <v>56</v>
      </c>
      <c r="R2950">
        <f>tblDailySchedule[[#This Row],[Capacity Approx]]*'[1]Load Factor Sheet June Acft  '!$B$5</f>
        <v>63.162272727272729</v>
      </c>
      <c r="S2950">
        <f>tblDailySchedule[[#This Row],[Capacity Approx]]*'[1]Load Factor Sheet June Acft  '!$D$5</f>
        <v>68.391818181818181</v>
      </c>
      <c r="T2950" s="22">
        <f>tblDailySchedule[[#This Row],[STD]]</f>
        <v>0.57638888888888884</v>
      </c>
    </row>
    <row r="2951" spans="1:20" hidden="1" x14ac:dyDescent="0.35">
      <c r="A2951" s="11">
        <v>46216</v>
      </c>
      <c r="B2951" s="3">
        <v>1</v>
      </c>
      <c r="C2951" t="s">
        <v>100</v>
      </c>
      <c r="D2951" t="s">
        <v>18</v>
      </c>
      <c r="E2951" s="3">
        <v>14</v>
      </c>
      <c r="F2951" t="s">
        <v>19</v>
      </c>
      <c r="G2951" t="s">
        <v>60</v>
      </c>
      <c r="H2951" t="s">
        <v>61</v>
      </c>
      <c r="I2951" s="12">
        <v>0.59027777777777779</v>
      </c>
      <c r="J2951" t="s">
        <v>62</v>
      </c>
      <c r="K2951" t="s">
        <v>61</v>
      </c>
      <c r="L2951" s="12">
        <v>0.62152777777777779</v>
      </c>
      <c r="M2951" t="s">
        <v>63</v>
      </c>
      <c r="N2951" s="3">
        <v>232</v>
      </c>
      <c r="O2951" t="s">
        <v>24</v>
      </c>
      <c r="P2951" t="s">
        <v>56</v>
      </c>
      <c r="R2951">
        <f>tblDailySchedule[[#This Row],[Capacity Approx]]*'[1]Load Factor Sheet June Acft  '!$B$5</f>
        <v>187.86727272727273</v>
      </c>
      <c r="S2951">
        <f>tblDailySchedule[[#This Row],[Capacity Approx]]*'[1]Load Factor Sheet June Acft  '!$D$5</f>
        <v>203.4218181818182</v>
      </c>
      <c r="T2951" s="22">
        <f>tblDailySchedule[[#This Row],[STD]]</f>
        <v>0.62152777777777779</v>
      </c>
    </row>
    <row r="2952" spans="1:20" hidden="1" x14ac:dyDescent="0.35">
      <c r="A2952" s="11">
        <v>46216</v>
      </c>
      <c r="B2952" s="3">
        <v>1</v>
      </c>
      <c r="C2952" t="s">
        <v>100</v>
      </c>
      <c r="D2952" t="s">
        <v>18</v>
      </c>
      <c r="E2952" s="3">
        <v>15</v>
      </c>
      <c r="F2952" t="s">
        <v>19</v>
      </c>
      <c r="G2952" t="s">
        <v>64</v>
      </c>
      <c r="H2952" t="s">
        <v>31</v>
      </c>
      <c r="I2952" s="12">
        <v>0.60069444444444442</v>
      </c>
      <c r="J2952" t="s">
        <v>65</v>
      </c>
      <c r="K2952" t="s">
        <v>66</v>
      </c>
      <c r="L2952" s="12">
        <v>0.62847222222222221</v>
      </c>
      <c r="M2952" t="s">
        <v>63</v>
      </c>
      <c r="N2952" s="3">
        <v>232</v>
      </c>
      <c r="O2952" t="s">
        <v>24</v>
      </c>
      <c r="P2952" t="s">
        <v>56</v>
      </c>
      <c r="R2952">
        <f>tblDailySchedule[[#This Row],[Capacity Approx]]*'[1]Load Factor Sheet June Acft  '!$B$5</f>
        <v>187.86727272727273</v>
      </c>
      <c r="S2952">
        <f>tblDailySchedule[[#This Row],[Capacity Approx]]*'[1]Load Factor Sheet June Acft  '!$D$5</f>
        <v>203.4218181818182</v>
      </c>
      <c r="T2952" s="22">
        <f>tblDailySchedule[[#This Row],[STD]]</f>
        <v>0.62847222222222221</v>
      </c>
    </row>
    <row r="2953" spans="1:20" hidden="1" x14ac:dyDescent="0.35">
      <c r="A2953" s="11">
        <v>46216</v>
      </c>
      <c r="B2953" s="3">
        <v>1</v>
      </c>
      <c r="C2953" t="s">
        <v>100</v>
      </c>
      <c r="D2953" t="s">
        <v>18</v>
      </c>
      <c r="E2953" s="3">
        <v>16</v>
      </c>
      <c r="F2953" t="s">
        <v>19</v>
      </c>
      <c r="G2953" t="s">
        <v>67</v>
      </c>
      <c r="H2953" t="s">
        <v>31</v>
      </c>
      <c r="I2953" s="12">
        <v>0.65625</v>
      </c>
      <c r="J2953" t="s">
        <v>68</v>
      </c>
      <c r="K2953" t="s">
        <v>31</v>
      </c>
      <c r="L2953" s="12">
        <v>0.68402777777777779</v>
      </c>
      <c r="M2953" t="s">
        <v>63</v>
      </c>
      <c r="N2953" s="3">
        <v>232</v>
      </c>
      <c r="O2953" t="s">
        <v>24</v>
      </c>
      <c r="P2953" t="s">
        <v>56</v>
      </c>
      <c r="R2953">
        <f>tblDailySchedule[[#This Row],[Capacity Approx]]*'[1]Load Factor Sheet June Acft  '!$B$5</f>
        <v>187.86727272727273</v>
      </c>
      <c r="S2953">
        <f>tblDailySchedule[[#This Row],[Capacity Approx]]*'[1]Load Factor Sheet June Acft  '!$D$5</f>
        <v>203.4218181818182</v>
      </c>
      <c r="T2953" s="22">
        <f>tblDailySchedule[[#This Row],[STD]]</f>
        <v>0.68402777777777779</v>
      </c>
    </row>
    <row r="2954" spans="1:20" hidden="1" x14ac:dyDescent="0.35">
      <c r="A2954" s="11">
        <v>46216</v>
      </c>
      <c r="B2954" s="3">
        <v>1</v>
      </c>
      <c r="C2954" t="s">
        <v>100</v>
      </c>
      <c r="D2954" t="s">
        <v>18</v>
      </c>
      <c r="E2954" s="3">
        <v>17</v>
      </c>
      <c r="F2954" t="s">
        <v>19</v>
      </c>
      <c r="G2954" t="s">
        <v>69</v>
      </c>
      <c r="H2954" t="s">
        <v>31</v>
      </c>
      <c r="I2954" s="12">
        <v>0.66319444444444442</v>
      </c>
      <c r="J2954" t="s">
        <v>70</v>
      </c>
      <c r="K2954" t="s">
        <v>31</v>
      </c>
      <c r="L2954" s="12">
        <v>0.69097222222222221</v>
      </c>
      <c r="M2954" t="s">
        <v>33</v>
      </c>
      <c r="N2954" s="3">
        <v>189</v>
      </c>
      <c r="O2954" t="s">
        <v>24</v>
      </c>
      <c r="P2954" t="s">
        <v>56</v>
      </c>
      <c r="R2954">
        <f>tblDailySchedule[[#This Row],[Capacity Approx]]*'[1]Load Factor Sheet June Acft  '!$B$5</f>
        <v>153.04704545454547</v>
      </c>
      <c r="S2954">
        <f>tblDailySchedule[[#This Row],[Capacity Approx]]*'[1]Load Factor Sheet June Acft  '!$D$5</f>
        <v>165.71863636363636</v>
      </c>
      <c r="T2954" s="22">
        <f>tblDailySchedule[[#This Row],[STD]]</f>
        <v>0.69097222222222221</v>
      </c>
    </row>
    <row r="2955" spans="1:20" hidden="1" x14ac:dyDescent="0.35">
      <c r="A2955" s="11">
        <v>46216</v>
      </c>
      <c r="B2955" s="3">
        <v>1</v>
      </c>
      <c r="C2955" t="s">
        <v>100</v>
      </c>
      <c r="D2955" t="s">
        <v>18</v>
      </c>
      <c r="E2955" s="3">
        <v>18</v>
      </c>
      <c r="F2955" t="s">
        <v>19</v>
      </c>
      <c r="G2955" t="s">
        <v>71</v>
      </c>
      <c r="H2955" t="s">
        <v>21</v>
      </c>
      <c r="I2955" s="12">
        <v>0.67013888888888884</v>
      </c>
      <c r="J2955" t="s">
        <v>72</v>
      </c>
      <c r="K2955" t="s">
        <v>21</v>
      </c>
      <c r="L2955" s="12">
        <v>0.69791666666666663</v>
      </c>
      <c r="M2955" t="s">
        <v>63</v>
      </c>
      <c r="N2955" s="3">
        <v>232</v>
      </c>
      <c r="O2955" t="s">
        <v>24</v>
      </c>
      <c r="P2955" t="s">
        <v>56</v>
      </c>
      <c r="R2955">
        <f>tblDailySchedule[[#This Row],[Capacity Approx]]*'[1]Load Factor Sheet June Acft  '!$B$5</f>
        <v>187.86727272727273</v>
      </c>
      <c r="S2955">
        <f>tblDailySchedule[[#This Row],[Capacity Approx]]*'[1]Load Factor Sheet June Acft  '!$D$5</f>
        <v>203.4218181818182</v>
      </c>
      <c r="T2955" s="22">
        <f>tblDailySchedule[[#This Row],[STD]]</f>
        <v>0.69791666666666663</v>
      </c>
    </row>
    <row r="2956" spans="1:20" hidden="1" x14ac:dyDescent="0.35">
      <c r="A2956" s="11">
        <v>46216</v>
      </c>
      <c r="B2956" s="3">
        <v>1</v>
      </c>
      <c r="C2956" t="s">
        <v>100</v>
      </c>
      <c r="D2956" t="s">
        <v>18</v>
      </c>
      <c r="E2956" s="3">
        <v>19</v>
      </c>
      <c r="F2956" t="s">
        <v>19</v>
      </c>
      <c r="G2956" t="s">
        <v>73</v>
      </c>
      <c r="H2956" t="s">
        <v>27</v>
      </c>
      <c r="I2956" s="12">
        <v>0.74652777777777779</v>
      </c>
      <c r="J2956" t="s">
        <v>74</v>
      </c>
      <c r="K2956" t="s">
        <v>27</v>
      </c>
      <c r="L2956" s="12">
        <v>0.77430555555555558</v>
      </c>
      <c r="M2956" t="s">
        <v>63</v>
      </c>
      <c r="N2956" s="3">
        <v>232</v>
      </c>
      <c r="O2956" t="s">
        <v>24</v>
      </c>
      <c r="P2956" t="s">
        <v>56</v>
      </c>
      <c r="R2956">
        <f>tblDailySchedule[[#This Row],[Capacity Approx]]*'[1]Load Factor Sheet June Acft  '!$B$5</f>
        <v>187.86727272727273</v>
      </c>
      <c r="S2956">
        <f>tblDailySchedule[[#This Row],[Capacity Approx]]*'[1]Load Factor Sheet June Acft  '!$D$5</f>
        <v>203.4218181818182</v>
      </c>
      <c r="T2956" s="22">
        <f>tblDailySchedule[[#This Row],[STD]]</f>
        <v>0.77430555555555558</v>
      </c>
    </row>
    <row r="2957" spans="1:20" hidden="1" x14ac:dyDescent="0.35">
      <c r="A2957" s="11">
        <v>46216</v>
      </c>
      <c r="B2957" s="3">
        <v>1</v>
      </c>
      <c r="C2957" t="s">
        <v>100</v>
      </c>
      <c r="D2957" t="s">
        <v>18</v>
      </c>
      <c r="E2957" s="3">
        <v>20</v>
      </c>
      <c r="F2957" t="s">
        <v>34</v>
      </c>
      <c r="G2957" t="s">
        <v>75</v>
      </c>
      <c r="H2957" t="s">
        <v>76</v>
      </c>
      <c r="I2957" s="12">
        <v>0.76388888888888884</v>
      </c>
      <c r="J2957" t="s">
        <v>77</v>
      </c>
      <c r="K2957" t="s">
        <v>78</v>
      </c>
      <c r="L2957" s="12">
        <v>0.78472222222222221</v>
      </c>
      <c r="M2957" t="s">
        <v>51</v>
      </c>
      <c r="N2957" s="3">
        <v>78</v>
      </c>
      <c r="O2957" t="s">
        <v>24</v>
      </c>
      <c r="P2957" t="s">
        <v>79</v>
      </c>
      <c r="Q2957" s="16" t="s">
        <v>80</v>
      </c>
      <c r="R2957">
        <f>tblDailySchedule[[#This Row],[Capacity Approx]]*'[1]Load Factor Sheet June Acft  '!$B$5</f>
        <v>63.162272727272729</v>
      </c>
      <c r="S2957">
        <f>tblDailySchedule[[#This Row],[Capacity Approx]]*'[1]Load Factor Sheet June Acft  '!$D$5</f>
        <v>68.391818181818181</v>
      </c>
      <c r="T2957" s="22">
        <f>tblDailySchedule[[#This Row],[STD]]</f>
        <v>0.78472222222222221</v>
      </c>
    </row>
    <row r="2958" spans="1:20" hidden="1" x14ac:dyDescent="0.35">
      <c r="A2958" s="11">
        <v>46216</v>
      </c>
      <c r="B2958" s="3">
        <v>1</v>
      </c>
      <c r="C2958" t="s">
        <v>100</v>
      </c>
      <c r="D2958" t="s">
        <v>18</v>
      </c>
      <c r="E2958" s="3">
        <v>21</v>
      </c>
      <c r="F2958" t="s">
        <v>19</v>
      </c>
      <c r="G2958" t="s">
        <v>81</v>
      </c>
      <c r="H2958" t="s">
        <v>61</v>
      </c>
      <c r="I2958" s="12">
        <v>0.77083333333333337</v>
      </c>
      <c r="J2958" t="s">
        <v>82</v>
      </c>
      <c r="K2958" t="s">
        <v>49</v>
      </c>
      <c r="L2958" s="12">
        <v>0.79166666666666663</v>
      </c>
      <c r="M2958" t="s">
        <v>33</v>
      </c>
      <c r="N2958" s="3">
        <v>189</v>
      </c>
      <c r="O2958" t="s">
        <v>24</v>
      </c>
      <c r="P2958" t="s">
        <v>79</v>
      </c>
      <c r="R2958">
        <f>tblDailySchedule[[#This Row],[Capacity Approx]]*'[1]Load Factor Sheet June Acft  '!$B$5</f>
        <v>153.04704545454547</v>
      </c>
      <c r="S2958">
        <f>tblDailySchedule[[#This Row],[Capacity Approx]]*'[1]Load Factor Sheet June Acft  '!$D$5</f>
        <v>165.71863636363636</v>
      </c>
      <c r="T2958" s="22">
        <f>tblDailySchedule[[#This Row],[STD]]</f>
        <v>0.79166666666666663</v>
      </c>
    </row>
    <row r="2959" spans="1:20" hidden="1" x14ac:dyDescent="0.35">
      <c r="A2959" s="11">
        <v>46216</v>
      </c>
      <c r="B2959" s="3">
        <v>1</v>
      </c>
      <c r="C2959" t="s">
        <v>100</v>
      </c>
      <c r="D2959" t="s">
        <v>18</v>
      </c>
      <c r="E2959" s="3">
        <v>22</v>
      </c>
      <c r="F2959" t="s">
        <v>19</v>
      </c>
      <c r="G2959" t="s">
        <v>83</v>
      </c>
      <c r="H2959" t="s">
        <v>31</v>
      </c>
      <c r="I2959" s="12">
        <v>0.77777777777777779</v>
      </c>
      <c r="J2959" t="s">
        <v>84</v>
      </c>
      <c r="K2959" t="s">
        <v>31</v>
      </c>
      <c r="L2959" s="12">
        <v>0.80555555555555558</v>
      </c>
      <c r="M2959" t="s">
        <v>63</v>
      </c>
      <c r="N2959" s="3">
        <v>232</v>
      </c>
      <c r="O2959" t="s">
        <v>24</v>
      </c>
      <c r="P2959" t="s">
        <v>79</v>
      </c>
      <c r="R2959">
        <f>tblDailySchedule[[#This Row],[Capacity Approx]]*'[1]Load Factor Sheet June Acft  '!$B$5</f>
        <v>187.86727272727273</v>
      </c>
      <c r="S2959">
        <f>tblDailySchedule[[#This Row],[Capacity Approx]]*'[1]Load Factor Sheet June Acft  '!$D$5</f>
        <v>203.4218181818182</v>
      </c>
      <c r="T2959" s="22">
        <f>tblDailySchedule[[#This Row],[STD]]</f>
        <v>0.80555555555555558</v>
      </c>
    </row>
    <row r="2960" spans="1:20" hidden="1" x14ac:dyDescent="0.35">
      <c r="A2960" s="11">
        <v>46216</v>
      </c>
      <c r="B2960" s="3">
        <v>1</v>
      </c>
      <c r="C2960" t="s">
        <v>100</v>
      </c>
      <c r="D2960" t="s">
        <v>18</v>
      </c>
      <c r="E2960" s="3">
        <v>23</v>
      </c>
      <c r="F2960" t="s">
        <v>19</v>
      </c>
      <c r="G2960" t="s">
        <v>85</v>
      </c>
      <c r="H2960" t="s">
        <v>86</v>
      </c>
      <c r="I2960" s="12">
        <v>0.79861111111111116</v>
      </c>
      <c r="J2960" t="s">
        <v>87</v>
      </c>
      <c r="K2960" t="s">
        <v>86</v>
      </c>
      <c r="L2960" s="12">
        <v>0.82638888888888884</v>
      </c>
      <c r="M2960" t="s">
        <v>63</v>
      </c>
      <c r="N2960" s="3">
        <v>232</v>
      </c>
      <c r="O2960" t="s">
        <v>24</v>
      </c>
      <c r="P2960" t="s">
        <v>79</v>
      </c>
      <c r="R2960">
        <f>tblDailySchedule[[#This Row],[Capacity Approx]]*'[1]Load Factor Sheet June Acft  '!$B$5</f>
        <v>187.86727272727273</v>
      </c>
      <c r="S2960">
        <f>tblDailySchedule[[#This Row],[Capacity Approx]]*'[1]Load Factor Sheet June Acft  '!$D$5</f>
        <v>203.4218181818182</v>
      </c>
      <c r="T2960" s="22">
        <f>tblDailySchedule[[#This Row],[STD]]</f>
        <v>0.82638888888888884</v>
      </c>
    </row>
    <row r="2961" spans="1:20" hidden="1" x14ac:dyDescent="0.35">
      <c r="A2961" s="11">
        <v>46216</v>
      </c>
      <c r="B2961" s="3">
        <v>1</v>
      </c>
      <c r="C2961" t="s">
        <v>100</v>
      </c>
      <c r="D2961" t="s">
        <v>18</v>
      </c>
      <c r="E2961" s="3">
        <v>24</v>
      </c>
      <c r="F2961" t="s">
        <v>19</v>
      </c>
      <c r="G2961" t="s">
        <v>88</v>
      </c>
      <c r="H2961" t="s">
        <v>89</v>
      </c>
      <c r="I2961" s="12">
        <v>0.83333333333333337</v>
      </c>
      <c r="J2961" t="s">
        <v>90</v>
      </c>
      <c r="K2961" t="s">
        <v>31</v>
      </c>
      <c r="L2961" s="12">
        <v>0.86111111111111116</v>
      </c>
      <c r="M2961" t="s">
        <v>63</v>
      </c>
      <c r="N2961" s="3">
        <v>232</v>
      </c>
      <c r="O2961" t="s">
        <v>24</v>
      </c>
      <c r="P2961" t="s">
        <v>79</v>
      </c>
      <c r="R2961">
        <f>tblDailySchedule[[#This Row],[Capacity Approx]]*'[1]Load Factor Sheet June Acft  '!$B$5</f>
        <v>187.86727272727273</v>
      </c>
      <c r="S2961">
        <f>tblDailySchedule[[#This Row],[Capacity Approx]]*'[1]Load Factor Sheet June Acft  '!$D$5</f>
        <v>203.4218181818182</v>
      </c>
      <c r="T2961" s="22">
        <f>tblDailySchedule[[#This Row],[STD]]</f>
        <v>0.86111111111111116</v>
      </c>
    </row>
    <row r="2962" spans="1:20" hidden="1" x14ac:dyDescent="0.35">
      <c r="A2962" s="11">
        <v>46216</v>
      </c>
      <c r="B2962" s="3">
        <v>1</v>
      </c>
      <c r="C2962" t="s">
        <v>100</v>
      </c>
      <c r="D2962" t="s">
        <v>18</v>
      </c>
      <c r="E2962" s="3">
        <v>25</v>
      </c>
      <c r="F2962" t="s">
        <v>19</v>
      </c>
      <c r="G2962" t="s">
        <v>91</v>
      </c>
      <c r="H2962" t="s">
        <v>61</v>
      </c>
      <c r="I2962" s="12">
        <v>0.85416666666666663</v>
      </c>
      <c r="J2962" t="s">
        <v>92</v>
      </c>
      <c r="K2962" t="s">
        <v>61</v>
      </c>
      <c r="L2962" s="12">
        <v>0.88194444444444442</v>
      </c>
      <c r="M2962" t="s">
        <v>63</v>
      </c>
      <c r="N2962" s="3">
        <v>232</v>
      </c>
      <c r="O2962" t="s">
        <v>24</v>
      </c>
      <c r="P2962" t="s">
        <v>79</v>
      </c>
      <c r="R2962">
        <f>tblDailySchedule[[#This Row],[Capacity Approx]]*'[1]Load Factor Sheet June Acft  '!$B$5</f>
        <v>187.86727272727273</v>
      </c>
      <c r="S2962">
        <f>tblDailySchedule[[#This Row],[Capacity Approx]]*'[1]Load Factor Sheet June Acft  '!$D$5</f>
        <v>203.4218181818182</v>
      </c>
      <c r="T2962" s="22">
        <f>tblDailySchedule[[#This Row],[STD]]</f>
        <v>0.88194444444444442</v>
      </c>
    </row>
    <row r="2963" spans="1:20" hidden="1" x14ac:dyDescent="0.35">
      <c r="A2963" s="11">
        <v>46216</v>
      </c>
      <c r="B2963" s="3">
        <v>1</v>
      </c>
      <c r="C2963" t="s">
        <v>100</v>
      </c>
      <c r="D2963" t="s">
        <v>18</v>
      </c>
      <c r="E2963" s="3">
        <v>26</v>
      </c>
      <c r="F2963" t="s">
        <v>19</v>
      </c>
      <c r="G2963" t="s">
        <v>93</v>
      </c>
      <c r="H2963" t="s">
        <v>31</v>
      </c>
      <c r="I2963" s="12">
        <v>0.86111111111111116</v>
      </c>
      <c r="J2963" t="s">
        <v>94</v>
      </c>
      <c r="K2963" t="s">
        <v>31</v>
      </c>
      <c r="L2963" s="12">
        <v>0.88888888888888884</v>
      </c>
      <c r="M2963" t="s">
        <v>23</v>
      </c>
      <c r="N2963" s="3">
        <v>186</v>
      </c>
      <c r="O2963" t="s">
        <v>24</v>
      </c>
      <c r="P2963" t="s">
        <v>79</v>
      </c>
      <c r="R2963">
        <f>tblDailySchedule[[#This Row],[Capacity Approx]]*'[1]Load Factor Sheet June Acft  '!$B$5</f>
        <v>150.61772727272728</v>
      </c>
      <c r="S2963">
        <f>tblDailySchedule[[#This Row],[Capacity Approx]]*'[1]Load Factor Sheet June Acft  '!$D$5</f>
        <v>163.08818181818182</v>
      </c>
      <c r="T2963" s="22">
        <f>tblDailySchedule[[#This Row],[STD]]</f>
        <v>0.88888888888888884</v>
      </c>
    </row>
    <row r="2964" spans="1:20" hidden="1" x14ac:dyDescent="0.35">
      <c r="A2964" s="11">
        <v>46216</v>
      </c>
      <c r="B2964" s="3">
        <v>1</v>
      </c>
      <c r="C2964" t="s">
        <v>100</v>
      </c>
      <c r="D2964" t="s">
        <v>18</v>
      </c>
      <c r="E2964" s="3">
        <v>27</v>
      </c>
      <c r="F2964" t="s">
        <v>19</v>
      </c>
      <c r="G2964" t="s">
        <v>95</v>
      </c>
      <c r="H2964" t="s">
        <v>21</v>
      </c>
      <c r="I2964" s="12">
        <v>0.86805555555555558</v>
      </c>
      <c r="J2964" t="s">
        <v>96</v>
      </c>
      <c r="K2964" t="s">
        <v>21</v>
      </c>
      <c r="L2964" s="12">
        <v>0.89583333333333337</v>
      </c>
      <c r="M2964" t="s">
        <v>29</v>
      </c>
      <c r="N2964" s="3">
        <v>186</v>
      </c>
      <c r="O2964" t="s">
        <v>24</v>
      </c>
      <c r="P2964" t="s">
        <v>79</v>
      </c>
      <c r="R2964">
        <f>tblDailySchedule[[#This Row],[Capacity Approx]]*'[1]Load Factor Sheet June Acft  '!$B$5</f>
        <v>150.61772727272728</v>
      </c>
      <c r="S2964">
        <f>tblDailySchedule[[#This Row],[Capacity Approx]]*'[1]Load Factor Sheet June Acft  '!$D$5</f>
        <v>163.08818181818182</v>
      </c>
      <c r="T2964" s="22">
        <f>tblDailySchedule[[#This Row],[STD]]</f>
        <v>0.89583333333333337</v>
      </c>
    </row>
    <row r="2965" spans="1:20" hidden="1" x14ac:dyDescent="0.35">
      <c r="A2965" s="11">
        <v>46216</v>
      </c>
      <c r="B2965" s="3">
        <v>1</v>
      </c>
      <c r="C2965" t="s">
        <v>100</v>
      </c>
      <c r="D2965" t="s">
        <v>18</v>
      </c>
      <c r="E2965" s="3">
        <v>28</v>
      </c>
      <c r="F2965" t="s">
        <v>19</v>
      </c>
      <c r="G2965" t="s">
        <v>97</v>
      </c>
      <c r="H2965" t="s">
        <v>49</v>
      </c>
      <c r="I2965" s="12">
        <v>0.90277777777777779</v>
      </c>
      <c r="J2965" t="s">
        <v>97</v>
      </c>
      <c r="K2965" t="s">
        <v>61</v>
      </c>
      <c r="L2965" s="12">
        <v>0.92361111111111116</v>
      </c>
      <c r="M2965" t="s">
        <v>33</v>
      </c>
      <c r="N2965" s="3">
        <v>189</v>
      </c>
      <c r="O2965" t="s">
        <v>24</v>
      </c>
      <c r="P2965" t="s">
        <v>79</v>
      </c>
      <c r="R2965">
        <f>tblDailySchedule[[#This Row],[Capacity Approx]]*'[1]Load Factor Sheet June Acft  '!$B$5</f>
        <v>153.04704545454547</v>
      </c>
      <c r="S2965">
        <f>tblDailySchedule[[#This Row],[Capacity Approx]]*'[1]Load Factor Sheet June Acft  '!$D$5</f>
        <v>165.71863636363636</v>
      </c>
      <c r="T2965" s="22">
        <f>tblDailySchedule[[#This Row],[STD]]</f>
        <v>0.92361111111111116</v>
      </c>
    </row>
    <row r="2966" spans="1:20" hidden="1" x14ac:dyDescent="0.35">
      <c r="A2966" s="11">
        <v>46216</v>
      </c>
      <c r="B2966" s="3">
        <v>1</v>
      </c>
      <c r="C2966" t="s">
        <v>100</v>
      </c>
      <c r="D2966" t="s">
        <v>18</v>
      </c>
      <c r="E2966" s="3">
        <v>29</v>
      </c>
      <c r="F2966" t="s">
        <v>19</v>
      </c>
      <c r="G2966" t="s">
        <v>98</v>
      </c>
      <c r="H2966" t="s">
        <v>21</v>
      </c>
      <c r="I2966" s="12">
        <v>0.92013888888888884</v>
      </c>
      <c r="J2966" t="s">
        <v>99</v>
      </c>
      <c r="K2966" t="s">
        <v>21</v>
      </c>
      <c r="L2966" s="12">
        <v>0.94791666666666663</v>
      </c>
      <c r="M2966" t="s">
        <v>63</v>
      </c>
      <c r="N2966" s="3">
        <v>232</v>
      </c>
      <c r="O2966" t="s">
        <v>24</v>
      </c>
      <c r="P2966" t="s">
        <v>79</v>
      </c>
      <c r="R2966">
        <f>tblDailySchedule[[#This Row],[Capacity Approx]]*'[1]Load Factor Sheet June Acft  '!$B$5</f>
        <v>187.86727272727273</v>
      </c>
      <c r="S2966">
        <f>tblDailySchedule[[#This Row],[Capacity Approx]]*'[1]Load Factor Sheet June Acft  '!$D$5</f>
        <v>203.4218181818182</v>
      </c>
      <c r="T2966" s="22">
        <f>tblDailySchedule[[#This Row],[STD]]</f>
        <v>0.94791666666666663</v>
      </c>
    </row>
    <row r="2967" spans="1:20" hidden="1" x14ac:dyDescent="0.35">
      <c r="A2967" s="13">
        <v>46216</v>
      </c>
      <c r="B2967" s="7">
        <v>1</v>
      </c>
      <c r="C2967" s="14" t="s">
        <v>100</v>
      </c>
      <c r="D2967" s="14" t="s">
        <v>18</v>
      </c>
      <c r="E2967" s="7">
        <v>30</v>
      </c>
      <c r="F2967" s="14" t="s">
        <v>104</v>
      </c>
      <c r="G2967" s="14" t="s">
        <v>105</v>
      </c>
      <c r="H2967" s="14" t="s">
        <v>106</v>
      </c>
      <c r="I2967" s="15">
        <v>0.92708333333333337</v>
      </c>
      <c r="J2967" s="14" t="s">
        <v>107</v>
      </c>
      <c r="K2967" s="14" t="s">
        <v>106</v>
      </c>
      <c r="L2967" s="15">
        <v>0.95833333333333337</v>
      </c>
      <c r="M2967" s="14" t="s">
        <v>38</v>
      </c>
      <c r="N2967" s="7">
        <v>186</v>
      </c>
      <c r="O2967" s="14" t="s">
        <v>39</v>
      </c>
      <c r="P2967" s="14" t="s">
        <v>79</v>
      </c>
      <c r="Q2967" s="14" t="s">
        <v>39</v>
      </c>
      <c r="R2967">
        <f>tblDailySchedule[[#This Row],[Capacity Approx]]*'[1]Load Factor Sheet June Acft  '!$B$5</f>
        <v>150.61772727272728</v>
      </c>
      <c r="S2967">
        <f>tblDailySchedule[[#This Row],[Capacity Approx]]*'[1]Load Factor Sheet June Acft  '!$D$5</f>
        <v>163.08818181818182</v>
      </c>
      <c r="T2967" s="22">
        <f>tblDailySchedule[[#This Row],[STD]]</f>
        <v>0.95833333333333337</v>
      </c>
    </row>
    <row r="2968" spans="1:20" hidden="1" x14ac:dyDescent="0.35">
      <c r="A2968" s="11">
        <v>46217</v>
      </c>
      <c r="B2968" s="3">
        <v>2</v>
      </c>
      <c r="C2968" t="s">
        <v>108</v>
      </c>
      <c r="D2968" t="s">
        <v>18</v>
      </c>
      <c r="E2968" s="3">
        <v>1</v>
      </c>
      <c r="F2968" t="s">
        <v>101</v>
      </c>
      <c r="G2968" t="s">
        <v>102</v>
      </c>
      <c r="H2968" t="s">
        <v>61</v>
      </c>
      <c r="I2968" s="12">
        <v>0.3125</v>
      </c>
      <c r="J2968" t="s">
        <v>103</v>
      </c>
      <c r="K2968" t="s">
        <v>61</v>
      </c>
      <c r="L2968" s="12">
        <v>0.33333333333333331</v>
      </c>
      <c r="M2968" t="s">
        <v>33</v>
      </c>
      <c r="N2968" s="3">
        <v>189</v>
      </c>
      <c r="O2968" t="s">
        <v>24</v>
      </c>
      <c r="P2968" t="s">
        <v>25</v>
      </c>
      <c r="R2968">
        <f>tblDailySchedule[[#This Row],[Capacity Approx]]*'[1]Load Factor Sheet June Acft  '!$B$5</f>
        <v>153.04704545454547</v>
      </c>
      <c r="S2968">
        <f>tblDailySchedule[[#This Row],[Capacity Approx]]*'[1]Load Factor Sheet June Acft  '!$D$5</f>
        <v>165.71863636363636</v>
      </c>
      <c r="T2968" s="22">
        <f>tblDailySchedule[[#This Row],[STD]]</f>
        <v>0.33333333333333331</v>
      </c>
    </row>
    <row r="2969" spans="1:20" hidden="1" x14ac:dyDescent="0.35">
      <c r="A2969" s="11">
        <v>46217</v>
      </c>
      <c r="B2969" s="3">
        <v>2</v>
      </c>
      <c r="C2969" t="s">
        <v>108</v>
      </c>
      <c r="D2969" t="s">
        <v>18</v>
      </c>
      <c r="E2969" s="3">
        <v>2</v>
      </c>
      <c r="F2969" t="s">
        <v>19</v>
      </c>
      <c r="G2969" t="s">
        <v>20</v>
      </c>
      <c r="H2969" t="s">
        <v>21</v>
      </c>
      <c r="I2969" s="12">
        <v>0.31944444444444442</v>
      </c>
      <c r="J2969" t="s">
        <v>22</v>
      </c>
      <c r="K2969" t="s">
        <v>21</v>
      </c>
      <c r="L2969" s="12">
        <v>0.34722222222222221</v>
      </c>
      <c r="M2969" t="s">
        <v>23</v>
      </c>
      <c r="N2969" s="3">
        <v>186</v>
      </c>
      <c r="O2969" t="s">
        <v>24</v>
      </c>
      <c r="P2969" t="s">
        <v>25</v>
      </c>
      <c r="R2969">
        <f>tblDailySchedule[[#This Row],[Capacity Approx]]*'[1]Load Factor Sheet June Acft  '!$B$5</f>
        <v>150.61772727272728</v>
      </c>
      <c r="S2969">
        <f>tblDailySchedule[[#This Row],[Capacity Approx]]*'[1]Load Factor Sheet June Acft  '!$D$5</f>
        <v>163.08818181818182</v>
      </c>
      <c r="T2969" s="22">
        <f>tblDailySchedule[[#This Row],[STD]]</f>
        <v>0.34722222222222221</v>
      </c>
    </row>
    <row r="2970" spans="1:20" hidden="1" x14ac:dyDescent="0.35">
      <c r="A2970" s="11">
        <v>46217</v>
      </c>
      <c r="B2970" s="3">
        <v>2</v>
      </c>
      <c r="C2970" t="s">
        <v>108</v>
      </c>
      <c r="D2970" t="s">
        <v>18</v>
      </c>
      <c r="E2970" s="3">
        <v>3</v>
      </c>
      <c r="F2970" t="s">
        <v>19</v>
      </c>
      <c r="G2970" t="s">
        <v>26</v>
      </c>
      <c r="H2970" t="s">
        <v>27</v>
      </c>
      <c r="I2970" s="12">
        <v>0.3263888888888889</v>
      </c>
      <c r="J2970" t="s">
        <v>28</v>
      </c>
      <c r="K2970" t="s">
        <v>27</v>
      </c>
      <c r="L2970" s="12">
        <v>0.35416666666666669</v>
      </c>
      <c r="M2970" t="s">
        <v>29</v>
      </c>
      <c r="N2970" s="3">
        <v>186</v>
      </c>
      <c r="O2970" t="s">
        <v>24</v>
      </c>
      <c r="P2970" t="s">
        <v>25</v>
      </c>
      <c r="R2970">
        <f>tblDailySchedule[[#This Row],[Capacity Approx]]*'[1]Load Factor Sheet June Acft  '!$B$5</f>
        <v>150.61772727272728</v>
      </c>
      <c r="S2970">
        <f>tblDailySchedule[[#This Row],[Capacity Approx]]*'[1]Load Factor Sheet June Acft  '!$D$5</f>
        <v>163.08818181818182</v>
      </c>
      <c r="T2970" s="22">
        <f>tblDailySchedule[[#This Row],[STD]]</f>
        <v>0.35416666666666669</v>
      </c>
    </row>
    <row r="2971" spans="1:20" hidden="1" x14ac:dyDescent="0.35">
      <c r="A2971" s="11">
        <v>46217</v>
      </c>
      <c r="B2971" s="3">
        <v>2</v>
      </c>
      <c r="C2971" t="s">
        <v>108</v>
      </c>
      <c r="D2971" t="s">
        <v>18</v>
      </c>
      <c r="E2971" s="3">
        <v>4</v>
      </c>
      <c r="F2971" t="s">
        <v>19</v>
      </c>
      <c r="G2971" t="s">
        <v>30</v>
      </c>
      <c r="H2971" t="s">
        <v>31</v>
      </c>
      <c r="I2971" s="12">
        <v>0.34722222222222221</v>
      </c>
      <c r="J2971" t="s">
        <v>32</v>
      </c>
      <c r="K2971" t="s">
        <v>31</v>
      </c>
      <c r="L2971" s="12">
        <v>0.36805555555555558</v>
      </c>
      <c r="M2971" t="s">
        <v>33</v>
      </c>
      <c r="N2971" s="3">
        <v>189</v>
      </c>
      <c r="O2971" t="s">
        <v>24</v>
      </c>
      <c r="P2971" t="s">
        <v>25</v>
      </c>
      <c r="R2971">
        <f>tblDailySchedule[[#This Row],[Capacity Approx]]*'[1]Load Factor Sheet June Acft  '!$B$5</f>
        <v>153.04704545454547</v>
      </c>
      <c r="S2971">
        <f>tblDailySchedule[[#This Row],[Capacity Approx]]*'[1]Load Factor Sheet June Acft  '!$D$5</f>
        <v>165.71863636363636</v>
      </c>
      <c r="T2971" s="22">
        <f>tblDailySchedule[[#This Row],[STD]]</f>
        <v>0.36805555555555558</v>
      </c>
    </row>
    <row r="2972" spans="1:20" hidden="1" x14ac:dyDescent="0.35">
      <c r="A2972" s="11">
        <v>46217</v>
      </c>
      <c r="B2972" s="3">
        <v>2</v>
      </c>
      <c r="C2972" t="s">
        <v>108</v>
      </c>
      <c r="D2972" t="s">
        <v>18</v>
      </c>
      <c r="E2972" s="3">
        <v>5</v>
      </c>
      <c r="F2972" t="s">
        <v>19</v>
      </c>
      <c r="G2972" t="s">
        <v>40</v>
      </c>
      <c r="H2972" t="s">
        <v>31</v>
      </c>
      <c r="I2972" s="12">
        <v>0.35069444444444442</v>
      </c>
      <c r="J2972" t="s">
        <v>41</v>
      </c>
      <c r="K2972" t="s">
        <v>31</v>
      </c>
      <c r="L2972" s="12">
        <v>0.37152777777777779</v>
      </c>
      <c r="M2972" t="s">
        <v>23</v>
      </c>
      <c r="N2972" s="3">
        <v>186</v>
      </c>
      <c r="O2972" t="s">
        <v>24</v>
      </c>
      <c r="P2972" t="s">
        <v>25</v>
      </c>
      <c r="R2972">
        <f>tblDailySchedule[[#This Row],[Capacity Approx]]*'[1]Load Factor Sheet June Acft  '!$B$5</f>
        <v>150.61772727272728</v>
      </c>
      <c r="S2972">
        <f>tblDailySchedule[[#This Row],[Capacity Approx]]*'[1]Load Factor Sheet June Acft  '!$D$5</f>
        <v>163.08818181818182</v>
      </c>
      <c r="T2972" s="22">
        <f>tblDailySchedule[[#This Row],[STD]]</f>
        <v>0.37152777777777779</v>
      </c>
    </row>
    <row r="2973" spans="1:20" hidden="1" x14ac:dyDescent="0.35">
      <c r="A2973" s="11">
        <v>46217</v>
      </c>
      <c r="B2973" s="3">
        <v>2</v>
      </c>
      <c r="C2973" t="s">
        <v>108</v>
      </c>
      <c r="D2973" t="s">
        <v>18</v>
      </c>
      <c r="E2973" s="3">
        <v>7</v>
      </c>
      <c r="F2973" t="s">
        <v>19</v>
      </c>
      <c r="G2973" t="s">
        <v>42</v>
      </c>
      <c r="H2973" t="s">
        <v>43</v>
      </c>
      <c r="I2973" s="12">
        <v>0.3923611111111111</v>
      </c>
      <c r="J2973" t="s">
        <v>44</v>
      </c>
      <c r="K2973" t="s">
        <v>43</v>
      </c>
      <c r="L2973" s="12">
        <v>0.40277777777777779</v>
      </c>
      <c r="M2973" t="s">
        <v>45</v>
      </c>
      <c r="N2973" s="3">
        <v>9</v>
      </c>
      <c r="O2973" t="s">
        <v>24</v>
      </c>
      <c r="P2973" t="s">
        <v>25</v>
      </c>
      <c r="R2973">
        <f>tblDailySchedule[[#This Row],[Capacity Approx]]*'[1]Load Factor Sheet June Acft  '!$B$5</f>
        <v>7.2879545454545456</v>
      </c>
      <c r="S2973">
        <f>tblDailySchedule[[#This Row],[Capacity Approx]]*'[1]Load Factor Sheet June Acft  '!$D$5</f>
        <v>7.8913636363636366</v>
      </c>
      <c r="T2973" s="22">
        <f>tblDailySchedule[[#This Row],[STD]]</f>
        <v>0.40277777777777779</v>
      </c>
    </row>
    <row r="2974" spans="1:20" hidden="1" x14ac:dyDescent="0.35">
      <c r="A2974" s="11">
        <v>46217</v>
      </c>
      <c r="B2974" s="3">
        <v>2</v>
      </c>
      <c r="C2974" t="s">
        <v>108</v>
      </c>
      <c r="D2974" t="s">
        <v>18</v>
      </c>
      <c r="E2974" s="3">
        <v>8</v>
      </c>
      <c r="F2974" t="s">
        <v>19</v>
      </c>
      <c r="G2974" t="s">
        <v>46</v>
      </c>
      <c r="H2974" t="s">
        <v>31</v>
      </c>
      <c r="I2974" s="12">
        <v>0.4201388888888889</v>
      </c>
      <c r="J2974" t="s">
        <v>47</v>
      </c>
      <c r="K2974" t="s">
        <v>31</v>
      </c>
      <c r="L2974" s="12">
        <v>0.44444444444444442</v>
      </c>
      <c r="M2974" t="s">
        <v>29</v>
      </c>
      <c r="N2974" s="3">
        <v>186</v>
      </c>
      <c r="O2974" t="s">
        <v>24</v>
      </c>
      <c r="P2974" t="s">
        <v>25</v>
      </c>
      <c r="R2974">
        <f>tblDailySchedule[[#This Row],[Capacity Approx]]*'[1]Load Factor Sheet June Acft  '!$B$5</f>
        <v>150.61772727272728</v>
      </c>
      <c r="S2974">
        <f>tblDailySchedule[[#This Row],[Capacity Approx]]*'[1]Load Factor Sheet June Acft  '!$D$5</f>
        <v>163.08818181818182</v>
      </c>
      <c r="T2974" s="22">
        <f>tblDailySchedule[[#This Row],[STD]]</f>
        <v>0.44444444444444442</v>
      </c>
    </row>
    <row r="2975" spans="1:20" hidden="1" x14ac:dyDescent="0.35">
      <c r="A2975" s="11">
        <v>46217</v>
      </c>
      <c r="B2975" s="3">
        <v>2</v>
      </c>
      <c r="C2975" t="s">
        <v>108</v>
      </c>
      <c r="D2975" t="s">
        <v>18</v>
      </c>
      <c r="E2975" s="3">
        <v>9</v>
      </c>
      <c r="F2975" t="s">
        <v>19</v>
      </c>
      <c r="G2975" t="s">
        <v>48</v>
      </c>
      <c r="H2975" t="s">
        <v>49</v>
      </c>
      <c r="I2975" s="12">
        <v>0.4375</v>
      </c>
      <c r="J2975" t="s">
        <v>50</v>
      </c>
      <c r="K2975" t="s">
        <v>49</v>
      </c>
      <c r="L2975" s="12">
        <v>0.45833333333333331</v>
      </c>
      <c r="M2975" t="s">
        <v>51</v>
      </c>
      <c r="N2975" s="3">
        <v>78</v>
      </c>
      <c r="O2975" t="s">
        <v>24</v>
      </c>
      <c r="P2975" t="s">
        <v>25</v>
      </c>
      <c r="R2975">
        <f>tblDailySchedule[[#This Row],[Capacity Approx]]*'[1]Load Factor Sheet June Acft  '!$B$5</f>
        <v>63.162272727272729</v>
      </c>
      <c r="S2975">
        <f>tblDailySchedule[[#This Row],[Capacity Approx]]*'[1]Load Factor Sheet June Acft  '!$D$5</f>
        <v>68.391818181818181</v>
      </c>
      <c r="T2975" s="22">
        <f>tblDailySchedule[[#This Row],[STD]]</f>
        <v>0.45833333333333331</v>
      </c>
    </row>
    <row r="2976" spans="1:20" hidden="1" x14ac:dyDescent="0.35">
      <c r="A2976" s="11">
        <v>46217</v>
      </c>
      <c r="B2976" s="3">
        <v>2</v>
      </c>
      <c r="C2976" t="s">
        <v>108</v>
      </c>
      <c r="D2976" t="s">
        <v>18</v>
      </c>
      <c r="E2976" s="3">
        <v>10</v>
      </c>
      <c r="F2976" t="s">
        <v>19</v>
      </c>
      <c r="G2976" t="s">
        <v>52</v>
      </c>
      <c r="H2976" t="s">
        <v>27</v>
      </c>
      <c r="I2976" s="12">
        <v>0.4826388888888889</v>
      </c>
      <c r="J2976" t="s">
        <v>53</v>
      </c>
      <c r="K2976" t="s">
        <v>27</v>
      </c>
      <c r="L2976" s="12">
        <v>0.51041666666666663</v>
      </c>
      <c r="M2976" t="s">
        <v>23</v>
      </c>
      <c r="N2976" s="3">
        <v>186</v>
      </c>
      <c r="O2976" t="s">
        <v>24</v>
      </c>
      <c r="P2976" t="s">
        <v>25</v>
      </c>
      <c r="R2976">
        <f>tblDailySchedule[[#This Row],[Capacity Approx]]*'[1]Load Factor Sheet June Acft  '!$B$5</f>
        <v>150.61772727272728</v>
      </c>
      <c r="S2976">
        <f>tblDailySchedule[[#This Row],[Capacity Approx]]*'[1]Load Factor Sheet June Acft  '!$D$5</f>
        <v>163.08818181818182</v>
      </c>
      <c r="T2976" s="22">
        <f>tblDailySchedule[[#This Row],[STD]]</f>
        <v>0.51041666666666663</v>
      </c>
    </row>
    <row r="2977" spans="1:20" hidden="1" x14ac:dyDescent="0.35">
      <c r="A2977" s="11">
        <v>46217</v>
      </c>
      <c r="B2977" s="3">
        <v>2</v>
      </c>
      <c r="C2977" t="s">
        <v>108</v>
      </c>
      <c r="D2977" t="s">
        <v>18</v>
      </c>
      <c r="E2977" s="3">
        <v>11</v>
      </c>
      <c r="F2977" t="s">
        <v>19</v>
      </c>
      <c r="G2977" t="s">
        <v>54</v>
      </c>
      <c r="H2977" t="s">
        <v>31</v>
      </c>
      <c r="I2977" s="12">
        <v>0.51388888888888884</v>
      </c>
      <c r="J2977" t="s">
        <v>55</v>
      </c>
      <c r="K2977" t="s">
        <v>31</v>
      </c>
      <c r="L2977" s="12">
        <v>0.54166666666666663</v>
      </c>
      <c r="M2977" t="s">
        <v>23</v>
      </c>
      <c r="N2977" s="3">
        <v>186</v>
      </c>
      <c r="O2977" t="s">
        <v>24</v>
      </c>
      <c r="P2977" t="s">
        <v>56</v>
      </c>
      <c r="R2977">
        <f>tblDailySchedule[[#This Row],[Capacity Approx]]*'[1]Load Factor Sheet June Acft  '!$B$5</f>
        <v>150.61772727272728</v>
      </c>
      <c r="S2977">
        <f>tblDailySchedule[[#This Row],[Capacity Approx]]*'[1]Load Factor Sheet June Acft  '!$D$5</f>
        <v>163.08818181818182</v>
      </c>
      <c r="T2977" s="22">
        <f>tblDailySchedule[[#This Row],[STD]]</f>
        <v>0.54166666666666663</v>
      </c>
    </row>
    <row r="2978" spans="1:20" hidden="1" x14ac:dyDescent="0.35">
      <c r="A2978" s="11">
        <v>46217</v>
      </c>
      <c r="B2978" s="3">
        <v>2</v>
      </c>
      <c r="C2978" t="s">
        <v>108</v>
      </c>
      <c r="D2978" t="s">
        <v>18</v>
      </c>
      <c r="E2978" s="3">
        <v>12</v>
      </c>
      <c r="F2978" t="s">
        <v>109</v>
      </c>
      <c r="G2978" t="s">
        <v>110</v>
      </c>
      <c r="H2978" t="s">
        <v>111</v>
      </c>
      <c r="I2978" s="12">
        <v>0.55555555555555558</v>
      </c>
      <c r="J2978" t="s">
        <v>112</v>
      </c>
      <c r="K2978" t="s">
        <v>111</v>
      </c>
      <c r="L2978" s="12">
        <v>0.56944444444444442</v>
      </c>
      <c r="M2978" t="s">
        <v>51</v>
      </c>
      <c r="N2978" s="3">
        <v>78</v>
      </c>
      <c r="O2978" t="s">
        <v>24</v>
      </c>
      <c r="P2978" t="s">
        <v>56</v>
      </c>
      <c r="R2978">
        <f>tblDailySchedule[[#This Row],[Capacity Approx]]*'[1]Load Factor Sheet June Acft  '!$B$5</f>
        <v>63.162272727272729</v>
      </c>
      <c r="S2978">
        <f>tblDailySchedule[[#This Row],[Capacity Approx]]*'[1]Load Factor Sheet June Acft  '!$D$5</f>
        <v>68.391818181818181</v>
      </c>
      <c r="T2978" s="22">
        <f>tblDailySchedule[[#This Row],[STD]]</f>
        <v>0.56944444444444442</v>
      </c>
    </row>
    <row r="2979" spans="1:20" hidden="1" x14ac:dyDescent="0.35">
      <c r="A2979" s="11">
        <v>46217</v>
      </c>
      <c r="B2979" s="3">
        <v>2</v>
      </c>
      <c r="C2979" t="s">
        <v>108</v>
      </c>
      <c r="D2979" t="s">
        <v>18</v>
      </c>
      <c r="E2979" s="3">
        <v>13</v>
      </c>
      <c r="F2979" t="s">
        <v>19</v>
      </c>
      <c r="G2979" t="s">
        <v>57</v>
      </c>
      <c r="H2979" t="s">
        <v>58</v>
      </c>
      <c r="I2979" s="12">
        <v>0.55902777777777779</v>
      </c>
      <c r="J2979" t="s">
        <v>59</v>
      </c>
      <c r="K2979" t="s">
        <v>58</v>
      </c>
      <c r="L2979" s="12">
        <v>0.57638888888888884</v>
      </c>
      <c r="M2979" t="s">
        <v>51</v>
      </c>
      <c r="N2979" s="3">
        <v>78</v>
      </c>
      <c r="O2979" t="s">
        <v>24</v>
      </c>
      <c r="P2979" t="s">
        <v>56</v>
      </c>
      <c r="R2979">
        <f>tblDailySchedule[[#This Row],[Capacity Approx]]*'[1]Load Factor Sheet June Acft  '!$B$5</f>
        <v>63.162272727272729</v>
      </c>
      <c r="S2979">
        <f>tblDailySchedule[[#This Row],[Capacity Approx]]*'[1]Load Factor Sheet June Acft  '!$D$5</f>
        <v>68.391818181818181</v>
      </c>
      <c r="T2979" s="22">
        <f>tblDailySchedule[[#This Row],[STD]]</f>
        <v>0.57638888888888884</v>
      </c>
    </row>
    <row r="2980" spans="1:20" hidden="1" x14ac:dyDescent="0.35">
      <c r="A2980" s="11">
        <v>46217</v>
      </c>
      <c r="B2980" s="3">
        <v>2</v>
      </c>
      <c r="C2980" t="s">
        <v>108</v>
      </c>
      <c r="D2980" t="s">
        <v>18</v>
      </c>
      <c r="E2980" s="3">
        <v>14</v>
      </c>
      <c r="F2980" t="s">
        <v>19</v>
      </c>
      <c r="G2980" t="s">
        <v>60</v>
      </c>
      <c r="H2980" t="s">
        <v>61</v>
      </c>
      <c r="I2980" s="12">
        <v>0.59027777777777779</v>
      </c>
      <c r="J2980" t="s">
        <v>62</v>
      </c>
      <c r="K2980" t="s">
        <v>61</v>
      </c>
      <c r="L2980" s="12">
        <v>0.62152777777777779</v>
      </c>
      <c r="M2980" t="s">
        <v>63</v>
      </c>
      <c r="N2980" s="3">
        <v>232</v>
      </c>
      <c r="O2980" t="s">
        <v>24</v>
      </c>
      <c r="P2980" t="s">
        <v>56</v>
      </c>
      <c r="R2980">
        <f>tblDailySchedule[[#This Row],[Capacity Approx]]*'[1]Load Factor Sheet June Acft  '!$B$5</f>
        <v>187.86727272727273</v>
      </c>
      <c r="S2980">
        <f>tblDailySchedule[[#This Row],[Capacity Approx]]*'[1]Load Factor Sheet June Acft  '!$D$5</f>
        <v>203.4218181818182</v>
      </c>
      <c r="T2980" s="22">
        <f>tblDailySchedule[[#This Row],[STD]]</f>
        <v>0.62152777777777779</v>
      </c>
    </row>
    <row r="2981" spans="1:20" hidden="1" x14ac:dyDescent="0.35">
      <c r="A2981" s="11">
        <v>46217</v>
      </c>
      <c r="B2981" s="3">
        <v>2</v>
      </c>
      <c r="C2981" t="s">
        <v>108</v>
      </c>
      <c r="D2981" t="s">
        <v>18</v>
      </c>
      <c r="E2981" s="3">
        <v>15</v>
      </c>
      <c r="F2981" t="s">
        <v>19</v>
      </c>
      <c r="G2981" t="s">
        <v>64</v>
      </c>
      <c r="H2981" t="s">
        <v>31</v>
      </c>
      <c r="I2981" s="12">
        <v>0.60069444444444442</v>
      </c>
      <c r="J2981" t="s">
        <v>65</v>
      </c>
      <c r="K2981" t="s">
        <v>66</v>
      </c>
      <c r="L2981" s="12">
        <v>0.62847222222222221</v>
      </c>
      <c r="M2981" t="s">
        <v>63</v>
      </c>
      <c r="N2981" s="3">
        <v>232</v>
      </c>
      <c r="O2981" t="s">
        <v>24</v>
      </c>
      <c r="P2981" t="s">
        <v>56</v>
      </c>
      <c r="R2981">
        <f>tblDailySchedule[[#This Row],[Capacity Approx]]*'[1]Load Factor Sheet June Acft  '!$B$5</f>
        <v>187.86727272727273</v>
      </c>
      <c r="S2981">
        <f>tblDailySchedule[[#This Row],[Capacity Approx]]*'[1]Load Factor Sheet June Acft  '!$D$5</f>
        <v>203.4218181818182</v>
      </c>
      <c r="T2981" s="22">
        <f>tblDailySchedule[[#This Row],[STD]]</f>
        <v>0.62847222222222221</v>
      </c>
    </row>
    <row r="2982" spans="1:20" hidden="1" x14ac:dyDescent="0.35">
      <c r="A2982" s="11">
        <v>46217</v>
      </c>
      <c r="B2982" s="3">
        <v>2</v>
      </c>
      <c r="C2982" t="s">
        <v>108</v>
      </c>
      <c r="D2982" t="s">
        <v>18</v>
      </c>
      <c r="E2982" s="3">
        <v>16</v>
      </c>
      <c r="F2982" t="s">
        <v>19</v>
      </c>
      <c r="G2982" t="s">
        <v>67</v>
      </c>
      <c r="H2982" t="s">
        <v>31</v>
      </c>
      <c r="I2982" s="12">
        <v>0.65625</v>
      </c>
      <c r="J2982" t="s">
        <v>68</v>
      </c>
      <c r="K2982" t="s">
        <v>31</v>
      </c>
      <c r="L2982" s="12">
        <v>0.68402777777777779</v>
      </c>
      <c r="M2982" t="s">
        <v>63</v>
      </c>
      <c r="N2982" s="3">
        <v>232</v>
      </c>
      <c r="O2982" t="s">
        <v>24</v>
      </c>
      <c r="P2982" t="s">
        <v>56</v>
      </c>
      <c r="R2982">
        <f>tblDailySchedule[[#This Row],[Capacity Approx]]*'[1]Load Factor Sheet June Acft  '!$B$5</f>
        <v>187.86727272727273</v>
      </c>
      <c r="S2982">
        <f>tblDailySchedule[[#This Row],[Capacity Approx]]*'[1]Load Factor Sheet June Acft  '!$D$5</f>
        <v>203.4218181818182</v>
      </c>
      <c r="T2982" s="22">
        <f>tblDailySchedule[[#This Row],[STD]]</f>
        <v>0.68402777777777779</v>
      </c>
    </row>
    <row r="2983" spans="1:20" hidden="1" x14ac:dyDescent="0.35">
      <c r="A2983" s="11">
        <v>46217</v>
      </c>
      <c r="B2983" s="3">
        <v>2</v>
      </c>
      <c r="C2983" t="s">
        <v>108</v>
      </c>
      <c r="D2983" t="s">
        <v>18</v>
      </c>
      <c r="E2983" s="3">
        <v>17</v>
      </c>
      <c r="F2983" t="s">
        <v>19</v>
      </c>
      <c r="G2983" t="s">
        <v>69</v>
      </c>
      <c r="H2983" t="s">
        <v>31</v>
      </c>
      <c r="I2983" s="12">
        <v>0.66319444444444442</v>
      </c>
      <c r="J2983" t="s">
        <v>70</v>
      </c>
      <c r="K2983" t="s">
        <v>31</v>
      </c>
      <c r="L2983" s="12">
        <v>0.69097222222222221</v>
      </c>
      <c r="M2983" t="s">
        <v>33</v>
      </c>
      <c r="N2983" s="3">
        <v>189</v>
      </c>
      <c r="O2983" t="s">
        <v>24</v>
      </c>
      <c r="P2983" t="s">
        <v>56</v>
      </c>
      <c r="R2983">
        <f>tblDailySchedule[[#This Row],[Capacity Approx]]*'[1]Load Factor Sheet June Acft  '!$B$5</f>
        <v>153.04704545454547</v>
      </c>
      <c r="S2983">
        <f>tblDailySchedule[[#This Row],[Capacity Approx]]*'[1]Load Factor Sheet June Acft  '!$D$5</f>
        <v>165.71863636363636</v>
      </c>
      <c r="T2983" s="22">
        <f>tblDailySchedule[[#This Row],[STD]]</f>
        <v>0.69097222222222221</v>
      </c>
    </row>
    <row r="2984" spans="1:20" hidden="1" x14ac:dyDescent="0.35">
      <c r="A2984" s="11">
        <v>46217</v>
      </c>
      <c r="B2984" s="3">
        <v>2</v>
      </c>
      <c r="C2984" t="s">
        <v>108</v>
      </c>
      <c r="D2984" t="s">
        <v>18</v>
      </c>
      <c r="E2984" s="3">
        <v>18</v>
      </c>
      <c r="F2984" t="s">
        <v>19</v>
      </c>
      <c r="G2984" t="s">
        <v>71</v>
      </c>
      <c r="H2984" t="s">
        <v>21</v>
      </c>
      <c r="I2984" s="12">
        <v>0.67013888888888884</v>
      </c>
      <c r="J2984" t="s">
        <v>72</v>
      </c>
      <c r="K2984" t="s">
        <v>21</v>
      </c>
      <c r="L2984" s="12">
        <v>0.69791666666666663</v>
      </c>
      <c r="M2984" t="s">
        <v>63</v>
      </c>
      <c r="N2984" s="3">
        <v>232</v>
      </c>
      <c r="O2984" t="s">
        <v>24</v>
      </c>
      <c r="P2984" t="s">
        <v>56</v>
      </c>
      <c r="R2984">
        <f>tblDailySchedule[[#This Row],[Capacity Approx]]*'[1]Load Factor Sheet June Acft  '!$B$5</f>
        <v>187.86727272727273</v>
      </c>
      <c r="S2984">
        <f>tblDailySchedule[[#This Row],[Capacity Approx]]*'[1]Load Factor Sheet June Acft  '!$D$5</f>
        <v>203.4218181818182</v>
      </c>
      <c r="T2984" s="22">
        <f>tblDailySchedule[[#This Row],[STD]]</f>
        <v>0.69791666666666663</v>
      </c>
    </row>
    <row r="2985" spans="1:20" hidden="1" x14ac:dyDescent="0.35">
      <c r="A2985" s="11">
        <v>46217</v>
      </c>
      <c r="B2985" s="3">
        <v>2</v>
      </c>
      <c r="C2985" t="s">
        <v>108</v>
      </c>
      <c r="D2985" t="s">
        <v>18</v>
      </c>
      <c r="E2985" s="3">
        <v>19</v>
      </c>
      <c r="F2985" t="s">
        <v>19</v>
      </c>
      <c r="G2985" t="s">
        <v>73</v>
      </c>
      <c r="H2985" t="s">
        <v>27</v>
      </c>
      <c r="I2985" s="12">
        <v>0.74652777777777779</v>
      </c>
      <c r="J2985" t="s">
        <v>74</v>
      </c>
      <c r="K2985" t="s">
        <v>27</v>
      </c>
      <c r="L2985" s="12">
        <v>0.77430555555555558</v>
      </c>
      <c r="M2985" t="s">
        <v>63</v>
      </c>
      <c r="N2985" s="3">
        <v>232</v>
      </c>
      <c r="O2985" t="s">
        <v>24</v>
      </c>
      <c r="P2985" t="s">
        <v>56</v>
      </c>
      <c r="R2985">
        <f>tblDailySchedule[[#This Row],[Capacity Approx]]*'[1]Load Factor Sheet June Acft  '!$B$5</f>
        <v>187.86727272727273</v>
      </c>
      <c r="S2985">
        <f>tblDailySchedule[[#This Row],[Capacity Approx]]*'[1]Load Factor Sheet June Acft  '!$D$5</f>
        <v>203.4218181818182</v>
      </c>
      <c r="T2985" s="22">
        <f>tblDailySchedule[[#This Row],[STD]]</f>
        <v>0.77430555555555558</v>
      </c>
    </row>
    <row r="2986" spans="1:20" hidden="1" x14ac:dyDescent="0.35">
      <c r="A2986" s="11">
        <v>46217</v>
      </c>
      <c r="B2986" s="3">
        <v>2</v>
      </c>
      <c r="C2986" t="s">
        <v>108</v>
      </c>
      <c r="D2986" t="s">
        <v>18</v>
      </c>
      <c r="E2986" s="3">
        <v>21</v>
      </c>
      <c r="F2986" t="s">
        <v>19</v>
      </c>
      <c r="G2986" t="s">
        <v>81</v>
      </c>
      <c r="H2986" t="s">
        <v>61</v>
      </c>
      <c r="I2986" s="12">
        <v>0.77083333333333337</v>
      </c>
      <c r="J2986" t="s">
        <v>82</v>
      </c>
      <c r="K2986" t="s">
        <v>49</v>
      </c>
      <c r="L2986" s="12">
        <v>0.79166666666666663</v>
      </c>
      <c r="M2986" t="s">
        <v>33</v>
      </c>
      <c r="N2986" s="3">
        <v>189</v>
      </c>
      <c r="O2986" t="s">
        <v>24</v>
      </c>
      <c r="P2986" t="s">
        <v>79</v>
      </c>
      <c r="R2986">
        <f>tblDailySchedule[[#This Row],[Capacity Approx]]*'[1]Load Factor Sheet June Acft  '!$B$5</f>
        <v>153.04704545454547</v>
      </c>
      <c r="S2986">
        <f>tblDailySchedule[[#This Row],[Capacity Approx]]*'[1]Load Factor Sheet June Acft  '!$D$5</f>
        <v>165.71863636363636</v>
      </c>
      <c r="T2986" s="22">
        <f>tblDailySchedule[[#This Row],[STD]]</f>
        <v>0.79166666666666663</v>
      </c>
    </row>
    <row r="2987" spans="1:20" hidden="1" x14ac:dyDescent="0.35">
      <c r="A2987" s="11">
        <v>46217</v>
      </c>
      <c r="B2987" s="3">
        <v>2</v>
      </c>
      <c r="C2987" t="s">
        <v>108</v>
      </c>
      <c r="D2987" t="s">
        <v>18</v>
      </c>
      <c r="E2987" s="3">
        <v>22</v>
      </c>
      <c r="F2987" t="s">
        <v>19</v>
      </c>
      <c r="G2987" t="s">
        <v>83</v>
      </c>
      <c r="H2987" t="s">
        <v>31</v>
      </c>
      <c r="I2987" s="12">
        <v>0.77777777777777779</v>
      </c>
      <c r="J2987" t="s">
        <v>84</v>
      </c>
      <c r="K2987" t="s">
        <v>31</v>
      </c>
      <c r="L2987" s="12">
        <v>0.80555555555555558</v>
      </c>
      <c r="M2987" t="s">
        <v>63</v>
      </c>
      <c r="N2987" s="3">
        <v>232</v>
      </c>
      <c r="O2987" t="s">
        <v>24</v>
      </c>
      <c r="P2987" t="s">
        <v>79</v>
      </c>
      <c r="R2987">
        <f>tblDailySchedule[[#This Row],[Capacity Approx]]*'[1]Load Factor Sheet June Acft  '!$B$5</f>
        <v>187.86727272727273</v>
      </c>
      <c r="S2987">
        <f>tblDailySchedule[[#This Row],[Capacity Approx]]*'[1]Load Factor Sheet June Acft  '!$D$5</f>
        <v>203.4218181818182</v>
      </c>
      <c r="T2987" s="22">
        <f>tblDailySchedule[[#This Row],[STD]]</f>
        <v>0.80555555555555558</v>
      </c>
    </row>
    <row r="2988" spans="1:20" hidden="1" x14ac:dyDescent="0.35">
      <c r="A2988" s="11">
        <v>46217</v>
      </c>
      <c r="B2988" s="3">
        <v>2</v>
      </c>
      <c r="C2988" t="s">
        <v>108</v>
      </c>
      <c r="D2988" t="s">
        <v>18</v>
      </c>
      <c r="E2988" s="3">
        <v>23</v>
      </c>
      <c r="F2988" t="s">
        <v>19</v>
      </c>
      <c r="G2988" t="s">
        <v>85</v>
      </c>
      <c r="H2988" t="s">
        <v>86</v>
      </c>
      <c r="I2988" s="12">
        <v>0.79861111111111116</v>
      </c>
      <c r="J2988" t="s">
        <v>87</v>
      </c>
      <c r="K2988" t="s">
        <v>86</v>
      </c>
      <c r="L2988" s="12">
        <v>0.82638888888888884</v>
      </c>
      <c r="M2988" t="s">
        <v>63</v>
      </c>
      <c r="N2988" s="3">
        <v>232</v>
      </c>
      <c r="O2988" t="s">
        <v>24</v>
      </c>
      <c r="P2988" t="s">
        <v>79</v>
      </c>
      <c r="R2988">
        <f>tblDailySchedule[[#This Row],[Capacity Approx]]*'[1]Load Factor Sheet June Acft  '!$B$5</f>
        <v>187.86727272727273</v>
      </c>
      <c r="S2988">
        <f>tblDailySchedule[[#This Row],[Capacity Approx]]*'[1]Load Factor Sheet June Acft  '!$D$5</f>
        <v>203.4218181818182</v>
      </c>
      <c r="T2988" s="22">
        <f>tblDailySchedule[[#This Row],[STD]]</f>
        <v>0.82638888888888884</v>
      </c>
    </row>
    <row r="2989" spans="1:20" hidden="1" x14ac:dyDescent="0.35">
      <c r="A2989" s="11">
        <v>46217</v>
      </c>
      <c r="B2989" s="3">
        <v>2</v>
      </c>
      <c r="C2989" t="s">
        <v>108</v>
      </c>
      <c r="D2989" t="s">
        <v>18</v>
      </c>
      <c r="E2989" s="3">
        <v>24</v>
      </c>
      <c r="F2989" t="s">
        <v>19</v>
      </c>
      <c r="G2989" t="s">
        <v>88</v>
      </c>
      <c r="H2989" t="s">
        <v>89</v>
      </c>
      <c r="I2989" s="12">
        <v>0.83333333333333337</v>
      </c>
      <c r="J2989" t="s">
        <v>90</v>
      </c>
      <c r="K2989" t="s">
        <v>31</v>
      </c>
      <c r="L2989" s="12">
        <v>0.86111111111111116</v>
      </c>
      <c r="M2989" t="s">
        <v>63</v>
      </c>
      <c r="N2989" s="3">
        <v>232</v>
      </c>
      <c r="O2989" t="s">
        <v>24</v>
      </c>
      <c r="P2989" t="s">
        <v>79</v>
      </c>
      <c r="R2989">
        <f>tblDailySchedule[[#This Row],[Capacity Approx]]*'[1]Load Factor Sheet June Acft  '!$B$5</f>
        <v>187.86727272727273</v>
      </c>
      <c r="S2989">
        <f>tblDailySchedule[[#This Row],[Capacity Approx]]*'[1]Load Factor Sheet June Acft  '!$D$5</f>
        <v>203.4218181818182</v>
      </c>
      <c r="T2989" s="22">
        <f>tblDailySchedule[[#This Row],[STD]]</f>
        <v>0.86111111111111116</v>
      </c>
    </row>
    <row r="2990" spans="1:20" hidden="1" x14ac:dyDescent="0.35">
      <c r="A2990" s="11">
        <v>46217</v>
      </c>
      <c r="B2990" s="3">
        <v>2</v>
      </c>
      <c r="C2990" t="s">
        <v>108</v>
      </c>
      <c r="D2990" t="s">
        <v>18</v>
      </c>
      <c r="E2990" s="3">
        <v>25</v>
      </c>
      <c r="F2990" t="s">
        <v>19</v>
      </c>
      <c r="G2990" t="s">
        <v>91</v>
      </c>
      <c r="H2990" t="s">
        <v>61</v>
      </c>
      <c r="I2990" s="12">
        <v>0.85416666666666663</v>
      </c>
      <c r="J2990" t="s">
        <v>92</v>
      </c>
      <c r="K2990" t="s">
        <v>61</v>
      </c>
      <c r="L2990" s="12">
        <v>0.88194444444444442</v>
      </c>
      <c r="M2990" t="s">
        <v>63</v>
      </c>
      <c r="N2990" s="3">
        <v>232</v>
      </c>
      <c r="O2990" t="s">
        <v>24</v>
      </c>
      <c r="P2990" t="s">
        <v>79</v>
      </c>
      <c r="R2990">
        <f>tblDailySchedule[[#This Row],[Capacity Approx]]*'[1]Load Factor Sheet June Acft  '!$B$5</f>
        <v>187.86727272727273</v>
      </c>
      <c r="S2990">
        <f>tblDailySchedule[[#This Row],[Capacity Approx]]*'[1]Load Factor Sheet June Acft  '!$D$5</f>
        <v>203.4218181818182</v>
      </c>
      <c r="T2990" s="22">
        <f>tblDailySchedule[[#This Row],[STD]]</f>
        <v>0.88194444444444442</v>
      </c>
    </row>
    <row r="2991" spans="1:20" hidden="1" x14ac:dyDescent="0.35">
      <c r="A2991" s="11">
        <v>46217</v>
      </c>
      <c r="B2991" s="3">
        <v>2</v>
      </c>
      <c r="C2991" t="s">
        <v>108</v>
      </c>
      <c r="D2991" t="s">
        <v>18</v>
      </c>
      <c r="E2991" s="3">
        <v>26</v>
      </c>
      <c r="F2991" t="s">
        <v>19</v>
      </c>
      <c r="G2991" t="s">
        <v>93</v>
      </c>
      <c r="H2991" t="s">
        <v>31</v>
      </c>
      <c r="I2991" s="12">
        <v>0.86111111111111116</v>
      </c>
      <c r="J2991" t="s">
        <v>94</v>
      </c>
      <c r="K2991" t="s">
        <v>31</v>
      </c>
      <c r="L2991" s="12">
        <v>0.88888888888888884</v>
      </c>
      <c r="M2991" t="s">
        <v>23</v>
      </c>
      <c r="N2991" s="3">
        <v>186</v>
      </c>
      <c r="O2991" t="s">
        <v>24</v>
      </c>
      <c r="P2991" t="s">
        <v>79</v>
      </c>
      <c r="R2991">
        <f>tblDailySchedule[[#This Row],[Capacity Approx]]*'[1]Load Factor Sheet June Acft  '!$B$5</f>
        <v>150.61772727272728</v>
      </c>
      <c r="S2991">
        <f>tblDailySchedule[[#This Row],[Capacity Approx]]*'[1]Load Factor Sheet June Acft  '!$D$5</f>
        <v>163.08818181818182</v>
      </c>
      <c r="T2991" s="22">
        <f>tblDailySchedule[[#This Row],[STD]]</f>
        <v>0.88888888888888884</v>
      </c>
    </row>
    <row r="2992" spans="1:20" hidden="1" x14ac:dyDescent="0.35">
      <c r="A2992" s="11">
        <v>46217</v>
      </c>
      <c r="B2992" s="3">
        <v>2</v>
      </c>
      <c r="C2992" t="s">
        <v>108</v>
      </c>
      <c r="D2992" t="s">
        <v>18</v>
      </c>
      <c r="E2992" s="3">
        <v>27</v>
      </c>
      <c r="F2992" t="s">
        <v>19</v>
      </c>
      <c r="G2992" t="s">
        <v>95</v>
      </c>
      <c r="H2992" t="s">
        <v>21</v>
      </c>
      <c r="I2992" s="12">
        <v>0.86805555555555558</v>
      </c>
      <c r="J2992" t="s">
        <v>96</v>
      </c>
      <c r="K2992" t="s">
        <v>21</v>
      </c>
      <c r="L2992" s="12">
        <v>0.89583333333333337</v>
      </c>
      <c r="M2992" t="s">
        <v>29</v>
      </c>
      <c r="N2992" s="3">
        <v>186</v>
      </c>
      <c r="O2992" t="s">
        <v>24</v>
      </c>
      <c r="P2992" t="s">
        <v>79</v>
      </c>
      <c r="R2992">
        <f>tblDailySchedule[[#This Row],[Capacity Approx]]*'[1]Load Factor Sheet June Acft  '!$B$5</f>
        <v>150.61772727272728</v>
      </c>
      <c r="S2992">
        <f>tblDailySchedule[[#This Row],[Capacity Approx]]*'[1]Load Factor Sheet June Acft  '!$D$5</f>
        <v>163.08818181818182</v>
      </c>
      <c r="T2992" s="22">
        <f>tblDailySchedule[[#This Row],[STD]]</f>
        <v>0.89583333333333337</v>
      </c>
    </row>
    <row r="2993" spans="1:20" hidden="1" x14ac:dyDescent="0.35">
      <c r="A2993" s="11">
        <v>46217</v>
      </c>
      <c r="B2993" s="3">
        <v>2</v>
      </c>
      <c r="C2993" t="s">
        <v>108</v>
      </c>
      <c r="D2993" t="s">
        <v>18</v>
      </c>
      <c r="E2993" s="3">
        <v>28</v>
      </c>
      <c r="F2993" t="s">
        <v>19</v>
      </c>
      <c r="G2993" t="s">
        <v>97</v>
      </c>
      <c r="H2993" t="s">
        <v>49</v>
      </c>
      <c r="I2993" s="12">
        <v>0.90277777777777779</v>
      </c>
      <c r="J2993" t="s">
        <v>97</v>
      </c>
      <c r="K2993" t="s">
        <v>61</v>
      </c>
      <c r="L2993" s="12">
        <v>0.92361111111111116</v>
      </c>
      <c r="M2993" t="s">
        <v>33</v>
      </c>
      <c r="N2993" s="3">
        <v>189</v>
      </c>
      <c r="O2993" t="s">
        <v>24</v>
      </c>
      <c r="P2993" t="s">
        <v>79</v>
      </c>
      <c r="R2993">
        <f>tblDailySchedule[[#This Row],[Capacity Approx]]*'[1]Load Factor Sheet June Acft  '!$B$5</f>
        <v>153.04704545454547</v>
      </c>
      <c r="S2993">
        <f>tblDailySchedule[[#This Row],[Capacity Approx]]*'[1]Load Factor Sheet June Acft  '!$D$5</f>
        <v>165.71863636363636</v>
      </c>
      <c r="T2993" s="22">
        <f>tblDailySchedule[[#This Row],[STD]]</f>
        <v>0.92361111111111116</v>
      </c>
    </row>
    <row r="2994" spans="1:20" hidden="1" x14ac:dyDescent="0.35">
      <c r="A2994" s="11">
        <v>46217</v>
      </c>
      <c r="B2994" s="3">
        <v>2</v>
      </c>
      <c r="C2994" t="s">
        <v>108</v>
      </c>
      <c r="D2994" t="s">
        <v>18</v>
      </c>
      <c r="E2994" s="3">
        <v>29</v>
      </c>
      <c r="F2994" t="s">
        <v>19</v>
      </c>
      <c r="G2994" t="s">
        <v>98</v>
      </c>
      <c r="H2994" t="s">
        <v>21</v>
      </c>
      <c r="I2994" s="12">
        <v>0.92013888888888884</v>
      </c>
      <c r="J2994" t="s">
        <v>99</v>
      </c>
      <c r="K2994" t="s">
        <v>21</v>
      </c>
      <c r="L2994" s="12">
        <v>0.94791666666666663</v>
      </c>
      <c r="M2994" t="s">
        <v>63</v>
      </c>
      <c r="N2994" s="3">
        <v>232</v>
      </c>
      <c r="O2994" t="s">
        <v>24</v>
      </c>
      <c r="P2994" t="s">
        <v>79</v>
      </c>
      <c r="R2994">
        <f>tblDailySchedule[[#This Row],[Capacity Approx]]*'[1]Load Factor Sheet June Acft  '!$B$5</f>
        <v>187.86727272727273</v>
      </c>
      <c r="S2994">
        <f>tblDailySchedule[[#This Row],[Capacity Approx]]*'[1]Load Factor Sheet June Acft  '!$D$5</f>
        <v>203.4218181818182</v>
      </c>
      <c r="T2994" s="22">
        <f>tblDailySchedule[[#This Row],[STD]]</f>
        <v>0.94791666666666663</v>
      </c>
    </row>
    <row r="2995" spans="1:20" hidden="1" x14ac:dyDescent="0.35">
      <c r="A2995" s="11">
        <v>46218</v>
      </c>
      <c r="B2995" s="3">
        <v>3</v>
      </c>
      <c r="C2995" t="s">
        <v>113</v>
      </c>
      <c r="D2995" t="s">
        <v>18</v>
      </c>
      <c r="E2995" s="3">
        <v>2</v>
      </c>
      <c r="F2995" t="s">
        <v>19</v>
      </c>
      <c r="G2995" t="s">
        <v>20</v>
      </c>
      <c r="H2995" t="s">
        <v>21</v>
      </c>
      <c r="I2995" s="12">
        <v>0.31944444444444442</v>
      </c>
      <c r="J2995" t="s">
        <v>22</v>
      </c>
      <c r="K2995" t="s">
        <v>21</v>
      </c>
      <c r="L2995" s="12">
        <v>0.34722222222222221</v>
      </c>
      <c r="M2995" t="s">
        <v>23</v>
      </c>
      <c r="N2995" s="3">
        <v>186</v>
      </c>
      <c r="O2995" t="s">
        <v>24</v>
      </c>
      <c r="P2995" t="s">
        <v>25</v>
      </c>
      <c r="R2995">
        <f>tblDailySchedule[[#This Row],[Capacity Approx]]*'[1]Load Factor Sheet June Acft  '!$B$5</f>
        <v>150.61772727272728</v>
      </c>
      <c r="S2995">
        <f>tblDailySchedule[[#This Row],[Capacity Approx]]*'[1]Load Factor Sheet June Acft  '!$D$5</f>
        <v>163.08818181818182</v>
      </c>
      <c r="T2995" s="22">
        <f>tblDailySchedule[[#This Row],[STD]]</f>
        <v>0.34722222222222221</v>
      </c>
    </row>
    <row r="2996" spans="1:20" hidden="1" x14ac:dyDescent="0.35">
      <c r="A2996" s="11">
        <v>46218</v>
      </c>
      <c r="B2996" s="3">
        <v>3</v>
      </c>
      <c r="C2996" t="s">
        <v>113</v>
      </c>
      <c r="D2996" t="s">
        <v>18</v>
      </c>
      <c r="E2996" s="3">
        <v>3</v>
      </c>
      <c r="F2996" t="s">
        <v>19</v>
      </c>
      <c r="G2996" t="s">
        <v>26</v>
      </c>
      <c r="H2996" t="s">
        <v>27</v>
      </c>
      <c r="I2996" s="12">
        <v>0.3263888888888889</v>
      </c>
      <c r="J2996" t="s">
        <v>28</v>
      </c>
      <c r="K2996" t="s">
        <v>27</v>
      </c>
      <c r="L2996" s="12">
        <v>0.35416666666666669</v>
      </c>
      <c r="M2996" t="s">
        <v>29</v>
      </c>
      <c r="N2996" s="3">
        <v>186</v>
      </c>
      <c r="O2996" t="s">
        <v>24</v>
      </c>
      <c r="P2996" t="s">
        <v>25</v>
      </c>
      <c r="R2996">
        <f>tblDailySchedule[[#This Row],[Capacity Approx]]*'[1]Load Factor Sheet June Acft  '!$B$5</f>
        <v>150.61772727272728</v>
      </c>
      <c r="S2996">
        <f>tblDailySchedule[[#This Row],[Capacity Approx]]*'[1]Load Factor Sheet June Acft  '!$D$5</f>
        <v>163.08818181818182</v>
      </c>
      <c r="T2996" s="22">
        <f>tblDailySchedule[[#This Row],[STD]]</f>
        <v>0.35416666666666669</v>
      </c>
    </row>
    <row r="2997" spans="1:20" hidden="1" x14ac:dyDescent="0.35">
      <c r="A2997" s="11">
        <v>46218</v>
      </c>
      <c r="B2997" s="3">
        <v>3</v>
      </c>
      <c r="C2997" t="s">
        <v>113</v>
      </c>
      <c r="D2997" t="s">
        <v>18</v>
      </c>
      <c r="E2997" s="3">
        <v>4</v>
      </c>
      <c r="F2997" t="s">
        <v>19</v>
      </c>
      <c r="G2997" t="s">
        <v>30</v>
      </c>
      <c r="H2997" t="s">
        <v>31</v>
      </c>
      <c r="I2997" s="12">
        <v>0.34722222222222221</v>
      </c>
      <c r="J2997" t="s">
        <v>32</v>
      </c>
      <c r="K2997" t="s">
        <v>31</v>
      </c>
      <c r="L2997" s="12">
        <v>0.36805555555555558</v>
      </c>
      <c r="M2997" t="s">
        <v>33</v>
      </c>
      <c r="N2997" s="3">
        <v>189</v>
      </c>
      <c r="O2997" t="s">
        <v>24</v>
      </c>
      <c r="P2997" t="s">
        <v>25</v>
      </c>
      <c r="R2997">
        <f>tblDailySchedule[[#This Row],[Capacity Approx]]*'[1]Load Factor Sheet June Acft  '!$B$5</f>
        <v>153.04704545454547</v>
      </c>
      <c r="S2997">
        <f>tblDailySchedule[[#This Row],[Capacity Approx]]*'[1]Load Factor Sheet June Acft  '!$D$5</f>
        <v>165.71863636363636</v>
      </c>
      <c r="T2997" s="22">
        <f>tblDailySchedule[[#This Row],[STD]]</f>
        <v>0.36805555555555558</v>
      </c>
    </row>
    <row r="2998" spans="1:20" hidden="1" x14ac:dyDescent="0.35">
      <c r="A2998" s="13">
        <v>46218</v>
      </c>
      <c r="B2998" s="7">
        <v>3</v>
      </c>
      <c r="C2998" s="14" t="s">
        <v>113</v>
      </c>
      <c r="D2998" s="14" t="s">
        <v>18</v>
      </c>
      <c r="E2998" s="7">
        <v>6</v>
      </c>
      <c r="F2998" s="14" t="s">
        <v>34</v>
      </c>
      <c r="G2998" s="14" t="s">
        <v>35</v>
      </c>
      <c r="H2998" s="14" t="s">
        <v>36</v>
      </c>
      <c r="I2998" s="15">
        <v>0.34722222222222221</v>
      </c>
      <c r="J2998" s="14" t="s">
        <v>37</v>
      </c>
      <c r="K2998" s="14" t="s">
        <v>36</v>
      </c>
      <c r="L2998" s="15">
        <v>0.40972222222222221</v>
      </c>
      <c r="M2998" s="14" t="s">
        <v>38</v>
      </c>
      <c r="N2998" s="7">
        <v>186</v>
      </c>
      <c r="O2998" s="14" t="s">
        <v>39</v>
      </c>
      <c r="P2998" s="14" t="s">
        <v>25</v>
      </c>
      <c r="Q2998" s="14" t="s">
        <v>39</v>
      </c>
      <c r="R2998">
        <f>tblDailySchedule[[#This Row],[Capacity Approx]]*'[1]Load Factor Sheet June Acft  '!$B$5</f>
        <v>150.61772727272728</v>
      </c>
      <c r="S2998">
        <f>tblDailySchedule[[#This Row],[Capacity Approx]]*'[1]Load Factor Sheet June Acft  '!$D$5</f>
        <v>163.08818181818182</v>
      </c>
      <c r="T2998" s="22">
        <f>tblDailySchedule[[#This Row],[STD]]</f>
        <v>0.40972222222222221</v>
      </c>
    </row>
    <row r="2999" spans="1:20" hidden="1" x14ac:dyDescent="0.35">
      <c r="A2999" s="11">
        <v>46218</v>
      </c>
      <c r="B2999" s="3">
        <v>3</v>
      </c>
      <c r="C2999" t="s">
        <v>113</v>
      </c>
      <c r="D2999" t="s">
        <v>18</v>
      </c>
      <c r="E2999" s="3">
        <v>5</v>
      </c>
      <c r="F2999" t="s">
        <v>19</v>
      </c>
      <c r="G2999" t="s">
        <v>40</v>
      </c>
      <c r="H2999" t="s">
        <v>31</v>
      </c>
      <c r="I2999" s="12">
        <v>0.35069444444444442</v>
      </c>
      <c r="J2999" t="s">
        <v>41</v>
      </c>
      <c r="K2999" t="s">
        <v>31</v>
      </c>
      <c r="L2999" s="12">
        <v>0.37152777777777779</v>
      </c>
      <c r="M2999" t="s">
        <v>23</v>
      </c>
      <c r="N2999" s="3">
        <v>186</v>
      </c>
      <c r="O2999" t="s">
        <v>24</v>
      </c>
      <c r="P2999" t="s">
        <v>25</v>
      </c>
      <c r="R2999">
        <f>tblDailySchedule[[#This Row],[Capacity Approx]]*'[1]Load Factor Sheet June Acft  '!$B$5</f>
        <v>150.61772727272728</v>
      </c>
      <c r="S2999">
        <f>tblDailySchedule[[#This Row],[Capacity Approx]]*'[1]Load Factor Sheet June Acft  '!$D$5</f>
        <v>163.08818181818182</v>
      </c>
      <c r="T2999" s="22">
        <f>tblDailySchedule[[#This Row],[STD]]</f>
        <v>0.37152777777777779</v>
      </c>
    </row>
    <row r="3000" spans="1:20" hidden="1" x14ac:dyDescent="0.35">
      <c r="A3000" s="11">
        <v>46218</v>
      </c>
      <c r="B3000" s="3">
        <v>3</v>
      </c>
      <c r="C3000" t="s">
        <v>113</v>
      </c>
      <c r="D3000" t="s">
        <v>18</v>
      </c>
      <c r="E3000" s="3">
        <v>7</v>
      </c>
      <c r="F3000" t="s">
        <v>19</v>
      </c>
      <c r="G3000" t="s">
        <v>42</v>
      </c>
      <c r="H3000" t="s">
        <v>43</v>
      </c>
      <c r="I3000" s="12">
        <v>0.3923611111111111</v>
      </c>
      <c r="J3000" t="s">
        <v>44</v>
      </c>
      <c r="K3000" t="s">
        <v>43</v>
      </c>
      <c r="L3000" s="12">
        <v>0.40277777777777779</v>
      </c>
      <c r="M3000" t="s">
        <v>45</v>
      </c>
      <c r="N3000" s="3">
        <v>9</v>
      </c>
      <c r="O3000" t="s">
        <v>24</v>
      </c>
      <c r="P3000" t="s">
        <v>25</v>
      </c>
      <c r="R3000">
        <f>tblDailySchedule[[#This Row],[Capacity Approx]]*'[1]Load Factor Sheet June Acft  '!$B$5</f>
        <v>7.2879545454545456</v>
      </c>
      <c r="S3000">
        <f>tblDailySchedule[[#This Row],[Capacity Approx]]*'[1]Load Factor Sheet June Acft  '!$D$5</f>
        <v>7.8913636363636366</v>
      </c>
      <c r="T3000" s="22">
        <f>tblDailySchedule[[#This Row],[STD]]</f>
        <v>0.40277777777777779</v>
      </c>
    </row>
    <row r="3001" spans="1:20" hidden="1" x14ac:dyDescent="0.35">
      <c r="A3001" s="11">
        <v>46218</v>
      </c>
      <c r="B3001" s="3">
        <v>3</v>
      </c>
      <c r="C3001" t="s">
        <v>113</v>
      </c>
      <c r="D3001" t="s">
        <v>18</v>
      </c>
      <c r="E3001" s="3">
        <v>8</v>
      </c>
      <c r="F3001" t="s">
        <v>19</v>
      </c>
      <c r="G3001" t="s">
        <v>46</v>
      </c>
      <c r="H3001" t="s">
        <v>31</v>
      </c>
      <c r="I3001" s="12">
        <v>0.4201388888888889</v>
      </c>
      <c r="J3001" t="s">
        <v>47</v>
      </c>
      <c r="K3001" t="s">
        <v>31</v>
      </c>
      <c r="L3001" s="12">
        <v>0.44444444444444442</v>
      </c>
      <c r="M3001" t="s">
        <v>29</v>
      </c>
      <c r="N3001" s="3">
        <v>186</v>
      </c>
      <c r="O3001" t="s">
        <v>24</v>
      </c>
      <c r="P3001" t="s">
        <v>25</v>
      </c>
      <c r="R3001">
        <f>tblDailySchedule[[#This Row],[Capacity Approx]]*'[1]Load Factor Sheet June Acft  '!$B$5</f>
        <v>150.61772727272728</v>
      </c>
      <c r="S3001">
        <f>tblDailySchedule[[#This Row],[Capacity Approx]]*'[1]Load Factor Sheet June Acft  '!$D$5</f>
        <v>163.08818181818182</v>
      </c>
      <c r="T3001" s="22">
        <f>tblDailySchedule[[#This Row],[STD]]</f>
        <v>0.44444444444444442</v>
      </c>
    </row>
    <row r="3002" spans="1:20" hidden="1" x14ac:dyDescent="0.35">
      <c r="A3002" s="11">
        <v>46218</v>
      </c>
      <c r="B3002" s="3">
        <v>3</v>
      </c>
      <c r="C3002" t="s">
        <v>113</v>
      </c>
      <c r="D3002" t="s">
        <v>18</v>
      </c>
      <c r="E3002" s="3">
        <v>9</v>
      </c>
      <c r="F3002" t="s">
        <v>19</v>
      </c>
      <c r="G3002" t="s">
        <v>48</v>
      </c>
      <c r="H3002" t="s">
        <v>49</v>
      </c>
      <c r="I3002" s="12">
        <v>0.4375</v>
      </c>
      <c r="J3002" t="s">
        <v>50</v>
      </c>
      <c r="K3002" t="s">
        <v>49</v>
      </c>
      <c r="L3002" s="12">
        <v>0.45833333333333331</v>
      </c>
      <c r="M3002" t="s">
        <v>51</v>
      </c>
      <c r="N3002" s="3">
        <v>78</v>
      </c>
      <c r="O3002" t="s">
        <v>24</v>
      </c>
      <c r="P3002" t="s">
        <v>25</v>
      </c>
      <c r="R3002">
        <f>tblDailySchedule[[#This Row],[Capacity Approx]]*'[1]Load Factor Sheet June Acft  '!$B$5</f>
        <v>63.162272727272729</v>
      </c>
      <c r="S3002">
        <f>tblDailySchedule[[#This Row],[Capacity Approx]]*'[1]Load Factor Sheet June Acft  '!$D$5</f>
        <v>68.391818181818181</v>
      </c>
      <c r="T3002" s="22">
        <f>tblDailySchedule[[#This Row],[STD]]</f>
        <v>0.45833333333333331</v>
      </c>
    </row>
    <row r="3003" spans="1:20" hidden="1" x14ac:dyDescent="0.35">
      <c r="A3003" s="11">
        <v>46218</v>
      </c>
      <c r="B3003" s="3">
        <v>3</v>
      </c>
      <c r="C3003" t="s">
        <v>113</v>
      </c>
      <c r="D3003" t="s">
        <v>18</v>
      </c>
      <c r="E3003" s="3">
        <v>10</v>
      </c>
      <c r="F3003" t="s">
        <v>19</v>
      </c>
      <c r="G3003" t="s">
        <v>52</v>
      </c>
      <c r="H3003" t="s">
        <v>27</v>
      </c>
      <c r="I3003" s="12">
        <v>0.4826388888888889</v>
      </c>
      <c r="J3003" t="s">
        <v>53</v>
      </c>
      <c r="K3003" t="s">
        <v>27</v>
      </c>
      <c r="L3003" s="12">
        <v>0.51041666666666663</v>
      </c>
      <c r="M3003" t="s">
        <v>23</v>
      </c>
      <c r="N3003" s="3">
        <v>186</v>
      </c>
      <c r="O3003" t="s">
        <v>24</v>
      </c>
      <c r="P3003" t="s">
        <v>25</v>
      </c>
      <c r="R3003">
        <f>tblDailySchedule[[#This Row],[Capacity Approx]]*'[1]Load Factor Sheet June Acft  '!$B$5</f>
        <v>150.61772727272728</v>
      </c>
      <c r="S3003">
        <f>tblDailySchedule[[#This Row],[Capacity Approx]]*'[1]Load Factor Sheet June Acft  '!$D$5</f>
        <v>163.08818181818182</v>
      </c>
      <c r="T3003" s="22">
        <f>tblDailySchedule[[#This Row],[STD]]</f>
        <v>0.51041666666666663</v>
      </c>
    </row>
    <row r="3004" spans="1:20" hidden="1" x14ac:dyDescent="0.35">
      <c r="A3004" s="11">
        <v>46218</v>
      </c>
      <c r="B3004" s="3">
        <v>3</v>
      </c>
      <c r="C3004" t="s">
        <v>113</v>
      </c>
      <c r="D3004" t="s">
        <v>18</v>
      </c>
      <c r="E3004" s="3">
        <v>11</v>
      </c>
      <c r="F3004" t="s">
        <v>19</v>
      </c>
      <c r="G3004" t="s">
        <v>54</v>
      </c>
      <c r="H3004" t="s">
        <v>31</v>
      </c>
      <c r="I3004" s="12">
        <v>0.51388888888888884</v>
      </c>
      <c r="J3004" t="s">
        <v>55</v>
      </c>
      <c r="K3004" t="s">
        <v>31</v>
      </c>
      <c r="L3004" s="12">
        <v>0.54166666666666663</v>
      </c>
      <c r="M3004" t="s">
        <v>23</v>
      </c>
      <c r="N3004" s="3">
        <v>186</v>
      </c>
      <c r="O3004" t="s">
        <v>24</v>
      </c>
      <c r="P3004" t="s">
        <v>56</v>
      </c>
      <c r="R3004">
        <f>tblDailySchedule[[#This Row],[Capacity Approx]]*'[1]Load Factor Sheet June Acft  '!$B$5</f>
        <v>150.61772727272728</v>
      </c>
      <c r="S3004">
        <f>tblDailySchedule[[#This Row],[Capacity Approx]]*'[1]Load Factor Sheet June Acft  '!$D$5</f>
        <v>163.08818181818182</v>
      </c>
      <c r="T3004" s="22">
        <f>tblDailySchedule[[#This Row],[STD]]</f>
        <v>0.54166666666666663</v>
      </c>
    </row>
    <row r="3005" spans="1:20" hidden="1" x14ac:dyDescent="0.35">
      <c r="A3005" s="11">
        <v>46218</v>
      </c>
      <c r="B3005" s="3">
        <v>3</v>
      </c>
      <c r="C3005" t="s">
        <v>113</v>
      </c>
      <c r="D3005" t="s">
        <v>18</v>
      </c>
      <c r="E3005" s="3">
        <v>13</v>
      </c>
      <c r="F3005" t="s">
        <v>19</v>
      </c>
      <c r="G3005" t="s">
        <v>57</v>
      </c>
      <c r="H3005" t="s">
        <v>58</v>
      </c>
      <c r="I3005" s="12">
        <v>0.55902777777777779</v>
      </c>
      <c r="J3005" t="s">
        <v>59</v>
      </c>
      <c r="K3005" t="s">
        <v>58</v>
      </c>
      <c r="L3005" s="12">
        <v>0.57638888888888884</v>
      </c>
      <c r="M3005" t="s">
        <v>51</v>
      </c>
      <c r="N3005" s="3">
        <v>78</v>
      </c>
      <c r="O3005" t="s">
        <v>24</v>
      </c>
      <c r="P3005" t="s">
        <v>56</v>
      </c>
      <c r="R3005">
        <f>tblDailySchedule[[#This Row],[Capacity Approx]]*'[1]Load Factor Sheet June Acft  '!$B$5</f>
        <v>63.162272727272729</v>
      </c>
      <c r="S3005">
        <f>tblDailySchedule[[#This Row],[Capacity Approx]]*'[1]Load Factor Sheet June Acft  '!$D$5</f>
        <v>68.391818181818181</v>
      </c>
      <c r="T3005" s="22">
        <f>tblDailySchedule[[#This Row],[STD]]</f>
        <v>0.57638888888888884</v>
      </c>
    </row>
    <row r="3006" spans="1:20" hidden="1" x14ac:dyDescent="0.35">
      <c r="A3006" s="11">
        <v>46218</v>
      </c>
      <c r="B3006" s="3">
        <v>3</v>
      </c>
      <c r="C3006" t="s">
        <v>113</v>
      </c>
      <c r="D3006" t="s">
        <v>18</v>
      </c>
      <c r="E3006" s="3">
        <v>14</v>
      </c>
      <c r="F3006" t="s">
        <v>19</v>
      </c>
      <c r="G3006" t="s">
        <v>60</v>
      </c>
      <c r="H3006" t="s">
        <v>61</v>
      </c>
      <c r="I3006" s="12">
        <v>0.59027777777777779</v>
      </c>
      <c r="J3006" t="s">
        <v>62</v>
      </c>
      <c r="K3006" t="s">
        <v>61</v>
      </c>
      <c r="L3006" s="12">
        <v>0.62152777777777779</v>
      </c>
      <c r="M3006" t="s">
        <v>63</v>
      </c>
      <c r="N3006" s="3">
        <v>232</v>
      </c>
      <c r="O3006" t="s">
        <v>24</v>
      </c>
      <c r="P3006" t="s">
        <v>56</v>
      </c>
      <c r="R3006">
        <f>tblDailySchedule[[#This Row],[Capacity Approx]]*'[1]Load Factor Sheet June Acft  '!$B$5</f>
        <v>187.86727272727273</v>
      </c>
      <c r="S3006">
        <f>tblDailySchedule[[#This Row],[Capacity Approx]]*'[1]Load Factor Sheet June Acft  '!$D$5</f>
        <v>203.4218181818182</v>
      </c>
      <c r="T3006" s="22">
        <f>tblDailySchedule[[#This Row],[STD]]</f>
        <v>0.62152777777777779</v>
      </c>
    </row>
    <row r="3007" spans="1:20" hidden="1" x14ac:dyDescent="0.35">
      <c r="A3007" s="11">
        <v>46218</v>
      </c>
      <c r="B3007" s="3">
        <v>3</v>
      </c>
      <c r="C3007" t="s">
        <v>113</v>
      </c>
      <c r="D3007" t="s">
        <v>18</v>
      </c>
      <c r="E3007" s="3">
        <v>15</v>
      </c>
      <c r="F3007" t="s">
        <v>19</v>
      </c>
      <c r="G3007" t="s">
        <v>64</v>
      </c>
      <c r="H3007" t="s">
        <v>31</v>
      </c>
      <c r="I3007" s="12">
        <v>0.60069444444444442</v>
      </c>
      <c r="J3007" t="s">
        <v>65</v>
      </c>
      <c r="K3007" t="s">
        <v>66</v>
      </c>
      <c r="L3007" s="12">
        <v>0.62847222222222221</v>
      </c>
      <c r="M3007" t="s">
        <v>63</v>
      </c>
      <c r="N3007" s="3">
        <v>232</v>
      </c>
      <c r="O3007" t="s">
        <v>24</v>
      </c>
      <c r="P3007" t="s">
        <v>56</v>
      </c>
      <c r="R3007">
        <f>tblDailySchedule[[#This Row],[Capacity Approx]]*'[1]Load Factor Sheet June Acft  '!$B$5</f>
        <v>187.86727272727273</v>
      </c>
      <c r="S3007">
        <f>tblDailySchedule[[#This Row],[Capacity Approx]]*'[1]Load Factor Sheet June Acft  '!$D$5</f>
        <v>203.4218181818182</v>
      </c>
      <c r="T3007" s="22">
        <f>tblDailySchedule[[#This Row],[STD]]</f>
        <v>0.62847222222222221</v>
      </c>
    </row>
    <row r="3008" spans="1:20" hidden="1" x14ac:dyDescent="0.35">
      <c r="A3008" s="11">
        <v>46218</v>
      </c>
      <c r="B3008" s="3">
        <v>3</v>
      </c>
      <c r="C3008" t="s">
        <v>113</v>
      </c>
      <c r="D3008" t="s">
        <v>18</v>
      </c>
      <c r="E3008" s="3">
        <v>16</v>
      </c>
      <c r="F3008" t="s">
        <v>19</v>
      </c>
      <c r="G3008" t="s">
        <v>67</v>
      </c>
      <c r="H3008" t="s">
        <v>31</v>
      </c>
      <c r="I3008" s="12">
        <v>0.65625</v>
      </c>
      <c r="J3008" t="s">
        <v>68</v>
      </c>
      <c r="K3008" t="s">
        <v>31</v>
      </c>
      <c r="L3008" s="12">
        <v>0.68402777777777779</v>
      </c>
      <c r="M3008" t="s">
        <v>63</v>
      </c>
      <c r="N3008" s="3">
        <v>232</v>
      </c>
      <c r="O3008" t="s">
        <v>24</v>
      </c>
      <c r="P3008" t="s">
        <v>56</v>
      </c>
      <c r="R3008">
        <f>tblDailySchedule[[#This Row],[Capacity Approx]]*'[1]Load Factor Sheet June Acft  '!$B$5</f>
        <v>187.86727272727273</v>
      </c>
      <c r="S3008">
        <f>tblDailySchedule[[#This Row],[Capacity Approx]]*'[1]Load Factor Sheet June Acft  '!$D$5</f>
        <v>203.4218181818182</v>
      </c>
      <c r="T3008" s="22">
        <f>tblDailySchedule[[#This Row],[STD]]</f>
        <v>0.68402777777777779</v>
      </c>
    </row>
    <row r="3009" spans="1:20" hidden="1" x14ac:dyDescent="0.35">
      <c r="A3009" s="11">
        <v>46218</v>
      </c>
      <c r="B3009" s="3">
        <v>3</v>
      </c>
      <c r="C3009" t="s">
        <v>113</v>
      </c>
      <c r="D3009" t="s">
        <v>18</v>
      </c>
      <c r="E3009" s="3">
        <v>17</v>
      </c>
      <c r="F3009" t="s">
        <v>19</v>
      </c>
      <c r="G3009" t="s">
        <v>69</v>
      </c>
      <c r="H3009" t="s">
        <v>31</v>
      </c>
      <c r="I3009" s="12">
        <v>0.66319444444444442</v>
      </c>
      <c r="J3009" t="s">
        <v>70</v>
      </c>
      <c r="K3009" t="s">
        <v>31</v>
      </c>
      <c r="L3009" s="12">
        <v>0.69097222222222221</v>
      </c>
      <c r="M3009" t="s">
        <v>33</v>
      </c>
      <c r="N3009" s="3">
        <v>189</v>
      </c>
      <c r="O3009" t="s">
        <v>24</v>
      </c>
      <c r="P3009" t="s">
        <v>56</v>
      </c>
      <c r="R3009">
        <f>tblDailySchedule[[#This Row],[Capacity Approx]]*'[1]Load Factor Sheet June Acft  '!$B$5</f>
        <v>153.04704545454547</v>
      </c>
      <c r="S3009">
        <f>tblDailySchedule[[#This Row],[Capacity Approx]]*'[1]Load Factor Sheet June Acft  '!$D$5</f>
        <v>165.71863636363636</v>
      </c>
      <c r="T3009" s="22">
        <f>tblDailySchedule[[#This Row],[STD]]</f>
        <v>0.69097222222222221</v>
      </c>
    </row>
    <row r="3010" spans="1:20" hidden="1" x14ac:dyDescent="0.35">
      <c r="A3010" s="11">
        <v>46218</v>
      </c>
      <c r="B3010" s="3">
        <v>3</v>
      </c>
      <c r="C3010" t="s">
        <v>113</v>
      </c>
      <c r="D3010" t="s">
        <v>18</v>
      </c>
      <c r="E3010" s="3">
        <v>18</v>
      </c>
      <c r="F3010" t="s">
        <v>19</v>
      </c>
      <c r="G3010" t="s">
        <v>71</v>
      </c>
      <c r="H3010" t="s">
        <v>21</v>
      </c>
      <c r="I3010" s="12">
        <v>0.67013888888888884</v>
      </c>
      <c r="J3010" t="s">
        <v>72</v>
      </c>
      <c r="K3010" t="s">
        <v>21</v>
      </c>
      <c r="L3010" s="12">
        <v>0.69791666666666663</v>
      </c>
      <c r="M3010" t="s">
        <v>63</v>
      </c>
      <c r="N3010" s="3">
        <v>232</v>
      </c>
      <c r="O3010" t="s">
        <v>24</v>
      </c>
      <c r="P3010" t="s">
        <v>56</v>
      </c>
      <c r="R3010">
        <f>tblDailySchedule[[#This Row],[Capacity Approx]]*'[1]Load Factor Sheet June Acft  '!$B$5</f>
        <v>187.86727272727273</v>
      </c>
      <c r="S3010">
        <f>tblDailySchedule[[#This Row],[Capacity Approx]]*'[1]Load Factor Sheet June Acft  '!$D$5</f>
        <v>203.4218181818182</v>
      </c>
      <c r="T3010" s="22">
        <f>tblDailySchedule[[#This Row],[STD]]</f>
        <v>0.69791666666666663</v>
      </c>
    </row>
    <row r="3011" spans="1:20" hidden="1" x14ac:dyDescent="0.35">
      <c r="A3011" s="11">
        <v>46218</v>
      </c>
      <c r="B3011" s="3">
        <v>3</v>
      </c>
      <c r="C3011" t="s">
        <v>113</v>
      </c>
      <c r="D3011" t="s">
        <v>18</v>
      </c>
      <c r="E3011" s="3">
        <v>19</v>
      </c>
      <c r="F3011" t="s">
        <v>19</v>
      </c>
      <c r="G3011" t="s">
        <v>73</v>
      </c>
      <c r="H3011" t="s">
        <v>27</v>
      </c>
      <c r="I3011" s="12">
        <v>0.74652777777777779</v>
      </c>
      <c r="J3011" t="s">
        <v>74</v>
      </c>
      <c r="K3011" t="s">
        <v>27</v>
      </c>
      <c r="L3011" s="12">
        <v>0.77430555555555558</v>
      </c>
      <c r="M3011" t="s">
        <v>63</v>
      </c>
      <c r="N3011" s="3">
        <v>232</v>
      </c>
      <c r="O3011" t="s">
        <v>24</v>
      </c>
      <c r="P3011" t="s">
        <v>56</v>
      </c>
      <c r="R3011">
        <f>tblDailySchedule[[#This Row],[Capacity Approx]]*'[1]Load Factor Sheet June Acft  '!$B$5</f>
        <v>187.86727272727273</v>
      </c>
      <c r="S3011">
        <f>tblDailySchedule[[#This Row],[Capacity Approx]]*'[1]Load Factor Sheet June Acft  '!$D$5</f>
        <v>203.4218181818182</v>
      </c>
      <c r="T3011" s="22">
        <f>tblDailySchedule[[#This Row],[STD]]</f>
        <v>0.77430555555555558</v>
      </c>
    </row>
    <row r="3012" spans="1:20" hidden="1" x14ac:dyDescent="0.35">
      <c r="A3012" s="11">
        <v>46218</v>
      </c>
      <c r="B3012" s="3">
        <v>3</v>
      </c>
      <c r="C3012" t="s">
        <v>113</v>
      </c>
      <c r="D3012" t="s">
        <v>18</v>
      </c>
      <c r="E3012" s="3">
        <v>20</v>
      </c>
      <c r="F3012" t="s">
        <v>34</v>
      </c>
      <c r="G3012" t="s">
        <v>75</v>
      </c>
      <c r="H3012" t="s">
        <v>76</v>
      </c>
      <c r="I3012" s="12">
        <v>0.76388888888888884</v>
      </c>
      <c r="J3012" t="s">
        <v>77</v>
      </c>
      <c r="K3012" t="s">
        <v>78</v>
      </c>
      <c r="L3012" s="12">
        <v>0.78472222222222221</v>
      </c>
      <c r="M3012" t="s">
        <v>51</v>
      </c>
      <c r="N3012" s="3">
        <v>78</v>
      </c>
      <c r="O3012" t="s">
        <v>24</v>
      </c>
      <c r="P3012" t="s">
        <v>79</v>
      </c>
      <c r="Q3012" s="16" t="s">
        <v>80</v>
      </c>
      <c r="R3012">
        <f>tblDailySchedule[[#This Row],[Capacity Approx]]*'[1]Load Factor Sheet June Acft  '!$B$5</f>
        <v>63.162272727272729</v>
      </c>
      <c r="S3012">
        <f>tblDailySchedule[[#This Row],[Capacity Approx]]*'[1]Load Factor Sheet June Acft  '!$D$5</f>
        <v>68.391818181818181</v>
      </c>
      <c r="T3012" s="22">
        <f>tblDailySchedule[[#This Row],[STD]]</f>
        <v>0.78472222222222221</v>
      </c>
    </row>
    <row r="3013" spans="1:20" hidden="1" x14ac:dyDescent="0.35">
      <c r="A3013" s="11">
        <v>46218</v>
      </c>
      <c r="B3013" s="3">
        <v>3</v>
      </c>
      <c r="C3013" t="s">
        <v>113</v>
      </c>
      <c r="D3013" t="s">
        <v>18</v>
      </c>
      <c r="E3013" s="3">
        <v>21</v>
      </c>
      <c r="F3013" t="s">
        <v>19</v>
      </c>
      <c r="G3013" t="s">
        <v>81</v>
      </c>
      <c r="H3013" t="s">
        <v>61</v>
      </c>
      <c r="I3013" s="12">
        <v>0.77083333333333337</v>
      </c>
      <c r="J3013" t="s">
        <v>82</v>
      </c>
      <c r="K3013" t="s">
        <v>49</v>
      </c>
      <c r="L3013" s="12">
        <v>0.79166666666666663</v>
      </c>
      <c r="M3013" t="s">
        <v>33</v>
      </c>
      <c r="N3013" s="3">
        <v>189</v>
      </c>
      <c r="O3013" t="s">
        <v>24</v>
      </c>
      <c r="P3013" t="s">
        <v>79</v>
      </c>
      <c r="R3013">
        <f>tblDailySchedule[[#This Row],[Capacity Approx]]*'[1]Load Factor Sheet June Acft  '!$B$5</f>
        <v>153.04704545454547</v>
      </c>
      <c r="S3013">
        <f>tblDailySchedule[[#This Row],[Capacity Approx]]*'[1]Load Factor Sheet June Acft  '!$D$5</f>
        <v>165.71863636363636</v>
      </c>
      <c r="T3013" s="22">
        <f>tblDailySchedule[[#This Row],[STD]]</f>
        <v>0.79166666666666663</v>
      </c>
    </row>
    <row r="3014" spans="1:20" hidden="1" x14ac:dyDescent="0.35">
      <c r="A3014" s="11">
        <v>46218</v>
      </c>
      <c r="B3014" s="3">
        <v>3</v>
      </c>
      <c r="C3014" t="s">
        <v>113</v>
      </c>
      <c r="D3014" t="s">
        <v>18</v>
      </c>
      <c r="E3014" s="3">
        <v>22</v>
      </c>
      <c r="F3014" t="s">
        <v>19</v>
      </c>
      <c r="G3014" t="s">
        <v>83</v>
      </c>
      <c r="H3014" t="s">
        <v>31</v>
      </c>
      <c r="I3014" s="12">
        <v>0.77777777777777779</v>
      </c>
      <c r="J3014" t="s">
        <v>84</v>
      </c>
      <c r="K3014" t="s">
        <v>31</v>
      </c>
      <c r="L3014" s="12">
        <v>0.80555555555555558</v>
      </c>
      <c r="M3014" t="s">
        <v>63</v>
      </c>
      <c r="N3014" s="3">
        <v>232</v>
      </c>
      <c r="O3014" t="s">
        <v>24</v>
      </c>
      <c r="P3014" t="s">
        <v>79</v>
      </c>
      <c r="R3014">
        <f>tblDailySchedule[[#This Row],[Capacity Approx]]*'[1]Load Factor Sheet June Acft  '!$B$5</f>
        <v>187.86727272727273</v>
      </c>
      <c r="S3014">
        <f>tblDailySchedule[[#This Row],[Capacity Approx]]*'[1]Load Factor Sheet June Acft  '!$D$5</f>
        <v>203.4218181818182</v>
      </c>
      <c r="T3014" s="22">
        <f>tblDailySchedule[[#This Row],[STD]]</f>
        <v>0.80555555555555558</v>
      </c>
    </row>
    <row r="3015" spans="1:20" hidden="1" x14ac:dyDescent="0.35">
      <c r="A3015" s="11">
        <v>46218</v>
      </c>
      <c r="B3015" s="3">
        <v>3</v>
      </c>
      <c r="C3015" t="s">
        <v>113</v>
      </c>
      <c r="D3015" t="s">
        <v>18</v>
      </c>
      <c r="E3015" s="3">
        <v>23</v>
      </c>
      <c r="F3015" t="s">
        <v>19</v>
      </c>
      <c r="G3015" t="s">
        <v>85</v>
      </c>
      <c r="H3015" t="s">
        <v>86</v>
      </c>
      <c r="I3015" s="12">
        <v>0.79861111111111116</v>
      </c>
      <c r="J3015" t="s">
        <v>87</v>
      </c>
      <c r="K3015" t="s">
        <v>86</v>
      </c>
      <c r="L3015" s="12">
        <v>0.82638888888888884</v>
      </c>
      <c r="M3015" t="s">
        <v>63</v>
      </c>
      <c r="N3015" s="3">
        <v>232</v>
      </c>
      <c r="O3015" t="s">
        <v>24</v>
      </c>
      <c r="P3015" t="s">
        <v>79</v>
      </c>
      <c r="R3015">
        <f>tblDailySchedule[[#This Row],[Capacity Approx]]*'[1]Load Factor Sheet June Acft  '!$B$5</f>
        <v>187.86727272727273</v>
      </c>
      <c r="S3015">
        <f>tblDailySchedule[[#This Row],[Capacity Approx]]*'[1]Load Factor Sheet June Acft  '!$D$5</f>
        <v>203.4218181818182</v>
      </c>
      <c r="T3015" s="22">
        <f>tblDailySchedule[[#This Row],[STD]]</f>
        <v>0.82638888888888884</v>
      </c>
    </row>
    <row r="3016" spans="1:20" hidden="1" x14ac:dyDescent="0.35">
      <c r="A3016" s="11">
        <v>46218</v>
      </c>
      <c r="B3016" s="3">
        <v>3</v>
      </c>
      <c r="C3016" t="s">
        <v>113</v>
      </c>
      <c r="D3016" t="s">
        <v>18</v>
      </c>
      <c r="E3016" s="3">
        <v>24</v>
      </c>
      <c r="F3016" t="s">
        <v>19</v>
      </c>
      <c r="G3016" t="s">
        <v>88</v>
      </c>
      <c r="H3016" t="s">
        <v>89</v>
      </c>
      <c r="I3016" s="12">
        <v>0.83333333333333337</v>
      </c>
      <c r="J3016" t="s">
        <v>90</v>
      </c>
      <c r="K3016" t="s">
        <v>31</v>
      </c>
      <c r="L3016" s="12">
        <v>0.86111111111111116</v>
      </c>
      <c r="M3016" t="s">
        <v>63</v>
      </c>
      <c r="N3016" s="3">
        <v>232</v>
      </c>
      <c r="O3016" t="s">
        <v>24</v>
      </c>
      <c r="P3016" t="s">
        <v>79</v>
      </c>
      <c r="R3016">
        <f>tblDailySchedule[[#This Row],[Capacity Approx]]*'[1]Load Factor Sheet June Acft  '!$B$5</f>
        <v>187.86727272727273</v>
      </c>
      <c r="S3016">
        <f>tblDailySchedule[[#This Row],[Capacity Approx]]*'[1]Load Factor Sheet June Acft  '!$D$5</f>
        <v>203.4218181818182</v>
      </c>
      <c r="T3016" s="22">
        <f>tblDailySchedule[[#This Row],[STD]]</f>
        <v>0.86111111111111116</v>
      </c>
    </row>
    <row r="3017" spans="1:20" hidden="1" x14ac:dyDescent="0.35">
      <c r="A3017" s="11">
        <v>46218</v>
      </c>
      <c r="B3017" s="3">
        <v>3</v>
      </c>
      <c r="C3017" t="s">
        <v>113</v>
      </c>
      <c r="D3017" t="s">
        <v>18</v>
      </c>
      <c r="E3017" s="3">
        <v>25</v>
      </c>
      <c r="F3017" t="s">
        <v>19</v>
      </c>
      <c r="G3017" t="s">
        <v>91</v>
      </c>
      <c r="H3017" t="s">
        <v>61</v>
      </c>
      <c r="I3017" s="12">
        <v>0.85416666666666663</v>
      </c>
      <c r="J3017" t="s">
        <v>92</v>
      </c>
      <c r="K3017" t="s">
        <v>61</v>
      </c>
      <c r="L3017" s="12">
        <v>0.88194444444444442</v>
      </c>
      <c r="M3017" t="s">
        <v>63</v>
      </c>
      <c r="N3017" s="3">
        <v>232</v>
      </c>
      <c r="O3017" t="s">
        <v>24</v>
      </c>
      <c r="P3017" t="s">
        <v>79</v>
      </c>
      <c r="R3017">
        <f>tblDailySchedule[[#This Row],[Capacity Approx]]*'[1]Load Factor Sheet June Acft  '!$B$5</f>
        <v>187.86727272727273</v>
      </c>
      <c r="S3017">
        <f>tblDailySchedule[[#This Row],[Capacity Approx]]*'[1]Load Factor Sheet June Acft  '!$D$5</f>
        <v>203.4218181818182</v>
      </c>
      <c r="T3017" s="22">
        <f>tblDailySchedule[[#This Row],[STD]]</f>
        <v>0.88194444444444442</v>
      </c>
    </row>
    <row r="3018" spans="1:20" hidden="1" x14ac:dyDescent="0.35">
      <c r="A3018" s="11">
        <v>46218</v>
      </c>
      <c r="B3018" s="3">
        <v>3</v>
      </c>
      <c r="C3018" t="s">
        <v>113</v>
      </c>
      <c r="D3018" t="s">
        <v>18</v>
      </c>
      <c r="E3018" s="3">
        <v>26</v>
      </c>
      <c r="F3018" t="s">
        <v>19</v>
      </c>
      <c r="G3018" t="s">
        <v>93</v>
      </c>
      <c r="H3018" t="s">
        <v>31</v>
      </c>
      <c r="I3018" s="12">
        <v>0.86111111111111116</v>
      </c>
      <c r="J3018" t="s">
        <v>94</v>
      </c>
      <c r="K3018" t="s">
        <v>31</v>
      </c>
      <c r="L3018" s="12">
        <v>0.88888888888888884</v>
      </c>
      <c r="M3018" t="s">
        <v>23</v>
      </c>
      <c r="N3018" s="3">
        <v>186</v>
      </c>
      <c r="O3018" t="s">
        <v>24</v>
      </c>
      <c r="P3018" t="s">
        <v>79</v>
      </c>
      <c r="R3018">
        <f>tblDailySchedule[[#This Row],[Capacity Approx]]*'[1]Load Factor Sheet June Acft  '!$B$5</f>
        <v>150.61772727272728</v>
      </c>
      <c r="S3018">
        <f>tblDailySchedule[[#This Row],[Capacity Approx]]*'[1]Load Factor Sheet June Acft  '!$D$5</f>
        <v>163.08818181818182</v>
      </c>
      <c r="T3018" s="22">
        <f>tblDailySchedule[[#This Row],[STD]]</f>
        <v>0.88888888888888884</v>
      </c>
    </row>
    <row r="3019" spans="1:20" hidden="1" x14ac:dyDescent="0.35">
      <c r="A3019" s="11">
        <v>46218</v>
      </c>
      <c r="B3019" s="3">
        <v>3</v>
      </c>
      <c r="C3019" t="s">
        <v>113</v>
      </c>
      <c r="D3019" t="s">
        <v>18</v>
      </c>
      <c r="E3019" s="3">
        <v>27</v>
      </c>
      <c r="F3019" t="s">
        <v>19</v>
      </c>
      <c r="G3019" t="s">
        <v>95</v>
      </c>
      <c r="H3019" t="s">
        <v>21</v>
      </c>
      <c r="I3019" s="12">
        <v>0.86805555555555558</v>
      </c>
      <c r="J3019" t="s">
        <v>96</v>
      </c>
      <c r="K3019" t="s">
        <v>21</v>
      </c>
      <c r="L3019" s="12">
        <v>0.89583333333333337</v>
      </c>
      <c r="M3019" t="s">
        <v>29</v>
      </c>
      <c r="N3019" s="3">
        <v>186</v>
      </c>
      <c r="O3019" t="s">
        <v>24</v>
      </c>
      <c r="P3019" t="s">
        <v>79</v>
      </c>
      <c r="R3019">
        <f>tblDailySchedule[[#This Row],[Capacity Approx]]*'[1]Load Factor Sheet June Acft  '!$B$5</f>
        <v>150.61772727272728</v>
      </c>
      <c r="S3019">
        <f>tblDailySchedule[[#This Row],[Capacity Approx]]*'[1]Load Factor Sheet June Acft  '!$D$5</f>
        <v>163.08818181818182</v>
      </c>
      <c r="T3019" s="22">
        <f>tblDailySchedule[[#This Row],[STD]]</f>
        <v>0.89583333333333337</v>
      </c>
    </row>
    <row r="3020" spans="1:20" hidden="1" x14ac:dyDescent="0.35">
      <c r="A3020" s="11">
        <v>46218</v>
      </c>
      <c r="B3020" s="3">
        <v>3</v>
      </c>
      <c r="C3020" t="s">
        <v>113</v>
      </c>
      <c r="D3020" t="s">
        <v>18</v>
      </c>
      <c r="E3020" s="3">
        <v>28</v>
      </c>
      <c r="F3020" t="s">
        <v>19</v>
      </c>
      <c r="G3020" t="s">
        <v>97</v>
      </c>
      <c r="H3020" t="s">
        <v>49</v>
      </c>
      <c r="I3020" s="12">
        <v>0.90277777777777779</v>
      </c>
      <c r="J3020" t="s">
        <v>97</v>
      </c>
      <c r="K3020" t="s">
        <v>61</v>
      </c>
      <c r="L3020" s="12">
        <v>0.92361111111111116</v>
      </c>
      <c r="M3020" t="s">
        <v>33</v>
      </c>
      <c r="N3020" s="3">
        <v>189</v>
      </c>
      <c r="O3020" t="s">
        <v>24</v>
      </c>
      <c r="P3020" t="s">
        <v>79</v>
      </c>
      <c r="R3020">
        <f>tblDailySchedule[[#This Row],[Capacity Approx]]*'[1]Load Factor Sheet June Acft  '!$B$5</f>
        <v>153.04704545454547</v>
      </c>
      <c r="S3020">
        <f>tblDailySchedule[[#This Row],[Capacity Approx]]*'[1]Load Factor Sheet June Acft  '!$D$5</f>
        <v>165.71863636363636</v>
      </c>
      <c r="T3020" s="22">
        <f>tblDailySchedule[[#This Row],[STD]]</f>
        <v>0.92361111111111116</v>
      </c>
    </row>
    <row r="3021" spans="1:20" hidden="1" x14ac:dyDescent="0.35">
      <c r="A3021" s="11">
        <v>46218</v>
      </c>
      <c r="B3021" s="3">
        <v>3</v>
      </c>
      <c r="C3021" t="s">
        <v>113</v>
      </c>
      <c r="D3021" t="s">
        <v>18</v>
      </c>
      <c r="E3021" s="3">
        <v>29</v>
      </c>
      <c r="F3021" t="s">
        <v>19</v>
      </c>
      <c r="G3021" t="s">
        <v>98</v>
      </c>
      <c r="H3021" t="s">
        <v>21</v>
      </c>
      <c r="I3021" s="12">
        <v>0.92013888888888884</v>
      </c>
      <c r="J3021" t="s">
        <v>99</v>
      </c>
      <c r="K3021" t="s">
        <v>21</v>
      </c>
      <c r="L3021" s="12">
        <v>0.94791666666666663</v>
      </c>
      <c r="M3021" t="s">
        <v>63</v>
      </c>
      <c r="N3021" s="3">
        <v>232</v>
      </c>
      <c r="O3021" t="s">
        <v>24</v>
      </c>
      <c r="P3021" t="s">
        <v>79</v>
      </c>
      <c r="R3021">
        <f>tblDailySchedule[[#This Row],[Capacity Approx]]*'[1]Load Factor Sheet June Acft  '!$B$5</f>
        <v>187.86727272727273</v>
      </c>
      <c r="S3021">
        <f>tblDailySchedule[[#This Row],[Capacity Approx]]*'[1]Load Factor Sheet June Acft  '!$D$5</f>
        <v>203.4218181818182</v>
      </c>
      <c r="T3021" s="22">
        <f>tblDailySchedule[[#This Row],[STD]]</f>
        <v>0.94791666666666663</v>
      </c>
    </row>
    <row r="3022" spans="1:20" hidden="1" x14ac:dyDescent="0.35">
      <c r="A3022" s="13">
        <v>46218</v>
      </c>
      <c r="B3022" s="7">
        <v>3</v>
      </c>
      <c r="C3022" s="14" t="s">
        <v>113</v>
      </c>
      <c r="D3022" s="14" t="s">
        <v>18</v>
      </c>
      <c r="E3022" s="7">
        <v>30</v>
      </c>
      <c r="F3022" s="14" t="s">
        <v>104</v>
      </c>
      <c r="G3022" s="14" t="s">
        <v>105</v>
      </c>
      <c r="H3022" s="14" t="s">
        <v>106</v>
      </c>
      <c r="I3022" s="15">
        <v>0.92708333333333337</v>
      </c>
      <c r="J3022" s="14" t="s">
        <v>107</v>
      </c>
      <c r="K3022" s="14" t="s">
        <v>106</v>
      </c>
      <c r="L3022" s="15">
        <v>0.95833333333333337</v>
      </c>
      <c r="M3022" s="14" t="s">
        <v>38</v>
      </c>
      <c r="N3022" s="7">
        <v>186</v>
      </c>
      <c r="O3022" s="14" t="s">
        <v>39</v>
      </c>
      <c r="P3022" s="14" t="s">
        <v>79</v>
      </c>
      <c r="Q3022" s="14" t="s">
        <v>39</v>
      </c>
      <c r="R3022">
        <f>tblDailySchedule[[#This Row],[Capacity Approx]]*'[1]Load Factor Sheet June Acft  '!$B$5</f>
        <v>150.61772727272728</v>
      </c>
      <c r="S3022">
        <f>tblDailySchedule[[#This Row],[Capacity Approx]]*'[1]Load Factor Sheet June Acft  '!$D$5</f>
        <v>163.08818181818182</v>
      </c>
      <c r="T3022" s="22">
        <f>tblDailySchedule[[#This Row],[STD]]</f>
        <v>0.95833333333333337</v>
      </c>
    </row>
    <row r="3023" spans="1:20" hidden="1" x14ac:dyDescent="0.35">
      <c r="A3023" s="11">
        <v>46219</v>
      </c>
      <c r="B3023" s="3">
        <v>4</v>
      </c>
      <c r="C3023" t="s">
        <v>114</v>
      </c>
      <c r="D3023" t="s">
        <v>18</v>
      </c>
      <c r="E3023" s="3">
        <v>1</v>
      </c>
      <c r="F3023" t="s">
        <v>101</v>
      </c>
      <c r="G3023" t="s">
        <v>102</v>
      </c>
      <c r="H3023" t="s">
        <v>61</v>
      </c>
      <c r="I3023" s="12">
        <v>0.3125</v>
      </c>
      <c r="J3023" t="s">
        <v>103</v>
      </c>
      <c r="K3023" t="s">
        <v>61</v>
      </c>
      <c r="L3023" s="12">
        <v>0.33333333333333331</v>
      </c>
      <c r="M3023" t="s">
        <v>33</v>
      </c>
      <c r="N3023" s="3">
        <v>189</v>
      </c>
      <c r="O3023" t="s">
        <v>24</v>
      </c>
      <c r="P3023" t="s">
        <v>25</v>
      </c>
      <c r="R3023">
        <f>tblDailySchedule[[#This Row],[Capacity Approx]]*'[1]Load Factor Sheet June Acft  '!$B$5</f>
        <v>153.04704545454547</v>
      </c>
      <c r="S3023">
        <f>tblDailySchedule[[#This Row],[Capacity Approx]]*'[1]Load Factor Sheet June Acft  '!$D$5</f>
        <v>165.71863636363636</v>
      </c>
      <c r="T3023" s="22">
        <f>tblDailySchedule[[#This Row],[STD]]</f>
        <v>0.33333333333333331</v>
      </c>
    </row>
    <row r="3024" spans="1:20" hidden="1" x14ac:dyDescent="0.35">
      <c r="A3024" s="11">
        <v>46219</v>
      </c>
      <c r="B3024" s="3">
        <v>4</v>
      </c>
      <c r="C3024" t="s">
        <v>114</v>
      </c>
      <c r="D3024" t="s">
        <v>18</v>
      </c>
      <c r="E3024" s="3">
        <v>2</v>
      </c>
      <c r="F3024" t="s">
        <v>19</v>
      </c>
      <c r="G3024" t="s">
        <v>20</v>
      </c>
      <c r="H3024" t="s">
        <v>21</v>
      </c>
      <c r="I3024" s="12">
        <v>0.31944444444444442</v>
      </c>
      <c r="J3024" t="s">
        <v>22</v>
      </c>
      <c r="K3024" t="s">
        <v>21</v>
      </c>
      <c r="L3024" s="12">
        <v>0.34722222222222221</v>
      </c>
      <c r="M3024" t="s">
        <v>23</v>
      </c>
      <c r="N3024" s="3">
        <v>186</v>
      </c>
      <c r="O3024" t="s">
        <v>24</v>
      </c>
      <c r="P3024" t="s">
        <v>25</v>
      </c>
      <c r="R3024">
        <f>tblDailySchedule[[#This Row],[Capacity Approx]]*'[1]Load Factor Sheet June Acft  '!$B$5</f>
        <v>150.61772727272728</v>
      </c>
      <c r="S3024">
        <f>tblDailySchedule[[#This Row],[Capacity Approx]]*'[1]Load Factor Sheet June Acft  '!$D$5</f>
        <v>163.08818181818182</v>
      </c>
      <c r="T3024" s="22">
        <f>tblDailySchedule[[#This Row],[STD]]</f>
        <v>0.34722222222222221</v>
      </c>
    </row>
    <row r="3025" spans="1:20" hidden="1" x14ac:dyDescent="0.35">
      <c r="A3025" s="11">
        <v>46219</v>
      </c>
      <c r="B3025" s="3">
        <v>4</v>
      </c>
      <c r="C3025" t="s">
        <v>114</v>
      </c>
      <c r="D3025" t="s">
        <v>18</v>
      </c>
      <c r="E3025" s="3">
        <v>3</v>
      </c>
      <c r="F3025" t="s">
        <v>19</v>
      </c>
      <c r="G3025" t="s">
        <v>26</v>
      </c>
      <c r="H3025" t="s">
        <v>27</v>
      </c>
      <c r="I3025" s="12">
        <v>0.3263888888888889</v>
      </c>
      <c r="J3025" t="s">
        <v>28</v>
      </c>
      <c r="K3025" t="s">
        <v>27</v>
      </c>
      <c r="L3025" s="12">
        <v>0.35416666666666669</v>
      </c>
      <c r="M3025" t="s">
        <v>29</v>
      </c>
      <c r="N3025" s="3">
        <v>186</v>
      </c>
      <c r="O3025" t="s">
        <v>24</v>
      </c>
      <c r="P3025" t="s">
        <v>25</v>
      </c>
      <c r="R3025">
        <f>tblDailySchedule[[#This Row],[Capacity Approx]]*'[1]Load Factor Sheet June Acft  '!$B$5</f>
        <v>150.61772727272728</v>
      </c>
      <c r="S3025">
        <f>tblDailySchedule[[#This Row],[Capacity Approx]]*'[1]Load Factor Sheet June Acft  '!$D$5</f>
        <v>163.08818181818182</v>
      </c>
      <c r="T3025" s="22">
        <f>tblDailySchedule[[#This Row],[STD]]</f>
        <v>0.35416666666666669</v>
      </c>
    </row>
    <row r="3026" spans="1:20" hidden="1" x14ac:dyDescent="0.35">
      <c r="A3026" s="11">
        <v>46219</v>
      </c>
      <c r="B3026" s="3">
        <v>4</v>
      </c>
      <c r="C3026" t="s">
        <v>114</v>
      </c>
      <c r="D3026" t="s">
        <v>18</v>
      </c>
      <c r="E3026" s="3">
        <v>4</v>
      </c>
      <c r="F3026" t="s">
        <v>19</v>
      </c>
      <c r="G3026" t="s">
        <v>30</v>
      </c>
      <c r="H3026" t="s">
        <v>31</v>
      </c>
      <c r="I3026" s="12">
        <v>0.34722222222222221</v>
      </c>
      <c r="J3026" t="s">
        <v>32</v>
      </c>
      <c r="K3026" t="s">
        <v>31</v>
      </c>
      <c r="L3026" s="12">
        <v>0.36805555555555558</v>
      </c>
      <c r="M3026" t="s">
        <v>33</v>
      </c>
      <c r="N3026" s="3">
        <v>189</v>
      </c>
      <c r="O3026" t="s">
        <v>24</v>
      </c>
      <c r="P3026" t="s">
        <v>25</v>
      </c>
      <c r="R3026">
        <f>tblDailySchedule[[#This Row],[Capacity Approx]]*'[1]Load Factor Sheet June Acft  '!$B$5</f>
        <v>153.04704545454547</v>
      </c>
      <c r="S3026">
        <f>tblDailySchedule[[#This Row],[Capacity Approx]]*'[1]Load Factor Sheet June Acft  '!$D$5</f>
        <v>165.71863636363636</v>
      </c>
      <c r="T3026" s="22">
        <f>tblDailySchedule[[#This Row],[STD]]</f>
        <v>0.36805555555555558</v>
      </c>
    </row>
    <row r="3027" spans="1:20" hidden="1" x14ac:dyDescent="0.35">
      <c r="A3027" s="11">
        <v>46219</v>
      </c>
      <c r="B3027" s="3">
        <v>4</v>
      </c>
      <c r="C3027" t="s">
        <v>114</v>
      </c>
      <c r="D3027" t="s">
        <v>18</v>
      </c>
      <c r="E3027" s="3">
        <v>5</v>
      </c>
      <c r="F3027" t="s">
        <v>19</v>
      </c>
      <c r="G3027" t="s">
        <v>40</v>
      </c>
      <c r="H3027" t="s">
        <v>31</v>
      </c>
      <c r="I3027" s="12">
        <v>0.35069444444444442</v>
      </c>
      <c r="J3027" t="s">
        <v>41</v>
      </c>
      <c r="K3027" t="s">
        <v>31</v>
      </c>
      <c r="L3027" s="12">
        <v>0.37152777777777779</v>
      </c>
      <c r="M3027" t="s">
        <v>23</v>
      </c>
      <c r="N3027" s="3">
        <v>186</v>
      </c>
      <c r="O3027" t="s">
        <v>24</v>
      </c>
      <c r="P3027" t="s">
        <v>25</v>
      </c>
      <c r="R3027">
        <f>tblDailySchedule[[#This Row],[Capacity Approx]]*'[1]Load Factor Sheet June Acft  '!$B$5</f>
        <v>150.61772727272728</v>
      </c>
      <c r="S3027">
        <f>tblDailySchedule[[#This Row],[Capacity Approx]]*'[1]Load Factor Sheet June Acft  '!$D$5</f>
        <v>163.08818181818182</v>
      </c>
      <c r="T3027" s="22">
        <f>tblDailySchedule[[#This Row],[STD]]</f>
        <v>0.37152777777777779</v>
      </c>
    </row>
    <row r="3028" spans="1:20" hidden="1" x14ac:dyDescent="0.35">
      <c r="A3028" s="11">
        <v>46219</v>
      </c>
      <c r="B3028" s="3">
        <v>4</v>
      </c>
      <c r="C3028" t="s">
        <v>114</v>
      </c>
      <c r="D3028" t="s">
        <v>18</v>
      </c>
      <c r="E3028" s="3">
        <v>7</v>
      </c>
      <c r="F3028" t="s">
        <v>19</v>
      </c>
      <c r="G3028" t="s">
        <v>42</v>
      </c>
      <c r="H3028" t="s">
        <v>43</v>
      </c>
      <c r="I3028" s="12">
        <v>0.3923611111111111</v>
      </c>
      <c r="J3028" t="s">
        <v>44</v>
      </c>
      <c r="K3028" t="s">
        <v>43</v>
      </c>
      <c r="L3028" s="12">
        <v>0.40277777777777779</v>
      </c>
      <c r="M3028" t="s">
        <v>45</v>
      </c>
      <c r="N3028" s="3">
        <v>9</v>
      </c>
      <c r="O3028" t="s">
        <v>24</v>
      </c>
      <c r="P3028" t="s">
        <v>25</v>
      </c>
      <c r="R3028">
        <f>tblDailySchedule[[#This Row],[Capacity Approx]]*'[1]Load Factor Sheet June Acft  '!$B$5</f>
        <v>7.2879545454545456</v>
      </c>
      <c r="S3028">
        <f>tblDailySchedule[[#This Row],[Capacity Approx]]*'[1]Load Factor Sheet June Acft  '!$D$5</f>
        <v>7.8913636363636366</v>
      </c>
      <c r="T3028" s="22">
        <f>tblDailySchedule[[#This Row],[STD]]</f>
        <v>0.40277777777777779</v>
      </c>
    </row>
    <row r="3029" spans="1:20" hidden="1" x14ac:dyDescent="0.35">
      <c r="A3029" s="11">
        <v>46219</v>
      </c>
      <c r="B3029" s="3">
        <v>4</v>
      </c>
      <c r="C3029" t="s">
        <v>114</v>
      </c>
      <c r="D3029" t="s">
        <v>18</v>
      </c>
      <c r="E3029" s="3">
        <v>8</v>
      </c>
      <c r="F3029" t="s">
        <v>19</v>
      </c>
      <c r="G3029" t="s">
        <v>46</v>
      </c>
      <c r="H3029" t="s">
        <v>31</v>
      </c>
      <c r="I3029" s="12">
        <v>0.4201388888888889</v>
      </c>
      <c r="J3029" t="s">
        <v>47</v>
      </c>
      <c r="K3029" t="s">
        <v>31</v>
      </c>
      <c r="L3029" s="12">
        <v>0.44444444444444442</v>
      </c>
      <c r="M3029" t="s">
        <v>29</v>
      </c>
      <c r="N3029" s="3">
        <v>186</v>
      </c>
      <c r="O3029" t="s">
        <v>24</v>
      </c>
      <c r="P3029" t="s">
        <v>25</v>
      </c>
      <c r="R3029">
        <f>tblDailySchedule[[#This Row],[Capacity Approx]]*'[1]Load Factor Sheet June Acft  '!$B$5</f>
        <v>150.61772727272728</v>
      </c>
      <c r="S3029">
        <f>tblDailySchedule[[#This Row],[Capacity Approx]]*'[1]Load Factor Sheet June Acft  '!$D$5</f>
        <v>163.08818181818182</v>
      </c>
      <c r="T3029" s="22">
        <f>tblDailySchedule[[#This Row],[STD]]</f>
        <v>0.44444444444444442</v>
      </c>
    </row>
    <row r="3030" spans="1:20" hidden="1" x14ac:dyDescent="0.35">
      <c r="A3030" s="11">
        <v>46219</v>
      </c>
      <c r="B3030" s="3">
        <v>4</v>
      </c>
      <c r="C3030" t="s">
        <v>114</v>
      </c>
      <c r="D3030" t="s">
        <v>18</v>
      </c>
      <c r="E3030" s="3">
        <v>9</v>
      </c>
      <c r="F3030" t="s">
        <v>19</v>
      </c>
      <c r="G3030" t="s">
        <v>48</v>
      </c>
      <c r="H3030" t="s">
        <v>49</v>
      </c>
      <c r="I3030" s="12">
        <v>0.4375</v>
      </c>
      <c r="J3030" t="s">
        <v>50</v>
      </c>
      <c r="K3030" t="s">
        <v>49</v>
      </c>
      <c r="L3030" s="12">
        <v>0.45833333333333331</v>
      </c>
      <c r="M3030" t="s">
        <v>51</v>
      </c>
      <c r="N3030" s="3">
        <v>78</v>
      </c>
      <c r="O3030" t="s">
        <v>24</v>
      </c>
      <c r="P3030" t="s">
        <v>25</v>
      </c>
      <c r="R3030">
        <f>tblDailySchedule[[#This Row],[Capacity Approx]]*'[1]Load Factor Sheet June Acft  '!$B$5</f>
        <v>63.162272727272729</v>
      </c>
      <c r="S3030">
        <f>tblDailySchedule[[#This Row],[Capacity Approx]]*'[1]Load Factor Sheet June Acft  '!$D$5</f>
        <v>68.391818181818181</v>
      </c>
      <c r="T3030" s="22">
        <f>tblDailySchedule[[#This Row],[STD]]</f>
        <v>0.45833333333333331</v>
      </c>
    </row>
    <row r="3031" spans="1:20" hidden="1" x14ac:dyDescent="0.35">
      <c r="A3031" s="11">
        <v>46219</v>
      </c>
      <c r="B3031" s="3">
        <v>4</v>
      </c>
      <c r="C3031" t="s">
        <v>114</v>
      </c>
      <c r="D3031" t="s">
        <v>18</v>
      </c>
      <c r="E3031" s="3">
        <v>10</v>
      </c>
      <c r="F3031" t="s">
        <v>19</v>
      </c>
      <c r="G3031" t="s">
        <v>52</v>
      </c>
      <c r="H3031" t="s">
        <v>27</v>
      </c>
      <c r="I3031" s="12">
        <v>0.4826388888888889</v>
      </c>
      <c r="J3031" t="s">
        <v>53</v>
      </c>
      <c r="K3031" t="s">
        <v>27</v>
      </c>
      <c r="L3031" s="12">
        <v>0.51041666666666663</v>
      </c>
      <c r="M3031" t="s">
        <v>23</v>
      </c>
      <c r="N3031" s="3">
        <v>186</v>
      </c>
      <c r="O3031" t="s">
        <v>24</v>
      </c>
      <c r="P3031" t="s">
        <v>25</v>
      </c>
      <c r="R3031">
        <f>tblDailySchedule[[#This Row],[Capacity Approx]]*'[1]Load Factor Sheet June Acft  '!$B$5</f>
        <v>150.61772727272728</v>
      </c>
      <c r="S3031">
        <f>tblDailySchedule[[#This Row],[Capacity Approx]]*'[1]Load Factor Sheet June Acft  '!$D$5</f>
        <v>163.08818181818182</v>
      </c>
      <c r="T3031" s="22">
        <f>tblDailySchedule[[#This Row],[STD]]</f>
        <v>0.51041666666666663</v>
      </c>
    </row>
    <row r="3032" spans="1:20" hidden="1" x14ac:dyDescent="0.35">
      <c r="A3032" s="11">
        <v>46219</v>
      </c>
      <c r="B3032" s="3">
        <v>4</v>
      </c>
      <c r="C3032" t="s">
        <v>114</v>
      </c>
      <c r="D3032" t="s">
        <v>18</v>
      </c>
      <c r="E3032" s="3">
        <v>11</v>
      </c>
      <c r="F3032" t="s">
        <v>19</v>
      </c>
      <c r="G3032" t="s">
        <v>54</v>
      </c>
      <c r="H3032" t="s">
        <v>31</v>
      </c>
      <c r="I3032" s="12">
        <v>0.51388888888888884</v>
      </c>
      <c r="J3032" t="s">
        <v>55</v>
      </c>
      <c r="K3032" t="s">
        <v>31</v>
      </c>
      <c r="L3032" s="12">
        <v>0.54166666666666663</v>
      </c>
      <c r="M3032" t="s">
        <v>23</v>
      </c>
      <c r="N3032" s="3">
        <v>186</v>
      </c>
      <c r="O3032" t="s">
        <v>24</v>
      </c>
      <c r="P3032" t="s">
        <v>56</v>
      </c>
      <c r="R3032">
        <f>tblDailySchedule[[#This Row],[Capacity Approx]]*'[1]Load Factor Sheet June Acft  '!$B$5</f>
        <v>150.61772727272728</v>
      </c>
      <c r="S3032">
        <f>tblDailySchedule[[#This Row],[Capacity Approx]]*'[1]Load Factor Sheet June Acft  '!$D$5</f>
        <v>163.08818181818182</v>
      </c>
      <c r="T3032" s="22">
        <f>tblDailySchedule[[#This Row],[STD]]</f>
        <v>0.54166666666666663</v>
      </c>
    </row>
    <row r="3033" spans="1:20" hidden="1" x14ac:dyDescent="0.35">
      <c r="A3033" s="11">
        <v>46219</v>
      </c>
      <c r="B3033" s="3">
        <v>4</v>
      </c>
      <c r="C3033" t="s">
        <v>114</v>
      </c>
      <c r="D3033" t="s">
        <v>18</v>
      </c>
      <c r="E3033" s="3">
        <v>12</v>
      </c>
      <c r="F3033" t="s">
        <v>109</v>
      </c>
      <c r="G3033" t="s">
        <v>110</v>
      </c>
      <c r="H3033" t="s">
        <v>111</v>
      </c>
      <c r="I3033" s="12">
        <v>0.55555555555555558</v>
      </c>
      <c r="J3033" t="s">
        <v>112</v>
      </c>
      <c r="K3033" t="s">
        <v>111</v>
      </c>
      <c r="L3033" s="12">
        <v>0.56944444444444442</v>
      </c>
      <c r="M3033" t="s">
        <v>51</v>
      </c>
      <c r="N3033" s="3">
        <v>78</v>
      </c>
      <c r="O3033" t="s">
        <v>24</v>
      </c>
      <c r="P3033" t="s">
        <v>56</v>
      </c>
      <c r="R3033">
        <f>tblDailySchedule[[#This Row],[Capacity Approx]]*'[1]Load Factor Sheet June Acft  '!$B$5</f>
        <v>63.162272727272729</v>
      </c>
      <c r="S3033">
        <f>tblDailySchedule[[#This Row],[Capacity Approx]]*'[1]Load Factor Sheet June Acft  '!$D$5</f>
        <v>68.391818181818181</v>
      </c>
      <c r="T3033" s="22">
        <f>tblDailySchedule[[#This Row],[STD]]</f>
        <v>0.56944444444444442</v>
      </c>
    </row>
    <row r="3034" spans="1:20" hidden="1" x14ac:dyDescent="0.35">
      <c r="A3034" s="11">
        <v>46219</v>
      </c>
      <c r="B3034" s="3">
        <v>4</v>
      </c>
      <c r="C3034" t="s">
        <v>114</v>
      </c>
      <c r="D3034" t="s">
        <v>18</v>
      </c>
      <c r="E3034" s="3">
        <v>13</v>
      </c>
      <c r="F3034" t="s">
        <v>19</v>
      </c>
      <c r="G3034" t="s">
        <v>57</v>
      </c>
      <c r="H3034" t="s">
        <v>58</v>
      </c>
      <c r="I3034" s="12">
        <v>0.55902777777777779</v>
      </c>
      <c r="J3034" t="s">
        <v>59</v>
      </c>
      <c r="K3034" t="s">
        <v>58</v>
      </c>
      <c r="L3034" s="12">
        <v>0.57638888888888884</v>
      </c>
      <c r="M3034" t="s">
        <v>51</v>
      </c>
      <c r="N3034" s="3">
        <v>78</v>
      </c>
      <c r="O3034" t="s">
        <v>24</v>
      </c>
      <c r="P3034" t="s">
        <v>56</v>
      </c>
      <c r="R3034">
        <f>tblDailySchedule[[#This Row],[Capacity Approx]]*'[1]Load Factor Sheet June Acft  '!$B$5</f>
        <v>63.162272727272729</v>
      </c>
      <c r="S3034">
        <f>tblDailySchedule[[#This Row],[Capacity Approx]]*'[1]Load Factor Sheet June Acft  '!$D$5</f>
        <v>68.391818181818181</v>
      </c>
      <c r="T3034" s="22">
        <f>tblDailySchedule[[#This Row],[STD]]</f>
        <v>0.57638888888888884</v>
      </c>
    </row>
    <row r="3035" spans="1:20" hidden="1" x14ac:dyDescent="0.35">
      <c r="A3035" s="11">
        <v>46219</v>
      </c>
      <c r="B3035" s="3">
        <v>4</v>
      </c>
      <c r="C3035" t="s">
        <v>114</v>
      </c>
      <c r="D3035" t="s">
        <v>18</v>
      </c>
      <c r="E3035" s="3">
        <v>14</v>
      </c>
      <c r="F3035" t="s">
        <v>19</v>
      </c>
      <c r="G3035" t="s">
        <v>60</v>
      </c>
      <c r="H3035" t="s">
        <v>61</v>
      </c>
      <c r="I3035" s="12">
        <v>0.59027777777777779</v>
      </c>
      <c r="J3035" t="s">
        <v>62</v>
      </c>
      <c r="K3035" t="s">
        <v>61</v>
      </c>
      <c r="L3035" s="12">
        <v>0.62152777777777779</v>
      </c>
      <c r="M3035" t="s">
        <v>63</v>
      </c>
      <c r="N3035" s="3">
        <v>232</v>
      </c>
      <c r="O3035" t="s">
        <v>24</v>
      </c>
      <c r="P3035" t="s">
        <v>56</v>
      </c>
      <c r="R3035">
        <f>tblDailySchedule[[#This Row],[Capacity Approx]]*'[1]Load Factor Sheet June Acft  '!$B$5</f>
        <v>187.86727272727273</v>
      </c>
      <c r="S3035">
        <f>tblDailySchedule[[#This Row],[Capacity Approx]]*'[1]Load Factor Sheet June Acft  '!$D$5</f>
        <v>203.4218181818182</v>
      </c>
      <c r="T3035" s="22">
        <f>tblDailySchedule[[#This Row],[STD]]</f>
        <v>0.62152777777777779</v>
      </c>
    </row>
    <row r="3036" spans="1:20" hidden="1" x14ac:dyDescent="0.35">
      <c r="A3036" s="11">
        <v>46219</v>
      </c>
      <c r="B3036" s="3">
        <v>4</v>
      </c>
      <c r="C3036" t="s">
        <v>114</v>
      </c>
      <c r="D3036" t="s">
        <v>18</v>
      </c>
      <c r="E3036" s="3">
        <v>15</v>
      </c>
      <c r="F3036" t="s">
        <v>19</v>
      </c>
      <c r="G3036" t="s">
        <v>64</v>
      </c>
      <c r="H3036" t="s">
        <v>31</v>
      </c>
      <c r="I3036" s="12">
        <v>0.60069444444444442</v>
      </c>
      <c r="J3036" t="s">
        <v>65</v>
      </c>
      <c r="K3036" t="s">
        <v>66</v>
      </c>
      <c r="L3036" s="12">
        <v>0.62847222222222221</v>
      </c>
      <c r="M3036" t="s">
        <v>63</v>
      </c>
      <c r="N3036" s="3">
        <v>232</v>
      </c>
      <c r="O3036" t="s">
        <v>24</v>
      </c>
      <c r="P3036" t="s">
        <v>56</v>
      </c>
      <c r="R3036">
        <f>tblDailySchedule[[#This Row],[Capacity Approx]]*'[1]Load Factor Sheet June Acft  '!$B$5</f>
        <v>187.86727272727273</v>
      </c>
      <c r="S3036">
        <f>tblDailySchedule[[#This Row],[Capacity Approx]]*'[1]Load Factor Sheet June Acft  '!$D$5</f>
        <v>203.4218181818182</v>
      </c>
      <c r="T3036" s="22">
        <f>tblDailySchedule[[#This Row],[STD]]</f>
        <v>0.62847222222222221</v>
      </c>
    </row>
    <row r="3037" spans="1:20" hidden="1" x14ac:dyDescent="0.35">
      <c r="A3037" s="11">
        <v>46219</v>
      </c>
      <c r="B3037" s="3">
        <v>4</v>
      </c>
      <c r="C3037" t="s">
        <v>114</v>
      </c>
      <c r="D3037" t="s">
        <v>18</v>
      </c>
      <c r="E3037" s="3">
        <v>16</v>
      </c>
      <c r="F3037" t="s">
        <v>19</v>
      </c>
      <c r="G3037" t="s">
        <v>67</v>
      </c>
      <c r="H3037" t="s">
        <v>31</v>
      </c>
      <c r="I3037" s="12">
        <v>0.65625</v>
      </c>
      <c r="J3037" t="s">
        <v>68</v>
      </c>
      <c r="K3037" t="s">
        <v>31</v>
      </c>
      <c r="L3037" s="12">
        <v>0.68402777777777779</v>
      </c>
      <c r="M3037" t="s">
        <v>63</v>
      </c>
      <c r="N3037" s="3">
        <v>232</v>
      </c>
      <c r="O3037" t="s">
        <v>24</v>
      </c>
      <c r="P3037" t="s">
        <v>56</v>
      </c>
      <c r="R3037">
        <f>tblDailySchedule[[#This Row],[Capacity Approx]]*'[1]Load Factor Sheet June Acft  '!$B$5</f>
        <v>187.86727272727273</v>
      </c>
      <c r="S3037">
        <f>tblDailySchedule[[#This Row],[Capacity Approx]]*'[1]Load Factor Sheet June Acft  '!$D$5</f>
        <v>203.4218181818182</v>
      </c>
      <c r="T3037" s="22">
        <f>tblDailySchedule[[#This Row],[STD]]</f>
        <v>0.68402777777777779</v>
      </c>
    </row>
    <row r="3038" spans="1:20" hidden="1" x14ac:dyDescent="0.35">
      <c r="A3038" s="11">
        <v>46219</v>
      </c>
      <c r="B3038" s="3">
        <v>4</v>
      </c>
      <c r="C3038" t="s">
        <v>114</v>
      </c>
      <c r="D3038" t="s">
        <v>18</v>
      </c>
      <c r="E3038" s="3">
        <v>17</v>
      </c>
      <c r="F3038" t="s">
        <v>19</v>
      </c>
      <c r="G3038" t="s">
        <v>69</v>
      </c>
      <c r="H3038" t="s">
        <v>31</v>
      </c>
      <c r="I3038" s="12">
        <v>0.66319444444444442</v>
      </c>
      <c r="J3038" t="s">
        <v>70</v>
      </c>
      <c r="K3038" t="s">
        <v>31</v>
      </c>
      <c r="L3038" s="12">
        <v>0.69097222222222221</v>
      </c>
      <c r="M3038" t="s">
        <v>33</v>
      </c>
      <c r="N3038" s="3">
        <v>189</v>
      </c>
      <c r="O3038" t="s">
        <v>24</v>
      </c>
      <c r="P3038" t="s">
        <v>56</v>
      </c>
      <c r="R3038">
        <f>tblDailySchedule[[#This Row],[Capacity Approx]]*'[1]Load Factor Sheet June Acft  '!$B$5</f>
        <v>153.04704545454547</v>
      </c>
      <c r="S3038">
        <f>tblDailySchedule[[#This Row],[Capacity Approx]]*'[1]Load Factor Sheet June Acft  '!$D$5</f>
        <v>165.71863636363636</v>
      </c>
      <c r="T3038" s="22">
        <f>tblDailySchedule[[#This Row],[STD]]</f>
        <v>0.69097222222222221</v>
      </c>
    </row>
    <row r="3039" spans="1:20" hidden="1" x14ac:dyDescent="0.35">
      <c r="A3039" s="11">
        <v>46219</v>
      </c>
      <c r="B3039" s="3">
        <v>4</v>
      </c>
      <c r="C3039" t="s">
        <v>114</v>
      </c>
      <c r="D3039" t="s">
        <v>18</v>
      </c>
      <c r="E3039" s="3">
        <v>18</v>
      </c>
      <c r="F3039" t="s">
        <v>19</v>
      </c>
      <c r="G3039" t="s">
        <v>71</v>
      </c>
      <c r="H3039" t="s">
        <v>21</v>
      </c>
      <c r="I3039" s="12">
        <v>0.67013888888888884</v>
      </c>
      <c r="J3039" t="s">
        <v>72</v>
      </c>
      <c r="K3039" t="s">
        <v>21</v>
      </c>
      <c r="L3039" s="12">
        <v>0.69791666666666663</v>
      </c>
      <c r="M3039" t="s">
        <v>63</v>
      </c>
      <c r="N3039" s="3">
        <v>232</v>
      </c>
      <c r="O3039" t="s">
        <v>24</v>
      </c>
      <c r="P3039" t="s">
        <v>56</v>
      </c>
      <c r="R3039">
        <f>tblDailySchedule[[#This Row],[Capacity Approx]]*'[1]Load Factor Sheet June Acft  '!$B$5</f>
        <v>187.86727272727273</v>
      </c>
      <c r="S3039">
        <f>tblDailySchedule[[#This Row],[Capacity Approx]]*'[1]Load Factor Sheet June Acft  '!$D$5</f>
        <v>203.4218181818182</v>
      </c>
      <c r="T3039" s="22">
        <f>tblDailySchedule[[#This Row],[STD]]</f>
        <v>0.69791666666666663</v>
      </c>
    </row>
    <row r="3040" spans="1:20" hidden="1" x14ac:dyDescent="0.35">
      <c r="A3040" s="11">
        <v>46219</v>
      </c>
      <c r="B3040" s="3">
        <v>4</v>
      </c>
      <c r="C3040" t="s">
        <v>114</v>
      </c>
      <c r="D3040" t="s">
        <v>18</v>
      </c>
      <c r="E3040" s="3">
        <v>19</v>
      </c>
      <c r="F3040" t="s">
        <v>19</v>
      </c>
      <c r="G3040" t="s">
        <v>73</v>
      </c>
      <c r="H3040" t="s">
        <v>27</v>
      </c>
      <c r="I3040" s="12">
        <v>0.74652777777777779</v>
      </c>
      <c r="J3040" t="s">
        <v>74</v>
      </c>
      <c r="K3040" t="s">
        <v>27</v>
      </c>
      <c r="L3040" s="12">
        <v>0.77430555555555558</v>
      </c>
      <c r="M3040" t="s">
        <v>63</v>
      </c>
      <c r="N3040" s="3">
        <v>232</v>
      </c>
      <c r="O3040" t="s">
        <v>24</v>
      </c>
      <c r="P3040" t="s">
        <v>56</v>
      </c>
      <c r="R3040">
        <f>tblDailySchedule[[#This Row],[Capacity Approx]]*'[1]Load Factor Sheet June Acft  '!$B$5</f>
        <v>187.86727272727273</v>
      </c>
      <c r="S3040">
        <f>tblDailySchedule[[#This Row],[Capacity Approx]]*'[1]Load Factor Sheet June Acft  '!$D$5</f>
        <v>203.4218181818182</v>
      </c>
      <c r="T3040" s="22">
        <f>tblDailySchedule[[#This Row],[STD]]</f>
        <v>0.77430555555555558</v>
      </c>
    </row>
    <row r="3041" spans="1:20" hidden="1" x14ac:dyDescent="0.35">
      <c r="A3041" s="11">
        <v>46219</v>
      </c>
      <c r="B3041" s="3">
        <v>4</v>
      </c>
      <c r="C3041" t="s">
        <v>114</v>
      </c>
      <c r="D3041" t="s">
        <v>18</v>
      </c>
      <c r="E3041" s="3">
        <v>21</v>
      </c>
      <c r="F3041" t="s">
        <v>19</v>
      </c>
      <c r="G3041" t="s">
        <v>81</v>
      </c>
      <c r="H3041" t="s">
        <v>61</v>
      </c>
      <c r="I3041" s="12">
        <v>0.77083333333333337</v>
      </c>
      <c r="J3041" t="s">
        <v>82</v>
      </c>
      <c r="K3041" t="s">
        <v>49</v>
      </c>
      <c r="L3041" s="12">
        <v>0.79166666666666663</v>
      </c>
      <c r="M3041" t="s">
        <v>33</v>
      </c>
      <c r="N3041" s="3">
        <v>189</v>
      </c>
      <c r="O3041" t="s">
        <v>24</v>
      </c>
      <c r="P3041" t="s">
        <v>79</v>
      </c>
      <c r="R3041">
        <f>tblDailySchedule[[#This Row],[Capacity Approx]]*'[1]Load Factor Sheet June Acft  '!$B$5</f>
        <v>153.04704545454547</v>
      </c>
      <c r="S3041">
        <f>tblDailySchedule[[#This Row],[Capacity Approx]]*'[1]Load Factor Sheet June Acft  '!$D$5</f>
        <v>165.71863636363636</v>
      </c>
      <c r="T3041" s="22">
        <f>tblDailySchedule[[#This Row],[STD]]</f>
        <v>0.79166666666666663</v>
      </c>
    </row>
    <row r="3042" spans="1:20" hidden="1" x14ac:dyDescent="0.35">
      <c r="A3042" s="11">
        <v>46219</v>
      </c>
      <c r="B3042" s="3">
        <v>4</v>
      </c>
      <c r="C3042" t="s">
        <v>114</v>
      </c>
      <c r="D3042" t="s">
        <v>18</v>
      </c>
      <c r="E3042" s="3">
        <v>22</v>
      </c>
      <c r="F3042" t="s">
        <v>19</v>
      </c>
      <c r="G3042" t="s">
        <v>83</v>
      </c>
      <c r="H3042" t="s">
        <v>31</v>
      </c>
      <c r="I3042" s="12">
        <v>0.77777777777777779</v>
      </c>
      <c r="J3042" t="s">
        <v>84</v>
      </c>
      <c r="K3042" t="s">
        <v>31</v>
      </c>
      <c r="L3042" s="12">
        <v>0.80555555555555558</v>
      </c>
      <c r="M3042" t="s">
        <v>63</v>
      </c>
      <c r="N3042" s="3">
        <v>232</v>
      </c>
      <c r="O3042" t="s">
        <v>24</v>
      </c>
      <c r="P3042" t="s">
        <v>79</v>
      </c>
      <c r="R3042">
        <f>tblDailySchedule[[#This Row],[Capacity Approx]]*'[1]Load Factor Sheet June Acft  '!$B$5</f>
        <v>187.86727272727273</v>
      </c>
      <c r="S3042">
        <f>tblDailySchedule[[#This Row],[Capacity Approx]]*'[1]Load Factor Sheet June Acft  '!$D$5</f>
        <v>203.4218181818182</v>
      </c>
      <c r="T3042" s="22">
        <f>tblDailySchedule[[#This Row],[STD]]</f>
        <v>0.80555555555555558</v>
      </c>
    </row>
    <row r="3043" spans="1:20" hidden="1" x14ac:dyDescent="0.35">
      <c r="A3043" s="11">
        <v>46219</v>
      </c>
      <c r="B3043" s="3">
        <v>4</v>
      </c>
      <c r="C3043" t="s">
        <v>114</v>
      </c>
      <c r="D3043" t="s">
        <v>18</v>
      </c>
      <c r="E3043" s="3">
        <v>23</v>
      </c>
      <c r="F3043" t="s">
        <v>19</v>
      </c>
      <c r="G3043" t="s">
        <v>85</v>
      </c>
      <c r="H3043" t="s">
        <v>86</v>
      </c>
      <c r="I3043" s="12">
        <v>0.79861111111111116</v>
      </c>
      <c r="J3043" t="s">
        <v>87</v>
      </c>
      <c r="K3043" t="s">
        <v>86</v>
      </c>
      <c r="L3043" s="12">
        <v>0.82638888888888884</v>
      </c>
      <c r="M3043" t="s">
        <v>63</v>
      </c>
      <c r="N3043" s="3">
        <v>232</v>
      </c>
      <c r="O3043" t="s">
        <v>24</v>
      </c>
      <c r="P3043" t="s">
        <v>79</v>
      </c>
      <c r="R3043">
        <f>tblDailySchedule[[#This Row],[Capacity Approx]]*'[1]Load Factor Sheet June Acft  '!$B$5</f>
        <v>187.86727272727273</v>
      </c>
      <c r="S3043">
        <f>tblDailySchedule[[#This Row],[Capacity Approx]]*'[1]Load Factor Sheet June Acft  '!$D$5</f>
        <v>203.4218181818182</v>
      </c>
      <c r="T3043" s="22">
        <f>tblDailySchedule[[#This Row],[STD]]</f>
        <v>0.82638888888888884</v>
      </c>
    </row>
    <row r="3044" spans="1:20" hidden="1" x14ac:dyDescent="0.35">
      <c r="A3044" s="11">
        <v>46219</v>
      </c>
      <c r="B3044" s="3">
        <v>4</v>
      </c>
      <c r="C3044" t="s">
        <v>114</v>
      </c>
      <c r="D3044" t="s">
        <v>18</v>
      </c>
      <c r="E3044" s="3">
        <v>24</v>
      </c>
      <c r="F3044" t="s">
        <v>19</v>
      </c>
      <c r="G3044" t="s">
        <v>88</v>
      </c>
      <c r="H3044" t="s">
        <v>89</v>
      </c>
      <c r="I3044" s="12">
        <v>0.83333333333333337</v>
      </c>
      <c r="J3044" t="s">
        <v>90</v>
      </c>
      <c r="K3044" t="s">
        <v>31</v>
      </c>
      <c r="L3044" s="12">
        <v>0.86111111111111116</v>
      </c>
      <c r="M3044" t="s">
        <v>63</v>
      </c>
      <c r="N3044" s="3">
        <v>232</v>
      </c>
      <c r="O3044" t="s">
        <v>24</v>
      </c>
      <c r="P3044" t="s">
        <v>79</v>
      </c>
      <c r="R3044">
        <f>tblDailySchedule[[#This Row],[Capacity Approx]]*'[1]Load Factor Sheet June Acft  '!$B$5</f>
        <v>187.86727272727273</v>
      </c>
      <c r="S3044">
        <f>tblDailySchedule[[#This Row],[Capacity Approx]]*'[1]Load Factor Sheet June Acft  '!$D$5</f>
        <v>203.4218181818182</v>
      </c>
      <c r="T3044" s="22">
        <f>tblDailySchedule[[#This Row],[STD]]</f>
        <v>0.86111111111111116</v>
      </c>
    </row>
    <row r="3045" spans="1:20" hidden="1" x14ac:dyDescent="0.35">
      <c r="A3045" s="11">
        <v>46219</v>
      </c>
      <c r="B3045" s="3">
        <v>4</v>
      </c>
      <c r="C3045" t="s">
        <v>114</v>
      </c>
      <c r="D3045" t="s">
        <v>18</v>
      </c>
      <c r="E3045" s="3">
        <v>25</v>
      </c>
      <c r="F3045" t="s">
        <v>19</v>
      </c>
      <c r="G3045" t="s">
        <v>91</v>
      </c>
      <c r="H3045" t="s">
        <v>61</v>
      </c>
      <c r="I3045" s="12">
        <v>0.85416666666666663</v>
      </c>
      <c r="J3045" t="s">
        <v>92</v>
      </c>
      <c r="K3045" t="s">
        <v>61</v>
      </c>
      <c r="L3045" s="12">
        <v>0.88194444444444442</v>
      </c>
      <c r="M3045" t="s">
        <v>63</v>
      </c>
      <c r="N3045" s="3">
        <v>232</v>
      </c>
      <c r="O3045" t="s">
        <v>24</v>
      </c>
      <c r="P3045" t="s">
        <v>79</v>
      </c>
      <c r="R3045">
        <f>tblDailySchedule[[#This Row],[Capacity Approx]]*'[1]Load Factor Sheet June Acft  '!$B$5</f>
        <v>187.86727272727273</v>
      </c>
      <c r="S3045">
        <f>tblDailySchedule[[#This Row],[Capacity Approx]]*'[1]Load Factor Sheet June Acft  '!$D$5</f>
        <v>203.4218181818182</v>
      </c>
      <c r="T3045" s="22">
        <f>tblDailySchedule[[#This Row],[STD]]</f>
        <v>0.88194444444444442</v>
      </c>
    </row>
    <row r="3046" spans="1:20" hidden="1" x14ac:dyDescent="0.35">
      <c r="A3046" s="11">
        <v>46219</v>
      </c>
      <c r="B3046" s="3">
        <v>4</v>
      </c>
      <c r="C3046" t="s">
        <v>114</v>
      </c>
      <c r="D3046" t="s">
        <v>18</v>
      </c>
      <c r="E3046" s="3">
        <v>26</v>
      </c>
      <c r="F3046" t="s">
        <v>19</v>
      </c>
      <c r="G3046" t="s">
        <v>93</v>
      </c>
      <c r="H3046" t="s">
        <v>31</v>
      </c>
      <c r="I3046" s="12">
        <v>0.86111111111111116</v>
      </c>
      <c r="J3046" t="s">
        <v>94</v>
      </c>
      <c r="K3046" t="s">
        <v>31</v>
      </c>
      <c r="L3046" s="12">
        <v>0.88888888888888884</v>
      </c>
      <c r="M3046" t="s">
        <v>23</v>
      </c>
      <c r="N3046" s="3">
        <v>186</v>
      </c>
      <c r="O3046" t="s">
        <v>24</v>
      </c>
      <c r="P3046" t="s">
        <v>79</v>
      </c>
      <c r="R3046">
        <f>tblDailySchedule[[#This Row],[Capacity Approx]]*'[1]Load Factor Sheet June Acft  '!$B$5</f>
        <v>150.61772727272728</v>
      </c>
      <c r="S3046">
        <f>tblDailySchedule[[#This Row],[Capacity Approx]]*'[1]Load Factor Sheet June Acft  '!$D$5</f>
        <v>163.08818181818182</v>
      </c>
      <c r="T3046" s="22">
        <f>tblDailySchedule[[#This Row],[STD]]</f>
        <v>0.88888888888888884</v>
      </c>
    </row>
    <row r="3047" spans="1:20" hidden="1" x14ac:dyDescent="0.35">
      <c r="A3047" s="11">
        <v>46219</v>
      </c>
      <c r="B3047" s="3">
        <v>4</v>
      </c>
      <c r="C3047" t="s">
        <v>114</v>
      </c>
      <c r="D3047" t="s">
        <v>18</v>
      </c>
      <c r="E3047" s="3">
        <v>27</v>
      </c>
      <c r="F3047" t="s">
        <v>19</v>
      </c>
      <c r="G3047" t="s">
        <v>95</v>
      </c>
      <c r="H3047" t="s">
        <v>21</v>
      </c>
      <c r="I3047" s="12">
        <v>0.86805555555555558</v>
      </c>
      <c r="J3047" t="s">
        <v>96</v>
      </c>
      <c r="K3047" t="s">
        <v>21</v>
      </c>
      <c r="L3047" s="12">
        <v>0.89583333333333337</v>
      </c>
      <c r="M3047" t="s">
        <v>29</v>
      </c>
      <c r="N3047" s="3">
        <v>186</v>
      </c>
      <c r="O3047" t="s">
        <v>24</v>
      </c>
      <c r="P3047" t="s">
        <v>79</v>
      </c>
      <c r="R3047">
        <f>tblDailySchedule[[#This Row],[Capacity Approx]]*'[1]Load Factor Sheet June Acft  '!$B$5</f>
        <v>150.61772727272728</v>
      </c>
      <c r="S3047">
        <f>tblDailySchedule[[#This Row],[Capacity Approx]]*'[1]Load Factor Sheet June Acft  '!$D$5</f>
        <v>163.08818181818182</v>
      </c>
      <c r="T3047" s="22">
        <f>tblDailySchedule[[#This Row],[STD]]</f>
        <v>0.89583333333333337</v>
      </c>
    </row>
    <row r="3048" spans="1:20" hidden="1" x14ac:dyDescent="0.35">
      <c r="A3048" s="11">
        <v>46219</v>
      </c>
      <c r="B3048" s="3">
        <v>4</v>
      </c>
      <c r="C3048" t="s">
        <v>114</v>
      </c>
      <c r="D3048" t="s">
        <v>18</v>
      </c>
      <c r="E3048" s="3">
        <v>28</v>
      </c>
      <c r="F3048" t="s">
        <v>19</v>
      </c>
      <c r="G3048" t="s">
        <v>97</v>
      </c>
      <c r="H3048" t="s">
        <v>49</v>
      </c>
      <c r="I3048" s="12">
        <v>0.90277777777777779</v>
      </c>
      <c r="J3048" t="s">
        <v>97</v>
      </c>
      <c r="K3048" t="s">
        <v>61</v>
      </c>
      <c r="L3048" s="12">
        <v>0.92361111111111116</v>
      </c>
      <c r="M3048" t="s">
        <v>33</v>
      </c>
      <c r="N3048" s="3">
        <v>189</v>
      </c>
      <c r="O3048" t="s">
        <v>24</v>
      </c>
      <c r="P3048" t="s">
        <v>79</v>
      </c>
      <c r="R3048">
        <f>tblDailySchedule[[#This Row],[Capacity Approx]]*'[1]Load Factor Sheet June Acft  '!$B$5</f>
        <v>153.04704545454547</v>
      </c>
      <c r="S3048">
        <f>tblDailySchedule[[#This Row],[Capacity Approx]]*'[1]Load Factor Sheet June Acft  '!$D$5</f>
        <v>165.71863636363636</v>
      </c>
      <c r="T3048" s="22">
        <f>tblDailySchedule[[#This Row],[STD]]</f>
        <v>0.92361111111111116</v>
      </c>
    </row>
    <row r="3049" spans="1:20" hidden="1" x14ac:dyDescent="0.35">
      <c r="A3049" s="11">
        <v>46219</v>
      </c>
      <c r="B3049" s="3">
        <v>4</v>
      </c>
      <c r="C3049" t="s">
        <v>114</v>
      </c>
      <c r="D3049" t="s">
        <v>18</v>
      </c>
      <c r="E3049" s="3">
        <v>29</v>
      </c>
      <c r="F3049" t="s">
        <v>19</v>
      </c>
      <c r="G3049" t="s">
        <v>98</v>
      </c>
      <c r="H3049" t="s">
        <v>21</v>
      </c>
      <c r="I3049" s="12">
        <v>0.92013888888888884</v>
      </c>
      <c r="J3049" t="s">
        <v>99</v>
      </c>
      <c r="K3049" t="s">
        <v>21</v>
      </c>
      <c r="L3049" s="12">
        <v>0.94791666666666663</v>
      </c>
      <c r="M3049" t="s">
        <v>63</v>
      </c>
      <c r="N3049" s="3">
        <v>232</v>
      </c>
      <c r="O3049" t="s">
        <v>24</v>
      </c>
      <c r="P3049" t="s">
        <v>79</v>
      </c>
      <c r="R3049">
        <f>tblDailySchedule[[#This Row],[Capacity Approx]]*'[1]Load Factor Sheet June Acft  '!$B$5</f>
        <v>187.86727272727273</v>
      </c>
      <c r="S3049">
        <f>tblDailySchedule[[#This Row],[Capacity Approx]]*'[1]Load Factor Sheet June Acft  '!$D$5</f>
        <v>203.4218181818182</v>
      </c>
      <c r="T3049" s="22">
        <f>tblDailySchedule[[#This Row],[STD]]</f>
        <v>0.94791666666666663</v>
      </c>
    </row>
    <row r="3050" spans="1:20" hidden="1" x14ac:dyDescent="0.35">
      <c r="A3050" s="11">
        <v>46220</v>
      </c>
      <c r="B3050" s="3">
        <v>5</v>
      </c>
      <c r="C3050" t="s">
        <v>115</v>
      </c>
      <c r="D3050" t="s">
        <v>18</v>
      </c>
      <c r="E3050" s="3">
        <v>2</v>
      </c>
      <c r="F3050" t="s">
        <v>19</v>
      </c>
      <c r="G3050" t="s">
        <v>20</v>
      </c>
      <c r="H3050" t="s">
        <v>21</v>
      </c>
      <c r="I3050" s="12">
        <v>0.31944444444444442</v>
      </c>
      <c r="J3050" t="s">
        <v>22</v>
      </c>
      <c r="K3050" t="s">
        <v>21</v>
      </c>
      <c r="L3050" s="12">
        <v>0.34722222222222221</v>
      </c>
      <c r="M3050" t="s">
        <v>23</v>
      </c>
      <c r="N3050" s="3">
        <v>186</v>
      </c>
      <c r="O3050" t="s">
        <v>24</v>
      </c>
      <c r="P3050" t="s">
        <v>25</v>
      </c>
      <c r="R3050">
        <f>tblDailySchedule[[#This Row],[Capacity Approx]]*'[1]Load Factor Sheet June Acft  '!$B$5</f>
        <v>150.61772727272728</v>
      </c>
      <c r="S3050">
        <f>tblDailySchedule[[#This Row],[Capacity Approx]]*'[1]Load Factor Sheet June Acft  '!$D$5</f>
        <v>163.08818181818182</v>
      </c>
      <c r="T3050" s="22">
        <f>tblDailySchedule[[#This Row],[STD]]</f>
        <v>0.34722222222222221</v>
      </c>
    </row>
    <row r="3051" spans="1:20" hidden="1" x14ac:dyDescent="0.35">
      <c r="A3051" s="11">
        <v>46220</v>
      </c>
      <c r="B3051" s="3">
        <v>5</v>
      </c>
      <c r="C3051" t="s">
        <v>115</v>
      </c>
      <c r="D3051" t="s">
        <v>18</v>
      </c>
      <c r="E3051" s="3">
        <v>3</v>
      </c>
      <c r="F3051" t="s">
        <v>19</v>
      </c>
      <c r="G3051" t="s">
        <v>26</v>
      </c>
      <c r="H3051" t="s">
        <v>27</v>
      </c>
      <c r="I3051" s="12">
        <v>0.3263888888888889</v>
      </c>
      <c r="J3051" t="s">
        <v>28</v>
      </c>
      <c r="K3051" t="s">
        <v>27</v>
      </c>
      <c r="L3051" s="12">
        <v>0.35416666666666669</v>
      </c>
      <c r="M3051" t="s">
        <v>29</v>
      </c>
      <c r="N3051" s="3">
        <v>186</v>
      </c>
      <c r="O3051" t="s">
        <v>24</v>
      </c>
      <c r="P3051" t="s">
        <v>25</v>
      </c>
      <c r="R3051">
        <f>tblDailySchedule[[#This Row],[Capacity Approx]]*'[1]Load Factor Sheet June Acft  '!$B$5</f>
        <v>150.61772727272728</v>
      </c>
      <c r="S3051">
        <f>tblDailySchedule[[#This Row],[Capacity Approx]]*'[1]Load Factor Sheet June Acft  '!$D$5</f>
        <v>163.08818181818182</v>
      </c>
      <c r="T3051" s="22">
        <f>tblDailySchedule[[#This Row],[STD]]</f>
        <v>0.35416666666666669</v>
      </c>
    </row>
    <row r="3052" spans="1:20" hidden="1" x14ac:dyDescent="0.35">
      <c r="A3052" s="11">
        <v>46220</v>
      </c>
      <c r="B3052" s="3">
        <v>5</v>
      </c>
      <c r="C3052" t="s">
        <v>115</v>
      </c>
      <c r="D3052" t="s">
        <v>18</v>
      </c>
      <c r="E3052" s="3">
        <v>4</v>
      </c>
      <c r="F3052" t="s">
        <v>19</v>
      </c>
      <c r="G3052" t="s">
        <v>30</v>
      </c>
      <c r="H3052" t="s">
        <v>31</v>
      </c>
      <c r="I3052" s="12">
        <v>0.34722222222222221</v>
      </c>
      <c r="J3052" t="s">
        <v>32</v>
      </c>
      <c r="K3052" t="s">
        <v>31</v>
      </c>
      <c r="L3052" s="12">
        <v>0.36805555555555558</v>
      </c>
      <c r="M3052" t="s">
        <v>33</v>
      </c>
      <c r="N3052" s="3">
        <v>189</v>
      </c>
      <c r="O3052" t="s">
        <v>24</v>
      </c>
      <c r="P3052" t="s">
        <v>25</v>
      </c>
      <c r="R3052">
        <f>tblDailySchedule[[#This Row],[Capacity Approx]]*'[1]Load Factor Sheet June Acft  '!$B$5</f>
        <v>153.04704545454547</v>
      </c>
      <c r="S3052">
        <f>tblDailySchedule[[#This Row],[Capacity Approx]]*'[1]Load Factor Sheet June Acft  '!$D$5</f>
        <v>165.71863636363636</v>
      </c>
      <c r="T3052" s="22">
        <f>tblDailySchedule[[#This Row],[STD]]</f>
        <v>0.36805555555555558</v>
      </c>
    </row>
    <row r="3053" spans="1:20" hidden="1" x14ac:dyDescent="0.35">
      <c r="A3053" s="13">
        <v>46220</v>
      </c>
      <c r="B3053" s="7">
        <v>5</v>
      </c>
      <c r="C3053" s="14" t="s">
        <v>115</v>
      </c>
      <c r="D3053" s="14" t="s">
        <v>18</v>
      </c>
      <c r="E3053" s="7">
        <v>6</v>
      </c>
      <c r="F3053" s="14" t="s">
        <v>34</v>
      </c>
      <c r="G3053" s="14" t="s">
        <v>35</v>
      </c>
      <c r="H3053" s="14" t="s">
        <v>36</v>
      </c>
      <c r="I3053" s="15">
        <v>0.34722222222222221</v>
      </c>
      <c r="J3053" s="14" t="s">
        <v>37</v>
      </c>
      <c r="K3053" s="14" t="s">
        <v>36</v>
      </c>
      <c r="L3053" s="15">
        <v>0.40972222222222221</v>
      </c>
      <c r="M3053" s="14" t="s">
        <v>38</v>
      </c>
      <c r="N3053" s="7">
        <v>186</v>
      </c>
      <c r="O3053" s="14" t="s">
        <v>39</v>
      </c>
      <c r="P3053" s="14" t="s">
        <v>25</v>
      </c>
      <c r="Q3053" s="14" t="s">
        <v>39</v>
      </c>
      <c r="R3053">
        <f>tblDailySchedule[[#This Row],[Capacity Approx]]*'[1]Load Factor Sheet June Acft  '!$B$5</f>
        <v>150.61772727272728</v>
      </c>
      <c r="S3053">
        <f>tblDailySchedule[[#This Row],[Capacity Approx]]*'[1]Load Factor Sheet June Acft  '!$D$5</f>
        <v>163.08818181818182</v>
      </c>
      <c r="T3053" s="22">
        <f>tblDailySchedule[[#This Row],[STD]]</f>
        <v>0.40972222222222221</v>
      </c>
    </row>
    <row r="3054" spans="1:20" hidden="1" x14ac:dyDescent="0.35">
      <c r="A3054" s="11">
        <v>46220</v>
      </c>
      <c r="B3054" s="3">
        <v>5</v>
      </c>
      <c r="C3054" t="s">
        <v>115</v>
      </c>
      <c r="D3054" t="s">
        <v>18</v>
      </c>
      <c r="E3054" s="3">
        <v>5</v>
      </c>
      <c r="F3054" t="s">
        <v>19</v>
      </c>
      <c r="G3054" t="s">
        <v>40</v>
      </c>
      <c r="H3054" t="s">
        <v>31</v>
      </c>
      <c r="I3054" s="12">
        <v>0.35069444444444442</v>
      </c>
      <c r="J3054" t="s">
        <v>41</v>
      </c>
      <c r="K3054" t="s">
        <v>31</v>
      </c>
      <c r="L3054" s="12">
        <v>0.37152777777777779</v>
      </c>
      <c r="M3054" t="s">
        <v>23</v>
      </c>
      <c r="N3054" s="3">
        <v>186</v>
      </c>
      <c r="O3054" t="s">
        <v>24</v>
      </c>
      <c r="P3054" t="s">
        <v>25</v>
      </c>
      <c r="R3054">
        <f>tblDailySchedule[[#This Row],[Capacity Approx]]*'[1]Load Factor Sheet June Acft  '!$B$5</f>
        <v>150.61772727272728</v>
      </c>
      <c r="S3054">
        <f>tblDailySchedule[[#This Row],[Capacity Approx]]*'[1]Load Factor Sheet June Acft  '!$D$5</f>
        <v>163.08818181818182</v>
      </c>
      <c r="T3054" s="22">
        <f>tblDailySchedule[[#This Row],[STD]]</f>
        <v>0.37152777777777779</v>
      </c>
    </row>
    <row r="3055" spans="1:20" hidden="1" x14ac:dyDescent="0.35">
      <c r="A3055" s="11">
        <v>46220</v>
      </c>
      <c r="B3055" s="3">
        <v>5</v>
      </c>
      <c r="C3055" t="s">
        <v>115</v>
      </c>
      <c r="D3055" t="s">
        <v>18</v>
      </c>
      <c r="E3055" s="3">
        <v>7</v>
      </c>
      <c r="F3055" t="s">
        <v>19</v>
      </c>
      <c r="G3055" t="s">
        <v>42</v>
      </c>
      <c r="H3055" t="s">
        <v>43</v>
      </c>
      <c r="I3055" s="12">
        <v>0.3923611111111111</v>
      </c>
      <c r="J3055" t="s">
        <v>44</v>
      </c>
      <c r="K3055" t="s">
        <v>43</v>
      </c>
      <c r="L3055" s="12">
        <v>0.40277777777777779</v>
      </c>
      <c r="M3055" t="s">
        <v>45</v>
      </c>
      <c r="N3055" s="3">
        <v>9</v>
      </c>
      <c r="O3055" t="s">
        <v>24</v>
      </c>
      <c r="P3055" t="s">
        <v>25</v>
      </c>
      <c r="R3055">
        <f>tblDailySchedule[[#This Row],[Capacity Approx]]*'[1]Load Factor Sheet June Acft  '!$B$5</f>
        <v>7.2879545454545456</v>
      </c>
      <c r="S3055">
        <f>tblDailySchedule[[#This Row],[Capacity Approx]]*'[1]Load Factor Sheet June Acft  '!$D$5</f>
        <v>7.8913636363636366</v>
      </c>
      <c r="T3055" s="22">
        <f>tblDailySchedule[[#This Row],[STD]]</f>
        <v>0.40277777777777779</v>
      </c>
    </row>
    <row r="3056" spans="1:20" hidden="1" x14ac:dyDescent="0.35">
      <c r="A3056" s="11">
        <v>46220</v>
      </c>
      <c r="B3056" s="3">
        <v>5</v>
      </c>
      <c r="C3056" t="s">
        <v>115</v>
      </c>
      <c r="D3056" t="s">
        <v>18</v>
      </c>
      <c r="E3056" s="3">
        <v>8</v>
      </c>
      <c r="F3056" t="s">
        <v>19</v>
      </c>
      <c r="G3056" t="s">
        <v>46</v>
      </c>
      <c r="H3056" t="s">
        <v>31</v>
      </c>
      <c r="I3056" s="12">
        <v>0.4201388888888889</v>
      </c>
      <c r="J3056" t="s">
        <v>47</v>
      </c>
      <c r="K3056" t="s">
        <v>31</v>
      </c>
      <c r="L3056" s="12">
        <v>0.44444444444444442</v>
      </c>
      <c r="M3056" t="s">
        <v>29</v>
      </c>
      <c r="N3056" s="3">
        <v>186</v>
      </c>
      <c r="O3056" t="s">
        <v>24</v>
      </c>
      <c r="P3056" t="s">
        <v>25</v>
      </c>
      <c r="R3056">
        <f>tblDailySchedule[[#This Row],[Capacity Approx]]*'[1]Load Factor Sheet June Acft  '!$B$5</f>
        <v>150.61772727272728</v>
      </c>
      <c r="S3056">
        <f>tblDailySchedule[[#This Row],[Capacity Approx]]*'[1]Load Factor Sheet June Acft  '!$D$5</f>
        <v>163.08818181818182</v>
      </c>
      <c r="T3056" s="22">
        <f>tblDailySchedule[[#This Row],[STD]]</f>
        <v>0.44444444444444442</v>
      </c>
    </row>
    <row r="3057" spans="1:20" hidden="1" x14ac:dyDescent="0.35">
      <c r="A3057" s="11">
        <v>46220</v>
      </c>
      <c r="B3057" s="3">
        <v>5</v>
      </c>
      <c r="C3057" t="s">
        <v>115</v>
      </c>
      <c r="D3057" t="s">
        <v>18</v>
      </c>
      <c r="E3057" s="3">
        <v>9</v>
      </c>
      <c r="F3057" t="s">
        <v>19</v>
      </c>
      <c r="G3057" t="s">
        <v>48</v>
      </c>
      <c r="H3057" t="s">
        <v>49</v>
      </c>
      <c r="I3057" s="12">
        <v>0.4375</v>
      </c>
      <c r="J3057" t="s">
        <v>50</v>
      </c>
      <c r="K3057" t="s">
        <v>49</v>
      </c>
      <c r="L3057" s="12">
        <v>0.45833333333333331</v>
      </c>
      <c r="M3057" t="s">
        <v>51</v>
      </c>
      <c r="N3057" s="3">
        <v>78</v>
      </c>
      <c r="O3057" t="s">
        <v>24</v>
      </c>
      <c r="P3057" t="s">
        <v>25</v>
      </c>
      <c r="R3057">
        <f>tblDailySchedule[[#This Row],[Capacity Approx]]*'[1]Load Factor Sheet June Acft  '!$B$5</f>
        <v>63.162272727272729</v>
      </c>
      <c r="S3057">
        <f>tblDailySchedule[[#This Row],[Capacity Approx]]*'[1]Load Factor Sheet June Acft  '!$D$5</f>
        <v>68.391818181818181</v>
      </c>
      <c r="T3057" s="22">
        <f>tblDailySchedule[[#This Row],[STD]]</f>
        <v>0.45833333333333331</v>
      </c>
    </row>
    <row r="3058" spans="1:20" hidden="1" x14ac:dyDescent="0.35">
      <c r="A3058" s="11">
        <v>46220</v>
      </c>
      <c r="B3058" s="3">
        <v>5</v>
      </c>
      <c r="C3058" t="s">
        <v>115</v>
      </c>
      <c r="D3058" t="s">
        <v>18</v>
      </c>
      <c r="E3058" s="3">
        <v>10</v>
      </c>
      <c r="F3058" t="s">
        <v>19</v>
      </c>
      <c r="G3058" t="s">
        <v>52</v>
      </c>
      <c r="H3058" t="s">
        <v>27</v>
      </c>
      <c r="I3058" s="12">
        <v>0.4826388888888889</v>
      </c>
      <c r="J3058" t="s">
        <v>53</v>
      </c>
      <c r="K3058" t="s">
        <v>27</v>
      </c>
      <c r="L3058" s="12">
        <v>0.51041666666666663</v>
      </c>
      <c r="M3058" t="s">
        <v>23</v>
      </c>
      <c r="N3058" s="3">
        <v>186</v>
      </c>
      <c r="O3058" t="s">
        <v>24</v>
      </c>
      <c r="P3058" t="s">
        <v>25</v>
      </c>
      <c r="R3058">
        <f>tblDailySchedule[[#This Row],[Capacity Approx]]*'[1]Load Factor Sheet June Acft  '!$B$5</f>
        <v>150.61772727272728</v>
      </c>
      <c r="S3058">
        <f>tblDailySchedule[[#This Row],[Capacity Approx]]*'[1]Load Factor Sheet June Acft  '!$D$5</f>
        <v>163.08818181818182</v>
      </c>
      <c r="T3058" s="22">
        <f>tblDailySchedule[[#This Row],[STD]]</f>
        <v>0.51041666666666663</v>
      </c>
    </row>
    <row r="3059" spans="1:20" hidden="1" x14ac:dyDescent="0.35">
      <c r="A3059" s="11">
        <v>46220</v>
      </c>
      <c r="B3059" s="3">
        <v>5</v>
      </c>
      <c r="C3059" t="s">
        <v>115</v>
      </c>
      <c r="D3059" t="s">
        <v>18</v>
      </c>
      <c r="E3059" s="3">
        <v>11</v>
      </c>
      <c r="F3059" t="s">
        <v>19</v>
      </c>
      <c r="G3059" t="s">
        <v>54</v>
      </c>
      <c r="H3059" t="s">
        <v>31</v>
      </c>
      <c r="I3059" s="12">
        <v>0.51388888888888884</v>
      </c>
      <c r="J3059" t="s">
        <v>55</v>
      </c>
      <c r="K3059" t="s">
        <v>31</v>
      </c>
      <c r="L3059" s="12">
        <v>0.54166666666666663</v>
      </c>
      <c r="M3059" t="s">
        <v>23</v>
      </c>
      <c r="N3059" s="3">
        <v>186</v>
      </c>
      <c r="O3059" t="s">
        <v>24</v>
      </c>
      <c r="P3059" t="s">
        <v>56</v>
      </c>
      <c r="R3059">
        <f>tblDailySchedule[[#This Row],[Capacity Approx]]*'[1]Load Factor Sheet June Acft  '!$B$5</f>
        <v>150.61772727272728</v>
      </c>
      <c r="S3059">
        <f>tblDailySchedule[[#This Row],[Capacity Approx]]*'[1]Load Factor Sheet June Acft  '!$D$5</f>
        <v>163.08818181818182</v>
      </c>
      <c r="T3059" s="22">
        <f>tblDailySchedule[[#This Row],[STD]]</f>
        <v>0.54166666666666663</v>
      </c>
    </row>
    <row r="3060" spans="1:20" hidden="1" x14ac:dyDescent="0.35">
      <c r="A3060" s="11">
        <v>46220</v>
      </c>
      <c r="B3060" s="3">
        <v>5</v>
      </c>
      <c r="C3060" t="s">
        <v>115</v>
      </c>
      <c r="D3060" t="s">
        <v>18</v>
      </c>
      <c r="E3060" s="3">
        <v>13</v>
      </c>
      <c r="F3060" t="s">
        <v>19</v>
      </c>
      <c r="G3060" t="s">
        <v>57</v>
      </c>
      <c r="H3060" t="s">
        <v>58</v>
      </c>
      <c r="I3060" s="12">
        <v>0.55902777777777779</v>
      </c>
      <c r="J3060" t="s">
        <v>59</v>
      </c>
      <c r="K3060" t="s">
        <v>58</v>
      </c>
      <c r="L3060" s="12">
        <v>0.57638888888888884</v>
      </c>
      <c r="M3060" t="s">
        <v>51</v>
      </c>
      <c r="N3060" s="3">
        <v>78</v>
      </c>
      <c r="O3060" t="s">
        <v>24</v>
      </c>
      <c r="P3060" t="s">
        <v>56</v>
      </c>
      <c r="R3060">
        <f>tblDailySchedule[[#This Row],[Capacity Approx]]*'[1]Load Factor Sheet June Acft  '!$B$5</f>
        <v>63.162272727272729</v>
      </c>
      <c r="S3060">
        <f>tblDailySchedule[[#This Row],[Capacity Approx]]*'[1]Load Factor Sheet June Acft  '!$D$5</f>
        <v>68.391818181818181</v>
      </c>
      <c r="T3060" s="22">
        <f>tblDailySchedule[[#This Row],[STD]]</f>
        <v>0.57638888888888884</v>
      </c>
    </row>
    <row r="3061" spans="1:20" hidden="1" x14ac:dyDescent="0.35">
      <c r="A3061" s="11">
        <v>46220</v>
      </c>
      <c r="B3061" s="3">
        <v>5</v>
      </c>
      <c r="C3061" t="s">
        <v>115</v>
      </c>
      <c r="D3061" t="s">
        <v>18</v>
      </c>
      <c r="E3061" s="3">
        <v>14</v>
      </c>
      <c r="F3061" t="s">
        <v>19</v>
      </c>
      <c r="G3061" t="s">
        <v>60</v>
      </c>
      <c r="H3061" t="s">
        <v>61</v>
      </c>
      <c r="I3061" s="12">
        <v>0.59027777777777779</v>
      </c>
      <c r="J3061" t="s">
        <v>62</v>
      </c>
      <c r="K3061" t="s">
        <v>61</v>
      </c>
      <c r="L3061" s="12">
        <v>0.62152777777777779</v>
      </c>
      <c r="M3061" t="s">
        <v>63</v>
      </c>
      <c r="N3061" s="3">
        <v>232</v>
      </c>
      <c r="O3061" t="s">
        <v>24</v>
      </c>
      <c r="P3061" t="s">
        <v>56</v>
      </c>
      <c r="R3061">
        <f>tblDailySchedule[[#This Row],[Capacity Approx]]*'[1]Load Factor Sheet June Acft  '!$B$5</f>
        <v>187.86727272727273</v>
      </c>
      <c r="S3061">
        <f>tblDailySchedule[[#This Row],[Capacity Approx]]*'[1]Load Factor Sheet June Acft  '!$D$5</f>
        <v>203.4218181818182</v>
      </c>
      <c r="T3061" s="22">
        <f>tblDailySchedule[[#This Row],[STD]]</f>
        <v>0.62152777777777779</v>
      </c>
    </row>
    <row r="3062" spans="1:20" hidden="1" x14ac:dyDescent="0.35">
      <c r="A3062" s="11">
        <v>46220</v>
      </c>
      <c r="B3062" s="3">
        <v>5</v>
      </c>
      <c r="C3062" t="s">
        <v>115</v>
      </c>
      <c r="D3062" t="s">
        <v>18</v>
      </c>
      <c r="E3062" s="3">
        <v>15</v>
      </c>
      <c r="F3062" t="s">
        <v>19</v>
      </c>
      <c r="G3062" t="s">
        <v>64</v>
      </c>
      <c r="H3062" t="s">
        <v>31</v>
      </c>
      <c r="I3062" s="12">
        <v>0.60069444444444442</v>
      </c>
      <c r="J3062" t="s">
        <v>65</v>
      </c>
      <c r="K3062" t="s">
        <v>66</v>
      </c>
      <c r="L3062" s="12">
        <v>0.62847222222222221</v>
      </c>
      <c r="M3062" t="s">
        <v>63</v>
      </c>
      <c r="N3062" s="3">
        <v>232</v>
      </c>
      <c r="O3062" t="s">
        <v>24</v>
      </c>
      <c r="P3062" t="s">
        <v>56</v>
      </c>
      <c r="R3062">
        <f>tblDailySchedule[[#This Row],[Capacity Approx]]*'[1]Load Factor Sheet June Acft  '!$B$5</f>
        <v>187.86727272727273</v>
      </c>
      <c r="S3062">
        <f>tblDailySchedule[[#This Row],[Capacity Approx]]*'[1]Load Factor Sheet June Acft  '!$D$5</f>
        <v>203.4218181818182</v>
      </c>
      <c r="T3062" s="22">
        <f>tblDailySchedule[[#This Row],[STD]]</f>
        <v>0.62847222222222221</v>
      </c>
    </row>
    <row r="3063" spans="1:20" hidden="1" x14ac:dyDescent="0.35">
      <c r="A3063" s="11">
        <v>46220</v>
      </c>
      <c r="B3063" s="3">
        <v>5</v>
      </c>
      <c r="C3063" t="s">
        <v>115</v>
      </c>
      <c r="D3063" t="s">
        <v>18</v>
      </c>
      <c r="E3063" s="3">
        <v>16</v>
      </c>
      <c r="F3063" t="s">
        <v>19</v>
      </c>
      <c r="G3063" t="s">
        <v>67</v>
      </c>
      <c r="H3063" t="s">
        <v>31</v>
      </c>
      <c r="I3063" s="12">
        <v>0.65625</v>
      </c>
      <c r="J3063" t="s">
        <v>68</v>
      </c>
      <c r="K3063" t="s">
        <v>31</v>
      </c>
      <c r="L3063" s="12">
        <v>0.68402777777777779</v>
      </c>
      <c r="M3063" t="s">
        <v>63</v>
      </c>
      <c r="N3063" s="3">
        <v>232</v>
      </c>
      <c r="O3063" t="s">
        <v>24</v>
      </c>
      <c r="P3063" t="s">
        <v>56</v>
      </c>
      <c r="R3063">
        <f>tblDailySchedule[[#This Row],[Capacity Approx]]*'[1]Load Factor Sheet June Acft  '!$B$5</f>
        <v>187.86727272727273</v>
      </c>
      <c r="S3063">
        <f>tblDailySchedule[[#This Row],[Capacity Approx]]*'[1]Load Factor Sheet June Acft  '!$D$5</f>
        <v>203.4218181818182</v>
      </c>
      <c r="T3063" s="22">
        <f>tblDailySchedule[[#This Row],[STD]]</f>
        <v>0.68402777777777779</v>
      </c>
    </row>
    <row r="3064" spans="1:20" hidden="1" x14ac:dyDescent="0.35">
      <c r="A3064" s="11">
        <v>46220</v>
      </c>
      <c r="B3064" s="3">
        <v>5</v>
      </c>
      <c r="C3064" t="s">
        <v>115</v>
      </c>
      <c r="D3064" t="s">
        <v>18</v>
      </c>
      <c r="E3064" s="3">
        <v>17</v>
      </c>
      <c r="F3064" t="s">
        <v>19</v>
      </c>
      <c r="G3064" t="s">
        <v>69</v>
      </c>
      <c r="H3064" t="s">
        <v>31</v>
      </c>
      <c r="I3064" s="12">
        <v>0.66319444444444442</v>
      </c>
      <c r="J3064" t="s">
        <v>70</v>
      </c>
      <c r="K3064" t="s">
        <v>31</v>
      </c>
      <c r="L3064" s="12">
        <v>0.69097222222222221</v>
      </c>
      <c r="M3064" t="s">
        <v>33</v>
      </c>
      <c r="N3064" s="3">
        <v>189</v>
      </c>
      <c r="O3064" t="s">
        <v>24</v>
      </c>
      <c r="P3064" t="s">
        <v>56</v>
      </c>
      <c r="R3064">
        <f>tblDailySchedule[[#This Row],[Capacity Approx]]*'[1]Load Factor Sheet June Acft  '!$B$5</f>
        <v>153.04704545454547</v>
      </c>
      <c r="S3064">
        <f>tblDailySchedule[[#This Row],[Capacity Approx]]*'[1]Load Factor Sheet June Acft  '!$D$5</f>
        <v>165.71863636363636</v>
      </c>
      <c r="T3064" s="22">
        <f>tblDailySchedule[[#This Row],[STD]]</f>
        <v>0.69097222222222221</v>
      </c>
    </row>
    <row r="3065" spans="1:20" hidden="1" x14ac:dyDescent="0.35">
      <c r="A3065" s="11">
        <v>46220</v>
      </c>
      <c r="B3065" s="3">
        <v>5</v>
      </c>
      <c r="C3065" t="s">
        <v>115</v>
      </c>
      <c r="D3065" t="s">
        <v>18</v>
      </c>
      <c r="E3065" s="3">
        <v>18</v>
      </c>
      <c r="F3065" t="s">
        <v>19</v>
      </c>
      <c r="G3065" t="s">
        <v>71</v>
      </c>
      <c r="H3065" t="s">
        <v>21</v>
      </c>
      <c r="I3065" s="12">
        <v>0.67013888888888884</v>
      </c>
      <c r="J3065" t="s">
        <v>72</v>
      </c>
      <c r="K3065" t="s">
        <v>21</v>
      </c>
      <c r="L3065" s="12">
        <v>0.69791666666666663</v>
      </c>
      <c r="M3065" t="s">
        <v>63</v>
      </c>
      <c r="N3065" s="3">
        <v>232</v>
      </c>
      <c r="O3065" t="s">
        <v>24</v>
      </c>
      <c r="P3065" t="s">
        <v>56</v>
      </c>
      <c r="R3065">
        <f>tblDailySchedule[[#This Row],[Capacity Approx]]*'[1]Load Factor Sheet June Acft  '!$B$5</f>
        <v>187.86727272727273</v>
      </c>
      <c r="S3065">
        <f>tblDailySchedule[[#This Row],[Capacity Approx]]*'[1]Load Factor Sheet June Acft  '!$D$5</f>
        <v>203.4218181818182</v>
      </c>
      <c r="T3065" s="22">
        <f>tblDailySchedule[[#This Row],[STD]]</f>
        <v>0.69791666666666663</v>
      </c>
    </row>
    <row r="3066" spans="1:20" hidden="1" x14ac:dyDescent="0.35">
      <c r="A3066" s="11">
        <v>46220</v>
      </c>
      <c r="B3066" s="3">
        <v>5</v>
      </c>
      <c r="C3066" t="s">
        <v>115</v>
      </c>
      <c r="D3066" t="s">
        <v>18</v>
      </c>
      <c r="E3066" s="3">
        <v>19</v>
      </c>
      <c r="F3066" t="s">
        <v>19</v>
      </c>
      <c r="G3066" t="s">
        <v>73</v>
      </c>
      <c r="H3066" t="s">
        <v>27</v>
      </c>
      <c r="I3066" s="12">
        <v>0.74652777777777779</v>
      </c>
      <c r="J3066" t="s">
        <v>74</v>
      </c>
      <c r="K3066" t="s">
        <v>27</v>
      </c>
      <c r="L3066" s="12">
        <v>0.77430555555555558</v>
      </c>
      <c r="M3066" t="s">
        <v>63</v>
      </c>
      <c r="N3066" s="3">
        <v>232</v>
      </c>
      <c r="O3066" t="s">
        <v>24</v>
      </c>
      <c r="P3066" t="s">
        <v>56</v>
      </c>
      <c r="R3066">
        <f>tblDailySchedule[[#This Row],[Capacity Approx]]*'[1]Load Factor Sheet June Acft  '!$B$5</f>
        <v>187.86727272727273</v>
      </c>
      <c r="S3066">
        <f>tblDailySchedule[[#This Row],[Capacity Approx]]*'[1]Load Factor Sheet June Acft  '!$D$5</f>
        <v>203.4218181818182</v>
      </c>
      <c r="T3066" s="22">
        <f>tblDailySchedule[[#This Row],[STD]]</f>
        <v>0.77430555555555558</v>
      </c>
    </row>
    <row r="3067" spans="1:20" hidden="1" x14ac:dyDescent="0.35">
      <c r="A3067" s="11">
        <v>46220</v>
      </c>
      <c r="B3067" s="3">
        <v>5</v>
      </c>
      <c r="C3067" t="s">
        <v>115</v>
      </c>
      <c r="D3067" t="s">
        <v>18</v>
      </c>
      <c r="E3067" s="3">
        <v>20</v>
      </c>
      <c r="F3067" t="s">
        <v>34</v>
      </c>
      <c r="G3067" t="s">
        <v>75</v>
      </c>
      <c r="H3067" t="s">
        <v>76</v>
      </c>
      <c r="I3067" s="12">
        <v>0.76388888888888884</v>
      </c>
      <c r="J3067" t="s">
        <v>77</v>
      </c>
      <c r="K3067" t="s">
        <v>78</v>
      </c>
      <c r="L3067" s="12">
        <v>0.78472222222222221</v>
      </c>
      <c r="M3067" t="s">
        <v>51</v>
      </c>
      <c r="N3067" s="3">
        <v>78</v>
      </c>
      <c r="O3067" t="s">
        <v>24</v>
      </c>
      <c r="P3067" t="s">
        <v>79</v>
      </c>
      <c r="Q3067" s="16" t="s">
        <v>80</v>
      </c>
      <c r="R3067">
        <f>tblDailySchedule[[#This Row],[Capacity Approx]]*'[1]Load Factor Sheet June Acft  '!$B$5</f>
        <v>63.162272727272729</v>
      </c>
      <c r="S3067">
        <f>tblDailySchedule[[#This Row],[Capacity Approx]]*'[1]Load Factor Sheet June Acft  '!$D$5</f>
        <v>68.391818181818181</v>
      </c>
      <c r="T3067" s="22">
        <f>tblDailySchedule[[#This Row],[STD]]</f>
        <v>0.78472222222222221</v>
      </c>
    </row>
    <row r="3068" spans="1:20" hidden="1" x14ac:dyDescent="0.35">
      <c r="A3068" s="11">
        <v>46220</v>
      </c>
      <c r="B3068" s="3">
        <v>5</v>
      </c>
      <c r="C3068" t="s">
        <v>115</v>
      </c>
      <c r="D3068" t="s">
        <v>18</v>
      </c>
      <c r="E3068" s="3">
        <v>21</v>
      </c>
      <c r="F3068" t="s">
        <v>19</v>
      </c>
      <c r="G3068" t="s">
        <v>81</v>
      </c>
      <c r="H3068" t="s">
        <v>61</v>
      </c>
      <c r="I3068" s="12">
        <v>0.77083333333333337</v>
      </c>
      <c r="J3068" t="s">
        <v>82</v>
      </c>
      <c r="K3068" t="s">
        <v>49</v>
      </c>
      <c r="L3068" s="12">
        <v>0.79166666666666663</v>
      </c>
      <c r="M3068" t="s">
        <v>33</v>
      </c>
      <c r="N3068" s="3">
        <v>189</v>
      </c>
      <c r="O3068" t="s">
        <v>24</v>
      </c>
      <c r="P3068" t="s">
        <v>79</v>
      </c>
      <c r="R3068">
        <f>tblDailySchedule[[#This Row],[Capacity Approx]]*'[1]Load Factor Sheet June Acft  '!$B$5</f>
        <v>153.04704545454547</v>
      </c>
      <c r="S3068">
        <f>tblDailySchedule[[#This Row],[Capacity Approx]]*'[1]Load Factor Sheet June Acft  '!$D$5</f>
        <v>165.71863636363636</v>
      </c>
      <c r="T3068" s="22">
        <f>tblDailySchedule[[#This Row],[STD]]</f>
        <v>0.79166666666666663</v>
      </c>
    </row>
    <row r="3069" spans="1:20" hidden="1" x14ac:dyDescent="0.35">
      <c r="A3069" s="11">
        <v>46220</v>
      </c>
      <c r="B3069" s="3">
        <v>5</v>
      </c>
      <c r="C3069" t="s">
        <v>115</v>
      </c>
      <c r="D3069" t="s">
        <v>18</v>
      </c>
      <c r="E3069" s="3">
        <v>22</v>
      </c>
      <c r="F3069" t="s">
        <v>19</v>
      </c>
      <c r="G3069" t="s">
        <v>83</v>
      </c>
      <c r="H3069" t="s">
        <v>31</v>
      </c>
      <c r="I3069" s="12">
        <v>0.77777777777777779</v>
      </c>
      <c r="J3069" t="s">
        <v>84</v>
      </c>
      <c r="K3069" t="s">
        <v>31</v>
      </c>
      <c r="L3069" s="12">
        <v>0.80555555555555558</v>
      </c>
      <c r="M3069" t="s">
        <v>63</v>
      </c>
      <c r="N3069" s="3">
        <v>232</v>
      </c>
      <c r="O3069" t="s">
        <v>24</v>
      </c>
      <c r="P3069" t="s">
        <v>79</v>
      </c>
      <c r="R3069">
        <f>tblDailySchedule[[#This Row],[Capacity Approx]]*'[1]Load Factor Sheet June Acft  '!$B$5</f>
        <v>187.86727272727273</v>
      </c>
      <c r="S3069">
        <f>tblDailySchedule[[#This Row],[Capacity Approx]]*'[1]Load Factor Sheet June Acft  '!$D$5</f>
        <v>203.4218181818182</v>
      </c>
      <c r="T3069" s="22">
        <f>tblDailySchedule[[#This Row],[STD]]</f>
        <v>0.80555555555555558</v>
      </c>
    </row>
    <row r="3070" spans="1:20" hidden="1" x14ac:dyDescent="0.35">
      <c r="A3070" s="11">
        <v>46220</v>
      </c>
      <c r="B3070" s="3">
        <v>5</v>
      </c>
      <c r="C3070" t="s">
        <v>115</v>
      </c>
      <c r="D3070" t="s">
        <v>18</v>
      </c>
      <c r="E3070" s="3">
        <v>23</v>
      </c>
      <c r="F3070" t="s">
        <v>19</v>
      </c>
      <c r="G3070" t="s">
        <v>85</v>
      </c>
      <c r="H3070" t="s">
        <v>86</v>
      </c>
      <c r="I3070" s="12">
        <v>0.79861111111111116</v>
      </c>
      <c r="J3070" t="s">
        <v>87</v>
      </c>
      <c r="K3070" t="s">
        <v>86</v>
      </c>
      <c r="L3070" s="12">
        <v>0.82638888888888884</v>
      </c>
      <c r="M3070" t="s">
        <v>63</v>
      </c>
      <c r="N3070" s="3">
        <v>232</v>
      </c>
      <c r="O3070" t="s">
        <v>24</v>
      </c>
      <c r="P3070" t="s">
        <v>79</v>
      </c>
      <c r="R3070">
        <f>tblDailySchedule[[#This Row],[Capacity Approx]]*'[1]Load Factor Sheet June Acft  '!$B$5</f>
        <v>187.86727272727273</v>
      </c>
      <c r="S3070">
        <f>tblDailySchedule[[#This Row],[Capacity Approx]]*'[1]Load Factor Sheet June Acft  '!$D$5</f>
        <v>203.4218181818182</v>
      </c>
      <c r="T3070" s="22">
        <f>tblDailySchedule[[#This Row],[STD]]</f>
        <v>0.82638888888888884</v>
      </c>
    </row>
    <row r="3071" spans="1:20" hidden="1" x14ac:dyDescent="0.35">
      <c r="A3071" s="11">
        <v>46220</v>
      </c>
      <c r="B3071" s="3">
        <v>5</v>
      </c>
      <c r="C3071" t="s">
        <v>115</v>
      </c>
      <c r="D3071" t="s">
        <v>18</v>
      </c>
      <c r="E3071" s="3">
        <v>24</v>
      </c>
      <c r="F3071" t="s">
        <v>19</v>
      </c>
      <c r="G3071" t="s">
        <v>88</v>
      </c>
      <c r="H3071" t="s">
        <v>89</v>
      </c>
      <c r="I3071" s="12">
        <v>0.83333333333333337</v>
      </c>
      <c r="J3071" t="s">
        <v>90</v>
      </c>
      <c r="K3071" t="s">
        <v>31</v>
      </c>
      <c r="L3071" s="12">
        <v>0.86111111111111116</v>
      </c>
      <c r="M3071" t="s">
        <v>63</v>
      </c>
      <c r="N3071" s="3">
        <v>232</v>
      </c>
      <c r="O3071" t="s">
        <v>24</v>
      </c>
      <c r="P3071" t="s">
        <v>79</v>
      </c>
      <c r="R3071">
        <f>tblDailySchedule[[#This Row],[Capacity Approx]]*'[1]Load Factor Sheet June Acft  '!$B$5</f>
        <v>187.86727272727273</v>
      </c>
      <c r="S3071">
        <f>tblDailySchedule[[#This Row],[Capacity Approx]]*'[1]Load Factor Sheet June Acft  '!$D$5</f>
        <v>203.4218181818182</v>
      </c>
      <c r="T3071" s="22">
        <f>tblDailySchedule[[#This Row],[STD]]</f>
        <v>0.86111111111111116</v>
      </c>
    </row>
    <row r="3072" spans="1:20" hidden="1" x14ac:dyDescent="0.35">
      <c r="A3072" s="11">
        <v>46220</v>
      </c>
      <c r="B3072" s="3">
        <v>5</v>
      </c>
      <c r="C3072" t="s">
        <v>115</v>
      </c>
      <c r="D3072" t="s">
        <v>18</v>
      </c>
      <c r="E3072" s="3">
        <v>25</v>
      </c>
      <c r="F3072" t="s">
        <v>19</v>
      </c>
      <c r="G3072" t="s">
        <v>91</v>
      </c>
      <c r="H3072" t="s">
        <v>61</v>
      </c>
      <c r="I3072" s="12">
        <v>0.85416666666666663</v>
      </c>
      <c r="J3072" t="s">
        <v>92</v>
      </c>
      <c r="K3072" t="s">
        <v>61</v>
      </c>
      <c r="L3072" s="12">
        <v>0.88194444444444442</v>
      </c>
      <c r="M3072" t="s">
        <v>63</v>
      </c>
      <c r="N3072" s="3">
        <v>232</v>
      </c>
      <c r="O3072" t="s">
        <v>24</v>
      </c>
      <c r="P3072" t="s">
        <v>79</v>
      </c>
      <c r="R3072">
        <f>tblDailySchedule[[#This Row],[Capacity Approx]]*'[1]Load Factor Sheet June Acft  '!$B$5</f>
        <v>187.86727272727273</v>
      </c>
      <c r="S3072">
        <f>tblDailySchedule[[#This Row],[Capacity Approx]]*'[1]Load Factor Sheet June Acft  '!$D$5</f>
        <v>203.4218181818182</v>
      </c>
      <c r="T3072" s="22">
        <f>tblDailySchedule[[#This Row],[STD]]</f>
        <v>0.88194444444444442</v>
      </c>
    </row>
    <row r="3073" spans="1:20" hidden="1" x14ac:dyDescent="0.35">
      <c r="A3073" s="11">
        <v>46220</v>
      </c>
      <c r="B3073" s="3">
        <v>5</v>
      </c>
      <c r="C3073" t="s">
        <v>115</v>
      </c>
      <c r="D3073" t="s">
        <v>18</v>
      </c>
      <c r="E3073" s="3">
        <v>26</v>
      </c>
      <c r="F3073" t="s">
        <v>19</v>
      </c>
      <c r="G3073" t="s">
        <v>93</v>
      </c>
      <c r="H3073" t="s">
        <v>31</v>
      </c>
      <c r="I3073" s="12">
        <v>0.86111111111111116</v>
      </c>
      <c r="J3073" t="s">
        <v>94</v>
      </c>
      <c r="K3073" t="s">
        <v>31</v>
      </c>
      <c r="L3073" s="12">
        <v>0.88888888888888884</v>
      </c>
      <c r="M3073" t="s">
        <v>23</v>
      </c>
      <c r="N3073" s="3">
        <v>186</v>
      </c>
      <c r="O3073" t="s">
        <v>24</v>
      </c>
      <c r="P3073" t="s">
        <v>79</v>
      </c>
      <c r="R3073">
        <f>tblDailySchedule[[#This Row],[Capacity Approx]]*'[1]Load Factor Sheet June Acft  '!$B$5</f>
        <v>150.61772727272728</v>
      </c>
      <c r="S3073">
        <f>tblDailySchedule[[#This Row],[Capacity Approx]]*'[1]Load Factor Sheet June Acft  '!$D$5</f>
        <v>163.08818181818182</v>
      </c>
      <c r="T3073" s="22">
        <f>tblDailySchedule[[#This Row],[STD]]</f>
        <v>0.88888888888888884</v>
      </c>
    </row>
    <row r="3074" spans="1:20" hidden="1" x14ac:dyDescent="0.35">
      <c r="A3074" s="11">
        <v>46220</v>
      </c>
      <c r="B3074" s="3">
        <v>5</v>
      </c>
      <c r="C3074" t="s">
        <v>115</v>
      </c>
      <c r="D3074" t="s">
        <v>18</v>
      </c>
      <c r="E3074" s="3">
        <v>27</v>
      </c>
      <c r="F3074" t="s">
        <v>19</v>
      </c>
      <c r="G3074" t="s">
        <v>95</v>
      </c>
      <c r="H3074" t="s">
        <v>21</v>
      </c>
      <c r="I3074" s="12">
        <v>0.86805555555555558</v>
      </c>
      <c r="J3074" t="s">
        <v>96</v>
      </c>
      <c r="K3074" t="s">
        <v>21</v>
      </c>
      <c r="L3074" s="12">
        <v>0.89583333333333337</v>
      </c>
      <c r="M3074" t="s">
        <v>29</v>
      </c>
      <c r="N3074" s="3">
        <v>186</v>
      </c>
      <c r="O3074" t="s">
        <v>24</v>
      </c>
      <c r="P3074" t="s">
        <v>79</v>
      </c>
      <c r="R3074">
        <f>tblDailySchedule[[#This Row],[Capacity Approx]]*'[1]Load Factor Sheet June Acft  '!$B$5</f>
        <v>150.61772727272728</v>
      </c>
      <c r="S3074">
        <f>tblDailySchedule[[#This Row],[Capacity Approx]]*'[1]Load Factor Sheet June Acft  '!$D$5</f>
        <v>163.08818181818182</v>
      </c>
      <c r="T3074" s="22">
        <f>tblDailySchedule[[#This Row],[STD]]</f>
        <v>0.89583333333333337</v>
      </c>
    </row>
    <row r="3075" spans="1:20" hidden="1" x14ac:dyDescent="0.35">
      <c r="A3075" s="11">
        <v>46220</v>
      </c>
      <c r="B3075" s="3">
        <v>5</v>
      </c>
      <c r="C3075" t="s">
        <v>115</v>
      </c>
      <c r="D3075" t="s">
        <v>18</v>
      </c>
      <c r="E3075" s="3">
        <v>28</v>
      </c>
      <c r="F3075" t="s">
        <v>19</v>
      </c>
      <c r="G3075" t="s">
        <v>97</v>
      </c>
      <c r="H3075" t="s">
        <v>49</v>
      </c>
      <c r="I3075" s="12">
        <v>0.90277777777777779</v>
      </c>
      <c r="J3075" t="s">
        <v>97</v>
      </c>
      <c r="K3075" t="s">
        <v>61</v>
      </c>
      <c r="L3075" s="12">
        <v>0.92361111111111116</v>
      </c>
      <c r="M3075" t="s">
        <v>33</v>
      </c>
      <c r="N3075" s="3">
        <v>189</v>
      </c>
      <c r="O3075" t="s">
        <v>24</v>
      </c>
      <c r="P3075" t="s">
        <v>79</v>
      </c>
      <c r="R3075">
        <f>tblDailySchedule[[#This Row],[Capacity Approx]]*'[1]Load Factor Sheet June Acft  '!$B$5</f>
        <v>153.04704545454547</v>
      </c>
      <c r="S3075">
        <f>tblDailySchedule[[#This Row],[Capacity Approx]]*'[1]Load Factor Sheet June Acft  '!$D$5</f>
        <v>165.71863636363636</v>
      </c>
      <c r="T3075" s="22">
        <f>tblDailySchedule[[#This Row],[STD]]</f>
        <v>0.92361111111111116</v>
      </c>
    </row>
    <row r="3076" spans="1:20" hidden="1" x14ac:dyDescent="0.35">
      <c r="A3076" s="11">
        <v>46220</v>
      </c>
      <c r="B3076" s="3">
        <v>5</v>
      </c>
      <c r="C3076" t="s">
        <v>115</v>
      </c>
      <c r="D3076" t="s">
        <v>18</v>
      </c>
      <c r="E3076" s="3">
        <v>29</v>
      </c>
      <c r="F3076" t="s">
        <v>19</v>
      </c>
      <c r="G3076" t="s">
        <v>98</v>
      </c>
      <c r="H3076" t="s">
        <v>21</v>
      </c>
      <c r="I3076" s="12">
        <v>0.92013888888888884</v>
      </c>
      <c r="J3076" t="s">
        <v>99</v>
      </c>
      <c r="K3076" t="s">
        <v>21</v>
      </c>
      <c r="L3076" s="12">
        <v>0.94791666666666663</v>
      </c>
      <c r="M3076" t="s">
        <v>63</v>
      </c>
      <c r="N3076" s="3">
        <v>232</v>
      </c>
      <c r="O3076" t="s">
        <v>24</v>
      </c>
      <c r="P3076" t="s">
        <v>79</v>
      </c>
      <c r="R3076">
        <f>tblDailySchedule[[#This Row],[Capacity Approx]]*'[1]Load Factor Sheet June Acft  '!$B$5</f>
        <v>187.86727272727273</v>
      </c>
      <c r="S3076">
        <f>tblDailySchedule[[#This Row],[Capacity Approx]]*'[1]Load Factor Sheet June Acft  '!$D$5</f>
        <v>203.4218181818182</v>
      </c>
      <c r="T3076" s="22">
        <f>tblDailySchedule[[#This Row],[STD]]</f>
        <v>0.94791666666666663</v>
      </c>
    </row>
    <row r="3077" spans="1:20" hidden="1" x14ac:dyDescent="0.35">
      <c r="A3077" s="13">
        <v>46220</v>
      </c>
      <c r="B3077" s="7">
        <v>5</v>
      </c>
      <c r="C3077" s="14" t="s">
        <v>115</v>
      </c>
      <c r="D3077" s="14" t="s">
        <v>18</v>
      </c>
      <c r="E3077" s="7">
        <v>30</v>
      </c>
      <c r="F3077" s="14" t="s">
        <v>104</v>
      </c>
      <c r="G3077" s="14" t="s">
        <v>105</v>
      </c>
      <c r="H3077" s="14" t="s">
        <v>106</v>
      </c>
      <c r="I3077" s="15">
        <v>0.92708333333333337</v>
      </c>
      <c r="J3077" s="14" t="s">
        <v>107</v>
      </c>
      <c r="K3077" s="14" t="s">
        <v>106</v>
      </c>
      <c r="L3077" s="15">
        <v>0.95833333333333337</v>
      </c>
      <c r="M3077" s="14" t="s">
        <v>38</v>
      </c>
      <c r="N3077" s="7">
        <v>186</v>
      </c>
      <c r="O3077" s="14" t="s">
        <v>39</v>
      </c>
      <c r="P3077" s="14" t="s">
        <v>79</v>
      </c>
      <c r="Q3077" s="14" t="s">
        <v>39</v>
      </c>
      <c r="R3077">
        <f>tblDailySchedule[[#This Row],[Capacity Approx]]*'[1]Load Factor Sheet June Acft  '!$B$5</f>
        <v>150.61772727272728</v>
      </c>
      <c r="S3077">
        <f>tblDailySchedule[[#This Row],[Capacity Approx]]*'[1]Load Factor Sheet June Acft  '!$D$5</f>
        <v>163.08818181818182</v>
      </c>
      <c r="T3077" s="22">
        <f>tblDailySchedule[[#This Row],[STD]]</f>
        <v>0.95833333333333337</v>
      </c>
    </row>
    <row r="3078" spans="1:20" hidden="1" x14ac:dyDescent="0.35">
      <c r="A3078" s="11">
        <v>46221</v>
      </c>
      <c r="B3078" s="3">
        <v>6</v>
      </c>
      <c r="C3078" t="s">
        <v>116</v>
      </c>
      <c r="D3078" t="s">
        <v>18</v>
      </c>
      <c r="E3078" s="3">
        <v>1</v>
      </c>
      <c r="F3078" t="s">
        <v>101</v>
      </c>
      <c r="G3078" t="s">
        <v>102</v>
      </c>
      <c r="H3078" t="s">
        <v>61</v>
      </c>
      <c r="I3078" s="12">
        <v>0.3125</v>
      </c>
      <c r="J3078" t="s">
        <v>103</v>
      </c>
      <c r="K3078" t="s">
        <v>61</v>
      </c>
      <c r="L3078" s="12">
        <v>0.33333333333333331</v>
      </c>
      <c r="M3078" t="s">
        <v>33</v>
      </c>
      <c r="N3078" s="3">
        <v>189</v>
      </c>
      <c r="O3078" t="s">
        <v>24</v>
      </c>
      <c r="P3078" t="s">
        <v>25</v>
      </c>
      <c r="R3078">
        <f>tblDailySchedule[[#This Row],[Capacity Approx]]*'[1]Load Factor Sheet June Acft  '!$B$5</f>
        <v>153.04704545454547</v>
      </c>
      <c r="S3078">
        <f>tblDailySchedule[[#This Row],[Capacity Approx]]*'[1]Load Factor Sheet June Acft  '!$D$5</f>
        <v>165.71863636363636</v>
      </c>
      <c r="T3078" s="22">
        <f>tblDailySchedule[[#This Row],[STD]]</f>
        <v>0.33333333333333331</v>
      </c>
    </row>
    <row r="3079" spans="1:20" hidden="1" x14ac:dyDescent="0.35">
      <c r="A3079" s="11">
        <v>46221</v>
      </c>
      <c r="B3079" s="3">
        <v>6</v>
      </c>
      <c r="C3079" t="s">
        <v>116</v>
      </c>
      <c r="D3079" t="s">
        <v>18</v>
      </c>
      <c r="E3079" s="3">
        <v>2</v>
      </c>
      <c r="F3079" t="s">
        <v>19</v>
      </c>
      <c r="G3079" t="s">
        <v>20</v>
      </c>
      <c r="H3079" t="s">
        <v>21</v>
      </c>
      <c r="I3079" s="12">
        <v>0.31944444444444442</v>
      </c>
      <c r="J3079" t="s">
        <v>22</v>
      </c>
      <c r="K3079" t="s">
        <v>21</v>
      </c>
      <c r="L3079" s="12">
        <v>0.34722222222222221</v>
      </c>
      <c r="M3079" t="s">
        <v>23</v>
      </c>
      <c r="N3079" s="3">
        <v>186</v>
      </c>
      <c r="O3079" t="s">
        <v>24</v>
      </c>
      <c r="P3079" t="s">
        <v>25</v>
      </c>
      <c r="R3079">
        <f>tblDailySchedule[[#This Row],[Capacity Approx]]*'[1]Load Factor Sheet June Acft  '!$B$5</f>
        <v>150.61772727272728</v>
      </c>
      <c r="S3079">
        <f>tblDailySchedule[[#This Row],[Capacity Approx]]*'[1]Load Factor Sheet June Acft  '!$D$5</f>
        <v>163.08818181818182</v>
      </c>
      <c r="T3079" s="22">
        <f>tblDailySchedule[[#This Row],[STD]]</f>
        <v>0.34722222222222221</v>
      </c>
    </row>
    <row r="3080" spans="1:20" hidden="1" x14ac:dyDescent="0.35">
      <c r="A3080" s="11">
        <v>46221</v>
      </c>
      <c r="B3080" s="3">
        <v>6</v>
      </c>
      <c r="C3080" t="s">
        <v>116</v>
      </c>
      <c r="D3080" t="s">
        <v>18</v>
      </c>
      <c r="E3080" s="3">
        <v>3</v>
      </c>
      <c r="F3080" t="s">
        <v>19</v>
      </c>
      <c r="G3080" t="s">
        <v>26</v>
      </c>
      <c r="H3080" t="s">
        <v>27</v>
      </c>
      <c r="I3080" s="12">
        <v>0.3263888888888889</v>
      </c>
      <c r="J3080" t="s">
        <v>28</v>
      </c>
      <c r="K3080" t="s">
        <v>27</v>
      </c>
      <c r="L3080" s="12">
        <v>0.35416666666666669</v>
      </c>
      <c r="M3080" t="s">
        <v>29</v>
      </c>
      <c r="N3080" s="3">
        <v>186</v>
      </c>
      <c r="O3080" t="s">
        <v>24</v>
      </c>
      <c r="P3080" t="s">
        <v>25</v>
      </c>
      <c r="R3080">
        <f>tblDailySchedule[[#This Row],[Capacity Approx]]*'[1]Load Factor Sheet June Acft  '!$B$5</f>
        <v>150.61772727272728</v>
      </c>
      <c r="S3080">
        <f>tblDailySchedule[[#This Row],[Capacity Approx]]*'[1]Load Factor Sheet June Acft  '!$D$5</f>
        <v>163.08818181818182</v>
      </c>
      <c r="T3080" s="22">
        <f>tblDailySchedule[[#This Row],[STD]]</f>
        <v>0.35416666666666669</v>
      </c>
    </row>
    <row r="3081" spans="1:20" hidden="1" x14ac:dyDescent="0.35">
      <c r="A3081" s="11">
        <v>46221</v>
      </c>
      <c r="B3081" s="3">
        <v>6</v>
      </c>
      <c r="C3081" t="s">
        <v>116</v>
      </c>
      <c r="D3081" t="s">
        <v>18</v>
      </c>
      <c r="E3081" s="3">
        <v>4</v>
      </c>
      <c r="F3081" t="s">
        <v>19</v>
      </c>
      <c r="G3081" t="s">
        <v>30</v>
      </c>
      <c r="H3081" t="s">
        <v>31</v>
      </c>
      <c r="I3081" s="12">
        <v>0.34722222222222221</v>
      </c>
      <c r="J3081" t="s">
        <v>32</v>
      </c>
      <c r="K3081" t="s">
        <v>31</v>
      </c>
      <c r="L3081" s="12">
        <v>0.36805555555555558</v>
      </c>
      <c r="M3081" t="s">
        <v>33</v>
      </c>
      <c r="N3081" s="3">
        <v>189</v>
      </c>
      <c r="O3081" t="s">
        <v>24</v>
      </c>
      <c r="P3081" t="s">
        <v>25</v>
      </c>
      <c r="R3081">
        <f>tblDailySchedule[[#This Row],[Capacity Approx]]*'[1]Load Factor Sheet June Acft  '!$B$5</f>
        <v>153.04704545454547</v>
      </c>
      <c r="S3081">
        <f>tblDailySchedule[[#This Row],[Capacity Approx]]*'[1]Load Factor Sheet June Acft  '!$D$5</f>
        <v>165.71863636363636</v>
      </c>
      <c r="T3081" s="22">
        <f>tblDailySchedule[[#This Row],[STD]]</f>
        <v>0.36805555555555558</v>
      </c>
    </row>
    <row r="3082" spans="1:20" hidden="1" x14ac:dyDescent="0.35">
      <c r="A3082" s="11">
        <v>46221</v>
      </c>
      <c r="B3082" s="3">
        <v>6</v>
      </c>
      <c r="C3082" t="s">
        <v>116</v>
      </c>
      <c r="D3082" t="s">
        <v>18</v>
      </c>
      <c r="E3082" s="3">
        <v>5</v>
      </c>
      <c r="F3082" t="s">
        <v>19</v>
      </c>
      <c r="G3082" t="s">
        <v>40</v>
      </c>
      <c r="H3082" t="s">
        <v>31</v>
      </c>
      <c r="I3082" s="12">
        <v>0.35069444444444442</v>
      </c>
      <c r="J3082" t="s">
        <v>41</v>
      </c>
      <c r="K3082" t="s">
        <v>31</v>
      </c>
      <c r="L3082" s="12">
        <v>0.37152777777777779</v>
      </c>
      <c r="M3082" t="s">
        <v>23</v>
      </c>
      <c r="N3082" s="3">
        <v>186</v>
      </c>
      <c r="O3082" t="s">
        <v>24</v>
      </c>
      <c r="P3082" t="s">
        <v>25</v>
      </c>
      <c r="R3082">
        <f>tblDailySchedule[[#This Row],[Capacity Approx]]*'[1]Load Factor Sheet June Acft  '!$B$5</f>
        <v>150.61772727272728</v>
      </c>
      <c r="S3082">
        <f>tblDailySchedule[[#This Row],[Capacity Approx]]*'[1]Load Factor Sheet June Acft  '!$D$5</f>
        <v>163.08818181818182</v>
      </c>
      <c r="T3082" s="22">
        <f>tblDailySchedule[[#This Row],[STD]]</f>
        <v>0.37152777777777779</v>
      </c>
    </row>
    <row r="3083" spans="1:20" hidden="1" x14ac:dyDescent="0.35">
      <c r="A3083" s="11">
        <v>46221</v>
      </c>
      <c r="B3083" s="3">
        <v>6</v>
      </c>
      <c r="C3083" t="s">
        <v>116</v>
      </c>
      <c r="D3083" t="s">
        <v>18</v>
      </c>
      <c r="E3083" s="3">
        <v>7</v>
      </c>
      <c r="F3083" t="s">
        <v>19</v>
      </c>
      <c r="G3083" t="s">
        <v>42</v>
      </c>
      <c r="H3083" t="s">
        <v>43</v>
      </c>
      <c r="I3083" s="12">
        <v>0.3923611111111111</v>
      </c>
      <c r="J3083" t="s">
        <v>44</v>
      </c>
      <c r="K3083" t="s">
        <v>43</v>
      </c>
      <c r="L3083" s="12">
        <v>0.40277777777777779</v>
      </c>
      <c r="M3083" t="s">
        <v>45</v>
      </c>
      <c r="N3083" s="3">
        <v>9</v>
      </c>
      <c r="O3083" t="s">
        <v>24</v>
      </c>
      <c r="P3083" t="s">
        <v>25</v>
      </c>
      <c r="R3083">
        <f>tblDailySchedule[[#This Row],[Capacity Approx]]*'[1]Load Factor Sheet June Acft  '!$B$5</f>
        <v>7.2879545454545456</v>
      </c>
      <c r="S3083">
        <f>tblDailySchedule[[#This Row],[Capacity Approx]]*'[1]Load Factor Sheet June Acft  '!$D$5</f>
        <v>7.8913636363636366</v>
      </c>
      <c r="T3083" s="22">
        <f>tblDailySchedule[[#This Row],[STD]]</f>
        <v>0.40277777777777779</v>
      </c>
    </row>
    <row r="3084" spans="1:20" hidden="1" x14ac:dyDescent="0.35">
      <c r="A3084" s="11">
        <v>46221</v>
      </c>
      <c r="B3084" s="3">
        <v>6</v>
      </c>
      <c r="C3084" t="s">
        <v>116</v>
      </c>
      <c r="D3084" t="s">
        <v>18</v>
      </c>
      <c r="E3084" s="3">
        <v>8</v>
      </c>
      <c r="F3084" t="s">
        <v>19</v>
      </c>
      <c r="G3084" t="s">
        <v>46</v>
      </c>
      <c r="H3084" t="s">
        <v>31</v>
      </c>
      <c r="I3084" s="12">
        <v>0.4201388888888889</v>
      </c>
      <c r="J3084" t="s">
        <v>47</v>
      </c>
      <c r="K3084" t="s">
        <v>31</v>
      </c>
      <c r="L3084" s="12">
        <v>0.44444444444444442</v>
      </c>
      <c r="M3084" t="s">
        <v>29</v>
      </c>
      <c r="N3084" s="3">
        <v>186</v>
      </c>
      <c r="O3084" t="s">
        <v>24</v>
      </c>
      <c r="P3084" t="s">
        <v>25</v>
      </c>
      <c r="R3084">
        <f>tblDailySchedule[[#This Row],[Capacity Approx]]*'[1]Load Factor Sheet June Acft  '!$B$5</f>
        <v>150.61772727272728</v>
      </c>
      <c r="S3084">
        <f>tblDailySchedule[[#This Row],[Capacity Approx]]*'[1]Load Factor Sheet June Acft  '!$D$5</f>
        <v>163.08818181818182</v>
      </c>
      <c r="T3084" s="22">
        <f>tblDailySchedule[[#This Row],[STD]]</f>
        <v>0.44444444444444442</v>
      </c>
    </row>
    <row r="3085" spans="1:20" hidden="1" x14ac:dyDescent="0.35">
      <c r="A3085" s="11">
        <v>46221</v>
      </c>
      <c r="B3085" s="3">
        <v>6</v>
      </c>
      <c r="C3085" t="s">
        <v>116</v>
      </c>
      <c r="D3085" t="s">
        <v>18</v>
      </c>
      <c r="E3085" s="3">
        <v>9</v>
      </c>
      <c r="F3085" t="s">
        <v>19</v>
      </c>
      <c r="G3085" t="s">
        <v>48</v>
      </c>
      <c r="H3085" t="s">
        <v>49</v>
      </c>
      <c r="I3085" s="12">
        <v>0.4375</v>
      </c>
      <c r="J3085" t="s">
        <v>50</v>
      </c>
      <c r="K3085" t="s">
        <v>49</v>
      </c>
      <c r="L3085" s="12">
        <v>0.45833333333333331</v>
      </c>
      <c r="M3085" t="s">
        <v>51</v>
      </c>
      <c r="N3085" s="3">
        <v>78</v>
      </c>
      <c r="O3085" t="s">
        <v>24</v>
      </c>
      <c r="P3085" t="s">
        <v>25</v>
      </c>
      <c r="R3085">
        <f>tblDailySchedule[[#This Row],[Capacity Approx]]*'[1]Load Factor Sheet June Acft  '!$B$5</f>
        <v>63.162272727272729</v>
      </c>
      <c r="S3085">
        <f>tblDailySchedule[[#This Row],[Capacity Approx]]*'[1]Load Factor Sheet June Acft  '!$D$5</f>
        <v>68.391818181818181</v>
      </c>
      <c r="T3085" s="22">
        <f>tblDailySchedule[[#This Row],[STD]]</f>
        <v>0.45833333333333331</v>
      </c>
    </row>
    <row r="3086" spans="1:20" hidden="1" x14ac:dyDescent="0.35">
      <c r="A3086" s="11">
        <v>46221</v>
      </c>
      <c r="B3086" s="3">
        <v>6</v>
      </c>
      <c r="C3086" t="s">
        <v>116</v>
      </c>
      <c r="D3086" t="s">
        <v>18</v>
      </c>
      <c r="E3086" s="3">
        <v>10</v>
      </c>
      <c r="F3086" t="s">
        <v>19</v>
      </c>
      <c r="G3086" t="s">
        <v>52</v>
      </c>
      <c r="H3086" t="s">
        <v>27</v>
      </c>
      <c r="I3086" s="12">
        <v>0.4826388888888889</v>
      </c>
      <c r="J3086" t="s">
        <v>53</v>
      </c>
      <c r="K3086" t="s">
        <v>27</v>
      </c>
      <c r="L3086" s="12">
        <v>0.51041666666666663</v>
      </c>
      <c r="M3086" t="s">
        <v>23</v>
      </c>
      <c r="N3086" s="3">
        <v>186</v>
      </c>
      <c r="O3086" t="s">
        <v>24</v>
      </c>
      <c r="P3086" t="s">
        <v>25</v>
      </c>
      <c r="R3086">
        <f>tblDailySchedule[[#This Row],[Capacity Approx]]*'[1]Load Factor Sheet June Acft  '!$B$5</f>
        <v>150.61772727272728</v>
      </c>
      <c r="S3086">
        <f>tblDailySchedule[[#This Row],[Capacity Approx]]*'[1]Load Factor Sheet June Acft  '!$D$5</f>
        <v>163.08818181818182</v>
      </c>
      <c r="T3086" s="22">
        <f>tblDailySchedule[[#This Row],[STD]]</f>
        <v>0.51041666666666663</v>
      </c>
    </row>
    <row r="3087" spans="1:20" hidden="1" x14ac:dyDescent="0.35">
      <c r="A3087" s="11">
        <v>46221</v>
      </c>
      <c r="B3087" s="3">
        <v>6</v>
      </c>
      <c r="C3087" t="s">
        <v>116</v>
      </c>
      <c r="D3087" t="s">
        <v>18</v>
      </c>
      <c r="E3087" s="3">
        <v>11</v>
      </c>
      <c r="F3087" t="s">
        <v>19</v>
      </c>
      <c r="G3087" t="s">
        <v>54</v>
      </c>
      <c r="H3087" t="s">
        <v>31</v>
      </c>
      <c r="I3087" s="12">
        <v>0.51388888888888884</v>
      </c>
      <c r="J3087" t="s">
        <v>55</v>
      </c>
      <c r="K3087" t="s">
        <v>31</v>
      </c>
      <c r="L3087" s="12">
        <v>0.54166666666666663</v>
      </c>
      <c r="M3087" t="s">
        <v>23</v>
      </c>
      <c r="N3087" s="3">
        <v>186</v>
      </c>
      <c r="O3087" t="s">
        <v>24</v>
      </c>
      <c r="P3087" t="s">
        <v>56</v>
      </c>
      <c r="R3087">
        <f>tblDailySchedule[[#This Row],[Capacity Approx]]*'[1]Load Factor Sheet June Acft  '!$B$5</f>
        <v>150.61772727272728</v>
      </c>
      <c r="S3087">
        <f>tblDailySchedule[[#This Row],[Capacity Approx]]*'[1]Load Factor Sheet June Acft  '!$D$5</f>
        <v>163.08818181818182</v>
      </c>
      <c r="T3087" s="22">
        <f>tblDailySchedule[[#This Row],[STD]]</f>
        <v>0.54166666666666663</v>
      </c>
    </row>
    <row r="3088" spans="1:20" hidden="1" x14ac:dyDescent="0.35">
      <c r="A3088" s="11">
        <v>46221</v>
      </c>
      <c r="B3088" s="3">
        <v>6</v>
      </c>
      <c r="C3088" t="s">
        <v>116</v>
      </c>
      <c r="D3088" t="s">
        <v>18</v>
      </c>
      <c r="E3088" s="3">
        <v>12</v>
      </c>
      <c r="F3088" t="s">
        <v>109</v>
      </c>
      <c r="G3088" t="s">
        <v>110</v>
      </c>
      <c r="H3088" t="s">
        <v>111</v>
      </c>
      <c r="I3088" s="12">
        <v>0.55555555555555558</v>
      </c>
      <c r="J3088" t="s">
        <v>112</v>
      </c>
      <c r="K3088" t="s">
        <v>111</v>
      </c>
      <c r="L3088" s="12">
        <v>0.56944444444444442</v>
      </c>
      <c r="M3088" t="s">
        <v>51</v>
      </c>
      <c r="N3088" s="3">
        <v>78</v>
      </c>
      <c r="O3088" t="s">
        <v>24</v>
      </c>
      <c r="P3088" t="s">
        <v>56</v>
      </c>
      <c r="R3088">
        <f>tblDailySchedule[[#This Row],[Capacity Approx]]*'[1]Load Factor Sheet June Acft  '!$B$5</f>
        <v>63.162272727272729</v>
      </c>
      <c r="S3088">
        <f>tblDailySchedule[[#This Row],[Capacity Approx]]*'[1]Load Factor Sheet June Acft  '!$D$5</f>
        <v>68.391818181818181</v>
      </c>
      <c r="T3088" s="22">
        <f>tblDailySchedule[[#This Row],[STD]]</f>
        <v>0.56944444444444442</v>
      </c>
    </row>
    <row r="3089" spans="1:20" hidden="1" x14ac:dyDescent="0.35">
      <c r="A3089" s="11">
        <v>46221</v>
      </c>
      <c r="B3089" s="3">
        <v>6</v>
      </c>
      <c r="C3089" t="s">
        <v>116</v>
      </c>
      <c r="D3089" t="s">
        <v>18</v>
      </c>
      <c r="E3089" s="3">
        <v>13</v>
      </c>
      <c r="F3089" t="s">
        <v>19</v>
      </c>
      <c r="G3089" t="s">
        <v>57</v>
      </c>
      <c r="H3089" t="s">
        <v>58</v>
      </c>
      <c r="I3089" s="12">
        <v>0.55902777777777779</v>
      </c>
      <c r="J3089" t="s">
        <v>59</v>
      </c>
      <c r="K3089" t="s">
        <v>58</v>
      </c>
      <c r="L3089" s="12">
        <v>0.57638888888888884</v>
      </c>
      <c r="M3089" t="s">
        <v>51</v>
      </c>
      <c r="N3089" s="3">
        <v>78</v>
      </c>
      <c r="O3089" t="s">
        <v>24</v>
      </c>
      <c r="P3089" t="s">
        <v>56</v>
      </c>
      <c r="R3089">
        <f>tblDailySchedule[[#This Row],[Capacity Approx]]*'[1]Load Factor Sheet June Acft  '!$B$5</f>
        <v>63.162272727272729</v>
      </c>
      <c r="S3089">
        <f>tblDailySchedule[[#This Row],[Capacity Approx]]*'[1]Load Factor Sheet June Acft  '!$D$5</f>
        <v>68.391818181818181</v>
      </c>
      <c r="T3089" s="22">
        <f>tblDailySchedule[[#This Row],[STD]]</f>
        <v>0.57638888888888884</v>
      </c>
    </row>
    <row r="3090" spans="1:20" hidden="1" x14ac:dyDescent="0.35">
      <c r="A3090" s="11">
        <v>46221</v>
      </c>
      <c r="B3090" s="3">
        <v>6</v>
      </c>
      <c r="C3090" t="s">
        <v>116</v>
      </c>
      <c r="D3090" t="s">
        <v>18</v>
      </c>
      <c r="E3090" s="3">
        <v>14</v>
      </c>
      <c r="F3090" t="s">
        <v>19</v>
      </c>
      <c r="G3090" t="s">
        <v>60</v>
      </c>
      <c r="H3090" t="s">
        <v>61</v>
      </c>
      <c r="I3090" s="12">
        <v>0.59027777777777779</v>
      </c>
      <c r="J3090" t="s">
        <v>62</v>
      </c>
      <c r="K3090" t="s">
        <v>61</v>
      </c>
      <c r="L3090" s="12">
        <v>0.62152777777777779</v>
      </c>
      <c r="M3090" t="s">
        <v>63</v>
      </c>
      <c r="N3090" s="3">
        <v>232</v>
      </c>
      <c r="O3090" t="s">
        <v>24</v>
      </c>
      <c r="P3090" t="s">
        <v>56</v>
      </c>
      <c r="R3090">
        <f>tblDailySchedule[[#This Row],[Capacity Approx]]*'[1]Load Factor Sheet June Acft  '!$B$5</f>
        <v>187.86727272727273</v>
      </c>
      <c r="S3090">
        <f>tblDailySchedule[[#This Row],[Capacity Approx]]*'[1]Load Factor Sheet June Acft  '!$D$5</f>
        <v>203.4218181818182</v>
      </c>
      <c r="T3090" s="22">
        <f>tblDailySchedule[[#This Row],[STD]]</f>
        <v>0.62152777777777779</v>
      </c>
    </row>
    <row r="3091" spans="1:20" hidden="1" x14ac:dyDescent="0.35">
      <c r="A3091" s="11">
        <v>46221</v>
      </c>
      <c r="B3091" s="3">
        <v>6</v>
      </c>
      <c r="C3091" t="s">
        <v>116</v>
      </c>
      <c r="D3091" t="s">
        <v>18</v>
      </c>
      <c r="E3091" s="3">
        <v>15</v>
      </c>
      <c r="F3091" t="s">
        <v>19</v>
      </c>
      <c r="G3091" t="s">
        <v>64</v>
      </c>
      <c r="H3091" t="s">
        <v>31</v>
      </c>
      <c r="I3091" s="12">
        <v>0.60069444444444442</v>
      </c>
      <c r="J3091" t="s">
        <v>65</v>
      </c>
      <c r="K3091" t="s">
        <v>66</v>
      </c>
      <c r="L3091" s="12">
        <v>0.62847222222222221</v>
      </c>
      <c r="M3091" t="s">
        <v>63</v>
      </c>
      <c r="N3091" s="3">
        <v>232</v>
      </c>
      <c r="O3091" t="s">
        <v>24</v>
      </c>
      <c r="P3091" t="s">
        <v>56</v>
      </c>
      <c r="R3091">
        <f>tblDailySchedule[[#This Row],[Capacity Approx]]*'[1]Load Factor Sheet June Acft  '!$B$5</f>
        <v>187.86727272727273</v>
      </c>
      <c r="S3091">
        <f>tblDailySchedule[[#This Row],[Capacity Approx]]*'[1]Load Factor Sheet June Acft  '!$D$5</f>
        <v>203.4218181818182</v>
      </c>
      <c r="T3091" s="22">
        <f>tblDailySchedule[[#This Row],[STD]]</f>
        <v>0.62847222222222221</v>
      </c>
    </row>
    <row r="3092" spans="1:20" hidden="1" x14ac:dyDescent="0.35">
      <c r="A3092" s="11">
        <v>46221</v>
      </c>
      <c r="B3092" s="3">
        <v>6</v>
      </c>
      <c r="C3092" t="s">
        <v>116</v>
      </c>
      <c r="D3092" t="s">
        <v>18</v>
      </c>
      <c r="E3092" s="3">
        <v>16</v>
      </c>
      <c r="F3092" t="s">
        <v>19</v>
      </c>
      <c r="G3092" t="s">
        <v>67</v>
      </c>
      <c r="H3092" t="s">
        <v>31</v>
      </c>
      <c r="I3092" s="12">
        <v>0.65625</v>
      </c>
      <c r="J3092" t="s">
        <v>68</v>
      </c>
      <c r="K3092" t="s">
        <v>31</v>
      </c>
      <c r="L3092" s="12">
        <v>0.68402777777777779</v>
      </c>
      <c r="M3092" t="s">
        <v>63</v>
      </c>
      <c r="N3092" s="3">
        <v>232</v>
      </c>
      <c r="O3092" t="s">
        <v>24</v>
      </c>
      <c r="P3092" t="s">
        <v>56</v>
      </c>
      <c r="R3092">
        <f>tblDailySchedule[[#This Row],[Capacity Approx]]*'[1]Load Factor Sheet June Acft  '!$B$5</f>
        <v>187.86727272727273</v>
      </c>
      <c r="S3092">
        <f>tblDailySchedule[[#This Row],[Capacity Approx]]*'[1]Load Factor Sheet June Acft  '!$D$5</f>
        <v>203.4218181818182</v>
      </c>
      <c r="T3092" s="22">
        <f>tblDailySchedule[[#This Row],[STD]]</f>
        <v>0.68402777777777779</v>
      </c>
    </row>
    <row r="3093" spans="1:20" hidden="1" x14ac:dyDescent="0.35">
      <c r="A3093" s="11">
        <v>46221</v>
      </c>
      <c r="B3093" s="3">
        <v>6</v>
      </c>
      <c r="C3093" t="s">
        <v>116</v>
      </c>
      <c r="D3093" t="s">
        <v>18</v>
      </c>
      <c r="E3093" s="3">
        <v>17</v>
      </c>
      <c r="F3093" t="s">
        <v>19</v>
      </c>
      <c r="G3093" t="s">
        <v>69</v>
      </c>
      <c r="H3093" t="s">
        <v>31</v>
      </c>
      <c r="I3093" s="12">
        <v>0.66319444444444442</v>
      </c>
      <c r="J3093" t="s">
        <v>70</v>
      </c>
      <c r="K3093" t="s">
        <v>31</v>
      </c>
      <c r="L3093" s="12">
        <v>0.69097222222222221</v>
      </c>
      <c r="M3093" t="s">
        <v>33</v>
      </c>
      <c r="N3093" s="3">
        <v>189</v>
      </c>
      <c r="O3093" t="s">
        <v>24</v>
      </c>
      <c r="P3093" t="s">
        <v>56</v>
      </c>
      <c r="R3093">
        <f>tblDailySchedule[[#This Row],[Capacity Approx]]*'[1]Load Factor Sheet June Acft  '!$B$5</f>
        <v>153.04704545454547</v>
      </c>
      <c r="S3093">
        <f>tblDailySchedule[[#This Row],[Capacity Approx]]*'[1]Load Factor Sheet June Acft  '!$D$5</f>
        <v>165.71863636363636</v>
      </c>
      <c r="T3093" s="22">
        <f>tblDailySchedule[[#This Row],[STD]]</f>
        <v>0.69097222222222221</v>
      </c>
    </row>
    <row r="3094" spans="1:20" hidden="1" x14ac:dyDescent="0.35">
      <c r="A3094" s="11">
        <v>46221</v>
      </c>
      <c r="B3094" s="3">
        <v>6</v>
      </c>
      <c r="C3094" t="s">
        <v>116</v>
      </c>
      <c r="D3094" t="s">
        <v>18</v>
      </c>
      <c r="E3094" s="3">
        <v>18</v>
      </c>
      <c r="F3094" t="s">
        <v>19</v>
      </c>
      <c r="G3094" t="s">
        <v>71</v>
      </c>
      <c r="H3094" t="s">
        <v>21</v>
      </c>
      <c r="I3094" s="12">
        <v>0.67013888888888884</v>
      </c>
      <c r="J3094" t="s">
        <v>72</v>
      </c>
      <c r="K3094" t="s">
        <v>21</v>
      </c>
      <c r="L3094" s="12">
        <v>0.69791666666666663</v>
      </c>
      <c r="M3094" t="s">
        <v>63</v>
      </c>
      <c r="N3094" s="3">
        <v>232</v>
      </c>
      <c r="O3094" t="s">
        <v>24</v>
      </c>
      <c r="P3094" t="s">
        <v>56</v>
      </c>
      <c r="R3094">
        <f>tblDailySchedule[[#This Row],[Capacity Approx]]*'[1]Load Factor Sheet June Acft  '!$B$5</f>
        <v>187.86727272727273</v>
      </c>
      <c r="S3094">
        <f>tblDailySchedule[[#This Row],[Capacity Approx]]*'[1]Load Factor Sheet June Acft  '!$D$5</f>
        <v>203.4218181818182</v>
      </c>
      <c r="T3094" s="22">
        <f>tblDailySchedule[[#This Row],[STD]]</f>
        <v>0.69791666666666663</v>
      </c>
    </row>
    <row r="3095" spans="1:20" hidden="1" x14ac:dyDescent="0.35">
      <c r="A3095" s="11">
        <v>46221</v>
      </c>
      <c r="B3095" s="3">
        <v>6</v>
      </c>
      <c r="C3095" t="s">
        <v>116</v>
      </c>
      <c r="D3095" t="s">
        <v>18</v>
      </c>
      <c r="E3095" s="3">
        <v>19</v>
      </c>
      <c r="F3095" t="s">
        <v>19</v>
      </c>
      <c r="G3095" t="s">
        <v>73</v>
      </c>
      <c r="H3095" t="s">
        <v>27</v>
      </c>
      <c r="I3095" s="12">
        <v>0.74652777777777779</v>
      </c>
      <c r="J3095" t="s">
        <v>74</v>
      </c>
      <c r="K3095" t="s">
        <v>27</v>
      </c>
      <c r="L3095" s="12">
        <v>0.77430555555555558</v>
      </c>
      <c r="M3095" t="s">
        <v>63</v>
      </c>
      <c r="N3095" s="3">
        <v>232</v>
      </c>
      <c r="O3095" t="s">
        <v>24</v>
      </c>
      <c r="P3095" t="s">
        <v>56</v>
      </c>
      <c r="R3095">
        <f>tblDailySchedule[[#This Row],[Capacity Approx]]*'[1]Load Factor Sheet June Acft  '!$B$5</f>
        <v>187.86727272727273</v>
      </c>
      <c r="S3095">
        <f>tblDailySchedule[[#This Row],[Capacity Approx]]*'[1]Load Factor Sheet June Acft  '!$D$5</f>
        <v>203.4218181818182</v>
      </c>
      <c r="T3095" s="22">
        <f>tblDailySchedule[[#This Row],[STD]]</f>
        <v>0.77430555555555558</v>
      </c>
    </row>
    <row r="3096" spans="1:20" hidden="1" x14ac:dyDescent="0.35">
      <c r="A3096" s="11">
        <v>46221</v>
      </c>
      <c r="B3096" s="3">
        <v>6</v>
      </c>
      <c r="C3096" t="s">
        <v>116</v>
      </c>
      <c r="D3096" t="s">
        <v>18</v>
      </c>
      <c r="E3096" s="3">
        <v>21</v>
      </c>
      <c r="F3096" t="s">
        <v>19</v>
      </c>
      <c r="G3096" t="s">
        <v>81</v>
      </c>
      <c r="H3096" t="s">
        <v>61</v>
      </c>
      <c r="I3096" s="12">
        <v>0.77083333333333337</v>
      </c>
      <c r="J3096" t="s">
        <v>82</v>
      </c>
      <c r="K3096" t="s">
        <v>49</v>
      </c>
      <c r="L3096" s="12">
        <v>0.79166666666666663</v>
      </c>
      <c r="M3096" t="s">
        <v>33</v>
      </c>
      <c r="N3096" s="3">
        <v>189</v>
      </c>
      <c r="O3096" t="s">
        <v>24</v>
      </c>
      <c r="P3096" t="s">
        <v>79</v>
      </c>
      <c r="R3096">
        <f>tblDailySchedule[[#This Row],[Capacity Approx]]*'[1]Load Factor Sheet June Acft  '!$B$5</f>
        <v>153.04704545454547</v>
      </c>
      <c r="S3096">
        <f>tblDailySchedule[[#This Row],[Capacity Approx]]*'[1]Load Factor Sheet June Acft  '!$D$5</f>
        <v>165.71863636363636</v>
      </c>
      <c r="T3096" s="22">
        <f>tblDailySchedule[[#This Row],[STD]]</f>
        <v>0.79166666666666663</v>
      </c>
    </row>
    <row r="3097" spans="1:20" hidden="1" x14ac:dyDescent="0.35">
      <c r="A3097" s="11">
        <v>46221</v>
      </c>
      <c r="B3097" s="3">
        <v>6</v>
      </c>
      <c r="C3097" t="s">
        <v>116</v>
      </c>
      <c r="D3097" t="s">
        <v>18</v>
      </c>
      <c r="E3097" s="3">
        <v>22</v>
      </c>
      <c r="F3097" t="s">
        <v>19</v>
      </c>
      <c r="G3097" t="s">
        <v>83</v>
      </c>
      <c r="H3097" t="s">
        <v>31</v>
      </c>
      <c r="I3097" s="12">
        <v>0.77777777777777779</v>
      </c>
      <c r="J3097" t="s">
        <v>84</v>
      </c>
      <c r="K3097" t="s">
        <v>31</v>
      </c>
      <c r="L3097" s="12">
        <v>0.80555555555555558</v>
      </c>
      <c r="M3097" t="s">
        <v>63</v>
      </c>
      <c r="N3097" s="3">
        <v>232</v>
      </c>
      <c r="O3097" t="s">
        <v>24</v>
      </c>
      <c r="P3097" t="s">
        <v>79</v>
      </c>
      <c r="R3097">
        <f>tblDailySchedule[[#This Row],[Capacity Approx]]*'[1]Load Factor Sheet June Acft  '!$B$5</f>
        <v>187.86727272727273</v>
      </c>
      <c r="S3097">
        <f>tblDailySchedule[[#This Row],[Capacity Approx]]*'[1]Load Factor Sheet June Acft  '!$D$5</f>
        <v>203.4218181818182</v>
      </c>
      <c r="T3097" s="22">
        <f>tblDailySchedule[[#This Row],[STD]]</f>
        <v>0.80555555555555558</v>
      </c>
    </row>
    <row r="3098" spans="1:20" hidden="1" x14ac:dyDescent="0.35">
      <c r="A3098" s="11">
        <v>46221</v>
      </c>
      <c r="B3098" s="3">
        <v>6</v>
      </c>
      <c r="C3098" t="s">
        <v>116</v>
      </c>
      <c r="D3098" t="s">
        <v>18</v>
      </c>
      <c r="E3098" s="3">
        <v>23</v>
      </c>
      <c r="F3098" t="s">
        <v>19</v>
      </c>
      <c r="G3098" t="s">
        <v>85</v>
      </c>
      <c r="H3098" t="s">
        <v>86</v>
      </c>
      <c r="I3098" s="12">
        <v>0.79861111111111116</v>
      </c>
      <c r="J3098" t="s">
        <v>87</v>
      </c>
      <c r="K3098" t="s">
        <v>86</v>
      </c>
      <c r="L3098" s="12">
        <v>0.82638888888888884</v>
      </c>
      <c r="M3098" t="s">
        <v>63</v>
      </c>
      <c r="N3098" s="3">
        <v>232</v>
      </c>
      <c r="O3098" t="s">
        <v>24</v>
      </c>
      <c r="P3098" t="s">
        <v>79</v>
      </c>
      <c r="R3098">
        <f>tblDailySchedule[[#This Row],[Capacity Approx]]*'[1]Load Factor Sheet June Acft  '!$B$5</f>
        <v>187.86727272727273</v>
      </c>
      <c r="S3098">
        <f>tblDailySchedule[[#This Row],[Capacity Approx]]*'[1]Load Factor Sheet June Acft  '!$D$5</f>
        <v>203.4218181818182</v>
      </c>
      <c r="T3098" s="22">
        <f>tblDailySchedule[[#This Row],[STD]]</f>
        <v>0.82638888888888884</v>
      </c>
    </row>
    <row r="3099" spans="1:20" hidden="1" x14ac:dyDescent="0.35">
      <c r="A3099" s="11">
        <v>46221</v>
      </c>
      <c r="B3099" s="3">
        <v>6</v>
      </c>
      <c r="C3099" t="s">
        <v>116</v>
      </c>
      <c r="D3099" t="s">
        <v>18</v>
      </c>
      <c r="E3099" s="3">
        <v>24</v>
      </c>
      <c r="F3099" t="s">
        <v>19</v>
      </c>
      <c r="G3099" t="s">
        <v>88</v>
      </c>
      <c r="H3099" t="s">
        <v>89</v>
      </c>
      <c r="I3099" s="12">
        <v>0.83333333333333337</v>
      </c>
      <c r="J3099" t="s">
        <v>90</v>
      </c>
      <c r="K3099" t="s">
        <v>31</v>
      </c>
      <c r="L3099" s="12">
        <v>0.86111111111111116</v>
      </c>
      <c r="M3099" t="s">
        <v>63</v>
      </c>
      <c r="N3099" s="3">
        <v>232</v>
      </c>
      <c r="O3099" t="s">
        <v>24</v>
      </c>
      <c r="P3099" t="s">
        <v>79</v>
      </c>
      <c r="R3099">
        <f>tblDailySchedule[[#This Row],[Capacity Approx]]*'[1]Load Factor Sheet June Acft  '!$B$5</f>
        <v>187.86727272727273</v>
      </c>
      <c r="S3099">
        <f>tblDailySchedule[[#This Row],[Capacity Approx]]*'[1]Load Factor Sheet June Acft  '!$D$5</f>
        <v>203.4218181818182</v>
      </c>
      <c r="T3099" s="22">
        <f>tblDailySchedule[[#This Row],[STD]]</f>
        <v>0.86111111111111116</v>
      </c>
    </row>
    <row r="3100" spans="1:20" hidden="1" x14ac:dyDescent="0.35">
      <c r="A3100" s="11">
        <v>46221</v>
      </c>
      <c r="B3100" s="3">
        <v>6</v>
      </c>
      <c r="C3100" t="s">
        <v>116</v>
      </c>
      <c r="D3100" t="s">
        <v>18</v>
      </c>
      <c r="E3100" s="3">
        <v>25</v>
      </c>
      <c r="F3100" t="s">
        <v>19</v>
      </c>
      <c r="G3100" t="s">
        <v>91</v>
      </c>
      <c r="H3100" t="s">
        <v>61</v>
      </c>
      <c r="I3100" s="12">
        <v>0.85416666666666663</v>
      </c>
      <c r="J3100" t="s">
        <v>92</v>
      </c>
      <c r="K3100" t="s">
        <v>61</v>
      </c>
      <c r="L3100" s="12">
        <v>0.88194444444444442</v>
      </c>
      <c r="M3100" t="s">
        <v>63</v>
      </c>
      <c r="N3100" s="3">
        <v>232</v>
      </c>
      <c r="O3100" t="s">
        <v>24</v>
      </c>
      <c r="P3100" t="s">
        <v>79</v>
      </c>
      <c r="R3100">
        <f>tblDailySchedule[[#This Row],[Capacity Approx]]*'[1]Load Factor Sheet June Acft  '!$B$5</f>
        <v>187.86727272727273</v>
      </c>
      <c r="S3100">
        <f>tblDailySchedule[[#This Row],[Capacity Approx]]*'[1]Load Factor Sheet June Acft  '!$D$5</f>
        <v>203.4218181818182</v>
      </c>
      <c r="T3100" s="22">
        <f>tblDailySchedule[[#This Row],[STD]]</f>
        <v>0.88194444444444442</v>
      </c>
    </row>
    <row r="3101" spans="1:20" hidden="1" x14ac:dyDescent="0.35">
      <c r="A3101" s="11">
        <v>46221</v>
      </c>
      <c r="B3101" s="3">
        <v>6</v>
      </c>
      <c r="C3101" t="s">
        <v>116</v>
      </c>
      <c r="D3101" t="s">
        <v>18</v>
      </c>
      <c r="E3101" s="3">
        <v>26</v>
      </c>
      <c r="F3101" t="s">
        <v>19</v>
      </c>
      <c r="G3101" t="s">
        <v>93</v>
      </c>
      <c r="H3101" t="s">
        <v>31</v>
      </c>
      <c r="I3101" s="12">
        <v>0.86111111111111116</v>
      </c>
      <c r="J3101" t="s">
        <v>94</v>
      </c>
      <c r="K3101" t="s">
        <v>31</v>
      </c>
      <c r="L3101" s="12">
        <v>0.88888888888888884</v>
      </c>
      <c r="M3101" t="s">
        <v>23</v>
      </c>
      <c r="N3101" s="3">
        <v>186</v>
      </c>
      <c r="O3101" t="s">
        <v>24</v>
      </c>
      <c r="P3101" t="s">
        <v>79</v>
      </c>
      <c r="R3101">
        <f>tblDailySchedule[[#This Row],[Capacity Approx]]*'[1]Load Factor Sheet June Acft  '!$B$5</f>
        <v>150.61772727272728</v>
      </c>
      <c r="S3101">
        <f>tblDailySchedule[[#This Row],[Capacity Approx]]*'[1]Load Factor Sheet June Acft  '!$D$5</f>
        <v>163.08818181818182</v>
      </c>
      <c r="T3101" s="22">
        <f>tblDailySchedule[[#This Row],[STD]]</f>
        <v>0.88888888888888884</v>
      </c>
    </row>
    <row r="3102" spans="1:20" hidden="1" x14ac:dyDescent="0.35">
      <c r="A3102" s="11">
        <v>46221</v>
      </c>
      <c r="B3102" s="3">
        <v>6</v>
      </c>
      <c r="C3102" t="s">
        <v>116</v>
      </c>
      <c r="D3102" t="s">
        <v>18</v>
      </c>
      <c r="E3102" s="3">
        <v>27</v>
      </c>
      <c r="F3102" t="s">
        <v>19</v>
      </c>
      <c r="G3102" t="s">
        <v>95</v>
      </c>
      <c r="H3102" t="s">
        <v>21</v>
      </c>
      <c r="I3102" s="12">
        <v>0.86805555555555558</v>
      </c>
      <c r="J3102" t="s">
        <v>96</v>
      </c>
      <c r="K3102" t="s">
        <v>21</v>
      </c>
      <c r="L3102" s="12">
        <v>0.89583333333333337</v>
      </c>
      <c r="M3102" t="s">
        <v>29</v>
      </c>
      <c r="N3102" s="3">
        <v>186</v>
      </c>
      <c r="O3102" t="s">
        <v>24</v>
      </c>
      <c r="P3102" t="s">
        <v>79</v>
      </c>
      <c r="R3102">
        <f>tblDailySchedule[[#This Row],[Capacity Approx]]*'[1]Load Factor Sheet June Acft  '!$B$5</f>
        <v>150.61772727272728</v>
      </c>
      <c r="S3102">
        <f>tblDailySchedule[[#This Row],[Capacity Approx]]*'[1]Load Factor Sheet June Acft  '!$D$5</f>
        <v>163.08818181818182</v>
      </c>
      <c r="T3102" s="22">
        <f>tblDailySchedule[[#This Row],[STD]]</f>
        <v>0.89583333333333337</v>
      </c>
    </row>
    <row r="3103" spans="1:20" hidden="1" x14ac:dyDescent="0.35">
      <c r="A3103" s="11">
        <v>46221</v>
      </c>
      <c r="B3103" s="3">
        <v>6</v>
      </c>
      <c r="C3103" t="s">
        <v>116</v>
      </c>
      <c r="D3103" t="s">
        <v>18</v>
      </c>
      <c r="E3103" s="3">
        <v>28</v>
      </c>
      <c r="F3103" t="s">
        <v>19</v>
      </c>
      <c r="G3103" t="s">
        <v>97</v>
      </c>
      <c r="H3103" t="s">
        <v>49</v>
      </c>
      <c r="I3103" s="12">
        <v>0.90277777777777779</v>
      </c>
      <c r="J3103" t="s">
        <v>97</v>
      </c>
      <c r="K3103" t="s">
        <v>61</v>
      </c>
      <c r="L3103" s="12">
        <v>0.92361111111111116</v>
      </c>
      <c r="M3103" t="s">
        <v>33</v>
      </c>
      <c r="N3103" s="3">
        <v>189</v>
      </c>
      <c r="O3103" t="s">
        <v>24</v>
      </c>
      <c r="P3103" t="s">
        <v>79</v>
      </c>
      <c r="R3103">
        <f>tblDailySchedule[[#This Row],[Capacity Approx]]*'[1]Load Factor Sheet June Acft  '!$B$5</f>
        <v>153.04704545454547</v>
      </c>
      <c r="S3103">
        <f>tblDailySchedule[[#This Row],[Capacity Approx]]*'[1]Load Factor Sheet June Acft  '!$D$5</f>
        <v>165.71863636363636</v>
      </c>
      <c r="T3103" s="22">
        <f>tblDailySchedule[[#This Row],[STD]]</f>
        <v>0.92361111111111116</v>
      </c>
    </row>
    <row r="3104" spans="1:20" hidden="1" x14ac:dyDescent="0.35">
      <c r="A3104" s="11">
        <v>46221</v>
      </c>
      <c r="B3104" s="3">
        <v>6</v>
      </c>
      <c r="C3104" t="s">
        <v>116</v>
      </c>
      <c r="D3104" t="s">
        <v>18</v>
      </c>
      <c r="E3104" s="3">
        <v>29</v>
      </c>
      <c r="F3104" t="s">
        <v>19</v>
      </c>
      <c r="G3104" t="s">
        <v>98</v>
      </c>
      <c r="H3104" t="s">
        <v>21</v>
      </c>
      <c r="I3104" s="12">
        <v>0.92013888888888884</v>
      </c>
      <c r="J3104" t="s">
        <v>99</v>
      </c>
      <c r="K3104" t="s">
        <v>21</v>
      </c>
      <c r="L3104" s="12">
        <v>0.94791666666666663</v>
      </c>
      <c r="M3104" t="s">
        <v>63</v>
      </c>
      <c r="N3104" s="3">
        <v>232</v>
      </c>
      <c r="O3104" t="s">
        <v>24</v>
      </c>
      <c r="P3104" t="s">
        <v>79</v>
      </c>
      <c r="R3104">
        <f>tblDailySchedule[[#This Row],[Capacity Approx]]*'[1]Load Factor Sheet June Acft  '!$B$5</f>
        <v>187.86727272727273</v>
      </c>
      <c r="S3104">
        <f>tblDailySchedule[[#This Row],[Capacity Approx]]*'[1]Load Factor Sheet June Acft  '!$D$5</f>
        <v>203.4218181818182</v>
      </c>
      <c r="T3104" s="22">
        <f>tblDailySchedule[[#This Row],[STD]]</f>
        <v>0.94791666666666663</v>
      </c>
    </row>
    <row r="3105" spans="1:20" hidden="1" x14ac:dyDescent="0.35">
      <c r="A3105" s="13">
        <v>46221</v>
      </c>
      <c r="B3105" s="7">
        <v>6</v>
      </c>
      <c r="C3105" s="14" t="s">
        <v>116</v>
      </c>
      <c r="D3105" s="14" t="s">
        <v>18</v>
      </c>
      <c r="E3105" s="7">
        <v>30</v>
      </c>
      <c r="F3105" s="14" t="s">
        <v>104</v>
      </c>
      <c r="G3105" s="14" t="s">
        <v>105</v>
      </c>
      <c r="H3105" s="14" t="s">
        <v>106</v>
      </c>
      <c r="I3105" s="15">
        <v>0.92708333333333337</v>
      </c>
      <c r="J3105" s="14" t="s">
        <v>107</v>
      </c>
      <c r="K3105" s="14" t="s">
        <v>106</v>
      </c>
      <c r="L3105" s="15">
        <v>0.95833333333333337</v>
      </c>
      <c r="M3105" s="14" t="s">
        <v>38</v>
      </c>
      <c r="N3105" s="7">
        <v>186</v>
      </c>
      <c r="O3105" s="14" t="s">
        <v>39</v>
      </c>
      <c r="P3105" s="14" t="s">
        <v>79</v>
      </c>
      <c r="Q3105" s="14" t="s">
        <v>39</v>
      </c>
      <c r="R3105">
        <f>tblDailySchedule[[#This Row],[Capacity Approx]]*'[1]Load Factor Sheet June Acft  '!$B$5</f>
        <v>150.61772727272728</v>
      </c>
      <c r="S3105">
        <f>tblDailySchedule[[#This Row],[Capacity Approx]]*'[1]Load Factor Sheet June Acft  '!$D$5</f>
        <v>163.08818181818182</v>
      </c>
      <c r="T3105" s="22">
        <f>tblDailySchedule[[#This Row],[STD]]</f>
        <v>0.95833333333333337</v>
      </c>
    </row>
    <row r="3106" spans="1:20" hidden="1" x14ac:dyDescent="0.35">
      <c r="A3106" s="11">
        <v>46222</v>
      </c>
      <c r="B3106" s="3">
        <v>7</v>
      </c>
      <c r="C3106" t="s">
        <v>17</v>
      </c>
      <c r="D3106" t="s">
        <v>18</v>
      </c>
      <c r="E3106" s="3">
        <v>2</v>
      </c>
      <c r="F3106" t="s">
        <v>19</v>
      </c>
      <c r="G3106" t="s">
        <v>20</v>
      </c>
      <c r="H3106" t="s">
        <v>21</v>
      </c>
      <c r="I3106" s="12">
        <v>0.31944444444444442</v>
      </c>
      <c r="J3106" t="s">
        <v>22</v>
      </c>
      <c r="K3106" t="s">
        <v>21</v>
      </c>
      <c r="L3106" s="12">
        <v>0.34722222222222221</v>
      </c>
      <c r="M3106" t="s">
        <v>23</v>
      </c>
      <c r="N3106" s="3">
        <v>186</v>
      </c>
      <c r="O3106" t="s">
        <v>24</v>
      </c>
      <c r="P3106" t="s">
        <v>25</v>
      </c>
      <c r="R3106">
        <f>tblDailySchedule[[#This Row],[Capacity Approx]]*'[1]Load Factor Sheet June Acft  '!$B$5</f>
        <v>150.61772727272728</v>
      </c>
      <c r="S3106">
        <f>tblDailySchedule[[#This Row],[Capacity Approx]]*'[1]Load Factor Sheet June Acft  '!$D$5</f>
        <v>163.08818181818182</v>
      </c>
      <c r="T3106" s="22">
        <f>tblDailySchedule[[#This Row],[STD]]</f>
        <v>0.34722222222222221</v>
      </c>
    </row>
    <row r="3107" spans="1:20" hidden="1" x14ac:dyDescent="0.35">
      <c r="A3107" s="11">
        <v>46222</v>
      </c>
      <c r="B3107" s="3">
        <v>7</v>
      </c>
      <c r="C3107" t="s">
        <v>17</v>
      </c>
      <c r="D3107" t="s">
        <v>18</v>
      </c>
      <c r="E3107" s="3">
        <v>3</v>
      </c>
      <c r="F3107" t="s">
        <v>19</v>
      </c>
      <c r="G3107" t="s">
        <v>26</v>
      </c>
      <c r="H3107" t="s">
        <v>27</v>
      </c>
      <c r="I3107" s="12">
        <v>0.3263888888888889</v>
      </c>
      <c r="J3107" t="s">
        <v>28</v>
      </c>
      <c r="K3107" t="s">
        <v>27</v>
      </c>
      <c r="L3107" s="12">
        <v>0.35416666666666669</v>
      </c>
      <c r="M3107" t="s">
        <v>29</v>
      </c>
      <c r="N3107" s="3">
        <v>186</v>
      </c>
      <c r="O3107" t="s">
        <v>24</v>
      </c>
      <c r="P3107" t="s">
        <v>25</v>
      </c>
      <c r="R3107">
        <f>tblDailySchedule[[#This Row],[Capacity Approx]]*'[1]Load Factor Sheet June Acft  '!$B$5</f>
        <v>150.61772727272728</v>
      </c>
      <c r="S3107">
        <f>tblDailySchedule[[#This Row],[Capacity Approx]]*'[1]Load Factor Sheet June Acft  '!$D$5</f>
        <v>163.08818181818182</v>
      </c>
      <c r="T3107" s="22">
        <f>tblDailySchedule[[#This Row],[STD]]</f>
        <v>0.35416666666666669</v>
      </c>
    </row>
    <row r="3108" spans="1:20" hidden="1" x14ac:dyDescent="0.35">
      <c r="A3108" s="11">
        <v>46222</v>
      </c>
      <c r="B3108" s="3">
        <v>7</v>
      </c>
      <c r="C3108" t="s">
        <v>17</v>
      </c>
      <c r="D3108" t="s">
        <v>18</v>
      </c>
      <c r="E3108" s="3">
        <v>4</v>
      </c>
      <c r="F3108" t="s">
        <v>19</v>
      </c>
      <c r="G3108" t="s">
        <v>30</v>
      </c>
      <c r="H3108" t="s">
        <v>31</v>
      </c>
      <c r="I3108" s="12">
        <v>0.34722222222222221</v>
      </c>
      <c r="J3108" t="s">
        <v>32</v>
      </c>
      <c r="K3108" t="s">
        <v>31</v>
      </c>
      <c r="L3108" s="12">
        <v>0.36805555555555558</v>
      </c>
      <c r="M3108" t="s">
        <v>33</v>
      </c>
      <c r="N3108" s="3">
        <v>189</v>
      </c>
      <c r="O3108" t="s">
        <v>24</v>
      </c>
      <c r="P3108" t="s">
        <v>25</v>
      </c>
      <c r="R3108">
        <f>tblDailySchedule[[#This Row],[Capacity Approx]]*'[1]Load Factor Sheet June Acft  '!$B$5</f>
        <v>153.04704545454547</v>
      </c>
      <c r="S3108">
        <f>tblDailySchedule[[#This Row],[Capacity Approx]]*'[1]Load Factor Sheet June Acft  '!$D$5</f>
        <v>165.71863636363636</v>
      </c>
      <c r="T3108" s="22">
        <f>tblDailySchedule[[#This Row],[STD]]</f>
        <v>0.36805555555555558</v>
      </c>
    </row>
    <row r="3109" spans="1:20" hidden="1" x14ac:dyDescent="0.35">
      <c r="A3109" s="13">
        <v>46222</v>
      </c>
      <c r="B3109" s="7">
        <v>7</v>
      </c>
      <c r="C3109" s="14" t="s">
        <v>17</v>
      </c>
      <c r="D3109" s="14" t="s">
        <v>18</v>
      </c>
      <c r="E3109" s="7">
        <v>6</v>
      </c>
      <c r="F3109" s="14" t="s">
        <v>34</v>
      </c>
      <c r="G3109" s="14" t="s">
        <v>35</v>
      </c>
      <c r="H3109" s="14" t="s">
        <v>36</v>
      </c>
      <c r="I3109" s="15">
        <v>0.34722222222222221</v>
      </c>
      <c r="J3109" s="14" t="s">
        <v>37</v>
      </c>
      <c r="K3109" s="14" t="s">
        <v>36</v>
      </c>
      <c r="L3109" s="15">
        <v>0.40972222222222221</v>
      </c>
      <c r="M3109" s="14" t="s">
        <v>38</v>
      </c>
      <c r="N3109" s="7">
        <v>186</v>
      </c>
      <c r="O3109" s="14" t="s">
        <v>39</v>
      </c>
      <c r="P3109" s="14" t="s">
        <v>25</v>
      </c>
      <c r="Q3109" s="14" t="s">
        <v>39</v>
      </c>
      <c r="R3109">
        <f>tblDailySchedule[[#This Row],[Capacity Approx]]*'[1]Load Factor Sheet June Acft  '!$B$5</f>
        <v>150.61772727272728</v>
      </c>
      <c r="S3109">
        <f>tblDailySchedule[[#This Row],[Capacity Approx]]*'[1]Load Factor Sheet June Acft  '!$D$5</f>
        <v>163.08818181818182</v>
      </c>
      <c r="T3109" s="22">
        <f>tblDailySchedule[[#This Row],[STD]]</f>
        <v>0.40972222222222221</v>
      </c>
    </row>
    <row r="3110" spans="1:20" hidden="1" x14ac:dyDescent="0.35">
      <c r="A3110" s="11">
        <v>46222</v>
      </c>
      <c r="B3110" s="3">
        <v>7</v>
      </c>
      <c r="C3110" t="s">
        <v>17</v>
      </c>
      <c r="D3110" t="s">
        <v>18</v>
      </c>
      <c r="E3110" s="3">
        <v>5</v>
      </c>
      <c r="F3110" t="s">
        <v>19</v>
      </c>
      <c r="G3110" t="s">
        <v>40</v>
      </c>
      <c r="H3110" t="s">
        <v>31</v>
      </c>
      <c r="I3110" s="12">
        <v>0.35069444444444442</v>
      </c>
      <c r="J3110" t="s">
        <v>41</v>
      </c>
      <c r="K3110" t="s">
        <v>31</v>
      </c>
      <c r="L3110" s="12">
        <v>0.37152777777777779</v>
      </c>
      <c r="M3110" t="s">
        <v>23</v>
      </c>
      <c r="N3110" s="3">
        <v>186</v>
      </c>
      <c r="O3110" t="s">
        <v>24</v>
      </c>
      <c r="P3110" t="s">
        <v>25</v>
      </c>
      <c r="R3110">
        <f>tblDailySchedule[[#This Row],[Capacity Approx]]*'[1]Load Factor Sheet June Acft  '!$B$5</f>
        <v>150.61772727272728</v>
      </c>
      <c r="S3110">
        <f>tblDailySchedule[[#This Row],[Capacity Approx]]*'[1]Load Factor Sheet June Acft  '!$D$5</f>
        <v>163.08818181818182</v>
      </c>
      <c r="T3110" s="22">
        <f>tblDailySchedule[[#This Row],[STD]]</f>
        <v>0.37152777777777779</v>
      </c>
    </row>
    <row r="3111" spans="1:20" hidden="1" x14ac:dyDescent="0.35">
      <c r="A3111" s="11">
        <v>46222</v>
      </c>
      <c r="B3111" s="3">
        <v>7</v>
      </c>
      <c r="C3111" t="s">
        <v>17</v>
      </c>
      <c r="D3111" t="s">
        <v>18</v>
      </c>
      <c r="E3111" s="3">
        <v>7</v>
      </c>
      <c r="F3111" t="s">
        <v>19</v>
      </c>
      <c r="G3111" t="s">
        <v>42</v>
      </c>
      <c r="H3111" t="s">
        <v>43</v>
      </c>
      <c r="I3111" s="12">
        <v>0.3923611111111111</v>
      </c>
      <c r="J3111" t="s">
        <v>44</v>
      </c>
      <c r="K3111" t="s">
        <v>43</v>
      </c>
      <c r="L3111" s="12">
        <v>0.40277777777777779</v>
      </c>
      <c r="M3111" t="s">
        <v>45</v>
      </c>
      <c r="N3111" s="3">
        <v>9</v>
      </c>
      <c r="O3111" t="s">
        <v>24</v>
      </c>
      <c r="P3111" t="s">
        <v>25</v>
      </c>
      <c r="R3111">
        <f>tblDailySchedule[[#This Row],[Capacity Approx]]*'[1]Load Factor Sheet June Acft  '!$B$5</f>
        <v>7.2879545454545456</v>
      </c>
      <c r="S3111">
        <f>tblDailySchedule[[#This Row],[Capacity Approx]]*'[1]Load Factor Sheet June Acft  '!$D$5</f>
        <v>7.8913636363636366</v>
      </c>
      <c r="T3111" s="22">
        <f>tblDailySchedule[[#This Row],[STD]]</f>
        <v>0.40277777777777779</v>
      </c>
    </row>
    <row r="3112" spans="1:20" hidden="1" x14ac:dyDescent="0.35">
      <c r="A3112" s="11">
        <v>46222</v>
      </c>
      <c r="B3112" s="3">
        <v>7</v>
      </c>
      <c r="C3112" t="s">
        <v>17</v>
      </c>
      <c r="D3112" t="s">
        <v>18</v>
      </c>
      <c r="E3112" s="3">
        <v>8</v>
      </c>
      <c r="F3112" t="s">
        <v>19</v>
      </c>
      <c r="G3112" t="s">
        <v>46</v>
      </c>
      <c r="H3112" t="s">
        <v>31</v>
      </c>
      <c r="I3112" s="12">
        <v>0.4201388888888889</v>
      </c>
      <c r="J3112" t="s">
        <v>47</v>
      </c>
      <c r="K3112" t="s">
        <v>31</v>
      </c>
      <c r="L3112" s="12">
        <v>0.44444444444444442</v>
      </c>
      <c r="M3112" t="s">
        <v>29</v>
      </c>
      <c r="N3112" s="3">
        <v>186</v>
      </c>
      <c r="O3112" t="s">
        <v>24</v>
      </c>
      <c r="P3112" t="s">
        <v>25</v>
      </c>
      <c r="R3112">
        <f>tblDailySchedule[[#This Row],[Capacity Approx]]*'[1]Load Factor Sheet June Acft  '!$B$5</f>
        <v>150.61772727272728</v>
      </c>
      <c r="S3112">
        <f>tblDailySchedule[[#This Row],[Capacity Approx]]*'[1]Load Factor Sheet June Acft  '!$D$5</f>
        <v>163.08818181818182</v>
      </c>
      <c r="T3112" s="22">
        <f>tblDailySchedule[[#This Row],[STD]]</f>
        <v>0.44444444444444442</v>
      </c>
    </row>
    <row r="3113" spans="1:20" hidden="1" x14ac:dyDescent="0.35">
      <c r="A3113" s="11">
        <v>46222</v>
      </c>
      <c r="B3113" s="3">
        <v>7</v>
      </c>
      <c r="C3113" t="s">
        <v>17</v>
      </c>
      <c r="D3113" t="s">
        <v>18</v>
      </c>
      <c r="E3113" s="3">
        <v>9</v>
      </c>
      <c r="F3113" t="s">
        <v>19</v>
      </c>
      <c r="G3113" t="s">
        <v>48</v>
      </c>
      <c r="H3113" t="s">
        <v>49</v>
      </c>
      <c r="I3113" s="12">
        <v>0.4375</v>
      </c>
      <c r="J3113" t="s">
        <v>50</v>
      </c>
      <c r="K3113" t="s">
        <v>49</v>
      </c>
      <c r="L3113" s="12">
        <v>0.45833333333333331</v>
      </c>
      <c r="M3113" t="s">
        <v>51</v>
      </c>
      <c r="N3113" s="3">
        <v>78</v>
      </c>
      <c r="O3113" t="s">
        <v>24</v>
      </c>
      <c r="P3113" t="s">
        <v>25</v>
      </c>
      <c r="R3113">
        <f>tblDailySchedule[[#This Row],[Capacity Approx]]*'[1]Load Factor Sheet June Acft  '!$B$5</f>
        <v>63.162272727272729</v>
      </c>
      <c r="S3113">
        <f>tblDailySchedule[[#This Row],[Capacity Approx]]*'[1]Load Factor Sheet June Acft  '!$D$5</f>
        <v>68.391818181818181</v>
      </c>
      <c r="T3113" s="22">
        <f>tblDailySchedule[[#This Row],[STD]]</f>
        <v>0.45833333333333331</v>
      </c>
    </row>
    <row r="3114" spans="1:20" hidden="1" x14ac:dyDescent="0.35">
      <c r="A3114" s="11">
        <v>46222</v>
      </c>
      <c r="B3114" s="3">
        <v>7</v>
      </c>
      <c r="C3114" t="s">
        <v>17</v>
      </c>
      <c r="D3114" t="s">
        <v>18</v>
      </c>
      <c r="E3114" s="3">
        <v>10</v>
      </c>
      <c r="F3114" t="s">
        <v>19</v>
      </c>
      <c r="G3114" t="s">
        <v>52</v>
      </c>
      <c r="H3114" t="s">
        <v>27</v>
      </c>
      <c r="I3114" s="12">
        <v>0.4826388888888889</v>
      </c>
      <c r="J3114" t="s">
        <v>53</v>
      </c>
      <c r="K3114" t="s">
        <v>27</v>
      </c>
      <c r="L3114" s="12">
        <v>0.51041666666666663</v>
      </c>
      <c r="M3114" t="s">
        <v>23</v>
      </c>
      <c r="N3114" s="3">
        <v>186</v>
      </c>
      <c r="O3114" t="s">
        <v>24</v>
      </c>
      <c r="P3114" t="s">
        <v>25</v>
      </c>
      <c r="R3114">
        <f>tblDailySchedule[[#This Row],[Capacity Approx]]*'[1]Load Factor Sheet June Acft  '!$B$5</f>
        <v>150.61772727272728</v>
      </c>
      <c r="S3114">
        <f>tblDailySchedule[[#This Row],[Capacity Approx]]*'[1]Load Factor Sheet June Acft  '!$D$5</f>
        <v>163.08818181818182</v>
      </c>
      <c r="T3114" s="22">
        <f>tblDailySchedule[[#This Row],[STD]]</f>
        <v>0.51041666666666663</v>
      </c>
    </row>
    <row r="3115" spans="1:20" hidden="1" x14ac:dyDescent="0.35">
      <c r="A3115" s="11">
        <v>46222</v>
      </c>
      <c r="B3115" s="3">
        <v>7</v>
      </c>
      <c r="C3115" t="s">
        <v>17</v>
      </c>
      <c r="D3115" t="s">
        <v>18</v>
      </c>
      <c r="E3115" s="3">
        <v>11</v>
      </c>
      <c r="F3115" t="s">
        <v>19</v>
      </c>
      <c r="G3115" t="s">
        <v>54</v>
      </c>
      <c r="H3115" t="s">
        <v>31</v>
      </c>
      <c r="I3115" s="12">
        <v>0.51388888888888884</v>
      </c>
      <c r="J3115" t="s">
        <v>55</v>
      </c>
      <c r="K3115" t="s">
        <v>31</v>
      </c>
      <c r="L3115" s="12">
        <v>0.54166666666666663</v>
      </c>
      <c r="M3115" t="s">
        <v>23</v>
      </c>
      <c r="N3115" s="3">
        <v>186</v>
      </c>
      <c r="O3115" t="s">
        <v>24</v>
      </c>
      <c r="P3115" t="s">
        <v>56</v>
      </c>
      <c r="R3115">
        <f>tblDailySchedule[[#This Row],[Capacity Approx]]*'[1]Load Factor Sheet June Acft  '!$B$5</f>
        <v>150.61772727272728</v>
      </c>
      <c r="S3115">
        <f>tblDailySchedule[[#This Row],[Capacity Approx]]*'[1]Load Factor Sheet June Acft  '!$D$5</f>
        <v>163.08818181818182</v>
      </c>
      <c r="T3115" s="22">
        <f>tblDailySchedule[[#This Row],[STD]]</f>
        <v>0.54166666666666663</v>
      </c>
    </row>
    <row r="3116" spans="1:20" hidden="1" x14ac:dyDescent="0.35">
      <c r="A3116" s="11">
        <v>46222</v>
      </c>
      <c r="B3116" s="3">
        <v>7</v>
      </c>
      <c r="C3116" t="s">
        <v>17</v>
      </c>
      <c r="D3116" t="s">
        <v>18</v>
      </c>
      <c r="E3116" s="3">
        <v>13</v>
      </c>
      <c r="F3116" t="s">
        <v>19</v>
      </c>
      <c r="G3116" t="s">
        <v>57</v>
      </c>
      <c r="H3116" t="s">
        <v>58</v>
      </c>
      <c r="I3116" s="12">
        <v>0.55902777777777779</v>
      </c>
      <c r="J3116" t="s">
        <v>59</v>
      </c>
      <c r="K3116" t="s">
        <v>58</v>
      </c>
      <c r="L3116" s="12">
        <v>0.57638888888888884</v>
      </c>
      <c r="M3116" t="s">
        <v>51</v>
      </c>
      <c r="N3116" s="3">
        <v>78</v>
      </c>
      <c r="O3116" t="s">
        <v>24</v>
      </c>
      <c r="P3116" t="s">
        <v>56</v>
      </c>
      <c r="R3116">
        <f>tblDailySchedule[[#This Row],[Capacity Approx]]*'[1]Load Factor Sheet June Acft  '!$B$5</f>
        <v>63.162272727272729</v>
      </c>
      <c r="S3116">
        <f>tblDailySchedule[[#This Row],[Capacity Approx]]*'[1]Load Factor Sheet June Acft  '!$D$5</f>
        <v>68.391818181818181</v>
      </c>
      <c r="T3116" s="22">
        <f>tblDailySchedule[[#This Row],[STD]]</f>
        <v>0.57638888888888884</v>
      </c>
    </row>
    <row r="3117" spans="1:20" hidden="1" x14ac:dyDescent="0.35">
      <c r="A3117" s="11">
        <v>46222</v>
      </c>
      <c r="B3117" s="3">
        <v>7</v>
      </c>
      <c r="C3117" t="s">
        <v>17</v>
      </c>
      <c r="D3117" t="s">
        <v>18</v>
      </c>
      <c r="E3117" s="3">
        <v>14</v>
      </c>
      <c r="F3117" t="s">
        <v>19</v>
      </c>
      <c r="G3117" t="s">
        <v>60</v>
      </c>
      <c r="H3117" t="s">
        <v>61</v>
      </c>
      <c r="I3117" s="12">
        <v>0.59027777777777779</v>
      </c>
      <c r="J3117" t="s">
        <v>62</v>
      </c>
      <c r="K3117" t="s">
        <v>61</v>
      </c>
      <c r="L3117" s="12">
        <v>0.62152777777777779</v>
      </c>
      <c r="M3117" t="s">
        <v>63</v>
      </c>
      <c r="N3117" s="3">
        <v>232</v>
      </c>
      <c r="O3117" t="s">
        <v>24</v>
      </c>
      <c r="P3117" t="s">
        <v>56</v>
      </c>
      <c r="R3117">
        <f>tblDailySchedule[[#This Row],[Capacity Approx]]*'[1]Load Factor Sheet June Acft  '!$B$5</f>
        <v>187.86727272727273</v>
      </c>
      <c r="S3117">
        <f>tblDailySchedule[[#This Row],[Capacity Approx]]*'[1]Load Factor Sheet June Acft  '!$D$5</f>
        <v>203.4218181818182</v>
      </c>
      <c r="T3117" s="22">
        <f>tblDailySchedule[[#This Row],[STD]]</f>
        <v>0.62152777777777779</v>
      </c>
    </row>
    <row r="3118" spans="1:20" hidden="1" x14ac:dyDescent="0.35">
      <c r="A3118" s="11">
        <v>46222</v>
      </c>
      <c r="B3118" s="3">
        <v>7</v>
      </c>
      <c r="C3118" t="s">
        <v>17</v>
      </c>
      <c r="D3118" t="s">
        <v>18</v>
      </c>
      <c r="E3118" s="3">
        <v>15</v>
      </c>
      <c r="F3118" t="s">
        <v>19</v>
      </c>
      <c r="G3118" t="s">
        <v>64</v>
      </c>
      <c r="H3118" t="s">
        <v>31</v>
      </c>
      <c r="I3118" s="12">
        <v>0.60069444444444442</v>
      </c>
      <c r="J3118" t="s">
        <v>65</v>
      </c>
      <c r="K3118" t="s">
        <v>66</v>
      </c>
      <c r="L3118" s="12">
        <v>0.62847222222222221</v>
      </c>
      <c r="M3118" t="s">
        <v>63</v>
      </c>
      <c r="N3118" s="3">
        <v>232</v>
      </c>
      <c r="O3118" t="s">
        <v>24</v>
      </c>
      <c r="P3118" t="s">
        <v>56</v>
      </c>
      <c r="R3118">
        <f>tblDailySchedule[[#This Row],[Capacity Approx]]*'[1]Load Factor Sheet June Acft  '!$B$5</f>
        <v>187.86727272727273</v>
      </c>
      <c r="S3118">
        <f>tblDailySchedule[[#This Row],[Capacity Approx]]*'[1]Load Factor Sheet June Acft  '!$D$5</f>
        <v>203.4218181818182</v>
      </c>
      <c r="T3118" s="22">
        <f>tblDailySchedule[[#This Row],[STD]]</f>
        <v>0.62847222222222221</v>
      </c>
    </row>
    <row r="3119" spans="1:20" hidden="1" x14ac:dyDescent="0.35">
      <c r="A3119" s="11">
        <v>46222</v>
      </c>
      <c r="B3119" s="3">
        <v>7</v>
      </c>
      <c r="C3119" t="s">
        <v>17</v>
      </c>
      <c r="D3119" t="s">
        <v>18</v>
      </c>
      <c r="E3119" s="3">
        <v>16</v>
      </c>
      <c r="F3119" t="s">
        <v>19</v>
      </c>
      <c r="G3119" t="s">
        <v>67</v>
      </c>
      <c r="H3119" t="s">
        <v>31</v>
      </c>
      <c r="I3119" s="12">
        <v>0.65625</v>
      </c>
      <c r="J3119" t="s">
        <v>68</v>
      </c>
      <c r="K3119" t="s">
        <v>31</v>
      </c>
      <c r="L3119" s="12">
        <v>0.68402777777777779</v>
      </c>
      <c r="M3119" t="s">
        <v>63</v>
      </c>
      <c r="N3119" s="3">
        <v>232</v>
      </c>
      <c r="O3119" t="s">
        <v>24</v>
      </c>
      <c r="P3119" t="s">
        <v>56</v>
      </c>
      <c r="R3119">
        <f>tblDailySchedule[[#This Row],[Capacity Approx]]*'[1]Load Factor Sheet June Acft  '!$B$5</f>
        <v>187.86727272727273</v>
      </c>
      <c r="S3119">
        <f>tblDailySchedule[[#This Row],[Capacity Approx]]*'[1]Load Factor Sheet June Acft  '!$D$5</f>
        <v>203.4218181818182</v>
      </c>
      <c r="T3119" s="22">
        <f>tblDailySchedule[[#This Row],[STD]]</f>
        <v>0.68402777777777779</v>
      </c>
    </row>
    <row r="3120" spans="1:20" hidden="1" x14ac:dyDescent="0.35">
      <c r="A3120" s="11">
        <v>46222</v>
      </c>
      <c r="B3120" s="3">
        <v>7</v>
      </c>
      <c r="C3120" t="s">
        <v>17</v>
      </c>
      <c r="D3120" t="s">
        <v>18</v>
      </c>
      <c r="E3120" s="3">
        <v>17</v>
      </c>
      <c r="F3120" t="s">
        <v>19</v>
      </c>
      <c r="G3120" t="s">
        <v>69</v>
      </c>
      <c r="H3120" t="s">
        <v>31</v>
      </c>
      <c r="I3120" s="12">
        <v>0.66319444444444442</v>
      </c>
      <c r="J3120" t="s">
        <v>70</v>
      </c>
      <c r="K3120" t="s">
        <v>31</v>
      </c>
      <c r="L3120" s="12">
        <v>0.69097222222222221</v>
      </c>
      <c r="M3120" t="s">
        <v>33</v>
      </c>
      <c r="N3120" s="3">
        <v>189</v>
      </c>
      <c r="O3120" t="s">
        <v>24</v>
      </c>
      <c r="P3120" t="s">
        <v>56</v>
      </c>
      <c r="R3120">
        <f>tblDailySchedule[[#This Row],[Capacity Approx]]*'[1]Load Factor Sheet June Acft  '!$B$5</f>
        <v>153.04704545454547</v>
      </c>
      <c r="S3120">
        <f>tblDailySchedule[[#This Row],[Capacity Approx]]*'[1]Load Factor Sheet June Acft  '!$D$5</f>
        <v>165.71863636363636</v>
      </c>
      <c r="T3120" s="22">
        <f>tblDailySchedule[[#This Row],[STD]]</f>
        <v>0.69097222222222221</v>
      </c>
    </row>
    <row r="3121" spans="1:20" hidden="1" x14ac:dyDescent="0.35">
      <c r="A3121" s="11">
        <v>46222</v>
      </c>
      <c r="B3121" s="3">
        <v>7</v>
      </c>
      <c r="C3121" t="s">
        <v>17</v>
      </c>
      <c r="D3121" t="s">
        <v>18</v>
      </c>
      <c r="E3121" s="3">
        <v>18</v>
      </c>
      <c r="F3121" t="s">
        <v>19</v>
      </c>
      <c r="G3121" t="s">
        <v>71</v>
      </c>
      <c r="H3121" t="s">
        <v>21</v>
      </c>
      <c r="I3121" s="12">
        <v>0.67013888888888884</v>
      </c>
      <c r="J3121" t="s">
        <v>72</v>
      </c>
      <c r="K3121" t="s">
        <v>21</v>
      </c>
      <c r="L3121" s="12">
        <v>0.69791666666666663</v>
      </c>
      <c r="M3121" t="s">
        <v>63</v>
      </c>
      <c r="N3121" s="3">
        <v>232</v>
      </c>
      <c r="O3121" t="s">
        <v>24</v>
      </c>
      <c r="P3121" t="s">
        <v>56</v>
      </c>
      <c r="R3121">
        <f>tblDailySchedule[[#This Row],[Capacity Approx]]*'[1]Load Factor Sheet June Acft  '!$B$5</f>
        <v>187.86727272727273</v>
      </c>
      <c r="S3121">
        <f>tblDailySchedule[[#This Row],[Capacity Approx]]*'[1]Load Factor Sheet June Acft  '!$D$5</f>
        <v>203.4218181818182</v>
      </c>
      <c r="T3121" s="22">
        <f>tblDailySchedule[[#This Row],[STD]]</f>
        <v>0.69791666666666663</v>
      </c>
    </row>
    <row r="3122" spans="1:20" hidden="1" x14ac:dyDescent="0.35">
      <c r="A3122" s="11">
        <v>46222</v>
      </c>
      <c r="B3122" s="3">
        <v>7</v>
      </c>
      <c r="C3122" t="s">
        <v>17</v>
      </c>
      <c r="D3122" t="s">
        <v>18</v>
      </c>
      <c r="E3122" s="3">
        <v>19</v>
      </c>
      <c r="F3122" t="s">
        <v>19</v>
      </c>
      <c r="G3122" t="s">
        <v>73</v>
      </c>
      <c r="H3122" t="s">
        <v>27</v>
      </c>
      <c r="I3122" s="12">
        <v>0.74652777777777779</v>
      </c>
      <c r="J3122" t="s">
        <v>74</v>
      </c>
      <c r="K3122" t="s">
        <v>27</v>
      </c>
      <c r="L3122" s="12">
        <v>0.77430555555555558</v>
      </c>
      <c r="M3122" t="s">
        <v>63</v>
      </c>
      <c r="N3122" s="3">
        <v>232</v>
      </c>
      <c r="O3122" t="s">
        <v>24</v>
      </c>
      <c r="P3122" t="s">
        <v>56</v>
      </c>
      <c r="R3122">
        <f>tblDailySchedule[[#This Row],[Capacity Approx]]*'[1]Load Factor Sheet June Acft  '!$B$5</f>
        <v>187.86727272727273</v>
      </c>
      <c r="S3122">
        <f>tblDailySchedule[[#This Row],[Capacity Approx]]*'[1]Load Factor Sheet June Acft  '!$D$5</f>
        <v>203.4218181818182</v>
      </c>
      <c r="T3122" s="22">
        <f>tblDailySchedule[[#This Row],[STD]]</f>
        <v>0.77430555555555558</v>
      </c>
    </row>
    <row r="3123" spans="1:20" hidden="1" x14ac:dyDescent="0.35">
      <c r="A3123" s="11">
        <v>46222</v>
      </c>
      <c r="B3123" s="3">
        <v>7</v>
      </c>
      <c r="C3123" t="s">
        <v>17</v>
      </c>
      <c r="D3123" t="s">
        <v>18</v>
      </c>
      <c r="E3123" s="3">
        <v>20</v>
      </c>
      <c r="F3123" t="s">
        <v>34</v>
      </c>
      <c r="G3123" t="s">
        <v>75</v>
      </c>
      <c r="H3123" t="s">
        <v>76</v>
      </c>
      <c r="I3123" s="12">
        <v>0.76388888888888884</v>
      </c>
      <c r="J3123" t="s">
        <v>77</v>
      </c>
      <c r="K3123" t="s">
        <v>78</v>
      </c>
      <c r="L3123" s="12">
        <v>0.78472222222222221</v>
      </c>
      <c r="M3123" t="s">
        <v>51</v>
      </c>
      <c r="N3123" s="3">
        <v>78</v>
      </c>
      <c r="O3123" t="s">
        <v>24</v>
      </c>
      <c r="P3123" t="s">
        <v>79</v>
      </c>
      <c r="Q3123" s="16" t="s">
        <v>80</v>
      </c>
      <c r="R3123">
        <f>tblDailySchedule[[#This Row],[Capacity Approx]]*'[1]Load Factor Sheet June Acft  '!$B$5</f>
        <v>63.162272727272729</v>
      </c>
      <c r="S3123">
        <f>tblDailySchedule[[#This Row],[Capacity Approx]]*'[1]Load Factor Sheet June Acft  '!$D$5</f>
        <v>68.391818181818181</v>
      </c>
      <c r="T3123" s="22">
        <f>tblDailySchedule[[#This Row],[STD]]</f>
        <v>0.78472222222222221</v>
      </c>
    </row>
    <row r="3124" spans="1:20" hidden="1" x14ac:dyDescent="0.35">
      <c r="A3124" s="11">
        <v>46222</v>
      </c>
      <c r="B3124" s="3">
        <v>7</v>
      </c>
      <c r="C3124" t="s">
        <v>17</v>
      </c>
      <c r="D3124" t="s">
        <v>18</v>
      </c>
      <c r="E3124" s="3">
        <v>21</v>
      </c>
      <c r="F3124" t="s">
        <v>19</v>
      </c>
      <c r="G3124" t="s">
        <v>81</v>
      </c>
      <c r="H3124" t="s">
        <v>61</v>
      </c>
      <c r="I3124" s="12">
        <v>0.77083333333333337</v>
      </c>
      <c r="J3124" t="s">
        <v>82</v>
      </c>
      <c r="K3124" t="s">
        <v>49</v>
      </c>
      <c r="L3124" s="12">
        <v>0.79166666666666663</v>
      </c>
      <c r="M3124" t="s">
        <v>33</v>
      </c>
      <c r="N3124" s="3">
        <v>189</v>
      </c>
      <c r="O3124" t="s">
        <v>24</v>
      </c>
      <c r="P3124" t="s">
        <v>79</v>
      </c>
      <c r="R3124">
        <f>tblDailySchedule[[#This Row],[Capacity Approx]]*'[1]Load Factor Sheet June Acft  '!$B$5</f>
        <v>153.04704545454547</v>
      </c>
      <c r="S3124">
        <f>tblDailySchedule[[#This Row],[Capacity Approx]]*'[1]Load Factor Sheet June Acft  '!$D$5</f>
        <v>165.71863636363636</v>
      </c>
      <c r="T3124" s="22">
        <f>tblDailySchedule[[#This Row],[STD]]</f>
        <v>0.79166666666666663</v>
      </c>
    </row>
    <row r="3125" spans="1:20" hidden="1" x14ac:dyDescent="0.35">
      <c r="A3125" s="11">
        <v>46222</v>
      </c>
      <c r="B3125" s="3">
        <v>7</v>
      </c>
      <c r="C3125" t="s">
        <v>17</v>
      </c>
      <c r="D3125" t="s">
        <v>18</v>
      </c>
      <c r="E3125" s="3">
        <v>22</v>
      </c>
      <c r="F3125" t="s">
        <v>19</v>
      </c>
      <c r="G3125" t="s">
        <v>83</v>
      </c>
      <c r="H3125" t="s">
        <v>31</v>
      </c>
      <c r="I3125" s="12">
        <v>0.77777777777777779</v>
      </c>
      <c r="J3125" t="s">
        <v>84</v>
      </c>
      <c r="K3125" t="s">
        <v>31</v>
      </c>
      <c r="L3125" s="12">
        <v>0.80555555555555558</v>
      </c>
      <c r="M3125" t="s">
        <v>63</v>
      </c>
      <c r="N3125" s="3">
        <v>232</v>
      </c>
      <c r="O3125" t="s">
        <v>24</v>
      </c>
      <c r="P3125" t="s">
        <v>79</v>
      </c>
      <c r="R3125">
        <f>tblDailySchedule[[#This Row],[Capacity Approx]]*'[1]Load Factor Sheet June Acft  '!$B$5</f>
        <v>187.86727272727273</v>
      </c>
      <c r="S3125">
        <f>tblDailySchedule[[#This Row],[Capacity Approx]]*'[1]Load Factor Sheet June Acft  '!$D$5</f>
        <v>203.4218181818182</v>
      </c>
      <c r="T3125" s="22">
        <f>tblDailySchedule[[#This Row],[STD]]</f>
        <v>0.80555555555555558</v>
      </c>
    </row>
    <row r="3126" spans="1:20" hidden="1" x14ac:dyDescent="0.35">
      <c r="A3126" s="11">
        <v>46222</v>
      </c>
      <c r="B3126" s="3">
        <v>7</v>
      </c>
      <c r="C3126" t="s">
        <v>17</v>
      </c>
      <c r="D3126" t="s">
        <v>18</v>
      </c>
      <c r="E3126" s="3">
        <v>23</v>
      </c>
      <c r="F3126" t="s">
        <v>19</v>
      </c>
      <c r="G3126" t="s">
        <v>85</v>
      </c>
      <c r="H3126" t="s">
        <v>86</v>
      </c>
      <c r="I3126" s="12">
        <v>0.79861111111111116</v>
      </c>
      <c r="J3126" t="s">
        <v>87</v>
      </c>
      <c r="K3126" t="s">
        <v>86</v>
      </c>
      <c r="L3126" s="12">
        <v>0.82638888888888884</v>
      </c>
      <c r="M3126" t="s">
        <v>63</v>
      </c>
      <c r="N3126" s="3">
        <v>232</v>
      </c>
      <c r="O3126" t="s">
        <v>24</v>
      </c>
      <c r="P3126" t="s">
        <v>79</v>
      </c>
      <c r="R3126">
        <f>tblDailySchedule[[#This Row],[Capacity Approx]]*'[1]Load Factor Sheet June Acft  '!$B$5</f>
        <v>187.86727272727273</v>
      </c>
      <c r="S3126">
        <f>tblDailySchedule[[#This Row],[Capacity Approx]]*'[1]Load Factor Sheet June Acft  '!$D$5</f>
        <v>203.4218181818182</v>
      </c>
      <c r="T3126" s="22">
        <f>tblDailySchedule[[#This Row],[STD]]</f>
        <v>0.82638888888888884</v>
      </c>
    </row>
    <row r="3127" spans="1:20" hidden="1" x14ac:dyDescent="0.35">
      <c r="A3127" s="11">
        <v>46222</v>
      </c>
      <c r="B3127" s="3">
        <v>7</v>
      </c>
      <c r="C3127" t="s">
        <v>17</v>
      </c>
      <c r="D3127" t="s">
        <v>18</v>
      </c>
      <c r="E3127" s="3">
        <v>24</v>
      </c>
      <c r="F3127" t="s">
        <v>19</v>
      </c>
      <c r="G3127" t="s">
        <v>88</v>
      </c>
      <c r="H3127" t="s">
        <v>89</v>
      </c>
      <c r="I3127" s="12">
        <v>0.83333333333333337</v>
      </c>
      <c r="J3127" t="s">
        <v>90</v>
      </c>
      <c r="K3127" t="s">
        <v>31</v>
      </c>
      <c r="L3127" s="12">
        <v>0.86111111111111116</v>
      </c>
      <c r="M3127" t="s">
        <v>63</v>
      </c>
      <c r="N3127" s="3">
        <v>232</v>
      </c>
      <c r="O3127" t="s">
        <v>24</v>
      </c>
      <c r="P3127" t="s">
        <v>79</v>
      </c>
      <c r="R3127">
        <f>tblDailySchedule[[#This Row],[Capacity Approx]]*'[1]Load Factor Sheet June Acft  '!$B$5</f>
        <v>187.86727272727273</v>
      </c>
      <c r="S3127">
        <f>tblDailySchedule[[#This Row],[Capacity Approx]]*'[1]Load Factor Sheet June Acft  '!$D$5</f>
        <v>203.4218181818182</v>
      </c>
      <c r="T3127" s="22">
        <f>tblDailySchedule[[#This Row],[STD]]</f>
        <v>0.86111111111111116</v>
      </c>
    </row>
    <row r="3128" spans="1:20" hidden="1" x14ac:dyDescent="0.35">
      <c r="A3128" s="11">
        <v>46222</v>
      </c>
      <c r="B3128" s="3">
        <v>7</v>
      </c>
      <c r="C3128" t="s">
        <v>17</v>
      </c>
      <c r="D3128" t="s">
        <v>18</v>
      </c>
      <c r="E3128" s="3">
        <v>25</v>
      </c>
      <c r="F3128" t="s">
        <v>19</v>
      </c>
      <c r="G3128" t="s">
        <v>91</v>
      </c>
      <c r="H3128" t="s">
        <v>61</v>
      </c>
      <c r="I3128" s="12">
        <v>0.85416666666666663</v>
      </c>
      <c r="J3128" t="s">
        <v>92</v>
      </c>
      <c r="K3128" t="s">
        <v>61</v>
      </c>
      <c r="L3128" s="12">
        <v>0.88194444444444442</v>
      </c>
      <c r="M3128" t="s">
        <v>63</v>
      </c>
      <c r="N3128" s="3">
        <v>232</v>
      </c>
      <c r="O3128" t="s">
        <v>24</v>
      </c>
      <c r="P3128" t="s">
        <v>79</v>
      </c>
      <c r="R3128">
        <f>tblDailySchedule[[#This Row],[Capacity Approx]]*'[1]Load Factor Sheet June Acft  '!$B$5</f>
        <v>187.86727272727273</v>
      </c>
      <c r="S3128">
        <f>tblDailySchedule[[#This Row],[Capacity Approx]]*'[1]Load Factor Sheet June Acft  '!$D$5</f>
        <v>203.4218181818182</v>
      </c>
      <c r="T3128" s="22">
        <f>tblDailySchedule[[#This Row],[STD]]</f>
        <v>0.88194444444444442</v>
      </c>
    </row>
    <row r="3129" spans="1:20" hidden="1" x14ac:dyDescent="0.35">
      <c r="A3129" s="11">
        <v>46222</v>
      </c>
      <c r="B3129" s="3">
        <v>7</v>
      </c>
      <c r="C3129" t="s">
        <v>17</v>
      </c>
      <c r="D3129" t="s">
        <v>18</v>
      </c>
      <c r="E3129" s="3">
        <v>26</v>
      </c>
      <c r="F3129" t="s">
        <v>19</v>
      </c>
      <c r="G3129" t="s">
        <v>93</v>
      </c>
      <c r="H3129" t="s">
        <v>31</v>
      </c>
      <c r="I3129" s="12">
        <v>0.86111111111111116</v>
      </c>
      <c r="J3129" t="s">
        <v>94</v>
      </c>
      <c r="K3129" t="s">
        <v>31</v>
      </c>
      <c r="L3129" s="12">
        <v>0.88888888888888884</v>
      </c>
      <c r="M3129" t="s">
        <v>23</v>
      </c>
      <c r="N3129" s="3">
        <v>186</v>
      </c>
      <c r="O3129" t="s">
        <v>24</v>
      </c>
      <c r="P3129" t="s">
        <v>79</v>
      </c>
      <c r="R3129">
        <f>tblDailySchedule[[#This Row],[Capacity Approx]]*'[1]Load Factor Sheet June Acft  '!$B$5</f>
        <v>150.61772727272728</v>
      </c>
      <c r="S3129">
        <f>tblDailySchedule[[#This Row],[Capacity Approx]]*'[1]Load Factor Sheet June Acft  '!$D$5</f>
        <v>163.08818181818182</v>
      </c>
      <c r="T3129" s="22">
        <f>tblDailySchedule[[#This Row],[STD]]</f>
        <v>0.88888888888888884</v>
      </c>
    </row>
    <row r="3130" spans="1:20" hidden="1" x14ac:dyDescent="0.35">
      <c r="A3130" s="11">
        <v>46222</v>
      </c>
      <c r="B3130" s="3">
        <v>7</v>
      </c>
      <c r="C3130" t="s">
        <v>17</v>
      </c>
      <c r="D3130" t="s">
        <v>18</v>
      </c>
      <c r="E3130" s="3">
        <v>27</v>
      </c>
      <c r="F3130" t="s">
        <v>19</v>
      </c>
      <c r="G3130" t="s">
        <v>95</v>
      </c>
      <c r="H3130" t="s">
        <v>21</v>
      </c>
      <c r="I3130" s="12">
        <v>0.86805555555555558</v>
      </c>
      <c r="J3130" t="s">
        <v>96</v>
      </c>
      <c r="K3130" t="s">
        <v>21</v>
      </c>
      <c r="L3130" s="12">
        <v>0.89583333333333337</v>
      </c>
      <c r="M3130" t="s">
        <v>29</v>
      </c>
      <c r="N3130" s="3">
        <v>186</v>
      </c>
      <c r="O3130" t="s">
        <v>24</v>
      </c>
      <c r="P3130" t="s">
        <v>79</v>
      </c>
      <c r="R3130">
        <f>tblDailySchedule[[#This Row],[Capacity Approx]]*'[1]Load Factor Sheet June Acft  '!$B$5</f>
        <v>150.61772727272728</v>
      </c>
      <c r="S3130">
        <f>tblDailySchedule[[#This Row],[Capacity Approx]]*'[1]Load Factor Sheet June Acft  '!$D$5</f>
        <v>163.08818181818182</v>
      </c>
      <c r="T3130" s="22">
        <f>tblDailySchedule[[#This Row],[STD]]</f>
        <v>0.89583333333333337</v>
      </c>
    </row>
    <row r="3131" spans="1:20" hidden="1" x14ac:dyDescent="0.35">
      <c r="A3131" s="11">
        <v>46222</v>
      </c>
      <c r="B3131" s="3">
        <v>7</v>
      </c>
      <c r="C3131" t="s">
        <v>17</v>
      </c>
      <c r="D3131" t="s">
        <v>18</v>
      </c>
      <c r="E3131" s="3">
        <v>28</v>
      </c>
      <c r="F3131" t="s">
        <v>19</v>
      </c>
      <c r="G3131" t="s">
        <v>97</v>
      </c>
      <c r="H3131" t="s">
        <v>49</v>
      </c>
      <c r="I3131" s="12">
        <v>0.90277777777777779</v>
      </c>
      <c r="J3131" t="s">
        <v>97</v>
      </c>
      <c r="K3131" t="s">
        <v>61</v>
      </c>
      <c r="L3131" s="12">
        <v>0.92361111111111116</v>
      </c>
      <c r="M3131" t="s">
        <v>33</v>
      </c>
      <c r="N3131" s="3">
        <v>189</v>
      </c>
      <c r="O3131" t="s">
        <v>24</v>
      </c>
      <c r="P3131" t="s">
        <v>79</v>
      </c>
      <c r="R3131">
        <f>tblDailySchedule[[#This Row],[Capacity Approx]]*'[1]Load Factor Sheet June Acft  '!$B$5</f>
        <v>153.04704545454547</v>
      </c>
      <c r="S3131">
        <f>tblDailySchedule[[#This Row],[Capacity Approx]]*'[1]Load Factor Sheet June Acft  '!$D$5</f>
        <v>165.71863636363636</v>
      </c>
      <c r="T3131" s="22">
        <f>tblDailySchedule[[#This Row],[STD]]</f>
        <v>0.92361111111111116</v>
      </c>
    </row>
    <row r="3132" spans="1:20" hidden="1" x14ac:dyDescent="0.35">
      <c r="A3132" s="11">
        <v>46222</v>
      </c>
      <c r="B3132" s="3">
        <v>7</v>
      </c>
      <c r="C3132" t="s">
        <v>17</v>
      </c>
      <c r="D3132" t="s">
        <v>18</v>
      </c>
      <c r="E3132" s="3">
        <v>29</v>
      </c>
      <c r="F3132" t="s">
        <v>19</v>
      </c>
      <c r="G3132" t="s">
        <v>98</v>
      </c>
      <c r="H3132" t="s">
        <v>21</v>
      </c>
      <c r="I3132" s="12">
        <v>0.92013888888888884</v>
      </c>
      <c r="J3132" t="s">
        <v>99</v>
      </c>
      <c r="K3132" t="s">
        <v>21</v>
      </c>
      <c r="L3132" s="12">
        <v>0.94791666666666663</v>
      </c>
      <c r="M3132" t="s">
        <v>63</v>
      </c>
      <c r="N3132" s="3">
        <v>232</v>
      </c>
      <c r="O3132" t="s">
        <v>24</v>
      </c>
      <c r="P3132" t="s">
        <v>79</v>
      </c>
      <c r="R3132">
        <f>tblDailySchedule[[#This Row],[Capacity Approx]]*'[1]Load Factor Sheet June Acft  '!$B$5</f>
        <v>187.86727272727273</v>
      </c>
      <c r="S3132">
        <f>tblDailySchedule[[#This Row],[Capacity Approx]]*'[1]Load Factor Sheet June Acft  '!$D$5</f>
        <v>203.4218181818182</v>
      </c>
      <c r="T3132" s="22">
        <f>tblDailySchedule[[#This Row],[STD]]</f>
        <v>0.94791666666666663</v>
      </c>
    </row>
    <row r="3133" spans="1:20" hidden="1" x14ac:dyDescent="0.35">
      <c r="A3133" s="11">
        <v>46223</v>
      </c>
      <c r="B3133" s="3">
        <v>1</v>
      </c>
      <c r="C3133" t="s">
        <v>100</v>
      </c>
      <c r="D3133" t="s">
        <v>18</v>
      </c>
      <c r="E3133" s="3">
        <v>1</v>
      </c>
      <c r="F3133" t="s">
        <v>101</v>
      </c>
      <c r="G3133" t="s">
        <v>102</v>
      </c>
      <c r="H3133" t="s">
        <v>61</v>
      </c>
      <c r="I3133" s="12">
        <v>0.3125</v>
      </c>
      <c r="J3133" t="s">
        <v>103</v>
      </c>
      <c r="K3133" t="s">
        <v>61</v>
      </c>
      <c r="L3133" s="12">
        <v>0.33333333333333331</v>
      </c>
      <c r="M3133" t="s">
        <v>33</v>
      </c>
      <c r="N3133" s="3">
        <v>189</v>
      </c>
      <c r="O3133" t="s">
        <v>24</v>
      </c>
      <c r="P3133" t="s">
        <v>25</v>
      </c>
      <c r="R3133">
        <f>tblDailySchedule[[#This Row],[Capacity Approx]]*'[1]Load Factor Sheet June Acft  '!$B$5</f>
        <v>153.04704545454547</v>
      </c>
      <c r="S3133">
        <f>tblDailySchedule[[#This Row],[Capacity Approx]]*'[1]Load Factor Sheet June Acft  '!$D$5</f>
        <v>165.71863636363636</v>
      </c>
      <c r="T3133" s="22">
        <f>tblDailySchedule[[#This Row],[STD]]</f>
        <v>0.33333333333333331</v>
      </c>
    </row>
    <row r="3134" spans="1:20" hidden="1" x14ac:dyDescent="0.35">
      <c r="A3134" s="11">
        <v>46223</v>
      </c>
      <c r="B3134" s="3">
        <v>1</v>
      </c>
      <c r="C3134" t="s">
        <v>100</v>
      </c>
      <c r="D3134" t="s">
        <v>18</v>
      </c>
      <c r="E3134" s="3">
        <v>2</v>
      </c>
      <c r="F3134" t="s">
        <v>19</v>
      </c>
      <c r="G3134" t="s">
        <v>20</v>
      </c>
      <c r="H3134" t="s">
        <v>21</v>
      </c>
      <c r="I3134" s="12">
        <v>0.31944444444444442</v>
      </c>
      <c r="J3134" t="s">
        <v>22</v>
      </c>
      <c r="K3134" t="s">
        <v>21</v>
      </c>
      <c r="L3134" s="12">
        <v>0.34722222222222221</v>
      </c>
      <c r="M3134" t="s">
        <v>23</v>
      </c>
      <c r="N3134" s="3">
        <v>186</v>
      </c>
      <c r="O3134" t="s">
        <v>24</v>
      </c>
      <c r="P3134" t="s">
        <v>25</v>
      </c>
      <c r="R3134">
        <f>tblDailySchedule[[#This Row],[Capacity Approx]]*'[1]Load Factor Sheet June Acft  '!$B$5</f>
        <v>150.61772727272728</v>
      </c>
      <c r="S3134">
        <f>tblDailySchedule[[#This Row],[Capacity Approx]]*'[1]Load Factor Sheet June Acft  '!$D$5</f>
        <v>163.08818181818182</v>
      </c>
      <c r="T3134" s="22">
        <f>tblDailySchedule[[#This Row],[STD]]</f>
        <v>0.34722222222222221</v>
      </c>
    </row>
    <row r="3135" spans="1:20" hidden="1" x14ac:dyDescent="0.35">
      <c r="A3135" s="11">
        <v>46223</v>
      </c>
      <c r="B3135" s="3">
        <v>1</v>
      </c>
      <c r="C3135" t="s">
        <v>100</v>
      </c>
      <c r="D3135" t="s">
        <v>18</v>
      </c>
      <c r="E3135" s="3">
        <v>3</v>
      </c>
      <c r="F3135" t="s">
        <v>19</v>
      </c>
      <c r="G3135" t="s">
        <v>26</v>
      </c>
      <c r="H3135" t="s">
        <v>27</v>
      </c>
      <c r="I3135" s="12">
        <v>0.3263888888888889</v>
      </c>
      <c r="J3135" t="s">
        <v>28</v>
      </c>
      <c r="K3135" t="s">
        <v>27</v>
      </c>
      <c r="L3135" s="12">
        <v>0.35416666666666669</v>
      </c>
      <c r="M3135" t="s">
        <v>29</v>
      </c>
      <c r="N3135" s="3">
        <v>186</v>
      </c>
      <c r="O3135" t="s">
        <v>24</v>
      </c>
      <c r="P3135" t="s">
        <v>25</v>
      </c>
      <c r="R3135">
        <f>tblDailySchedule[[#This Row],[Capacity Approx]]*'[1]Load Factor Sheet June Acft  '!$B$5</f>
        <v>150.61772727272728</v>
      </c>
      <c r="S3135">
        <f>tblDailySchedule[[#This Row],[Capacity Approx]]*'[1]Load Factor Sheet June Acft  '!$D$5</f>
        <v>163.08818181818182</v>
      </c>
      <c r="T3135" s="22">
        <f>tblDailySchedule[[#This Row],[STD]]</f>
        <v>0.35416666666666669</v>
      </c>
    </row>
    <row r="3136" spans="1:20" hidden="1" x14ac:dyDescent="0.35">
      <c r="A3136" s="11">
        <v>46223</v>
      </c>
      <c r="B3136" s="3">
        <v>1</v>
      </c>
      <c r="C3136" t="s">
        <v>100</v>
      </c>
      <c r="D3136" t="s">
        <v>18</v>
      </c>
      <c r="E3136" s="3">
        <v>4</v>
      </c>
      <c r="F3136" t="s">
        <v>19</v>
      </c>
      <c r="G3136" t="s">
        <v>30</v>
      </c>
      <c r="H3136" t="s">
        <v>31</v>
      </c>
      <c r="I3136" s="12">
        <v>0.34722222222222221</v>
      </c>
      <c r="J3136" t="s">
        <v>32</v>
      </c>
      <c r="K3136" t="s">
        <v>31</v>
      </c>
      <c r="L3136" s="12">
        <v>0.36805555555555558</v>
      </c>
      <c r="M3136" t="s">
        <v>33</v>
      </c>
      <c r="N3136" s="3">
        <v>189</v>
      </c>
      <c r="O3136" t="s">
        <v>24</v>
      </c>
      <c r="P3136" t="s">
        <v>25</v>
      </c>
      <c r="R3136">
        <f>tblDailySchedule[[#This Row],[Capacity Approx]]*'[1]Load Factor Sheet June Acft  '!$B$5</f>
        <v>153.04704545454547</v>
      </c>
      <c r="S3136">
        <f>tblDailySchedule[[#This Row],[Capacity Approx]]*'[1]Load Factor Sheet June Acft  '!$D$5</f>
        <v>165.71863636363636</v>
      </c>
      <c r="T3136" s="22">
        <f>tblDailySchedule[[#This Row],[STD]]</f>
        <v>0.36805555555555558</v>
      </c>
    </row>
    <row r="3137" spans="1:20" hidden="1" x14ac:dyDescent="0.35">
      <c r="A3137" s="13">
        <v>46223</v>
      </c>
      <c r="B3137" s="7">
        <v>1</v>
      </c>
      <c r="C3137" s="14" t="s">
        <v>100</v>
      </c>
      <c r="D3137" s="14" t="s">
        <v>18</v>
      </c>
      <c r="E3137" s="7">
        <v>6</v>
      </c>
      <c r="F3137" s="14" t="s">
        <v>34</v>
      </c>
      <c r="G3137" s="14" t="s">
        <v>35</v>
      </c>
      <c r="H3137" s="14" t="s">
        <v>36</v>
      </c>
      <c r="I3137" s="15">
        <v>0.34722222222222221</v>
      </c>
      <c r="J3137" s="14" t="s">
        <v>37</v>
      </c>
      <c r="K3137" s="14" t="s">
        <v>36</v>
      </c>
      <c r="L3137" s="15">
        <v>0.40972222222222221</v>
      </c>
      <c r="M3137" s="14" t="s">
        <v>38</v>
      </c>
      <c r="N3137" s="7">
        <v>186</v>
      </c>
      <c r="O3137" s="14" t="s">
        <v>39</v>
      </c>
      <c r="P3137" s="14" t="s">
        <v>25</v>
      </c>
      <c r="Q3137" s="14" t="s">
        <v>39</v>
      </c>
      <c r="R3137">
        <f>tblDailySchedule[[#This Row],[Capacity Approx]]*'[1]Load Factor Sheet June Acft  '!$B$5</f>
        <v>150.61772727272728</v>
      </c>
      <c r="S3137">
        <f>tblDailySchedule[[#This Row],[Capacity Approx]]*'[1]Load Factor Sheet June Acft  '!$D$5</f>
        <v>163.08818181818182</v>
      </c>
      <c r="T3137" s="22">
        <f>tblDailySchedule[[#This Row],[STD]]</f>
        <v>0.40972222222222221</v>
      </c>
    </row>
    <row r="3138" spans="1:20" hidden="1" x14ac:dyDescent="0.35">
      <c r="A3138" s="11">
        <v>46223</v>
      </c>
      <c r="B3138" s="3">
        <v>1</v>
      </c>
      <c r="C3138" t="s">
        <v>100</v>
      </c>
      <c r="D3138" t="s">
        <v>18</v>
      </c>
      <c r="E3138" s="3">
        <v>5</v>
      </c>
      <c r="F3138" t="s">
        <v>19</v>
      </c>
      <c r="G3138" t="s">
        <v>40</v>
      </c>
      <c r="H3138" t="s">
        <v>31</v>
      </c>
      <c r="I3138" s="12">
        <v>0.35069444444444442</v>
      </c>
      <c r="J3138" t="s">
        <v>41</v>
      </c>
      <c r="K3138" t="s">
        <v>31</v>
      </c>
      <c r="L3138" s="12">
        <v>0.37152777777777779</v>
      </c>
      <c r="M3138" t="s">
        <v>23</v>
      </c>
      <c r="N3138" s="3">
        <v>186</v>
      </c>
      <c r="O3138" t="s">
        <v>24</v>
      </c>
      <c r="P3138" t="s">
        <v>25</v>
      </c>
      <c r="R3138">
        <f>tblDailySchedule[[#This Row],[Capacity Approx]]*'[1]Load Factor Sheet June Acft  '!$B$5</f>
        <v>150.61772727272728</v>
      </c>
      <c r="S3138">
        <f>tblDailySchedule[[#This Row],[Capacity Approx]]*'[1]Load Factor Sheet June Acft  '!$D$5</f>
        <v>163.08818181818182</v>
      </c>
      <c r="T3138" s="22">
        <f>tblDailySchedule[[#This Row],[STD]]</f>
        <v>0.37152777777777779</v>
      </c>
    </row>
    <row r="3139" spans="1:20" hidden="1" x14ac:dyDescent="0.35">
      <c r="A3139" s="11">
        <v>46223</v>
      </c>
      <c r="B3139" s="3">
        <v>1</v>
      </c>
      <c r="C3139" t="s">
        <v>100</v>
      </c>
      <c r="D3139" t="s">
        <v>18</v>
      </c>
      <c r="E3139" s="3">
        <v>7</v>
      </c>
      <c r="F3139" t="s">
        <v>19</v>
      </c>
      <c r="G3139" t="s">
        <v>42</v>
      </c>
      <c r="H3139" t="s">
        <v>43</v>
      </c>
      <c r="I3139" s="12">
        <v>0.3923611111111111</v>
      </c>
      <c r="J3139" t="s">
        <v>44</v>
      </c>
      <c r="K3139" t="s">
        <v>43</v>
      </c>
      <c r="L3139" s="12">
        <v>0.40277777777777779</v>
      </c>
      <c r="M3139" t="s">
        <v>45</v>
      </c>
      <c r="N3139" s="3">
        <v>9</v>
      </c>
      <c r="O3139" t="s">
        <v>24</v>
      </c>
      <c r="P3139" t="s">
        <v>25</v>
      </c>
      <c r="R3139">
        <f>tblDailySchedule[[#This Row],[Capacity Approx]]*'[1]Load Factor Sheet June Acft  '!$B$5</f>
        <v>7.2879545454545456</v>
      </c>
      <c r="S3139">
        <f>tblDailySchedule[[#This Row],[Capacity Approx]]*'[1]Load Factor Sheet June Acft  '!$D$5</f>
        <v>7.8913636363636366</v>
      </c>
      <c r="T3139" s="22">
        <f>tblDailySchedule[[#This Row],[STD]]</f>
        <v>0.40277777777777779</v>
      </c>
    </row>
    <row r="3140" spans="1:20" hidden="1" x14ac:dyDescent="0.35">
      <c r="A3140" s="11">
        <v>46223</v>
      </c>
      <c r="B3140" s="3">
        <v>1</v>
      </c>
      <c r="C3140" t="s">
        <v>100</v>
      </c>
      <c r="D3140" t="s">
        <v>18</v>
      </c>
      <c r="E3140" s="3">
        <v>8</v>
      </c>
      <c r="F3140" t="s">
        <v>19</v>
      </c>
      <c r="G3140" t="s">
        <v>46</v>
      </c>
      <c r="H3140" t="s">
        <v>31</v>
      </c>
      <c r="I3140" s="12">
        <v>0.4201388888888889</v>
      </c>
      <c r="J3140" t="s">
        <v>47</v>
      </c>
      <c r="K3140" t="s">
        <v>31</v>
      </c>
      <c r="L3140" s="12">
        <v>0.44444444444444442</v>
      </c>
      <c r="M3140" t="s">
        <v>29</v>
      </c>
      <c r="N3140" s="3">
        <v>186</v>
      </c>
      <c r="O3140" t="s">
        <v>24</v>
      </c>
      <c r="P3140" t="s">
        <v>25</v>
      </c>
      <c r="R3140">
        <f>tblDailySchedule[[#This Row],[Capacity Approx]]*'[1]Load Factor Sheet June Acft  '!$B$5</f>
        <v>150.61772727272728</v>
      </c>
      <c r="S3140">
        <f>tblDailySchedule[[#This Row],[Capacity Approx]]*'[1]Load Factor Sheet June Acft  '!$D$5</f>
        <v>163.08818181818182</v>
      </c>
      <c r="T3140" s="22">
        <f>tblDailySchedule[[#This Row],[STD]]</f>
        <v>0.44444444444444442</v>
      </c>
    </row>
    <row r="3141" spans="1:20" hidden="1" x14ac:dyDescent="0.35">
      <c r="A3141" s="11">
        <v>46223</v>
      </c>
      <c r="B3141" s="3">
        <v>1</v>
      </c>
      <c r="C3141" t="s">
        <v>100</v>
      </c>
      <c r="D3141" t="s">
        <v>18</v>
      </c>
      <c r="E3141" s="3">
        <v>9</v>
      </c>
      <c r="F3141" t="s">
        <v>19</v>
      </c>
      <c r="G3141" t="s">
        <v>48</v>
      </c>
      <c r="H3141" t="s">
        <v>49</v>
      </c>
      <c r="I3141" s="12">
        <v>0.4375</v>
      </c>
      <c r="J3141" t="s">
        <v>50</v>
      </c>
      <c r="K3141" t="s">
        <v>49</v>
      </c>
      <c r="L3141" s="12">
        <v>0.45833333333333331</v>
      </c>
      <c r="M3141" t="s">
        <v>51</v>
      </c>
      <c r="N3141" s="3">
        <v>78</v>
      </c>
      <c r="O3141" t="s">
        <v>24</v>
      </c>
      <c r="P3141" t="s">
        <v>25</v>
      </c>
      <c r="R3141">
        <f>tblDailySchedule[[#This Row],[Capacity Approx]]*'[1]Load Factor Sheet June Acft  '!$B$5</f>
        <v>63.162272727272729</v>
      </c>
      <c r="S3141">
        <f>tblDailySchedule[[#This Row],[Capacity Approx]]*'[1]Load Factor Sheet June Acft  '!$D$5</f>
        <v>68.391818181818181</v>
      </c>
      <c r="T3141" s="22">
        <f>tblDailySchedule[[#This Row],[STD]]</f>
        <v>0.45833333333333331</v>
      </c>
    </row>
    <row r="3142" spans="1:20" hidden="1" x14ac:dyDescent="0.35">
      <c r="A3142" s="11">
        <v>46223</v>
      </c>
      <c r="B3142" s="3">
        <v>1</v>
      </c>
      <c r="C3142" t="s">
        <v>100</v>
      </c>
      <c r="D3142" t="s">
        <v>18</v>
      </c>
      <c r="E3142" s="3">
        <v>10</v>
      </c>
      <c r="F3142" t="s">
        <v>19</v>
      </c>
      <c r="G3142" t="s">
        <v>52</v>
      </c>
      <c r="H3142" t="s">
        <v>27</v>
      </c>
      <c r="I3142" s="12">
        <v>0.4826388888888889</v>
      </c>
      <c r="J3142" t="s">
        <v>53</v>
      </c>
      <c r="K3142" t="s">
        <v>27</v>
      </c>
      <c r="L3142" s="12">
        <v>0.51041666666666663</v>
      </c>
      <c r="M3142" t="s">
        <v>23</v>
      </c>
      <c r="N3142" s="3">
        <v>186</v>
      </c>
      <c r="O3142" t="s">
        <v>24</v>
      </c>
      <c r="P3142" t="s">
        <v>25</v>
      </c>
      <c r="R3142">
        <f>tblDailySchedule[[#This Row],[Capacity Approx]]*'[1]Load Factor Sheet June Acft  '!$B$5</f>
        <v>150.61772727272728</v>
      </c>
      <c r="S3142">
        <f>tblDailySchedule[[#This Row],[Capacity Approx]]*'[1]Load Factor Sheet June Acft  '!$D$5</f>
        <v>163.08818181818182</v>
      </c>
      <c r="T3142" s="22">
        <f>tblDailySchedule[[#This Row],[STD]]</f>
        <v>0.51041666666666663</v>
      </c>
    </row>
    <row r="3143" spans="1:20" hidden="1" x14ac:dyDescent="0.35">
      <c r="A3143" s="11">
        <v>46223</v>
      </c>
      <c r="B3143" s="3">
        <v>1</v>
      </c>
      <c r="C3143" t="s">
        <v>100</v>
      </c>
      <c r="D3143" t="s">
        <v>18</v>
      </c>
      <c r="E3143" s="3">
        <v>11</v>
      </c>
      <c r="F3143" t="s">
        <v>19</v>
      </c>
      <c r="G3143" t="s">
        <v>54</v>
      </c>
      <c r="H3143" t="s">
        <v>31</v>
      </c>
      <c r="I3143" s="12">
        <v>0.51388888888888884</v>
      </c>
      <c r="J3143" t="s">
        <v>55</v>
      </c>
      <c r="K3143" t="s">
        <v>31</v>
      </c>
      <c r="L3143" s="12">
        <v>0.54166666666666663</v>
      </c>
      <c r="M3143" t="s">
        <v>23</v>
      </c>
      <c r="N3143" s="3">
        <v>186</v>
      </c>
      <c r="O3143" t="s">
        <v>24</v>
      </c>
      <c r="P3143" t="s">
        <v>56</v>
      </c>
      <c r="R3143">
        <f>tblDailySchedule[[#This Row],[Capacity Approx]]*'[1]Load Factor Sheet June Acft  '!$B$5</f>
        <v>150.61772727272728</v>
      </c>
      <c r="S3143">
        <f>tblDailySchedule[[#This Row],[Capacity Approx]]*'[1]Load Factor Sheet June Acft  '!$D$5</f>
        <v>163.08818181818182</v>
      </c>
      <c r="T3143" s="22">
        <f>tblDailySchedule[[#This Row],[STD]]</f>
        <v>0.54166666666666663</v>
      </c>
    </row>
    <row r="3144" spans="1:20" hidden="1" x14ac:dyDescent="0.35">
      <c r="A3144" s="11">
        <v>46223</v>
      </c>
      <c r="B3144" s="3">
        <v>1</v>
      </c>
      <c r="C3144" t="s">
        <v>100</v>
      </c>
      <c r="D3144" t="s">
        <v>18</v>
      </c>
      <c r="E3144" s="3">
        <v>13</v>
      </c>
      <c r="F3144" t="s">
        <v>19</v>
      </c>
      <c r="G3144" t="s">
        <v>57</v>
      </c>
      <c r="H3144" t="s">
        <v>58</v>
      </c>
      <c r="I3144" s="12">
        <v>0.55902777777777779</v>
      </c>
      <c r="J3144" t="s">
        <v>59</v>
      </c>
      <c r="K3144" t="s">
        <v>58</v>
      </c>
      <c r="L3144" s="12">
        <v>0.57638888888888884</v>
      </c>
      <c r="M3144" t="s">
        <v>51</v>
      </c>
      <c r="N3144" s="3">
        <v>78</v>
      </c>
      <c r="O3144" t="s">
        <v>24</v>
      </c>
      <c r="P3144" t="s">
        <v>56</v>
      </c>
      <c r="R3144">
        <f>tblDailySchedule[[#This Row],[Capacity Approx]]*'[1]Load Factor Sheet June Acft  '!$B$5</f>
        <v>63.162272727272729</v>
      </c>
      <c r="S3144">
        <f>tblDailySchedule[[#This Row],[Capacity Approx]]*'[1]Load Factor Sheet June Acft  '!$D$5</f>
        <v>68.391818181818181</v>
      </c>
      <c r="T3144" s="22">
        <f>tblDailySchedule[[#This Row],[STD]]</f>
        <v>0.57638888888888884</v>
      </c>
    </row>
    <row r="3145" spans="1:20" hidden="1" x14ac:dyDescent="0.35">
      <c r="A3145" s="11">
        <v>46223</v>
      </c>
      <c r="B3145" s="3">
        <v>1</v>
      </c>
      <c r="C3145" t="s">
        <v>100</v>
      </c>
      <c r="D3145" t="s">
        <v>18</v>
      </c>
      <c r="E3145" s="3">
        <v>14</v>
      </c>
      <c r="F3145" t="s">
        <v>19</v>
      </c>
      <c r="G3145" t="s">
        <v>60</v>
      </c>
      <c r="H3145" t="s">
        <v>61</v>
      </c>
      <c r="I3145" s="12">
        <v>0.59027777777777779</v>
      </c>
      <c r="J3145" t="s">
        <v>62</v>
      </c>
      <c r="K3145" t="s">
        <v>61</v>
      </c>
      <c r="L3145" s="12">
        <v>0.62152777777777779</v>
      </c>
      <c r="M3145" t="s">
        <v>63</v>
      </c>
      <c r="N3145" s="3">
        <v>232</v>
      </c>
      <c r="O3145" t="s">
        <v>24</v>
      </c>
      <c r="P3145" t="s">
        <v>56</v>
      </c>
      <c r="R3145">
        <f>tblDailySchedule[[#This Row],[Capacity Approx]]*'[1]Load Factor Sheet June Acft  '!$B$5</f>
        <v>187.86727272727273</v>
      </c>
      <c r="S3145">
        <f>tblDailySchedule[[#This Row],[Capacity Approx]]*'[1]Load Factor Sheet June Acft  '!$D$5</f>
        <v>203.4218181818182</v>
      </c>
      <c r="T3145" s="22">
        <f>tblDailySchedule[[#This Row],[STD]]</f>
        <v>0.62152777777777779</v>
      </c>
    </row>
    <row r="3146" spans="1:20" hidden="1" x14ac:dyDescent="0.35">
      <c r="A3146" s="11">
        <v>46223</v>
      </c>
      <c r="B3146" s="3">
        <v>1</v>
      </c>
      <c r="C3146" t="s">
        <v>100</v>
      </c>
      <c r="D3146" t="s">
        <v>18</v>
      </c>
      <c r="E3146" s="3">
        <v>15</v>
      </c>
      <c r="F3146" t="s">
        <v>19</v>
      </c>
      <c r="G3146" t="s">
        <v>64</v>
      </c>
      <c r="H3146" t="s">
        <v>31</v>
      </c>
      <c r="I3146" s="12">
        <v>0.60069444444444442</v>
      </c>
      <c r="J3146" t="s">
        <v>65</v>
      </c>
      <c r="K3146" t="s">
        <v>66</v>
      </c>
      <c r="L3146" s="12">
        <v>0.62847222222222221</v>
      </c>
      <c r="M3146" t="s">
        <v>63</v>
      </c>
      <c r="N3146" s="3">
        <v>232</v>
      </c>
      <c r="O3146" t="s">
        <v>24</v>
      </c>
      <c r="P3146" t="s">
        <v>56</v>
      </c>
      <c r="R3146">
        <f>tblDailySchedule[[#This Row],[Capacity Approx]]*'[1]Load Factor Sheet June Acft  '!$B$5</f>
        <v>187.86727272727273</v>
      </c>
      <c r="S3146">
        <f>tblDailySchedule[[#This Row],[Capacity Approx]]*'[1]Load Factor Sheet June Acft  '!$D$5</f>
        <v>203.4218181818182</v>
      </c>
      <c r="T3146" s="22">
        <f>tblDailySchedule[[#This Row],[STD]]</f>
        <v>0.62847222222222221</v>
      </c>
    </row>
    <row r="3147" spans="1:20" hidden="1" x14ac:dyDescent="0.35">
      <c r="A3147" s="11">
        <v>46223</v>
      </c>
      <c r="B3147" s="3">
        <v>1</v>
      </c>
      <c r="C3147" t="s">
        <v>100</v>
      </c>
      <c r="D3147" t="s">
        <v>18</v>
      </c>
      <c r="E3147" s="3">
        <v>16</v>
      </c>
      <c r="F3147" t="s">
        <v>19</v>
      </c>
      <c r="G3147" t="s">
        <v>67</v>
      </c>
      <c r="H3147" t="s">
        <v>31</v>
      </c>
      <c r="I3147" s="12">
        <v>0.65625</v>
      </c>
      <c r="J3147" t="s">
        <v>68</v>
      </c>
      <c r="K3147" t="s">
        <v>31</v>
      </c>
      <c r="L3147" s="12">
        <v>0.68402777777777779</v>
      </c>
      <c r="M3147" t="s">
        <v>63</v>
      </c>
      <c r="N3147" s="3">
        <v>232</v>
      </c>
      <c r="O3147" t="s">
        <v>24</v>
      </c>
      <c r="P3147" t="s">
        <v>56</v>
      </c>
      <c r="R3147">
        <f>tblDailySchedule[[#This Row],[Capacity Approx]]*'[1]Load Factor Sheet June Acft  '!$B$5</f>
        <v>187.86727272727273</v>
      </c>
      <c r="S3147">
        <f>tblDailySchedule[[#This Row],[Capacity Approx]]*'[1]Load Factor Sheet June Acft  '!$D$5</f>
        <v>203.4218181818182</v>
      </c>
      <c r="T3147" s="22">
        <f>tblDailySchedule[[#This Row],[STD]]</f>
        <v>0.68402777777777779</v>
      </c>
    </row>
    <row r="3148" spans="1:20" hidden="1" x14ac:dyDescent="0.35">
      <c r="A3148" s="11">
        <v>46223</v>
      </c>
      <c r="B3148" s="3">
        <v>1</v>
      </c>
      <c r="C3148" t="s">
        <v>100</v>
      </c>
      <c r="D3148" t="s">
        <v>18</v>
      </c>
      <c r="E3148" s="3">
        <v>17</v>
      </c>
      <c r="F3148" t="s">
        <v>19</v>
      </c>
      <c r="G3148" t="s">
        <v>69</v>
      </c>
      <c r="H3148" t="s">
        <v>31</v>
      </c>
      <c r="I3148" s="12">
        <v>0.66319444444444442</v>
      </c>
      <c r="J3148" t="s">
        <v>70</v>
      </c>
      <c r="K3148" t="s">
        <v>31</v>
      </c>
      <c r="L3148" s="12">
        <v>0.69097222222222221</v>
      </c>
      <c r="M3148" t="s">
        <v>33</v>
      </c>
      <c r="N3148" s="3">
        <v>189</v>
      </c>
      <c r="O3148" t="s">
        <v>24</v>
      </c>
      <c r="P3148" t="s">
        <v>56</v>
      </c>
      <c r="R3148">
        <f>tblDailySchedule[[#This Row],[Capacity Approx]]*'[1]Load Factor Sheet June Acft  '!$B$5</f>
        <v>153.04704545454547</v>
      </c>
      <c r="S3148">
        <f>tblDailySchedule[[#This Row],[Capacity Approx]]*'[1]Load Factor Sheet June Acft  '!$D$5</f>
        <v>165.71863636363636</v>
      </c>
      <c r="T3148" s="22">
        <f>tblDailySchedule[[#This Row],[STD]]</f>
        <v>0.69097222222222221</v>
      </c>
    </row>
    <row r="3149" spans="1:20" hidden="1" x14ac:dyDescent="0.35">
      <c r="A3149" s="11">
        <v>46223</v>
      </c>
      <c r="B3149" s="3">
        <v>1</v>
      </c>
      <c r="C3149" t="s">
        <v>100</v>
      </c>
      <c r="D3149" t="s">
        <v>18</v>
      </c>
      <c r="E3149" s="3">
        <v>18</v>
      </c>
      <c r="F3149" t="s">
        <v>19</v>
      </c>
      <c r="G3149" t="s">
        <v>71</v>
      </c>
      <c r="H3149" t="s">
        <v>21</v>
      </c>
      <c r="I3149" s="12">
        <v>0.67013888888888884</v>
      </c>
      <c r="J3149" t="s">
        <v>72</v>
      </c>
      <c r="K3149" t="s">
        <v>21</v>
      </c>
      <c r="L3149" s="12">
        <v>0.69791666666666663</v>
      </c>
      <c r="M3149" t="s">
        <v>63</v>
      </c>
      <c r="N3149" s="3">
        <v>232</v>
      </c>
      <c r="O3149" t="s">
        <v>24</v>
      </c>
      <c r="P3149" t="s">
        <v>56</v>
      </c>
      <c r="R3149">
        <f>tblDailySchedule[[#This Row],[Capacity Approx]]*'[1]Load Factor Sheet June Acft  '!$B$5</f>
        <v>187.86727272727273</v>
      </c>
      <c r="S3149">
        <f>tblDailySchedule[[#This Row],[Capacity Approx]]*'[1]Load Factor Sheet June Acft  '!$D$5</f>
        <v>203.4218181818182</v>
      </c>
      <c r="T3149" s="22">
        <f>tblDailySchedule[[#This Row],[STD]]</f>
        <v>0.69791666666666663</v>
      </c>
    </row>
    <row r="3150" spans="1:20" hidden="1" x14ac:dyDescent="0.35">
      <c r="A3150" s="11">
        <v>46223</v>
      </c>
      <c r="B3150" s="3">
        <v>1</v>
      </c>
      <c r="C3150" t="s">
        <v>100</v>
      </c>
      <c r="D3150" t="s">
        <v>18</v>
      </c>
      <c r="E3150" s="3">
        <v>19</v>
      </c>
      <c r="F3150" t="s">
        <v>19</v>
      </c>
      <c r="G3150" t="s">
        <v>73</v>
      </c>
      <c r="H3150" t="s">
        <v>27</v>
      </c>
      <c r="I3150" s="12">
        <v>0.74652777777777779</v>
      </c>
      <c r="J3150" t="s">
        <v>74</v>
      </c>
      <c r="K3150" t="s">
        <v>27</v>
      </c>
      <c r="L3150" s="12">
        <v>0.77430555555555558</v>
      </c>
      <c r="M3150" t="s">
        <v>63</v>
      </c>
      <c r="N3150" s="3">
        <v>232</v>
      </c>
      <c r="O3150" t="s">
        <v>24</v>
      </c>
      <c r="P3150" t="s">
        <v>56</v>
      </c>
      <c r="R3150">
        <f>tblDailySchedule[[#This Row],[Capacity Approx]]*'[1]Load Factor Sheet June Acft  '!$B$5</f>
        <v>187.86727272727273</v>
      </c>
      <c r="S3150">
        <f>tblDailySchedule[[#This Row],[Capacity Approx]]*'[1]Load Factor Sheet June Acft  '!$D$5</f>
        <v>203.4218181818182</v>
      </c>
      <c r="T3150" s="22">
        <f>tblDailySchedule[[#This Row],[STD]]</f>
        <v>0.77430555555555558</v>
      </c>
    </row>
    <row r="3151" spans="1:20" hidden="1" x14ac:dyDescent="0.35">
      <c r="A3151" s="11">
        <v>46223</v>
      </c>
      <c r="B3151" s="3">
        <v>1</v>
      </c>
      <c r="C3151" t="s">
        <v>100</v>
      </c>
      <c r="D3151" t="s">
        <v>18</v>
      </c>
      <c r="E3151" s="3">
        <v>20</v>
      </c>
      <c r="F3151" t="s">
        <v>34</v>
      </c>
      <c r="G3151" t="s">
        <v>75</v>
      </c>
      <c r="H3151" t="s">
        <v>76</v>
      </c>
      <c r="I3151" s="12">
        <v>0.76388888888888884</v>
      </c>
      <c r="J3151" t="s">
        <v>77</v>
      </c>
      <c r="K3151" t="s">
        <v>78</v>
      </c>
      <c r="L3151" s="12">
        <v>0.78472222222222221</v>
      </c>
      <c r="M3151" t="s">
        <v>51</v>
      </c>
      <c r="N3151" s="3">
        <v>78</v>
      </c>
      <c r="O3151" t="s">
        <v>24</v>
      </c>
      <c r="P3151" t="s">
        <v>79</v>
      </c>
      <c r="Q3151" s="16" t="s">
        <v>80</v>
      </c>
      <c r="R3151">
        <f>tblDailySchedule[[#This Row],[Capacity Approx]]*'[1]Load Factor Sheet June Acft  '!$B$5</f>
        <v>63.162272727272729</v>
      </c>
      <c r="S3151">
        <f>tblDailySchedule[[#This Row],[Capacity Approx]]*'[1]Load Factor Sheet June Acft  '!$D$5</f>
        <v>68.391818181818181</v>
      </c>
      <c r="T3151" s="22">
        <f>tblDailySchedule[[#This Row],[STD]]</f>
        <v>0.78472222222222221</v>
      </c>
    </row>
    <row r="3152" spans="1:20" hidden="1" x14ac:dyDescent="0.35">
      <c r="A3152" s="11">
        <v>46223</v>
      </c>
      <c r="B3152" s="3">
        <v>1</v>
      </c>
      <c r="C3152" t="s">
        <v>100</v>
      </c>
      <c r="D3152" t="s">
        <v>18</v>
      </c>
      <c r="E3152" s="3">
        <v>21</v>
      </c>
      <c r="F3152" t="s">
        <v>19</v>
      </c>
      <c r="G3152" t="s">
        <v>81</v>
      </c>
      <c r="H3152" t="s">
        <v>61</v>
      </c>
      <c r="I3152" s="12">
        <v>0.77083333333333337</v>
      </c>
      <c r="J3152" t="s">
        <v>82</v>
      </c>
      <c r="K3152" t="s">
        <v>49</v>
      </c>
      <c r="L3152" s="12">
        <v>0.79166666666666663</v>
      </c>
      <c r="M3152" t="s">
        <v>33</v>
      </c>
      <c r="N3152" s="3">
        <v>189</v>
      </c>
      <c r="O3152" t="s">
        <v>24</v>
      </c>
      <c r="P3152" t="s">
        <v>79</v>
      </c>
      <c r="R3152">
        <f>tblDailySchedule[[#This Row],[Capacity Approx]]*'[1]Load Factor Sheet June Acft  '!$B$5</f>
        <v>153.04704545454547</v>
      </c>
      <c r="S3152">
        <f>tblDailySchedule[[#This Row],[Capacity Approx]]*'[1]Load Factor Sheet June Acft  '!$D$5</f>
        <v>165.71863636363636</v>
      </c>
      <c r="T3152" s="22">
        <f>tblDailySchedule[[#This Row],[STD]]</f>
        <v>0.79166666666666663</v>
      </c>
    </row>
    <row r="3153" spans="1:20" hidden="1" x14ac:dyDescent="0.35">
      <c r="A3153" s="11">
        <v>46223</v>
      </c>
      <c r="B3153" s="3">
        <v>1</v>
      </c>
      <c r="C3153" t="s">
        <v>100</v>
      </c>
      <c r="D3153" t="s">
        <v>18</v>
      </c>
      <c r="E3153" s="3">
        <v>22</v>
      </c>
      <c r="F3153" t="s">
        <v>19</v>
      </c>
      <c r="G3153" t="s">
        <v>83</v>
      </c>
      <c r="H3153" t="s">
        <v>31</v>
      </c>
      <c r="I3153" s="12">
        <v>0.77777777777777779</v>
      </c>
      <c r="J3153" t="s">
        <v>84</v>
      </c>
      <c r="K3153" t="s">
        <v>31</v>
      </c>
      <c r="L3153" s="12">
        <v>0.80555555555555558</v>
      </c>
      <c r="M3153" t="s">
        <v>63</v>
      </c>
      <c r="N3153" s="3">
        <v>232</v>
      </c>
      <c r="O3153" t="s">
        <v>24</v>
      </c>
      <c r="P3153" t="s">
        <v>79</v>
      </c>
      <c r="R3153">
        <f>tblDailySchedule[[#This Row],[Capacity Approx]]*'[1]Load Factor Sheet June Acft  '!$B$5</f>
        <v>187.86727272727273</v>
      </c>
      <c r="S3153">
        <f>tblDailySchedule[[#This Row],[Capacity Approx]]*'[1]Load Factor Sheet June Acft  '!$D$5</f>
        <v>203.4218181818182</v>
      </c>
      <c r="T3153" s="22">
        <f>tblDailySchedule[[#This Row],[STD]]</f>
        <v>0.80555555555555558</v>
      </c>
    </row>
    <row r="3154" spans="1:20" hidden="1" x14ac:dyDescent="0.35">
      <c r="A3154" s="11">
        <v>46223</v>
      </c>
      <c r="B3154" s="3">
        <v>1</v>
      </c>
      <c r="C3154" t="s">
        <v>100</v>
      </c>
      <c r="D3154" t="s">
        <v>18</v>
      </c>
      <c r="E3154" s="3">
        <v>23</v>
      </c>
      <c r="F3154" t="s">
        <v>19</v>
      </c>
      <c r="G3154" t="s">
        <v>85</v>
      </c>
      <c r="H3154" t="s">
        <v>86</v>
      </c>
      <c r="I3154" s="12">
        <v>0.79861111111111116</v>
      </c>
      <c r="J3154" t="s">
        <v>87</v>
      </c>
      <c r="K3154" t="s">
        <v>86</v>
      </c>
      <c r="L3154" s="12">
        <v>0.82638888888888884</v>
      </c>
      <c r="M3154" t="s">
        <v>63</v>
      </c>
      <c r="N3154" s="3">
        <v>232</v>
      </c>
      <c r="O3154" t="s">
        <v>24</v>
      </c>
      <c r="P3154" t="s">
        <v>79</v>
      </c>
      <c r="R3154">
        <f>tblDailySchedule[[#This Row],[Capacity Approx]]*'[1]Load Factor Sheet June Acft  '!$B$5</f>
        <v>187.86727272727273</v>
      </c>
      <c r="S3154">
        <f>tblDailySchedule[[#This Row],[Capacity Approx]]*'[1]Load Factor Sheet June Acft  '!$D$5</f>
        <v>203.4218181818182</v>
      </c>
      <c r="T3154" s="22">
        <f>tblDailySchedule[[#This Row],[STD]]</f>
        <v>0.82638888888888884</v>
      </c>
    </row>
    <row r="3155" spans="1:20" hidden="1" x14ac:dyDescent="0.35">
      <c r="A3155" s="11">
        <v>46223</v>
      </c>
      <c r="B3155" s="3">
        <v>1</v>
      </c>
      <c r="C3155" t="s">
        <v>100</v>
      </c>
      <c r="D3155" t="s">
        <v>18</v>
      </c>
      <c r="E3155" s="3">
        <v>24</v>
      </c>
      <c r="F3155" t="s">
        <v>19</v>
      </c>
      <c r="G3155" t="s">
        <v>88</v>
      </c>
      <c r="H3155" t="s">
        <v>89</v>
      </c>
      <c r="I3155" s="12">
        <v>0.83333333333333337</v>
      </c>
      <c r="J3155" t="s">
        <v>90</v>
      </c>
      <c r="K3155" t="s">
        <v>31</v>
      </c>
      <c r="L3155" s="12">
        <v>0.86111111111111116</v>
      </c>
      <c r="M3155" t="s">
        <v>63</v>
      </c>
      <c r="N3155" s="3">
        <v>232</v>
      </c>
      <c r="O3155" t="s">
        <v>24</v>
      </c>
      <c r="P3155" t="s">
        <v>79</v>
      </c>
      <c r="R3155">
        <f>tblDailySchedule[[#This Row],[Capacity Approx]]*'[1]Load Factor Sheet June Acft  '!$B$5</f>
        <v>187.86727272727273</v>
      </c>
      <c r="S3155">
        <f>tblDailySchedule[[#This Row],[Capacity Approx]]*'[1]Load Factor Sheet June Acft  '!$D$5</f>
        <v>203.4218181818182</v>
      </c>
      <c r="T3155" s="22">
        <f>tblDailySchedule[[#This Row],[STD]]</f>
        <v>0.86111111111111116</v>
      </c>
    </row>
    <row r="3156" spans="1:20" hidden="1" x14ac:dyDescent="0.35">
      <c r="A3156" s="11">
        <v>46223</v>
      </c>
      <c r="B3156" s="3">
        <v>1</v>
      </c>
      <c r="C3156" t="s">
        <v>100</v>
      </c>
      <c r="D3156" t="s">
        <v>18</v>
      </c>
      <c r="E3156" s="3">
        <v>25</v>
      </c>
      <c r="F3156" t="s">
        <v>19</v>
      </c>
      <c r="G3156" t="s">
        <v>91</v>
      </c>
      <c r="H3156" t="s">
        <v>61</v>
      </c>
      <c r="I3156" s="12">
        <v>0.85416666666666663</v>
      </c>
      <c r="J3156" t="s">
        <v>92</v>
      </c>
      <c r="K3156" t="s">
        <v>61</v>
      </c>
      <c r="L3156" s="12">
        <v>0.88194444444444442</v>
      </c>
      <c r="M3156" t="s">
        <v>63</v>
      </c>
      <c r="N3156" s="3">
        <v>232</v>
      </c>
      <c r="O3156" t="s">
        <v>24</v>
      </c>
      <c r="P3156" t="s">
        <v>79</v>
      </c>
      <c r="R3156">
        <f>tblDailySchedule[[#This Row],[Capacity Approx]]*'[1]Load Factor Sheet June Acft  '!$B$5</f>
        <v>187.86727272727273</v>
      </c>
      <c r="S3156">
        <f>tblDailySchedule[[#This Row],[Capacity Approx]]*'[1]Load Factor Sheet June Acft  '!$D$5</f>
        <v>203.4218181818182</v>
      </c>
      <c r="T3156" s="22">
        <f>tblDailySchedule[[#This Row],[STD]]</f>
        <v>0.88194444444444442</v>
      </c>
    </row>
    <row r="3157" spans="1:20" hidden="1" x14ac:dyDescent="0.35">
      <c r="A3157" s="11">
        <v>46223</v>
      </c>
      <c r="B3157" s="3">
        <v>1</v>
      </c>
      <c r="C3157" t="s">
        <v>100</v>
      </c>
      <c r="D3157" t="s">
        <v>18</v>
      </c>
      <c r="E3157" s="3">
        <v>26</v>
      </c>
      <c r="F3157" t="s">
        <v>19</v>
      </c>
      <c r="G3157" t="s">
        <v>93</v>
      </c>
      <c r="H3157" t="s">
        <v>31</v>
      </c>
      <c r="I3157" s="12">
        <v>0.86111111111111116</v>
      </c>
      <c r="J3157" t="s">
        <v>94</v>
      </c>
      <c r="K3157" t="s">
        <v>31</v>
      </c>
      <c r="L3157" s="12">
        <v>0.88888888888888884</v>
      </c>
      <c r="M3157" t="s">
        <v>23</v>
      </c>
      <c r="N3157" s="3">
        <v>186</v>
      </c>
      <c r="O3157" t="s">
        <v>24</v>
      </c>
      <c r="P3157" t="s">
        <v>79</v>
      </c>
      <c r="R3157">
        <f>tblDailySchedule[[#This Row],[Capacity Approx]]*'[1]Load Factor Sheet June Acft  '!$B$5</f>
        <v>150.61772727272728</v>
      </c>
      <c r="S3157">
        <f>tblDailySchedule[[#This Row],[Capacity Approx]]*'[1]Load Factor Sheet June Acft  '!$D$5</f>
        <v>163.08818181818182</v>
      </c>
      <c r="T3157" s="22">
        <f>tblDailySchedule[[#This Row],[STD]]</f>
        <v>0.88888888888888884</v>
      </c>
    </row>
    <row r="3158" spans="1:20" hidden="1" x14ac:dyDescent="0.35">
      <c r="A3158" s="11">
        <v>46223</v>
      </c>
      <c r="B3158" s="3">
        <v>1</v>
      </c>
      <c r="C3158" t="s">
        <v>100</v>
      </c>
      <c r="D3158" t="s">
        <v>18</v>
      </c>
      <c r="E3158" s="3">
        <v>27</v>
      </c>
      <c r="F3158" t="s">
        <v>19</v>
      </c>
      <c r="G3158" t="s">
        <v>95</v>
      </c>
      <c r="H3158" t="s">
        <v>21</v>
      </c>
      <c r="I3158" s="12">
        <v>0.86805555555555558</v>
      </c>
      <c r="J3158" t="s">
        <v>96</v>
      </c>
      <c r="K3158" t="s">
        <v>21</v>
      </c>
      <c r="L3158" s="12">
        <v>0.89583333333333337</v>
      </c>
      <c r="M3158" t="s">
        <v>29</v>
      </c>
      <c r="N3158" s="3">
        <v>186</v>
      </c>
      <c r="O3158" t="s">
        <v>24</v>
      </c>
      <c r="P3158" t="s">
        <v>79</v>
      </c>
      <c r="R3158">
        <f>tblDailySchedule[[#This Row],[Capacity Approx]]*'[1]Load Factor Sheet June Acft  '!$B$5</f>
        <v>150.61772727272728</v>
      </c>
      <c r="S3158">
        <f>tblDailySchedule[[#This Row],[Capacity Approx]]*'[1]Load Factor Sheet June Acft  '!$D$5</f>
        <v>163.08818181818182</v>
      </c>
      <c r="T3158" s="22">
        <f>tblDailySchedule[[#This Row],[STD]]</f>
        <v>0.89583333333333337</v>
      </c>
    </row>
    <row r="3159" spans="1:20" hidden="1" x14ac:dyDescent="0.35">
      <c r="A3159" s="11">
        <v>46223</v>
      </c>
      <c r="B3159" s="3">
        <v>1</v>
      </c>
      <c r="C3159" t="s">
        <v>100</v>
      </c>
      <c r="D3159" t="s">
        <v>18</v>
      </c>
      <c r="E3159" s="3">
        <v>28</v>
      </c>
      <c r="F3159" t="s">
        <v>19</v>
      </c>
      <c r="G3159" t="s">
        <v>97</v>
      </c>
      <c r="H3159" t="s">
        <v>49</v>
      </c>
      <c r="I3159" s="12">
        <v>0.90277777777777779</v>
      </c>
      <c r="J3159" t="s">
        <v>97</v>
      </c>
      <c r="K3159" t="s">
        <v>61</v>
      </c>
      <c r="L3159" s="12">
        <v>0.92361111111111116</v>
      </c>
      <c r="M3159" t="s">
        <v>33</v>
      </c>
      <c r="N3159" s="3">
        <v>189</v>
      </c>
      <c r="O3159" t="s">
        <v>24</v>
      </c>
      <c r="P3159" t="s">
        <v>79</v>
      </c>
      <c r="R3159">
        <f>tblDailySchedule[[#This Row],[Capacity Approx]]*'[1]Load Factor Sheet June Acft  '!$B$5</f>
        <v>153.04704545454547</v>
      </c>
      <c r="S3159">
        <f>tblDailySchedule[[#This Row],[Capacity Approx]]*'[1]Load Factor Sheet June Acft  '!$D$5</f>
        <v>165.71863636363636</v>
      </c>
      <c r="T3159" s="22">
        <f>tblDailySchedule[[#This Row],[STD]]</f>
        <v>0.92361111111111116</v>
      </c>
    </row>
    <row r="3160" spans="1:20" hidden="1" x14ac:dyDescent="0.35">
      <c r="A3160" s="11">
        <v>46223</v>
      </c>
      <c r="B3160" s="3">
        <v>1</v>
      </c>
      <c r="C3160" t="s">
        <v>100</v>
      </c>
      <c r="D3160" t="s">
        <v>18</v>
      </c>
      <c r="E3160" s="3">
        <v>29</v>
      </c>
      <c r="F3160" t="s">
        <v>19</v>
      </c>
      <c r="G3160" t="s">
        <v>98</v>
      </c>
      <c r="H3160" t="s">
        <v>21</v>
      </c>
      <c r="I3160" s="12">
        <v>0.92013888888888884</v>
      </c>
      <c r="J3160" t="s">
        <v>99</v>
      </c>
      <c r="K3160" t="s">
        <v>21</v>
      </c>
      <c r="L3160" s="12">
        <v>0.94791666666666663</v>
      </c>
      <c r="M3160" t="s">
        <v>63</v>
      </c>
      <c r="N3160" s="3">
        <v>232</v>
      </c>
      <c r="O3160" t="s">
        <v>24</v>
      </c>
      <c r="P3160" t="s">
        <v>79</v>
      </c>
      <c r="R3160">
        <f>tblDailySchedule[[#This Row],[Capacity Approx]]*'[1]Load Factor Sheet June Acft  '!$B$5</f>
        <v>187.86727272727273</v>
      </c>
      <c r="S3160">
        <f>tblDailySchedule[[#This Row],[Capacity Approx]]*'[1]Load Factor Sheet June Acft  '!$D$5</f>
        <v>203.4218181818182</v>
      </c>
      <c r="T3160" s="22">
        <f>tblDailySchedule[[#This Row],[STD]]</f>
        <v>0.94791666666666663</v>
      </c>
    </row>
    <row r="3161" spans="1:20" hidden="1" x14ac:dyDescent="0.35">
      <c r="A3161" s="13">
        <v>46223</v>
      </c>
      <c r="B3161" s="7">
        <v>1</v>
      </c>
      <c r="C3161" s="14" t="s">
        <v>100</v>
      </c>
      <c r="D3161" s="14" t="s">
        <v>18</v>
      </c>
      <c r="E3161" s="7">
        <v>30</v>
      </c>
      <c r="F3161" s="14" t="s">
        <v>104</v>
      </c>
      <c r="G3161" s="14" t="s">
        <v>105</v>
      </c>
      <c r="H3161" s="14" t="s">
        <v>106</v>
      </c>
      <c r="I3161" s="15">
        <v>0.92708333333333337</v>
      </c>
      <c r="J3161" s="14" t="s">
        <v>107</v>
      </c>
      <c r="K3161" s="14" t="s">
        <v>106</v>
      </c>
      <c r="L3161" s="15">
        <v>0.95833333333333337</v>
      </c>
      <c r="M3161" s="14" t="s">
        <v>38</v>
      </c>
      <c r="N3161" s="7">
        <v>186</v>
      </c>
      <c r="O3161" s="14" t="s">
        <v>39</v>
      </c>
      <c r="P3161" s="14" t="s">
        <v>79</v>
      </c>
      <c r="Q3161" s="14" t="s">
        <v>39</v>
      </c>
      <c r="R3161">
        <f>tblDailySchedule[[#This Row],[Capacity Approx]]*'[1]Load Factor Sheet June Acft  '!$B$5</f>
        <v>150.61772727272728</v>
      </c>
      <c r="S3161">
        <f>tblDailySchedule[[#This Row],[Capacity Approx]]*'[1]Load Factor Sheet June Acft  '!$D$5</f>
        <v>163.08818181818182</v>
      </c>
      <c r="T3161" s="22">
        <f>tblDailySchedule[[#This Row],[STD]]</f>
        <v>0.95833333333333337</v>
      </c>
    </row>
    <row r="3162" spans="1:20" hidden="1" x14ac:dyDescent="0.35">
      <c r="A3162" s="11">
        <v>46224</v>
      </c>
      <c r="B3162" s="3">
        <v>2</v>
      </c>
      <c r="C3162" t="s">
        <v>108</v>
      </c>
      <c r="D3162" t="s">
        <v>18</v>
      </c>
      <c r="E3162" s="3">
        <v>1</v>
      </c>
      <c r="F3162" t="s">
        <v>101</v>
      </c>
      <c r="G3162" t="s">
        <v>102</v>
      </c>
      <c r="H3162" t="s">
        <v>61</v>
      </c>
      <c r="I3162" s="12">
        <v>0.3125</v>
      </c>
      <c r="J3162" t="s">
        <v>103</v>
      </c>
      <c r="K3162" t="s">
        <v>61</v>
      </c>
      <c r="L3162" s="12">
        <v>0.33333333333333331</v>
      </c>
      <c r="M3162" t="s">
        <v>33</v>
      </c>
      <c r="N3162" s="3">
        <v>189</v>
      </c>
      <c r="O3162" t="s">
        <v>24</v>
      </c>
      <c r="P3162" t="s">
        <v>25</v>
      </c>
      <c r="R3162">
        <f>tblDailySchedule[[#This Row],[Capacity Approx]]*'[1]Load Factor Sheet June Acft  '!$B$5</f>
        <v>153.04704545454547</v>
      </c>
      <c r="S3162">
        <f>tblDailySchedule[[#This Row],[Capacity Approx]]*'[1]Load Factor Sheet June Acft  '!$D$5</f>
        <v>165.71863636363636</v>
      </c>
      <c r="T3162" s="22">
        <f>tblDailySchedule[[#This Row],[STD]]</f>
        <v>0.33333333333333331</v>
      </c>
    </row>
    <row r="3163" spans="1:20" hidden="1" x14ac:dyDescent="0.35">
      <c r="A3163" s="11">
        <v>46224</v>
      </c>
      <c r="B3163" s="3">
        <v>2</v>
      </c>
      <c r="C3163" t="s">
        <v>108</v>
      </c>
      <c r="D3163" t="s">
        <v>18</v>
      </c>
      <c r="E3163" s="3">
        <v>2</v>
      </c>
      <c r="F3163" t="s">
        <v>19</v>
      </c>
      <c r="G3163" t="s">
        <v>20</v>
      </c>
      <c r="H3163" t="s">
        <v>21</v>
      </c>
      <c r="I3163" s="12">
        <v>0.31944444444444442</v>
      </c>
      <c r="J3163" t="s">
        <v>22</v>
      </c>
      <c r="K3163" t="s">
        <v>21</v>
      </c>
      <c r="L3163" s="12">
        <v>0.34722222222222221</v>
      </c>
      <c r="M3163" t="s">
        <v>23</v>
      </c>
      <c r="N3163" s="3">
        <v>186</v>
      </c>
      <c r="O3163" t="s">
        <v>24</v>
      </c>
      <c r="P3163" t="s">
        <v>25</v>
      </c>
      <c r="R3163">
        <f>tblDailySchedule[[#This Row],[Capacity Approx]]*'[1]Load Factor Sheet June Acft  '!$B$5</f>
        <v>150.61772727272728</v>
      </c>
      <c r="S3163">
        <f>tblDailySchedule[[#This Row],[Capacity Approx]]*'[1]Load Factor Sheet June Acft  '!$D$5</f>
        <v>163.08818181818182</v>
      </c>
      <c r="T3163" s="22">
        <f>tblDailySchedule[[#This Row],[STD]]</f>
        <v>0.34722222222222221</v>
      </c>
    </row>
    <row r="3164" spans="1:20" hidden="1" x14ac:dyDescent="0.35">
      <c r="A3164" s="11">
        <v>46224</v>
      </c>
      <c r="B3164" s="3">
        <v>2</v>
      </c>
      <c r="C3164" t="s">
        <v>108</v>
      </c>
      <c r="D3164" t="s">
        <v>18</v>
      </c>
      <c r="E3164" s="3">
        <v>3</v>
      </c>
      <c r="F3164" t="s">
        <v>19</v>
      </c>
      <c r="G3164" t="s">
        <v>26</v>
      </c>
      <c r="H3164" t="s">
        <v>27</v>
      </c>
      <c r="I3164" s="12">
        <v>0.3263888888888889</v>
      </c>
      <c r="J3164" t="s">
        <v>28</v>
      </c>
      <c r="K3164" t="s">
        <v>27</v>
      </c>
      <c r="L3164" s="12">
        <v>0.35416666666666669</v>
      </c>
      <c r="M3164" t="s">
        <v>29</v>
      </c>
      <c r="N3164" s="3">
        <v>186</v>
      </c>
      <c r="O3164" t="s">
        <v>24</v>
      </c>
      <c r="P3164" t="s">
        <v>25</v>
      </c>
      <c r="R3164">
        <f>tblDailySchedule[[#This Row],[Capacity Approx]]*'[1]Load Factor Sheet June Acft  '!$B$5</f>
        <v>150.61772727272728</v>
      </c>
      <c r="S3164">
        <f>tblDailySchedule[[#This Row],[Capacity Approx]]*'[1]Load Factor Sheet June Acft  '!$D$5</f>
        <v>163.08818181818182</v>
      </c>
      <c r="T3164" s="22">
        <f>tblDailySchedule[[#This Row],[STD]]</f>
        <v>0.35416666666666669</v>
      </c>
    </row>
    <row r="3165" spans="1:20" hidden="1" x14ac:dyDescent="0.35">
      <c r="A3165" s="11">
        <v>46224</v>
      </c>
      <c r="B3165" s="3">
        <v>2</v>
      </c>
      <c r="C3165" t="s">
        <v>108</v>
      </c>
      <c r="D3165" t="s">
        <v>18</v>
      </c>
      <c r="E3165" s="3">
        <v>4</v>
      </c>
      <c r="F3165" t="s">
        <v>19</v>
      </c>
      <c r="G3165" t="s">
        <v>30</v>
      </c>
      <c r="H3165" t="s">
        <v>31</v>
      </c>
      <c r="I3165" s="12">
        <v>0.34722222222222221</v>
      </c>
      <c r="J3165" t="s">
        <v>32</v>
      </c>
      <c r="K3165" t="s">
        <v>31</v>
      </c>
      <c r="L3165" s="12">
        <v>0.36805555555555558</v>
      </c>
      <c r="M3165" t="s">
        <v>33</v>
      </c>
      <c r="N3165" s="3">
        <v>189</v>
      </c>
      <c r="O3165" t="s">
        <v>24</v>
      </c>
      <c r="P3165" t="s">
        <v>25</v>
      </c>
      <c r="R3165">
        <f>tblDailySchedule[[#This Row],[Capacity Approx]]*'[1]Load Factor Sheet June Acft  '!$B$5</f>
        <v>153.04704545454547</v>
      </c>
      <c r="S3165">
        <f>tblDailySchedule[[#This Row],[Capacity Approx]]*'[1]Load Factor Sheet June Acft  '!$D$5</f>
        <v>165.71863636363636</v>
      </c>
      <c r="T3165" s="22">
        <f>tblDailySchedule[[#This Row],[STD]]</f>
        <v>0.36805555555555558</v>
      </c>
    </row>
    <row r="3166" spans="1:20" hidden="1" x14ac:dyDescent="0.35">
      <c r="A3166" s="11">
        <v>46224</v>
      </c>
      <c r="B3166" s="3">
        <v>2</v>
      </c>
      <c r="C3166" t="s">
        <v>108</v>
      </c>
      <c r="D3166" t="s">
        <v>18</v>
      </c>
      <c r="E3166" s="3">
        <v>5</v>
      </c>
      <c r="F3166" t="s">
        <v>19</v>
      </c>
      <c r="G3166" t="s">
        <v>40</v>
      </c>
      <c r="H3166" t="s">
        <v>31</v>
      </c>
      <c r="I3166" s="12">
        <v>0.35069444444444442</v>
      </c>
      <c r="J3166" t="s">
        <v>41</v>
      </c>
      <c r="K3166" t="s">
        <v>31</v>
      </c>
      <c r="L3166" s="12">
        <v>0.37152777777777779</v>
      </c>
      <c r="M3166" t="s">
        <v>23</v>
      </c>
      <c r="N3166" s="3">
        <v>186</v>
      </c>
      <c r="O3166" t="s">
        <v>24</v>
      </c>
      <c r="P3166" t="s">
        <v>25</v>
      </c>
      <c r="R3166">
        <f>tblDailySchedule[[#This Row],[Capacity Approx]]*'[1]Load Factor Sheet June Acft  '!$B$5</f>
        <v>150.61772727272728</v>
      </c>
      <c r="S3166">
        <f>tblDailySchedule[[#This Row],[Capacity Approx]]*'[1]Load Factor Sheet June Acft  '!$D$5</f>
        <v>163.08818181818182</v>
      </c>
      <c r="T3166" s="22">
        <f>tblDailySchedule[[#This Row],[STD]]</f>
        <v>0.37152777777777779</v>
      </c>
    </row>
    <row r="3167" spans="1:20" hidden="1" x14ac:dyDescent="0.35">
      <c r="A3167" s="11">
        <v>46224</v>
      </c>
      <c r="B3167" s="3">
        <v>2</v>
      </c>
      <c r="C3167" t="s">
        <v>108</v>
      </c>
      <c r="D3167" t="s">
        <v>18</v>
      </c>
      <c r="E3167" s="3">
        <v>7</v>
      </c>
      <c r="F3167" t="s">
        <v>19</v>
      </c>
      <c r="G3167" t="s">
        <v>42</v>
      </c>
      <c r="H3167" t="s">
        <v>43</v>
      </c>
      <c r="I3167" s="12">
        <v>0.3923611111111111</v>
      </c>
      <c r="J3167" t="s">
        <v>44</v>
      </c>
      <c r="K3167" t="s">
        <v>43</v>
      </c>
      <c r="L3167" s="12">
        <v>0.40277777777777779</v>
      </c>
      <c r="M3167" t="s">
        <v>45</v>
      </c>
      <c r="N3167" s="3">
        <v>9</v>
      </c>
      <c r="O3167" t="s">
        <v>24</v>
      </c>
      <c r="P3167" t="s">
        <v>25</v>
      </c>
      <c r="R3167">
        <f>tblDailySchedule[[#This Row],[Capacity Approx]]*'[1]Load Factor Sheet June Acft  '!$B$5</f>
        <v>7.2879545454545456</v>
      </c>
      <c r="S3167">
        <f>tblDailySchedule[[#This Row],[Capacity Approx]]*'[1]Load Factor Sheet June Acft  '!$D$5</f>
        <v>7.8913636363636366</v>
      </c>
      <c r="T3167" s="22">
        <f>tblDailySchedule[[#This Row],[STD]]</f>
        <v>0.40277777777777779</v>
      </c>
    </row>
    <row r="3168" spans="1:20" hidden="1" x14ac:dyDescent="0.35">
      <c r="A3168" s="11">
        <v>46224</v>
      </c>
      <c r="B3168" s="3">
        <v>2</v>
      </c>
      <c r="C3168" t="s">
        <v>108</v>
      </c>
      <c r="D3168" t="s">
        <v>18</v>
      </c>
      <c r="E3168" s="3">
        <v>8</v>
      </c>
      <c r="F3168" t="s">
        <v>19</v>
      </c>
      <c r="G3168" t="s">
        <v>46</v>
      </c>
      <c r="H3168" t="s">
        <v>31</v>
      </c>
      <c r="I3168" s="12">
        <v>0.4201388888888889</v>
      </c>
      <c r="J3168" t="s">
        <v>47</v>
      </c>
      <c r="K3168" t="s">
        <v>31</v>
      </c>
      <c r="L3168" s="12">
        <v>0.44444444444444442</v>
      </c>
      <c r="M3168" t="s">
        <v>29</v>
      </c>
      <c r="N3168" s="3">
        <v>186</v>
      </c>
      <c r="O3168" t="s">
        <v>24</v>
      </c>
      <c r="P3168" t="s">
        <v>25</v>
      </c>
      <c r="R3168">
        <f>tblDailySchedule[[#This Row],[Capacity Approx]]*'[1]Load Factor Sheet June Acft  '!$B$5</f>
        <v>150.61772727272728</v>
      </c>
      <c r="S3168">
        <f>tblDailySchedule[[#This Row],[Capacity Approx]]*'[1]Load Factor Sheet June Acft  '!$D$5</f>
        <v>163.08818181818182</v>
      </c>
      <c r="T3168" s="22">
        <f>tblDailySchedule[[#This Row],[STD]]</f>
        <v>0.44444444444444442</v>
      </c>
    </row>
    <row r="3169" spans="1:20" hidden="1" x14ac:dyDescent="0.35">
      <c r="A3169" s="11">
        <v>46224</v>
      </c>
      <c r="B3169" s="3">
        <v>2</v>
      </c>
      <c r="C3169" t="s">
        <v>108</v>
      </c>
      <c r="D3169" t="s">
        <v>18</v>
      </c>
      <c r="E3169" s="3">
        <v>9</v>
      </c>
      <c r="F3169" t="s">
        <v>19</v>
      </c>
      <c r="G3169" t="s">
        <v>48</v>
      </c>
      <c r="H3169" t="s">
        <v>49</v>
      </c>
      <c r="I3169" s="12">
        <v>0.4375</v>
      </c>
      <c r="J3169" t="s">
        <v>50</v>
      </c>
      <c r="K3169" t="s">
        <v>49</v>
      </c>
      <c r="L3169" s="12">
        <v>0.45833333333333331</v>
      </c>
      <c r="M3169" t="s">
        <v>51</v>
      </c>
      <c r="N3169" s="3">
        <v>78</v>
      </c>
      <c r="O3169" t="s">
        <v>24</v>
      </c>
      <c r="P3169" t="s">
        <v>25</v>
      </c>
      <c r="R3169">
        <f>tblDailySchedule[[#This Row],[Capacity Approx]]*'[1]Load Factor Sheet June Acft  '!$B$5</f>
        <v>63.162272727272729</v>
      </c>
      <c r="S3169">
        <f>tblDailySchedule[[#This Row],[Capacity Approx]]*'[1]Load Factor Sheet June Acft  '!$D$5</f>
        <v>68.391818181818181</v>
      </c>
      <c r="T3169" s="22">
        <f>tblDailySchedule[[#This Row],[STD]]</f>
        <v>0.45833333333333331</v>
      </c>
    </row>
    <row r="3170" spans="1:20" hidden="1" x14ac:dyDescent="0.35">
      <c r="A3170" s="11">
        <v>46224</v>
      </c>
      <c r="B3170" s="3">
        <v>2</v>
      </c>
      <c r="C3170" t="s">
        <v>108</v>
      </c>
      <c r="D3170" t="s">
        <v>18</v>
      </c>
      <c r="E3170" s="3">
        <v>10</v>
      </c>
      <c r="F3170" t="s">
        <v>19</v>
      </c>
      <c r="G3170" t="s">
        <v>52</v>
      </c>
      <c r="H3170" t="s">
        <v>27</v>
      </c>
      <c r="I3170" s="12">
        <v>0.4826388888888889</v>
      </c>
      <c r="J3170" t="s">
        <v>53</v>
      </c>
      <c r="K3170" t="s">
        <v>27</v>
      </c>
      <c r="L3170" s="12">
        <v>0.51041666666666663</v>
      </c>
      <c r="M3170" t="s">
        <v>23</v>
      </c>
      <c r="N3170" s="3">
        <v>186</v>
      </c>
      <c r="O3170" t="s">
        <v>24</v>
      </c>
      <c r="P3170" t="s">
        <v>25</v>
      </c>
      <c r="R3170">
        <f>tblDailySchedule[[#This Row],[Capacity Approx]]*'[1]Load Factor Sheet June Acft  '!$B$5</f>
        <v>150.61772727272728</v>
      </c>
      <c r="S3170">
        <f>tblDailySchedule[[#This Row],[Capacity Approx]]*'[1]Load Factor Sheet June Acft  '!$D$5</f>
        <v>163.08818181818182</v>
      </c>
      <c r="T3170" s="22">
        <f>tblDailySchedule[[#This Row],[STD]]</f>
        <v>0.51041666666666663</v>
      </c>
    </row>
    <row r="3171" spans="1:20" hidden="1" x14ac:dyDescent="0.35">
      <c r="A3171" s="11">
        <v>46224</v>
      </c>
      <c r="B3171" s="3">
        <v>2</v>
      </c>
      <c r="C3171" t="s">
        <v>108</v>
      </c>
      <c r="D3171" t="s">
        <v>18</v>
      </c>
      <c r="E3171" s="3">
        <v>11</v>
      </c>
      <c r="F3171" t="s">
        <v>19</v>
      </c>
      <c r="G3171" t="s">
        <v>54</v>
      </c>
      <c r="H3171" t="s">
        <v>31</v>
      </c>
      <c r="I3171" s="12">
        <v>0.51388888888888884</v>
      </c>
      <c r="J3171" t="s">
        <v>55</v>
      </c>
      <c r="K3171" t="s">
        <v>31</v>
      </c>
      <c r="L3171" s="12">
        <v>0.54166666666666663</v>
      </c>
      <c r="M3171" t="s">
        <v>23</v>
      </c>
      <c r="N3171" s="3">
        <v>186</v>
      </c>
      <c r="O3171" t="s">
        <v>24</v>
      </c>
      <c r="P3171" t="s">
        <v>56</v>
      </c>
      <c r="R3171">
        <f>tblDailySchedule[[#This Row],[Capacity Approx]]*'[1]Load Factor Sheet June Acft  '!$B$5</f>
        <v>150.61772727272728</v>
      </c>
      <c r="S3171">
        <f>tblDailySchedule[[#This Row],[Capacity Approx]]*'[1]Load Factor Sheet June Acft  '!$D$5</f>
        <v>163.08818181818182</v>
      </c>
      <c r="T3171" s="22">
        <f>tblDailySchedule[[#This Row],[STD]]</f>
        <v>0.54166666666666663</v>
      </c>
    </row>
    <row r="3172" spans="1:20" hidden="1" x14ac:dyDescent="0.35">
      <c r="A3172" s="11">
        <v>46224</v>
      </c>
      <c r="B3172" s="3">
        <v>2</v>
      </c>
      <c r="C3172" t="s">
        <v>108</v>
      </c>
      <c r="D3172" t="s">
        <v>18</v>
      </c>
      <c r="E3172" s="3">
        <v>12</v>
      </c>
      <c r="F3172" t="s">
        <v>109</v>
      </c>
      <c r="G3172" t="s">
        <v>110</v>
      </c>
      <c r="H3172" t="s">
        <v>111</v>
      </c>
      <c r="I3172" s="12">
        <v>0.55555555555555558</v>
      </c>
      <c r="J3172" t="s">
        <v>112</v>
      </c>
      <c r="K3172" t="s">
        <v>111</v>
      </c>
      <c r="L3172" s="12">
        <v>0.56944444444444442</v>
      </c>
      <c r="M3172" t="s">
        <v>51</v>
      </c>
      <c r="N3172" s="3">
        <v>78</v>
      </c>
      <c r="O3172" t="s">
        <v>24</v>
      </c>
      <c r="P3172" t="s">
        <v>56</v>
      </c>
      <c r="R3172">
        <f>tblDailySchedule[[#This Row],[Capacity Approx]]*'[1]Load Factor Sheet June Acft  '!$B$5</f>
        <v>63.162272727272729</v>
      </c>
      <c r="S3172">
        <f>tblDailySchedule[[#This Row],[Capacity Approx]]*'[1]Load Factor Sheet June Acft  '!$D$5</f>
        <v>68.391818181818181</v>
      </c>
      <c r="T3172" s="22">
        <f>tblDailySchedule[[#This Row],[STD]]</f>
        <v>0.56944444444444442</v>
      </c>
    </row>
    <row r="3173" spans="1:20" hidden="1" x14ac:dyDescent="0.35">
      <c r="A3173" s="11">
        <v>46224</v>
      </c>
      <c r="B3173" s="3">
        <v>2</v>
      </c>
      <c r="C3173" t="s">
        <v>108</v>
      </c>
      <c r="D3173" t="s">
        <v>18</v>
      </c>
      <c r="E3173" s="3">
        <v>13</v>
      </c>
      <c r="F3173" t="s">
        <v>19</v>
      </c>
      <c r="G3173" t="s">
        <v>57</v>
      </c>
      <c r="H3173" t="s">
        <v>58</v>
      </c>
      <c r="I3173" s="12">
        <v>0.55902777777777779</v>
      </c>
      <c r="J3173" t="s">
        <v>59</v>
      </c>
      <c r="K3173" t="s">
        <v>58</v>
      </c>
      <c r="L3173" s="12">
        <v>0.57638888888888884</v>
      </c>
      <c r="M3173" t="s">
        <v>51</v>
      </c>
      <c r="N3173" s="3">
        <v>78</v>
      </c>
      <c r="O3173" t="s">
        <v>24</v>
      </c>
      <c r="P3173" t="s">
        <v>56</v>
      </c>
      <c r="R3173">
        <f>tblDailySchedule[[#This Row],[Capacity Approx]]*'[1]Load Factor Sheet June Acft  '!$B$5</f>
        <v>63.162272727272729</v>
      </c>
      <c r="S3173">
        <f>tblDailySchedule[[#This Row],[Capacity Approx]]*'[1]Load Factor Sheet June Acft  '!$D$5</f>
        <v>68.391818181818181</v>
      </c>
      <c r="T3173" s="22">
        <f>tblDailySchedule[[#This Row],[STD]]</f>
        <v>0.57638888888888884</v>
      </c>
    </row>
    <row r="3174" spans="1:20" hidden="1" x14ac:dyDescent="0.35">
      <c r="A3174" s="11">
        <v>46224</v>
      </c>
      <c r="B3174" s="3">
        <v>2</v>
      </c>
      <c r="C3174" t="s">
        <v>108</v>
      </c>
      <c r="D3174" t="s">
        <v>18</v>
      </c>
      <c r="E3174" s="3">
        <v>14</v>
      </c>
      <c r="F3174" t="s">
        <v>19</v>
      </c>
      <c r="G3174" t="s">
        <v>60</v>
      </c>
      <c r="H3174" t="s">
        <v>61</v>
      </c>
      <c r="I3174" s="12">
        <v>0.59027777777777779</v>
      </c>
      <c r="J3174" t="s">
        <v>62</v>
      </c>
      <c r="K3174" t="s">
        <v>61</v>
      </c>
      <c r="L3174" s="12">
        <v>0.62152777777777779</v>
      </c>
      <c r="M3174" t="s">
        <v>63</v>
      </c>
      <c r="N3174" s="3">
        <v>232</v>
      </c>
      <c r="O3174" t="s">
        <v>24</v>
      </c>
      <c r="P3174" t="s">
        <v>56</v>
      </c>
      <c r="R3174">
        <f>tblDailySchedule[[#This Row],[Capacity Approx]]*'[1]Load Factor Sheet June Acft  '!$B$5</f>
        <v>187.86727272727273</v>
      </c>
      <c r="S3174">
        <f>tblDailySchedule[[#This Row],[Capacity Approx]]*'[1]Load Factor Sheet June Acft  '!$D$5</f>
        <v>203.4218181818182</v>
      </c>
      <c r="T3174" s="22">
        <f>tblDailySchedule[[#This Row],[STD]]</f>
        <v>0.62152777777777779</v>
      </c>
    </row>
    <row r="3175" spans="1:20" hidden="1" x14ac:dyDescent="0.35">
      <c r="A3175" s="11">
        <v>46224</v>
      </c>
      <c r="B3175" s="3">
        <v>2</v>
      </c>
      <c r="C3175" t="s">
        <v>108</v>
      </c>
      <c r="D3175" t="s">
        <v>18</v>
      </c>
      <c r="E3175" s="3">
        <v>15</v>
      </c>
      <c r="F3175" t="s">
        <v>19</v>
      </c>
      <c r="G3175" t="s">
        <v>64</v>
      </c>
      <c r="H3175" t="s">
        <v>31</v>
      </c>
      <c r="I3175" s="12">
        <v>0.60069444444444442</v>
      </c>
      <c r="J3175" t="s">
        <v>65</v>
      </c>
      <c r="K3175" t="s">
        <v>66</v>
      </c>
      <c r="L3175" s="12">
        <v>0.62847222222222221</v>
      </c>
      <c r="M3175" t="s">
        <v>63</v>
      </c>
      <c r="N3175" s="3">
        <v>232</v>
      </c>
      <c r="O3175" t="s">
        <v>24</v>
      </c>
      <c r="P3175" t="s">
        <v>56</v>
      </c>
      <c r="R3175">
        <f>tblDailySchedule[[#This Row],[Capacity Approx]]*'[1]Load Factor Sheet June Acft  '!$B$5</f>
        <v>187.86727272727273</v>
      </c>
      <c r="S3175">
        <f>tblDailySchedule[[#This Row],[Capacity Approx]]*'[1]Load Factor Sheet June Acft  '!$D$5</f>
        <v>203.4218181818182</v>
      </c>
      <c r="T3175" s="22">
        <f>tblDailySchedule[[#This Row],[STD]]</f>
        <v>0.62847222222222221</v>
      </c>
    </row>
    <row r="3176" spans="1:20" hidden="1" x14ac:dyDescent="0.35">
      <c r="A3176" s="11">
        <v>46224</v>
      </c>
      <c r="B3176" s="3">
        <v>2</v>
      </c>
      <c r="C3176" t="s">
        <v>108</v>
      </c>
      <c r="D3176" t="s">
        <v>18</v>
      </c>
      <c r="E3176" s="3">
        <v>16</v>
      </c>
      <c r="F3176" t="s">
        <v>19</v>
      </c>
      <c r="G3176" t="s">
        <v>67</v>
      </c>
      <c r="H3176" t="s">
        <v>31</v>
      </c>
      <c r="I3176" s="12">
        <v>0.65625</v>
      </c>
      <c r="J3176" t="s">
        <v>68</v>
      </c>
      <c r="K3176" t="s">
        <v>31</v>
      </c>
      <c r="L3176" s="12">
        <v>0.68402777777777779</v>
      </c>
      <c r="M3176" t="s">
        <v>63</v>
      </c>
      <c r="N3176" s="3">
        <v>232</v>
      </c>
      <c r="O3176" t="s">
        <v>24</v>
      </c>
      <c r="P3176" t="s">
        <v>56</v>
      </c>
      <c r="R3176">
        <f>tblDailySchedule[[#This Row],[Capacity Approx]]*'[1]Load Factor Sheet June Acft  '!$B$5</f>
        <v>187.86727272727273</v>
      </c>
      <c r="S3176">
        <f>tblDailySchedule[[#This Row],[Capacity Approx]]*'[1]Load Factor Sheet June Acft  '!$D$5</f>
        <v>203.4218181818182</v>
      </c>
      <c r="T3176" s="22">
        <f>tblDailySchedule[[#This Row],[STD]]</f>
        <v>0.68402777777777779</v>
      </c>
    </row>
    <row r="3177" spans="1:20" hidden="1" x14ac:dyDescent="0.35">
      <c r="A3177" s="11">
        <v>46224</v>
      </c>
      <c r="B3177" s="3">
        <v>2</v>
      </c>
      <c r="C3177" t="s">
        <v>108</v>
      </c>
      <c r="D3177" t="s">
        <v>18</v>
      </c>
      <c r="E3177" s="3">
        <v>17</v>
      </c>
      <c r="F3177" t="s">
        <v>19</v>
      </c>
      <c r="G3177" t="s">
        <v>69</v>
      </c>
      <c r="H3177" t="s">
        <v>31</v>
      </c>
      <c r="I3177" s="12">
        <v>0.66319444444444442</v>
      </c>
      <c r="J3177" t="s">
        <v>70</v>
      </c>
      <c r="K3177" t="s">
        <v>31</v>
      </c>
      <c r="L3177" s="12">
        <v>0.69097222222222221</v>
      </c>
      <c r="M3177" t="s">
        <v>33</v>
      </c>
      <c r="N3177" s="3">
        <v>189</v>
      </c>
      <c r="O3177" t="s">
        <v>24</v>
      </c>
      <c r="P3177" t="s">
        <v>56</v>
      </c>
      <c r="R3177">
        <f>tblDailySchedule[[#This Row],[Capacity Approx]]*'[1]Load Factor Sheet June Acft  '!$B$5</f>
        <v>153.04704545454547</v>
      </c>
      <c r="S3177">
        <f>tblDailySchedule[[#This Row],[Capacity Approx]]*'[1]Load Factor Sheet June Acft  '!$D$5</f>
        <v>165.71863636363636</v>
      </c>
      <c r="T3177" s="22">
        <f>tblDailySchedule[[#This Row],[STD]]</f>
        <v>0.69097222222222221</v>
      </c>
    </row>
    <row r="3178" spans="1:20" hidden="1" x14ac:dyDescent="0.35">
      <c r="A3178" s="11">
        <v>46224</v>
      </c>
      <c r="B3178" s="3">
        <v>2</v>
      </c>
      <c r="C3178" t="s">
        <v>108</v>
      </c>
      <c r="D3178" t="s">
        <v>18</v>
      </c>
      <c r="E3178" s="3">
        <v>18</v>
      </c>
      <c r="F3178" t="s">
        <v>19</v>
      </c>
      <c r="G3178" t="s">
        <v>71</v>
      </c>
      <c r="H3178" t="s">
        <v>21</v>
      </c>
      <c r="I3178" s="12">
        <v>0.67013888888888884</v>
      </c>
      <c r="J3178" t="s">
        <v>72</v>
      </c>
      <c r="K3178" t="s">
        <v>21</v>
      </c>
      <c r="L3178" s="12">
        <v>0.69791666666666663</v>
      </c>
      <c r="M3178" t="s">
        <v>63</v>
      </c>
      <c r="N3178" s="3">
        <v>232</v>
      </c>
      <c r="O3178" t="s">
        <v>24</v>
      </c>
      <c r="P3178" t="s">
        <v>56</v>
      </c>
      <c r="R3178">
        <f>tblDailySchedule[[#This Row],[Capacity Approx]]*'[1]Load Factor Sheet June Acft  '!$B$5</f>
        <v>187.86727272727273</v>
      </c>
      <c r="S3178">
        <f>tblDailySchedule[[#This Row],[Capacity Approx]]*'[1]Load Factor Sheet June Acft  '!$D$5</f>
        <v>203.4218181818182</v>
      </c>
      <c r="T3178" s="22">
        <f>tblDailySchedule[[#This Row],[STD]]</f>
        <v>0.69791666666666663</v>
      </c>
    </row>
    <row r="3179" spans="1:20" hidden="1" x14ac:dyDescent="0.35">
      <c r="A3179" s="11">
        <v>46224</v>
      </c>
      <c r="B3179" s="3">
        <v>2</v>
      </c>
      <c r="C3179" t="s">
        <v>108</v>
      </c>
      <c r="D3179" t="s">
        <v>18</v>
      </c>
      <c r="E3179" s="3">
        <v>19</v>
      </c>
      <c r="F3179" t="s">
        <v>19</v>
      </c>
      <c r="G3179" t="s">
        <v>73</v>
      </c>
      <c r="H3179" t="s">
        <v>27</v>
      </c>
      <c r="I3179" s="12">
        <v>0.74652777777777779</v>
      </c>
      <c r="J3179" t="s">
        <v>74</v>
      </c>
      <c r="K3179" t="s">
        <v>27</v>
      </c>
      <c r="L3179" s="12">
        <v>0.77430555555555558</v>
      </c>
      <c r="M3179" t="s">
        <v>63</v>
      </c>
      <c r="N3179" s="3">
        <v>232</v>
      </c>
      <c r="O3179" t="s">
        <v>24</v>
      </c>
      <c r="P3179" t="s">
        <v>56</v>
      </c>
      <c r="R3179">
        <f>tblDailySchedule[[#This Row],[Capacity Approx]]*'[1]Load Factor Sheet June Acft  '!$B$5</f>
        <v>187.86727272727273</v>
      </c>
      <c r="S3179">
        <f>tblDailySchedule[[#This Row],[Capacity Approx]]*'[1]Load Factor Sheet June Acft  '!$D$5</f>
        <v>203.4218181818182</v>
      </c>
      <c r="T3179" s="22">
        <f>tblDailySchedule[[#This Row],[STD]]</f>
        <v>0.77430555555555558</v>
      </c>
    </row>
    <row r="3180" spans="1:20" hidden="1" x14ac:dyDescent="0.35">
      <c r="A3180" s="11">
        <v>46224</v>
      </c>
      <c r="B3180" s="3">
        <v>2</v>
      </c>
      <c r="C3180" t="s">
        <v>108</v>
      </c>
      <c r="D3180" t="s">
        <v>18</v>
      </c>
      <c r="E3180" s="3">
        <v>21</v>
      </c>
      <c r="F3180" t="s">
        <v>19</v>
      </c>
      <c r="G3180" t="s">
        <v>81</v>
      </c>
      <c r="H3180" t="s">
        <v>61</v>
      </c>
      <c r="I3180" s="12">
        <v>0.77083333333333337</v>
      </c>
      <c r="J3180" t="s">
        <v>82</v>
      </c>
      <c r="K3180" t="s">
        <v>49</v>
      </c>
      <c r="L3180" s="12">
        <v>0.79166666666666663</v>
      </c>
      <c r="M3180" t="s">
        <v>33</v>
      </c>
      <c r="N3180" s="3">
        <v>189</v>
      </c>
      <c r="O3180" t="s">
        <v>24</v>
      </c>
      <c r="P3180" t="s">
        <v>79</v>
      </c>
      <c r="R3180">
        <f>tblDailySchedule[[#This Row],[Capacity Approx]]*'[1]Load Factor Sheet June Acft  '!$B$5</f>
        <v>153.04704545454547</v>
      </c>
      <c r="S3180">
        <f>tblDailySchedule[[#This Row],[Capacity Approx]]*'[1]Load Factor Sheet June Acft  '!$D$5</f>
        <v>165.71863636363636</v>
      </c>
      <c r="T3180" s="22">
        <f>tblDailySchedule[[#This Row],[STD]]</f>
        <v>0.79166666666666663</v>
      </c>
    </row>
    <row r="3181" spans="1:20" hidden="1" x14ac:dyDescent="0.35">
      <c r="A3181" s="11">
        <v>46224</v>
      </c>
      <c r="B3181" s="3">
        <v>2</v>
      </c>
      <c r="C3181" t="s">
        <v>108</v>
      </c>
      <c r="D3181" t="s">
        <v>18</v>
      </c>
      <c r="E3181" s="3">
        <v>22</v>
      </c>
      <c r="F3181" t="s">
        <v>19</v>
      </c>
      <c r="G3181" t="s">
        <v>83</v>
      </c>
      <c r="H3181" t="s">
        <v>31</v>
      </c>
      <c r="I3181" s="12">
        <v>0.77777777777777779</v>
      </c>
      <c r="J3181" t="s">
        <v>84</v>
      </c>
      <c r="K3181" t="s">
        <v>31</v>
      </c>
      <c r="L3181" s="12">
        <v>0.80555555555555558</v>
      </c>
      <c r="M3181" t="s">
        <v>63</v>
      </c>
      <c r="N3181" s="3">
        <v>232</v>
      </c>
      <c r="O3181" t="s">
        <v>24</v>
      </c>
      <c r="P3181" t="s">
        <v>79</v>
      </c>
      <c r="R3181">
        <f>tblDailySchedule[[#This Row],[Capacity Approx]]*'[1]Load Factor Sheet June Acft  '!$B$5</f>
        <v>187.86727272727273</v>
      </c>
      <c r="S3181">
        <f>tblDailySchedule[[#This Row],[Capacity Approx]]*'[1]Load Factor Sheet June Acft  '!$D$5</f>
        <v>203.4218181818182</v>
      </c>
      <c r="T3181" s="22">
        <f>tblDailySchedule[[#This Row],[STD]]</f>
        <v>0.80555555555555558</v>
      </c>
    </row>
    <row r="3182" spans="1:20" hidden="1" x14ac:dyDescent="0.35">
      <c r="A3182" s="11">
        <v>46224</v>
      </c>
      <c r="B3182" s="3">
        <v>2</v>
      </c>
      <c r="C3182" t="s">
        <v>108</v>
      </c>
      <c r="D3182" t="s">
        <v>18</v>
      </c>
      <c r="E3182" s="3">
        <v>23</v>
      </c>
      <c r="F3182" t="s">
        <v>19</v>
      </c>
      <c r="G3182" t="s">
        <v>85</v>
      </c>
      <c r="H3182" t="s">
        <v>86</v>
      </c>
      <c r="I3182" s="12">
        <v>0.79861111111111116</v>
      </c>
      <c r="J3182" t="s">
        <v>87</v>
      </c>
      <c r="K3182" t="s">
        <v>86</v>
      </c>
      <c r="L3182" s="12">
        <v>0.82638888888888884</v>
      </c>
      <c r="M3182" t="s">
        <v>63</v>
      </c>
      <c r="N3182" s="3">
        <v>232</v>
      </c>
      <c r="O3182" t="s">
        <v>24</v>
      </c>
      <c r="P3182" t="s">
        <v>79</v>
      </c>
      <c r="R3182">
        <f>tblDailySchedule[[#This Row],[Capacity Approx]]*'[1]Load Factor Sheet June Acft  '!$B$5</f>
        <v>187.86727272727273</v>
      </c>
      <c r="S3182">
        <f>tblDailySchedule[[#This Row],[Capacity Approx]]*'[1]Load Factor Sheet June Acft  '!$D$5</f>
        <v>203.4218181818182</v>
      </c>
      <c r="T3182" s="22">
        <f>tblDailySchedule[[#This Row],[STD]]</f>
        <v>0.82638888888888884</v>
      </c>
    </row>
    <row r="3183" spans="1:20" hidden="1" x14ac:dyDescent="0.35">
      <c r="A3183" s="11">
        <v>46224</v>
      </c>
      <c r="B3183" s="3">
        <v>2</v>
      </c>
      <c r="C3183" t="s">
        <v>108</v>
      </c>
      <c r="D3183" t="s">
        <v>18</v>
      </c>
      <c r="E3183" s="3">
        <v>24</v>
      </c>
      <c r="F3183" t="s">
        <v>19</v>
      </c>
      <c r="G3183" t="s">
        <v>88</v>
      </c>
      <c r="H3183" t="s">
        <v>89</v>
      </c>
      <c r="I3183" s="12">
        <v>0.83333333333333337</v>
      </c>
      <c r="J3183" t="s">
        <v>90</v>
      </c>
      <c r="K3183" t="s">
        <v>31</v>
      </c>
      <c r="L3183" s="12">
        <v>0.86111111111111116</v>
      </c>
      <c r="M3183" t="s">
        <v>63</v>
      </c>
      <c r="N3183" s="3">
        <v>232</v>
      </c>
      <c r="O3183" t="s">
        <v>24</v>
      </c>
      <c r="P3183" t="s">
        <v>79</v>
      </c>
      <c r="R3183">
        <f>tblDailySchedule[[#This Row],[Capacity Approx]]*'[1]Load Factor Sheet June Acft  '!$B$5</f>
        <v>187.86727272727273</v>
      </c>
      <c r="S3183">
        <f>tblDailySchedule[[#This Row],[Capacity Approx]]*'[1]Load Factor Sheet June Acft  '!$D$5</f>
        <v>203.4218181818182</v>
      </c>
      <c r="T3183" s="22">
        <f>tblDailySchedule[[#This Row],[STD]]</f>
        <v>0.86111111111111116</v>
      </c>
    </row>
    <row r="3184" spans="1:20" hidden="1" x14ac:dyDescent="0.35">
      <c r="A3184" s="11">
        <v>46224</v>
      </c>
      <c r="B3184" s="3">
        <v>2</v>
      </c>
      <c r="C3184" t="s">
        <v>108</v>
      </c>
      <c r="D3184" t="s">
        <v>18</v>
      </c>
      <c r="E3184" s="3">
        <v>25</v>
      </c>
      <c r="F3184" t="s">
        <v>19</v>
      </c>
      <c r="G3184" t="s">
        <v>91</v>
      </c>
      <c r="H3184" t="s">
        <v>61</v>
      </c>
      <c r="I3184" s="12">
        <v>0.85416666666666663</v>
      </c>
      <c r="J3184" t="s">
        <v>92</v>
      </c>
      <c r="K3184" t="s">
        <v>61</v>
      </c>
      <c r="L3184" s="12">
        <v>0.88194444444444442</v>
      </c>
      <c r="M3184" t="s">
        <v>63</v>
      </c>
      <c r="N3184" s="3">
        <v>232</v>
      </c>
      <c r="O3184" t="s">
        <v>24</v>
      </c>
      <c r="P3184" t="s">
        <v>79</v>
      </c>
      <c r="R3184">
        <f>tblDailySchedule[[#This Row],[Capacity Approx]]*'[1]Load Factor Sheet June Acft  '!$B$5</f>
        <v>187.86727272727273</v>
      </c>
      <c r="S3184">
        <f>tblDailySchedule[[#This Row],[Capacity Approx]]*'[1]Load Factor Sheet June Acft  '!$D$5</f>
        <v>203.4218181818182</v>
      </c>
      <c r="T3184" s="22">
        <f>tblDailySchedule[[#This Row],[STD]]</f>
        <v>0.88194444444444442</v>
      </c>
    </row>
    <row r="3185" spans="1:20" hidden="1" x14ac:dyDescent="0.35">
      <c r="A3185" s="11">
        <v>46224</v>
      </c>
      <c r="B3185" s="3">
        <v>2</v>
      </c>
      <c r="C3185" t="s">
        <v>108</v>
      </c>
      <c r="D3185" t="s">
        <v>18</v>
      </c>
      <c r="E3185" s="3">
        <v>26</v>
      </c>
      <c r="F3185" t="s">
        <v>19</v>
      </c>
      <c r="G3185" t="s">
        <v>93</v>
      </c>
      <c r="H3185" t="s">
        <v>31</v>
      </c>
      <c r="I3185" s="12">
        <v>0.86111111111111116</v>
      </c>
      <c r="J3185" t="s">
        <v>94</v>
      </c>
      <c r="K3185" t="s">
        <v>31</v>
      </c>
      <c r="L3185" s="12">
        <v>0.88888888888888884</v>
      </c>
      <c r="M3185" t="s">
        <v>23</v>
      </c>
      <c r="N3185" s="3">
        <v>186</v>
      </c>
      <c r="O3185" t="s">
        <v>24</v>
      </c>
      <c r="P3185" t="s">
        <v>79</v>
      </c>
      <c r="R3185">
        <f>tblDailySchedule[[#This Row],[Capacity Approx]]*'[1]Load Factor Sheet June Acft  '!$B$5</f>
        <v>150.61772727272728</v>
      </c>
      <c r="S3185">
        <f>tblDailySchedule[[#This Row],[Capacity Approx]]*'[1]Load Factor Sheet June Acft  '!$D$5</f>
        <v>163.08818181818182</v>
      </c>
      <c r="T3185" s="22">
        <f>tblDailySchedule[[#This Row],[STD]]</f>
        <v>0.88888888888888884</v>
      </c>
    </row>
    <row r="3186" spans="1:20" hidden="1" x14ac:dyDescent="0.35">
      <c r="A3186" s="11">
        <v>46224</v>
      </c>
      <c r="B3186" s="3">
        <v>2</v>
      </c>
      <c r="C3186" t="s">
        <v>108</v>
      </c>
      <c r="D3186" t="s">
        <v>18</v>
      </c>
      <c r="E3186" s="3">
        <v>27</v>
      </c>
      <c r="F3186" t="s">
        <v>19</v>
      </c>
      <c r="G3186" t="s">
        <v>95</v>
      </c>
      <c r="H3186" t="s">
        <v>21</v>
      </c>
      <c r="I3186" s="12">
        <v>0.86805555555555558</v>
      </c>
      <c r="J3186" t="s">
        <v>96</v>
      </c>
      <c r="K3186" t="s">
        <v>21</v>
      </c>
      <c r="L3186" s="12">
        <v>0.89583333333333337</v>
      </c>
      <c r="M3186" t="s">
        <v>29</v>
      </c>
      <c r="N3186" s="3">
        <v>186</v>
      </c>
      <c r="O3186" t="s">
        <v>24</v>
      </c>
      <c r="P3186" t="s">
        <v>79</v>
      </c>
      <c r="R3186">
        <f>tblDailySchedule[[#This Row],[Capacity Approx]]*'[1]Load Factor Sheet June Acft  '!$B$5</f>
        <v>150.61772727272728</v>
      </c>
      <c r="S3186">
        <f>tblDailySchedule[[#This Row],[Capacity Approx]]*'[1]Load Factor Sheet June Acft  '!$D$5</f>
        <v>163.08818181818182</v>
      </c>
      <c r="T3186" s="22">
        <f>tblDailySchedule[[#This Row],[STD]]</f>
        <v>0.89583333333333337</v>
      </c>
    </row>
    <row r="3187" spans="1:20" hidden="1" x14ac:dyDescent="0.35">
      <c r="A3187" s="11">
        <v>46224</v>
      </c>
      <c r="B3187" s="3">
        <v>2</v>
      </c>
      <c r="C3187" t="s">
        <v>108</v>
      </c>
      <c r="D3187" t="s">
        <v>18</v>
      </c>
      <c r="E3187" s="3">
        <v>28</v>
      </c>
      <c r="F3187" t="s">
        <v>19</v>
      </c>
      <c r="G3187" t="s">
        <v>97</v>
      </c>
      <c r="H3187" t="s">
        <v>49</v>
      </c>
      <c r="I3187" s="12">
        <v>0.90277777777777779</v>
      </c>
      <c r="J3187" t="s">
        <v>97</v>
      </c>
      <c r="K3187" t="s">
        <v>61</v>
      </c>
      <c r="L3187" s="12">
        <v>0.92361111111111116</v>
      </c>
      <c r="M3187" t="s">
        <v>33</v>
      </c>
      <c r="N3187" s="3">
        <v>189</v>
      </c>
      <c r="O3187" t="s">
        <v>24</v>
      </c>
      <c r="P3187" t="s">
        <v>79</v>
      </c>
      <c r="R3187">
        <f>tblDailySchedule[[#This Row],[Capacity Approx]]*'[1]Load Factor Sheet June Acft  '!$B$5</f>
        <v>153.04704545454547</v>
      </c>
      <c r="S3187">
        <f>tblDailySchedule[[#This Row],[Capacity Approx]]*'[1]Load Factor Sheet June Acft  '!$D$5</f>
        <v>165.71863636363636</v>
      </c>
      <c r="T3187" s="22">
        <f>tblDailySchedule[[#This Row],[STD]]</f>
        <v>0.92361111111111116</v>
      </c>
    </row>
    <row r="3188" spans="1:20" hidden="1" x14ac:dyDescent="0.35">
      <c r="A3188" s="11">
        <v>46224</v>
      </c>
      <c r="B3188" s="3">
        <v>2</v>
      </c>
      <c r="C3188" t="s">
        <v>108</v>
      </c>
      <c r="D3188" t="s">
        <v>18</v>
      </c>
      <c r="E3188" s="3">
        <v>29</v>
      </c>
      <c r="F3188" t="s">
        <v>19</v>
      </c>
      <c r="G3188" t="s">
        <v>98</v>
      </c>
      <c r="H3188" t="s">
        <v>21</v>
      </c>
      <c r="I3188" s="12">
        <v>0.92013888888888884</v>
      </c>
      <c r="J3188" t="s">
        <v>99</v>
      </c>
      <c r="K3188" t="s">
        <v>21</v>
      </c>
      <c r="L3188" s="12">
        <v>0.94791666666666663</v>
      </c>
      <c r="M3188" t="s">
        <v>63</v>
      </c>
      <c r="N3188" s="3">
        <v>232</v>
      </c>
      <c r="O3188" t="s">
        <v>24</v>
      </c>
      <c r="P3188" t="s">
        <v>79</v>
      </c>
      <c r="R3188">
        <f>tblDailySchedule[[#This Row],[Capacity Approx]]*'[1]Load Factor Sheet June Acft  '!$B$5</f>
        <v>187.86727272727273</v>
      </c>
      <c r="S3188">
        <f>tblDailySchedule[[#This Row],[Capacity Approx]]*'[1]Load Factor Sheet June Acft  '!$D$5</f>
        <v>203.4218181818182</v>
      </c>
      <c r="T3188" s="22">
        <f>tblDailySchedule[[#This Row],[STD]]</f>
        <v>0.94791666666666663</v>
      </c>
    </row>
    <row r="3189" spans="1:20" hidden="1" x14ac:dyDescent="0.35">
      <c r="A3189" s="11">
        <v>46225</v>
      </c>
      <c r="B3189" s="3">
        <v>3</v>
      </c>
      <c r="C3189" t="s">
        <v>113</v>
      </c>
      <c r="D3189" t="s">
        <v>18</v>
      </c>
      <c r="E3189" s="3">
        <v>2</v>
      </c>
      <c r="F3189" t="s">
        <v>19</v>
      </c>
      <c r="G3189" t="s">
        <v>20</v>
      </c>
      <c r="H3189" t="s">
        <v>21</v>
      </c>
      <c r="I3189" s="12">
        <v>0.31944444444444442</v>
      </c>
      <c r="J3189" t="s">
        <v>22</v>
      </c>
      <c r="K3189" t="s">
        <v>21</v>
      </c>
      <c r="L3189" s="12">
        <v>0.34722222222222221</v>
      </c>
      <c r="M3189" t="s">
        <v>23</v>
      </c>
      <c r="N3189" s="3">
        <v>186</v>
      </c>
      <c r="O3189" t="s">
        <v>24</v>
      </c>
      <c r="P3189" t="s">
        <v>25</v>
      </c>
      <c r="R3189">
        <f>tblDailySchedule[[#This Row],[Capacity Approx]]*'[1]Load Factor Sheet June Acft  '!$B$5</f>
        <v>150.61772727272728</v>
      </c>
      <c r="S3189">
        <f>tblDailySchedule[[#This Row],[Capacity Approx]]*'[1]Load Factor Sheet June Acft  '!$D$5</f>
        <v>163.08818181818182</v>
      </c>
      <c r="T3189" s="22">
        <f>tblDailySchedule[[#This Row],[STD]]</f>
        <v>0.34722222222222221</v>
      </c>
    </row>
    <row r="3190" spans="1:20" hidden="1" x14ac:dyDescent="0.35">
      <c r="A3190" s="11">
        <v>46225</v>
      </c>
      <c r="B3190" s="3">
        <v>3</v>
      </c>
      <c r="C3190" t="s">
        <v>113</v>
      </c>
      <c r="D3190" t="s">
        <v>18</v>
      </c>
      <c r="E3190" s="3">
        <v>3</v>
      </c>
      <c r="F3190" t="s">
        <v>19</v>
      </c>
      <c r="G3190" t="s">
        <v>26</v>
      </c>
      <c r="H3190" t="s">
        <v>27</v>
      </c>
      <c r="I3190" s="12">
        <v>0.3263888888888889</v>
      </c>
      <c r="J3190" t="s">
        <v>28</v>
      </c>
      <c r="K3190" t="s">
        <v>27</v>
      </c>
      <c r="L3190" s="12">
        <v>0.35416666666666669</v>
      </c>
      <c r="M3190" t="s">
        <v>29</v>
      </c>
      <c r="N3190" s="3">
        <v>186</v>
      </c>
      <c r="O3190" t="s">
        <v>24</v>
      </c>
      <c r="P3190" t="s">
        <v>25</v>
      </c>
      <c r="R3190">
        <f>tblDailySchedule[[#This Row],[Capacity Approx]]*'[1]Load Factor Sheet June Acft  '!$B$5</f>
        <v>150.61772727272728</v>
      </c>
      <c r="S3190">
        <f>tblDailySchedule[[#This Row],[Capacity Approx]]*'[1]Load Factor Sheet June Acft  '!$D$5</f>
        <v>163.08818181818182</v>
      </c>
      <c r="T3190" s="22">
        <f>tblDailySchedule[[#This Row],[STD]]</f>
        <v>0.35416666666666669</v>
      </c>
    </row>
    <row r="3191" spans="1:20" hidden="1" x14ac:dyDescent="0.35">
      <c r="A3191" s="11">
        <v>46225</v>
      </c>
      <c r="B3191" s="3">
        <v>3</v>
      </c>
      <c r="C3191" t="s">
        <v>113</v>
      </c>
      <c r="D3191" t="s">
        <v>18</v>
      </c>
      <c r="E3191" s="3">
        <v>4</v>
      </c>
      <c r="F3191" t="s">
        <v>19</v>
      </c>
      <c r="G3191" t="s">
        <v>30</v>
      </c>
      <c r="H3191" t="s">
        <v>31</v>
      </c>
      <c r="I3191" s="12">
        <v>0.34722222222222221</v>
      </c>
      <c r="J3191" t="s">
        <v>32</v>
      </c>
      <c r="K3191" t="s">
        <v>31</v>
      </c>
      <c r="L3191" s="12">
        <v>0.36805555555555558</v>
      </c>
      <c r="M3191" t="s">
        <v>33</v>
      </c>
      <c r="N3191" s="3">
        <v>189</v>
      </c>
      <c r="O3191" t="s">
        <v>24</v>
      </c>
      <c r="P3191" t="s">
        <v>25</v>
      </c>
      <c r="R3191">
        <f>tblDailySchedule[[#This Row],[Capacity Approx]]*'[1]Load Factor Sheet June Acft  '!$B$5</f>
        <v>153.04704545454547</v>
      </c>
      <c r="S3191">
        <f>tblDailySchedule[[#This Row],[Capacity Approx]]*'[1]Load Factor Sheet June Acft  '!$D$5</f>
        <v>165.71863636363636</v>
      </c>
      <c r="T3191" s="22">
        <f>tblDailySchedule[[#This Row],[STD]]</f>
        <v>0.36805555555555558</v>
      </c>
    </row>
    <row r="3192" spans="1:20" hidden="1" x14ac:dyDescent="0.35">
      <c r="A3192" s="13">
        <v>46225</v>
      </c>
      <c r="B3192" s="7">
        <v>3</v>
      </c>
      <c r="C3192" s="14" t="s">
        <v>113</v>
      </c>
      <c r="D3192" s="14" t="s">
        <v>18</v>
      </c>
      <c r="E3192" s="7">
        <v>6</v>
      </c>
      <c r="F3192" s="14" t="s">
        <v>34</v>
      </c>
      <c r="G3192" s="14" t="s">
        <v>35</v>
      </c>
      <c r="H3192" s="14" t="s">
        <v>36</v>
      </c>
      <c r="I3192" s="15">
        <v>0.34722222222222221</v>
      </c>
      <c r="J3192" s="14" t="s">
        <v>37</v>
      </c>
      <c r="K3192" s="14" t="s">
        <v>36</v>
      </c>
      <c r="L3192" s="15">
        <v>0.40972222222222221</v>
      </c>
      <c r="M3192" s="14" t="s">
        <v>38</v>
      </c>
      <c r="N3192" s="7">
        <v>186</v>
      </c>
      <c r="O3192" s="14" t="s">
        <v>39</v>
      </c>
      <c r="P3192" s="14" t="s">
        <v>25</v>
      </c>
      <c r="Q3192" s="14" t="s">
        <v>39</v>
      </c>
      <c r="R3192">
        <f>tblDailySchedule[[#This Row],[Capacity Approx]]*'[1]Load Factor Sheet June Acft  '!$B$5</f>
        <v>150.61772727272728</v>
      </c>
      <c r="S3192">
        <f>tblDailySchedule[[#This Row],[Capacity Approx]]*'[1]Load Factor Sheet June Acft  '!$D$5</f>
        <v>163.08818181818182</v>
      </c>
      <c r="T3192" s="22">
        <f>tblDailySchedule[[#This Row],[STD]]</f>
        <v>0.40972222222222221</v>
      </c>
    </row>
    <row r="3193" spans="1:20" hidden="1" x14ac:dyDescent="0.35">
      <c r="A3193" s="11">
        <v>46225</v>
      </c>
      <c r="B3193" s="3">
        <v>3</v>
      </c>
      <c r="C3193" t="s">
        <v>113</v>
      </c>
      <c r="D3193" t="s">
        <v>18</v>
      </c>
      <c r="E3193" s="3">
        <v>5</v>
      </c>
      <c r="F3193" t="s">
        <v>19</v>
      </c>
      <c r="G3193" t="s">
        <v>40</v>
      </c>
      <c r="H3193" t="s">
        <v>31</v>
      </c>
      <c r="I3193" s="12">
        <v>0.35069444444444442</v>
      </c>
      <c r="J3193" t="s">
        <v>41</v>
      </c>
      <c r="K3193" t="s">
        <v>31</v>
      </c>
      <c r="L3193" s="12">
        <v>0.37152777777777779</v>
      </c>
      <c r="M3193" t="s">
        <v>23</v>
      </c>
      <c r="N3193" s="3">
        <v>186</v>
      </c>
      <c r="O3193" t="s">
        <v>24</v>
      </c>
      <c r="P3193" t="s">
        <v>25</v>
      </c>
      <c r="R3193">
        <f>tblDailySchedule[[#This Row],[Capacity Approx]]*'[1]Load Factor Sheet June Acft  '!$B$5</f>
        <v>150.61772727272728</v>
      </c>
      <c r="S3193">
        <f>tblDailySchedule[[#This Row],[Capacity Approx]]*'[1]Load Factor Sheet June Acft  '!$D$5</f>
        <v>163.08818181818182</v>
      </c>
      <c r="T3193" s="22">
        <f>tblDailySchedule[[#This Row],[STD]]</f>
        <v>0.37152777777777779</v>
      </c>
    </row>
    <row r="3194" spans="1:20" hidden="1" x14ac:dyDescent="0.35">
      <c r="A3194" s="11">
        <v>46225</v>
      </c>
      <c r="B3194" s="3">
        <v>3</v>
      </c>
      <c r="C3194" t="s">
        <v>113</v>
      </c>
      <c r="D3194" t="s">
        <v>18</v>
      </c>
      <c r="E3194" s="3">
        <v>7</v>
      </c>
      <c r="F3194" t="s">
        <v>19</v>
      </c>
      <c r="G3194" t="s">
        <v>42</v>
      </c>
      <c r="H3194" t="s">
        <v>43</v>
      </c>
      <c r="I3194" s="12">
        <v>0.3923611111111111</v>
      </c>
      <c r="J3194" t="s">
        <v>44</v>
      </c>
      <c r="K3194" t="s">
        <v>43</v>
      </c>
      <c r="L3194" s="12">
        <v>0.40277777777777779</v>
      </c>
      <c r="M3194" t="s">
        <v>45</v>
      </c>
      <c r="N3194" s="3">
        <v>9</v>
      </c>
      <c r="O3194" t="s">
        <v>24</v>
      </c>
      <c r="P3194" t="s">
        <v>25</v>
      </c>
      <c r="R3194">
        <f>tblDailySchedule[[#This Row],[Capacity Approx]]*'[1]Load Factor Sheet June Acft  '!$B$5</f>
        <v>7.2879545454545456</v>
      </c>
      <c r="S3194">
        <f>tblDailySchedule[[#This Row],[Capacity Approx]]*'[1]Load Factor Sheet June Acft  '!$D$5</f>
        <v>7.8913636363636366</v>
      </c>
      <c r="T3194" s="22">
        <f>tblDailySchedule[[#This Row],[STD]]</f>
        <v>0.40277777777777779</v>
      </c>
    </row>
    <row r="3195" spans="1:20" hidden="1" x14ac:dyDescent="0.35">
      <c r="A3195" s="11">
        <v>46225</v>
      </c>
      <c r="B3195" s="3">
        <v>3</v>
      </c>
      <c r="C3195" t="s">
        <v>113</v>
      </c>
      <c r="D3195" t="s">
        <v>18</v>
      </c>
      <c r="E3195" s="3">
        <v>8</v>
      </c>
      <c r="F3195" t="s">
        <v>19</v>
      </c>
      <c r="G3195" t="s">
        <v>46</v>
      </c>
      <c r="H3195" t="s">
        <v>31</v>
      </c>
      <c r="I3195" s="12">
        <v>0.4201388888888889</v>
      </c>
      <c r="J3195" t="s">
        <v>47</v>
      </c>
      <c r="K3195" t="s">
        <v>31</v>
      </c>
      <c r="L3195" s="12">
        <v>0.44444444444444442</v>
      </c>
      <c r="M3195" t="s">
        <v>29</v>
      </c>
      <c r="N3195" s="3">
        <v>186</v>
      </c>
      <c r="O3195" t="s">
        <v>24</v>
      </c>
      <c r="P3195" t="s">
        <v>25</v>
      </c>
      <c r="R3195">
        <f>tblDailySchedule[[#This Row],[Capacity Approx]]*'[1]Load Factor Sheet June Acft  '!$B$5</f>
        <v>150.61772727272728</v>
      </c>
      <c r="S3195">
        <f>tblDailySchedule[[#This Row],[Capacity Approx]]*'[1]Load Factor Sheet June Acft  '!$D$5</f>
        <v>163.08818181818182</v>
      </c>
      <c r="T3195" s="22">
        <f>tblDailySchedule[[#This Row],[STD]]</f>
        <v>0.44444444444444442</v>
      </c>
    </row>
    <row r="3196" spans="1:20" hidden="1" x14ac:dyDescent="0.35">
      <c r="A3196" s="11">
        <v>46225</v>
      </c>
      <c r="B3196" s="3">
        <v>3</v>
      </c>
      <c r="C3196" t="s">
        <v>113</v>
      </c>
      <c r="D3196" t="s">
        <v>18</v>
      </c>
      <c r="E3196" s="3">
        <v>9</v>
      </c>
      <c r="F3196" t="s">
        <v>19</v>
      </c>
      <c r="G3196" t="s">
        <v>48</v>
      </c>
      <c r="H3196" t="s">
        <v>49</v>
      </c>
      <c r="I3196" s="12">
        <v>0.4375</v>
      </c>
      <c r="J3196" t="s">
        <v>50</v>
      </c>
      <c r="K3196" t="s">
        <v>49</v>
      </c>
      <c r="L3196" s="12">
        <v>0.45833333333333331</v>
      </c>
      <c r="M3196" t="s">
        <v>51</v>
      </c>
      <c r="N3196" s="3">
        <v>78</v>
      </c>
      <c r="O3196" t="s">
        <v>24</v>
      </c>
      <c r="P3196" t="s">
        <v>25</v>
      </c>
      <c r="R3196">
        <f>tblDailySchedule[[#This Row],[Capacity Approx]]*'[1]Load Factor Sheet June Acft  '!$B$5</f>
        <v>63.162272727272729</v>
      </c>
      <c r="S3196">
        <f>tblDailySchedule[[#This Row],[Capacity Approx]]*'[1]Load Factor Sheet June Acft  '!$D$5</f>
        <v>68.391818181818181</v>
      </c>
      <c r="T3196" s="22">
        <f>tblDailySchedule[[#This Row],[STD]]</f>
        <v>0.45833333333333331</v>
      </c>
    </row>
    <row r="3197" spans="1:20" hidden="1" x14ac:dyDescent="0.35">
      <c r="A3197" s="11">
        <v>46225</v>
      </c>
      <c r="B3197" s="3">
        <v>3</v>
      </c>
      <c r="C3197" t="s">
        <v>113</v>
      </c>
      <c r="D3197" t="s">
        <v>18</v>
      </c>
      <c r="E3197" s="3">
        <v>10</v>
      </c>
      <c r="F3197" t="s">
        <v>19</v>
      </c>
      <c r="G3197" t="s">
        <v>52</v>
      </c>
      <c r="H3197" t="s">
        <v>27</v>
      </c>
      <c r="I3197" s="12">
        <v>0.4826388888888889</v>
      </c>
      <c r="J3197" t="s">
        <v>53</v>
      </c>
      <c r="K3197" t="s">
        <v>27</v>
      </c>
      <c r="L3197" s="12">
        <v>0.51041666666666663</v>
      </c>
      <c r="M3197" t="s">
        <v>23</v>
      </c>
      <c r="N3197" s="3">
        <v>186</v>
      </c>
      <c r="O3197" t="s">
        <v>24</v>
      </c>
      <c r="P3197" t="s">
        <v>25</v>
      </c>
      <c r="R3197">
        <f>tblDailySchedule[[#This Row],[Capacity Approx]]*'[1]Load Factor Sheet June Acft  '!$B$5</f>
        <v>150.61772727272728</v>
      </c>
      <c r="S3197">
        <f>tblDailySchedule[[#This Row],[Capacity Approx]]*'[1]Load Factor Sheet June Acft  '!$D$5</f>
        <v>163.08818181818182</v>
      </c>
      <c r="T3197" s="22">
        <f>tblDailySchedule[[#This Row],[STD]]</f>
        <v>0.51041666666666663</v>
      </c>
    </row>
    <row r="3198" spans="1:20" hidden="1" x14ac:dyDescent="0.35">
      <c r="A3198" s="11">
        <v>46225</v>
      </c>
      <c r="B3198" s="3">
        <v>3</v>
      </c>
      <c r="C3198" t="s">
        <v>113</v>
      </c>
      <c r="D3198" t="s">
        <v>18</v>
      </c>
      <c r="E3198" s="3">
        <v>11</v>
      </c>
      <c r="F3198" t="s">
        <v>19</v>
      </c>
      <c r="G3198" t="s">
        <v>54</v>
      </c>
      <c r="H3198" t="s">
        <v>31</v>
      </c>
      <c r="I3198" s="12">
        <v>0.51388888888888884</v>
      </c>
      <c r="J3198" t="s">
        <v>55</v>
      </c>
      <c r="K3198" t="s">
        <v>31</v>
      </c>
      <c r="L3198" s="12">
        <v>0.54166666666666663</v>
      </c>
      <c r="M3198" t="s">
        <v>23</v>
      </c>
      <c r="N3198" s="3">
        <v>186</v>
      </c>
      <c r="O3198" t="s">
        <v>24</v>
      </c>
      <c r="P3198" t="s">
        <v>56</v>
      </c>
      <c r="R3198">
        <f>tblDailySchedule[[#This Row],[Capacity Approx]]*'[1]Load Factor Sheet June Acft  '!$B$5</f>
        <v>150.61772727272728</v>
      </c>
      <c r="S3198">
        <f>tblDailySchedule[[#This Row],[Capacity Approx]]*'[1]Load Factor Sheet June Acft  '!$D$5</f>
        <v>163.08818181818182</v>
      </c>
      <c r="T3198" s="22">
        <f>tblDailySchedule[[#This Row],[STD]]</f>
        <v>0.54166666666666663</v>
      </c>
    </row>
    <row r="3199" spans="1:20" hidden="1" x14ac:dyDescent="0.35">
      <c r="A3199" s="11">
        <v>46225</v>
      </c>
      <c r="B3199" s="3">
        <v>3</v>
      </c>
      <c r="C3199" t="s">
        <v>113</v>
      </c>
      <c r="D3199" t="s">
        <v>18</v>
      </c>
      <c r="E3199" s="3">
        <v>13</v>
      </c>
      <c r="F3199" t="s">
        <v>19</v>
      </c>
      <c r="G3199" t="s">
        <v>57</v>
      </c>
      <c r="H3199" t="s">
        <v>58</v>
      </c>
      <c r="I3199" s="12">
        <v>0.55902777777777779</v>
      </c>
      <c r="J3199" t="s">
        <v>59</v>
      </c>
      <c r="K3199" t="s">
        <v>58</v>
      </c>
      <c r="L3199" s="12">
        <v>0.57638888888888884</v>
      </c>
      <c r="M3199" t="s">
        <v>51</v>
      </c>
      <c r="N3199" s="3">
        <v>78</v>
      </c>
      <c r="O3199" t="s">
        <v>24</v>
      </c>
      <c r="P3199" t="s">
        <v>56</v>
      </c>
      <c r="R3199">
        <f>tblDailySchedule[[#This Row],[Capacity Approx]]*'[1]Load Factor Sheet June Acft  '!$B$5</f>
        <v>63.162272727272729</v>
      </c>
      <c r="S3199">
        <f>tblDailySchedule[[#This Row],[Capacity Approx]]*'[1]Load Factor Sheet June Acft  '!$D$5</f>
        <v>68.391818181818181</v>
      </c>
      <c r="T3199" s="22">
        <f>tblDailySchedule[[#This Row],[STD]]</f>
        <v>0.57638888888888884</v>
      </c>
    </row>
    <row r="3200" spans="1:20" hidden="1" x14ac:dyDescent="0.35">
      <c r="A3200" s="11">
        <v>46225</v>
      </c>
      <c r="B3200" s="3">
        <v>3</v>
      </c>
      <c r="C3200" t="s">
        <v>113</v>
      </c>
      <c r="D3200" t="s">
        <v>18</v>
      </c>
      <c r="E3200" s="3">
        <v>14</v>
      </c>
      <c r="F3200" t="s">
        <v>19</v>
      </c>
      <c r="G3200" t="s">
        <v>60</v>
      </c>
      <c r="H3200" t="s">
        <v>61</v>
      </c>
      <c r="I3200" s="12">
        <v>0.59027777777777779</v>
      </c>
      <c r="J3200" t="s">
        <v>62</v>
      </c>
      <c r="K3200" t="s">
        <v>61</v>
      </c>
      <c r="L3200" s="12">
        <v>0.62152777777777779</v>
      </c>
      <c r="M3200" t="s">
        <v>63</v>
      </c>
      <c r="N3200" s="3">
        <v>232</v>
      </c>
      <c r="O3200" t="s">
        <v>24</v>
      </c>
      <c r="P3200" t="s">
        <v>56</v>
      </c>
      <c r="R3200">
        <f>tblDailySchedule[[#This Row],[Capacity Approx]]*'[1]Load Factor Sheet June Acft  '!$B$5</f>
        <v>187.86727272727273</v>
      </c>
      <c r="S3200">
        <f>tblDailySchedule[[#This Row],[Capacity Approx]]*'[1]Load Factor Sheet June Acft  '!$D$5</f>
        <v>203.4218181818182</v>
      </c>
      <c r="T3200" s="22">
        <f>tblDailySchedule[[#This Row],[STD]]</f>
        <v>0.62152777777777779</v>
      </c>
    </row>
    <row r="3201" spans="1:20" hidden="1" x14ac:dyDescent="0.35">
      <c r="A3201" s="11">
        <v>46225</v>
      </c>
      <c r="B3201" s="3">
        <v>3</v>
      </c>
      <c r="C3201" t="s">
        <v>113</v>
      </c>
      <c r="D3201" t="s">
        <v>18</v>
      </c>
      <c r="E3201" s="3">
        <v>15</v>
      </c>
      <c r="F3201" t="s">
        <v>19</v>
      </c>
      <c r="G3201" t="s">
        <v>64</v>
      </c>
      <c r="H3201" t="s">
        <v>31</v>
      </c>
      <c r="I3201" s="12">
        <v>0.60069444444444442</v>
      </c>
      <c r="J3201" t="s">
        <v>65</v>
      </c>
      <c r="K3201" t="s">
        <v>66</v>
      </c>
      <c r="L3201" s="12">
        <v>0.62847222222222221</v>
      </c>
      <c r="M3201" t="s">
        <v>63</v>
      </c>
      <c r="N3201" s="3">
        <v>232</v>
      </c>
      <c r="O3201" t="s">
        <v>24</v>
      </c>
      <c r="P3201" t="s">
        <v>56</v>
      </c>
      <c r="R3201">
        <f>tblDailySchedule[[#This Row],[Capacity Approx]]*'[1]Load Factor Sheet June Acft  '!$B$5</f>
        <v>187.86727272727273</v>
      </c>
      <c r="S3201">
        <f>tblDailySchedule[[#This Row],[Capacity Approx]]*'[1]Load Factor Sheet June Acft  '!$D$5</f>
        <v>203.4218181818182</v>
      </c>
      <c r="T3201" s="22">
        <f>tblDailySchedule[[#This Row],[STD]]</f>
        <v>0.62847222222222221</v>
      </c>
    </row>
    <row r="3202" spans="1:20" hidden="1" x14ac:dyDescent="0.35">
      <c r="A3202" s="11">
        <v>46225</v>
      </c>
      <c r="B3202" s="3">
        <v>3</v>
      </c>
      <c r="C3202" t="s">
        <v>113</v>
      </c>
      <c r="D3202" t="s">
        <v>18</v>
      </c>
      <c r="E3202" s="3">
        <v>16</v>
      </c>
      <c r="F3202" t="s">
        <v>19</v>
      </c>
      <c r="G3202" t="s">
        <v>67</v>
      </c>
      <c r="H3202" t="s">
        <v>31</v>
      </c>
      <c r="I3202" s="12">
        <v>0.65625</v>
      </c>
      <c r="J3202" t="s">
        <v>68</v>
      </c>
      <c r="K3202" t="s">
        <v>31</v>
      </c>
      <c r="L3202" s="12">
        <v>0.68402777777777779</v>
      </c>
      <c r="M3202" t="s">
        <v>63</v>
      </c>
      <c r="N3202" s="3">
        <v>232</v>
      </c>
      <c r="O3202" t="s">
        <v>24</v>
      </c>
      <c r="P3202" t="s">
        <v>56</v>
      </c>
      <c r="R3202">
        <f>tblDailySchedule[[#This Row],[Capacity Approx]]*'[1]Load Factor Sheet June Acft  '!$B$5</f>
        <v>187.86727272727273</v>
      </c>
      <c r="S3202">
        <f>tblDailySchedule[[#This Row],[Capacity Approx]]*'[1]Load Factor Sheet June Acft  '!$D$5</f>
        <v>203.4218181818182</v>
      </c>
      <c r="T3202" s="22">
        <f>tblDailySchedule[[#This Row],[STD]]</f>
        <v>0.68402777777777779</v>
      </c>
    </row>
    <row r="3203" spans="1:20" hidden="1" x14ac:dyDescent="0.35">
      <c r="A3203" s="11">
        <v>46225</v>
      </c>
      <c r="B3203" s="3">
        <v>3</v>
      </c>
      <c r="C3203" t="s">
        <v>113</v>
      </c>
      <c r="D3203" t="s">
        <v>18</v>
      </c>
      <c r="E3203" s="3">
        <v>17</v>
      </c>
      <c r="F3203" t="s">
        <v>19</v>
      </c>
      <c r="G3203" t="s">
        <v>69</v>
      </c>
      <c r="H3203" t="s">
        <v>31</v>
      </c>
      <c r="I3203" s="12">
        <v>0.66319444444444442</v>
      </c>
      <c r="J3203" t="s">
        <v>70</v>
      </c>
      <c r="K3203" t="s">
        <v>31</v>
      </c>
      <c r="L3203" s="12">
        <v>0.69097222222222221</v>
      </c>
      <c r="M3203" t="s">
        <v>33</v>
      </c>
      <c r="N3203" s="3">
        <v>189</v>
      </c>
      <c r="O3203" t="s">
        <v>24</v>
      </c>
      <c r="P3203" t="s">
        <v>56</v>
      </c>
      <c r="R3203">
        <f>tblDailySchedule[[#This Row],[Capacity Approx]]*'[1]Load Factor Sheet June Acft  '!$B$5</f>
        <v>153.04704545454547</v>
      </c>
      <c r="S3203">
        <f>tblDailySchedule[[#This Row],[Capacity Approx]]*'[1]Load Factor Sheet June Acft  '!$D$5</f>
        <v>165.71863636363636</v>
      </c>
      <c r="T3203" s="22">
        <f>tblDailySchedule[[#This Row],[STD]]</f>
        <v>0.69097222222222221</v>
      </c>
    </row>
    <row r="3204" spans="1:20" hidden="1" x14ac:dyDescent="0.35">
      <c r="A3204" s="11">
        <v>46225</v>
      </c>
      <c r="B3204" s="3">
        <v>3</v>
      </c>
      <c r="C3204" t="s">
        <v>113</v>
      </c>
      <c r="D3204" t="s">
        <v>18</v>
      </c>
      <c r="E3204" s="3">
        <v>18</v>
      </c>
      <c r="F3204" t="s">
        <v>19</v>
      </c>
      <c r="G3204" t="s">
        <v>71</v>
      </c>
      <c r="H3204" t="s">
        <v>21</v>
      </c>
      <c r="I3204" s="12">
        <v>0.67013888888888884</v>
      </c>
      <c r="J3204" t="s">
        <v>72</v>
      </c>
      <c r="K3204" t="s">
        <v>21</v>
      </c>
      <c r="L3204" s="12">
        <v>0.69791666666666663</v>
      </c>
      <c r="M3204" t="s">
        <v>63</v>
      </c>
      <c r="N3204" s="3">
        <v>232</v>
      </c>
      <c r="O3204" t="s">
        <v>24</v>
      </c>
      <c r="P3204" t="s">
        <v>56</v>
      </c>
      <c r="R3204">
        <f>tblDailySchedule[[#This Row],[Capacity Approx]]*'[1]Load Factor Sheet June Acft  '!$B$5</f>
        <v>187.86727272727273</v>
      </c>
      <c r="S3204">
        <f>tblDailySchedule[[#This Row],[Capacity Approx]]*'[1]Load Factor Sheet June Acft  '!$D$5</f>
        <v>203.4218181818182</v>
      </c>
      <c r="T3204" s="22">
        <f>tblDailySchedule[[#This Row],[STD]]</f>
        <v>0.69791666666666663</v>
      </c>
    </row>
    <row r="3205" spans="1:20" hidden="1" x14ac:dyDescent="0.35">
      <c r="A3205" s="11">
        <v>46225</v>
      </c>
      <c r="B3205" s="3">
        <v>3</v>
      </c>
      <c r="C3205" t="s">
        <v>113</v>
      </c>
      <c r="D3205" t="s">
        <v>18</v>
      </c>
      <c r="E3205" s="3">
        <v>19</v>
      </c>
      <c r="F3205" t="s">
        <v>19</v>
      </c>
      <c r="G3205" t="s">
        <v>73</v>
      </c>
      <c r="H3205" t="s">
        <v>27</v>
      </c>
      <c r="I3205" s="12">
        <v>0.74652777777777779</v>
      </c>
      <c r="J3205" t="s">
        <v>74</v>
      </c>
      <c r="K3205" t="s">
        <v>27</v>
      </c>
      <c r="L3205" s="12">
        <v>0.77430555555555558</v>
      </c>
      <c r="M3205" t="s">
        <v>63</v>
      </c>
      <c r="N3205" s="3">
        <v>232</v>
      </c>
      <c r="O3205" t="s">
        <v>24</v>
      </c>
      <c r="P3205" t="s">
        <v>56</v>
      </c>
      <c r="R3205">
        <f>tblDailySchedule[[#This Row],[Capacity Approx]]*'[1]Load Factor Sheet June Acft  '!$B$5</f>
        <v>187.86727272727273</v>
      </c>
      <c r="S3205">
        <f>tblDailySchedule[[#This Row],[Capacity Approx]]*'[1]Load Factor Sheet June Acft  '!$D$5</f>
        <v>203.4218181818182</v>
      </c>
      <c r="T3205" s="22">
        <f>tblDailySchedule[[#This Row],[STD]]</f>
        <v>0.77430555555555558</v>
      </c>
    </row>
    <row r="3206" spans="1:20" hidden="1" x14ac:dyDescent="0.35">
      <c r="A3206" s="11">
        <v>46225</v>
      </c>
      <c r="B3206" s="3">
        <v>3</v>
      </c>
      <c r="C3206" t="s">
        <v>113</v>
      </c>
      <c r="D3206" t="s">
        <v>18</v>
      </c>
      <c r="E3206" s="3">
        <v>20</v>
      </c>
      <c r="F3206" t="s">
        <v>34</v>
      </c>
      <c r="G3206" t="s">
        <v>75</v>
      </c>
      <c r="H3206" t="s">
        <v>76</v>
      </c>
      <c r="I3206" s="12">
        <v>0.76388888888888884</v>
      </c>
      <c r="J3206" t="s">
        <v>77</v>
      </c>
      <c r="K3206" t="s">
        <v>78</v>
      </c>
      <c r="L3206" s="12">
        <v>0.78472222222222221</v>
      </c>
      <c r="M3206" t="s">
        <v>51</v>
      </c>
      <c r="N3206" s="3">
        <v>78</v>
      </c>
      <c r="O3206" t="s">
        <v>24</v>
      </c>
      <c r="P3206" t="s">
        <v>79</v>
      </c>
      <c r="Q3206" s="16" t="s">
        <v>80</v>
      </c>
      <c r="R3206">
        <f>tblDailySchedule[[#This Row],[Capacity Approx]]*'[1]Load Factor Sheet June Acft  '!$B$5</f>
        <v>63.162272727272729</v>
      </c>
      <c r="S3206">
        <f>tblDailySchedule[[#This Row],[Capacity Approx]]*'[1]Load Factor Sheet June Acft  '!$D$5</f>
        <v>68.391818181818181</v>
      </c>
      <c r="T3206" s="22">
        <f>tblDailySchedule[[#This Row],[STD]]</f>
        <v>0.78472222222222221</v>
      </c>
    </row>
    <row r="3207" spans="1:20" hidden="1" x14ac:dyDescent="0.35">
      <c r="A3207" s="11">
        <v>46225</v>
      </c>
      <c r="B3207" s="3">
        <v>3</v>
      </c>
      <c r="C3207" t="s">
        <v>113</v>
      </c>
      <c r="D3207" t="s">
        <v>18</v>
      </c>
      <c r="E3207" s="3">
        <v>21</v>
      </c>
      <c r="F3207" t="s">
        <v>19</v>
      </c>
      <c r="G3207" t="s">
        <v>81</v>
      </c>
      <c r="H3207" t="s">
        <v>61</v>
      </c>
      <c r="I3207" s="12">
        <v>0.77083333333333337</v>
      </c>
      <c r="J3207" t="s">
        <v>82</v>
      </c>
      <c r="K3207" t="s">
        <v>49</v>
      </c>
      <c r="L3207" s="12">
        <v>0.79166666666666663</v>
      </c>
      <c r="M3207" t="s">
        <v>33</v>
      </c>
      <c r="N3207" s="3">
        <v>189</v>
      </c>
      <c r="O3207" t="s">
        <v>24</v>
      </c>
      <c r="P3207" t="s">
        <v>79</v>
      </c>
      <c r="R3207">
        <f>tblDailySchedule[[#This Row],[Capacity Approx]]*'[1]Load Factor Sheet June Acft  '!$B$5</f>
        <v>153.04704545454547</v>
      </c>
      <c r="S3207">
        <f>tblDailySchedule[[#This Row],[Capacity Approx]]*'[1]Load Factor Sheet June Acft  '!$D$5</f>
        <v>165.71863636363636</v>
      </c>
      <c r="T3207" s="22">
        <f>tblDailySchedule[[#This Row],[STD]]</f>
        <v>0.79166666666666663</v>
      </c>
    </row>
    <row r="3208" spans="1:20" hidden="1" x14ac:dyDescent="0.35">
      <c r="A3208" s="11">
        <v>46225</v>
      </c>
      <c r="B3208" s="3">
        <v>3</v>
      </c>
      <c r="C3208" t="s">
        <v>113</v>
      </c>
      <c r="D3208" t="s">
        <v>18</v>
      </c>
      <c r="E3208" s="3">
        <v>22</v>
      </c>
      <c r="F3208" t="s">
        <v>19</v>
      </c>
      <c r="G3208" t="s">
        <v>83</v>
      </c>
      <c r="H3208" t="s">
        <v>31</v>
      </c>
      <c r="I3208" s="12">
        <v>0.77777777777777779</v>
      </c>
      <c r="J3208" t="s">
        <v>84</v>
      </c>
      <c r="K3208" t="s">
        <v>31</v>
      </c>
      <c r="L3208" s="12">
        <v>0.80555555555555558</v>
      </c>
      <c r="M3208" t="s">
        <v>63</v>
      </c>
      <c r="N3208" s="3">
        <v>232</v>
      </c>
      <c r="O3208" t="s">
        <v>24</v>
      </c>
      <c r="P3208" t="s">
        <v>79</v>
      </c>
      <c r="R3208">
        <f>tblDailySchedule[[#This Row],[Capacity Approx]]*'[1]Load Factor Sheet June Acft  '!$B$5</f>
        <v>187.86727272727273</v>
      </c>
      <c r="S3208">
        <f>tblDailySchedule[[#This Row],[Capacity Approx]]*'[1]Load Factor Sheet June Acft  '!$D$5</f>
        <v>203.4218181818182</v>
      </c>
      <c r="T3208" s="22">
        <f>tblDailySchedule[[#This Row],[STD]]</f>
        <v>0.80555555555555558</v>
      </c>
    </row>
    <row r="3209" spans="1:20" hidden="1" x14ac:dyDescent="0.35">
      <c r="A3209" s="11">
        <v>46225</v>
      </c>
      <c r="B3209" s="3">
        <v>3</v>
      </c>
      <c r="C3209" t="s">
        <v>113</v>
      </c>
      <c r="D3209" t="s">
        <v>18</v>
      </c>
      <c r="E3209" s="3">
        <v>23</v>
      </c>
      <c r="F3209" t="s">
        <v>19</v>
      </c>
      <c r="G3209" t="s">
        <v>85</v>
      </c>
      <c r="H3209" t="s">
        <v>86</v>
      </c>
      <c r="I3209" s="12">
        <v>0.79861111111111116</v>
      </c>
      <c r="J3209" t="s">
        <v>87</v>
      </c>
      <c r="K3209" t="s">
        <v>86</v>
      </c>
      <c r="L3209" s="12">
        <v>0.82638888888888884</v>
      </c>
      <c r="M3209" t="s">
        <v>63</v>
      </c>
      <c r="N3209" s="3">
        <v>232</v>
      </c>
      <c r="O3209" t="s">
        <v>24</v>
      </c>
      <c r="P3209" t="s">
        <v>79</v>
      </c>
      <c r="R3209">
        <f>tblDailySchedule[[#This Row],[Capacity Approx]]*'[1]Load Factor Sheet June Acft  '!$B$5</f>
        <v>187.86727272727273</v>
      </c>
      <c r="S3209">
        <f>tblDailySchedule[[#This Row],[Capacity Approx]]*'[1]Load Factor Sheet June Acft  '!$D$5</f>
        <v>203.4218181818182</v>
      </c>
      <c r="T3209" s="22">
        <f>tblDailySchedule[[#This Row],[STD]]</f>
        <v>0.82638888888888884</v>
      </c>
    </row>
    <row r="3210" spans="1:20" hidden="1" x14ac:dyDescent="0.35">
      <c r="A3210" s="11">
        <v>46225</v>
      </c>
      <c r="B3210" s="3">
        <v>3</v>
      </c>
      <c r="C3210" t="s">
        <v>113</v>
      </c>
      <c r="D3210" t="s">
        <v>18</v>
      </c>
      <c r="E3210" s="3">
        <v>24</v>
      </c>
      <c r="F3210" t="s">
        <v>19</v>
      </c>
      <c r="G3210" t="s">
        <v>88</v>
      </c>
      <c r="H3210" t="s">
        <v>89</v>
      </c>
      <c r="I3210" s="12">
        <v>0.83333333333333337</v>
      </c>
      <c r="J3210" t="s">
        <v>90</v>
      </c>
      <c r="K3210" t="s">
        <v>31</v>
      </c>
      <c r="L3210" s="12">
        <v>0.86111111111111116</v>
      </c>
      <c r="M3210" t="s">
        <v>63</v>
      </c>
      <c r="N3210" s="3">
        <v>232</v>
      </c>
      <c r="O3210" t="s">
        <v>24</v>
      </c>
      <c r="P3210" t="s">
        <v>79</v>
      </c>
      <c r="R3210">
        <f>tblDailySchedule[[#This Row],[Capacity Approx]]*'[1]Load Factor Sheet June Acft  '!$B$5</f>
        <v>187.86727272727273</v>
      </c>
      <c r="S3210">
        <f>tblDailySchedule[[#This Row],[Capacity Approx]]*'[1]Load Factor Sheet June Acft  '!$D$5</f>
        <v>203.4218181818182</v>
      </c>
      <c r="T3210" s="22">
        <f>tblDailySchedule[[#This Row],[STD]]</f>
        <v>0.86111111111111116</v>
      </c>
    </row>
    <row r="3211" spans="1:20" hidden="1" x14ac:dyDescent="0.35">
      <c r="A3211" s="11">
        <v>46225</v>
      </c>
      <c r="B3211" s="3">
        <v>3</v>
      </c>
      <c r="C3211" t="s">
        <v>113</v>
      </c>
      <c r="D3211" t="s">
        <v>18</v>
      </c>
      <c r="E3211" s="3">
        <v>25</v>
      </c>
      <c r="F3211" t="s">
        <v>19</v>
      </c>
      <c r="G3211" t="s">
        <v>91</v>
      </c>
      <c r="H3211" t="s">
        <v>61</v>
      </c>
      <c r="I3211" s="12">
        <v>0.85416666666666663</v>
      </c>
      <c r="J3211" t="s">
        <v>92</v>
      </c>
      <c r="K3211" t="s">
        <v>61</v>
      </c>
      <c r="L3211" s="12">
        <v>0.88194444444444442</v>
      </c>
      <c r="M3211" t="s">
        <v>63</v>
      </c>
      <c r="N3211" s="3">
        <v>232</v>
      </c>
      <c r="O3211" t="s">
        <v>24</v>
      </c>
      <c r="P3211" t="s">
        <v>79</v>
      </c>
      <c r="R3211">
        <f>tblDailySchedule[[#This Row],[Capacity Approx]]*'[1]Load Factor Sheet June Acft  '!$B$5</f>
        <v>187.86727272727273</v>
      </c>
      <c r="S3211">
        <f>tblDailySchedule[[#This Row],[Capacity Approx]]*'[1]Load Factor Sheet June Acft  '!$D$5</f>
        <v>203.4218181818182</v>
      </c>
      <c r="T3211" s="22">
        <f>tblDailySchedule[[#This Row],[STD]]</f>
        <v>0.88194444444444442</v>
      </c>
    </row>
    <row r="3212" spans="1:20" hidden="1" x14ac:dyDescent="0.35">
      <c r="A3212" s="11">
        <v>46225</v>
      </c>
      <c r="B3212" s="3">
        <v>3</v>
      </c>
      <c r="C3212" t="s">
        <v>113</v>
      </c>
      <c r="D3212" t="s">
        <v>18</v>
      </c>
      <c r="E3212" s="3">
        <v>26</v>
      </c>
      <c r="F3212" t="s">
        <v>19</v>
      </c>
      <c r="G3212" t="s">
        <v>93</v>
      </c>
      <c r="H3212" t="s">
        <v>31</v>
      </c>
      <c r="I3212" s="12">
        <v>0.86111111111111116</v>
      </c>
      <c r="J3212" t="s">
        <v>94</v>
      </c>
      <c r="K3212" t="s">
        <v>31</v>
      </c>
      <c r="L3212" s="12">
        <v>0.88888888888888884</v>
      </c>
      <c r="M3212" t="s">
        <v>23</v>
      </c>
      <c r="N3212" s="3">
        <v>186</v>
      </c>
      <c r="O3212" t="s">
        <v>24</v>
      </c>
      <c r="P3212" t="s">
        <v>79</v>
      </c>
      <c r="R3212">
        <f>tblDailySchedule[[#This Row],[Capacity Approx]]*'[1]Load Factor Sheet June Acft  '!$B$5</f>
        <v>150.61772727272728</v>
      </c>
      <c r="S3212">
        <f>tblDailySchedule[[#This Row],[Capacity Approx]]*'[1]Load Factor Sheet June Acft  '!$D$5</f>
        <v>163.08818181818182</v>
      </c>
      <c r="T3212" s="22">
        <f>tblDailySchedule[[#This Row],[STD]]</f>
        <v>0.88888888888888884</v>
      </c>
    </row>
    <row r="3213" spans="1:20" hidden="1" x14ac:dyDescent="0.35">
      <c r="A3213" s="11">
        <v>46225</v>
      </c>
      <c r="B3213" s="3">
        <v>3</v>
      </c>
      <c r="C3213" t="s">
        <v>113</v>
      </c>
      <c r="D3213" t="s">
        <v>18</v>
      </c>
      <c r="E3213" s="3">
        <v>27</v>
      </c>
      <c r="F3213" t="s">
        <v>19</v>
      </c>
      <c r="G3213" t="s">
        <v>95</v>
      </c>
      <c r="H3213" t="s">
        <v>21</v>
      </c>
      <c r="I3213" s="12">
        <v>0.86805555555555558</v>
      </c>
      <c r="J3213" t="s">
        <v>96</v>
      </c>
      <c r="K3213" t="s">
        <v>21</v>
      </c>
      <c r="L3213" s="12">
        <v>0.89583333333333337</v>
      </c>
      <c r="M3213" t="s">
        <v>29</v>
      </c>
      <c r="N3213" s="3">
        <v>186</v>
      </c>
      <c r="O3213" t="s">
        <v>24</v>
      </c>
      <c r="P3213" t="s">
        <v>79</v>
      </c>
      <c r="R3213">
        <f>tblDailySchedule[[#This Row],[Capacity Approx]]*'[1]Load Factor Sheet June Acft  '!$B$5</f>
        <v>150.61772727272728</v>
      </c>
      <c r="S3213">
        <f>tblDailySchedule[[#This Row],[Capacity Approx]]*'[1]Load Factor Sheet June Acft  '!$D$5</f>
        <v>163.08818181818182</v>
      </c>
      <c r="T3213" s="22">
        <f>tblDailySchedule[[#This Row],[STD]]</f>
        <v>0.89583333333333337</v>
      </c>
    </row>
    <row r="3214" spans="1:20" hidden="1" x14ac:dyDescent="0.35">
      <c r="A3214" s="11">
        <v>46225</v>
      </c>
      <c r="B3214" s="3">
        <v>3</v>
      </c>
      <c r="C3214" t="s">
        <v>113</v>
      </c>
      <c r="D3214" t="s">
        <v>18</v>
      </c>
      <c r="E3214" s="3">
        <v>28</v>
      </c>
      <c r="F3214" t="s">
        <v>19</v>
      </c>
      <c r="G3214" t="s">
        <v>97</v>
      </c>
      <c r="H3214" t="s">
        <v>49</v>
      </c>
      <c r="I3214" s="12">
        <v>0.90277777777777779</v>
      </c>
      <c r="J3214" t="s">
        <v>97</v>
      </c>
      <c r="K3214" t="s">
        <v>61</v>
      </c>
      <c r="L3214" s="12">
        <v>0.92361111111111116</v>
      </c>
      <c r="M3214" t="s">
        <v>33</v>
      </c>
      <c r="N3214" s="3">
        <v>189</v>
      </c>
      <c r="O3214" t="s">
        <v>24</v>
      </c>
      <c r="P3214" t="s">
        <v>79</v>
      </c>
      <c r="R3214">
        <f>tblDailySchedule[[#This Row],[Capacity Approx]]*'[1]Load Factor Sheet June Acft  '!$B$5</f>
        <v>153.04704545454547</v>
      </c>
      <c r="S3214">
        <f>tblDailySchedule[[#This Row],[Capacity Approx]]*'[1]Load Factor Sheet June Acft  '!$D$5</f>
        <v>165.71863636363636</v>
      </c>
      <c r="T3214" s="22">
        <f>tblDailySchedule[[#This Row],[STD]]</f>
        <v>0.92361111111111116</v>
      </c>
    </row>
    <row r="3215" spans="1:20" hidden="1" x14ac:dyDescent="0.35">
      <c r="A3215" s="11">
        <v>46225</v>
      </c>
      <c r="B3215" s="3">
        <v>3</v>
      </c>
      <c r="C3215" t="s">
        <v>113</v>
      </c>
      <c r="D3215" t="s">
        <v>18</v>
      </c>
      <c r="E3215" s="3">
        <v>29</v>
      </c>
      <c r="F3215" t="s">
        <v>19</v>
      </c>
      <c r="G3215" t="s">
        <v>98</v>
      </c>
      <c r="H3215" t="s">
        <v>21</v>
      </c>
      <c r="I3215" s="12">
        <v>0.92013888888888884</v>
      </c>
      <c r="J3215" t="s">
        <v>99</v>
      </c>
      <c r="K3215" t="s">
        <v>21</v>
      </c>
      <c r="L3215" s="12">
        <v>0.94791666666666663</v>
      </c>
      <c r="M3215" t="s">
        <v>63</v>
      </c>
      <c r="N3215" s="3">
        <v>232</v>
      </c>
      <c r="O3215" t="s">
        <v>24</v>
      </c>
      <c r="P3215" t="s">
        <v>79</v>
      </c>
      <c r="R3215">
        <f>tblDailySchedule[[#This Row],[Capacity Approx]]*'[1]Load Factor Sheet June Acft  '!$B$5</f>
        <v>187.86727272727273</v>
      </c>
      <c r="S3215">
        <f>tblDailySchedule[[#This Row],[Capacity Approx]]*'[1]Load Factor Sheet June Acft  '!$D$5</f>
        <v>203.4218181818182</v>
      </c>
      <c r="T3215" s="22">
        <f>tblDailySchedule[[#This Row],[STD]]</f>
        <v>0.94791666666666663</v>
      </c>
    </row>
    <row r="3216" spans="1:20" hidden="1" x14ac:dyDescent="0.35">
      <c r="A3216" s="13">
        <v>46225</v>
      </c>
      <c r="B3216" s="7">
        <v>3</v>
      </c>
      <c r="C3216" s="14" t="s">
        <v>113</v>
      </c>
      <c r="D3216" s="14" t="s">
        <v>18</v>
      </c>
      <c r="E3216" s="7">
        <v>30</v>
      </c>
      <c r="F3216" s="14" t="s">
        <v>104</v>
      </c>
      <c r="G3216" s="14" t="s">
        <v>105</v>
      </c>
      <c r="H3216" s="14" t="s">
        <v>106</v>
      </c>
      <c r="I3216" s="15">
        <v>0.92708333333333337</v>
      </c>
      <c r="J3216" s="14" t="s">
        <v>107</v>
      </c>
      <c r="K3216" s="14" t="s">
        <v>106</v>
      </c>
      <c r="L3216" s="15">
        <v>0.95833333333333337</v>
      </c>
      <c r="M3216" s="14" t="s">
        <v>38</v>
      </c>
      <c r="N3216" s="7">
        <v>186</v>
      </c>
      <c r="O3216" s="14" t="s">
        <v>39</v>
      </c>
      <c r="P3216" s="14" t="s">
        <v>79</v>
      </c>
      <c r="Q3216" s="14" t="s">
        <v>39</v>
      </c>
      <c r="R3216">
        <f>tblDailySchedule[[#This Row],[Capacity Approx]]*'[1]Load Factor Sheet June Acft  '!$B$5</f>
        <v>150.61772727272728</v>
      </c>
      <c r="S3216">
        <f>tblDailySchedule[[#This Row],[Capacity Approx]]*'[1]Load Factor Sheet June Acft  '!$D$5</f>
        <v>163.08818181818182</v>
      </c>
      <c r="T3216" s="22">
        <f>tblDailySchedule[[#This Row],[STD]]</f>
        <v>0.95833333333333337</v>
      </c>
    </row>
    <row r="3217" spans="1:20" hidden="1" x14ac:dyDescent="0.35">
      <c r="A3217" s="11">
        <v>46226</v>
      </c>
      <c r="B3217" s="3">
        <v>4</v>
      </c>
      <c r="C3217" t="s">
        <v>114</v>
      </c>
      <c r="D3217" t="s">
        <v>18</v>
      </c>
      <c r="E3217" s="3">
        <v>1</v>
      </c>
      <c r="F3217" t="s">
        <v>101</v>
      </c>
      <c r="G3217" t="s">
        <v>102</v>
      </c>
      <c r="H3217" t="s">
        <v>61</v>
      </c>
      <c r="I3217" s="12">
        <v>0.3125</v>
      </c>
      <c r="J3217" t="s">
        <v>103</v>
      </c>
      <c r="K3217" t="s">
        <v>61</v>
      </c>
      <c r="L3217" s="12">
        <v>0.33333333333333331</v>
      </c>
      <c r="M3217" t="s">
        <v>33</v>
      </c>
      <c r="N3217" s="3">
        <v>189</v>
      </c>
      <c r="O3217" t="s">
        <v>24</v>
      </c>
      <c r="P3217" t="s">
        <v>25</v>
      </c>
      <c r="R3217">
        <f>tblDailySchedule[[#This Row],[Capacity Approx]]*'[1]Load Factor Sheet June Acft  '!$B$5</f>
        <v>153.04704545454547</v>
      </c>
      <c r="S3217">
        <f>tblDailySchedule[[#This Row],[Capacity Approx]]*'[1]Load Factor Sheet June Acft  '!$D$5</f>
        <v>165.71863636363636</v>
      </c>
      <c r="T3217" s="22">
        <f>tblDailySchedule[[#This Row],[STD]]</f>
        <v>0.33333333333333331</v>
      </c>
    </row>
    <row r="3218" spans="1:20" hidden="1" x14ac:dyDescent="0.35">
      <c r="A3218" s="11">
        <v>46226</v>
      </c>
      <c r="B3218" s="3">
        <v>4</v>
      </c>
      <c r="C3218" t="s">
        <v>114</v>
      </c>
      <c r="D3218" t="s">
        <v>18</v>
      </c>
      <c r="E3218" s="3">
        <v>2</v>
      </c>
      <c r="F3218" t="s">
        <v>19</v>
      </c>
      <c r="G3218" t="s">
        <v>20</v>
      </c>
      <c r="H3218" t="s">
        <v>21</v>
      </c>
      <c r="I3218" s="12">
        <v>0.31944444444444442</v>
      </c>
      <c r="J3218" t="s">
        <v>22</v>
      </c>
      <c r="K3218" t="s">
        <v>21</v>
      </c>
      <c r="L3218" s="12">
        <v>0.34722222222222221</v>
      </c>
      <c r="M3218" t="s">
        <v>23</v>
      </c>
      <c r="N3218" s="3">
        <v>186</v>
      </c>
      <c r="O3218" t="s">
        <v>24</v>
      </c>
      <c r="P3218" t="s">
        <v>25</v>
      </c>
      <c r="R3218">
        <f>tblDailySchedule[[#This Row],[Capacity Approx]]*'[1]Load Factor Sheet June Acft  '!$B$5</f>
        <v>150.61772727272728</v>
      </c>
      <c r="S3218">
        <f>tblDailySchedule[[#This Row],[Capacity Approx]]*'[1]Load Factor Sheet June Acft  '!$D$5</f>
        <v>163.08818181818182</v>
      </c>
      <c r="T3218" s="22">
        <f>tblDailySchedule[[#This Row],[STD]]</f>
        <v>0.34722222222222221</v>
      </c>
    </row>
    <row r="3219" spans="1:20" hidden="1" x14ac:dyDescent="0.35">
      <c r="A3219" s="11">
        <v>46226</v>
      </c>
      <c r="B3219" s="3">
        <v>4</v>
      </c>
      <c r="C3219" t="s">
        <v>114</v>
      </c>
      <c r="D3219" t="s">
        <v>18</v>
      </c>
      <c r="E3219" s="3">
        <v>3</v>
      </c>
      <c r="F3219" t="s">
        <v>19</v>
      </c>
      <c r="G3219" t="s">
        <v>26</v>
      </c>
      <c r="H3219" t="s">
        <v>27</v>
      </c>
      <c r="I3219" s="12">
        <v>0.3263888888888889</v>
      </c>
      <c r="J3219" t="s">
        <v>28</v>
      </c>
      <c r="K3219" t="s">
        <v>27</v>
      </c>
      <c r="L3219" s="12">
        <v>0.35416666666666669</v>
      </c>
      <c r="M3219" t="s">
        <v>29</v>
      </c>
      <c r="N3219" s="3">
        <v>186</v>
      </c>
      <c r="O3219" t="s">
        <v>24</v>
      </c>
      <c r="P3219" t="s">
        <v>25</v>
      </c>
      <c r="R3219">
        <f>tblDailySchedule[[#This Row],[Capacity Approx]]*'[1]Load Factor Sheet June Acft  '!$B$5</f>
        <v>150.61772727272728</v>
      </c>
      <c r="S3219">
        <f>tblDailySchedule[[#This Row],[Capacity Approx]]*'[1]Load Factor Sheet June Acft  '!$D$5</f>
        <v>163.08818181818182</v>
      </c>
      <c r="T3219" s="22">
        <f>tblDailySchedule[[#This Row],[STD]]</f>
        <v>0.35416666666666669</v>
      </c>
    </row>
    <row r="3220" spans="1:20" hidden="1" x14ac:dyDescent="0.35">
      <c r="A3220" s="11">
        <v>46226</v>
      </c>
      <c r="B3220" s="3">
        <v>4</v>
      </c>
      <c r="C3220" t="s">
        <v>114</v>
      </c>
      <c r="D3220" t="s">
        <v>18</v>
      </c>
      <c r="E3220" s="3">
        <v>4</v>
      </c>
      <c r="F3220" t="s">
        <v>19</v>
      </c>
      <c r="G3220" t="s">
        <v>30</v>
      </c>
      <c r="H3220" t="s">
        <v>31</v>
      </c>
      <c r="I3220" s="12">
        <v>0.34722222222222221</v>
      </c>
      <c r="J3220" t="s">
        <v>32</v>
      </c>
      <c r="K3220" t="s">
        <v>31</v>
      </c>
      <c r="L3220" s="12">
        <v>0.36805555555555558</v>
      </c>
      <c r="M3220" t="s">
        <v>33</v>
      </c>
      <c r="N3220" s="3">
        <v>189</v>
      </c>
      <c r="O3220" t="s">
        <v>24</v>
      </c>
      <c r="P3220" t="s">
        <v>25</v>
      </c>
      <c r="R3220">
        <f>tblDailySchedule[[#This Row],[Capacity Approx]]*'[1]Load Factor Sheet June Acft  '!$B$5</f>
        <v>153.04704545454547</v>
      </c>
      <c r="S3220">
        <f>tblDailySchedule[[#This Row],[Capacity Approx]]*'[1]Load Factor Sheet June Acft  '!$D$5</f>
        <v>165.71863636363636</v>
      </c>
      <c r="T3220" s="22">
        <f>tblDailySchedule[[#This Row],[STD]]</f>
        <v>0.36805555555555558</v>
      </c>
    </row>
    <row r="3221" spans="1:20" hidden="1" x14ac:dyDescent="0.35">
      <c r="A3221" s="11">
        <v>46226</v>
      </c>
      <c r="B3221" s="3">
        <v>4</v>
      </c>
      <c r="C3221" t="s">
        <v>114</v>
      </c>
      <c r="D3221" t="s">
        <v>18</v>
      </c>
      <c r="E3221" s="3">
        <v>5</v>
      </c>
      <c r="F3221" t="s">
        <v>19</v>
      </c>
      <c r="G3221" t="s">
        <v>40</v>
      </c>
      <c r="H3221" t="s">
        <v>31</v>
      </c>
      <c r="I3221" s="12">
        <v>0.35069444444444442</v>
      </c>
      <c r="J3221" t="s">
        <v>41</v>
      </c>
      <c r="K3221" t="s">
        <v>31</v>
      </c>
      <c r="L3221" s="12">
        <v>0.37152777777777779</v>
      </c>
      <c r="M3221" t="s">
        <v>23</v>
      </c>
      <c r="N3221" s="3">
        <v>186</v>
      </c>
      <c r="O3221" t="s">
        <v>24</v>
      </c>
      <c r="P3221" t="s">
        <v>25</v>
      </c>
      <c r="R3221">
        <f>tblDailySchedule[[#This Row],[Capacity Approx]]*'[1]Load Factor Sheet June Acft  '!$B$5</f>
        <v>150.61772727272728</v>
      </c>
      <c r="S3221">
        <f>tblDailySchedule[[#This Row],[Capacity Approx]]*'[1]Load Factor Sheet June Acft  '!$D$5</f>
        <v>163.08818181818182</v>
      </c>
      <c r="T3221" s="22">
        <f>tblDailySchedule[[#This Row],[STD]]</f>
        <v>0.37152777777777779</v>
      </c>
    </row>
    <row r="3222" spans="1:20" hidden="1" x14ac:dyDescent="0.35">
      <c r="A3222" s="11">
        <v>46226</v>
      </c>
      <c r="B3222" s="3">
        <v>4</v>
      </c>
      <c r="C3222" t="s">
        <v>114</v>
      </c>
      <c r="D3222" t="s">
        <v>18</v>
      </c>
      <c r="E3222" s="3">
        <v>7</v>
      </c>
      <c r="F3222" t="s">
        <v>19</v>
      </c>
      <c r="G3222" t="s">
        <v>42</v>
      </c>
      <c r="H3222" t="s">
        <v>43</v>
      </c>
      <c r="I3222" s="12">
        <v>0.3923611111111111</v>
      </c>
      <c r="J3222" t="s">
        <v>44</v>
      </c>
      <c r="K3222" t="s">
        <v>43</v>
      </c>
      <c r="L3222" s="12">
        <v>0.40277777777777779</v>
      </c>
      <c r="M3222" t="s">
        <v>45</v>
      </c>
      <c r="N3222" s="3">
        <v>9</v>
      </c>
      <c r="O3222" t="s">
        <v>24</v>
      </c>
      <c r="P3222" t="s">
        <v>25</v>
      </c>
      <c r="R3222">
        <f>tblDailySchedule[[#This Row],[Capacity Approx]]*'[1]Load Factor Sheet June Acft  '!$B$5</f>
        <v>7.2879545454545456</v>
      </c>
      <c r="S3222">
        <f>tblDailySchedule[[#This Row],[Capacity Approx]]*'[1]Load Factor Sheet June Acft  '!$D$5</f>
        <v>7.8913636363636366</v>
      </c>
      <c r="T3222" s="22">
        <f>tblDailySchedule[[#This Row],[STD]]</f>
        <v>0.40277777777777779</v>
      </c>
    </row>
    <row r="3223" spans="1:20" hidden="1" x14ac:dyDescent="0.35">
      <c r="A3223" s="11">
        <v>46226</v>
      </c>
      <c r="B3223" s="3">
        <v>4</v>
      </c>
      <c r="C3223" t="s">
        <v>114</v>
      </c>
      <c r="D3223" t="s">
        <v>18</v>
      </c>
      <c r="E3223" s="3">
        <v>8</v>
      </c>
      <c r="F3223" t="s">
        <v>19</v>
      </c>
      <c r="G3223" t="s">
        <v>46</v>
      </c>
      <c r="H3223" t="s">
        <v>31</v>
      </c>
      <c r="I3223" s="12">
        <v>0.4201388888888889</v>
      </c>
      <c r="J3223" t="s">
        <v>47</v>
      </c>
      <c r="K3223" t="s">
        <v>31</v>
      </c>
      <c r="L3223" s="12">
        <v>0.44444444444444442</v>
      </c>
      <c r="M3223" t="s">
        <v>29</v>
      </c>
      <c r="N3223" s="3">
        <v>186</v>
      </c>
      <c r="O3223" t="s">
        <v>24</v>
      </c>
      <c r="P3223" t="s">
        <v>25</v>
      </c>
      <c r="R3223">
        <f>tblDailySchedule[[#This Row],[Capacity Approx]]*'[1]Load Factor Sheet June Acft  '!$B$5</f>
        <v>150.61772727272728</v>
      </c>
      <c r="S3223">
        <f>tblDailySchedule[[#This Row],[Capacity Approx]]*'[1]Load Factor Sheet June Acft  '!$D$5</f>
        <v>163.08818181818182</v>
      </c>
      <c r="T3223" s="22">
        <f>tblDailySchedule[[#This Row],[STD]]</f>
        <v>0.44444444444444442</v>
      </c>
    </row>
    <row r="3224" spans="1:20" hidden="1" x14ac:dyDescent="0.35">
      <c r="A3224" s="11">
        <v>46226</v>
      </c>
      <c r="B3224" s="3">
        <v>4</v>
      </c>
      <c r="C3224" t="s">
        <v>114</v>
      </c>
      <c r="D3224" t="s">
        <v>18</v>
      </c>
      <c r="E3224" s="3">
        <v>9</v>
      </c>
      <c r="F3224" t="s">
        <v>19</v>
      </c>
      <c r="G3224" t="s">
        <v>48</v>
      </c>
      <c r="H3224" t="s">
        <v>49</v>
      </c>
      <c r="I3224" s="12">
        <v>0.4375</v>
      </c>
      <c r="J3224" t="s">
        <v>50</v>
      </c>
      <c r="K3224" t="s">
        <v>49</v>
      </c>
      <c r="L3224" s="12">
        <v>0.45833333333333331</v>
      </c>
      <c r="M3224" t="s">
        <v>51</v>
      </c>
      <c r="N3224" s="3">
        <v>78</v>
      </c>
      <c r="O3224" t="s">
        <v>24</v>
      </c>
      <c r="P3224" t="s">
        <v>25</v>
      </c>
      <c r="R3224">
        <f>tblDailySchedule[[#This Row],[Capacity Approx]]*'[1]Load Factor Sheet June Acft  '!$B$5</f>
        <v>63.162272727272729</v>
      </c>
      <c r="S3224">
        <f>tblDailySchedule[[#This Row],[Capacity Approx]]*'[1]Load Factor Sheet June Acft  '!$D$5</f>
        <v>68.391818181818181</v>
      </c>
      <c r="T3224" s="22">
        <f>tblDailySchedule[[#This Row],[STD]]</f>
        <v>0.45833333333333331</v>
      </c>
    </row>
    <row r="3225" spans="1:20" hidden="1" x14ac:dyDescent="0.35">
      <c r="A3225" s="11">
        <v>46226</v>
      </c>
      <c r="B3225" s="3">
        <v>4</v>
      </c>
      <c r="C3225" t="s">
        <v>114</v>
      </c>
      <c r="D3225" t="s">
        <v>18</v>
      </c>
      <c r="E3225" s="3">
        <v>10</v>
      </c>
      <c r="F3225" t="s">
        <v>19</v>
      </c>
      <c r="G3225" t="s">
        <v>52</v>
      </c>
      <c r="H3225" t="s">
        <v>27</v>
      </c>
      <c r="I3225" s="12">
        <v>0.4826388888888889</v>
      </c>
      <c r="J3225" t="s">
        <v>53</v>
      </c>
      <c r="K3225" t="s">
        <v>27</v>
      </c>
      <c r="L3225" s="12">
        <v>0.51041666666666663</v>
      </c>
      <c r="M3225" t="s">
        <v>23</v>
      </c>
      <c r="N3225" s="3">
        <v>186</v>
      </c>
      <c r="O3225" t="s">
        <v>24</v>
      </c>
      <c r="P3225" t="s">
        <v>25</v>
      </c>
      <c r="R3225">
        <f>tblDailySchedule[[#This Row],[Capacity Approx]]*'[1]Load Factor Sheet June Acft  '!$B$5</f>
        <v>150.61772727272728</v>
      </c>
      <c r="S3225">
        <f>tblDailySchedule[[#This Row],[Capacity Approx]]*'[1]Load Factor Sheet June Acft  '!$D$5</f>
        <v>163.08818181818182</v>
      </c>
      <c r="T3225" s="22">
        <f>tblDailySchedule[[#This Row],[STD]]</f>
        <v>0.51041666666666663</v>
      </c>
    </row>
    <row r="3226" spans="1:20" hidden="1" x14ac:dyDescent="0.35">
      <c r="A3226" s="11">
        <v>46226</v>
      </c>
      <c r="B3226" s="3">
        <v>4</v>
      </c>
      <c r="C3226" t="s">
        <v>114</v>
      </c>
      <c r="D3226" t="s">
        <v>18</v>
      </c>
      <c r="E3226" s="3">
        <v>11</v>
      </c>
      <c r="F3226" t="s">
        <v>19</v>
      </c>
      <c r="G3226" t="s">
        <v>54</v>
      </c>
      <c r="H3226" t="s">
        <v>31</v>
      </c>
      <c r="I3226" s="12">
        <v>0.51388888888888884</v>
      </c>
      <c r="J3226" t="s">
        <v>55</v>
      </c>
      <c r="K3226" t="s">
        <v>31</v>
      </c>
      <c r="L3226" s="12">
        <v>0.54166666666666663</v>
      </c>
      <c r="M3226" t="s">
        <v>23</v>
      </c>
      <c r="N3226" s="3">
        <v>186</v>
      </c>
      <c r="O3226" t="s">
        <v>24</v>
      </c>
      <c r="P3226" t="s">
        <v>56</v>
      </c>
      <c r="R3226">
        <f>tblDailySchedule[[#This Row],[Capacity Approx]]*'[1]Load Factor Sheet June Acft  '!$B$5</f>
        <v>150.61772727272728</v>
      </c>
      <c r="S3226">
        <f>tblDailySchedule[[#This Row],[Capacity Approx]]*'[1]Load Factor Sheet June Acft  '!$D$5</f>
        <v>163.08818181818182</v>
      </c>
      <c r="T3226" s="22">
        <f>tblDailySchedule[[#This Row],[STD]]</f>
        <v>0.54166666666666663</v>
      </c>
    </row>
    <row r="3227" spans="1:20" hidden="1" x14ac:dyDescent="0.35">
      <c r="A3227" s="11">
        <v>46226</v>
      </c>
      <c r="B3227" s="3">
        <v>4</v>
      </c>
      <c r="C3227" t="s">
        <v>114</v>
      </c>
      <c r="D3227" t="s">
        <v>18</v>
      </c>
      <c r="E3227" s="3">
        <v>12</v>
      </c>
      <c r="F3227" t="s">
        <v>109</v>
      </c>
      <c r="G3227" t="s">
        <v>110</v>
      </c>
      <c r="H3227" t="s">
        <v>111</v>
      </c>
      <c r="I3227" s="12">
        <v>0.55555555555555558</v>
      </c>
      <c r="J3227" t="s">
        <v>112</v>
      </c>
      <c r="K3227" t="s">
        <v>111</v>
      </c>
      <c r="L3227" s="12">
        <v>0.56944444444444442</v>
      </c>
      <c r="M3227" t="s">
        <v>51</v>
      </c>
      <c r="N3227" s="3">
        <v>78</v>
      </c>
      <c r="O3227" t="s">
        <v>24</v>
      </c>
      <c r="P3227" t="s">
        <v>56</v>
      </c>
      <c r="R3227">
        <f>tblDailySchedule[[#This Row],[Capacity Approx]]*'[1]Load Factor Sheet June Acft  '!$B$5</f>
        <v>63.162272727272729</v>
      </c>
      <c r="S3227">
        <f>tblDailySchedule[[#This Row],[Capacity Approx]]*'[1]Load Factor Sheet June Acft  '!$D$5</f>
        <v>68.391818181818181</v>
      </c>
      <c r="T3227" s="22">
        <f>tblDailySchedule[[#This Row],[STD]]</f>
        <v>0.56944444444444442</v>
      </c>
    </row>
    <row r="3228" spans="1:20" hidden="1" x14ac:dyDescent="0.35">
      <c r="A3228" s="11">
        <v>46226</v>
      </c>
      <c r="B3228" s="3">
        <v>4</v>
      </c>
      <c r="C3228" t="s">
        <v>114</v>
      </c>
      <c r="D3228" t="s">
        <v>18</v>
      </c>
      <c r="E3228" s="3">
        <v>13</v>
      </c>
      <c r="F3228" t="s">
        <v>19</v>
      </c>
      <c r="G3228" t="s">
        <v>57</v>
      </c>
      <c r="H3228" t="s">
        <v>58</v>
      </c>
      <c r="I3228" s="12">
        <v>0.55902777777777779</v>
      </c>
      <c r="J3228" t="s">
        <v>59</v>
      </c>
      <c r="K3228" t="s">
        <v>58</v>
      </c>
      <c r="L3228" s="12">
        <v>0.57638888888888884</v>
      </c>
      <c r="M3228" t="s">
        <v>51</v>
      </c>
      <c r="N3228" s="3">
        <v>78</v>
      </c>
      <c r="O3228" t="s">
        <v>24</v>
      </c>
      <c r="P3228" t="s">
        <v>56</v>
      </c>
      <c r="R3228">
        <f>tblDailySchedule[[#This Row],[Capacity Approx]]*'[1]Load Factor Sheet June Acft  '!$B$5</f>
        <v>63.162272727272729</v>
      </c>
      <c r="S3228">
        <f>tblDailySchedule[[#This Row],[Capacity Approx]]*'[1]Load Factor Sheet June Acft  '!$D$5</f>
        <v>68.391818181818181</v>
      </c>
      <c r="T3228" s="22">
        <f>tblDailySchedule[[#This Row],[STD]]</f>
        <v>0.57638888888888884</v>
      </c>
    </row>
    <row r="3229" spans="1:20" hidden="1" x14ac:dyDescent="0.35">
      <c r="A3229" s="11">
        <v>46226</v>
      </c>
      <c r="B3229" s="3">
        <v>4</v>
      </c>
      <c r="C3229" t="s">
        <v>114</v>
      </c>
      <c r="D3229" t="s">
        <v>18</v>
      </c>
      <c r="E3229" s="3">
        <v>14</v>
      </c>
      <c r="F3229" t="s">
        <v>19</v>
      </c>
      <c r="G3229" t="s">
        <v>60</v>
      </c>
      <c r="H3229" t="s">
        <v>61</v>
      </c>
      <c r="I3229" s="12">
        <v>0.59027777777777779</v>
      </c>
      <c r="J3229" t="s">
        <v>62</v>
      </c>
      <c r="K3229" t="s">
        <v>61</v>
      </c>
      <c r="L3229" s="12">
        <v>0.62152777777777779</v>
      </c>
      <c r="M3229" t="s">
        <v>63</v>
      </c>
      <c r="N3229" s="3">
        <v>232</v>
      </c>
      <c r="O3229" t="s">
        <v>24</v>
      </c>
      <c r="P3229" t="s">
        <v>56</v>
      </c>
      <c r="R3229">
        <f>tblDailySchedule[[#This Row],[Capacity Approx]]*'[1]Load Factor Sheet June Acft  '!$B$5</f>
        <v>187.86727272727273</v>
      </c>
      <c r="S3229">
        <f>tblDailySchedule[[#This Row],[Capacity Approx]]*'[1]Load Factor Sheet June Acft  '!$D$5</f>
        <v>203.4218181818182</v>
      </c>
      <c r="T3229" s="22">
        <f>tblDailySchedule[[#This Row],[STD]]</f>
        <v>0.62152777777777779</v>
      </c>
    </row>
    <row r="3230" spans="1:20" hidden="1" x14ac:dyDescent="0.35">
      <c r="A3230" s="11">
        <v>46226</v>
      </c>
      <c r="B3230" s="3">
        <v>4</v>
      </c>
      <c r="C3230" t="s">
        <v>114</v>
      </c>
      <c r="D3230" t="s">
        <v>18</v>
      </c>
      <c r="E3230" s="3">
        <v>15</v>
      </c>
      <c r="F3230" t="s">
        <v>19</v>
      </c>
      <c r="G3230" t="s">
        <v>64</v>
      </c>
      <c r="H3230" t="s">
        <v>31</v>
      </c>
      <c r="I3230" s="12">
        <v>0.60069444444444442</v>
      </c>
      <c r="J3230" t="s">
        <v>65</v>
      </c>
      <c r="K3230" t="s">
        <v>66</v>
      </c>
      <c r="L3230" s="12">
        <v>0.62847222222222221</v>
      </c>
      <c r="M3230" t="s">
        <v>63</v>
      </c>
      <c r="N3230" s="3">
        <v>232</v>
      </c>
      <c r="O3230" t="s">
        <v>24</v>
      </c>
      <c r="P3230" t="s">
        <v>56</v>
      </c>
      <c r="R3230">
        <f>tblDailySchedule[[#This Row],[Capacity Approx]]*'[1]Load Factor Sheet June Acft  '!$B$5</f>
        <v>187.86727272727273</v>
      </c>
      <c r="S3230">
        <f>tblDailySchedule[[#This Row],[Capacity Approx]]*'[1]Load Factor Sheet June Acft  '!$D$5</f>
        <v>203.4218181818182</v>
      </c>
      <c r="T3230" s="22">
        <f>tblDailySchedule[[#This Row],[STD]]</f>
        <v>0.62847222222222221</v>
      </c>
    </row>
    <row r="3231" spans="1:20" hidden="1" x14ac:dyDescent="0.35">
      <c r="A3231" s="11">
        <v>46226</v>
      </c>
      <c r="B3231" s="3">
        <v>4</v>
      </c>
      <c r="C3231" t="s">
        <v>114</v>
      </c>
      <c r="D3231" t="s">
        <v>18</v>
      </c>
      <c r="E3231" s="3">
        <v>16</v>
      </c>
      <c r="F3231" t="s">
        <v>19</v>
      </c>
      <c r="G3231" t="s">
        <v>67</v>
      </c>
      <c r="H3231" t="s">
        <v>31</v>
      </c>
      <c r="I3231" s="12">
        <v>0.65625</v>
      </c>
      <c r="J3231" t="s">
        <v>68</v>
      </c>
      <c r="K3231" t="s">
        <v>31</v>
      </c>
      <c r="L3231" s="12">
        <v>0.68402777777777779</v>
      </c>
      <c r="M3231" t="s">
        <v>63</v>
      </c>
      <c r="N3231" s="3">
        <v>232</v>
      </c>
      <c r="O3231" t="s">
        <v>24</v>
      </c>
      <c r="P3231" t="s">
        <v>56</v>
      </c>
      <c r="R3231">
        <f>tblDailySchedule[[#This Row],[Capacity Approx]]*'[1]Load Factor Sheet June Acft  '!$B$5</f>
        <v>187.86727272727273</v>
      </c>
      <c r="S3231">
        <f>tblDailySchedule[[#This Row],[Capacity Approx]]*'[1]Load Factor Sheet June Acft  '!$D$5</f>
        <v>203.4218181818182</v>
      </c>
      <c r="T3231" s="22">
        <f>tblDailySchedule[[#This Row],[STD]]</f>
        <v>0.68402777777777779</v>
      </c>
    </row>
    <row r="3232" spans="1:20" hidden="1" x14ac:dyDescent="0.35">
      <c r="A3232" s="11">
        <v>46226</v>
      </c>
      <c r="B3232" s="3">
        <v>4</v>
      </c>
      <c r="C3232" t="s">
        <v>114</v>
      </c>
      <c r="D3232" t="s">
        <v>18</v>
      </c>
      <c r="E3232" s="3">
        <v>17</v>
      </c>
      <c r="F3232" t="s">
        <v>19</v>
      </c>
      <c r="G3232" t="s">
        <v>69</v>
      </c>
      <c r="H3232" t="s">
        <v>31</v>
      </c>
      <c r="I3232" s="12">
        <v>0.66319444444444442</v>
      </c>
      <c r="J3232" t="s">
        <v>70</v>
      </c>
      <c r="K3232" t="s">
        <v>31</v>
      </c>
      <c r="L3232" s="12">
        <v>0.69097222222222221</v>
      </c>
      <c r="M3232" t="s">
        <v>33</v>
      </c>
      <c r="N3232" s="3">
        <v>189</v>
      </c>
      <c r="O3232" t="s">
        <v>24</v>
      </c>
      <c r="P3232" t="s">
        <v>56</v>
      </c>
      <c r="R3232">
        <f>tblDailySchedule[[#This Row],[Capacity Approx]]*'[1]Load Factor Sheet June Acft  '!$B$5</f>
        <v>153.04704545454547</v>
      </c>
      <c r="S3232">
        <f>tblDailySchedule[[#This Row],[Capacity Approx]]*'[1]Load Factor Sheet June Acft  '!$D$5</f>
        <v>165.71863636363636</v>
      </c>
      <c r="T3232" s="22">
        <f>tblDailySchedule[[#This Row],[STD]]</f>
        <v>0.69097222222222221</v>
      </c>
    </row>
    <row r="3233" spans="1:20" hidden="1" x14ac:dyDescent="0.35">
      <c r="A3233" s="11">
        <v>46226</v>
      </c>
      <c r="B3233" s="3">
        <v>4</v>
      </c>
      <c r="C3233" t="s">
        <v>114</v>
      </c>
      <c r="D3233" t="s">
        <v>18</v>
      </c>
      <c r="E3233" s="3">
        <v>18</v>
      </c>
      <c r="F3233" t="s">
        <v>19</v>
      </c>
      <c r="G3233" t="s">
        <v>71</v>
      </c>
      <c r="H3233" t="s">
        <v>21</v>
      </c>
      <c r="I3233" s="12">
        <v>0.67013888888888884</v>
      </c>
      <c r="J3233" t="s">
        <v>72</v>
      </c>
      <c r="K3233" t="s">
        <v>21</v>
      </c>
      <c r="L3233" s="12">
        <v>0.69791666666666663</v>
      </c>
      <c r="M3233" t="s">
        <v>63</v>
      </c>
      <c r="N3233" s="3">
        <v>232</v>
      </c>
      <c r="O3233" t="s">
        <v>24</v>
      </c>
      <c r="P3233" t="s">
        <v>56</v>
      </c>
      <c r="R3233">
        <f>tblDailySchedule[[#This Row],[Capacity Approx]]*'[1]Load Factor Sheet June Acft  '!$B$5</f>
        <v>187.86727272727273</v>
      </c>
      <c r="S3233">
        <f>tblDailySchedule[[#This Row],[Capacity Approx]]*'[1]Load Factor Sheet June Acft  '!$D$5</f>
        <v>203.4218181818182</v>
      </c>
      <c r="T3233" s="22">
        <f>tblDailySchedule[[#This Row],[STD]]</f>
        <v>0.69791666666666663</v>
      </c>
    </row>
    <row r="3234" spans="1:20" hidden="1" x14ac:dyDescent="0.35">
      <c r="A3234" s="11">
        <v>46226</v>
      </c>
      <c r="B3234" s="3">
        <v>4</v>
      </c>
      <c r="C3234" t="s">
        <v>114</v>
      </c>
      <c r="D3234" t="s">
        <v>18</v>
      </c>
      <c r="E3234" s="3">
        <v>19</v>
      </c>
      <c r="F3234" t="s">
        <v>19</v>
      </c>
      <c r="G3234" t="s">
        <v>73</v>
      </c>
      <c r="H3234" t="s">
        <v>27</v>
      </c>
      <c r="I3234" s="12">
        <v>0.74652777777777779</v>
      </c>
      <c r="J3234" t="s">
        <v>74</v>
      </c>
      <c r="K3234" t="s">
        <v>27</v>
      </c>
      <c r="L3234" s="12">
        <v>0.77430555555555558</v>
      </c>
      <c r="M3234" t="s">
        <v>63</v>
      </c>
      <c r="N3234" s="3">
        <v>232</v>
      </c>
      <c r="O3234" t="s">
        <v>24</v>
      </c>
      <c r="P3234" t="s">
        <v>56</v>
      </c>
      <c r="R3234">
        <f>tblDailySchedule[[#This Row],[Capacity Approx]]*'[1]Load Factor Sheet June Acft  '!$B$5</f>
        <v>187.86727272727273</v>
      </c>
      <c r="S3234">
        <f>tblDailySchedule[[#This Row],[Capacity Approx]]*'[1]Load Factor Sheet June Acft  '!$D$5</f>
        <v>203.4218181818182</v>
      </c>
      <c r="T3234" s="22">
        <f>tblDailySchedule[[#This Row],[STD]]</f>
        <v>0.77430555555555558</v>
      </c>
    </row>
    <row r="3235" spans="1:20" hidden="1" x14ac:dyDescent="0.35">
      <c r="A3235" s="11">
        <v>46226</v>
      </c>
      <c r="B3235" s="3">
        <v>4</v>
      </c>
      <c r="C3235" t="s">
        <v>114</v>
      </c>
      <c r="D3235" t="s">
        <v>18</v>
      </c>
      <c r="E3235" s="3">
        <v>21</v>
      </c>
      <c r="F3235" t="s">
        <v>19</v>
      </c>
      <c r="G3235" t="s">
        <v>81</v>
      </c>
      <c r="H3235" t="s">
        <v>61</v>
      </c>
      <c r="I3235" s="12">
        <v>0.77083333333333337</v>
      </c>
      <c r="J3235" t="s">
        <v>82</v>
      </c>
      <c r="K3235" t="s">
        <v>49</v>
      </c>
      <c r="L3235" s="12">
        <v>0.79166666666666663</v>
      </c>
      <c r="M3235" t="s">
        <v>33</v>
      </c>
      <c r="N3235" s="3">
        <v>189</v>
      </c>
      <c r="O3235" t="s">
        <v>24</v>
      </c>
      <c r="P3235" t="s">
        <v>79</v>
      </c>
      <c r="R3235">
        <f>tblDailySchedule[[#This Row],[Capacity Approx]]*'[1]Load Factor Sheet June Acft  '!$B$5</f>
        <v>153.04704545454547</v>
      </c>
      <c r="S3235">
        <f>tblDailySchedule[[#This Row],[Capacity Approx]]*'[1]Load Factor Sheet June Acft  '!$D$5</f>
        <v>165.71863636363636</v>
      </c>
      <c r="T3235" s="22">
        <f>tblDailySchedule[[#This Row],[STD]]</f>
        <v>0.79166666666666663</v>
      </c>
    </row>
    <row r="3236" spans="1:20" hidden="1" x14ac:dyDescent="0.35">
      <c r="A3236" s="11">
        <v>46226</v>
      </c>
      <c r="B3236" s="3">
        <v>4</v>
      </c>
      <c r="C3236" t="s">
        <v>114</v>
      </c>
      <c r="D3236" t="s">
        <v>18</v>
      </c>
      <c r="E3236" s="3">
        <v>22</v>
      </c>
      <c r="F3236" t="s">
        <v>19</v>
      </c>
      <c r="G3236" t="s">
        <v>83</v>
      </c>
      <c r="H3236" t="s">
        <v>31</v>
      </c>
      <c r="I3236" s="12">
        <v>0.77777777777777779</v>
      </c>
      <c r="J3236" t="s">
        <v>84</v>
      </c>
      <c r="K3236" t="s">
        <v>31</v>
      </c>
      <c r="L3236" s="12">
        <v>0.80555555555555558</v>
      </c>
      <c r="M3236" t="s">
        <v>63</v>
      </c>
      <c r="N3236" s="3">
        <v>232</v>
      </c>
      <c r="O3236" t="s">
        <v>24</v>
      </c>
      <c r="P3236" t="s">
        <v>79</v>
      </c>
      <c r="R3236">
        <f>tblDailySchedule[[#This Row],[Capacity Approx]]*'[1]Load Factor Sheet June Acft  '!$B$5</f>
        <v>187.86727272727273</v>
      </c>
      <c r="S3236">
        <f>tblDailySchedule[[#This Row],[Capacity Approx]]*'[1]Load Factor Sheet June Acft  '!$D$5</f>
        <v>203.4218181818182</v>
      </c>
      <c r="T3236" s="22">
        <f>tblDailySchedule[[#This Row],[STD]]</f>
        <v>0.80555555555555558</v>
      </c>
    </row>
    <row r="3237" spans="1:20" hidden="1" x14ac:dyDescent="0.35">
      <c r="A3237" s="11">
        <v>46226</v>
      </c>
      <c r="B3237" s="3">
        <v>4</v>
      </c>
      <c r="C3237" t="s">
        <v>114</v>
      </c>
      <c r="D3237" t="s">
        <v>18</v>
      </c>
      <c r="E3237" s="3">
        <v>23</v>
      </c>
      <c r="F3237" t="s">
        <v>19</v>
      </c>
      <c r="G3237" t="s">
        <v>85</v>
      </c>
      <c r="H3237" t="s">
        <v>86</v>
      </c>
      <c r="I3237" s="12">
        <v>0.79861111111111116</v>
      </c>
      <c r="J3237" t="s">
        <v>87</v>
      </c>
      <c r="K3237" t="s">
        <v>86</v>
      </c>
      <c r="L3237" s="12">
        <v>0.82638888888888884</v>
      </c>
      <c r="M3237" t="s">
        <v>63</v>
      </c>
      <c r="N3237" s="3">
        <v>232</v>
      </c>
      <c r="O3237" t="s">
        <v>24</v>
      </c>
      <c r="P3237" t="s">
        <v>79</v>
      </c>
      <c r="R3237">
        <f>tblDailySchedule[[#This Row],[Capacity Approx]]*'[1]Load Factor Sheet June Acft  '!$B$5</f>
        <v>187.86727272727273</v>
      </c>
      <c r="S3237">
        <f>tblDailySchedule[[#This Row],[Capacity Approx]]*'[1]Load Factor Sheet June Acft  '!$D$5</f>
        <v>203.4218181818182</v>
      </c>
      <c r="T3237" s="22">
        <f>tblDailySchedule[[#This Row],[STD]]</f>
        <v>0.82638888888888884</v>
      </c>
    </row>
    <row r="3238" spans="1:20" hidden="1" x14ac:dyDescent="0.35">
      <c r="A3238" s="11">
        <v>46226</v>
      </c>
      <c r="B3238" s="3">
        <v>4</v>
      </c>
      <c r="C3238" t="s">
        <v>114</v>
      </c>
      <c r="D3238" t="s">
        <v>18</v>
      </c>
      <c r="E3238" s="3">
        <v>24</v>
      </c>
      <c r="F3238" t="s">
        <v>19</v>
      </c>
      <c r="G3238" t="s">
        <v>88</v>
      </c>
      <c r="H3238" t="s">
        <v>89</v>
      </c>
      <c r="I3238" s="12">
        <v>0.83333333333333337</v>
      </c>
      <c r="J3238" t="s">
        <v>90</v>
      </c>
      <c r="K3238" t="s">
        <v>31</v>
      </c>
      <c r="L3238" s="12">
        <v>0.86111111111111116</v>
      </c>
      <c r="M3238" t="s">
        <v>63</v>
      </c>
      <c r="N3238" s="3">
        <v>232</v>
      </c>
      <c r="O3238" t="s">
        <v>24</v>
      </c>
      <c r="P3238" t="s">
        <v>79</v>
      </c>
      <c r="R3238">
        <f>tblDailySchedule[[#This Row],[Capacity Approx]]*'[1]Load Factor Sheet June Acft  '!$B$5</f>
        <v>187.86727272727273</v>
      </c>
      <c r="S3238">
        <f>tblDailySchedule[[#This Row],[Capacity Approx]]*'[1]Load Factor Sheet June Acft  '!$D$5</f>
        <v>203.4218181818182</v>
      </c>
      <c r="T3238" s="22">
        <f>tblDailySchedule[[#This Row],[STD]]</f>
        <v>0.86111111111111116</v>
      </c>
    </row>
    <row r="3239" spans="1:20" hidden="1" x14ac:dyDescent="0.35">
      <c r="A3239" s="11">
        <v>46226</v>
      </c>
      <c r="B3239" s="3">
        <v>4</v>
      </c>
      <c r="C3239" t="s">
        <v>114</v>
      </c>
      <c r="D3239" t="s">
        <v>18</v>
      </c>
      <c r="E3239" s="3">
        <v>25</v>
      </c>
      <c r="F3239" t="s">
        <v>19</v>
      </c>
      <c r="G3239" t="s">
        <v>91</v>
      </c>
      <c r="H3239" t="s">
        <v>61</v>
      </c>
      <c r="I3239" s="12">
        <v>0.85416666666666663</v>
      </c>
      <c r="J3239" t="s">
        <v>92</v>
      </c>
      <c r="K3239" t="s">
        <v>61</v>
      </c>
      <c r="L3239" s="12">
        <v>0.88194444444444442</v>
      </c>
      <c r="M3239" t="s">
        <v>63</v>
      </c>
      <c r="N3239" s="3">
        <v>232</v>
      </c>
      <c r="O3239" t="s">
        <v>24</v>
      </c>
      <c r="P3239" t="s">
        <v>79</v>
      </c>
      <c r="R3239">
        <f>tblDailySchedule[[#This Row],[Capacity Approx]]*'[1]Load Factor Sheet June Acft  '!$B$5</f>
        <v>187.86727272727273</v>
      </c>
      <c r="S3239">
        <f>tblDailySchedule[[#This Row],[Capacity Approx]]*'[1]Load Factor Sheet June Acft  '!$D$5</f>
        <v>203.4218181818182</v>
      </c>
      <c r="T3239" s="22">
        <f>tblDailySchedule[[#This Row],[STD]]</f>
        <v>0.88194444444444442</v>
      </c>
    </row>
    <row r="3240" spans="1:20" hidden="1" x14ac:dyDescent="0.35">
      <c r="A3240" s="11">
        <v>46226</v>
      </c>
      <c r="B3240" s="3">
        <v>4</v>
      </c>
      <c r="C3240" t="s">
        <v>114</v>
      </c>
      <c r="D3240" t="s">
        <v>18</v>
      </c>
      <c r="E3240" s="3">
        <v>26</v>
      </c>
      <c r="F3240" t="s">
        <v>19</v>
      </c>
      <c r="G3240" t="s">
        <v>93</v>
      </c>
      <c r="H3240" t="s">
        <v>31</v>
      </c>
      <c r="I3240" s="12">
        <v>0.86111111111111116</v>
      </c>
      <c r="J3240" t="s">
        <v>94</v>
      </c>
      <c r="K3240" t="s">
        <v>31</v>
      </c>
      <c r="L3240" s="12">
        <v>0.88888888888888884</v>
      </c>
      <c r="M3240" t="s">
        <v>23</v>
      </c>
      <c r="N3240" s="3">
        <v>186</v>
      </c>
      <c r="O3240" t="s">
        <v>24</v>
      </c>
      <c r="P3240" t="s">
        <v>79</v>
      </c>
      <c r="R3240">
        <f>tblDailySchedule[[#This Row],[Capacity Approx]]*'[1]Load Factor Sheet June Acft  '!$B$5</f>
        <v>150.61772727272728</v>
      </c>
      <c r="S3240">
        <f>tblDailySchedule[[#This Row],[Capacity Approx]]*'[1]Load Factor Sheet June Acft  '!$D$5</f>
        <v>163.08818181818182</v>
      </c>
      <c r="T3240" s="22">
        <f>tblDailySchedule[[#This Row],[STD]]</f>
        <v>0.88888888888888884</v>
      </c>
    </row>
    <row r="3241" spans="1:20" hidden="1" x14ac:dyDescent="0.35">
      <c r="A3241" s="11">
        <v>46226</v>
      </c>
      <c r="B3241" s="3">
        <v>4</v>
      </c>
      <c r="C3241" t="s">
        <v>114</v>
      </c>
      <c r="D3241" t="s">
        <v>18</v>
      </c>
      <c r="E3241" s="3">
        <v>27</v>
      </c>
      <c r="F3241" t="s">
        <v>19</v>
      </c>
      <c r="G3241" t="s">
        <v>95</v>
      </c>
      <c r="H3241" t="s">
        <v>21</v>
      </c>
      <c r="I3241" s="12">
        <v>0.86805555555555558</v>
      </c>
      <c r="J3241" t="s">
        <v>96</v>
      </c>
      <c r="K3241" t="s">
        <v>21</v>
      </c>
      <c r="L3241" s="12">
        <v>0.89583333333333337</v>
      </c>
      <c r="M3241" t="s">
        <v>29</v>
      </c>
      <c r="N3241" s="3">
        <v>186</v>
      </c>
      <c r="O3241" t="s">
        <v>24</v>
      </c>
      <c r="P3241" t="s">
        <v>79</v>
      </c>
      <c r="R3241">
        <f>tblDailySchedule[[#This Row],[Capacity Approx]]*'[1]Load Factor Sheet June Acft  '!$B$5</f>
        <v>150.61772727272728</v>
      </c>
      <c r="S3241">
        <f>tblDailySchedule[[#This Row],[Capacity Approx]]*'[1]Load Factor Sheet June Acft  '!$D$5</f>
        <v>163.08818181818182</v>
      </c>
      <c r="T3241" s="22">
        <f>tblDailySchedule[[#This Row],[STD]]</f>
        <v>0.89583333333333337</v>
      </c>
    </row>
    <row r="3242" spans="1:20" hidden="1" x14ac:dyDescent="0.35">
      <c r="A3242" s="11">
        <v>46226</v>
      </c>
      <c r="B3242" s="3">
        <v>4</v>
      </c>
      <c r="C3242" t="s">
        <v>114</v>
      </c>
      <c r="D3242" t="s">
        <v>18</v>
      </c>
      <c r="E3242" s="3">
        <v>28</v>
      </c>
      <c r="F3242" t="s">
        <v>19</v>
      </c>
      <c r="G3242" t="s">
        <v>97</v>
      </c>
      <c r="H3242" t="s">
        <v>49</v>
      </c>
      <c r="I3242" s="12">
        <v>0.90277777777777779</v>
      </c>
      <c r="J3242" t="s">
        <v>97</v>
      </c>
      <c r="K3242" t="s">
        <v>61</v>
      </c>
      <c r="L3242" s="12">
        <v>0.92361111111111116</v>
      </c>
      <c r="M3242" t="s">
        <v>33</v>
      </c>
      <c r="N3242" s="3">
        <v>189</v>
      </c>
      <c r="O3242" t="s">
        <v>24</v>
      </c>
      <c r="P3242" t="s">
        <v>79</v>
      </c>
      <c r="R3242">
        <f>tblDailySchedule[[#This Row],[Capacity Approx]]*'[1]Load Factor Sheet June Acft  '!$B$5</f>
        <v>153.04704545454547</v>
      </c>
      <c r="S3242">
        <f>tblDailySchedule[[#This Row],[Capacity Approx]]*'[1]Load Factor Sheet June Acft  '!$D$5</f>
        <v>165.71863636363636</v>
      </c>
      <c r="T3242" s="22">
        <f>tblDailySchedule[[#This Row],[STD]]</f>
        <v>0.92361111111111116</v>
      </c>
    </row>
    <row r="3243" spans="1:20" hidden="1" x14ac:dyDescent="0.35">
      <c r="A3243" s="11">
        <v>46226</v>
      </c>
      <c r="B3243" s="3">
        <v>4</v>
      </c>
      <c r="C3243" t="s">
        <v>114</v>
      </c>
      <c r="D3243" t="s">
        <v>18</v>
      </c>
      <c r="E3243" s="3">
        <v>29</v>
      </c>
      <c r="F3243" t="s">
        <v>19</v>
      </c>
      <c r="G3243" t="s">
        <v>98</v>
      </c>
      <c r="H3243" t="s">
        <v>21</v>
      </c>
      <c r="I3243" s="12">
        <v>0.92013888888888884</v>
      </c>
      <c r="J3243" t="s">
        <v>99</v>
      </c>
      <c r="K3243" t="s">
        <v>21</v>
      </c>
      <c r="L3243" s="12">
        <v>0.94791666666666663</v>
      </c>
      <c r="M3243" t="s">
        <v>63</v>
      </c>
      <c r="N3243" s="3">
        <v>232</v>
      </c>
      <c r="O3243" t="s">
        <v>24</v>
      </c>
      <c r="P3243" t="s">
        <v>79</v>
      </c>
      <c r="R3243">
        <f>tblDailySchedule[[#This Row],[Capacity Approx]]*'[1]Load Factor Sheet June Acft  '!$B$5</f>
        <v>187.86727272727273</v>
      </c>
      <c r="S3243">
        <f>tblDailySchedule[[#This Row],[Capacity Approx]]*'[1]Load Factor Sheet June Acft  '!$D$5</f>
        <v>203.4218181818182</v>
      </c>
      <c r="T3243" s="22">
        <f>tblDailySchedule[[#This Row],[STD]]</f>
        <v>0.94791666666666663</v>
      </c>
    </row>
    <row r="3244" spans="1:20" hidden="1" x14ac:dyDescent="0.35">
      <c r="A3244" s="11">
        <v>46227</v>
      </c>
      <c r="B3244" s="3">
        <v>5</v>
      </c>
      <c r="C3244" t="s">
        <v>115</v>
      </c>
      <c r="D3244" t="s">
        <v>18</v>
      </c>
      <c r="E3244" s="3">
        <v>2</v>
      </c>
      <c r="F3244" t="s">
        <v>19</v>
      </c>
      <c r="G3244" t="s">
        <v>20</v>
      </c>
      <c r="H3244" t="s">
        <v>21</v>
      </c>
      <c r="I3244" s="12">
        <v>0.31944444444444442</v>
      </c>
      <c r="J3244" t="s">
        <v>22</v>
      </c>
      <c r="K3244" t="s">
        <v>21</v>
      </c>
      <c r="L3244" s="12">
        <v>0.34722222222222221</v>
      </c>
      <c r="M3244" t="s">
        <v>23</v>
      </c>
      <c r="N3244" s="3">
        <v>186</v>
      </c>
      <c r="O3244" t="s">
        <v>24</v>
      </c>
      <c r="P3244" t="s">
        <v>25</v>
      </c>
      <c r="R3244">
        <f>tblDailySchedule[[#This Row],[Capacity Approx]]*'[1]Load Factor Sheet June Acft  '!$B$5</f>
        <v>150.61772727272728</v>
      </c>
      <c r="S3244">
        <f>tblDailySchedule[[#This Row],[Capacity Approx]]*'[1]Load Factor Sheet June Acft  '!$D$5</f>
        <v>163.08818181818182</v>
      </c>
      <c r="T3244" s="22">
        <f>tblDailySchedule[[#This Row],[STD]]</f>
        <v>0.34722222222222221</v>
      </c>
    </row>
    <row r="3245" spans="1:20" hidden="1" x14ac:dyDescent="0.35">
      <c r="A3245" s="11">
        <v>46227</v>
      </c>
      <c r="B3245" s="3">
        <v>5</v>
      </c>
      <c r="C3245" t="s">
        <v>115</v>
      </c>
      <c r="D3245" t="s">
        <v>18</v>
      </c>
      <c r="E3245" s="3">
        <v>3</v>
      </c>
      <c r="F3245" t="s">
        <v>19</v>
      </c>
      <c r="G3245" t="s">
        <v>26</v>
      </c>
      <c r="H3245" t="s">
        <v>27</v>
      </c>
      <c r="I3245" s="12">
        <v>0.3263888888888889</v>
      </c>
      <c r="J3245" t="s">
        <v>28</v>
      </c>
      <c r="K3245" t="s">
        <v>27</v>
      </c>
      <c r="L3245" s="12">
        <v>0.35416666666666669</v>
      </c>
      <c r="M3245" t="s">
        <v>29</v>
      </c>
      <c r="N3245" s="3">
        <v>186</v>
      </c>
      <c r="O3245" t="s">
        <v>24</v>
      </c>
      <c r="P3245" t="s">
        <v>25</v>
      </c>
      <c r="R3245">
        <f>tblDailySchedule[[#This Row],[Capacity Approx]]*'[1]Load Factor Sheet June Acft  '!$B$5</f>
        <v>150.61772727272728</v>
      </c>
      <c r="S3245">
        <f>tblDailySchedule[[#This Row],[Capacity Approx]]*'[1]Load Factor Sheet June Acft  '!$D$5</f>
        <v>163.08818181818182</v>
      </c>
      <c r="T3245" s="22">
        <f>tblDailySchedule[[#This Row],[STD]]</f>
        <v>0.35416666666666669</v>
      </c>
    </row>
    <row r="3246" spans="1:20" hidden="1" x14ac:dyDescent="0.35">
      <c r="A3246" s="11">
        <v>46227</v>
      </c>
      <c r="B3246" s="3">
        <v>5</v>
      </c>
      <c r="C3246" t="s">
        <v>115</v>
      </c>
      <c r="D3246" t="s">
        <v>18</v>
      </c>
      <c r="E3246" s="3">
        <v>4</v>
      </c>
      <c r="F3246" t="s">
        <v>19</v>
      </c>
      <c r="G3246" t="s">
        <v>30</v>
      </c>
      <c r="H3246" t="s">
        <v>31</v>
      </c>
      <c r="I3246" s="12">
        <v>0.34722222222222221</v>
      </c>
      <c r="J3246" t="s">
        <v>32</v>
      </c>
      <c r="K3246" t="s">
        <v>31</v>
      </c>
      <c r="L3246" s="12">
        <v>0.36805555555555558</v>
      </c>
      <c r="M3246" t="s">
        <v>33</v>
      </c>
      <c r="N3246" s="3">
        <v>189</v>
      </c>
      <c r="O3246" t="s">
        <v>24</v>
      </c>
      <c r="P3246" t="s">
        <v>25</v>
      </c>
      <c r="R3246">
        <f>tblDailySchedule[[#This Row],[Capacity Approx]]*'[1]Load Factor Sheet June Acft  '!$B$5</f>
        <v>153.04704545454547</v>
      </c>
      <c r="S3246">
        <f>tblDailySchedule[[#This Row],[Capacity Approx]]*'[1]Load Factor Sheet June Acft  '!$D$5</f>
        <v>165.71863636363636</v>
      </c>
      <c r="T3246" s="22">
        <f>tblDailySchedule[[#This Row],[STD]]</f>
        <v>0.36805555555555558</v>
      </c>
    </row>
    <row r="3247" spans="1:20" hidden="1" x14ac:dyDescent="0.35">
      <c r="A3247" s="13">
        <v>46227</v>
      </c>
      <c r="B3247" s="7">
        <v>5</v>
      </c>
      <c r="C3247" s="14" t="s">
        <v>115</v>
      </c>
      <c r="D3247" s="14" t="s">
        <v>18</v>
      </c>
      <c r="E3247" s="7">
        <v>6</v>
      </c>
      <c r="F3247" s="14" t="s">
        <v>34</v>
      </c>
      <c r="G3247" s="14" t="s">
        <v>35</v>
      </c>
      <c r="H3247" s="14" t="s">
        <v>36</v>
      </c>
      <c r="I3247" s="15">
        <v>0.34722222222222221</v>
      </c>
      <c r="J3247" s="14" t="s">
        <v>37</v>
      </c>
      <c r="K3247" s="14" t="s">
        <v>36</v>
      </c>
      <c r="L3247" s="15">
        <v>0.40972222222222221</v>
      </c>
      <c r="M3247" s="14" t="s">
        <v>38</v>
      </c>
      <c r="N3247" s="7">
        <v>186</v>
      </c>
      <c r="O3247" s="14" t="s">
        <v>39</v>
      </c>
      <c r="P3247" s="14" t="s">
        <v>25</v>
      </c>
      <c r="Q3247" s="14" t="s">
        <v>39</v>
      </c>
      <c r="R3247">
        <f>tblDailySchedule[[#This Row],[Capacity Approx]]*'[1]Load Factor Sheet June Acft  '!$B$5</f>
        <v>150.61772727272728</v>
      </c>
      <c r="S3247">
        <f>tblDailySchedule[[#This Row],[Capacity Approx]]*'[1]Load Factor Sheet June Acft  '!$D$5</f>
        <v>163.08818181818182</v>
      </c>
      <c r="T3247" s="22">
        <f>tblDailySchedule[[#This Row],[STD]]</f>
        <v>0.40972222222222221</v>
      </c>
    </row>
    <row r="3248" spans="1:20" hidden="1" x14ac:dyDescent="0.35">
      <c r="A3248" s="11">
        <v>46227</v>
      </c>
      <c r="B3248" s="3">
        <v>5</v>
      </c>
      <c r="C3248" t="s">
        <v>115</v>
      </c>
      <c r="D3248" t="s">
        <v>18</v>
      </c>
      <c r="E3248" s="3">
        <v>5</v>
      </c>
      <c r="F3248" t="s">
        <v>19</v>
      </c>
      <c r="G3248" t="s">
        <v>40</v>
      </c>
      <c r="H3248" t="s">
        <v>31</v>
      </c>
      <c r="I3248" s="12">
        <v>0.35069444444444442</v>
      </c>
      <c r="J3248" t="s">
        <v>41</v>
      </c>
      <c r="K3248" t="s">
        <v>31</v>
      </c>
      <c r="L3248" s="12">
        <v>0.37152777777777779</v>
      </c>
      <c r="M3248" t="s">
        <v>23</v>
      </c>
      <c r="N3248" s="3">
        <v>186</v>
      </c>
      <c r="O3248" t="s">
        <v>24</v>
      </c>
      <c r="P3248" t="s">
        <v>25</v>
      </c>
      <c r="R3248">
        <f>tblDailySchedule[[#This Row],[Capacity Approx]]*'[1]Load Factor Sheet June Acft  '!$B$5</f>
        <v>150.61772727272728</v>
      </c>
      <c r="S3248">
        <f>tblDailySchedule[[#This Row],[Capacity Approx]]*'[1]Load Factor Sheet June Acft  '!$D$5</f>
        <v>163.08818181818182</v>
      </c>
      <c r="T3248" s="22">
        <f>tblDailySchedule[[#This Row],[STD]]</f>
        <v>0.37152777777777779</v>
      </c>
    </row>
    <row r="3249" spans="1:20" hidden="1" x14ac:dyDescent="0.35">
      <c r="A3249" s="11">
        <v>46227</v>
      </c>
      <c r="B3249" s="3">
        <v>5</v>
      </c>
      <c r="C3249" t="s">
        <v>115</v>
      </c>
      <c r="D3249" t="s">
        <v>18</v>
      </c>
      <c r="E3249" s="3">
        <v>7</v>
      </c>
      <c r="F3249" t="s">
        <v>19</v>
      </c>
      <c r="G3249" t="s">
        <v>42</v>
      </c>
      <c r="H3249" t="s">
        <v>43</v>
      </c>
      <c r="I3249" s="12">
        <v>0.3923611111111111</v>
      </c>
      <c r="J3249" t="s">
        <v>44</v>
      </c>
      <c r="K3249" t="s">
        <v>43</v>
      </c>
      <c r="L3249" s="12">
        <v>0.40277777777777779</v>
      </c>
      <c r="M3249" t="s">
        <v>45</v>
      </c>
      <c r="N3249" s="3">
        <v>9</v>
      </c>
      <c r="O3249" t="s">
        <v>24</v>
      </c>
      <c r="P3249" t="s">
        <v>25</v>
      </c>
      <c r="R3249">
        <f>tblDailySchedule[[#This Row],[Capacity Approx]]*'[1]Load Factor Sheet June Acft  '!$B$5</f>
        <v>7.2879545454545456</v>
      </c>
      <c r="S3249">
        <f>tblDailySchedule[[#This Row],[Capacity Approx]]*'[1]Load Factor Sheet June Acft  '!$D$5</f>
        <v>7.8913636363636366</v>
      </c>
      <c r="T3249" s="22">
        <f>tblDailySchedule[[#This Row],[STD]]</f>
        <v>0.40277777777777779</v>
      </c>
    </row>
    <row r="3250" spans="1:20" hidden="1" x14ac:dyDescent="0.35">
      <c r="A3250" s="11">
        <v>46227</v>
      </c>
      <c r="B3250" s="3">
        <v>5</v>
      </c>
      <c r="C3250" t="s">
        <v>115</v>
      </c>
      <c r="D3250" t="s">
        <v>18</v>
      </c>
      <c r="E3250" s="3">
        <v>8</v>
      </c>
      <c r="F3250" t="s">
        <v>19</v>
      </c>
      <c r="G3250" t="s">
        <v>46</v>
      </c>
      <c r="H3250" t="s">
        <v>31</v>
      </c>
      <c r="I3250" s="12">
        <v>0.4201388888888889</v>
      </c>
      <c r="J3250" t="s">
        <v>47</v>
      </c>
      <c r="K3250" t="s">
        <v>31</v>
      </c>
      <c r="L3250" s="12">
        <v>0.44444444444444442</v>
      </c>
      <c r="M3250" t="s">
        <v>29</v>
      </c>
      <c r="N3250" s="3">
        <v>186</v>
      </c>
      <c r="O3250" t="s">
        <v>24</v>
      </c>
      <c r="P3250" t="s">
        <v>25</v>
      </c>
      <c r="R3250">
        <f>tblDailySchedule[[#This Row],[Capacity Approx]]*'[1]Load Factor Sheet June Acft  '!$B$5</f>
        <v>150.61772727272728</v>
      </c>
      <c r="S3250">
        <f>tblDailySchedule[[#This Row],[Capacity Approx]]*'[1]Load Factor Sheet June Acft  '!$D$5</f>
        <v>163.08818181818182</v>
      </c>
      <c r="T3250" s="22">
        <f>tblDailySchedule[[#This Row],[STD]]</f>
        <v>0.44444444444444442</v>
      </c>
    </row>
    <row r="3251" spans="1:20" hidden="1" x14ac:dyDescent="0.35">
      <c r="A3251" s="11">
        <v>46227</v>
      </c>
      <c r="B3251" s="3">
        <v>5</v>
      </c>
      <c r="C3251" t="s">
        <v>115</v>
      </c>
      <c r="D3251" t="s">
        <v>18</v>
      </c>
      <c r="E3251" s="3">
        <v>9</v>
      </c>
      <c r="F3251" t="s">
        <v>19</v>
      </c>
      <c r="G3251" t="s">
        <v>48</v>
      </c>
      <c r="H3251" t="s">
        <v>49</v>
      </c>
      <c r="I3251" s="12">
        <v>0.4375</v>
      </c>
      <c r="J3251" t="s">
        <v>50</v>
      </c>
      <c r="K3251" t="s">
        <v>49</v>
      </c>
      <c r="L3251" s="12">
        <v>0.45833333333333331</v>
      </c>
      <c r="M3251" t="s">
        <v>51</v>
      </c>
      <c r="N3251" s="3">
        <v>78</v>
      </c>
      <c r="O3251" t="s">
        <v>24</v>
      </c>
      <c r="P3251" t="s">
        <v>25</v>
      </c>
      <c r="R3251">
        <f>tblDailySchedule[[#This Row],[Capacity Approx]]*'[1]Load Factor Sheet June Acft  '!$B$5</f>
        <v>63.162272727272729</v>
      </c>
      <c r="S3251">
        <f>tblDailySchedule[[#This Row],[Capacity Approx]]*'[1]Load Factor Sheet June Acft  '!$D$5</f>
        <v>68.391818181818181</v>
      </c>
      <c r="T3251" s="22">
        <f>tblDailySchedule[[#This Row],[STD]]</f>
        <v>0.45833333333333331</v>
      </c>
    </row>
    <row r="3252" spans="1:20" hidden="1" x14ac:dyDescent="0.35">
      <c r="A3252" s="11">
        <v>46227</v>
      </c>
      <c r="B3252" s="3">
        <v>5</v>
      </c>
      <c r="C3252" t="s">
        <v>115</v>
      </c>
      <c r="D3252" t="s">
        <v>18</v>
      </c>
      <c r="E3252" s="3">
        <v>10</v>
      </c>
      <c r="F3252" t="s">
        <v>19</v>
      </c>
      <c r="G3252" t="s">
        <v>52</v>
      </c>
      <c r="H3252" t="s">
        <v>27</v>
      </c>
      <c r="I3252" s="12">
        <v>0.4826388888888889</v>
      </c>
      <c r="J3252" t="s">
        <v>53</v>
      </c>
      <c r="K3252" t="s">
        <v>27</v>
      </c>
      <c r="L3252" s="12">
        <v>0.51041666666666663</v>
      </c>
      <c r="M3252" t="s">
        <v>23</v>
      </c>
      <c r="N3252" s="3">
        <v>186</v>
      </c>
      <c r="O3252" t="s">
        <v>24</v>
      </c>
      <c r="P3252" t="s">
        <v>25</v>
      </c>
      <c r="R3252">
        <f>tblDailySchedule[[#This Row],[Capacity Approx]]*'[1]Load Factor Sheet June Acft  '!$B$5</f>
        <v>150.61772727272728</v>
      </c>
      <c r="S3252">
        <f>tblDailySchedule[[#This Row],[Capacity Approx]]*'[1]Load Factor Sheet June Acft  '!$D$5</f>
        <v>163.08818181818182</v>
      </c>
      <c r="T3252" s="22">
        <f>tblDailySchedule[[#This Row],[STD]]</f>
        <v>0.51041666666666663</v>
      </c>
    </row>
    <row r="3253" spans="1:20" hidden="1" x14ac:dyDescent="0.35">
      <c r="A3253" s="11">
        <v>46227</v>
      </c>
      <c r="B3253" s="3">
        <v>5</v>
      </c>
      <c r="C3253" t="s">
        <v>115</v>
      </c>
      <c r="D3253" t="s">
        <v>18</v>
      </c>
      <c r="E3253" s="3">
        <v>11</v>
      </c>
      <c r="F3253" t="s">
        <v>19</v>
      </c>
      <c r="G3253" t="s">
        <v>54</v>
      </c>
      <c r="H3253" t="s">
        <v>31</v>
      </c>
      <c r="I3253" s="12">
        <v>0.51388888888888884</v>
      </c>
      <c r="J3253" t="s">
        <v>55</v>
      </c>
      <c r="K3253" t="s">
        <v>31</v>
      </c>
      <c r="L3253" s="12">
        <v>0.54166666666666663</v>
      </c>
      <c r="M3253" t="s">
        <v>23</v>
      </c>
      <c r="N3253" s="3">
        <v>186</v>
      </c>
      <c r="O3253" t="s">
        <v>24</v>
      </c>
      <c r="P3253" t="s">
        <v>56</v>
      </c>
      <c r="R3253">
        <f>tblDailySchedule[[#This Row],[Capacity Approx]]*'[1]Load Factor Sheet June Acft  '!$B$5</f>
        <v>150.61772727272728</v>
      </c>
      <c r="S3253">
        <f>tblDailySchedule[[#This Row],[Capacity Approx]]*'[1]Load Factor Sheet June Acft  '!$D$5</f>
        <v>163.08818181818182</v>
      </c>
      <c r="T3253" s="22">
        <f>tblDailySchedule[[#This Row],[STD]]</f>
        <v>0.54166666666666663</v>
      </c>
    </row>
    <row r="3254" spans="1:20" hidden="1" x14ac:dyDescent="0.35">
      <c r="A3254" s="11">
        <v>46227</v>
      </c>
      <c r="B3254" s="3">
        <v>5</v>
      </c>
      <c r="C3254" t="s">
        <v>115</v>
      </c>
      <c r="D3254" t="s">
        <v>18</v>
      </c>
      <c r="E3254" s="3">
        <v>13</v>
      </c>
      <c r="F3254" t="s">
        <v>19</v>
      </c>
      <c r="G3254" t="s">
        <v>57</v>
      </c>
      <c r="H3254" t="s">
        <v>58</v>
      </c>
      <c r="I3254" s="12">
        <v>0.55902777777777779</v>
      </c>
      <c r="J3254" t="s">
        <v>59</v>
      </c>
      <c r="K3254" t="s">
        <v>58</v>
      </c>
      <c r="L3254" s="12">
        <v>0.57638888888888884</v>
      </c>
      <c r="M3254" t="s">
        <v>51</v>
      </c>
      <c r="N3254" s="3">
        <v>78</v>
      </c>
      <c r="O3254" t="s">
        <v>24</v>
      </c>
      <c r="P3254" t="s">
        <v>56</v>
      </c>
      <c r="R3254">
        <f>tblDailySchedule[[#This Row],[Capacity Approx]]*'[1]Load Factor Sheet June Acft  '!$B$5</f>
        <v>63.162272727272729</v>
      </c>
      <c r="S3254">
        <f>tblDailySchedule[[#This Row],[Capacity Approx]]*'[1]Load Factor Sheet June Acft  '!$D$5</f>
        <v>68.391818181818181</v>
      </c>
      <c r="T3254" s="22">
        <f>tblDailySchedule[[#This Row],[STD]]</f>
        <v>0.57638888888888884</v>
      </c>
    </row>
    <row r="3255" spans="1:20" hidden="1" x14ac:dyDescent="0.35">
      <c r="A3255" s="11">
        <v>46227</v>
      </c>
      <c r="B3255" s="3">
        <v>5</v>
      </c>
      <c r="C3255" t="s">
        <v>115</v>
      </c>
      <c r="D3255" t="s">
        <v>18</v>
      </c>
      <c r="E3255" s="3">
        <v>14</v>
      </c>
      <c r="F3255" t="s">
        <v>19</v>
      </c>
      <c r="G3255" t="s">
        <v>60</v>
      </c>
      <c r="H3255" t="s">
        <v>61</v>
      </c>
      <c r="I3255" s="12">
        <v>0.59027777777777779</v>
      </c>
      <c r="J3255" t="s">
        <v>62</v>
      </c>
      <c r="K3255" t="s">
        <v>61</v>
      </c>
      <c r="L3255" s="12">
        <v>0.62152777777777779</v>
      </c>
      <c r="M3255" t="s">
        <v>63</v>
      </c>
      <c r="N3255" s="3">
        <v>232</v>
      </c>
      <c r="O3255" t="s">
        <v>24</v>
      </c>
      <c r="P3255" t="s">
        <v>56</v>
      </c>
      <c r="R3255">
        <f>tblDailySchedule[[#This Row],[Capacity Approx]]*'[1]Load Factor Sheet June Acft  '!$B$5</f>
        <v>187.86727272727273</v>
      </c>
      <c r="S3255">
        <f>tblDailySchedule[[#This Row],[Capacity Approx]]*'[1]Load Factor Sheet June Acft  '!$D$5</f>
        <v>203.4218181818182</v>
      </c>
      <c r="T3255" s="22">
        <f>tblDailySchedule[[#This Row],[STD]]</f>
        <v>0.62152777777777779</v>
      </c>
    </row>
    <row r="3256" spans="1:20" hidden="1" x14ac:dyDescent="0.35">
      <c r="A3256" s="11">
        <v>46227</v>
      </c>
      <c r="B3256" s="3">
        <v>5</v>
      </c>
      <c r="C3256" t="s">
        <v>115</v>
      </c>
      <c r="D3256" t="s">
        <v>18</v>
      </c>
      <c r="E3256" s="3">
        <v>15</v>
      </c>
      <c r="F3256" t="s">
        <v>19</v>
      </c>
      <c r="G3256" t="s">
        <v>64</v>
      </c>
      <c r="H3256" t="s">
        <v>31</v>
      </c>
      <c r="I3256" s="12">
        <v>0.60069444444444442</v>
      </c>
      <c r="J3256" t="s">
        <v>65</v>
      </c>
      <c r="K3256" t="s">
        <v>66</v>
      </c>
      <c r="L3256" s="12">
        <v>0.62847222222222221</v>
      </c>
      <c r="M3256" t="s">
        <v>63</v>
      </c>
      <c r="N3256" s="3">
        <v>232</v>
      </c>
      <c r="O3256" t="s">
        <v>24</v>
      </c>
      <c r="P3256" t="s">
        <v>56</v>
      </c>
      <c r="R3256">
        <f>tblDailySchedule[[#This Row],[Capacity Approx]]*'[1]Load Factor Sheet June Acft  '!$B$5</f>
        <v>187.86727272727273</v>
      </c>
      <c r="S3256">
        <f>tblDailySchedule[[#This Row],[Capacity Approx]]*'[1]Load Factor Sheet June Acft  '!$D$5</f>
        <v>203.4218181818182</v>
      </c>
      <c r="T3256" s="22">
        <f>tblDailySchedule[[#This Row],[STD]]</f>
        <v>0.62847222222222221</v>
      </c>
    </row>
    <row r="3257" spans="1:20" hidden="1" x14ac:dyDescent="0.35">
      <c r="A3257" s="11">
        <v>46227</v>
      </c>
      <c r="B3257" s="3">
        <v>5</v>
      </c>
      <c r="C3257" t="s">
        <v>115</v>
      </c>
      <c r="D3257" t="s">
        <v>18</v>
      </c>
      <c r="E3257" s="3">
        <v>16</v>
      </c>
      <c r="F3257" t="s">
        <v>19</v>
      </c>
      <c r="G3257" t="s">
        <v>67</v>
      </c>
      <c r="H3257" t="s">
        <v>31</v>
      </c>
      <c r="I3257" s="12">
        <v>0.65625</v>
      </c>
      <c r="J3257" t="s">
        <v>68</v>
      </c>
      <c r="K3257" t="s">
        <v>31</v>
      </c>
      <c r="L3257" s="12">
        <v>0.68402777777777779</v>
      </c>
      <c r="M3257" t="s">
        <v>63</v>
      </c>
      <c r="N3257" s="3">
        <v>232</v>
      </c>
      <c r="O3257" t="s">
        <v>24</v>
      </c>
      <c r="P3257" t="s">
        <v>56</v>
      </c>
      <c r="R3257">
        <f>tblDailySchedule[[#This Row],[Capacity Approx]]*'[1]Load Factor Sheet June Acft  '!$B$5</f>
        <v>187.86727272727273</v>
      </c>
      <c r="S3257">
        <f>tblDailySchedule[[#This Row],[Capacity Approx]]*'[1]Load Factor Sheet June Acft  '!$D$5</f>
        <v>203.4218181818182</v>
      </c>
      <c r="T3257" s="22">
        <f>tblDailySchedule[[#This Row],[STD]]</f>
        <v>0.68402777777777779</v>
      </c>
    </row>
    <row r="3258" spans="1:20" hidden="1" x14ac:dyDescent="0.35">
      <c r="A3258" s="11">
        <v>46227</v>
      </c>
      <c r="B3258" s="3">
        <v>5</v>
      </c>
      <c r="C3258" t="s">
        <v>115</v>
      </c>
      <c r="D3258" t="s">
        <v>18</v>
      </c>
      <c r="E3258" s="3">
        <v>17</v>
      </c>
      <c r="F3258" t="s">
        <v>19</v>
      </c>
      <c r="G3258" t="s">
        <v>69</v>
      </c>
      <c r="H3258" t="s">
        <v>31</v>
      </c>
      <c r="I3258" s="12">
        <v>0.66319444444444442</v>
      </c>
      <c r="J3258" t="s">
        <v>70</v>
      </c>
      <c r="K3258" t="s">
        <v>31</v>
      </c>
      <c r="L3258" s="12">
        <v>0.69097222222222221</v>
      </c>
      <c r="M3258" t="s">
        <v>33</v>
      </c>
      <c r="N3258" s="3">
        <v>189</v>
      </c>
      <c r="O3258" t="s">
        <v>24</v>
      </c>
      <c r="P3258" t="s">
        <v>56</v>
      </c>
      <c r="R3258">
        <f>tblDailySchedule[[#This Row],[Capacity Approx]]*'[1]Load Factor Sheet June Acft  '!$B$5</f>
        <v>153.04704545454547</v>
      </c>
      <c r="S3258">
        <f>tblDailySchedule[[#This Row],[Capacity Approx]]*'[1]Load Factor Sheet June Acft  '!$D$5</f>
        <v>165.71863636363636</v>
      </c>
      <c r="T3258" s="22">
        <f>tblDailySchedule[[#This Row],[STD]]</f>
        <v>0.69097222222222221</v>
      </c>
    </row>
    <row r="3259" spans="1:20" hidden="1" x14ac:dyDescent="0.35">
      <c r="A3259" s="11">
        <v>46227</v>
      </c>
      <c r="B3259" s="3">
        <v>5</v>
      </c>
      <c r="C3259" t="s">
        <v>115</v>
      </c>
      <c r="D3259" t="s">
        <v>18</v>
      </c>
      <c r="E3259" s="3">
        <v>18</v>
      </c>
      <c r="F3259" t="s">
        <v>19</v>
      </c>
      <c r="G3259" t="s">
        <v>71</v>
      </c>
      <c r="H3259" t="s">
        <v>21</v>
      </c>
      <c r="I3259" s="12">
        <v>0.67013888888888884</v>
      </c>
      <c r="J3259" t="s">
        <v>72</v>
      </c>
      <c r="K3259" t="s">
        <v>21</v>
      </c>
      <c r="L3259" s="12">
        <v>0.69791666666666663</v>
      </c>
      <c r="M3259" t="s">
        <v>63</v>
      </c>
      <c r="N3259" s="3">
        <v>232</v>
      </c>
      <c r="O3259" t="s">
        <v>24</v>
      </c>
      <c r="P3259" t="s">
        <v>56</v>
      </c>
      <c r="R3259">
        <f>tblDailySchedule[[#This Row],[Capacity Approx]]*'[1]Load Factor Sheet June Acft  '!$B$5</f>
        <v>187.86727272727273</v>
      </c>
      <c r="S3259">
        <f>tblDailySchedule[[#This Row],[Capacity Approx]]*'[1]Load Factor Sheet June Acft  '!$D$5</f>
        <v>203.4218181818182</v>
      </c>
      <c r="T3259" s="22">
        <f>tblDailySchedule[[#This Row],[STD]]</f>
        <v>0.69791666666666663</v>
      </c>
    </row>
    <row r="3260" spans="1:20" hidden="1" x14ac:dyDescent="0.35">
      <c r="A3260" s="11">
        <v>46227</v>
      </c>
      <c r="B3260" s="3">
        <v>5</v>
      </c>
      <c r="C3260" t="s">
        <v>115</v>
      </c>
      <c r="D3260" t="s">
        <v>18</v>
      </c>
      <c r="E3260" s="3">
        <v>19</v>
      </c>
      <c r="F3260" t="s">
        <v>19</v>
      </c>
      <c r="G3260" t="s">
        <v>73</v>
      </c>
      <c r="H3260" t="s">
        <v>27</v>
      </c>
      <c r="I3260" s="12">
        <v>0.74652777777777779</v>
      </c>
      <c r="J3260" t="s">
        <v>74</v>
      </c>
      <c r="K3260" t="s">
        <v>27</v>
      </c>
      <c r="L3260" s="12">
        <v>0.77430555555555558</v>
      </c>
      <c r="M3260" t="s">
        <v>63</v>
      </c>
      <c r="N3260" s="3">
        <v>232</v>
      </c>
      <c r="O3260" t="s">
        <v>24</v>
      </c>
      <c r="P3260" t="s">
        <v>56</v>
      </c>
      <c r="R3260">
        <f>tblDailySchedule[[#This Row],[Capacity Approx]]*'[1]Load Factor Sheet June Acft  '!$B$5</f>
        <v>187.86727272727273</v>
      </c>
      <c r="S3260">
        <f>tblDailySchedule[[#This Row],[Capacity Approx]]*'[1]Load Factor Sheet June Acft  '!$D$5</f>
        <v>203.4218181818182</v>
      </c>
      <c r="T3260" s="22">
        <f>tblDailySchedule[[#This Row],[STD]]</f>
        <v>0.77430555555555558</v>
      </c>
    </row>
    <row r="3261" spans="1:20" hidden="1" x14ac:dyDescent="0.35">
      <c r="A3261" s="11">
        <v>46227</v>
      </c>
      <c r="B3261" s="3">
        <v>5</v>
      </c>
      <c r="C3261" t="s">
        <v>115</v>
      </c>
      <c r="D3261" t="s">
        <v>18</v>
      </c>
      <c r="E3261" s="3">
        <v>20</v>
      </c>
      <c r="F3261" t="s">
        <v>34</v>
      </c>
      <c r="G3261" t="s">
        <v>75</v>
      </c>
      <c r="H3261" t="s">
        <v>76</v>
      </c>
      <c r="I3261" s="12">
        <v>0.76388888888888884</v>
      </c>
      <c r="J3261" t="s">
        <v>77</v>
      </c>
      <c r="K3261" t="s">
        <v>78</v>
      </c>
      <c r="L3261" s="12">
        <v>0.78472222222222221</v>
      </c>
      <c r="M3261" t="s">
        <v>51</v>
      </c>
      <c r="N3261" s="3">
        <v>78</v>
      </c>
      <c r="O3261" t="s">
        <v>24</v>
      </c>
      <c r="P3261" t="s">
        <v>79</v>
      </c>
      <c r="Q3261" s="16" t="s">
        <v>80</v>
      </c>
      <c r="R3261">
        <f>tblDailySchedule[[#This Row],[Capacity Approx]]*'[1]Load Factor Sheet June Acft  '!$B$5</f>
        <v>63.162272727272729</v>
      </c>
      <c r="S3261">
        <f>tblDailySchedule[[#This Row],[Capacity Approx]]*'[1]Load Factor Sheet June Acft  '!$D$5</f>
        <v>68.391818181818181</v>
      </c>
      <c r="T3261" s="22">
        <f>tblDailySchedule[[#This Row],[STD]]</f>
        <v>0.78472222222222221</v>
      </c>
    </row>
    <row r="3262" spans="1:20" hidden="1" x14ac:dyDescent="0.35">
      <c r="A3262" s="11">
        <v>46227</v>
      </c>
      <c r="B3262" s="3">
        <v>5</v>
      </c>
      <c r="C3262" t="s">
        <v>115</v>
      </c>
      <c r="D3262" t="s">
        <v>18</v>
      </c>
      <c r="E3262" s="3">
        <v>21</v>
      </c>
      <c r="F3262" t="s">
        <v>19</v>
      </c>
      <c r="G3262" t="s">
        <v>81</v>
      </c>
      <c r="H3262" t="s">
        <v>61</v>
      </c>
      <c r="I3262" s="12">
        <v>0.77083333333333337</v>
      </c>
      <c r="J3262" t="s">
        <v>82</v>
      </c>
      <c r="K3262" t="s">
        <v>49</v>
      </c>
      <c r="L3262" s="12">
        <v>0.79166666666666663</v>
      </c>
      <c r="M3262" t="s">
        <v>33</v>
      </c>
      <c r="N3262" s="3">
        <v>189</v>
      </c>
      <c r="O3262" t="s">
        <v>24</v>
      </c>
      <c r="P3262" t="s">
        <v>79</v>
      </c>
      <c r="R3262">
        <f>tblDailySchedule[[#This Row],[Capacity Approx]]*'[1]Load Factor Sheet June Acft  '!$B$5</f>
        <v>153.04704545454547</v>
      </c>
      <c r="S3262">
        <f>tblDailySchedule[[#This Row],[Capacity Approx]]*'[1]Load Factor Sheet June Acft  '!$D$5</f>
        <v>165.71863636363636</v>
      </c>
      <c r="T3262" s="22">
        <f>tblDailySchedule[[#This Row],[STD]]</f>
        <v>0.79166666666666663</v>
      </c>
    </row>
    <row r="3263" spans="1:20" hidden="1" x14ac:dyDescent="0.35">
      <c r="A3263" s="11">
        <v>46227</v>
      </c>
      <c r="B3263" s="3">
        <v>5</v>
      </c>
      <c r="C3263" t="s">
        <v>115</v>
      </c>
      <c r="D3263" t="s">
        <v>18</v>
      </c>
      <c r="E3263" s="3">
        <v>22</v>
      </c>
      <c r="F3263" t="s">
        <v>19</v>
      </c>
      <c r="G3263" t="s">
        <v>83</v>
      </c>
      <c r="H3263" t="s">
        <v>31</v>
      </c>
      <c r="I3263" s="12">
        <v>0.77777777777777779</v>
      </c>
      <c r="J3263" t="s">
        <v>84</v>
      </c>
      <c r="K3263" t="s">
        <v>31</v>
      </c>
      <c r="L3263" s="12">
        <v>0.80555555555555558</v>
      </c>
      <c r="M3263" t="s">
        <v>63</v>
      </c>
      <c r="N3263" s="3">
        <v>232</v>
      </c>
      <c r="O3263" t="s">
        <v>24</v>
      </c>
      <c r="P3263" t="s">
        <v>79</v>
      </c>
      <c r="R3263">
        <f>tblDailySchedule[[#This Row],[Capacity Approx]]*'[1]Load Factor Sheet June Acft  '!$B$5</f>
        <v>187.86727272727273</v>
      </c>
      <c r="S3263">
        <f>tblDailySchedule[[#This Row],[Capacity Approx]]*'[1]Load Factor Sheet June Acft  '!$D$5</f>
        <v>203.4218181818182</v>
      </c>
      <c r="T3263" s="22">
        <f>tblDailySchedule[[#This Row],[STD]]</f>
        <v>0.80555555555555558</v>
      </c>
    </row>
    <row r="3264" spans="1:20" hidden="1" x14ac:dyDescent="0.35">
      <c r="A3264" s="11">
        <v>46227</v>
      </c>
      <c r="B3264" s="3">
        <v>5</v>
      </c>
      <c r="C3264" t="s">
        <v>115</v>
      </c>
      <c r="D3264" t="s">
        <v>18</v>
      </c>
      <c r="E3264" s="3">
        <v>23</v>
      </c>
      <c r="F3264" t="s">
        <v>19</v>
      </c>
      <c r="G3264" t="s">
        <v>85</v>
      </c>
      <c r="H3264" t="s">
        <v>86</v>
      </c>
      <c r="I3264" s="12">
        <v>0.79861111111111116</v>
      </c>
      <c r="J3264" t="s">
        <v>87</v>
      </c>
      <c r="K3264" t="s">
        <v>86</v>
      </c>
      <c r="L3264" s="12">
        <v>0.82638888888888884</v>
      </c>
      <c r="M3264" t="s">
        <v>63</v>
      </c>
      <c r="N3264" s="3">
        <v>232</v>
      </c>
      <c r="O3264" t="s">
        <v>24</v>
      </c>
      <c r="P3264" t="s">
        <v>79</v>
      </c>
      <c r="R3264">
        <f>tblDailySchedule[[#This Row],[Capacity Approx]]*'[1]Load Factor Sheet June Acft  '!$B$5</f>
        <v>187.86727272727273</v>
      </c>
      <c r="S3264">
        <f>tblDailySchedule[[#This Row],[Capacity Approx]]*'[1]Load Factor Sheet June Acft  '!$D$5</f>
        <v>203.4218181818182</v>
      </c>
      <c r="T3264" s="22">
        <f>tblDailySchedule[[#This Row],[STD]]</f>
        <v>0.82638888888888884</v>
      </c>
    </row>
    <row r="3265" spans="1:20" hidden="1" x14ac:dyDescent="0.35">
      <c r="A3265" s="11">
        <v>46227</v>
      </c>
      <c r="B3265" s="3">
        <v>5</v>
      </c>
      <c r="C3265" t="s">
        <v>115</v>
      </c>
      <c r="D3265" t="s">
        <v>18</v>
      </c>
      <c r="E3265" s="3">
        <v>24</v>
      </c>
      <c r="F3265" t="s">
        <v>19</v>
      </c>
      <c r="G3265" t="s">
        <v>88</v>
      </c>
      <c r="H3265" t="s">
        <v>89</v>
      </c>
      <c r="I3265" s="12">
        <v>0.83333333333333337</v>
      </c>
      <c r="J3265" t="s">
        <v>90</v>
      </c>
      <c r="K3265" t="s">
        <v>31</v>
      </c>
      <c r="L3265" s="12">
        <v>0.86111111111111116</v>
      </c>
      <c r="M3265" t="s">
        <v>63</v>
      </c>
      <c r="N3265" s="3">
        <v>232</v>
      </c>
      <c r="O3265" t="s">
        <v>24</v>
      </c>
      <c r="P3265" t="s">
        <v>79</v>
      </c>
      <c r="R3265">
        <f>tblDailySchedule[[#This Row],[Capacity Approx]]*'[1]Load Factor Sheet June Acft  '!$B$5</f>
        <v>187.86727272727273</v>
      </c>
      <c r="S3265">
        <f>tblDailySchedule[[#This Row],[Capacity Approx]]*'[1]Load Factor Sheet June Acft  '!$D$5</f>
        <v>203.4218181818182</v>
      </c>
      <c r="T3265" s="22">
        <f>tblDailySchedule[[#This Row],[STD]]</f>
        <v>0.86111111111111116</v>
      </c>
    </row>
    <row r="3266" spans="1:20" hidden="1" x14ac:dyDescent="0.35">
      <c r="A3266" s="11">
        <v>46227</v>
      </c>
      <c r="B3266" s="3">
        <v>5</v>
      </c>
      <c r="C3266" t="s">
        <v>115</v>
      </c>
      <c r="D3266" t="s">
        <v>18</v>
      </c>
      <c r="E3266" s="3">
        <v>25</v>
      </c>
      <c r="F3266" t="s">
        <v>19</v>
      </c>
      <c r="G3266" t="s">
        <v>91</v>
      </c>
      <c r="H3266" t="s">
        <v>61</v>
      </c>
      <c r="I3266" s="12">
        <v>0.85416666666666663</v>
      </c>
      <c r="J3266" t="s">
        <v>92</v>
      </c>
      <c r="K3266" t="s">
        <v>61</v>
      </c>
      <c r="L3266" s="12">
        <v>0.88194444444444442</v>
      </c>
      <c r="M3266" t="s">
        <v>63</v>
      </c>
      <c r="N3266" s="3">
        <v>232</v>
      </c>
      <c r="O3266" t="s">
        <v>24</v>
      </c>
      <c r="P3266" t="s">
        <v>79</v>
      </c>
      <c r="R3266">
        <f>tblDailySchedule[[#This Row],[Capacity Approx]]*'[1]Load Factor Sheet June Acft  '!$B$5</f>
        <v>187.86727272727273</v>
      </c>
      <c r="S3266">
        <f>tblDailySchedule[[#This Row],[Capacity Approx]]*'[1]Load Factor Sheet June Acft  '!$D$5</f>
        <v>203.4218181818182</v>
      </c>
      <c r="T3266" s="22">
        <f>tblDailySchedule[[#This Row],[STD]]</f>
        <v>0.88194444444444442</v>
      </c>
    </row>
    <row r="3267" spans="1:20" hidden="1" x14ac:dyDescent="0.35">
      <c r="A3267" s="11">
        <v>46227</v>
      </c>
      <c r="B3267" s="3">
        <v>5</v>
      </c>
      <c r="C3267" t="s">
        <v>115</v>
      </c>
      <c r="D3267" t="s">
        <v>18</v>
      </c>
      <c r="E3267" s="3">
        <v>26</v>
      </c>
      <c r="F3267" t="s">
        <v>19</v>
      </c>
      <c r="G3267" t="s">
        <v>93</v>
      </c>
      <c r="H3267" t="s">
        <v>31</v>
      </c>
      <c r="I3267" s="12">
        <v>0.86111111111111116</v>
      </c>
      <c r="J3267" t="s">
        <v>94</v>
      </c>
      <c r="K3267" t="s">
        <v>31</v>
      </c>
      <c r="L3267" s="12">
        <v>0.88888888888888884</v>
      </c>
      <c r="M3267" t="s">
        <v>23</v>
      </c>
      <c r="N3267" s="3">
        <v>186</v>
      </c>
      <c r="O3267" t="s">
        <v>24</v>
      </c>
      <c r="P3267" t="s">
        <v>79</v>
      </c>
      <c r="R3267">
        <f>tblDailySchedule[[#This Row],[Capacity Approx]]*'[1]Load Factor Sheet June Acft  '!$B$5</f>
        <v>150.61772727272728</v>
      </c>
      <c r="S3267">
        <f>tblDailySchedule[[#This Row],[Capacity Approx]]*'[1]Load Factor Sheet June Acft  '!$D$5</f>
        <v>163.08818181818182</v>
      </c>
      <c r="T3267" s="22">
        <f>tblDailySchedule[[#This Row],[STD]]</f>
        <v>0.88888888888888884</v>
      </c>
    </row>
    <row r="3268" spans="1:20" hidden="1" x14ac:dyDescent="0.35">
      <c r="A3268" s="11">
        <v>46227</v>
      </c>
      <c r="B3268" s="3">
        <v>5</v>
      </c>
      <c r="C3268" t="s">
        <v>115</v>
      </c>
      <c r="D3268" t="s">
        <v>18</v>
      </c>
      <c r="E3268" s="3">
        <v>27</v>
      </c>
      <c r="F3268" t="s">
        <v>19</v>
      </c>
      <c r="G3268" t="s">
        <v>95</v>
      </c>
      <c r="H3268" t="s">
        <v>21</v>
      </c>
      <c r="I3268" s="12">
        <v>0.86805555555555558</v>
      </c>
      <c r="J3268" t="s">
        <v>96</v>
      </c>
      <c r="K3268" t="s">
        <v>21</v>
      </c>
      <c r="L3268" s="12">
        <v>0.89583333333333337</v>
      </c>
      <c r="M3268" t="s">
        <v>29</v>
      </c>
      <c r="N3268" s="3">
        <v>186</v>
      </c>
      <c r="O3268" t="s">
        <v>24</v>
      </c>
      <c r="P3268" t="s">
        <v>79</v>
      </c>
      <c r="R3268">
        <f>tblDailySchedule[[#This Row],[Capacity Approx]]*'[1]Load Factor Sheet June Acft  '!$B$5</f>
        <v>150.61772727272728</v>
      </c>
      <c r="S3268">
        <f>tblDailySchedule[[#This Row],[Capacity Approx]]*'[1]Load Factor Sheet June Acft  '!$D$5</f>
        <v>163.08818181818182</v>
      </c>
      <c r="T3268" s="22">
        <f>tblDailySchedule[[#This Row],[STD]]</f>
        <v>0.89583333333333337</v>
      </c>
    </row>
    <row r="3269" spans="1:20" hidden="1" x14ac:dyDescent="0.35">
      <c r="A3269" s="11">
        <v>46227</v>
      </c>
      <c r="B3269" s="3">
        <v>5</v>
      </c>
      <c r="C3269" t="s">
        <v>115</v>
      </c>
      <c r="D3269" t="s">
        <v>18</v>
      </c>
      <c r="E3269" s="3">
        <v>28</v>
      </c>
      <c r="F3269" t="s">
        <v>19</v>
      </c>
      <c r="G3269" t="s">
        <v>97</v>
      </c>
      <c r="H3269" t="s">
        <v>49</v>
      </c>
      <c r="I3269" s="12">
        <v>0.90277777777777779</v>
      </c>
      <c r="J3269" t="s">
        <v>97</v>
      </c>
      <c r="K3269" t="s">
        <v>61</v>
      </c>
      <c r="L3269" s="12">
        <v>0.92361111111111116</v>
      </c>
      <c r="M3269" t="s">
        <v>33</v>
      </c>
      <c r="N3269" s="3">
        <v>189</v>
      </c>
      <c r="O3269" t="s">
        <v>24</v>
      </c>
      <c r="P3269" t="s">
        <v>79</v>
      </c>
      <c r="R3269">
        <f>tblDailySchedule[[#This Row],[Capacity Approx]]*'[1]Load Factor Sheet June Acft  '!$B$5</f>
        <v>153.04704545454547</v>
      </c>
      <c r="S3269">
        <f>tblDailySchedule[[#This Row],[Capacity Approx]]*'[1]Load Factor Sheet June Acft  '!$D$5</f>
        <v>165.71863636363636</v>
      </c>
      <c r="T3269" s="22">
        <f>tblDailySchedule[[#This Row],[STD]]</f>
        <v>0.92361111111111116</v>
      </c>
    </row>
    <row r="3270" spans="1:20" hidden="1" x14ac:dyDescent="0.35">
      <c r="A3270" s="11">
        <v>46227</v>
      </c>
      <c r="B3270" s="3">
        <v>5</v>
      </c>
      <c r="C3270" t="s">
        <v>115</v>
      </c>
      <c r="D3270" t="s">
        <v>18</v>
      </c>
      <c r="E3270" s="3">
        <v>29</v>
      </c>
      <c r="F3270" t="s">
        <v>19</v>
      </c>
      <c r="G3270" t="s">
        <v>98</v>
      </c>
      <c r="H3270" t="s">
        <v>21</v>
      </c>
      <c r="I3270" s="12">
        <v>0.92013888888888884</v>
      </c>
      <c r="J3270" t="s">
        <v>99</v>
      </c>
      <c r="K3270" t="s">
        <v>21</v>
      </c>
      <c r="L3270" s="12">
        <v>0.94791666666666663</v>
      </c>
      <c r="M3270" t="s">
        <v>63</v>
      </c>
      <c r="N3270" s="3">
        <v>232</v>
      </c>
      <c r="O3270" t="s">
        <v>24</v>
      </c>
      <c r="P3270" t="s">
        <v>79</v>
      </c>
      <c r="R3270">
        <f>tblDailySchedule[[#This Row],[Capacity Approx]]*'[1]Load Factor Sheet June Acft  '!$B$5</f>
        <v>187.86727272727273</v>
      </c>
      <c r="S3270">
        <f>tblDailySchedule[[#This Row],[Capacity Approx]]*'[1]Load Factor Sheet June Acft  '!$D$5</f>
        <v>203.4218181818182</v>
      </c>
      <c r="T3270" s="22">
        <f>tblDailySchedule[[#This Row],[STD]]</f>
        <v>0.94791666666666663</v>
      </c>
    </row>
    <row r="3271" spans="1:20" hidden="1" x14ac:dyDescent="0.35">
      <c r="A3271" s="13">
        <v>46227</v>
      </c>
      <c r="B3271" s="7">
        <v>5</v>
      </c>
      <c r="C3271" s="14" t="s">
        <v>115</v>
      </c>
      <c r="D3271" s="14" t="s">
        <v>18</v>
      </c>
      <c r="E3271" s="7">
        <v>30</v>
      </c>
      <c r="F3271" s="14" t="s">
        <v>104</v>
      </c>
      <c r="G3271" s="14" t="s">
        <v>105</v>
      </c>
      <c r="H3271" s="14" t="s">
        <v>106</v>
      </c>
      <c r="I3271" s="15">
        <v>0.92708333333333337</v>
      </c>
      <c r="J3271" s="14" t="s">
        <v>107</v>
      </c>
      <c r="K3271" s="14" t="s">
        <v>106</v>
      </c>
      <c r="L3271" s="15">
        <v>0.95833333333333337</v>
      </c>
      <c r="M3271" s="14" t="s">
        <v>38</v>
      </c>
      <c r="N3271" s="7">
        <v>186</v>
      </c>
      <c r="O3271" s="14" t="s">
        <v>39</v>
      </c>
      <c r="P3271" s="14" t="s">
        <v>79</v>
      </c>
      <c r="Q3271" s="14" t="s">
        <v>39</v>
      </c>
      <c r="R3271">
        <f>tblDailySchedule[[#This Row],[Capacity Approx]]*'[1]Load Factor Sheet June Acft  '!$B$5</f>
        <v>150.61772727272728</v>
      </c>
      <c r="S3271">
        <f>tblDailySchedule[[#This Row],[Capacity Approx]]*'[1]Load Factor Sheet June Acft  '!$D$5</f>
        <v>163.08818181818182</v>
      </c>
      <c r="T3271" s="22">
        <f>tblDailySchedule[[#This Row],[STD]]</f>
        <v>0.95833333333333337</v>
      </c>
    </row>
    <row r="3272" spans="1:20" hidden="1" x14ac:dyDescent="0.35">
      <c r="A3272" s="11">
        <v>46228</v>
      </c>
      <c r="B3272" s="3">
        <v>6</v>
      </c>
      <c r="C3272" t="s">
        <v>116</v>
      </c>
      <c r="D3272" t="s">
        <v>18</v>
      </c>
      <c r="E3272" s="3">
        <v>1</v>
      </c>
      <c r="F3272" t="s">
        <v>101</v>
      </c>
      <c r="G3272" t="s">
        <v>102</v>
      </c>
      <c r="H3272" t="s">
        <v>61</v>
      </c>
      <c r="I3272" s="12">
        <v>0.3125</v>
      </c>
      <c r="J3272" t="s">
        <v>103</v>
      </c>
      <c r="K3272" t="s">
        <v>61</v>
      </c>
      <c r="L3272" s="12">
        <v>0.33333333333333331</v>
      </c>
      <c r="M3272" t="s">
        <v>33</v>
      </c>
      <c r="N3272" s="3">
        <v>189</v>
      </c>
      <c r="O3272" t="s">
        <v>24</v>
      </c>
      <c r="P3272" t="s">
        <v>25</v>
      </c>
      <c r="R3272">
        <f>tblDailySchedule[[#This Row],[Capacity Approx]]*'[1]Load Factor Sheet June Acft  '!$B$5</f>
        <v>153.04704545454547</v>
      </c>
      <c r="S3272">
        <f>tblDailySchedule[[#This Row],[Capacity Approx]]*'[1]Load Factor Sheet June Acft  '!$D$5</f>
        <v>165.71863636363636</v>
      </c>
      <c r="T3272" s="22">
        <f>tblDailySchedule[[#This Row],[STD]]</f>
        <v>0.33333333333333331</v>
      </c>
    </row>
    <row r="3273" spans="1:20" hidden="1" x14ac:dyDescent="0.35">
      <c r="A3273" s="11">
        <v>46228</v>
      </c>
      <c r="B3273" s="3">
        <v>6</v>
      </c>
      <c r="C3273" t="s">
        <v>116</v>
      </c>
      <c r="D3273" t="s">
        <v>18</v>
      </c>
      <c r="E3273" s="3">
        <v>2</v>
      </c>
      <c r="F3273" t="s">
        <v>19</v>
      </c>
      <c r="G3273" t="s">
        <v>20</v>
      </c>
      <c r="H3273" t="s">
        <v>21</v>
      </c>
      <c r="I3273" s="12">
        <v>0.31944444444444442</v>
      </c>
      <c r="J3273" t="s">
        <v>22</v>
      </c>
      <c r="K3273" t="s">
        <v>21</v>
      </c>
      <c r="L3273" s="12">
        <v>0.34722222222222221</v>
      </c>
      <c r="M3273" t="s">
        <v>23</v>
      </c>
      <c r="N3273" s="3">
        <v>186</v>
      </c>
      <c r="O3273" t="s">
        <v>24</v>
      </c>
      <c r="P3273" t="s">
        <v>25</v>
      </c>
      <c r="R3273">
        <f>tblDailySchedule[[#This Row],[Capacity Approx]]*'[1]Load Factor Sheet June Acft  '!$B$5</f>
        <v>150.61772727272728</v>
      </c>
      <c r="S3273">
        <f>tblDailySchedule[[#This Row],[Capacity Approx]]*'[1]Load Factor Sheet June Acft  '!$D$5</f>
        <v>163.08818181818182</v>
      </c>
      <c r="T3273" s="22">
        <f>tblDailySchedule[[#This Row],[STD]]</f>
        <v>0.34722222222222221</v>
      </c>
    </row>
    <row r="3274" spans="1:20" hidden="1" x14ac:dyDescent="0.35">
      <c r="A3274" s="11">
        <v>46228</v>
      </c>
      <c r="B3274" s="3">
        <v>6</v>
      </c>
      <c r="C3274" t="s">
        <v>116</v>
      </c>
      <c r="D3274" t="s">
        <v>18</v>
      </c>
      <c r="E3274" s="3">
        <v>3</v>
      </c>
      <c r="F3274" t="s">
        <v>19</v>
      </c>
      <c r="G3274" t="s">
        <v>26</v>
      </c>
      <c r="H3274" t="s">
        <v>27</v>
      </c>
      <c r="I3274" s="12">
        <v>0.3263888888888889</v>
      </c>
      <c r="J3274" t="s">
        <v>28</v>
      </c>
      <c r="K3274" t="s">
        <v>27</v>
      </c>
      <c r="L3274" s="12">
        <v>0.35416666666666669</v>
      </c>
      <c r="M3274" t="s">
        <v>29</v>
      </c>
      <c r="N3274" s="3">
        <v>186</v>
      </c>
      <c r="O3274" t="s">
        <v>24</v>
      </c>
      <c r="P3274" t="s">
        <v>25</v>
      </c>
      <c r="R3274">
        <f>tblDailySchedule[[#This Row],[Capacity Approx]]*'[1]Load Factor Sheet June Acft  '!$B$5</f>
        <v>150.61772727272728</v>
      </c>
      <c r="S3274">
        <f>tblDailySchedule[[#This Row],[Capacity Approx]]*'[1]Load Factor Sheet June Acft  '!$D$5</f>
        <v>163.08818181818182</v>
      </c>
      <c r="T3274" s="22">
        <f>tblDailySchedule[[#This Row],[STD]]</f>
        <v>0.35416666666666669</v>
      </c>
    </row>
    <row r="3275" spans="1:20" hidden="1" x14ac:dyDescent="0.35">
      <c r="A3275" s="11">
        <v>46228</v>
      </c>
      <c r="B3275" s="3">
        <v>6</v>
      </c>
      <c r="C3275" t="s">
        <v>116</v>
      </c>
      <c r="D3275" t="s">
        <v>18</v>
      </c>
      <c r="E3275" s="3">
        <v>4</v>
      </c>
      <c r="F3275" t="s">
        <v>19</v>
      </c>
      <c r="G3275" t="s">
        <v>30</v>
      </c>
      <c r="H3275" t="s">
        <v>31</v>
      </c>
      <c r="I3275" s="12">
        <v>0.34722222222222221</v>
      </c>
      <c r="J3275" t="s">
        <v>32</v>
      </c>
      <c r="K3275" t="s">
        <v>31</v>
      </c>
      <c r="L3275" s="12">
        <v>0.36805555555555558</v>
      </c>
      <c r="M3275" t="s">
        <v>33</v>
      </c>
      <c r="N3275" s="3">
        <v>189</v>
      </c>
      <c r="O3275" t="s">
        <v>24</v>
      </c>
      <c r="P3275" t="s">
        <v>25</v>
      </c>
      <c r="R3275">
        <f>tblDailySchedule[[#This Row],[Capacity Approx]]*'[1]Load Factor Sheet June Acft  '!$B$5</f>
        <v>153.04704545454547</v>
      </c>
      <c r="S3275">
        <f>tblDailySchedule[[#This Row],[Capacity Approx]]*'[1]Load Factor Sheet June Acft  '!$D$5</f>
        <v>165.71863636363636</v>
      </c>
      <c r="T3275" s="22">
        <f>tblDailySchedule[[#This Row],[STD]]</f>
        <v>0.36805555555555558</v>
      </c>
    </row>
    <row r="3276" spans="1:20" hidden="1" x14ac:dyDescent="0.35">
      <c r="A3276" s="11">
        <v>46228</v>
      </c>
      <c r="B3276" s="3">
        <v>6</v>
      </c>
      <c r="C3276" t="s">
        <v>116</v>
      </c>
      <c r="D3276" t="s">
        <v>18</v>
      </c>
      <c r="E3276" s="3">
        <v>5</v>
      </c>
      <c r="F3276" t="s">
        <v>19</v>
      </c>
      <c r="G3276" t="s">
        <v>40</v>
      </c>
      <c r="H3276" t="s">
        <v>31</v>
      </c>
      <c r="I3276" s="12">
        <v>0.35069444444444442</v>
      </c>
      <c r="J3276" t="s">
        <v>41</v>
      </c>
      <c r="K3276" t="s">
        <v>31</v>
      </c>
      <c r="L3276" s="12">
        <v>0.37152777777777779</v>
      </c>
      <c r="M3276" t="s">
        <v>23</v>
      </c>
      <c r="N3276" s="3">
        <v>186</v>
      </c>
      <c r="O3276" t="s">
        <v>24</v>
      </c>
      <c r="P3276" t="s">
        <v>25</v>
      </c>
      <c r="R3276">
        <f>tblDailySchedule[[#This Row],[Capacity Approx]]*'[1]Load Factor Sheet June Acft  '!$B$5</f>
        <v>150.61772727272728</v>
      </c>
      <c r="S3276">
        <f>tblDailySchedule[[#This Row],[Capacity Approx]]*'[1]Load Factor Sheet June Acft  '!$D$5</f>
        <v>163.08818181818182</v>
      </c>
      <c r="T3276" s="22">
        <f>tblDailySchedule[[#This Row],[STD]]</f>
        <v>0.37152777777777779</v>
      </c>
    </row>
    <row r="3277" spans="1:20" hidden="1" x14ac:dyDescent="0.35">
      <c r="A3277" s="11">
        <v>46228</v>
      </c>
      <c r="B3277" s="3">
        <v>6</v>
      </c>
      <c r="C3277" t="s">
        <v>116</v>
      </c>
      <c r="D3277" t="s">
        <v>18</v>
      </c>
      <c r="E3277" s="3">
        <v>7</v>
      </c>
      <c r="F3277" t="s">
        <v>19</v>
      </c>
      <c r="G3277" t="s">
        <v>42</v>
      </c>
      <c r="H3277" t="s">
        <v>43</v>
      </c>
      <c r="I3277" s="12">
        <v>0.3923611111111111</v>
      </c>
      <c r="J3277" t="s">
        <v>44</v>
      </c>
      <c r="K3277" t="s">
        <v>43</v>
      </c>
      <c r="L3277" s="12">
        <v>0.40277777777777779</v>
      </c>
      <c r="M3277" t="s">
        <v>45</v>
      </c>
      <c r="N3277" s="3">
        <v>9</v>
      </c>
      <c r="O3277" t="s">
        <v>24</v>
      </c>
      <c r="P3277" t="s">
        <v>25</v>
      </c>
      <c r="R3277">
        <f>tblDailySchedule[[#This Row],[Capacity Approx]]*'[1]Load Factor Sheet June Acft  '!$B$5</f>
        <v>7.2879545454545456</v>
      </c>
      <c r="S3277">
        <f>tblDailySchedule[[#This Row],[Capacity Approx]]*'[1]Load Factor Sheet June Acft  '!$D$5</f>
        <v>7.8913636363636366</v>
      </c>
      <c r="T3277" s="22">
        <f>tblDailySchedule[[#This Row],[STD]]</f>
        <v>0.40277777777777779</v>
      </c>
    </row>
    <row r="3278" spans="1:20" hidden="1" x14ac:dyDescent="0.35">
      <c r="A3278" s="11">
        <v>46228</v>
      </c>
      <c r="B3278" s="3">
        <v>6</v>
      </c>
      <c r="C3278" t="s">
        <v>116</v>
      </c>
      <c r="D3278" t="s">
        <v>18</v>
      </c>
      <c r="E3278" s="3">
        <v>8</v>
      </c>
      <c r="F3278" t="s">
        <v>19</v>
      </c>
      <c r="G3278" t="s">
        <v>46</v>
      </c>
      <c r="H3278" t="s">
        <v>31</v>
      </c>
      <c r="I3278" s="12">
        <v>0.4201388888888889</v>
      </c>
      <c r="J3278" t="s">
        <v>47</v>
      </c>
      <c r="K3278" t="s">
        <v>31</v>
      </c>
      <c r="L3278" s="12">
        <v>0.44444444444444442</v>
      </c>
      <c r="M3278" t="s">
        <v>29</v>
      </c>
      <c r="N3278" s="3">
        <v>186</v>
      </c>
      <c r="O3278" t="s">
        <v>24</v>
      </c>
      <c r="P3278" t="s">
        <v>25</v>
      </c>
      <c r="R3278">
        <f>tblDailySchedule[[#This Row],[Capacity Approx]]*'[1]Load Factor Sheet June Acft  '!$B$5</f>
        <v>150.61772727272728</v>
      </c>
      <c r="S3278">
        <f>tblDailySchedule[[#This Row],[Capacity Approx]]*'[1]Load Factor Sheet June Acft  '!$D$5</f>
        <v>163.08818181818182</v>
      </c>
      <c r="T3278" s="22">
        <f>tblDailySchedule[[#This Row],[STD]]</f>
        <v>0.44444444444444442</v>
      </c>
    </row>
    <row r="3279" spans="1:20" hidden="1" x14ac:dyDescent="0.35">
      <c r="A3279" s="11">
        <v>46228</v>
      </c>
      <c r="B3279" s="3">
        <v>6</v>
      </c>
      <c r="C3279" t="s">
        <v>116</v>
      </c>
      <c r="D3279" t="s">
        <v>18</v>
      </c>
      <c r="E3279" s="3">
        <v>9</v>
      </c>
      <c r="F3279" t="s">
        <v>19</v>
      </c>
      <c r="G3279" t="s">
        <v>48</v>
      </c>
      <c r="H3279" t="s">
        <v>49</v>
      </c>
      <c r="I3279" s="12">
        <v>0.4375</v>
      </c>
      <c r="J3279" t="s">
        <v>50</v>
      </c>
      <c r="K3279" t="s">
        <v>49</v>
      </c>
      <c r="L3279" s="12">
        <v>0.45833333333333331</v>
      </c>
      <c r="M3279" t="s">
        <v>51</v>
      </c>
      <c r="N3279" s="3">
        <v>78</v>
      </c>
      <c r="O3279" t="s">
        <v>24</v>
      </c>
      <c r="P3279" t="s">
        <v>25</v>
      </c>
      <c r="R3279">
        <f>tblDailySchedule[[#This Row],[Capacity Approx]]*'[1]Load Factor Sheet June Acft  '!$B$5</f>
        <v>63.162272727272729</v>
      </c>
      <c r="S3279">
        <f>tblDailySchedule[[#This Row],[Capacity Approx]]*'[1]Load Factor Sheet June Acft  '!$D$5</f>
        <v>68.391818181818181</v>
      </c>
      <c r="T3279" s="22">
        <f>tblDailySchedule[[#This Row],[STD]]</f>
        <v>0.45833333333333331</v>
      </c>
    </row>
    <row r="3280" spans="1:20" hidden="1" x14ac:dyDescent="0.35">
      <c r="A3280" s="11">
        <v>46228</v>
      </c>
      <c r="B3280" s="3">
        <v>6</v>
      </c>
      <c r="C3280" t="s">
        <v>116</v>
      </c>
      <c r="D3280" t="s">
        <v>18</v>
      </c>
      <c r="E3280" s="3">
        <v>10</v>
      </c>
      <c r="F3280" t="s">
        <v>19</v>
      </c>
      <c r="G3280" t="s">
        <v>52</v>
      </c>
      <c r="H3280" t="s">
        <v>27</v>
      </c>
      <c r="I3280" s="12">
        <v>0.4826388888888889</v>
      </c>
      <c r="J3280" t="s">
        <v>53</v>
      </c>
      <c r="K3280" t="s">
        <v>27</v>
      </c>
      <c r="L3280" s="12">
        <v>0.51041666666666663</v>
      </c>
      <c r="M3280" t="s">
        <v>23</v>
      </c>
      <c r="N3280" s="3">
        <v>186</v>
      </c>
      <c r="O3280" t="s">
        <v>24</v>
      </c>
      <c r="P3280" t="s">
        <v>25</v>
      </c>
      <c r="R3280">
        <f>tblDailySchedule[[#This Row],[Capacity Approx]]*'[1]Load Factor Sheet June Acft  '!$B$5</f>
        <v>150.61772727272728</v>
      </c>
      <c r="S3280">
        <f>tblDailySchedule[[#This Row],[Capacity Approx]]*'[1]Load Factor Sheet June Acft  '!$D$5</f>
        <v>163.08818181818182</v>
      </c>
      <c r="T3280" s="22">
        <f>tblDailySchedule[[#This Row],[STD]]</f>
        <v>0.51041666666666663</v>
      </c>
    </row>
    <row r="3281" spans="1:20" hidden="1" x14ac:dyDescent="0.35">
      <c r="A3281" s="11">
        <v>46228</v>
      </c>
      <c r="B3281" s="3">
        <v>6</v>
      </c>
      <c r="C3281" t="s">
        <v>116</v>
      </c>
      <c r="D3281" t="s">
        <v>18</v>
      </c>
      <c r="E3281" s="3">
        <v>11</v>
      </c>
      <c r="F3281" t="s">
        <v>19</v>
      </c>
      <c r="G3281" t="s">
        <v>54</v>
      </c>
      <c r="H3281" t="s">
        <v>31</v>
      </c>
      <c r="I3281" s="12">
        <v>0.51388888888888884</v>
      </c>
      <c r="J3281" t="s">
        <v>55</v>
      </c>
      <c r="K3281" t="s">
        <v>31</v>
      </c>
      <c r="L3281" s="12">
        <v>0.54166666666666663</v>
      </c>
      <c r="M3281" t="s">
        <v>23</v>
      </c>
      <c r="N3281" s="3">
        <v>186</v>
      </c>
      <c r="O3281" t="s">
        <v>24</v>
      </c>
      <c r="P3281" t="s">
        <v>56</v>
      </c>
      <c r="R3281">
        <f>tblDailySchedule[[#This Row],[Capacity Approx]]*'[1]Load Factor Sheet June Acft  '!$B$5</f>
        <v>150.61772727272728</v>
      </c>
      <c r="S3281">
        <f>tblDailySchedule[[#This Row],[Capacity Approx]]*'[1]Load Factor Sheet June Acft  '!$D$5</f>
        <v>163.08818181818182</v>
      </c>
      <c r="T3281" s="22">
        <f>tblDailySchedule[[#This Row],[STD]]</f>
        <v>0.54166666666666663</v>
      </c>
    </row>
    <row r="3282" spans="1:20" hidden="1" x14ac:dyDescent="0.35">
      <c r="A3282" s="11">
        <v>46228</v>
      </c>
      <c r="B3282" s="3">
        <v>6</v>
      </c>
      <c r="C3282" t="s">
        <v>116</v>
      </c>
      <c r="D3282" t="s">
        <v>18</v>
      </c>
      <c r="E3282" s="3">
        <v>12</v>
      </c>
      <c r="F3282" t="s">
        <v>109</v>
      </c>
      <c r="G3282" t="s">
        <v>110</v>
      </c>
      <c r="H3282" t="s">
        <v>111</v>
      </c>
      <c r="I3282" s="12">
        <v>0.55555555555555558</v>
      </c>
      <c r="J3282" t="s">
        <v>112</v>
      </c>
      <c r="K3282" t="s">
        <v>111</v>
      </c>
      <c r="L3282" s="12">
        <v>0.56944444444444442</v>
      </c>
      <c r="M3282" t="s">
        <v>51</v>
      </c>
      <c r="N3282" s="3">
        <v>78</v>
      </c>
      <c r="O3282" t="s">
        <v>24</v>
      </c>
      <c r="P3282" t="s">
        <v>56</v>
      </c>
      <c r="R3282">
        <f>tblDailySchedule[[#This Row],[Capacity Approx]]*'[1]Load Factor Sheet June Acft  '!$B$5</f>
        <v>63.162272727272729</v>
      </c>
      <c r="S3282">
        <f>tblDailySchedule[[#This Row],[Capacity Approx]]*'[1]Load Factor Sheet June Acft  '!$D$5</f>
        <v>68.391818181818181</v>
      </c>
      <c r="T3282" s="22">
        <f>tblDailySchedule[[#This Row],[STD]]</f>
        <v>0.56944444444444442</v>
      </c>
    </row>
    <row r="3283" spans="1:20" hidden="1" x14ac:dyDescent="0.35">
      <c r="A3283" s="11">
        <v>46228</v>
      </c>
      <c r="B3283" s="3">
        <v>6</v>
      </c>
      <c r="C3283" t="s">
        <v>116</v>
      </c>
      <c r="D3283" t="s">
        <v>18</v>
      </c>
      <c r="E3283" s="3">
        <v>13</v>
      </c>
      <c r="F3283" t="s">
        <v>19</v>
      </c>
      <c r="G3283" t="s">
        <v>57</v>
      </c>
      <c r="H3283" t="s">
        <v>58</v>
      </c>
      <c r="I3283" s="12">
        <v>0.55902777777777779</v>
      </c>
      <c r="J3283" t="s">
        <v>59</v>
      </c>
      <c r="K3283" t="s">
        <v>58</v>
      </c>
      <c r="L3283" s="12">
        <v>0.57638888888888884</v>
      </c>
      <c r="M3283" t="s">
        <v>51</v>
      </c>
      <c r="N3283" s="3">
        <v>78</v>
      </c>
      <c r="O3283" t="s">
        <v>24</v>
      </c>
      <c r="P3283" t="s">
        <v>56</v>
      </c>
      <c r="R3283">
        <f>tblDailySchedule[[#This Row],[Capacity Approx]]*'[1]Load Factor Sheet June Acft  '!$B$5</f>
        <v>63.162272727272729</v>
      </c>
      <c r="S3283">
        <f>tblDailySchedule[[#This Row],[Capacity Approx]]*'[1]Load Factor Sheet June Acft  '!$D$5</f>
        <v>68.391818181818181</v>
      </c>
      <c r="T3283" s="22">
        <f>tblDailySchedule[[#This Row],[STD]]</f>
        <v>0.57638888888888884</v>
      </c>
    </row>
    <row r="3284" spans="1:20" hidden="1" x14ac:dyDescent="0.35">
      <c r="A3284" s="11">
        <v>46228</v>
      </c>
      <c r="B3284" s="3">
        <v>6</v>
      </c>
      <c r="C3284" t="s">
        <v>116</v>
      </c>
      <c r="D3284" t="s">
        <v>18</v>
      </c>
      <c r="E3284" s="3">
        <v>14</v>
      </c>
      <c r="F3284" t="s">
        <v>19</v>
      </c>
      <c r="G3284" t="s">
        <v>60</v>
      </c>
      <c r="H3284" t="s">
        <v>61</v>
      </c>
      <c r="I3284" s="12">
        <v>0.59027777777777779</v>
      </c>
      <c r="J3284" t="s">
        <v>62</v>
      </c>
      <c r="K3284" t="s">
        <v>61</v>
      </c>
      <c r="L3284" s="12">
        <v>0.62152777777777779</v>
      </c>
      <c r="M3284" t="s">
        <v>63</v>
      </c>
      <c r="N3284" s="3">
        <v>232</v>
      </c>
      <c r="O3284" t="s">
        <v>24</v>
      </c>
      <c r="P3284" t="s">
        <v>56</v>
      </c>
      <c r="R3284">
        <f>tblDailySchedule[[#This Row],[Capacity Approx]]*'[1]Load Factor Sheet June Acft  '!$B$5</f>
        <v>187.86727272727273</v>
      </c>
      <c r="S3284">
        <f>tblDailySchedule[[#This Row],[Capacity Approx]]*'[1]Load Factor Sheet June Acft  '!$D$5</f>
        <v>203.4218181818182</v>
      </c>
      <c r="T3284" s="22">
        <f>tblDailySchedule[[#This Row],[STD]]</f>
        <v>0.62152777777777779</v>
      </c>
    </row>
    <row r="3285" spans="1:20" hidden="1" x14ac:dyDescent="0.35">
      <c r="A3285" s="11">
        <v>46228</v>
      </c>
      <c r="B3285" s="3">
        <v>6</v>
      </c>
      <c r="C3285" t="s">
        <v>116</v>
      </c>
      <c r="D3285" t="s">
        <v>18</v>
      </c>
      <c r="E3285" s="3">
        <v>15</v>
      </c>
      <c r="F3285" t="s">
        <v>19</v>
      </c>
      <c r="G3285" t="s">
        <v>64</v>
      </c>
      <c r="H3285" t="s">
        <v>31</v>
      </c>
      <c r="I3285" s="12">
        <v>0.60069444444444442</v>
      </c>
      <c r="J3285" t="s">
        <v>65</v>
      </c>
      <c r="K3285" t="s">
        <v>66</v>
      </c>
      <c r="L3285" s="12">
        <v>0.62847222222222221</v>
      </c>
      <c r="M3285" t="s">
        <v>63</v>
      </c>
      <c r="N3285" s="3">
        <v>232</v>
      </c>
      <c r="O3285" t="s">
        <v>24</v>
      </c>
      <c r="P3285" t="s">
        <v>56</v>
      </c>
      <c r="R3285">
        <f>tblDailySchedule[[#This Row],[Capacity Approx]]*'[1]Load Factor Sheet June Acft  '!$B$5</f>
        <v>187.86727272727273</v>
      </c>
      <c r="S3285">
        <f>tblDailySchedule[[#This Row],[Capacity Approx]]*'[1]Load Factor Sheet June Acft  '!$D$5</f>
        <v>203.4218181818182</v>
      </c>
      <c r="T3285" s="22">
        <f>tblDailySchedule[[#This Row],[STD]]</f>
        <v>0.62847222222222221</v>
      </c>
    </row>
    <row r="3286" spans="1:20" hidden="1" x14ac:dyDescent="0.35">
      <c r="A3286" s="11">
        <v>46228</v>
      </c>
      <c r="B3286" s="3">
        <v>6</v>
      </c>
      <c r="C3286" t="s">
        <v>116</v>
      </c>
      <c r="D3286" t="s">
        <v>18</v>
      </c>
      <c r="E3286" s="3">
        <v>16</v>
      </c>
      <c r="F3286" t="s">
        <v>19</v>
      </c>
      <c r="G3286" t="s">
        <v>67</v>
      </c>
      <c r="H3286" t="s">
        <v>31</v>
      </c>
      <c r="I3286" s="12">
        <v>0.65625</v>
      </c>
      <c r="J3286" t="s">
        <v>68</v>
      </c>
      <c r="K3286" t="s">
        <v>31</v>
      </c>
      <c r="L3286" s="12">
        <v>0.68402777777777779</v>
      </c>
      <c r="M3286" t="s">
        <v>63</v>
      </c>
      <c r="N3286" s="3">
        <v>232</v>
      </c>
      <c r="O3286" t="s">
        <v>24</v>
      </c>
      <c r="P3286" t="s">
        <v>56</v>
      </c>
      <c r="R3286">
        <f>tblDailySchedule[[#This Row],[Capacity Approx]]*'[1]Load Factor Sheet June Acft  '!$B$5</f>
        <v>187.86727272727273</v>
      </c>
      <c r="S3286">
        <f>tblDailySchedule[[#This Row],[Capacity Approx]]*'[1]Load Factor Sheet June Acft  '!$D$5</f>
        <v>203.4218181818182</v>
      </c>
      <c r="T3286" s="22">
        <f>tblDailySchedule[[#This Row],[STD]]</f>
        <v>0.68402777777777779</v>
      </c>
    </row>
    <row r="3287" spans="1:20" hidden="1" x14ac:dyDescent="0.35">
      <c r="A3287" s="11">
        <v>46228</v>
      </c>
      <c r="B3287" s="3">
        <v>6</v>
      </c>
      <c r="C3287" t="s">
        <v>116</v>
      </c>
      <c r="D3287" t="s">
        <v>18</v>
      </c>
      <c r="E3287" s="3">
        <v>17</v>
      </c>
      <c r="F3287" t="s">
        <v>19</v>
      </c>
      <c r="G3287" t="s">
        <v>69</v>
      </c>
      <c r="H3287" t="s">
        <v>31</v>
      </c>
      <c r="I3287" s="12">
        <v>0.66319444444444442</v>
      </c>
      <c r="J3287" t="s">
        <v>70</v>
      </c>
      <c r="K3287" t="s">
        <v>31</v>
      </c>
      <c r="L3287" s="12">
        <v>0.69097222222222221</v>
      </c>
      <c r="M3287" t="s">
        <v>33</v>
      </c>
      <c r="N3287" s="3">
        <v>189</v>
      </c>
      <c r="O3287" t="s">
        <v>24</v>
      </c>
      <c r="P3287" t="s">
        <v>56</v>
      </c>
      <c r="R3287">
        <f>tblDailySchedule[[#This Row],[Capacity Approx]]*'[1]Load Factor Sheet June Acft  '!$B$5</f>
        <v>153.04704545454547</v>
      </c>
      <c r="S3287">
        <f>tblDailySchedule[[#This Row],[Capacity Approx]]*'[1]Load Factor Sheet June Acft  '!$D$5</f>
        <v>165.71863636363636</v>
      </c>
      <c r="T3287" s="22">
        <f>tblDailySchedule[[#This Row],[STD]]</f>
        <v>0.69097222222222221</v>
      </c>
    </row>
    <row r="3288" spans="1:20" hidden="1" x14ac:dyDescent="0.35">
      <c r="A3288" s="11">
        <v>46228</v>
      </c>
      <c r="B3288" s="3">
        <v>6</v>
      </c>
      <c r="C3288" t="s">
        <v>116</v>
      </c>
      <c r="D3288" t="s">
        <v>18</v>
      </c>
      <c r="E3288" s="3">
        <v>18</v>
      </c>
      <c r="F3288" t="s">
        <v>19</v>
      </c>
      <c r="G3288" t="s">
        <v>71</v>
      </c>
      <c r="H3288" t="s">
        <v>21</v>
      </c>
      <c r="I3288" s="12">
        <v>0.67013888888888884</v>
      </c>
      <c r="J3288" t="s">
        <v>72</v>
      </c>
      <c r="K3288" t="s">
        <v>21</v>
      </c>
      <c r="L3288" s="12">
        <v>0.69791666666666663</v>
      </c>
      <c r="M3288" t="s">
        <v>63</v>
      </c>
      <c r="N3288" s="3">
        <v>232</v>
      </c>
      <c r="O3288" t="s">
        <v>24</v>
      </c>
      <c r="P3288" t="s">
        <v>56</v>
      </c>
      <c r="R3288">
        <f>tblDailySchedule[[#This Row],[Capacity Approx]]*'[1]Load Factor Sheet June Acft  '!$B$5</f>
        <v>187.86727272727273</v>
      </c>
      <c r="S3288">
        <f>tblDailySchedule[[#This Row],[Capacity Approx]]*'[1]Load Factor Sheet June Acft  '!$D$5</f>
        <v>203.4218181818182</v>
      </c>
      <c r="T3288" s="22">
        <f>tblDailySchedule[[#This Row],[STD]]</f>
        <v>0.69791666666666663</v>
      </c>
    </row>
    <row r="3289" spans="1:20" hidden="1" x14ac:dyDescent="0.35">
      <c r="A3289" s="11">
        <v>46228</v>
      </c>
      <c r="B3289" s="3">
        <v>6</v>
      </c>
      <c r="C3289" t="s">
        <v>116</v>
      </c>
      <c r="D3289" t="s">
        <v>18</v>
      </c>
      <c r="E3289" s="3">
        <v>19</v>
      </c>
      <c r="F3289" t="s">
        <v>19</v>
      </c>
      <c r="G3289" t="s">
        <v>73</v>
      </c>
      <c r="H3289" t="s">
        <v>27</v>
      </c>
      <c r="I3289" s="12">
        <v>0.74652777777777779</v>
      </c>
      <c r="J3289" t="s">
        <v>74</v>
      </c>
      <c r="K3289" t="s">
        <v>27</v>
      </c>
      <c r="L3289" s="12">
        <v>0.77430555555555558</v>
      </c>
      <c r="M3289" t="s">
        <v>63</v>
      </c>
      <c r="N3289" s="3">
        <v>232</v>
      </c>
      <c r="O3289" t="s">
        <v>24</v>
      </c>
      <c r="P3289" t="s">
        <v>56</v>
      </c>
      <c r="R3289">
        <f>tblDailySchedule[[#This Row],[Capacity Approx]]*'[1]Load Factor Sheet June Acft  '!$B$5</f>
        <v>187.86727272727273</v>
      </c>
      <c r="S3289">
        <f>tblDailySchedule[[#This Row],[Capacity Approx]]*'[1]Load Factor Sheet June Acft  '!$D$5</f>
        <v>203.4218181818182</v>
      </c>
      <c r="T3289" s="22">
        <f>tblDailySchedule[[#This Row],[STD]]</f>
        <v>0.77430555555555558</v>
      </c>
    </row>
    <row r="3290" spans="1:20" hidden="1" x14ac:dyDescent="0.35">
      <c r="A3290" s="11">
        <v>46228</v>
      </c>
      <c r="B3290" s="3">
        <v>6</v>
      </c>
      <c r="C3290" t="s">
        <v>116</v>
      </c>
      <c r="D3290" t="s">
        <v>18</v>
      </c>
      <c r="E3290" s="3">
        <v>21</v>
      </c>
      <c r="F3290" t="s">
        <v>19</v>
      </c>
      <c r="G3290" t="s">
        <v>81</v>
      </c>
      <c r="H3290" t="s">
        <v>61</v>
      </c>
      <c r="I3290" s="12">
        <v>0.77083333333333337</v>
      </c>
      <c r="J3290" t="s">
        <v>82</v>
      </c>
      <c r="K3290" t="s">
        <v>49</v>
      </c>
      <c r="L3290" s="12">
        <v>0.79166666666666663</v>
      </c>
      <c r="M3290" t="s">
        <v>33</v>
      </c>
      <c r="N3290" s="3">
        <v>189</v>
      </c>
      <c r="O3290" t="s">
        <v>24</v>
      </c>
      <c r="P3290" t="s">
        <v>79</v>
      </c>
      <c r="R3290">
        <f>tblDailySchedule[[#This Row],[Capacity Approx]]*'[1]Load Factor Sheet June Acft  '!$B$5</f>
        <v>153.04704545454547</v>
      </c>
      <c r="S3290">
        <f>tblDailySchedule[[#This Row],[Capacity Approx]]*'[1]Load Factor Sheet June Acft  '!$D$5</f>
        <v>165.71863636363636</v>
      </c>
      <c r="T3290" s="22">
        <f>tblDailySchedule[[#This Row],[STD]]</f>
        <v>0.79166666666666663</v>
      </c>
    </row>
    <row r="3291" spans="1:20" hidden="1" x14ac:dyDescent="0.35">
      <c r="A3291" s="11">
        <v>46228</v>
      </c>
      <c r="B3291" s="3">
        <v>6</v>
      </c>
      <c r="C3291" t="s">
        <v>116</v>
      </c>
      <c r="D3291" t="s">
        <v>18</v>
      </c>
      <c r="E3291" s="3">
        <v>22</v>
      </c>
      <c r="F3291" t="s">
        <v>19</v>
      </c>
      <c r="G3291" t="s">
        <v>83</v>
      </c>
      <c r="H3291" t="s">
        <v>31</v>
      </c>
      <c r="I3291" s="12">
        <v>0.77777777777777779</v>
      </c>
      <c r="J3291" t="s">
        <v>84</v>
      </c>
      <c r="K3291" t="s">
        <v>31</v>
      </c>
      <c r="L3291" s="12">
        <v>0.80555555555555558</v>
      </c>
      <c r="M3291" t="s">
        <v>63</v>
      </c>
      <c r="N3291" s="3">
        <v>232</v>
      </c>
      <c r="O3291" t="s">
        <v>24</v>
      </c>
      <c r="P3291" t="s">
        <v>79</v>
      </c>
      <c r="R3291">
        <f>tblDailySchedule[[#This Row],[Capacity Approx]]*'[1]Load Factor Sheet June Acft  '!$B$5</f>
        <v>187.86727272727273</v>
      </c>
      <c r="S3291">
        <f>tblDailySchedule[[#This Row],[Capacity Approx]]*'[1]Load Factor Sheet June Acft  '!$D$5</f>
        <v>203.4218181818182</v>
      </c>
      <c r="T3291" s="22">
        <f>tblDailySchedule[[#This Row],[STD]]</f>
        <v>0.80555555555555558</v>
      </c>
    </row>
    <row r="3292" spans="1:20" hidden="1" x14ac:dyDescent="0.35">
      <c r="A3292" s="11">
        <v>46228</v>
      </c>
      <c r="B3292" s="3">
        <v>6</v>
      </c>
      <c r="C3292" t="s">
        <v>116</v>
      </c>
      <c r="D3292" t="s">
        <v>18</v>
      </c>
      <c r="E3292" s="3">
        <v>23</v>
      </c>
      <c r="F3292" t="s">
        <v>19</v>
      </c>
      <c r="G3292" t="s">
        <v>85</v>
      </c>
      <c r="H3292" t="s">
        <v>86</v>
      </c>
      <c r="I3292" s="12">
        <v>0.79861111111111116</v>
      </c>
      <c r="J3292" t="s">
        <v>87</v>
      </c>
      <c r="K3292" t="s">
        <v>86</v>
      </c>
      <c r="L3292" s="12">
        <v>0.82638888888888884</v>
      </c>
      <c r="M3292" t="s">
        <v>63</v>
      </c>
      <c r="N3292" s="3">
        <v>232</v>
      </c>
      <c r="O3292" t="s">
        <v>24</v>
      </c>
      <c r="P3292" t="s">
        <v>79</v>
      </c>
      <c r="R3292">
        <f>tblDailySchedule[[#This Row],[Capacity Approx]]*'[1]Load Factor Sheet June Acft  '!$B$5</f>
        <v>187.86727272727273</v>
      </c>
      <c r="S3292">
        <f>tblDailySchedule[[#This Row],[Capacity Approx]]*'[1]Load Factor Sheet June Acft  '!$D$5</f>
        <v>203.4218181818182</v>
      </c>
      <c r="T3292" s="22">
        <f>tblDailySchedule[[#This Row],[STD]]</f>
        <v>0.82638888888888884</v>
      </c>
    </row>
    <row r="3293" spans="1:20" hidden="1" x14ac:dyDescent="0.35">
      <c r="A3293" s="11">
        <v>46228</v>
      </c>
      <c r="B3293" s="3">
        <v>6</v>
      </c>
      <c r="C3293" t="s">
        <v>116</v>
      </c>
      <c r="D3293" t="s">
        <v>18</v>
      </c>
      <c r="E3293" s="3">
        <v>24</v>
      </c>
      <c r="F3293" t="s">
        <v>19</v>
      </c>
      <c r="G3293" t="s">
        <v>88</v>
      </c>
      <c r="H3293" t="s">
        <v>89</v>
      </c>
      <c r="I3293" s="12">
        <v>0.83333333333333337</v>
      </c>
      <c r="J3293" t="s">
        <v>90</v>
      </c>
      <c r="K3293" t="s">
        <v>31</v>
      </c>
      <c r="L3293" s="12">
        <v>0.86111111111111116</v>
      </c>
      <c r="M3293" t="s">
        <v>63</v>
      </c>
      <c r="N3293" s="3">
        <v>232</v>
      </c>
      <c r="O3293" t="s">
        <v>24</v>
      </c>
      <c r="P3293" t="s">
        <v>79</v>
      </c>
      <c r="R3293">
        <f>tblDailySchedule[[#This Row],[Capacity Approx]]*'[1]Load Factor Sheet June Acft  '!$B$5</f>
        <v>187.86727272727273</v>
      </c>
      <c r="S3293">
        <f>tblDailySchedule[[#This Row],[Capacity Approx]]*'[1]Load Factor Sheet June Acft  '!$D$5</f>
        <v>203.4218181818182</v>
      </c>
      <c r="T3293" s="22">
        <f>tblDailySchedule[[#This Row],[STD]]</f>
        <v>0.86111111111111116</v>
      </c>
    </row>
    <row r="3294" spans="1:20" hidden="1" x14ac:dyDescent="0.35">
      <c r="A3294" s="11">
        <v>46228</v>
      </c>
      <c r="B3294" s="3">
        <v>6</v>
      </c>
      <c r="C3294" t="s">
        <v>116</v>
      </c>
      <c r="D3294" t="s">
        <v>18</v>
      </c>
      <c r="E3294" s="3">
        <v>25</v>
      </c>
      <c r="F3294" t="s">
        <v>19</v>
      </c>
      <c r="G3294" t="s">
        <v>91</v>
      </c>
      <c r="H3294" t="s">
        <v>61</v>
      </c>
      <c r="I3294" s="12">
        <v>0.85416666666666663</v>
      </c>
      <c r="J3294" t="s">
        <v>92</v>
      </c>
      <c r="K3294" t="s">
        <v>61</v>
      </c>
      <c r="L3294" s="12">
        <v>0.88194444444444442</v>
      </c>
      <c r="M3294" t="s">
        <v>63</v>
      </c>
      <c r="N3294" s="3">
        <v>232</v>
      </c>
      <c r="O3294" t="s">
        <v>24</v>
      </c>
      <c r="P3294" t="s">
        <v>79</v>
      </c>
      <c r="R3294">
        <f>tblDailySchedule[[#This Row],[Capacity Approx]]*'[1]Load Factor Sheet June Acft  '!$B$5</f>
        <v>187.86727272727273</v>
      </c>
      <c r="S3294">
        <f>tblDailySchedule[[#This Row],[Capacity Approx]]*'[1]Load Factor Sheet June Acft  '!$D$5</f>
        <v>203.4218181818182</v>
      </c>
      <c r="T3294" s="22">
        <f>tblDailySchedule[[#This Row],[STD]]</f>
        <v>0.88194444444444442</v>
      </c>
    </row>
    <row r="3295" spans="1:20" hidden="1" x14ac:dyDescent="0.35">
      <c r="A3295" s="11">
        <v>46228</v>
      </c>
      <c r="B3295" s="3">
        <v>6</v>
      </c>
      <c r="C3295" t="s">
        <v>116</v>
      </c>
      <c r="D3295" t="s">
        <v>18</v>
      </c>
      <c r="E3295" s="3">
        <v>26</v>
      </c>
      <c r="F3295" t="s">
        <v>19</v>
      </c>
      <c r="G3295" t="s">
        <v>93</v>
      </c>
      <c r="H3295" t="s">
        <v>31</v>
      </c>
      <c r="I3295" s="12">
        <v>0.86111111111111116</v>
      </c>
      <c r="J3295" t="s">
        <v>94</v>
      </c>
      <c r="K3295" t="s">
        <v>31</v>
      </c>
      <c r="L3295" s="12">
        <v>0.88888888888888884</v>
      </c>
      <c r="M3295" t="s">
        <v>23</v>
      </c>
      <c r="N3295" s="3">
        <v>186</v>
      </c>
      <c r="O3295" t="s">
        <v>24</v>
      </c>
      <c r="P3295" t="s">
        <v>79</v>
      </c>
      <c r="R3295">
        <f>tblDailySchedule[[#This Row],[Capacity Approx]]*'[1]Load Factor Sheet June Acft  '!$B$5</f>
        <v>150.61772727272728</v>
      </c>
      <c r="S3295">
        <f>tblDailySchedule[[#This Row],[Capacity Approx]]*'[1]Load Factor Sheet June Acft  '!$D$5</f>
        <v>163.08818181818182</v>
      </c>
      <c r="T3295" s="22">
        <f>tblDailySchedule[[#This Row],[STD]]</f>
        <v>0.88888888888888884</v>
      </c>
    </row>
    <row r="3296" spans="1:20" hidden="1" x14ac:dyDescent="0.35">
      <c r="A3296" s="11">
        <v>46228</v>
      </c>
      <c r="B3296" s="3">
        <v>6</v>
      </c>
      <c r="C3296" t="s">
        <v>116</v>
      </c>
      <c r="D3296" t="s">
        <v>18</v>
      </c>
      <c r="E3296" s="3">
        <v>27</v>
      </c>
      <c r="F3296" t="s">
        <v>19</v>
      </c>
      <c r="G3296" t="s">
        <v>95</v>
      </c>
      <c r="H3296" t="s">
        <v>21</v>
      </c>
      <c r="I3296" s="12">
        <v>0.86805555555555558</v>
      </c>
      <c r="J3296" t="s">
        <v>96</v>
      </c>
      <c r="K3296" t="s">
        <v>21</v>
      </c>
      <c r="L3296" s="12">
        <v>0.89583333333333337</v>
      </c>
      <c r="M3296" t="s">
        <v>29</v>
      </c>
      <c r="N3296" s="3">
        <v>186</v>
      </c>
      <c r="O3296" t="s">
        <v>24</v>
      </c>
      <c r="P3296" t="s">
        <v>79</v>
      </c>
      <c r="R3296">
        <f>tblDailySchedule[[#This Row],[Capacity Approx]]*'[1]Load Factor Sheet June Acft  '!$B$5</f>
        <v>150.61772727272728</v>
      </c>
      <c r="S3296">
        <f>tblDailySchedule[[#This Row],[Capacity Approx]]*'[1]Load Factor Sheet June Acft  '!$D$5</f>
        <v>163.08818181818182</v>
      </c>
      <c r="T3296" s="22">
        <f>tblDailySchedule[[#This Row],[STD]]</f>
        <v>0.89583333333333337</v>
      </c>
    </row>
    <row r="3297" spans="1:20" hidden="1" x14ac:dyDescent="0.35">
      <c r="A3297" s="11">
        <v>46228</v>
      </c>
      <c r="B3297" s="3">
        <v>6</v>
      </c>
      <c r="C3297" t="s">
        <v>116</v>
      </c>
      <c r="D3297" t="s">
        <v>18</v>
      </c>
      <c r="E3297" s="3">
        <v>28</v>
      </c>
      <c r="F3297" t="s">
        <v>19</v>
      </c>
      <c r="G3297" t="s">
        <v>97</v>
      </c>
      <c r="H3297" t="s">
        <v>49</v>
      </c>
      <c r="I3297" s="12">
        <v>0.90277777777777779</v>
      </c>
      <c r="J3297" t="s">
        <v>97</v>
      </c>
      <c r="K3297" t="s">
        <v>61</v>
      </c>
      <c r="L3297" s="12">
        <v>0.92361111111111116</v>
      </c>
      <c r="M3297" t="s">
        <v>33</v>
      </c>
      <c r="N3297" s="3">
        <v>189</v>
      </c>
      <c r="O3297" t="s">
        <v>24</v>
      </c>
      <c r="P3297" t="s">
        <v>79</v>
      </c>
      <c r="R3297">
        <f>tblDailySchedule[[#This Row],[Capacity Approx]]*'[1]Load Factor Sheet June Acft  '!$B$5</f>
        <v>153.04704545454547</v>
      </c>
      <c r="S3297">
        <f>tblDailySchedule[[#This Row],[Capacity Approx]]*'[1]Load Factor Sheet June Acft  '!$D$5</f>
        <v>165.71863636363636</v>
      </c>
      <c r="T3297" s="22">
        <f>tblDailySchedule[[#This Row],[STD]]</f>
        <v>0.92361111111111116</v>
      </c>
    </row>
    <row r="3298" spans="1:20" hidden="1" x14ac:dyDescent="0.35">
      <c r="A3298" s="11">
        <v>46228</v>
      </c>
      <c r="B3298" s="3">
        <v>6</v>
      </c>
      <c r="C3298" t="s">
        <v>116</v>
      </c>
      <c r="D3298" t="s">
        <v>18</v>
      </c>
      <c r="E3298" s="3">
        <v>29</v>
      </c>
      <c r="F3298" t="s">
        <v>19</v>
      </c>
      <c r="G3298" t="s">
        <v>98</v>
      </c>
      <c r="H3298" t="s">
        <v>21</v>
      </c>
      <c r="I3298" s="12">
        <v>0.92013888888888884</v>
      </c>
      <c r="J3298" t="s">
        <v>99</v>
      </c>
      <c r="K3298" t="s">
        <v>21</v>
      </c>
      <c r="L3298" s="12">
        <v>0.94791666666666663</v>
      </c>
      <c r="M3298" t="s">
        <v>63</v>
      </c>
      <c r="N3298" s="3">
        <v>232</v>
      </c>
      <c r="O3298" t="s">
        <v>24</v>
      </c>
      <c r="P3298" t="s">
        <v>79</v>
      </c>
      <c r="R3298">
        <f>tblDailySchedule[[#This Row],[Capacity Approx]]*'[1]Load Factor Sheet June Acft  '!$B$5</f>
        <v>187.86727272727273</v>
      </c>
      <c r="S3298">
        <f>tblDailySchedule[[#This Row],[Capacity Approx]]*'[1]Load Factor Sheet June Acft  '!$D$5</f>
        <v>203.4218181818182</v>
      </c>
      <c r="T3298" s="22">
        <f>tblDailySchedule[[#This Row],[STD]]</f>
        <v>0.94791666666666663</v>
      </c>
    </row>
    <row r="3299" spans="1:20" hidden="1" x14ac:dyDescent="0.35">
      <c r="A3299" s="13">
        <v>46228</v>
      </c>
      <c r="B3299" s="7">
        <v>6</v>
      </c>
      <c r="C3299" s="14" t="s">
        <v>116</v>
      </c>
      <c r="D3299" s="14" t="s">
        <v>18</v>
      </c>
      <c r="E3299" s="7">
        <v>30</v>
      </c>
      <c r="F3299" s="14" t="s">
        <v>104</v>
      </c>
      <c r="G3299" s="14" t="s">
        <v>105</v>
      </c>
      <c r="H3299" s="14" t="s">
        <v>106</v>
      </c>
      <c r="I3299" s="15">
        <v>0.92708333333333337</v>
      </c>
      <c r="J3299" s="14" t="s">
        <v>107</v>
      </c>
      <c r="K3299" s="14" t="s">
        <v>106</v>
      </c>
      <c r="L3299" s="15">
        <v>0.95833333333333337</v>
      </c>
      <c r="M3299" s="14" t="s">
        <v>38</v>
      </c>
      <c r="N3299" s="7">
        <v>186</v>
      </c>
      <c r="O3299" s="14" t="s">
        <v>39</v>
      </c>
      <c r="P3299" s="14" t="s">
        <v>79</v>
      </c>
      <c r="Q3299" s="14" t="s">
        <v>39</v>
      </c>
      <c r="R3299">
        <f>tblDailySchedule[[#This Row],[Capacity Approx]]*'[1]Load Factor Sheet June Acft  '!$B$5</f>
        <v>150.61772727272728</v>
      </c>
      <c r="S3299">
        <f>tblDailySchedule[[#This Row],[Capacity Approx]]*'[1]Load Factor Sheet June Acft  '!$D$5</f>
        <v>163.08818181818182</v>
      </c>
      <c r="T3299" s="22">
        <f>tblDailySchedule[[#This Row],[STD]]</f>
        <v>0.95833333333333337</v>
      </c>
    </row>
    <row r="3300" spans="1:20" hidden="1" x14ac:dyDescent="0.35">
      <c r="A3300" s="11">
        <v>46229</v>
      </c>
      <c r="B3300" s="3">
        <v>7</v>
      </c>
      <c r="C3300" t="s">
        <v>17</v>
      </c>
      <c r="D3300" t="s">
        <v>18</v>
      </c>
      <c r="E3300" s="3">
        <v>2</v>
      </c>
      <c r="F3300" t="s">
        <v>19</v>
      </c>
      <c r="G3300" t="s">
        <v>20</v>
      </c>
      <c r="H3300" t="s">
        <v>21</v>
      </c>
      <c r="I3300" s="12">
        <v>0.31944444444444442</v>
      </c>
      <c r="J3300" t="s">
        <v>22</v>
      </c>
      <c r="K3300" t="s">
        <v>21</v>
      </c>
      <c r="L3300" s="12">
        <v>0.34722222222222221</v>
      </c>
      <c r="M3300" t="s">
        <v>23</v>
      </c>
      <c r="N3300" s="3">
        <v>186</v>
      </c>
      <c r="O3300" t="s">
        <v>24</v>
      </c>
      <c r="P3300" t="s">
        <v>25</v>
      </c>
      <c r="R3300">
        <f>tblDailySchedule[[#This Row],[Capacity Approx]]*'[1]Load Factor Sheet June Acft  '!$B$5</f>
        <v>150.61772727272728</v>
      </c>
      <c r="S3300">
        <f>tblDailySchedule[[#This Row],[Capacity Approx]]*'[1]Load Factor Sheet June Acft  '!$D$5</f>
        <v>163.08818181818182</v>
      </c>
      <c r="T3300" s="22">
        <f>tblDailySchedule[[#This Row],[STD]]</f>
        <v>0.34722222222222221</v>
      </c>
    </row>
    <row r="3301" spans="1:20" hidden="1" x14ac:dyDescent="0.35">
      <c r="A3301" s="11">
        <v>46229</v>
      </c>
      <c r="B3301" s="3">
        <v>7</v>
      </c>
      <c r="C3301" t="s">
        <v>17</v>
      </c>
      <c r="D3301" t="s">
        <v>18</v>
      </c>
      <c r="E3301" s="3">
        <v>3</v>
      </c>
      <c r="F3301" t="s">
        <v>19</v>
      </c>
      <c r="G3301" t="s">
        <v>26</v>
      </c>
      <c r="H3301" t="s">
        <v>27</v>
      </c>
      <c r="I3301" s="12">
        <v>0.3263888888888889</v>
      </c>
      <c r="J3301" t="s">
        <v>28</v>
      </c>
      <c r="K3301" t="s">
        <v>27</v>
      </c>
      <c r="L3301" s="12">
        <v>0.35416666666666669</v>
      </c>
      <c r="M3301" t="s">
        <v>29</v>
      </c>
      <c r="N3301" s="3">
        <v>186</v>
      </c>
      <c r="O3301" t="s">
        <v>24</v>
      </c>
      <c r="P3301" t="s">
        <v>25</v>
      </c>
      <c r="R3301">
        <f>tblDailySchedule[[#This Row],[Capacity Approx]]*'[1]Load Factor Sheet June Acft  '!$B$5</f>
        <v>150.61772727272728</v>
      </c>
      <c r="S3301">
        <f>tblDailySchedule[[#This Row],[Capacity Approx]]*'[1]Load Factor Sheet June Acft  '!$D$5</f>
        <v>163.08818181818182</v>
      </c>
      <c r="T3301" s="22">
        <f>tblDailySchedule[[#This Row],[STD]]</f>
        <v>0.35416666666666669</v>
      </c>
    </row>
    <row r="3302" spans="1:20" hidden="1" x14ac:dyDescent="0.35">
      <c r="A3302" s="11">
        <v>46229</v>
      </c>
      <c r="B3302" s="3">
        <v>7</v>
      </c>
      <c r="C3302" t="s">
        <v>17</v>
      </c>
      <c r="D3302" t="s">
        <v>18</v>
      </c>
      <c r="E3302" s="3">
        <v>4</v>
      </c>
      <c r="F3302" t="s">
        <v>19</v>
      </c>
      <c r="G3302" t="s">
        <v>30</v>
      </c>
      <c r="H3302" t="s">
        <v>31</v>
      </c>
      <c r="I3302" s="12">
        <v>0.34722222222222221</v>
      </c>
      <c r="J3302" t="s">
        <v>32</v>
      </c>
      <c r="K3302" t="s">
        <v>31</v>
      </c>
      <c r="L3302" s="12">
        <v>0.36805555555555558</v>
      </c>
      <c r="M3302" t="s">
        <v>33</v>
      </c>
      <c r="N3302" s="3">
        <v>189</v>
      </c>
      <c r="O3302" t="s">
        <v>24</v>
      </c>
      <c r="P3302" t="s">
        <v>25</v>
      </c>
      <c r="R3302">
        <f>tblDailySchedule[[#This Row],[Capacity Approx]]*'[1]Load Factor Sheet June Acft  '!$B$5</f>
        <v>153.04704545454547</v>
      </c>
      <c r="S3302">
        <f>tblDailySchedule[[#This Row],[Capacity Approx]]*'[1]Load Factor Sheet June Acft  '!$D$5</f>
        <v>165.71863636363636</v>
      </c>
      <c r="T3302" s="22">
        <f>tblDailySchedule[[#This Row],[STD]]</f>
        <v>0.36805555555555558</v>
      </c>
    </row>
    <row r="3303" spans="1:20" hidden="1" x14ac:dyDescent="0.35">
      <c r="A3303" s="13">
        <v>46229</v>
      </c>
      <c r="B3303" s="7">
        <v>7</v>
      </c>
      <c r="C3303" s="14" t="s">
        <v>17</v>
      </c>
      <c r="D3303" s="14" t="s">
        <v>18</v>
      </c>
      <c r="E3303" s="7">
        <v>6</v>
      </c>
      <c r="F3303" s="14" t="s">
        <v>34</v>
      </c>
      <c r="G3303" s="14" t="s">
        <v>35</v>
      </c>
      <c r="H3303" s="14" t="s">
        <v>36</v>
      </c>
      <c r="I3303" s="15">
        <v>0.34722222222222221</v>
      </c>
      <c r="J3303" s="14" t="s">
        <v>37</v>
      </c>
      <c r="K3303" s="14" t="s">
        <v>36</v>
      </c>
      <c r="L3303" s="15">
        <v>0.40972222222222221</v>
      </c>
      <c r="M3303" s="14" t="s">
        <v>38</v>
      </c>
      <c r="N3303" s="7">
        <v>186</v>
      </c>
      <c r="O3303" s="14" t="s">
        <v>39</v>
      </c>
      <c r="P3303" s="14" t="s">
        <v>25</v>
      </c>
      <c r="Q3303" s="14" t="s">
        <v>39</v>
      </c>
      <c r="R3303">
        <f>tblDailySchedule[[#This Row],[Capacity Approx]]*'[1]Load Factor Sheet June Acft  '!$B$5</f>
        <v>150.61772727272728</v>
      </c>
      <c r="S3303">
        <f>tblDailySchedule[[#This Row],[Capacity Approx]]*'[1]Load Factor Sheet June Acft  '!$D$5</f>
        <v>163.08818181818182</v>
      </c>
      <c r="T3303" s="22">
        <f>tblDailySchedule[[#This Row],[STD]]</f>
        <v>0.40972222222222221</v>
      </c>
    </row>
    <row r="3304" spans="1:20" hidden="1" x14ac:dyDescent="0.35">
      <c r="A3304" s="11">
        <v>46229</v>
      </c>
      <c r="B3304" s="3">
        <v>7</v>
      </c>
      <c r="C3304" t="s">
        <v>17</v>
      </c>
      <c r="D3304" t="s">
        <v>18</v>
      </c>
      <c r="E3304" s="3">
        <v>5</v>
      </c>
      <c r="F3304" t="s">
        <v>19</v>
      </c>
      <c r="G3304" t="s">
        <v>40</v>
      </c>
      <c r="H3304" t="s">
        <v>31</v>
      </c>
      <c r="I3304" s="12">
        <v>0.35069444444444442</v>
      </c>
      <c r="J3304" t="s">
        <v>41</v>
      </c>
      <c r="K3304" t="s">
        <v>31</v>
      </c>
      <c r="L3304" s="12">
        <v>0.37152777777777779</v>
      </c>
      <c r="M3304" t="s">
        <v>23</v>
      </c>
      <c r="N3304" s="3">
        <v>186</v>
      </c>
      <c r="O3304" t="s">
        <v>24</v>
      </c>
      <c r="P3304" t="s">
        <v>25</v>
      </c>
      <c r="R3304">
        <f>tblDailySchedule[[#This Row],[Capacity Approx]]*'[1]Load Factor Sheet June Acft  '!$B$5</f>
        <v>150.61772727272728</v>
      </c>
      <c r="S3304">
        <f>tblDailySchedule[[#This Row],[Capacity Approx]]*'[1]Load Factor Sheet June Acft  '!$D$5</f>
        <v>163.08818181818182</v>
      </c>
      <c r="T3304" s="22">
        <f>tblDailySchedule[[#This Row],[STD]]</f>
        <v>0.37152777777777779</v>
      </c>
    </row>
    <row r="3305" spans="1:20" hidden="1" x14ac:dyDescent="0.35">
      <c r="A3305" s="11">
        <v>46229</v>
      </c>
      <c r="B3305" s="3">
        <v>7</v>
      </c>
      <c r="C3305" t="s">
        <v>17</v>
      </c>
      <c r="D3305" t="s">
        <v>18</v>
      </c>
      <c r="E3305" s="3">
        <v>7</v>
      </c>
      <c r="F3305" t="s">
        <v>19</v>
      </c>
      <c r="G3305" t="s">
        <v>42</v>
      </c>
      <c r="H3305" t="s">
        <v>43</v>
      </c>
      <c r="I3305" s="12">
        <v>0.3923611111111111</v>
      </c>
      <c r="J3305" t="s">
        <v>44</v>
      </c>
      <c r="K3305" t="s">
        <v>43</v>
      </c>
      <c r="L3305" s="12">
        <v>0.40277777777777779</v>
      </c>
      <c r="M3305" t="s">
        <v>45</v>
      </c>
      <c r="N3305" s="3">
        <v>9</v>
      </c>
      <c r="O3305" t="s">
        <v>24</v>
      </c>
      <c r="P3305" t="s">
        <v>25</v>
      </c>
      <c r="R3305">
        <f>tblDailySchedule[[#This Row],[Capacity Approx]]*'[1]Load Factor Sheet June Acft  '!$B$5</f>
        <v>7.2879545454545456</v>
      </c>
      <c r="S3305">
        <f>tblDailySchedule[[#This Row],[Capacity Approx]]*'[1]Load Factor Sheet June Acft  '!$D$5</f>
        <v>7.8913636363636366</v>
      </c>
      <c r="T3305" s="22">
        <f>tblDailySchedule[[#This Row],[STD]]</f>
        <v>0.40277777777777779</v>
      </c>
    </row>
    <row r="3306" spans="1:20" hidden="1" x14ac:dyDescent="0.35">
      <c r="A3306" s="11">
        <v>46229</v>
      </c>
      <c r="B3306" s="3">
        <v>7</v>
      </c>
      <c r="C3306" t="s">
        <v>17</v>
      </c>
      <c r="D3306" t="s">
        <v>18</v>
      </c>
      <c r="E3306" s="3">
        <v>8</v>
      </c>
      <c r="F3306" t="s">
        <v>19</v>
      </c>
      <c r="G3306" t="s">
        <v>46</v>
      </c>
      <c r="H3306" t="s">
        <v>31</v>
      </c>
      <c r="I3306" s="12">
        <v>0.4201388888888889</v>
      </c>
      <c r="J3306" t="s">
        <v>47</v>
      </c>
      <c r="K3306" t="s">
        <v>31</v>
      </c>
      <c r="L3306" s="12">
        <v>0.44444444444444442</v>
      </c>
      <c r="M3306" t="s">
        <v>29</v>
      </c>
      <c r="N3306" s="3">
        <v>186</v>
      </c>
      <c r="O3306" t="s">
        <v>24</v>
      </c>
      <c r="P3306" t="s">
        <v>25</v>
      </c>
      <c r="R3306">
        <f>tblDailySchedule[[#This Row],[Capacity Approx]]*'[1]Load Factor Sheet June Acft  '!$B$5</f>
        <v>150.61772727272728</v>
      </c>
      <c r="S3306">
        <f>tblDailySchedule[[#This Row],[Capacity Approx]]*'[1]Load Factor Sheet June Acft  '!$D$5</f>
        <v>163.08818181818182</v>
      </c>
      <c r="T3306" s="22">
        <f>tblDailySchedule[[#This Row],[STD]]</f>
        <v>0.44444444444444442</v>
      </c>
    </row>
    <row r="3307" spans="1:20" hidden="1" x14ac:dyDescent="0.35">
      <c r="A3307" s="11">
        <v>46229</v>
      </c>
      <c r="B3307" s="3">
        <v>7</v>
      </c>
      <c r="C3307" t="s">
        <v>17</v>
      </c>
      <c r="D3307" t="s">
        <v>18</v>
      </c>
      <c r="E3307" s="3">
        <v>9</v>
      </c>
      <c r="F3307" t="s">
        <v>19</v>
      </c>
      <c r="G3307" t="s">
        <v>48</v>
      </c>
      <c r="H3307" t="s">
        <v>49</v>
      </c>
      <c r="I3307" s="12">
        <v>0.4375</v>
      </c>
      <c r="J3307" t="s">
        <v>50</v>
      </c>
      <c r="K3307" t="s">
        <v>49</v>
      </c>
      <c r="L3307" s="12">
        <v>0.45833333333333331</v>
      </c>
      <c r="M3307" t="s">
        <v>51</v>
      </c>
      <c r="N3307" s="3">
        <v>78</v>
      </c>
      <c r="O3307" t="s">
        <v>24</v>
      </c>
      <c r="P3307" t="s">
        <v>25</v>
      </c>
      <c r="R3307">
        <f>tblDailySchedule[[#This Row],[Capacity Approx]]*'[1]Load Factor Sheet June Acft  '!$B$5</f>
        <v>63.162272727272729</v>
      </c>
      <c r="S3307">
        <f>tblDailySchedule[[#This Row],[Capacity Approx]]*'[1]Load Factor Sheet June Acft  '!$D$5</f>
        <v>68.391818181818181</v>
      </c>
      <c r="T3307" s="22">
        <f>tblDailySchedule[[#This Row],[STD]]</f>
        <v>0.45833333333333331</v>
      </c>
    </row>
    <row r="3308" spans="1:20" hidden="1" x14ac:dyDescent="0.35">
      <c r="A3308" s="11">
        <v>46229</v>
      </c>
      <c r="B3308" s="3">
        <v>7</v>
      </c>
      <c r="C3308" t="s">
        <v>17</v>
      </c>
      <c r="D3308" t="s">
        <v>18</v>
      </c>
      <c r="E3308" s="3">
        <v>10</v>
      </c>
      <c r="F3308" t="s">
        <v>19</v>
      </c>
      <c r="G3308" t="s">
        <v>52</v>
      </c>
      <c r="H3308" t="s">
        <v>27</v>
      </c>
      <c r="I3308" s="12">
        <v>0.4826388888888889</v>
      </c>
      <c r="J3308" t="s">
        <v>53</v>
      </c>
      <c r="K3308" t="s">
        <v>27</v>
      </c>
      <c r="L3308" s="12">
        <v>0.51041666666666663</v>
      </c>
      <c r="M3308" t="s">
        <v>23</v>
      </c>
      <c r="N3308" s="3">
        <v>186</v>
      </c>
      <c r="O3308" t="s">
        <v>24</v>
      </c>
      <c r="P3308" t="s">
        <v>25</v>
      </c>
      <c r="R3308">
        <f>tblDailySchedule[[#This Row],[Capacity Approx]]*'[1]Load Factor Sheet June Acft  '!$B$5</f>
        <v>150.61772727272728</v>
      </c>
      <c r="S3308">
        <f>tblDailySchedule[[#This Row],[Capacity Approx]]*'[1]Load Factor Sheet June Acft  '!$D$5</f>
        <v>163.08818181818182</v>
      </c>
      <c r="T3308" s="22">
        <f>tblDailySchedule[[#This Row],[STD]]</f>
        <v>0.51041666666666663</v>
      </c>
    </row>
    <row r="3309" spans="1:20" hidden="1" x14ac:dyDescent="0.35">
      <c r="A3309" s="11">
        <v>46229</v>
      </c>
      <c r="B3309" s="3">
        <v>7</v>
      </c>
      <c r="C3309" t="s">
        <v>17</v>
      </c>
      <c r="D3309" t="s">
        <v>18</v>
      </c>
      <c r="E3309" s="3">
        <v>11</v>
      </c>
      <c r="F3309" t="s">
        <v>19</v>
      </c>
      <c r="G3309" t="s">
        <v>54</v>
      </c>
      <c r="H3309" t="s">
        <v>31</v>
      </c>
      <c r="I3309" s="12">
        <v>0.51388888888888884</v>
      </c>
      <c r="J3309" t="s">
        <v>55</v>
      </c>
      <c r="K3309" t="s">
        <v>31</v>
      </c>
      <c r="L3309" s="12">
        <v>0.54166666666666663</v>
      </c>
      <c r="M3309" t="s">
        <v>23</v>
      </c>
      <c r="N3309" s="3">
        <v>186</v>
      </c>
      <c r="O3309" t="s">
        <v>24</v>
      </c>
      <c r="P3309" t="s">
        <v>56</v>
      </c>
      <c r="R3309">
        <f>tblDailySchedule[[#This Row],[Capacity Approx]]*'[1]Load Factor Sheet June Acft  '!$B$5</f>
        <v>150.61772727272728</v>
      </c>
      <c r="S3309">
        <f>tblDailySchedule[[#This Row],[Capacity Approx]]*'[1]Load Factor Sheet June Acft  '!$D$5</f>
        <v>163.08818181818182</v>
      </c>
      <c r="T3309" s="22">
        <f>tblDailySchedule[[#This Row],[STD]]</f>
        <v>0.54166666666666663</v>
      </c>
    </row>
    <row r="3310" spans="1:20" hidden="1" x14ac:dyDescent="0.35">
      <c r="A3310" s="11">
        <v>46229</v>
      </c>
      <c r="B3310" s="3">
        <v>7</v>
      </c>
      <c r="C3310" t="s">
        <v>17</v>
      </c>
      <c r="D3310" t="s">
        <v>18</v>
      </c>
      <c r="E3310" s="3">
        <v>13</v>
      </c>
      <c r="F3310" t="s">
        <v>19</v>
      </c>
      <c r="G3310" t="s">
        <v>57</v>
      </c>
      <c r="H3310" t="s">
        <v>58</v>
      </c>
      <c r="I3310" s="12">
        <v>0.55902777777777779</v>
      </c>
      <c r="J3310" t="s">
        <v>59</v>
      </c>
      <c r="K3310" t="s">
        <v>58</v>
      </c>
      <c r="L3310" s="12">
        <v>0.57638888888888884</v>
      </c>
      <c r="M3310" t="s">
        <v>51</v>
      </c>
      <c r="N3310" s="3">
        <v>78</v>
      </c>
      <c r="O3310" t="s">
        <v>24</v>
      </c>
      <c r="P3310" t="s">
        <v>56</v>
      </c>
      <c r="R3310">
        <f>tblDailySchedule[[#This Row],[Capacity Approx]]*'[1]Load Factor Sheet June Acft  '!$B$5</f>
        <v>63.162272727272729</v>
      </c>
      <c r="S3310">
        <f>tblDailySchedule[[#This Row],[Capacity Approx]]*'[1]Load Factor Sheet June Acft  '!$D$5</f>
        <v>68.391818181818181</v>
      </c>
      <c r="T3310" s="22">
        <f>tblDailySchedule[[#This Row],[STD]]</f>
        <v>0.57638888888888884</v>
      </c>
    </row>
    <row r="3311" spans="1:20" hidden="1" x14ac:dyDescent="0.35">
      <c r="A3311" s="11">
        <v>46229</v>
      </c>
      <c r="B3311" s="3">
        <v>7</v>
      </c>
      <c r="C3311" t="s">
        <v>17</v>
      </c>
      <c r="D3311" t="s">
        <v>18</v>
      </c>
      <c r="E3311" s="3">
        <v>14</v>
      </c>
      <c r="F3311" t="s">
        <v>19</v>
      </c>
      <c r="G3311" t="s">
        <v>60</v>
      </c>
      <c r="H3311" t="s">
        <v>61</v>
      </c>
      <c r="I3311" s="12">
        <v>0.59027777777777779</v>
      </c>
      <c r="J3311" t="s">
        <v>62</v>
      </c>
      <c r="K3311" t="s">
        <v>61</v>
      </c>
      <c r="L3311" s="12">
        <v>0.62152777777777779</v>
      </c>
      <c r="M3311" t="s">
        <v>63</v>
      </c>
      <c r="N3311" s="3">
        <v>232</v>
      </c>
      <c r="O3311" t="s">
        <v>24</v>
      </c>
      <c r="P3311" t="s">
        <v>56</v>
      </c>
      <c r="R3311">
        <f>tblDailySchedule[[#This Row],[Capacity Approx]]*'[1]Load Factor Sheet June Acft  '!$B$5</f>
        <v>187.86727272727273</v>
      </c>
      <c r="S3311">
        <f>tblDailySchedule[[#This Row],[Capacity Approx]]*'[1]Load Factor Sheet June Acft  '!$D$5</f>
        <v>203.4218181818182</v>
      </c>
      <c r="T3311" s="22">
        <f>tblDailySchedule[[#This Row],[STD]]</f>
        <v>0.62152777777777779</v>
      </c>
    </row>
    <row r="3312" spans="1:20" hidden="1" x14ac:dyDescent="0.35">
      <c r="A3312" s="11">
        <v>46229</v>
      </c>
      <c r="B3312" s="3">
        <v>7</v>
      </c>
      <c r="C3312" t="s">
        <v>17</v>
      </c>
      <c r="D3312" t="s">
        <v>18</v>
      </c>
      <c r="E3312" s="3">
        <v>15</v>
      </c>
      <c r="F3312" t="s">
        <v>19</v>
      </c>
      <c r="G3312" t="s">
        <v>64</v>
      </c>
      <c r="H3312" t="s">
        <v>31</v>
      </c>
      <c r="I3312" s="12">
        <v>0.60069444444444442</v>
      </c>
      <c r="J3312" t="s">
        <v>65</v>
      </c>
      <c r="K3312" t="s">
        <v>66</v>
      </c>
      <c r="L3312" s="12">
        <v>0.62847222222222221</v>
      </c>
      <c r="M3312" t="s">
        <v>63</v>
      </c>
      <c r="N3312" s="3">
        <v>232</v>
      </c>
      <c r="O3312" t="s">
        <v>24</v>
      </c>
      <c r="P3312" t="s">
        <v>56</v>
      </c>
      <c r="R3312">
        <f>tblDailySchedule[[#This Row],[Capacity Approx]]*'[1]Load Factor Sheet June Acft  '!$B$5</f>
        <v>187.86727272727273</v>
      </c>
      <c r="S3312">
        <f>tblDailySchedule[[#This Row],[Capacity Approx]]*'[1]Load Factor Sheet June Acft  '!$D$5</f>
        <v>203.4218181818182</v>
      </c>
      <c r="T3312" s="22">
        <f>tblDailySchedule[[#This Row],[STD]]</f>
        <v>0.62847222222222221</v>
      </c>
    </row>
    <row r="3313" spans="1:20" hidden="1" x14ac:dyDescent="0.35">
      <c r="A3313" s="11">
        <v>46229</v>
      </c>
      <c r="B3313" s="3">
        <v>7</v>
      </c>
      <c r="C3313" t="s">
        <v>17</v>
      </c>
      <c r="D3313" t="s">
        <v>18</v>
      </c>
      <c r="E3313" s="3">
        <v>16</v>
      </c>
      <c r="F3313" t="s">
        <v>19</v>
      </c>
      <c r="G3313" t="s">
        <v>67</v>
      </c>
      <c r="H3313" t="s">
        <v>31</v>
      </c>
      <c r="I3313" s="12">
        <v>0.65625</v>
      </c>
      <c r="J3313" t="s">
        <v>68</v>
      </c>
      <c r="K3313" t="s">
        <v>31</v>
      </c>
      <c r="L3313" s="12">
        <v>0.68402777777777779</v>
      </c>
      <c r="M3313" t="s">
        <v>63</v>
      </c>
      <c r="N3313" s="3">
        <v>232</v>
      </c>
      <c r="O3313" t="s">
        <v>24</v>
      </c>
      <c r="P3313" t="s">
        <v>56</v>
      </c>
      <c r="R3313">
        <f>tblDailySchedule[[#This Row],[Capacity Approx]]*'[1]Load Factor Sheet June Acft  '!$B$5</f>
        <v>187.86727272727273</v>
      </c>
      <c r="S3313">
        <f>tblDailySchedule[[#This Row],[Capacity Approx]]*'[1]Load Factor Sheet June Acft  '!$D$5</f>
        <v>203.4218181818182</v>
      </c>
      <c r="T3313" s="22">
        <f>tblDailySchedule[[#This Row],[STD]]</f>
        <v>0.68402777777777779</v>
      </c>
    </row>
    <row r="3314" spans="1:20" hidden="1" x14ac:dyDescent="0.35">
      <c r="A3314" s="11">
        <v>46229</v>
      </c>
      <c r="B3314" s="3">
        <v>7</v>
      </c>
      <c r="C3314" t="s">
        <v>17</v>
      </c>
      <c r="D3314" t="s">
        <v>18</v>
      </c>
      <c r="E3314" s="3">
        <v>17</v>
      </c>
      <c r="F3314" t="s">
        <v>19</v>
      </c>
      <c r="G3314" t="s">
        <v>69</v>
      </c>
      <c r="H3314" t="s">
        <v>31</v>
      </c>
      <c r="I3314" s="12">
        <v>0.66319444444444442</v>
      </c>
      <c r="J3314" t="s">
        <v>70</v>
      </c>
      <c r="K3314" t="s">
        <v>31</v>
      </c>
      <c r="L3314" s="12">
        <v>0.69097222222222221</v>
      </c>
      <c r="M3314" t="s">
        <v>33</v>
      </c>
      <c r="N3314" s="3">
        <v>189</v>
      </c>
      <c r="O3314" t="s">
        <v>24</v>
      </c>
      <c r="P3314" t="s">
        <v>56</v>
      </c>
      <c r="R3314">
        <f>tblDailySchedule[[#This Row],[Capacity Approx]]*'[1]Load Factor Sheet June Acft  '!$B$5</f>
        <v>153.04704545454547</v>
      </c>
      <c r="S3314">
        <f>tblDailySchedule[[#This Row],[Capacity Approx]]*'[1]Load Factor Sheet June Acft  '!$D$5</f>
        <v>165.71863636363636</v>
      </c>
      <c r="T3314" s="22">
        <f>tblDailySchedule[[#This Row],[STD]]</f>
        <v>0.69097222222222221</v>
      </c>
    </row>
    <row r="3315" spans="1:20" hidden="1" x14ac:dyDescent="0.35">
      <c r="A3315" s="11">
        <v>46229</v>
      </c>
      <c r="B3315" s="3">
        <v>7</v>
      </c>
      <c r="C3315" t="s">
        <v>17</v>
      </c>
      <c r="D3315" t="s">
        <v>18</v>
      </c>
      <c r="E3315" s="3">
        <v>18</v>
      </c>
      <c r="F3315" t="s">
        <v>19</v>
      </c>
      <c r="G3315" t="s">
        <v>71</v>
      </c>
      <c r="H3315" t="s">
        <v>21</v>
      </c>
      <c r="I3315" s="12">
        <v>0.67013888888888884</v>
      </c>
      <c r="J3315" t="s">
        <v>72</v>
      </c>
      <c r="K3315" t="s">
        <v>21</v>
      </c>
      <c r="L3315" s="12">
        <v>0.69791666666666663</v>
      </c>
      <c r="M3315" t="s">
        <v>63</v>
      </c>
      <c r="N3315" s="3">
        <v>232</v>
      </c>
      <c r="O3315" t="s">
        <v>24</v>
      </c>
      <c r="P3315" t="s">
        <v>56</v>
      </c>
      <c r="R3315">
        <f>tblDailySchedule[[#This Row],[Capacity Approx]]*'[1]Load Factor Sheet June Acft  '!$B$5</f>
        <v>187.86727272727273</v>
      </c>
      <c r="S3315">
        <f>tblDailySchedule[[#This Row],[Capacity Approx]]*'[1]Load Factor Sheet June Acft  '!$D$5</f>
        <v>203.4218181818182</v>
      </c>
      <c r="T3315" s="22">
        <f>tblDailySchedule[[#This Row],[STD]]</f>
        <v>0.69791666666666663</v>
      </c>
    </row>
    <row r="3316" spans="1:20" hidden="1" x14ac:dyDescent="0.35">
      <c r="A3316" s="11">
        <v>46229</v>
      </c>
      <c r="B3316" s="3">
        <v>7</v>
      </c>
      <c r="C3316" t="s">
        <v>17</v>
      </c>
      <c r="D3316" t="s">
        <v>18</v>
      </c>
      <c r="E3316" s="3">
        <v>19</v>
      </c>
      <c r="F3316" t="s">
        <v>19</v>
      </c>
      <c r="G3316" t="s">
        <v>73</v>
      </c>
      <c r="H3316" t="s">
        <v>27</v>
      </c>
      <c r="I3316" s="12">
        <v>0.74652777777777779</v>
      </c>
      <c r="J3316" t="s">
        <v>74</v>
      </c>
      <c r="K3316" t="s">
        <v>27</v>
      </c>
      <c r="L3316" s="12">
        <v>0.77430555555555558</v>
      </c>
      <c r="M3316" t="s">
        <v>63</v>
      </c>
      <c r="N3316" s="3">
        <v>232</v>
      </c>
      <c r="O3316" t="s">
        <v>24</v>
      </c>
      <c r="P3316" t="s">
        <v>56</v>
      </c>
      <c r="R3316">
        <f>tblDailySchedule[[#This Row],[Capacity Approx]]*'[1]Load Factor Sheet June Acft  '!$B$5</f>
        <v>187.86727272727273</v>
      </c>
      <c r="S3316">
        <f>tblDailySchedule[[#This Row],[Capacity Approx]]*'[1]Load Factor Sheet June Acft  '!$D$5</f>
        <v>203.4218181818182</v>
      </c>
      <c r="T3316" s="22">
        <f>tblDailySchedule[[#This Row],[STD]]</f>
        <v>0.77430555555555558</v>
      </c>
    </row>
    <row r="3317" spans="1:20" hidden="1" x14ac:dyDescent="0.35">
      <c r="A3317" s="11">
        <v>46229</v>
      </c>
      <c r="B3317" s="3">
        <v>7</v>
      </c>
      <c r="C3317" t="s">
        <v>17</v>
      </c>
      <c r="D3317" t="s">
        <v>18</v>
      </c>
      <c r="E3317" s="3">
        <v>20</v>
      </c>
      <c r="F3317" t="s">
        <v>34</v>
      </c>
      <c r="G3317" t="s">
        <v>75</v>
      </c>
      <c r="H3317" t="s">
        <v>76</v>
      </c>
      <c r="I3317" s="12">
        <v>0.76388888888888884</v>
      </c>
      <c r="J3317" t="s">
        <v>77</v>
      </c>
      <c r="K3317" t="s">
        <v>78</v>
      </c>
      <c r="L3317" s="12">
        <v>0.78472222222222221</v>
      </c>
      <c r="M3317" t="s">
        <v>51</v>
      </c>
      <c r="N3317" s="3">
        <v>78</v>
      </c>
      <c r="O3317" t="s">
        <v>24</v>
      </c>
      <c r="P3317" t="s">
        <v>79</v>
      </c>
      <c r="Q3317" s="16" t="s">
        <v>80</v>
      </c>
      <c r="R3317">
        <f>tblDailySchedule[[#This Row],[Capacity Approx]]*'[1]Load Factor Sheet June Acft  '!$B$5</f>
        <v>63.162272727272729</v>
      </c>
      <c r="S3317">
        <f>tblDailySchedule[[#This Row],[Capacity Approx]]*'[1]Load Factor Sheet June Acft  '!$D$5</f>
        <v>68.391818181818181</v>
      </c>
      <c r="T3317" s="22">
        <f>tblDailySchedule[[#This Row],[STD]]</f>
        <v>0.78472222222222221</v>
      </c>
    </row>
    <row r="3318" spans="1:20" hidden="1" x14ac:dyDescent="0.35">
      <c r="A3318" s="11">
        <v>46229</v>
      </c>
      <c r="B3318" s="3">
        <v>7</v>
      </c>
      <c r="C3318" t="s">
        <v>17</v>
      </c>
      <c r="D3318" t="s">
        <v>18</v>
      </c>
      <c r="E3318" s="3">
        <v>21</v>
      </c>
      <c r="F3318" t="s">
        <v>19</v>
      </c>
      <c r="G3318" t="s">
        <v>81</v>
      </c>
      <c r="H3318" t="s">
        <v>61</v>
      </c>
      <c r="I3318" s="12">
        <v>0.77083333333333337</v>
      </c>
      <c r="J3318" t="s">
        <v>82</v>
      </c>
      <c r="K3318" t="s">
        <v>49</v>
      </c>
      <c r="L3318" s="12">
        <v>0.79166666666666663</v>
      </c>
      <c r="M3318" t="s">
        <v>33</v>
      </c>
      <c r="N3318" s="3">
        <v>189</v>
      </c>
      <c r="O3318" t="s">
        <v>24</v>
      </c>
      <c r="P3318" t="s">
        <v>79</v>
      </c>
      <c r="R3318">
        <f>tblDailySchedule[[#This Row],[Capacity Approx]]*'[1]Load Factor Sheet June Acft  '!$B$5</f>
        <v>153.04704545454547</v>
      </c>
      <c r="S3318">
        <f>tblDailySchedule[[#This Row],[Capacity Approx]]*'[1]Load Factor Sheet June Acft  '!$D$5</f>
        <v>165.71863636363636</v>
      </c>
      <c r="T3318" s="22">
        <f>tblDailySchedule[[#This Row],[STD]]</f>
        <v>0.79166666666666663</v>
      </c>
    </row>
    <row r="3319" spans="1:20" hidden="1" x14ac:dyDescent="0.35">
      <c r="A3319" s="11">
        <v>46229</v>
      </c>
      <c r="B3319" s="3">
        <v>7</v>
      </c>
      <c r="C3319" t="s">
        <v>17</v>
      </c>
      <c r="D3319" t="s">
        <v>18</v>
      </c>
      <c r="E3319" s="3">
        <v>22</v>
      </c>
      <c r="F3319" t="s">
        <v>19</v>
      </c>
      <c r="G3319" t="s">
        <v>83</v>
      </c>
      <c r="H3319" t="s">
        <v>31</v>
      </c>
      <c r="I3319" s="12">
        <v>0.77777777777777779</v>
      </c>
      <c r="J3319" t="s">
        <v>84</v>
      </c>
      <c r="K3319" t="s">
        <v>31</v>
      </c>
      <c r="L3319" s="12">
        <v>0.80555555555555558</v>
      </c>
      <c r="M3319" t="s">
        <v>63</v>
      </c>
      <c r="N3319" s="3">
        <v>232</v>
      </c>
      <c r="O3319" t="s">
        <v>24</v>
      </c>
      <c r="P3319" t="s">
        <v>79</v>
      </c>
      <c r="R3319">
        <f>tblDailySchedule[[#This Row],[Capacity Approx]]*'[1]Load Factor Sheet June Acft  '!$B$5</f>
        <v>187.86727272727273</v>
      </c>
      <c r="S3319">
        <f>tblDailySchedule[[#This Row],[Capacity Approx]]*'[1]Load Factor Sheet June Acft  '!$D$5</f>
        <v>203.4218181818182</v>
      </c>
      <c r="T3319" s="22">
        <f>tblDailySchedule[[#This Row],[STD]]</f>
        <v>0.80555555555555558</v>
      </c>
    </row>
    <row r="3320" spans="1:20" hidden="1" x14ac:dyDescent="0.35">
      <c r="A3320" s="11">
        <v>46229</v>
      </c>
      <c r="B3320" s="3">
        <v>7</v>
      </c>
      <c r="C3320" t="s">
        <v>17</v>
      </c>
      <c r="D3320" t="s">
        <v>18</v>
      </c>
      <c r="E3320" s="3">
        <v>23</v>
      </c>
      <c r="F3320" t="s">
        <v>19</v>
      </c>
      <c r="G3320" t="s">
        <v>85</v>
      </c>
      <c r="H3320" t="s">
        <v>86</v>
      </c>
      <c r="I3320" s="12">
        <v>0.79861111111111116</v>
      </c>
      <c r="J3320" t="s">
        <v>87</v>
      </c>
      <c r="K3320" t="s">
        <v>86</v>
      </c>
      <c r="L3320" s="12">
        <v>0.82638888888888884</v>
      </c>
      <c r="M3320" t="s">
        <v>63</v>
      </c>
      <c r="N3320" s="3">
        <v>232</v>
      </c>
      <c r="O3320" t="s">
        <v>24</v>
      </c>
      <c r="P3320" t="s">
        <v>79</v>
      </c>
      <c r="R3320">
        <f>tblDailySchedule[[#This Row],[Capacity Approx]]*'[1]Load Factor Sheet June Acft  '!$B$5</f>
        <v>187.86727272727273</v>
      </c>
      <c r="S3320">
        <f>tblDailySchedule[[#This Row],[Capacity Approx]]*'[1]Load Factor Sheet June Acft  '!$D$5</f>
        <v>203.4218181818182</v>
      </c>
      <c r="T3320" s="22">
        <f>tblDailySchedule[[#This Row],[STD]]</f>
        <v>0.82638888888888884</v>
      </c>
    </row>
    <row r="3321" spans="1:20" hidden="1" x14ac:dyDescent="0.35">
      <c r="A3321" s="11">
        <v>46229</v>
      </c>
      <c r="B3321" s="3">
        <v>7</v>
      </c>
      <c r="C3321" t="s">
        <v>17</v>
      </c>
      <c r="D3321" t="s">
        <v>18</v>
      </c>
      <c r="E3321" s="3">
        <v>24</v>
      </c>
      <c r="F3321" t="s">
        <v>19</v>
      </c>
      <c r="G3321" t="s">
        <v>88</v>
      </c>
      <c r="H3321" t="s">
        <v>89</v>
      </c>
      <c r="I3321" s="12">
        <v>0.83333333333333337</v>
      </c>
      <c r="J3321" t="s">
        <v>90</v>
      </c>
      <c r="K3321" t="s">
        <v>31</v>
      </c>
      <c r="L3321" s="12">
        <v>0.86111111111111116</v>
      </c>
      <c r="M3321" t="s">
        <v>63</v>
      </c>
      <c r="N3321" s="3">
        <v>232</v>
      </c>
      <c r="O3321" t="s">
        <v>24</v>
      </c>
      <c r="P3321" t="s">
        <v>79</v>
      </c>
      <c r="R3321">
        <f>tblDailySchedule[[#This Row],[Capacity Approx]]*'[1]Load Factor Sheet June Acft  '!$B$5</f>
        <v>187.86727272727273</v>
      </c>
      <c r="S3321">
        <f>tblDailySchedule[[#This Row],[Capacity Approx]]*'[1]Load Factor Sheet June Acft  '!$D$5</f>
        <v>203.4218181818182</v>
      </c>
      <c r="T3321" s="22">
        <f>tblDailySchedule[[#This Row],[STD]]</f>
        <v>0.86111111111111116</v>
      </c>
    </row>
    <row r="3322" spans="1:20" hidden="1" x14ac:dyDescent="0.35">
      <c r="A3322" s="11">
        <v>46229</v>
      </c>
      <c r="B3322" s="3">
        <v>7</v>
      </c>
      <c r="C3322" t="s">
        <v>17</v>
      </c>
      <c r="D3322" t="s">
        <v>18</v>
      </c>
      <c r="E3322" s="3">
        <v>25</v>
      </c>
      <c r="F3322" t="s">
        <v>19</v>
      </c>
      <c r="G3322" t="s">
        <v>91</v>
      </c>
      <c r="H3322" t="s">
        <v>61</v>
      </c>
      <c r="I3322" s="12">
        <v>0.85416666666666663</v>
      </c>
      <c r="J3322" t="s">
        <v>92</v>
      </c>
      <c r="K3322" t="s">
        <v>61</v>
      </c>
      <c r="L3322" s="12">
        <v>0.88194444444444442</v>
      </c>
      <c r="M3322" t="s">
        <v>63</v>
      </c>
      <c r="N3322" s="3">
        <v>232</v>
      </c>
      <c r="O3322" t="s">
        <v>24</v>
      </c>
      <c r="P3322" t="s">
        <v>79</v>
      </c>
      <c r="R3322">
        <f>tblDailySchedule[[#This Row],[Capacity Approx]]*'[1]Load Factor Sheet June Acft  '!$B$5</f>
        <v>187.86727272727273</v>
      </c>
      <c r="S3322">
        <f>tblDailySchedule[[#This Row],[Capacity Approx]]*'[1]Load Factor Sheet June Acft  '!$D$5</f>
        <v>203.4218181818182</v>
      </c>
      <c r="T3322" s="22">
        <f>tblDailySchedule[[#This Row],[STD]]</f>
        <v>0.88194444444444442</v>
      </c>
    </row>
    <row r="3323" spans="1:20" hidden="1" x14ac:dyDescent="0.35">
      <c r="A3323" s="11">
        <v>46229</v>
      </c>
      <c r="B3323" s="3">
        <v>7</v>
      </c>
      <c r="C3323" t="s">
        <v>17</v>
      </c>
      <c r="D3323" t="s">
        <v>18</v>
      </c>
      <c r="E3323" s="3">
        <v>26</v>
      </c>
      <c r="F3323" t="s">
        <v>19</v>
      </c>
      <c r="G3323" t="s">
        <v>93</v>
      </c>
      <c r="H3323" t="s">
        <v>31</v>
      </c>
      <c r="I3323" s="12">
        <v>0.86111111111111116</v>
      </c>
      <c r="J3323" t="s">
        <v>94</v>
      </c>
      <c r="K3323" t="s">
        <v>31</v>
      </c>
      <c r="L3323" s="12">
        <v>0.88888888888888884</v>
      </c>
      <c r="M3323" t="s">
        <v>23</v>
      </c>
      <c r="N3323" s="3">
        <v>186</v>
      </c>
      <c r="O3323" t="s">
        <v>24</v>
      </c>
      <c r="P3323" t="s">
        <v>79</v>
      </c>
      <c r="R3323">
        <f>tblDailySchedule[[#This Row],[Capacity Approx]]*'[1]Load Factor Sheet June Acft  '!$B$5</f>
        <v>150.61772727272728</v>
      </c>
      <c r="S3323">
        <f>tblDailySchedule[[#This Row],[Capacity Approx]]*'[1]Load Factor Sheet June Acft  '!$D$5</f>
        <v>163.08818181818182</v>
      </c>
      <c r="T3323" s="22">
        <f>tblDailySchedule[[#This Row],[STD]]</f>
        <v>0.88888888888888884</v>
      </c>
    </row>
    <row r="3324" spans="1:20" hidden="1" x14ac:dyDescent="0.35">
      <c r="A3324" s="11">
        <v>46229</v>
      </c>
      <c r="B3324" s="3">
        <v>7</v>
      </c>
      <c r="C3324" t="s">
        <v>17</v>
      </c>
      <c r="D3324" t="s">
        <v>18</v>
      </c>
      <c r="E3324" s="3">
        <v>27</v>
      </c>
      <c r="F3324" t="s">
        <v>19</v>
      </c>
      <c r="G3324" t="s">
        <v>95</v>
      </c>
      <c r="H3324" t="s">
        <v>21</v>
      </c>
      <c r="I3324" s="12">
        <v>0.86805555555555558</v>
      </c>
      <c r="J3324" t="s">
        <v>96</v>
      </c>
      <c r="K3324" t="s">
        <v>21</v>
      </c>
      <c r="L3324" s="12">
        <v>0.89583333333333337</v>
      </c>
      <c r="M3324" t="s">
        <v>29</v>
      </c>
      <c r="N3324" s="3">
        <v>186</v>
      </c>
      <c r="O3324" t="s">
        <v>24</v>
      </c>
      <c r="P3324" t="s">
        <v>79</v>
      </c>
      <c r="R3324">
        <f>tblDailySchedule[[#This Row],[Capacity Approx]]*'[1]Load Factor Sheet June Acft  '!$B$5</f>
        <v>150.61772727272728</v>
      </c>
      <c r="S3324">
        <f>tblDailySchedule[[#This Row],[Capacity Approx]]*'[1]Load Factor Sheet June Acft  '!$D$5</f>
        <v>163.08818181818182</v>
      </c>
      <c r="T3324" s="22">
        <f>tblDailySchedule[[#This Row],[STD]]</f>
        <v>0.89583333333333337</v>
      </c>
    </row>
    <row r="3325" spans="1:20" hidden="1" x14ac:dyDescent="0.35">
      <c r="A3325" s="11">
        <v>46229</v>
      </c>
      <c r="B3325" s="3">
        <v>7</v>
      </c>
      <c r="C3325" t="s">
        <v>17</v>
      </c>
      <c r="D3325" t="s">
        <v>18</v>
      </c>
      <c r="E3325" s="3">
        <v>28</v>
      </c>
      <c r="F3325" t="s">
        <v>19</v>
      </c>
      <c r="G3325" t="s">
        <v>97</v>
      </c>
      <c r="H3325" t="s">
        <v>49</v>
      </c>
      <c r="I3325" s="12">
        <v>0.90277777777777779</v>
      </c>
      <c r="J3325" t="s">
        <v>97</v>
      </c>
      <c r="K3325" t="s">
        <v>61</v>
      </c>
      <c r="L3325" s="12">
        <v>0.92361111111111116</v>
      </c>
      <c r="M3325" t="s">
        <v>33</v>
      </c>
      <c r="N3325" s="3">
        <v>189</v>
      </c>
      <c r="O3325" t="s">
        <v>24</v>
      </c>
      <c r="P3325" t="s">
        <v>79</v>
      </c>
      <c r="R3325">
        <f>tblDailySchedule[[#This Row],[Capacity Approx]]*'[1]Load Factor Sheet June Acft  '!$B$5</f>
        <v>153.04704545454547</v>
      </c>
      <c r="S3325">
        <f>tblDailySchedule[[#This Row],[Capacity Approx]]*'[1]Load Factor Sheet June Acft  '!$D$5</f>
        <v>165.71863636363636</v>
      </c>
      <c r="T3325" s="22">
        <f>tblDailySchedule[[#This Row],[STD]]</f>
        <v>0.92361111111111116</v>
      </c>
    </row>
    <row r="3326" spans="1:20" hidden="1" x14ac:dyDescent="0.35">
      <c r="A3326" s="11">
        <v>46229</v>
      </c>
      <c r="B3326" s="3">
        <v>7</v>
      </c>
      <c r="C3326" t="s">
        <v>17</v>
      </c>
      <c r="D3326" t="s">
        <v>18</v>
      </c>
      <c r="E3326" s="3">
        <v>29</v>
      </c>
      <c r="F3326" t="s">
        <v>19</v>
      </c>
      <c r="G3326" t="s">
        <v>98</v>
      </c>
      <c r="H3326" t="s">
        <v>21</v>
      </c>
      <c r="I3326" s="12">
        <v>0.92013888888888884</v>
      </c>
      <c r="J3326" t="s">
        <v>99</v>
      </c>
      <c r="K3326" t="s">
        <v>21</v>
      </c>
      <c r="L3326" s="12">
        <v>0.94791666666666663</v>
      </c>
      <c r="M3326" t="s">
        <v>63</v>
      </c>
      <c r="N3326" s="3">
        <v>232</v>
      </c>
      <c r="O3326" t="s">
        <v>24</v>
      </c>
      <c r="P3326" t="s">
        <v>79</v>
      </c>
      <c r="R3326">
        <f>tblDailySchedule[[#This Row],[Capacity Approx]]*'[1]Load Factor Sheet June Acft  '!$B$5</f>
        <v>187.86727272727273</v>
      </c>
      <c r="S3326">
        <f>tblDailySchedule[[#This Row],[Capacity Approx]]*'[1]Load Factor Sheet June Acft  '!$D$5</f>
        <v>203.4218181818182</v>
      </c>
      <c r="T3326" s="22">
        <f>tblDailySchedule[[#This Row],[STD]]</f>
        <v>0.94791666666666663</v>
      </c>
    </row>
    <row r="3327" spans="1:20" hidden="1" x14ac:dyDescent="0.35">
      <c r="A3327" s="11">
        <v>46230</v>
      </c>
      <c r="B3327" s="3">
        <v>1</v>
      </c>
      <c r="C3327" t="s">
        <v>100</v>
      </c>
      <c r="D3327" t="s">
        <v>18</v>
      </c>
      <c r="E3327" s="3">
        <v>1</v>
      </c>
      <c r="F3327" t="s">
        <v>101</v>
      </c>
      <c r="G3327" t="s">
        <v>102</v>
      </c>
      <c r="H3327" t="s">
        <v>61</v>
      </c>
      <c r="I3327" s="12">
        <v>0.3125</v>
      </c>
      <c r="J3327" t="s">
        <v>103</v>
      </c>
      <c r="K3327" t="s">
        <v>61</v>
      </c>
      <c r="L3327" s="12">
        <v>0.33333333333333331</v>
      </c>
      <c r="M3327" t="s">
        <v>33</v>
      </c>
      <c r="N3327" s="3">
        <v>189</v>
      </c>
      <c r="O3327" t="s">
        <v>24</v>
      </c>
      <c r="P3327" t="s">
        <v>25</v>
      </c>
      <c r="R3327">
        <f>tblDailySchedule[[#This Row],[Capacity Approx]]*'[1]Load Factor Sheet June Acft  '!$B$5</f>
        <v>153.04704545454547</v>
      </c>
      <c r="S3327">
        <f>tblDailySchedule[[#This Row],[Capacity Approx]]*'[1]Load Factor Sheet June Acft  '!$D$5</f>
        <v>165.71863636363636</v>
      </c>
      <c r="T3327" s="22">
        <f>tblDailySchedule[[#This Row],[STD]]</f>
        <v>0.33333333333333331</v>
      </c>
    </row>
    <row r="3328" spans="1:20" hidden="1" x14ac:dyDescent="0.35">
      <c r="A3328" s="11">
        <v>46230</v>
      </c>
      <c r="B3328" s="3">
        <v>1</v>
      </c>
      <c r="C3328" t="s">
        <v>100</v>
      </c>
      <c r="D3328" t="s">
        <v>18</v>
      </c>
      <c r="E3328" s="3">
        <v>2</v>
      </c>
      <c r="F3328" t="s">
        <v>19</v>
      </c>
      <c r="G3328" t="s">
        <v>20</v>
      </c>
      <c r="H3328" t="s">
        <v>21</v>
      </c>
      <c r="I3328" s="12">
        <v>0.31944444444444442</v>
      </c>
      <c r="J3328" t="s">
        <v>22</v>
      </c>
      <c r="K3328" t="s">
        <v>21</v>
      </c>
      <c r="L3328" s="12">
        <v>0.34722222222222221</v>
      </c>
      <c r="M3328" t="s">
        <v>23</v>
      </c>
      <c r="N3328" s="3">
        <v>186</v>
      </c>
      <c r="O3328" t="s">
        <v>24</v>
      </c>
      <c r="P3328" t="s">
        <v>25</v>
      </c>
      <c r="R3328">
        <f>tblDailySchedule[[#This Row],[Capacity Approx]]*'[1]Load Factor Sheet June Acft  '!$B$5</f>
        <v>150.61772727272728</v>
      </c>
      <c r="S3328">
        <f>tblDailySchedule[[#This Row],[Capacity Approx]]*'[1]Load Factor Sheet June Acft  '!$D$5</f>
        <v>163.08818181818182</v>
      </c>
      <c r="T3328" s="22">
        <f>tblDailySchedule[[#This Row],[STD]]</f>
        <v>0.34722222222222221</v>
      </c>
    </row>
    <row r="3329" spans="1:20" hidden="1" x14ac:dyDescent="0.35">
      <c r="A3329" s="11">
        <v>46230</v>
      </c>
      <c r="B3329" s="3">
        <v>1</v>
      </c>
      <c r="C3329" t="s">
        <v>100</v>
      </c>
      <c r="D3329" t="s">
        <v>18</v>
      </c>
      <c r="E3329" s="3">
        <v>3</v>
      </c>
      <c r="F3329" t="s">
        <v>19</v>
      </c>
      <c r="G3329" t="s">
        <v>26</v>
      </c>
      <c r="H3329" t="s">
        <v>27</v>
      </c>
      <c r="I3329" s="12">
        <v>0.3263888888888889</v>
      </c>
      <c r="J3329" t="s">
        <v>28</v>
      </c>
      <c r="K3329" t="s">
        <v>27</v>
      </c>
      <c r="L3329" s="12">
        <v>0.35416666666666669</v>
      </c>
      <c r="M3329" t="s">
        <v>29</v>
      </c>
      <c r="N3329" s="3">
        <v>186</v>
      </c>
      <c r="O3329" t="s">
        <v>24</v>
      </c>
      <c r="P3329" t="s">
        <v>25</v>
      </c>
      <c r="R3329">
        <f>tblDailySchedule[[#This Row],[Capacity Approx]]*'[1]Load Factor Sheet June Acft  '!$B$5</f>
        <v>150.61772727272728</v>
      </c>
      <c r="S3329">
        <f>tblDailySchedule[[#This Row],[Capacity Approx]]*'[1]Load Factor Sheet June Acft  '!$D$5</f>
        <v>163.08818181818182</v>
      </c>
      <c r="T3329" s="22">
        <f>tblDailySchedule[[#This Row],[STD]]</f>
        <v>0.35416666666666669</v>
      </c>
    </row>
    <row r="3330" spans="1:20" hidden="1" x14ac:dyDescent="0.35">
      <c r="A3330" s="11">
        <v>46230</v>
      </c>
      <c r="B3330" s="3">
        <v>1</v>
      </c>
      <c r="C3330" t="s">
        <v>100</v>
      </c>
      <c r="D3330" t="s">
        <v>18</v>
      </c>
      <c r="E3330" s="3">
        <v>4</v>
      </c>
      <c r="F3330" t="s">
        <v>19</v>
      </c>
      <c r="G3330" t="s">
        <v>30</v>
      </c>
      <c r="H3330" t="s">
        <v>31</v>
      </c>
      <c r="I3330" s="12">
        <v>0.34722222222222221</v>
      </c>
      <c r="J3330" t="s">
        <v>32</v>
      </c>
      <c r="K3330" t="s">
        <v>31</v>
      </c>
      <c r="L3330" s="12">
        <v>0.36805555555555558</v>
      </c>
      <c r="M3330" t="s">
        <v>33</v>
      </c>
      <c r="N3330" s="3">
        <v>189</v>
      </c>
      <c r="O3330" t="s">
        <v>24</v>
      </c>
      <c r="P3330" t="s">
        <v>25</v>
      </c>
      <c r="R3330">
        <f>tblDailySchedule[[#This Row],[Capacity Approx]]*'[1]Load Factor Sheet June Acft  '!$B$5</f>
        <v>153.04704545454547</v>
      </c>
      <c r="S3330">
        <f>tblDailySchedule[[#This Row],[Capacity Approx]]*'[1]Load Factor Sheet June Acft  '!$D$5</f>
        <v>165.71863636363636</v>
      </c>
      <c r="T3330" s="22">
        <f>tblDailySchedule[[#This Row],[STD]]</f>
        <v>0.36805555555555558</v>
      </c>
    </row>
    <row r="3331" spans="1:20" hidden="1" x14ac:dyDescent="0.35">
      <c r="A3331" s="13">
        <v>46230</v>
      </c>
      <c r="B3331" s="7">
        <v>1</v>
      </c>
      <c r="C3331" s="14" t="s">
        <v>100</v>
      </c>
      <c r="D3331" s="14" t="s">
        <v>18</v>
      </c>
      <c r="E3331" s="7">
        <v>6</v>
      </c>
      <c r="F3331" s="14" t="s">
        <v>34</v>
      </c>
      <c r="G3331" s="14" t="s">
        <v>35</v>
      </c>
      <c r="H3331" s="14" t="s">
        <v>36</v>
      </c>
      <c r="I3331" s="15">
        <v>0.34722222222222221</v>
      </c>
      <c r="J3331" s="14" t="s">
        <v>37</v>
      </c>
      <c r="K3331" s="14" t="s">
        <v>36</v>
      </c>
      <c r="L3331" s="15">
        <v>0.40972222222222221</v>
      </c>
      <c r="M3331" s="14" t="s">
        <v>38</v>
      </c>
      <c r="N3331" s="7">
        <v>186</v>
      </c>
      <c r="O3331" s="14" t="s">
        <v>39</v>
      </c>
      <c r="P3331" s="14" t="s">
        <v>25</v>
      </c>
      <c r="Q3331" s="14" t="s">
        <v>39</v>
      </c>
      <c r="R3331">
        <f>tblDailySchedule[[#This Row],[Capacity Approx]]*'[1]Load Factor Sheet June Acft  '!$B$5</f>
        <v>150.61772727272728</v>
      </c>
      <c r="S3331">
        <f>tblDailySchedule[[#This Row],[Capacity Approx]]*'[1]Load Factor Sheet June Acft  '!$D$5</f>
        <v>163.08818181818182</v>
      </c>
      <c r="T3331" s="22">
        <f>tblDailySchedule[[#This Row],[STD]]</f>
        <v>0.40972222222222221</v>
      </c>
    </row>
    <row r="3332" spans="1:20" hidden="1" x14ac:dyDescent="0.35">
      <c r="A3332" s="11">
        <v>46230</v>
      </c>
      <c r="B3332" s="3">
        <v>1</v>
      </c>
      <c r="C3332" t="s">
        <v>100</v>
      </c>
      <c r="D3332" t="s">
        <v>18</v>
      </c>
      <c r="E3332" s="3">
        <v>5</v>
      </c>
      <c r="F3332" t="s">
        <v>19</v>
      </c>
      <c r="G3332" t="s">
        <v>40</v>
      </c>
      <c r="H3332" t="s">
        <v>31</v>
      </c>
      <c r="I3332" s="12">
        <v>0.35069444444444442</v>
      </c>
      <c r="J3332" t="s">
        <v>41</v>
      </c>
      <c r="K3332" t="s">
        <v>31</v>
      </c>
      <c r="L3332" s="12">
        <v>0.37152777777777779</v>
      </c>
      <c r="M3332" t="s">
        <v>23</v>
      </c>
      <c r="N3332" s="3">
        <v>186</v>
      </c>
      <c r="O3332" t="s">
        <v>24</v>
      </c>
      <c r="P3332" t="s">
        <v>25</v>
      </c>
      <c r="R3332">
        <f>tblDailySchedule[[#This Row],[Capacity Approx]]*'[1]Load Factor Sheet June Acft  '!$B$5</f>
        <v>150.61772727272728</v>
      </c>
      <c r="S3332">
        <f>tblDailySchedule[[#This Row],[Capacity Approx]]*'[1]Load Factor Sheet June Acft  '!$D$5</f>
        <v>163.08818181818182</v>
      </c>
      <c r="T3332" s="22">
        <f>tblDailySchedule[[#This Row],[STD]]</f>
        <v>0.37152777777777779</v>
      </c>
    </row>
    <row r="3333" spans="1:20" hidden="1" x14ac:dyDescent="0.35">
      <c r="A3333" s="11">
        <v>46230</v>
      </c>
      <c r="B3333" s="3">
        <v>1</v>
      </c>
      <c r="C3333" t="s">
        <v>100</v>
      </c>
      <c r="D3333" t="s">
        <v>18</v>
      </c>
      <c r="E3333" s="3">
        <v>7</v>
      </c>
      <c r="F3333" t="s">
        <v>19</v>
      </c>
      <c r="G3333" t="s">
        <v>42</v>
      </c>
      <c r="H3333" t="s">
        <v>43</v>
      </c>
      <c r="I3333" s="12">
        <v>0.3923611111111111</v>
      </c>
      <c r="J3333" t="s">
        <v>44</v>
      </c>
      <c r="K3333" t="s">
        <v>43</v>
      </c>
      <c r="L3333" s="12">
        <v>0.40277777777777779</v>
      </c>
      <c r="M3333" t="s">
        <v>45</v>
      </c>
      <c r="N3333" s="3">
        <v>9</v>
      </c>
      <c r="O3333" t="s">
        <v>24</v>
      </c>
      <c r="P3333" t="s">
        <v>25</v>
      </c>
      <c r="R3333">
        <f>tblDailySchedule[[#This Row],[Capacity Approx]]*'[1]Load Factor Sheet June Acft  '!$B$5</f>
        <v>7.2879545454545456</v>
      </c>
      <c r="S3333">
        <f>tblDailySchedule[[#This Row],[Capacity Approx]]*'[1]Load Factor Sheet June Acft  '!$D$5</f>
        <v>7.8913636363636366</v>
      </c>
      <c r="T3333" s="22">
        <f>tblDailySchedule[[#This Row],[STD]]</f>
        <v>0.40277777777777779</v>
      </c>
    </row>
    <row r="3334" spans="1:20" hidden="1" x14ac:dyDescent="0.35">
      <c r="A3334" s="11">
        <v>46230</v>
      </c>
      <c r="B3334" s="3">
        <v>1</v>
      </c>
      <c r="C3334" t="s">
        <v>100</v>
      </c>
      <c r="D3334" t="s">
        <v>18</v>
      </c>
      <c r="E3334" s="3">
        <v>8</v>
      </c>
      <c r="F3334" t="s">
        <v>19</v>
      </c>
      <c r="G3334" t="s">
        <v>46</v>
      </c>
      <c r="H3334" t="s">
        <v>31</v>
      </c>
      <c r="I3334" s="12">
        <v>0.4201388888888889</v>
      </c>
      <c r="J3334" t="s">
        <v>47</v>
      </c>
      <c r="K3334" t="s">
        <v>31</v>
      </c>
      <c r="L3334" s="12">
        <v>0.44444444444444442</v>
      </c>
      <c r="M3334" t="s">
        <v>29</v>
      </c>
      <c r="N3334" s="3">
        <v>186</v>
      </c>
      <c r="O3334" t="s">
        <v>24</v>
      </c>
      <c r="P3334" t="s">
        <v>25</v>
      </c>
      <c r="R3334">
        <f>tblDailySchedule[[#This Row],[Capacity Approx]]*'[1]Load Factor Sheet June Acft  '!$B$5</f>
        <v>150.61772727272728</v>
      </c>
      <c r="S3334">
        <f>tblDailySchedule[[#This Row],[Capacity Approx]]*'[1]Load Factor Sheet June Acft  '!$D$5</f>
        <v>163.08818181818182</v>
      </c>
      <c r="T3334" s="22">
        <f>tblDailySchedule[[#This Row],[STD]]</f>
        <v>0.44444444444444442</v>
      </c>
    </row>
    <row r="3335" spans="1:20" hidden="1" x14ac:dyDescent="0.35">
      <c r="A3335" s="11">
        <v>46230</v>
      </c>
      <c r="B3335" s="3">
        <v>1</v>
      </c>
      <c r="C3335" t="s">
        <v>100</v>
      </c>
      <c r="D3335" t="s">
        <v>18</v>
      </c>
      <c r="E3335" s="3">
        <v>9</v>
      </c>
      <c r="F3335" t="s">
        <v>19</v>
      </c>
      <c r="G3335" t="s">
        <v>48</v>
      </c>
      <c r="H3335" t="s">
        <v>49</v>
      </c>
      <c r="I3335" s="12">
        <v>0.4375</v>
      </c>
      <c r="J3335" t="s">
        <v>50</v>
      </c>
      <c r="K3335" t="s">
        <v>49</v>
      </c>
      <c r="L3335" s="12">
        <v>0.45833333333333331</v>
      </c>
      <c r="M3335" t="s">
        <v>51</v>
      </c>
      <c r="N3335" s="3">
        <v>78</v>
      </c>
      <c r="O3335" t="s">
        <v>24</v>
      </c>
      <c r="P3335" t="s">
        <v>25</v>
      </c>
      <c r="R3335">
        <f>tblDailySchedule[[#This Row],[Capacity Approx]]*'[1]Load Factor Sheet June Acft  '!$B$5</f>
        <v>63.162272727272729</v>
      </c>
      <c r="S3335">
        <f>tblDailySchedule[[#This Row],[Capacity Approx]]*'[1]Load Factor Sheet June Acft  '!$D$5</f>
        <v>68.391818181818181</v>
      </c>
      <c r="T3335" s="22">
        <f>tblDailySchedule[[#This Row],[STD]]</f>
        <v>0.45833333333333331</v>
      </c>
    </row>
    <row r="3336" spans="1:20" hidden="1" x14ac:dyDescent="0.35">
      <c r="A3336" s="11">
        <v>46230</v>
      </c>
      <c r="B3336" s="3">
        <v>1</v>
      </c>
      <c r="C3336" t="s">
        <v>100</v>
      </c>
      <c r="D3336" t="s">
        <v>18</v>
      </c>
      <c r="E3336" s="3">
        <v>10</v>
      </c>
      <c r="F3336" t="s">
        <v>19</v>
      </c>
      <c r="G3336" t="s">
        <v>52</v>
      </c>
      <c r="H3336" t="s">
        <v>27</v>
      </c>
      <c r="I3336" s="12">
        <v>0.4826388888888889</v>
      </c>
      <c r="J3336" t="s">
        <v>53</v>
      </c>
      <c r="K3336" t="s">
        <v>27</v>
      </c>
      <c r="L3336" s="12">
        <v>0.51041666666666663</v>
      </c>
      <c r="M3336" t="s">
        <v>23</v>
      </c>
      <c r="N3336" s="3">
        <v>186</v>
      </c>
      <c r="O3336" t="s">
        <v>24</v>
      </c>
      <c r="P3336" t="s">
        <v>25</v>
      </c>
      <c r="R3336">
        <f>tblDailySchedule[[#This Row],[Capacity Approx]]*'[1]Load Factor Sheet June Acft  '!$B$5</f>
        <v>150.61772727272728</v>
      </c>
      <c r="S3336">
        <f>tblDailySchedule[[#This Row],[Capacity Approx]]*'[1]Load Factor Sheet June Acft  '!$D$5</f>
        <v>163.08818181818182</v>
      </c>
      <c r="T3336" s="22">
        <f>tblDailySchedule[[#This Row],[STD]]</f>
        <v>0.51041666666666663</v>
      </c>
    </row>
    <row r="3337" spans="1:20" hidden="1" x14ac:dyDescent="0.35">
      <c r="A3337" s="11">
        <v>46230</v>
      </c>
      <c r="B3337" s="3">
        <v>1</v>
      </c>
      <c r="C3337" t="s">
        <v>100</v>
      </c>
      <c r="D3337" t="s">
        <v>18</v>
      </c>
      <c r="E3337" s="3">
        <v>11</v>
      </c>
      <c r="F3337" t="s">
        <v>19</v>
      </c>
      <c r="G3337" t="s">
        <v>54</v>
      </c>
      <c r="H3337" t="s">
        <v>31</v>
      </c>
      <c r="I3337" s="12">
        <v>0.51388888888888884</v>
      </c>
      <c r="J3337" t="s">
        <v>55</v>
      </c>
      <c r="K3337" t="s">
        <v>31</v>
      </c>
      <c r="L3337" s="12">
        <v>0.54166666666666663</v>
      </c>
      <c r="M3337" t="s">
        <v>23</v>
      </c>
      <c r="N3337" s="3">
        <v>186</v>
      </c>
      <c r="O3337" t="s">
        <v>24</v>
      </c>
      <c r="P3337" t="s">
        <v>56</v>
      </c>
      <c r="R3337">
        <f>tblDailySchedule[[#This Row],[Capacity Approx]]*'[1]Load Factor Sheet June Acft  '!$B$5</f>
        <v>150.61772727272728</v>
      </c>
      <c r="S3337">
        <f>tblDailySchedule[[#This Row],[Capacity Approx]]*'[1]Load Factor Sheet June Acft  '!$D$5</f>
        <v>163.08818181818182</v>
      </c>
      <c r="T3337" s="22">
        <f>tblDailySchedule[[#This Row],[STD]]</f>
        <v>0.54166666666666663</v>
      </c>
    </row>
    <row r="3338" spans="1:20" hidden="1" x14ac:dyDescent="0.35">
      <c r="A3338" s="11">
        <v>46230</v>
      </c>
      <c r="B3338" s="3">
        <v>1</v>
      </c>
      <c r="C3338" t="s">
        <v>100</v>
      </c>
      <c r="D3338" t="s">
        <v>18</v>
      </c>
      <c r="E3338" s="3">
        <v>13</v>
      </c>
      <c r="F3338" t="s">
        <v>19</v>
      </c>
      <c r="G3338" t="s">
        <v>57</v>
      </c>
      <c r="H3338" t="s">
        <v>58</v>
      </c>
      <c r="I3338" s="12">
        <v>0.55902777777777779</v>
      </c>
      <c r="J3338" t="s">
        <v>59</v>
      </c>
      <c r="K3338" t="s">
        <v>58</v>
      </c>
      <c r="L3338" s="12">
        <v>0.57638888888888884</v>
      </c>
      <c r="M3338" t="s">
        <v>51</v>
      </c>
      <c r="N3338" s="3">
        <v>78</v>
      </c>
      <c r="O3338" t="s">
        <v>24</v>
      </c>
      <c r="P3338" t="s">
        <v>56</v>
      </c>
      <c r="R3338">
        <f>tblDailySchedule[[#This Row],[Capacity Approx]]*'[1]Load Factor Sheet June Acft  '!$B$5</f>
        <v>63.162272727272729</v>
      </c>
      <c r="S3338">
        <f>tblDailySchedule[[#This Row],[Capacity Approx]]*'[1]Load Factor Sheet June Acft  '!$D$5</f>
        <v>68.391818181818181</v>
      </c>
      <c r="T3338" s="22">
        <f>tblDailySchedule[[#This Row],[STD]]</f>
        <v>0.57638888888888884</v>
      </c>
    </row>
    <row r="3339" spans="1:20" hidden="1" x14ac:dyDescent="0.35">
      <c r="A3339" s="11">
        <v>46230</v>
      </c>
      <c r="B3339" s="3">
        <v>1</v>
      </c>
      <c r="C3339" t="s">
        <v>100</v>
      </c>
      <c r="D3339" t="s">
        <v>18</v>
      </c>
      <c r="E3339" s="3">
        <v>14</v>
      </c>
      <c r="F3339" t="s">
        <v>19</v>
      </c>
      <c r="G3339" t="s">
        <v>60</v>
      </c>
      <c r="H3339" t="s">
        <v>61</v>
      </c>
      <c r="I3339" s="12">
        <v>0.59027777777777779</v>
      </c>
      <c r="J3339" t="s">
        <v>62</v>
      </c>
      <c r="K3339" t="s">
        <v>61</v>
      </c>
      <c r="L3339" s="12">
        <v>0.62152777777777779</v>
      </c>
      <c r="M3339" t="s">
        <v>63</v>
      </c>
      <c r="N3339" s="3">
        <v>232</v>
      </c>
      <c r="O3339" t="s">
        <v>24</v>
      </c>
      <c r="P3339" t="s">
        <v>56</v>
      </c>
      <c r="R3339">
        <f>tblDailySchedule[[#This Row],[Capacity Approx]]*'[1]Load Factor Sheet June Acft  '!$B$5</f>
        <v>187.86727272727273</v>
      </c>
      <c r="S3339">
        <f>tblDailySchedule[[#This Row],[Capacity Approx]]*'[1]Load Factor Sheet June Acft  '!$D$5</f>
        <v>203.4218181818182</v>
      </c>
      <c r="T3339" s="22">
        <f>tblDailySchedule[[#This Row],[STD]]</f>
        <v>0.62152777777777779</v>
      </c>
    </row>
    <row r="3340" spans="1:20" hidden="1" x14ac:dyDescent="0.35">
      <c r="A3340" s="11">
        <v>46230</v>
      </c>
      <c r="B3340" s="3">
        <v>1</v>
      </c>
      <c r="C3340" t="s">
        <v>100</v>
      </c>
      <c r="D3340" t="s">
        <v>18</v>
      </c>
      <c r="E3340" s="3">
        <v>15</v>
      </c>
      <c r="F3340" t="s">
        <v>19</v>
      </c>
      <c r="G3340" t="s">
        <v>64</v>
      </c>
      <c r="H3340" t="s">
        <v>31</v>
      </c>
      <c r="I3340" s="12">
        <v>0.60069444444444442</v>
      </c>
      <c r="J3340" t="s">
        <v>65</v>
      </c>
      <c r="K3340" t="s">
        <v>66</v>
      </c>
      <c r="L3340" s="12">
        <v>0.62847222222222221</v>
      </c>
      <c r="M3340" t="s">
        <v>63</v>
      </c>
      <c r="N3340" s="3">
        <v>232</v>
      </c>
      <c r="O3340" t="s">
        <v>24</v>
      </c>
      <c r="P3340" t="s">
        <v>56</v>
      </c>
      <c r="R3340">
        <f>tblDailySchedule[[#This Row],[Capacity Approx]]*'[1]Load Factor Sheet June Acft  '!$B$5</f>
        <v>187.86727272727273</v>
      </c>
      <c r="S3340">
        <f>tblDailySchedule[[#This Row],[Capacity Approx]]*'[1]Load Factor Sheet June Acft  '!$D$5</f>
        <v>203.4218181818182</v>
      </c>
      <c r="T3340" s="22">
        <f>tblDailySchedule[[#This Row],[STD]]</f>
        <v>0.62847222222222221</v>
      </c>
    </row>
    <row r="3341" spans="1:20" hidden="1" x14ac:dyDescent="0.35">
      <c r="A3341" s="11">
        <v>46230</v>
      </c>
      <c r="B3341" s="3">
        <v>1</v>
      </c>
      <c r="C3341" t="s">
        <v>100</v>
      </c>
      <c r="D3341" t="s">
        <v>18</v>
      </c>
      <c r="E3341" s="3">
        <v>16</v>
      </c>
      <c r="F3341" t="s">
        <v>19</v>
      </c>
      <c r="G3341" t="s">
        <v>67</v>
      </c>
      <c r="H3341" t="s">
        <v>31</v>
      </c>
      <c r="I3341" s="12">
        <v>0.65625</v>
      </c>
      <c r="J3341" t="s">
        <v>68</v>
      </c>
      <c r="K3341" t="s">
        <v>31</v>
      </c>
      <c r="L3341" s="12">
        <v>0.68402777777777779</v>
      </c>
      <c r="M3341" t="s">
        <v>63</v>
      </c>
      <c r="N3341" s="3">
        <v>232</v>
      </c>
      <c r="O3341" t="s">
        <v>24</v>
      </c>
      <c r="P3341" t="s">
        <v>56</v>
      </c>
      <c r="R3341">
        <f>tblDailySchedule[[#This Row],[Capacity Approx]]*'[1]Load Factor Sheet June Acft  '!$B$5</f>
        <v>187.86727272727273</v>
      </c>
      <c r="S3341">
        <f>tblDailySchedule[[#This Row],[Capacity Approx]]*'[1]Load Factor Sheet June Acft  '!$D$5</f>
        <v>203.4218181818182</v>
      </c>
      <c r="T3341" s="22">
        <f>tblDailySchedule[[#This Row],[STD]]</f>
        <v>0.68402777777777779</v>
      </c>
    </row>
    <row r="3342" spans="1:20" hidden="1" x14ac:dyDescent="0.35">
      <c r="A3342" s="11">
        <v>46230</v>
      </c>
      <c r="B3342" s="3">
        <v>1</v>
      </c>
      <c r="C3342" t="s">
        <v>100</v>
      </c>
      <c r="D3342" t="s">
        <v>18</v>
      </c>
      <c r="E3342" s="3">
        <v>17</v>
      </c>
      <c r="F3342" t="s">
        <v>19</v>
      </c>
      <c r="G3342" t="s">
        <v>69</v>
      </c>
      <c r="H3342" t="s">
        <v>31</v>
      </c>
      <c r="I3342" s="12">
        <v>0.66319444444444442</v>
      </c>
      <c r="J3342" t="s">
        <v>70</v>
      </c>
      <c r="K3342" t="s">
        <v>31</v>
      </c>
      <c r="L3342" s="12">
        <v>0.69097222222222221</v>
      </c>
      <c r="M3342" t="s">
        <v>33</v>
      </c>
      <c r="N3342" s="3">
        <v>189</v>
      </c>
      <c r="O3342" t="s">
        <v>24</v>
      </c>
      <c r="P3342" t="s">
        <v>56</v>
      </c>
      <c r="R3342">
        <f>tblDailySchedule[[#This Row],[Capacity Approx]]*'[1]Load Factor Sheet June Acft  '!$B$5</f>
        <v>153.04704545454547</v>
      </c>
      <c r="S3342">
        <f>tblDailySchedule[[#This Row],[Capacity Approx]]*'[1]Load Factor Sheet June Acft  '!$D$5</f>
        <v>165.71863636363636</v>
      </c>
      <c r="T3342" s="22">
        <f>tblDailySchedule[[#This Row],[STD]]</f>
        <v>0.69097222222222221</v>
      </c>
    </row>
    <row r="3343" spans="1:20" hidden="1" x14ac:dyDescent="0.35">
      <c r="A3343" s="11">
        <v>46230</v>
      </c>
      <c r="B3343" s="3">
        <v>1</v>
      </c>
      <c r="C3343" t="s">
        <v>100</v>
      </c>
      <c r="D3343" t="s">
        <v>18</v>
      </c>
      <c r="E3343" s="3">
        <v>18</v>
      </c>
      <c r="F3343" t="s">
        <v>19</v>
      </c>
      <c r="G3343" t="s">
        <v>71</v>
      </c>
      <c r="H3343" t="s">
        <v>21</v>
      </c>
      <c r="I3343" s="12">
        <v>0.67013888888888884</v>
      </c>
      <c r="J3343" t="s">
        <v>72</v>
      </c>
      <c r="K3343" t="s">
        <v>21</v>
      </c>
      <c r="L3343" s="12">
        <v>0.69791666666666663</v>
      </c>
      <c r="M3343" t="s">
        <v>63</v>
      </c>
      <c r="N3343" s="3">
        <v>232</v>
      </c>
      <c r="O3343" t="s">
        <v>24</v>
      </c>
      <c r="P3343" t="s">
        <v>56</v>
      </c>
      <c r="R3343">
        <f>tblDailySchedule[[#This Row],[Capacity Approx]]*'[1]Load Factor Sheet June Acft  '!$B$5</f>
        <v>187.86727272727273</v>
      </c>
      <c r="S3343">
        <f>tblDailySchedule[[#This Row],[Capacity Approx]]*'[1]Load Factor Sheet June Acft  '!$D$5</f>
        <v>203.4218181818182</v>
      </c>
      <c r="T3343" s="22">
        <f>tblDailySchedule[[#This Row],[STD]]</f>
        <v>0.69791666666666663</v>
      </c>
    </row>
    <row r="3344" spans="1:20" hidden="1" x14ac:dyDescent="0.35">
      <c r="A3344" s="11">
        <v>46230</v>
      </c>
      <c r="B3344" s="3">
        <v>1</v>
      </c>
      <c r="C3344" t="s">
        <v>100</v>
      </c>
      <c r="D3344" t="s">
        <v>18</v>
      </c>
      <c r="E3344" s="3">
        <v>19</v>
      </c>
      <c r="F3344" t="s">
        <v>19</v>
      </c>
      <c r="G3344" t="s">
        <v>73</v>
      </c>
      <c r="H3344" t="s">
        <v>27</v>
      </c>
      <c r="I3344" s="12">
        <v>0.74652777777777779</v>
      </c>
      <c r="J3344" t="s">
        <v>74</v>
      </c>
      <c r="K3344" t="s">
        <v>27</v>
      </c>
      <c r="L3344" s="12">
        <v>0.77430555555555558</v>
      </c>
      <c r="M3344" t="s">
        <v>63</v>
      </c>
      <c r="N3344" s="3">
        <v>232</v>
      </c>
      <c r="O3344" t="s">
        <v>24</v>
      </c>
      <c r="P3344" t="s">
        <v>56</v>
      </c>
      <c r="R3344">
        <f>tblDailySchedule[[#This Row],[Capacity Approx]]*'[1]Load Factor Sheet June Acft  '!$B$5</f>
        <v>187.86727272727273</v>
      </c>
      <c r="S3344">
        <f>tblDailySchedule[[#This Row],[Capacity Approx]]*'[1]Load Factor Sheet June Acft  '!$D$5</f>
        <v>203.4218181818182</v>
      </c>
      <c r="T3344" s="22">
        <f>tblDailySchedule[[#This Row],[STD]]</f>
        <v>0.77430555555555558</v>
      </c>
    </row>
    <row r="3345" spans="1:20" hidden="1" x14ac:dyDescent="0.35">
      <c r="A3345" s="11">
        <v>46230</v>
      </c>
      <c r="B3345" s="3">
        <v>1</v>
      </c>
      <c r="C3345" t="s">
        <v>100</v>
      </c>
      <c r="D3345" t="s">
        <v>18</v>
      </c>
      <c r="E3345" s="3">
        <v>20</v>
      </c>
      <c r="F3345" t="s">
        <v>34</v>
      </c>
      <c r="G3345" t="s">
        <v>75</v>
      </c>
      <c r="H3345" t="s">
        <v>76</v>
      </c>
      <c r="I3345" s="12">
        <v>0.76388888888888884</v>
      </c>
      <c r="J3345" t="s">
        <v>77</v>
      </c>
      <c r="K3345" t="s">
        <v>78</v>
      </c>
      <c r="L3345" s="12">
        <v>0.78472222222222221</v>
      </c>
      <c r="M3345" t="s">
        <v>51</v>
      </c>
      <c r="N3345" s="3">
        <v>78</v>
      </c>
      <c r="O3345" t="s">
        <v>24</v>
      </c>
      <c r="P3345" t="s">
        <v>79</v>
      </c>
      <c r="Q3345" s="16" t="s">
        <v>80</v>
      </c>
      <c r="R3345">
        <f>tblDailySchedule[[#This Row],[Capacity Approx]]*'[1]Load Factor Sheet June Acft  '!$B$5</f>
        <v>63.162272727272729</v>
      </c>
      <c r="S3345">
        <f>tblDailySchedule[[#This Row],[Capacity Approx]]*'[1]Load Factor Sheet June Acft  '!$D$5</f>
        <v>68.391818181818181</v>
      </c>
      <c r="T3345" s="22">
        <f>tblDailySchedule[[#This Row],[STD]]</f>
        <v>0.78472222222222221</v>
      </c>
    </row>
    <row r="3346" spans="1:20" hidden="1" x14ac:dyDescent="0.35">
      <c r="A3346" s="11">
        <v>46230</v>
      </c>
      <c r="B3346" s="3">
        <v>1</v>
      </c>
      <c r="C3346" t="s">
        <v>100</v>
      </c>
      <c r="D3346" t="s">
        <v>18</v>
      </c>
      <c r="E3346" s="3">
        <v>21</v>
      </c>
      <c r="F3346" t="s">
        <v>19</v>
      </c>
      <c r="G3346" t="s">
        <v>81</v>
      </c>
      <c r="H3346" t="s">
        <v>61</v>
      </c>
      <c r="I3346" s="12">
        <v>0.77083333333333337</v>
      </c>
      <c r="J3346" t="s">
        <v>82</v>
      </c>
      <c r="K3346" t="s">
        <v>49</v>
      </c>
      <c r="L3346" s="12">
        <v>0.79166666666666663</v>
      </c>
      <c r="M3346" t="s">
        <v>33</v>
      </c>
      <c r="N3346" s="3">
        <v>189</v>
      </c>
      <c r="O3346" t="s">
        <v>24</v>
      </c>
      <c r="P3346" t="s">
        <v>79</v>
      </c>
      <c r="R3346">
        <f>tblDailySchedule[[#This Row],[Capacity Approx]]*'[1]Load Factor Sheet June Acft  '!$B$5</f>
        <v>153.04704545454547</v>
      </c>
      <c r="S3346">
        <f>tblDailySchedule[[#This Row],[Capacity Approx]]*'[1]Load Factor Sheet June Acft  '!$D$5</f>
        <v>165.71863636363636</v>
      </c>
      <c r="T3346" s="22">
        <f>tblDailySchedule[[#This Row],[STD]]</f>
        <v>0.79166666666666663</v>
      </c>
    </row>
    <row r="3347" spans="1:20" hidden="1" x14ac:dyDescent="0.35">
      <c r="A3347" s="11">
        <v>46230</v>
      </c>
      <c r="B3347" s="3">
        <v>1</v>
      </c>
      <c r="C3347" t="s">
        <v>100</v>
      </c>
      <c r="D3347" t="s">
        <v>18</v>
      </c>
      <c r="E3347" s="3">
        <v>22</v>
      </c>
      <c r="F3347" t="s">
        <v>19</v>
      </c>
      <c r="G3347" t="s">
        <v>83</v>
      </c>
      <c r="H3347" t="s">
        <v>31</v>
      </c>
      <c r="I3347" s="12">
        <v>0.77777777777777779</v>
      </c>
      <c r="J3347" t="s">
        <v>84</v>
      </c>
      <c r="K3347" t="s">
        <v>31</v>
      </c>
      <c r="L3347" s="12">
        <v>0.80555555555555558</v>
      </c>
      <c r="M3347" t="s">
        <v>63</v>
      </c>
      <c r="N3347" s="3">
        <v>232</v>
      </c>
      <c r="O3347" t="s">
        <v>24</v>
      </c>
      <c r="P3347" t="s">
        <v>79</v>
      </c>
      <c r="R3347">
        <f>tblDailySchedule[[#This Row],[Capacity Approx]]*'[1]Load Factor Sheet June Acft  '!$B$5</f>
        <v>187.86727272727273</v>
      </c>
      <c r="S3347">
        <f>tblDailySchedule[[#This Row],[Capacity Approx]]*'[1]Load Factor Sheet June Acft  '!$D$5</f>
        <v>203.4218181818182</v>
      </c>
      <c r="T3347" s="22">
        <f>tblDailySchedule[[#This Row],[STD]]</f>
        <v>0.80555555555555558</v>
      </c>
    </row>
    <row r="3348" spans="1:20" hidden="1" x14ac:dyDescent="0.35">
      <c r="A3348" s="11">
        <v>46230</v>
      </c>
      <c r="B3348" s="3">
        <v>1</v>
      </c>
      <c r="C3348" t="s">
        <v>100</v>
      </c>
      <c r="D3348" t="s">
        <v>18</v>
      </c>
      <c r="E3348" s="3">
        <v>23</v>
      </c>
      <c r="F3348" t="s">
        <v>19</v>
      </c>
      <c r="G3348" t="s">
        <v>85</v>
      </c>
      <c r="H3348" t="s">
        <v>86</v>
      </c>
      <c r="I3348" s="12">
        <v>0.79861111111111116</v>
      </c>
      <c r="J3348" t="s">
        <v>87</v>
      </c>
      <c r="K3348" t="s">
        <v>86</v>
      </c>
      <c r="L3348" s="12">
        <v>0.82638888888888884</v>
      </c>
      <c r="M3348" t="s">
        <v>63</v>
      </c>
      <c r="N3348" s="3">
        <v>232</v>
      </c>
      <c r="O3348" t="s">
        <v>24</v>
      </c>
      <c r="P3348" t="s">
        <v>79</v>
      </c>
      <c r="R3348">
        <f>tblDailySchedule[[#This Row],[Capacity Approx]]*'[1]Load Factor Sheet June Acft  '!$B$5</f>
        <v>187.86727272727273</v>
      </c>
      <c r="S3348">
        <f>tblDailySchedule[[#This Row],[Capacity Approx]]*'[1]Load Factor Sheet June Acft  '!$D$5</f>
        <v>203.4218181818182</v>
      </c>
      <c r="T3348" s="22">
        <f>tblDailySchedule[[#This Row],[STD]]</f>
        <v>0.82638888888888884</v>
      </c>
    </row>
    <row r="3349" spans="1:20" hidden="1" x14ac:dyDescent="0.35">
      <c r="A3349" s="11">
        <v>46230</v>
      </c>
      <c r="B3349" s="3">
        <v>1</v>
      </c>
      <c r="C3349" t="s">
        <v>100</v>
      </c>
      <c r="D3349" t="s">
        <v>18</v>
      </c>
      <c r="E3349" s="3">
        <v>24</v>
      </c>
      <c r="F3349" t="s">
        <v>19</v>
      </c>
      <c r="G3349" t="s">
        <v>88</v>
      </c>
      <c r="H3349" t="s">
        <v>89</v>
      </c>
      <c r="I3349" s="12">
        <v>0.83333333333333337</v>
      </c>
      <c r="J3349" t="s">
        <v>90</v>
      </c>
      <c r="K3349" t="s">
        <v>31</v>
      </c>
      <c r="L3349" s="12">
        <v>0.86111111111111116</v>
      </c>
      <c r="M3349" t="s">
        <v>63</v>
      </c>
      <c r="N3349" s="3">
        <v>232</v>
      </c>
      <c r="O3349" t="s">
        <v>24</v>
      </c>
      <c r="P3349" t="s">
        <v>79</v>
      </c>
      <c r="R3349">
        <f>tblDailySchedule[[#This Row],[Capacity Approx]]*'[1]Load Factor Sheet June Acft  '!$B$5</f>
        <v>187.86727272727273</v>
      </c>
      <c r="S3349">
        <f>tblDailySchedule[[#This Row],[Capacity Approx]]*'[1]Load Factor Sheet June Acft  '!$D$5</f>
        <v>203.4218181818182</v>
      </c>
      <c r="T3349" s="22">
        <f>tblDailySchedule[[#This Row],[STD]]</f>
        <v>0.86111111111111116</v>
      </c>
    </row>
    <row r="3350" spans="1:20" hidden="1" x14ac:dyDescent="0.35">
      <c r="A3350" s="11">
        <v>46230</v>
      </c>
      <c r="B3350" s="3">
        <v>1</v>
      </c>
      <c r="C3350" t="s">
        <v>100</v>
      </c>
      <c r="D3350" t="s">
        <v>18</v>
      </c>
      <c r="E3350" s="3">
        <v>25</v>
      </c>
      <c r="F3350" t="s">
        <v>19</v>
      </c>
      <c r="G3350" t="s">
        <v>91</v>
      </c>
      <c r="H3350" t="s">
        <v>61</v>
      </c>
      <c r="I3350" s="12">
        <v>0.85416666666666663</v>
      </c>
      <c r="J3350" t="s">
        <v>92</v>
      </c>
      <c r="K3350" t="s">
        <v>61</v>
      </c>
      <c r="L3350" s="12">
        <v>0.88194444444444442</v>
      </c>
      <c r="M3350" t="s">
        <v>63</v>
      </c>
      <c r="N3350" s="3">
        <v>232</v>
      </c>
      <c r="O3350" t="s">
        <v>24</v>
      </c>
      <c r="P3350" t="s">
        <v>79</v>
      </c>
      <c r="R3350">
        <f>tblDailySchedule[[#This Row],[Capacity Approx]]*'[1]Load Factor Sheet June Acft  '!$B$5</f>
        <v>187.86727272727273</v>
      </c>
      <c r="S3350">
        <f>tblDailySchedule[[#This Row],[Capacity Approx]]*'[1]Load Factor Sheet June Acft  '!$D$5</f>
        <v>203.4218181818182</v>
      </c>
      <c r="T3350" s="22">
        <f>tblDailySchedule[[#This Row],[STD]]</f>
        <v>0.88194444444444442</v>
      </c>
    </row>
    <row r="3351" spans="1:20" hidden="1" x14ac:dyDescent="0.35">
      <c r="A3351" s="11">
        <v>46230</v>
      </c>
      <c r="B3351" s="3">
        <v>1</v>
      </c>
      <c r="C3351" t="s">
        <v>100</v>
      </c>
      <c r="D3351" t="s">
        <v>18</v>
      </c>
      <c r="E3351" s="3">
        <v>26</v>
      </c>
      <c r="F3351" t="s">
        <v>19</v>
      </c>
      <c r="G3351" t="s">
        <v>93</v>
      </c>
      <c r="H3351" t="s">
        <v>31</v>
      </c>
      <c r="I3351" s="12">
        <v>0.86111111111111116</v>
      </c>
      <c r="J3351" t="s">
        <v>94</v>
      </c>
      <c r="K3351" t="s">
        <v>31</v>
      </c>
      <c r="L3351" s="12">
        <v>0.88888888888888884</v>
      </c>
      <c r="M3351" t="s">
        <v>23</v>
      </c>
      <c r="N3351" s="3">
        <v>186</v>
      </c>
      <c r="O3351" t="s">
        <v>24</v>
      </c>
      <c r="P3351" t="s">
        <v>79</v>
      </c>
      <c r="R3351">
        <f>tblDailySchedule[[#This Row],[Capacity Approx]]*'[1]Load Factor Sheet June Acft  '!$B$5</f>
        <v>150.61772727272728</v>
      </c>
      <c r="S3351">
        <f>tblDailySchedule[[#This Row],[Capacity Approx]]*'[1]Load Factor Sheet June Acft  '!$D$5</f>
        <v>163.08818181818182</v>
      </c>
      <c r="T3351" s="22">
        <f>tblDailySchedule[[#This Row],[STD]]</f>
        <v>0.88888888888888884</v>
      </c>
    </row>
    <row r="3352" spans="1:20" hidden="1" x14ac:dyDescent="0.35">
      <c r="A3352" s="11">
        <v>46230</v>
      </c>
      <c r="B3352" s="3">
        <v>1</v>
      </c>
      <c r="C3352" t="s">
        <v>100</v>
      </c>
      <c r="D3352" t="s">
        <v>18</v>
      </c>
      <c r="E3352" s="3">
        <v>27</v>
      </c>
      <c r="F3352" t="s">
        <v>19</v>
      </c>
      <c r="G3352" t="s">
        <v>95</v>
      </c>
      <c r="H3352" t="s">
        <v>21</v>
      </c>
      <c r="I3352" s="12">
        <v>0.86805555555555558</v>
      </c>
      <c r="J3352" t="s">
        <v>96</v>
      </c>
      <c r="K3352" t="s">
        <v>21</v>
      </c>
      <c r="L3352" s="12">
        <v>0.89583333333333337</v>
      </c>
      <c r="M3352" t="s">
        <v>29</v>
      </c>
      <c r="N3352" s="3">
        <v>186</v>
      </c>
      <c r="O3352" t="s">
        <v>24</v>
      </c>
      <c r="P3352" t="s">
        <v>79</v>
      </c>
      <c r="R3352">
        <f>tblDailySchedule[[#This Row],[Capacity Approx]]*'[1]Load Factor Sheet June Acft  '!$B$5</f>
        <v>150.61772727272728</v>
      </c>
      <c r="S3352">
        <f>tblDailySchedule[[#This Row],[Capacity Approx]]*'[1]Load Factor Sheet June Acft  '!$D$5</f>
        <v>163.08818181818182</v>
      </c>
      <c r="T3352" s="22">
        <f>tblDailySchedule[[#This Row],[STD]]</f>
        <v>0.89583333333333337</v>
      </c>
    </row>
    <row r="3353" spans="1:20" hidden="1" x14ac:dyDescent="0.35">
      <c r="A3353" s="11">
        <v>46230</v>
      </c>
      <c r="B3353" s="3">
        <v>1</v>
      </c>
      <c r="C3353" t="s">
        <v>100</v>
      </c>
      <c r="D3353" t="s">
        <v>18</v>
      </c>
      <c r="E3353" s="3">
        <v>28</v>
      </c>
      <c r="F3353" t="s">
        <v>19</v>
      </c>
      <c r="G3353" t="s">
        <v>97</v>
      </c>
      <c r="H3353" t="s">
        <v>49</v>
      </c>
      <c r="I3353" s="12">
        <v>0.90277777777777779</v>
      </c>
      <c r="J3353" t="s">
        <v>97</v>
      </c>
      <c r="K3353" t="s">
        <v>61</v>
      </c>
      <c r="L3353" s="12">
        <v>0.92361111111111116</v>
      </c>
      <c r="M3353" t="s">
        <v>33</v>
      </c>
      <c r="N3353" s="3">
        <v>189</v>
      </c>
      <c r="O3353" t="s">
        <v>24</v>
      </c>
      <c r="P3353" t="s">
        <v>79</v>
      </c>
      <c r="R3353">
        <f>tblDailySchedule[[#This Row],[Capacity Approx]]*'[1]Load Factor Sheet June Acft  '!$B$5</f>
        <v>153.04704545454547</v>
      </c>
      <c r="S3353">
        <f>tblDailySchedule[[#This Row],[Capacity Approx]]*'[1]Load Factor Sheet June Acft  '!$D$5</f>
        <v>165.71863636363636</v>
      </c>
      <c r="T3353" s="22">
        <f>tblDailySchedule[[#This Row],[STD]]</f>
        <v>0.92361111111111116</v>
      </c>
    </row>
    <row r="3354" spans="1:20" hidden="1" x14ac:dyDescent="0.35">
      <c r="A3354" s="11">
        <v>46230</v>
      </c>
      <c r="B3354" s="3">
        <v>1</v>
      </c>
      <c r="C3354" t="s">
        <v>100</v>
      </c>
      <c r="D3354" t="s">
        <v>18</v>
      </c>
      <c r="E3354" s="3">
        <v>29</v>
      </c>
      <c r="F3354" t="s">
        <v>19</v>
      </c>
      <c r="G3354" t="s">
        <v>98</v>
      </c>
      <c r="H3354" t="s">
        <v>21</v>
      </c>
      <c r="I3354" s="12">
        <v>0.92013888888888884</v>
      </c>
      <c r="J3354" t="s">
        <v>99</v>
      </c>
      <c r="K3354" t="s">
        <v>21</v>
      </c>
      <c r="L3354" s="12">
        <v>0.94791666666666663</v>
      </c>
      <c r="M3354" t="s">
        <v>63</v>
      </c>
      <c r="N3354" s="3">
        <v>232</v>
      </c>
      <c r="O3354" t="s">
        <v>24</v>
      </c>
      <c r="P3354" t="s">
        <v>79</v>
      </c>
      <c r="R3354">
        <f>tblDailySchedule[[#This Row],[Capacity Approx]]*'[1]Load Factor Sheet June Acft  '!$B$5</f>
        <v>187.86727272727273</v>
      </c>
      <c r="S3354">
        <f>tblDailySchedule[[#This Row],[Capacity Approx]]*'[1]Load Factor Sheet June Acft  '!$D$5</f>
        <v>203.4218181818182</v>
      </c>
      <c r="T3354" s="22">
        <f>tblDailySchedule[[#This Row],[STD]]</f>
        <v>0.94791666666666663</v>
      </c>
    </row>
    <row r="3355" spans="1:20" hidden="1" x14ac:dyDescent="0.35">
      <c r="A3355" s="13">
        <v>46230</v>
      </c>
      <c r="B3355" s="7">
        <v>1</v>
      </c>
      <c r="C3355" s="14" t="s">
        <v>100</v>
      </c>
      <c r="D3355" s="14" t="s">
        <v>18</v>
      </c>
      <c r="E3355" s="7">
        <v>30</v>
      </c>
      <c r="F3355" s="14" t="s">
        <v>104</v>
      </c>
      <c r="G3355" s="14" t="s">
        <v>105</v>
      </c>
      <c r="H3355" s="14" t="s">
        <v>106</v>
      </c>
      <c r="I3355" s="15">
        <v>0.92708333333333337</v>
      </c>
      <c r="J3355" s="14" t="s">
        <v>107</v>
      </c>
      <c r="K3355" s="14" t="s">
        <v>106</v>
      </c>
      <c r="L3355" s="15">
        <v>0.95833333333333337</v>
      </c>
      <c r="M3355" s="14" t="s">
        <v>38</v>
      </c>
      <c r="N3355" s="7">
        <v>186</v>
      </c>
      <c r="O3355" s="14" t="s">
        <v>39</v>
      </c>
      <c r="P3355" s="14" t="s">
        <v>79</v>
      </c>
      <c r="Q3355" s="14" t="s">
        <v>39</v>
      </c>
      <c r="R3355">
        <f>tblDailySchedule[[#This Row],[Capacity Approx]]*'[1]Load Factor Sheet June Acft  '!$B$5</f>
        <v>150.61772727272728</v>
      </c>
      <c r="S3355">
        <f>tblDailySchedule[[#This Row],[Capacity Approx]]*'[1]Load Factor Sheet June Acft  '!$D$5</f>
        <v>163.08818181818182</v>
      </c>
      <c r="T3355" s="22">
        <f>tblDailySchedule[[#This Row],[STD]]</f>
        <v>0.95833333333333337</v>
      </c>
    </row>
    <row r="3356" spans="1:20" hidden="1" x14ac:dyDescent="0.35">
      <c r="A3356" s="11">
        <v>46231</v>
      </c>
      <c r="B3356" s="3">
        <v>2</v>
      </c>
      <c r="C3356" t="s">
        <v>108</v>
      </c>
      <c r="D3356" t="s">
        <v>18</v>
      </c>
      <c r="E3356" s="3">
        <v>1</v>
      </c>
      <c r="F3356" t="s">
        <v>101</v>
      </c>
      <c r="G3356" t="s">
        <v>102</v>
      </c>
      <c r="H3356" t="s">
        <v>61</v>
      </c>
      <c r="I3356" s="12">
        <v>0.3125</v>
      </c>
      <c r="J3356" t="s">
        <v>103</v>
      </c>
      <c r="K3356" t="s">
        <v>61</v>
      </c>
      <c r="L3356" s="12">
        <v>0.33333333333333331</v>
      </c>
      <c r="M3356" t="s">
        <v>33</v>
      </c>
      <c r="N3356" s="3">
        <v>189</v>
      </c>
      <c r="O3356" t="s">
        <v>24</v>
      </c>
      <c r="P3356" t="s">
        <v>25</v>
      </c>
      <c r="R3356">
        <f>tblDailySchedule[[#This Row],[Capacity Approx]]*'[1]Load Factor Sheet June Acft  '!$B$5</f>
        <v>153.04704545454547</v>
      </c>
      <c r="S3356">
        <f>tblDailySchedule[[#This Row],[Capacity Approx]]*'[1]Load Factor Sheet June Acft  '!$D$5</f>
        <v>165.71863636363636</v>
      </c>
      <c r="T3356" s="22">
        <f>tblDailySchedule[[#This Row],[STD]]</f>
        <v>0.33333333333333331</v>
      </c>
    </row>
    <row r="3357" spans="1:20" hidden="1" x14ac:dyDescent="0.35">
      <c r="A3357" s="11">
        <v>46231</v>
      </c>
      <c r="B3357" s="3">
        <v>2</v>
      </c>
      <c r="C3357" t="s">
        <v>108</v>
      </c>
      <c r="D3357" t="s">
        <v>18</v>
      </c>
      <c r="E3357" s="3">
        <v>2</v>
      </c>
      <c r="F3357" t="s">
        <v>19</v>
      </c>
      <c r="G3357" t="s">
        <v>20</v>
      </c>
      <c r="H3357" t="s">
        <v>21</v>
      </c>
      <c r="I3357" s="12">
        <v>0.31944444444444442</v>
      </c>
      <c r="J3357" t="s">
        <v>22</v>
      </c>
      <c r="K3357" t="s">
        <v>21</v>
      </c>
      <c r="L3357" s="12">
        <v>0.34722222222222221</v>
      </c>
      <c r="M3357" t="s">
        <v>23</v>
      </c>
      <c r="N3357" s="3">
        <v>186</v>
      </c>
      <c r="O3357" t="s">
        <v>24</v>
      </c>
      <c r="P3357" t="s">
        <v>25</v>
      </c>
      <c r="R3357">
        <f>tblDailySchedule[[#This Row],[Capacity Approx]]*'[1]Load Factor Sheet June Acft  '!$B$5</f>
        <v>150.61772727272728</v>
      </c>
      <c r="S3357">
        <f>tblDailySchedule[[#This Row],[Capacity Approx]]*'[1]Load Factor Sheet June Acft  '!$D$5</f>
        <v>163.08818181818182</v>
      </c>
      <c r="T3357" s="22">
        <f>tblDailySchedule[[#This Row],[STD]]</f>
        <v>0.34722222222222221</v>
      </c>
    </row>
    <row r="3358" spans="1:20" hidden="1" x14ac:dyDescent="0.35">
      <c r="A3358" s="11">
        <v>46231</v>
      </c>
      <c r="B3358" s="3">
        <v>2</v>
      </c>
      <c r="C3358" t="s">
        <v>108</v>
      </c>
      <c r="D3358" t="s">
        <v>18</v>
      </c>
      <c r="E3358" s="3">
        <v>3</v>
      </c>
      <c r="F3358" t="s">
        <v>19</v>
      </c>
      <c r="G3358" t="s">
        <v>26</v>
      </c>
      <c r="H3358" t="s">
        <v>27</v>
      </c>
      <c r="I3358" s="12">
        <v>0.3263888888888889</v>
      </c>
      <c r="J3358" t="s">
        <v>28</v>
      </c>
      <c r="K3358" t="s">
        <v>27</v>
      </c>
      <c r="L3358" s="12">
        <v>0.35416666666666669</v>
      </c>
      <c r="M3358" t="s">
        <v>29</v>
      </c>
      <c r="N3358" s="3">
        <v>186</v>
      </c>
      <c r="O3358" t="s">
        <v>24</v>
      </c>
      <c r="P3358" t="s">
        <v>25</v>
      </c>
      <c r="R3358">
        <f>tblDailySchedule[[#This Row],[Capacity Approx]]*'[1]Load Factor Sheet June Acft  '!$B$5</f>
        <v>150.61772727272728</v>
      </c>
      <c r="S3358">
        <f>tblDailySchedule[[#This Row],[Capacity Approx]]*'[1]Load Factor Sheet June Acft  '!$D$5</f>
        <v>163.08818181818182</v>
      </c>
      <c r="T3358" s="22">
        <f>tblDailySchedule[[#This Row],[STD]]</f>
        <v>0.35416666666666669</v>
      </c>
    </row>
    <row r="3359" spans="1:20" hidden="1" x14ac:dyDescent="0.35">
      <c r="A3359" s="11">
        <v>46231</v>
      </c>
      <c r="B3359" s="3">
        <v>2</v>
      </c>
      <c r="C3359" t="s">
        <v>108</v>
      </c>
      <c r="D3359" t="s">
        <v>18</v>
      </c>
      <c r="E3359" s="3">
        <v>4</v>
      </c>
      <c r="F3359" t="s">
        <v>19</v>
      </c>
      <c r="G3359" t="s">
        <v>30</v>
      </c>
      <c r="H3359" t="s">
        <v>31</v>
      </c>
      <c r="I3359" s="12">
        <v>0.34722222222222221</v>
      </c>
      <c r="J3359" t="s">
        <v>32</v>
      </c>
      <c r="K3359" t="s">
        <v>31</v>
      </c>
      <c r="L3359" s="12">
        <v>0.36805555555555558</v>
      </c>
      <c r="M3359" t="s">
        <v>33</v>
      </c>
      <c r="N3359" s="3">
        <v>189</v>
      </c>
      <c r="O3359" t="s">
        <v>24</v>
      </c>
      <c r="P3359" t="s">
        <v>25</v>
      </c>
      <c r="R3359">
        <f>tblDailySchedule[[#This Row],[Capacity Approx]]*'[1]Load Factor Sheet June Acft  '!$B$5</f>
        <v>153.04704545454547</v>
      </c>
      <c r="S3359">
        <f>tblDailySchedule[[#This Row],[Capacity Approx]]*'[1]Load Factor Sheet June Acft  '!$D$5</f>
        <v>165.71863636363636</v>
      </c>
      <c r="T3359" s="22">
        <f>tblDailySchedule[[#This Row],[STD]]</f>
        <v>0.36805555555555558</v>
      </c>
    </row>
    <row r="3360" spans="1:20" hidden="1" x14ac:dyDescent="0.35">
      <c r="A3360" s="11">
        <v>46231</v>
      </c>
      <c r="B3360" s="3">
        <v>2</v>
      </c>
      <c r="C3360" t="s">
        <v>108</v>
      </c>
      <c r="D3360" t="s">
        <v>18</v>
      </c>
      <c r="E3360" s="3">
        <v>5</v>
      </c>
      <c r="F3360" t="s">
        <v>19</v>
      </c>
      <c r="G3360" t="s">
        <v>40</v>
      </c>
      <c r="H3360" t="s">
        <v>31</v>
      </c>
      <c r="I3360" s="12">
        <v>0.35069444444444442</v>
      </c>
      <c r="J3360" t="s">
        <v>41</v>
      </c>
      <c r="K3360" t="s">
        <v>31</v>
      </c>
      <c r="L3360" s="12">
        <v>0.37152777777777779</v>
      </c>
      <c r="M3360" t="s">
        <v>23</v>
      </c>
      <c r="N3360" s="3">
        <v>186</v>
      </c>
      <c r="O3360" t="s">
        <v>24</v>
      </c>
      <c r="P3360" t="s">
        <v>25</v>
      </c>
      <c r="R3360">
        <f>tblDailySchedule[[#This Row],[Capacity Approx]]*'[1]Load Factor Sheet June Acft  '!$B$5</f>
        <v>150.61772727272728</v>
      </c>
      <c r="S3360">
        <f>tblDailySchedule[[#This Row],[Capacity Approx]]*'[1]Load Factor Sheet June Acft  '!$D$5</f>
        <v>163.08818181818182</v>
      </c>
      <c r="T3360" s="22">
        <f>tblDailySchedule[[#This Row],[STD]]</f>
        <v>0.37152777777777779</v>
      </c>
    </row>
    <row r="3361" spans="1:20" hidden="1" x14ac:dyDescent="0.35">
      <c r="A3361" s="11">
        <v>46231</v>
      </c>
      <c r="B3361" s="3">
        <v>2</v>
      </c>
      <c r="C3361" t="s">
        <v>108</v>
      </c>
      <c r="D3361" t="s">
        <v>18</v>
      </c>
      <c r="E3361" s="3">
        <v>7</v>
      </c>
      <c r="F3361" t="s">
        <v>19</v>
      </c>
      <c r="G3361" t="s">
        <v>42</v>
      </c>
      <c r="H3361" t="s">
        <v>43</v>
      </c>
      <c r="I3361" s="12">
        <v>0.3923611111111111</v>
      </c>
      <c r="J3361" t="s">
        <v>44</v>
      </c>
      <c r="K3361" t="s">
        <v>43</v>
      </c>
      <c r="L3361" s="12">
        <v>0.40277777777777779</v>
      </c>
      <c r="M3361" t="s">
        <v>45</v>
      </c>
      <c r="N3361" s="3">
        <v>9</v>
      </c>
      <c r="O3361" t="s">
        <v>24</v>
      </c>
      <c r="P3361" t="s">
        <v>25</v>
      </c>
      <c r="R3361">
        <f>tblDailySchedule[[#This Row],[Capacity Approx]]*'[1]Load Factor Sheet June Acft  '!$B$5</f>
        <v>7.2879545454545456</v>
      </c>
      <c r="S3361">
        <f>tblDailySchedule[[#This Row],[Capacity Approx]]*'[1]Load Factor Sheet June Acft  '!$D$5</f>
        <v>7.8913636363636366</v>
      </c>
      <c r="T3361" s="22">
        <f>tblDailySchedule[[#This Row],[STD]]</f>
        <v>0.40277777777777779</v>
      </c>
    </row>
    <row r="3362" spans="1:20" hidden="1" x14ac:dyDescent="0.35">
      <c r="A3362" s="11">
        <v>46231</v>
      </c>
      <c r="B3362" s="3">
        <v>2</v>
      </c>
      <c r="C3362" t="s">
        <v>108</v>
      </c>
      <c r="D3362" t="s">
        <v>18</v>
      </c>
      <c r="E3362" s="3">
        <v>8</v>
      </c>
      <c r="F3362" t="s">
        <v>19</v>
      </c>
      <c r="G3362" t="s">
        <v>46</v>
      </c>
      <c r="H3362" t="s">
        <v>31</v>
      </c>
      <c r="I3362" s="12">
        <v>0.4201388888888889</v>
      </c>
      <c r="J3362" t="s">
        <v>47</v>
      </c>
      <c r="K3362" t="s">
        <v>31</v>
      </c>
      <c r="L3362" s="12">
        <v>0.44444444444444442</v>
      </c>
      <c r="M3362" t="s">
        <v>29</v>
      </c>
      <c r="N3362" s="3">
        <v>186</v>
      </c>
      <c r="O3362" t="s">
        <v>24</v>
      </c>
      <c r="P3362" t="s">
        <v>25</v>
      </c>
      <c r="R3362">
        <f>tblDailySchedule[[#This Row],[Capacity Approx]]*'[1]Load Factor Sheet June Acft  '!$B$5</f>
        <v>150.61772727272728</v>
      </c>
      <c r="S3362">
        <f>tblDailySchedule[[#This Row],[Capacity Approx]]*'[1]Load Factor Sheet June Acft  '!$D$5</f>
        <v>163.08818181818182</v>
      </c>
      <c r="T3362" s="22">
        <f>tblDailySchedule[[#This Row],[STD]]</f>
        <v>0.44444444444444442</v>
      </c>
    </row>
    <row r="3363" spans="1:20" hidden="1" x14ac:dyDescent="0.35">
      <c r="A3363" s="11">
        <v>46231</v>
      </c>
      <c r="B3363" s="3">
        <v>2</v>
      </c>
      <c r="C3363" t="s">
        <v>108</v>
      </c>
      <c r="D3363" t="s">
        <v>18</v>
      </c>
      <c r="E3363" s="3">
        <v>9</v>
      </c>
      <c r="F3363" t="s">
        <v>19</v>
      </c>
      <c r="G3363" t="s">
        <v>48</v>
      </c>
      <c r="H3363" t="s">
        <v>49</v>
      </c>
      <c r="I3363" s="12">
        <v>0.4375</v>
      </c>
      <c r="J3363" t="s">
        <v>50</v>
      </c>
      <c r="K3363" t="s">
        <v>49</v>
      </c>
      <c r="L3363" s="12">
        <v>0.45833333333333331</v>
      </c>
      <c r="M3363" t="s">
        <v>51</v>
      </c>
      <c r="N3363" s="3">
        <v>78</v>
      </c>
      <c r="O3363" t="s">
        <v>24</v>
      </c>
      <c r="P3363" t="s">
        <v>25</v>
      </c>
      <c r="R3363">
        <f>tblDailySchedule[[#This Row],[Capacity Approx]]*'[1]Load Factor Sheet June Acft  '!$B$5</f>
        <v>63.162272727272729</v>
      </c>
      <c r="S3363">
        <f>tblDailySchedule[[#This Row],[Capacity Approx]]*'[1]Load Factor Sheet June Acft  '!$D$5</f>
        <v>68.391818181818181</v>
      </c>
      <c r="T3363" s="22">
        <f>tblDailySchedule[[#This Row],[STD]]</f>
        <v>0.45833333333333331</v>
      </c>
    </row>
    <row r="3364" spans="1:20" hidden="1" x14ac:dyDescent="0.35">
      <c r="A3364" s="11">
        <v>46231</v>
      </c>
      <c r="B3364" s="3">
        <v>2</v>
      </c>
      <c r="C3364" t="s">
        <v>108</v>
      </c>
      <c r="D3364" t="s">
        <v>18</v>
      </c>
      <c r="E3364" s="3">
        <v>10</v>
      </c>
      <c r="F3364" t="s">
        <v>19</v>
      </c>
      <c r="G3364" t="s">
        <v>52</v>
      </c>
      <c r="H3364" t="s">
        <v>27</v>
      </c>
      <c r="I3364" s="12">
        <v>0.4826388888888889</v>
      </c>
      <c r="J3364" t="s">
        <v>53</v>
      </c>
      <c r="K3364" t="s">
        <v>27</v>
      </c>
      <c r="L3364" s="12">
        <v>0.51041666666666663</v>
      </c>
      <c r="M3364" t="s">
        <v>23</v>
      </c>
      <c r="N3364" s="3">
        <v>186</v>
      </c>
      <c r="O3364" t="s">
        <v>24</v>
      </c>
      <c r="P3364" t="s">
        <v>25</v>
      </c>
      <c r="R3364">
        <f>tblDailySchedule[[#This Row],[Capacity Approx]]*'[1]Load Factor Sheet June Acft  '!$B$5</f>
        <v>150.61772727272728</v>
      </c>
      <c r="S3364">
        <f>tblDailySchedule[[#This Row],[Capacity Approx]]*'[1]Load Factor Sheet June Acft  '!$D$5</f>
        <v>163.08818181818182</v>
      </c>
      <c r="T3364" s="22">
        <f>tblDailySchedule[[#This Row],[STD]]</f>
        <v>0.51041666666666663</v>
      </c>
    </row>
    <row r="3365" spans="1:20" hidden="1" x14ac:dyDescent="0.35">
      <c r="A3365" s="11">
        <v>46231</v>
      </c>
      <c r="B3365" s="3">
        <v>2</v>
      </c>
      <c r="C3365" t="s">
        <v>108</v>
      </c>
      <c r="D3365" t="s">
        <v>18</v>
      </c>
      <c r="E3365" s="3">
        <v>11</v>
      </c>
      <c r="F3365" t="s">
        <v>19</v>
      </c>
      <c r="G3365" t="s">
        <v>54</v>
      </c>
      <c r="H3365" t="s">
        <v>31</v>
      </c>
      <c r="I3365" s="12">
        <v>0.51388888888888884</v>
      </c>
      <c r="J3365" t="s">
        <v>55</v>
      </c>
      <c r="K3365" t="s">
        <v>31</v>
      </c>
      <c r="L3365" s="12">
        <v>0.54166666666666663</v>
      </c>
      <c r="M3365" t="s">
        <v>23</v>
      </c>
      <c r="N3365" s="3">
        <v>186</v>
      </c>
      <c r="O3365" t="s">
        <v>24</v>
      </c>
      <c r="P3365" t="s">
        <v>56</v>
      </c>
      <c r="R3365">
        <f>tblDailySchedule[[#This Row],[Capacity Approx]]*'[1]Load Factor Sheet June Acft  '!$B$5</f>
        <v>150.61772727272728</v>
      </c>
      <c r="S3365">
        <f>tblDailySchedule[[#This Row],[Capacity Approx]]*'[1]Load Factor Sheet June Acft  '!$D$5</f>
        <v>163.08818181818182</v>
      </c>
      <c r="T3365" s="22">
        <f>tblDailySchedule[[#This Row],[STD]]</f>
        <v>0.54166666666666663</v>
      </c>
    </row>
    <row r="3366" spans="1:20" hidden="1" x14ac:dyDescent="0.35">
      <c r="A3366" s="11">
        <v>46231</v>
      </c>
      <c r="B3366" s="3">
        <v>2</v>
      </c>
      <c r="C3366" t="s">
        <v>108</v>
      </c>
      <c r="D3366" t="s">
        <v>18</v>
      </c>
      <c r="E3366" s="3">
        <v>12</v>
      </c>
      <c r="F3366" t="s">
        <v>109</v>
      </c>
      <c r="G3366" t="s">
        <v>110</v>
      </c>
      <c r="H3366" t="s">
        <v>111</v>
      </c>
      <c r="I3366" s="12">
        <v>0.55555555555555558</v>
      </c>
      <c r="J3366" t="s">
        <v>112</v>
      </c>
      <c r="K3366" t="s">
        <v>111</v>
      </c>
      <c r="L3366" s="12">
        <v>0.56944444444444442</v>
      </c>
      <c r="M3366" t="s">
        <v>51</v>
      </c>
      <c r="N3366" s="3">
        <v>78</v>
      </c>
      <c r="O3366" t="s">
        <v>24</v>
      </c>
      <c r="P3366" t="s">
        <v>56</v>
      </c>
      <c r="R3366">
        <f>tblDailySchedule[[#This Row],[Capacity Approx]]*'[1]Load Factor Sheet June Acft  '!$B$5</f>
        <v>63.162272727272729</v>
      </c>
      <c r="S3366">
        <f>tblDailySchedule[[#This Row],[Capacity Approx]]*'[1]Load Factor Sheet June Acft  '!$D$5</f>
        <v>68.391818181818181</v>
      </c>
      <c r="T3366" s="22">
        <f>tblDailySchedule[[#This Row],[STD]]</f>
        <v>0.56944444444444442</v>
      </c>
    </row>
    <row r="3367" spans="1:20" hidden="1" x14ac:dyDescent="0.35">
      <c r="A3367" s="11">
        <v>46231</v>
      </c>
      <c r="B3367" s="3">
        <v>2</v>
      </c>
      <c r="C3367" t="s">
        <v>108</v>
      </c>
      <c r="D3367" t="s">
        <v>18</v>
      </c>
      <c r="E3367" s="3">
        <v>13</v>
      </c>
      <c r="F3367" t="s">
        <v>19</v>
      </c>
      <c r="G3367" t="s">
        <v>57</v>
      </c>
      <c r="H3367" t="s">
        <v>58</v>
      </c>
      <c r="I3367" s="12">
        <v>0.55902777777777779</v>
      </c>
      <c r="J3367" t="s">
        <v>59</v>
      </c>
      <c r="K3367" t="s">
        <v>58</v>
      </c>
      <c r="L3367" s="12">
        <v>0.57638888888888884</v>
      </c>
      <c r="M3367" t="s">
        <v>51</v>
      </c>
      <c r="N3367" s="3">
        <v>78</v>
      </c>
      <c r="O3367" t="s">
        <v>24</v>
      </c>
      <c r="P3367" t="s">
        <v>56</v>
      </c>
      <c r="R3367">
        <f>tblDailySchedule[[#This Row],[Capacity Approx]]*'[1]Load Factor Sheet June Acft  '!$B$5</f>
        <v>63.162272727272729</v>
      </c>
      <c r="S3367">
        <f>tblDailySchedule[[#This Row],[Capacity Approx]]*'[1]Load Factor Sheet June Acft  '!$D$5</f>
        <v>68.391818181818181</v>
      </c>
      <c r="T3367" s="22">
        <f>tblDailySchedule[[#This Row],[STD]]</f>
        <v>0.57638888888888884</v>
      </c>
    </row>
    <row r="3368" spans="1:20" hidden="1" x14ac:dyDescent="0.35">
      <c r="A3368" s="11">
        <v>46231</v>
      </c>
      <c r="B3368" s="3">
        <v>2</v>
      </c>
      <c r="C3368" t="s">
        <v>108</v>
      </c>
      <c r="D3368" t="s">
        <v>18</v>
      </c>
      <c r="E3368" s="3">
        <v>14</v>
      </c>
      <c r="F3368" t="s">
        <v>19</v>
      </c>
      <c r="G3368" t="s">
        <v>60</v>
      </c>
      <c r="H3368" t="s">
        <v>61</v>
      </c>
      <c r="I3368" s="12">
        <v>0.59027777777777779</v>
      </c>
      <c r="J3368" t="s">
        <v>62</v>
      </c>
      <c r="K3368" t="s">
        <v>61</v>
      </c>
      <c r="L3368" s="12">
        <v>0.62152777777777779</v>
      </c>
      <c r="M3368" t="s">
        <v>63</v>
      </c>
      <c r="N3368" s="3">
        <v>232</v>
      </c>
      <c r="O3368" t="s">
        <v>24</v>
      </c>
      <c r="P3368" t="s">
        <v>56</v>
      </c>
      <c r="R3368">
        <f>tblDailySchedule[[#This Row],[Capacity Approx]]*'[1]Load Factor Sheet June Acft  '!$B$5</f>
        <v>187.86727272727273</v>
      </c>
      <c r="S3368">
        <f>tblDailySchedule[[#This Row],[Capacity Approx]]*'[1]Load Factor Sheet June Acft  '!$D$5</f>
        <v>203.4218181818182</v>
      </c>
      <c r="T3368" s="22">
        <f>tblDailySchedule[[#This Row],[STD]]</f>
        <v>0.62152777777777779</v>
      </c>
    </row>
    <row r="3369" spans="1:20" hidden="1" x14ac:dyDescent="0.35">
      <c r="A3369" s="11">
        <v>46231</v>
      </c>
      <c r="B3369" s="3">
        <v>2</v>
      </c>
      <c r="C3369" t="s">
        <v>108</v>
      </c>
      <c r="D3369" t="s">
        <v>18</v>
      </c>
      <c r="E3369" s="3">
        <v>15</v>
      </c>
      <c r="F3369" t="s">
        <v>19</v>
      </c>
      <c r="G3369" t="s">
        <v>64</v>
      </c>
      <c r="H3369" t="s">
        <v>31</v>
      </c>
      <c r="I3369" s="12">
        <v>0.60069444444444442</v>
      </c>
      <c r="J3369" t="s">
        <v>65</v>
      </c>
      <c r="K3369" t="s">
        <v>66</v>
      </c>
      <c r="L3369" s="12">
        <v>0.62847222222222221</v>
      </c>
      <c r="M3369" t="s">
        <v>63</v>
      </c>
      <c r="N3369" s="3">
        <v>232</v>
      </c>
      <c r="O3369" t="s">
        <v>24</v>
      </c>
      <c r="P3369" t="s">
        <v>56</v>
      </c>
      <c r="R3369">
        <f>tblDailySchedule[[#This Row],[Capacity Approx]]*'[1]Load Factor Sheet June Acft  '!$B$5</f>
        <v>187.86727272727273</v>
      </c>
      <c r="S3369">
        <f>tblDailySchedule[[#This Row],[Capacity Approx]]*'[1]Load Factor Sheet June Acft  '!$D$5</f>
        <v>203.4218181818182</v>
      </c>
      <c r="T3369" s="22">
        <f>tblDailySchedule[[#This Row],[STD]]</f>
        <v>0.62847222222222221</v>
      </c>
    </row>
    <row r="3370" spans="1:20" hidden="1" x14ac:dyDescent="0.35">
      <c r="A3370" s="11">
        <v>46231</v>
      </c>
      <c r="B3370" s="3">
        <v>2</v>
      </c>
      <c r="C3370" t="s">
        <v>108</v>
      </c>
      <c r="D3370" t="s">
        <v>18</v>
      </c>
      <c r="E3370" s="3">
        <v>16</v>
      </c>
      <c r="F3370" t="s">
        <v>19</v>
      </c>
      <c r="G3370" t="s">
        <v>67</v>
      </c>
      <c r="H3370" t="s">
        <v>31</v>
      </c>
      <c r="I3370" s="12">
        <v>0.65625</v>
      </c>
      <c r="J3370" t="s">
        <v>68</v>
      </c>
      <c r="K3370" t="s">
        <v>31</v>
      </c>
      <c r="L3370" s="12">
        <v>0.68402777777777779</v>
      </c>
      <c r="M3370" t="s">
        <v>63</v>
      </c>
      <c r="N3370" s="3">
        <v>232</v>
      </c>
      <c r="O3370" t="s">
        <v>24</v>
      </c>
      <c r="P3370" t="s">
        <v>56</v>
      </c>
      <c r="R3370">
        <f>tblDailySchedule[[#This Row],[Capacity Approx]]*'[1]Load Factor Sheet June Acft  '!$B$5</f>
        <v>187.86727272727273</v>
      </c>
      <c r="S3370">
        <f>tblDailySchedule[[#This Row],[Capacity Approx]]*'[1]Load Factor Sheet June Acft  '!$D$5</f>
        <v>203.4218181818182</v>
      </c>
      <c r="T3370" s="22">
        <f>tblDailySchedule[[#This Row],[STD]]</f>
        <v>0.68402777777777779</v>
      </c>
    </row>
    <row r="3371" spans="1:20" hidden="1" x14ac:dyDescent="0.35">
      <c r="A3371" s="11">
        <v>46231</v>
      </c>
      <c r="B3371" s="3">
        <v>2</v>
      </c>
      <c r="C3371" t="s">
        <v>108</v>
      </c>
      <c r="D3371" t="s">
        <v>18</v>
      </c>
      <c r="E3371" s="3">
        <v>17</v>
      </c>
      <c r="F3371" t="s">
        <v>19</v>
      </c>
      <c r="G3371" t="s">
        <v>69</v>
      </c>
      <c r="H3371" t="s">
        <v>31</v>
      </c>
      <c r="I3371" s="12">
        <v>0.66319444444444442</v>
      </c>
      <c r="J3371" t="s">
        <v>70</v>
      </c>
      <c r="K3371" t="s">
        <v>31</v>
      </c>
      <c r="L3371" s="12">
        <v>0.69097222222222221</v>
      </c>
      <c r="M3371" t="s">
        <v>33</v>
      </c>
      <c r="N3371" s="3">
        <v>189</v>
      </c>
      <c r="O3371" t="s">
        <v>24</v>
      </c>
      <c r="P3371" t="s">
        <v>56</v>
      </c>
      <c r="R3371">
        <f>tblDailySchedule[[#This Row],[Capacity Approx]]*'[1]Load Factor Sheet June Acft  '!$B$5</f>
        <v>153.04704545454547</v>
      </c>
      <c r="S3371">
        <f>tblDailySchedule[[#This Row],[Capacity Approx]]*'[1]Load Factor Sheet June Acft  '!$D$5</f>
        <v>165.71863636363636</v>
      </c>
      <c r="T3371" s="22">
        <f>tblDailySchedule[[#This Row],[STD]]</f>
        <v>0.69097222222222221</v>
      </c>
    </row>
    <row r="3372" spans="1:20" hidden="1" x14ac:dyDescent="0.35">
      <c r="A3372" s="11">
        <v>46231</v>
      </c>
      <c r="B3372" s="3">
        <v>2</v>
      </c>
      <c r="C3372" t="s">
        <v>108</v>
      </c>
      <c r="D3372" t="s">
        <v>18</v>
      </c>
      <c r="E3372" s="3">
        <v>18</v>
      </c>
      <c r="F3372" t="s">
        <v>19</v>
      </c>
      <c r="G3372" t="s">
        <v>71</v>
      </c>
      <c r="H3372" t="s">
        <v>21</v>
      </c>
      <c r="I3372" s="12">
        <v>0.67013888888888884</v>
      </c>
      <c r="J3372" t="s">
        <v>72</v>
      </c>
      <c r="K3372" t="s">
        <v>21</v>
      </c>
      <c r="L3372" s="12">
        <v>0.69791666666666663</v>
      </c>
      <c r="M3372" t="s">
        <v>63</v>
      </c>
      <c r="N3372" s="3">
        <v>232</v>
      </c>
      <c r="O3372" t="s">
        <v>24</v>
      </c>
      <c r="P3372" t="s">
        <v>56</v>
      </c>
      <c r="R3372">
        <f>tblDailySchedule[[#This Row],[Capacity Approx]]*'[1]Load Factor Sheet June Acft  '!$B$5</f>
        <v>187.86727272727273</v>
      </c>
      <c r="S3372">
        <f>tblDailySchedule[[#This Row],[Capacity Approx]]*'[1]Load Factor Sheet June Acft  '!$D$5</f>
        <v>203.4218181818182</v>
      </c>
      <c r="T3372" s="22">
        <f>tblDailySchedule[[#This Row],[STD]]</f>
        <v>0.69791666666666663</v>
      </c>
    </row>
    <row r="3373" spans="1:20" hidden="1" x14ac:dyDescent="0.35">
      <c r="A3373" s="11">
        <v>46231</v>
      </c>
      <c r="B3373" s="3">
        <v>2</v>
      </c>
      <c r="C3373" t="s">
        <v>108</v>
      </c>
      <c r="D3373" t="s">
        <v>18</v>
      </c>
      <c r="E3373" s="3">
        <v>19</v>
      </c>
      <c r="F3373" t="s">
        <v>19</v>
      </c>
      <c r="G3373" t="s">
        <v>73</v>
      </c>
      <c r="H3373" t="s">
        <v>27</v>
      </c>
      <c r="I3373" s="12">
        <v>0.74652777777777779</v>
      </c>
      <c r="J3373" t="s">
        <v>74</v>
      </c>
      <c r="K3373" t="s">
        <v>27</v>
      </c>
      <c r="L3373" s="12">
        <v>0.77430555555555558</v>
      </c>
      <c r="M3373" t="s">
        <v>63</v>
      </c>
      <c r="N3373" s="3">
        <v>232</v>
      </c>
      <c r="O3373" t="s">
        <v>24</v>
      </c>
      <c r="P3373" t="s">
        <v>56</v>
      </c>
      <c r="R3373">
        <f>tblDailySchedule[[#This Row],[Capacity Approx]]*'[1]Load Factor Sheet June Acft  '!$B$5</f>
        <v>187.86727272727273</v>
      </c>
      <c r="S3373">
        <f>tblDailySchedule[[#This Row],[Capacity Approx]]*'[1]Load Factor Sheet June Acft  '!$D$5</f>
        <v>203.4218181818182</v>
      </c>
      <c r="T3373" s="22">
        <f>tblDailySchedule[[#This Row],[STD]]</f>
        <v>0.77430555555555558</v>
      </c>
    </row>
    <row r="3374" spans="1:20" hidden="1" x14ac:dyDescent="0.35">
      <c r="A3374" s="11">
        <v>46231</v>
      </c>
      <c r="B3374" s="3">
        <v>2</v>
      </c>
      <c r="C3374" t="s">
        <v>108</v>
      </c>
      <c r="D3374" t="s">
        <v>18</v>
      </c>
      <c r="E3374" s="3">
        <v>21</v>
      </c>
      <c r="F3374" t="s">
        <v>19</v>
      </c>
      <c r="G3374" t="s">
        <v>81</v>
      </c>
      <c r="H3374" t="s">
        <v>61</v>
      </c>
      <c r="I3374" s="12">
        <v>0.77083333333333337</v>
      </c>
      <c r="J3374" t="s">
        <v>82</v>
      </c>
      <c r="K3374" t="s">
        <v>49</v>
      </c>
      <c r="L3374" s="12">
        <v>0.79166666666666663</v>
      </c>
      <c r="M3374" t="s">
        <v>33</v>
      </c>
      <c r="N3374" s="3">
        <v>189</v>
      </c>
      <c r="O3374" t="s">
        <v>24</v>
      </c>
      <c r="P3374" t="s">
        <v>79</v>
      </c>
      <c r="R3374">
        <f>tblDailySchedule[[#This Row],[Capacity Approx]]*'[1]Load Factor Sheet June Acft  '!$B$5</f>
        <v>153.04704545454547</v>
      </c>
      <c r="S3374">
        <f>tblDailySchedule[[#This Row],[Capacity Approx]]*'[1]Load Factor Sheet June Acft  '!$D$5</f>
        <v>165.71863636363636</v>
      </c>
      <c r="T3374" s="22">
        <f>tblDailySchedule[[#This Row],[STD]]</f>
        <v>0.79166666666666663</v>
      </c>
    </row>
    <row r="3375" spans="1:20" hidden="1" x14ac:dyDescent="0.35">
      <c r="A3375" s="11">
        <v>46231</v>
      </c>
      <c r="B3375" s="3">
        <v>2</v>
      </c>
      <c r="C3375" t="s">
        <v>108</v>
      </c>
      <c r="D3375" t="s">
        <v>18</v>
      </c>
      <c r="E3375" s="3">
        <v>22</v>
      </c>
      <c r="F3375" t="s">
        <v>19</v>
      </c>
      <c r="G3375" t="s">
        <v>83</v>
      </c>
      <c r="H3375" t="s">
        <v>31</v>
      </c>
      <c r="I3375" s="12">
        <v>0.77777777777777779</v>
      </c>
      <c r="J3375" t="s">
        <v>84</v>
      </c>
      <c r="K3375" t="s">
        <v>31</v>
      </c>
      <c r="L3375" s="12">
        <v>0.80555555555555558</v>
      </c>
      <c r="M3375" t="s">
        <v>63</v>
      </c>
      <c r="N3375" s="3">
        <v>232</v>
      </c>
      <c r="O3375" t="s">
        <v>24</v>
      </c>
      <c r="P3375" t="s">
        <v>79</v>
      </c>
      <c r="R3375">
        <f>tblDailySchedule[[#This Row],[Capacity Approx]]*'[1]Load Factor Sheet June Acft  '!$B$5</f>
        <v>187.86727272727273</v>
      </c>
      <c r="S3375">
        <f>tblDailySchedule[[#This Row],[Capacity Approx]]*'[1]Load Factor Sheet June Acft  '!$D$5</f>
        <v>203.4218181818182</v>
      </c>
      <c r="T3375" s="22">
        <f>tblDailySchedule[[#This Row],[STD]]</f>
        <v>0.80555555555555558</v>
      </c>
    </row>
    <row r="3376" spans="1:20" hidden="1" x14ac:dyDescent="0.35">
      <c r="A3376" s="11">
        <v>46231</v>
      </c>
      <c r="B3376" s="3">
        <v>2</v>
      </c>
      <c r="C3376" t="s">
        <v>108</v>
      </c>
      <c r="D3376" t="s">
        <v>18</v>
      </c>
      <c r="E3376" s="3">
        <v>23</v>
      </c>
      <c r="F3376" t="s">
        <v>19</v>
      </c>
      <c r="G3376" t="s">
        <v>85</v>
      </c>
      <c r="H3376" t="s">
        <v>86</v>
      </c>
      <c r="I3376" s="12">
        <v>0.79861111111111116</v>
      </c>
      <c r="J3376" t="s">
        <v>87</v>
      </c>
      <c r="K3376" t="s">
        <v>86</v>
      </c>
      <c r="L3376" s="12">
        <v>0.82638888888888884</v>
      </c>
      <c r="M3376" t="s">
        <v>63</v>
      </c>
      <c r="N3376" s="3">
        <v>232</v>
      </c>
      <c r="O3376" t="s">
        <v>24</v>
      </c>
      <c r="P3376" t="s">
        <v>79</v>
      </c>
      <c r="R3376">
        <f>tblDailySchedule[[#This Row],[Capacity Approx]]*'[1]Load Factor Sheet June Acft  '!$B$5</f>
        <v>187.86727272727273</v>
      </c>
      <c r="S3376">
        <f>tblDailySchedule[[#This Row],[Capacity Approx]]*'[1]Load Factor Sheet June Acft  '!$D$5</f>
        <v>203.4218181818182</v>
      </c>
      <c r="T3376" s="22">
        <f>tblDailySchedule[[#This Row],[STD]]</f>
        <v>0.82638888888888884</v>
      </c>
    </row>
    <row r="3377" spans="1:20" hidden="1" x14ac:dyDescent="0.35">
      <c r="A3377" s="11">
        <v>46231</v>
      </c>
      <c r="B3377" s="3">
        <v>2</v>
      </c>
      <c r="C3377" t="s">
        <v>108</v>
      </c>
      <c r="D3377" t="s">
        <v>18</v>
      </c>
      <c r="E3377" s="3">
        <v>24</v>
      </c>
      <c r="F3377" t="s">
        <v>19</v>
      </c>
      <c r="G3377" t="s">
        <v>88</v>
      </c>
      <c r="H3377" t="s">
        <v>89</v>
      </c>
      <c r="I3377" s="12">
        <v>0.83333333333333337</v>
      </c>
      <c r="J3377" t="s">
        <v>90</v>
      </c>
      <c r="K3377" t="s">
        <v>31</v>
      </c>
      <c r="L3377" s="12">
        <v>0.86111111111111116</v>
      </c>
      <c r="M3377" t="s">
        <v>63</v>
      </c>
      <c r="N3377" s="3">
        <v>232</v>
      </c>
      <c r="O3377" t="s">
        <v>24</v>
      </c>
      <c r="P3377" t="s">
        <v>79</v>
      </c>
      <c r="R3377">
        <f>tblDailySchedule[[#This Row],[Capacity Approx]]*'[1]Load Factor Sheet June Acft  '!$B$5</f>
        <v>187.86727272727273</v>
      </c>
      <c r="S3377">
        <f>tblDailySchedule[[#This Row],[Capacity Approx]]*'[1]Load Factor Sheet June Acft  '!$D$5</f>
        <v>203.4218181818182</v>
      </c>
      <c r="T3377" s="22">
        <f>tblDailySchedule[[#This Row],[STD]]</f>
        <v>0.86111111111111116</v>
      </c>
    </row>
    <row r="3378" spans="1:20" hidden="1" x14ac:dyDescent="0.35">
      <c r="A3378" s="11">
        <v>46231</v>
      </c>
      <c r="B3378" s="3">
        <v>2</v>
      </c>
      <c r="C3378" t="s">
        <v>108</v>
      </c>
      <c r="D3378" t="s">
        <v>18</v>
      </c>
      <c r="E3378" s="3">
        <v>25</v>
      </c>
      <c r="F3378" t="s">
        <v>19</v>
      </c>
      <c r="G3378" t="s">
        <v>91</v>
      </c>
      <c r="H3378" t="s">
        <v>61</v>
      </c>
      <c r="I3378" s="12">
        <v>0.85416666666666663</v>
      </c>
      <c r="J3378" t="s">
        <v>92</v>
      </c>
      <c r="K3378" t="s">
        <v>61</v>
      </c>
      <c r="L3378" s="12">
        <v>0.88194444444444442</v>
      </c>
      <c r="M3378" t="s">
        <v>63</v>
      </c>
      <c r="N3378" s="3">
        <v>232</v>
      </c>
      <c r="O3378" t="s">
        <v>24</v>
      </c>
      <c r="P3378" t="s">
        <v>79</v>
      </c>
      <c r="R3378">
        <f>tblDailySchedule[[#This Row],[Capacity Approx]]*'[1]Load Factor Sheet June Acft  '!$B$5</f>
        <v>187.86727272727273</v>
      </c>
      <c r="S3378">
        <f>tblDailySchedule[[#This Row],[Capacity Approx]]*'[1]Load Factor Sheet June Acft  '!$D$5</f>
        <v>203.4218181818182</v>
      </c>
      <c r="T3378" s="22">
        <f>tblDailySchedule[[#This Row],[STD]]</f>
        <v>0.88194444444444442</v>
      </c>
    </row>
    <row r="3379" spans="1:20" hidden="1" x14ac:dyDescent="0.35">
      <c r="A3379" s="11">
        <v>46231</v>
      </c>
      <c r="B3379" s="3">
        <v>2</v>
      </c>
      <c r="C3379" t="s">
        <v>108</v>
      </c>
      <c r="D3379" t="s">
        <v>18</v>
      </c>
      <c r="E3379" s="3">
        <v>26</v>
      </c>
      <c r="F3379" t="s">
        <v>19</v>
      </c>
      <c r="G3379" t="s">
        <v>93</v>
      </c>
      <c r="H3379" t="s">
        <v>31</v>
      </c>
      <c r="I3379" s="12">
        <v>0.86111111111111116</v>
      </c>
      <c r="J3379" t="s">
        <v>94</v>
      </c>
      <c r="K3379" t="s">
        <v>31</v>
      </c>
      <c r="L3379" s="12">
        <v>0.88888888888888884</v>
      </c>
      <c r="M3379" t="s">
        <v>23</v>
      </c>
      <c r="N3379" s="3">
        <v>186</v>
      </c>
      <c r="O3379" t="s">
        <v>24</v>
      </c>
      <c r="P3379" t="s">
        <v>79</v>
      </c>
      <c r="R3379">
        <f>tblDailySchedule[[#This Row],[Capacity Approx]]*'[1]Load Factor Sheet June Acft  '!$B$5</f>
        <v>150.61772727272728</v>
      </c>
      <c r="S3379">
        <f>tblDailySchedule[[#This Row],[Capacity Approx]]*'[1]Load Factor Sheet June Acft  '!$D$5</f>
        <v>163.08818181818182</v>
      </c>
      <c r="T3379" s="22">
        <f>tblDailySchedule[[#This Row],[STD]]</f>
        <v>0.88888888888888884</v>
      </c>
    </row>
    <row r="3380" spans="1:20" hidden="1" x14ac:dyDescent="0.35">
      <c r="A3380" s="11">
        <v>46231</v>
      </c>
      <c r="B3380" s="3">
        <v>2</v>
      </c>
      <c r="C3380" t="s">
        <v>108</v>
      </c>
      <c r="D3380" t="s">
        <v>18</v>
      </c>
      <c r="E3380" s="3">
        <v>27</v>
      </c>
      <c r="F3380" t="s">
        <v>19</v>
      </c>
      <c r="G3380" t="s">
        <v>95</v>
      </c>
      <c r="H3380" t="s">
        <v>21</v>
      </c>
      <c r="I3380" s="12">
        <v>0.86805555555555558</v>
      </c>
      <c r="J3380" t="s">
        <v>96</v>
      </c>
      <c r="K3380" t="s">
        <v>21</v>
      </c>
      <c r="L3380" s="12">
        <v>0.89583333333333337</v>
      </c>
      <c r="M3380" t="s">
        <v>29</v>
      </c>
      <c r="N3380" s="3">
        <v>186</v>
      </c>
      <c r="O3380" t="s">
        <v>24</v>
      </c>
      <c r="P3380" t="s">
        <v>79</v>
      </c>
      <c r="R3380">
        <f>tblDailySchedule[[#This Row],[Capacity Approx]]*'[1]Load Factor Sheet June Acft  '!$B$5</f>
        <v>150.61772727272728</v>
      </c>
      <c r="S3380">
        <f>tblDailySchedule[[#This Row],[Capacity Approx]]*'[1]Load Factor Sheet June Acft  '!$D$5</f>
        <v>163.08818181818182</v>
      </c>
      <c r="T3380" s="22">
        <f>tblDailySchedule[[#This Row],[STD]]</f>
        <v>0.89583333333333337</v>
      </c>
    </row>
    <row r="3381" spans="1:20" hidden="1" x14ac:dyDescent="0.35">
      <c r="A3381" s="11">
        <v>46231</v>
      </c>
      <c r="B3381" s="3">
        <v>2</v>
      </c>
      <c r="C3381" t="s">
        <v>108</v>
      </c>
      <c r="D3381" t="s">
        <v>18</v>
      </c>
      <c r="E3381" s="3">
        <v>28</v>
      </c>
      <c r="F3381" t="s">
        <v>19</v>
      </c>
      <c r="G3381" t="s">
        <v>97</v>
      </c>
      <c r="H3381" t="s">
        <v>49</v>
      </c>
      <c r="I3381" s="12">
        <v>0.90277777777777779</v>
      </c>
      <c r="J3381" t="s">
        <v>97</v>
      </c>
      <c r="K3381" t="s">
        <v>61</v>
      </c>
      <c r="L3381" s="12">
        <v>0.92361111111111116</v>
      </c>
      <c r="M3381" t="s">
        <v>33</v>
      </c>
      <c r="N3381" s="3">
        <v>189</v>
      </c>
      <c r="O3381" t="s">
        <v>24</v>
      </c>
      <c r="P3381" t="s">
        <v>79</v>
      </c>
      <c r="R3381">
        <f>tblDailySchedule[[#This Row],[Capacity Approx]]*'[1]Load Factor Sheet June Acft  '!$B$5</f>
        <v>153.04704545454547</v>
      </c>
      <c r="S3381">
        <f>tblDailySchedule[[#This Row],[Capacity Approx]]*'[1]Load Factor Sheet June Acft  '!$D$5</f>
        <v>165.71863636363636</v>
      </c>
      <c r="T3381" s="22">
        <f>tblDailySchedule[[#This Row],[STD]]</f>
        <v>0.92361111111111116</v>
      </c>
    </row>
    <row r="3382" spans="1:20" hidden="1" x14ac:dyDescent="0.35">
      <c r="A3382" s="11">
        <v>46231</v>
      </c>
      <c r="B3382" s="3">
        <v>2</v>
      </c>
      <c r="C3382" t="s">
        <v>108</v>
      </c>
      <c r="D3382" t="s">
        <v>18</v>
      </c>
      <c r="E3382" s="3">
        <v>29</v>
      </c>
      <c r="F3382" t="s">
        <v>19</v>
      </c>
      <c r="G3382" t="s">
        <v>98</v>
      </c>
      <c r="H3382" t="s">
        <v>21</v>
      </c>
      <c r="I3382" s="12">
        <v>0.92013888888888884</v>
      </c>
      <c r="J3382" t="s">
        <v>99</v>
      </c>
      <c r="K3382" t="s">
        <v>21</v>
      </c>
      <c r="L3382" s="12">
        <v>0.94791666666666663</v>
      </c>
      <c r="M3382" t="s">
        <v>63</v>
      </c>
      <c r="N3382" s="3">
        <v>232</v>
      </c>
      <c r="O3382" t="s">
        <v>24</v>
      </c>
      <c r="P3382" t="s">
        <v>79</v>
      </c>
      <c r="R3382">
        <f>tblDailySchedule[[#This Row],[Capacity Approx]]*'[1]Load Factor Sheet June Acft  '!$B$5</f>
        <v>187.86727272727273</v>
      </c>
      <c r="S3382">
        <f>tblDailySchedule[[#This Row],[Capacity Approx]]*'[1]Load Factor Sheet June Acft  '!$D$5</f>
        <v>203.4218181818182</v>
      </c>
      <c r="T3382" s="22">
        <f>tblDailySchedule[[#This Row],[STD]]</f>
        <v>0.94791666666666663</v>
      </c>
    </row>
    <row r="3383" spans="1:20" hidden="1" x14ac:dyDescent="0.35">
      <c r="A3383" s="11">
        <v>46232</v>
      </c>
      <c r="B3383" s="3">
        <v>3</v>
      </c>
      <c r="C3383" t="s">
        <v>113</v>
      </c>
      <c r="D3383" t="s">
        <v>18</v>
      </c>
      <c r="E3383" s="3">
        <v>2</v>
      </c>
      <c r="F3383" t="s">
        <v>19</v>
      </c>
      <c r="G3383" t="s">
        <v>20</v>
      </c>
      <c r="H3383" t="s">
        <v>21</v>
      </c>
      <c r="I3383" s="12">
        <v>0.31944444444444442</v>
      </c>
      <c r="J3383" t="s">
        <v>22</v>
      </c>
      <c r="K3383" t="s">
        <v>21</v>
      </c>
      <c r="L3383" s="12">
        <v>0.34722222222222221</v>
      </c>
      <c r="M3383" t="s">
        <v>23</v>
      </c>
      <c r="N3383" s="3">
        <v>186</v>
      </c>
      <c r="O3383" t="s">
        <v>24</v>
      </c>
      <c r="P3383" t="s">
        <v>25</v>
      </c>
      <c r="R3383">
        <f>tblDailySchedule[[#This Row],[Capacity Approx]]*'[1]Load Factor Sheet June Acft  '!$B$5</f>
        <v>150.61772727272728</v>
      </c>
      <c r="S3383">
        <f>tblDailySchedule[[#This Row],[Capacity Approx]]*'[1]Load Factor Sheet June Acft  '!$D$5</f>
        <v>163.08818181818182</v>
      </c>
      <c r="T3383" s="22">
        <f>tblDailySchedule[[#This Row],[STD]]</f>
        <v>0.34722222222222221</v>
      </c>
    </row>
    <row r="3384" spans="1:20" hidden="1" x14ac:dyDescent="0.35">
      <c r="A3384" s="11">
        <v>46232</v>
      </c>
      <c r="B3384" s="3">
        <v>3</v>
      </c>
      <c r="C3384" t="s">
        <v>113</v>
      </c>
      <c r="D3384" t="s">
        <v>18</v>
      </c>
      <c r="E3384" s="3">
        <v>3</v>
      </c>
      <c r="F3384" t="s">
        <v>19</v>
      </c>
      <c r="G3384" t="s">
        <v>26</v>
      </c>
      <c r="H3384" t="s">
        <v>27</v>
      </c>
      <c r="I3384" s="12">
        <v>0.3263888888888889</v>
      </c>
      <c r="J3384" t="s">
        <v>28</v>
      </c>
      <c r="K3384" t="s">
        <v>27</v>
      </c>
      <c r="L3384" s="12">
        <v>0.35416666666666669</v>
      </c>
      <c r="M3384" t="s">
        <v>29</v>
      </c>
      <c r="N3384" s="3">
        <v>186</v>
      </c>
      <c r="O3384" t="s">
        <v>24</v>
      </c>
      <c r="P3384" t="s">
        <v>25</v>
      </c>
      <c r="R3384">
        <f>tblDailySchedule[[#This Row],[Capacity Approx]]*'[1]Load Factor Sheet June Acft  '!$B$5</f>
        <v>150.61772727272728</v>
      </c>
      <c r="S3384">
        <f>tblDailySchedule[[#This Row],[Capacity Approx]]*'[1]Load Factor Sheet June Acft  '!$D$5</f>
        <v>163.08818181818182</v>
      </c>
      <c r="T3384" s="22">
        <f>tblDailySchedule[[#This Row],[STD]]</f>
        <v>0.35416666666666669</v>
      </c>
    </row>
    <row r="3385" spans="1:20" hidden="1" x14ac:dyDescent="0.35">
      <c r="A3385" s="11">
        <v>46232</v>
      </c>
      <c r="B3385" s="3">
        <v>3</v>
      </c>
      <c r="C3385" t="s">
        <v>113</v>
      </c>
      <c r="D3385" t="s">
        <v>18</v>
      </c>
      <c r="E3385" s="3">
        <v>4</v>
      </c>
      <c r="F3385" t="s">
        <v>19</v>
      </c>
      <c r="G3385" t="s">
        <v>30</v>
      </c>
      <c r="H3385" t="s">
        <v>31</v>
      </c>
      <c r="I3385" s="12">
        <v>0.34722222222222221</v>
      </c>
      <c r="J3385" t="s">
        <v>32</v>
      </c>
      <c r="K3385" t="s">
        <v>31</v>
      </c>
      <c r="L3385" s="12">
        <v>0.36805555555555558</v>
      </c>
      <c r="M3385" t="s">
        <v>33</v>
      </c>
      <c r="N3385" s="3">
        <v>189</v>
      </c>
      <c r="O3385" t="s">
        <v>24</v>
      </c>
      <c r="P3385" t="s">
        <v>25</v>
      </c>
      <c r="R3385">
        <f>tblDailySchedule[[#This Row],[Capacity Approx]]*'[1]Load Factor Sheet June Acft  '!$B$5</f>
        <v>153.04704545454547</v>
      </c>
      <c r="S3385">
        <f>tblDailySchedule[[#This Row],[Capacity Approx]]*'[1]Load Factor Sheet June Acft  '!$D$5</f>
        <v>165.71863636363636</v>
      </c>
      <c r="T3385" s="22">
        <f>tblDailySchedule[[#This Row],[STD]]</f>
        <v>0.36805555555555558</v>
      </c>
    </row>
    <row r="3386" spans="1:20" hidden="1" x14ac:dyDescent="0.35">
      <c r="A3386" s="13">
        <v>46232</v>
      </c>
      <c r="B3386" s="7">
        <v>3</v>
      </c>
      <c r="C3386" s="14" t="s">
        <v>113</v>
      </c>
      <c r="D3386" s="14" t="s">
        <v>18</v>
      </c>
      <c r="E3386" s="7">
        <v>6</v>
      </c>
      <c r="F3386" s="14" t="s">
        <v>34</v>
      </c>
      <c r="G3386" s="14" t="s">
        <v>35</v>
      </c>
      <c r="H3386" s="14" t="s">
        <v>36</v>
      </c>
      <c r="I3386" s="15">
        <v>0.34722222222222221</v>
      </c>
      <c r="J3386" s="14" t="s">
        <v>37</v>
      </c>
      <c r="K3386" s="14" t="s">
        <v>36</v>
      </c>
      <c r="L3386" s="15">
        <v>0.40972222222222221</v>
      </c>
      <c r="M3386" s="14" t="s">
        <v>38</v>
      </c>
      <c r="N3386" s="7">
        <v>186</v>
      </c>
      <c r="O3386" s="14" t="s">
        <v>39</v>
      </c>
      <c r="P3386" s="14" t="s">
        <v>25</v>
      </c>
      <c r="Q3386" s="14" t="s">
        <v>39</v>
      </c>
      <c r="R3386">
        <f>tblDailySchedule[[#This Row],[Capacity Approx]]*'[1]Load Factor Sheet June Acft  '!$B$5</f>
        <v>150.61772727272728</v>
      </c>
      <c r="S3386">
        <f>tblDailySchedule[[#This Row],[Capacity Approx]]*'[1]Load Factor Sheet June Acft  '!$D$5</f>
        <v>163.08818181818182</v>
      </c>
      <c r="T3386" s="22">
        <f>tblDailySchedule[[#This Row],[STD]]</f>
        <v>0.40972222222222221</v>
      </c>
    </row>
    <row r="3387" spans="1:20" hidden="1" x14ac:dyDescent="0.35">
      <c r="A3387" s="11">
        <v>46232</v>
      </c>
      <c r="B3387" s="3">
        <v>3</v>
      </c>
      <c r="C3387" t="s">
        <v>113</v>
      </c>
      <c r="D3387" t="s">
        <v>18</v>
      </c>
      <c r="E3387" s="3">
        <v>5</v>
      </c>
      <c r="F3387" t="s">
        <v>19</v>
      </c>
      <c r="G3387" t="s">
        <v>40</v>
      </c>
      <c r="H3387" t="s">
        <v>31</v>
      </c>
      <c r="I3387" s="12">
        <v>0.35069444444444442</v>
      </c>
      <c r="J3387" t="s">
        <v>41</v>
      </c>
      <c r="K3387" t="s">
        <v>31</v>
      </c>
      <c r="L3387" s="12">
        <v>0.37152777777777779</v>
      </c>
      <c r="M3387" t="s">
        <v>23</v>
      </c>
      <c r="N3387" s="3">
        <v>186</v>
      </c>
      <c r="O3387" t="s">
        <v>24</v>
      </c>
      <c r="P3387" t="s">
        <v>25</v>
      </c>
      <c r="R3387">
        <f>tblDailySchedule[[#This Row],[Capacity Approx]]*'[1]Load Factor Sheet June Acft  '!$B$5</f>
        <v>150.61772727272728</v>
      </c>
      <c r="S3387">
        <f>tblDailySchedule[[#This Row],[Capacity Approx]]*'[1]Load Factor Sheet June Acft  '!$D$5</f>
        <v>163.08818181818182</v>
      </c>
      <c r="T3387" s="22">
        <f>tblDailySchedule[[#This Row],[STD]]</f>
        <v>0.37152777777777779</v>
      </c>
    </row>
    <row r="3388" spans="1:20" hidden="1" x14ac:dyDescent="0.35">
      <c r="A3388" s="11">
        <v>46232</v>
      </c>
      <c r="B3388" s="3">
        <v>3</v>
      </c>
      <c r="C3388" t="s">
        <v>113</v>
      </c>
      <c r="D3388" t="s">
        <v>18</v>
      </c>
      <c r="E3388" s="3">
        <v>7</v>
      </c>
      <c r="F3388" t="s">
        <v>19</v>
      </c>
      <c r="G3388" t="s">
        <v>42</v>
      </c>
      <c r="H3388" t="s">
        <v>43</v>
      </c>
      <c r="I3388" s="12">
        <v>0.3923611111111111</v>
      </c>
      <c r="J3388" t="s">
        <v>44</v>
      </c>
      <c r="K3388" t="s">
        <v>43</v>
      </c>
      <c r="L3388" s="12">
        <v>0.40277777777777779</v>
      </c>
      <c r="M3388" t="s">
        <v>45</v>
      </c>
      <c r="N3388" s="3">
        <v>9</v>
      </c>
      <c r="O3388" t="s">
        <v>24</v>
      </c>
      <c r="P3388" t="s">
        <v>25</v>
      </c>
      <c r="R3388">
        <f>tblDailySchedule[[#This Row],[Capacity Approx]]*'[1]Load Factor Sheet June Acft  '!$B$5</f>
        <v>7.2879545454545456</v>
      </c>
      <c r="S3388">
        <f>tblDailySchedule[[#This Row],[Capacity Approx]]*'[1]Load Factor Sheet June Acft  '!$D$5</f>
        <v>7.8913636363636366</v>
      </c>
      <c r="T3388" s="22">
        <f>tblDailySchedule[[#This Row],[STD]]</f>
        <v>0.40277777777777779</v>
      </c>
    </row>
    <row r="3389" spans="1:20" hidden="1" x14ac:dyDescent="0.35">
      <c r="A3389" s="11">
        <v>46232</v>
      </c>
      <c r="B3389" s="3">
        <v>3</v>
      </c>
      <c r="C3389" t="s">
        <v>113</v>
      </c>
      <c r="D3389" t="s">
        <v>18</v>
      </c>
      <c r="E3389" s="3">
        <v>8</v>
      </c>
      <c r="F3389" t="s">
        <v>19</v>
      </c>
      <c r="G3389" t="s">
        <v>46</v>
      </c>
      <c r="H3389" t="s">
        <v>31</v>
      </c>
      <c r="I3389" s="12">
        <v>0.4201388888888889</v>
      </c>
      <c r="J3389" t="s">
        <v>47</v>
      </c>
      <c r="K3389" t="s">
        <v>31</v>
      </c>
      <c r="L3389" s="12">
        <v>0.44444444444444442</v>
      </c>
      <c r="M3389" t="s">
        <v>29</v>
      </c>
      <c r="N3389" s="3">
        <v>186</v>
      </c>
      <c r="O3389" t="s">
        <v>24</v>
      </c>
      <c r="P3389" t="s">
        <v>25</v>
      </c>
      <c r="R3389">
        <f>tblDailySchedule[[#This Row],[Capacity Approx]]*'[1]Load Factor Sheet June Acft  '!$B$5</f>
        <v>150.61772727272728</v>
      </c>
      <c r="S3389">
        <f>tblDailySchedule[[#This Row],[Capacity Approx]]*'[1]Load Factor Sheet June Acft  '!$D$5</f>
        <v>163.08818181818182</v>
      </c>
      <c r="T3389" s="22">
        <f>tblDailySchedule[[#This Row],[STD]]</f>
        <v>0.44444444444444442</v>
      </c>
    </row>
    <row r="3390" spans="1:20" hidden="1" x14ac:dyDescent="0.35">
      <c r="A3390" s="11">
        <v>46232</v>
      </c>
      <c r="B3390" s="3">
        <v>3</v>
      </c>
      <c r="C3390" t="s">
        <v>113</v>
      </c>
      <c r="D3390" t="s">
        <v>18</v>
      </c>
      <c r="E3390" s="3">
        <v>9</v>
      </c>
      <c r="F3390" t="s">
        <v>19</v>
      </c>
      <c r="G3390" t="s">
        <v>48</v>
      </c>
      <c r="H3390" t="s">
        <v>49</v>
      </c>
      <c r="I3390" s="12">
        <v>0.4375</v>
      </c>
      <c r="J3390" t="s">
        <v>50</v>
      </c>
      <c r="K3390" t="s">
        <v>49</v>
      </c>
      <c r="L3390" s="12">
        <v>0.45833333333333331</v>
      </c>
      <c r="M3390" t="s">
        <v>51</v>
      </c>
      <c r="N3390" s="3">
        <v>78</v>
      </c>
      <c r="O3390" t="s">
        <v>24</v>
      </c>
      <c r="P3390" t="s">
        <v>25</v>
      </c>
      <c r="R3390">
        <f>tblDailySchedule[[#This Row],[Capacity Approx]]*'[1]Load Factor Sheet June Acft  '!$B$5</f>
        <v>63.162272727272729</v>
      </c>
      <c r="S3390">
        <f>tblDailySchedule[[#This Row],[Capacity Approx]]*'[1]Load Factor Sheet June Acft  '!$D$5</f>
        <v>68.391818181818181</v>
      </c>
      <c r="T3390" s="22">
        <f>tblDailySchedule[[#This Row],[STD]]</f>
        <v>0.45833333333333331</v>
      </c>
    </row>
    <row r="3391" spans="1:20" hidden="1" x14ac:dyDescent="0.35">
      <c r="A3391" s="11">
        <v>46232</v>
      </c>
      <c r="B3391" s="3">
        <v>3</v>
      </c>
      <c r="C3391" t="s">
        <v>113</v>
      </c>
      <c r="D3391" t="s">
        <v>18</v>
      </c>
      <c r="E3391" s="3">
        <v>10</v>
      </c>
      <c r="F3391" t="s">
        <v>19</v>
      </c>
      <c r="G3391" t="s">
        <v>52</v>
      </c>
      <c r="H3391" t="s">
        <v>27</v>
      </c>
      <c r="I3391" s="12">
        <v>0.4826388888888889</v>
      </c>
      <c r="J3391" t="s">
        <v>53</v>
      </c>
      <c r="K3391" t="s">
        <v>27</v>
      </c>
      <c r="L3391" s="12">
        <v>0.51041666666666663</v>
      </c>
      <c r="M3391" t="s">
        <v>23</v>
      </c>
      <c r="N3391" s="3">
        <v>186</v>
      </c>
      <c r="O3391" t="s">
        <v>24</v>
      </c>
      <c r="P3391" t="s">
        <v>25</v>
      </c>
      <c r="R3391">
        <f>tblDailySchedule[[#This Row],[Capacity Approx]]*'[1]Load Factor Sheet June Acft  '!$B$5</f>
        <v>150.61772727272728</v>
      </c>
      <c r="S3391">
        <f>tblDailySchedule[[#This Row],[Capacity Approx]]*'[1]Load Factor Sheet June Acft  '!$D$5</f>
        <v>163.08818181818182</v>
      </c>
      <c r="T3391" s="22">
        <f>tblDailySchedule[[#This Row],[STD]]</f>
        <v>0.51041666666666663</v>
      </c>
    </row>
    <row r="3392" spans="1:20" hidden="1" x14ac:dyDescent="0.35">
      <c r="A3392" s="11">
        <v>46232</v>
      </c>
      <c r="B3392" s="3">
        <v>3</v>
      </c>
      <c r="C3392" t="s">
        <v>113</v>
      </c>
      <c r="D3392" t="s">
        <v>18</v>
      </c>
      <c r="E3392" s="3">
        <v>11</v>
      </c>
      <c r="F3392" t="s">
        <v>19</v>
      </c>
      <c r="G3392" t="s">
        <v>54</v>
      </c>
      <c r="H3392" t="s">
        <v>31</v>
      </c>
      <c r="I3392" s="12">
        <v>0.51388888888888884</v>
      </c>
      <c r="J3392" t="s">
        <v>55</v>
      </c>
      <c r="K3392" t="s">
        <v>31</v>
      </c>
      <c r="L3392" s="12">
        <v>0.54166666666666663</v>
      </c>
      <c r="M3392" t="s">
        <v>23</v>
      </c>
      <c r="N3392" s="3">
        <v>186</v>
      </c>
      <c r="O3392" t="s">
        <v>24</v>
      </c>
      <c r="P3392" t="s">
        <v>56</v>
      </c>
      <c r="R3392">
        <f>tblDailySchedule[[#This Row],[Capacity Approx]]*'[1]Load Factor Sheet June Acft  '!$B$5</f>
        <v>150.61772727272728</v>
      </c>
      <c r="S3392">
        <f>tblDailySchedule[[#This Row],[Capacity Approx]]*'[1]Load Factor Sheet June Acft  '!$D$5</f>
        <v>163.08818181818182</v>
      </c>
      <c r="T3392" s="22">
        <f>tblDailySchedule[[#This Row],[STD]]</f>
        <v>0.54166666666666663</v>
      </c>
    </row>
    <row r="3393" spans="1:20" hidden="1" x14ac:dyDescent="0.35">
      <c r="A3393" s="11">
        <v>46232</v>
      </c>
      <c r="B3393" s="3">
        <v>3</v>
      </c>
      <c r="C3393" t="s">
        <v>113</v>
      </c>
      <c r="D3393" t="s">
        <v>18</v>
      </c>
      <c r="E3393" s="3">
        <v>13</v>
      </c>
      <c r="F3393" t="s">
        <v>19</v>
      </c>
      <c r="G3393" t="s">
        <v>57</v>
      </c>
      <c r="H3393" t="s">
        <v>58</v>
      </c>
      <c r="I3393" s="12">
        <v>0.55902777777777779</v>
      </c>
      <c r="J3393" t="s">
        <v>59</v>
      </c>
      <c r="K3393" t="s">
        <v>58</v>
      </c>
      <c r="L3393" s="12">
        <v>0.57638888888888884</v>
      </c>
      <c r="M3393" t="s">
        <v>51</v>
      </c>
      <c r="N3393" s="3">
        <v>78</v>
      </c>
      <c r="O3393" t="s">
        <v>24</v>
      </c>
      <c r="P3393" t="s">
        <v>56</v>
      </c>
      <c r="R3393">
        <f>tblDailySchedule[[#This Row],[Capacity Approx]]*'[1]Load Factor Sheet June Acft  '!$B$5</f>
        <v>63.162272727272729</v>
      </c>
      <c r="S3393">
        <f>tblDailySchedule[[#This Row],[Capacity Approx]]*'[1]Load Factor Sheet June Acft  '!$D$5</f>
        <v>68.391818181818181</v>
      </c>
      <c r="T3393" s="22">
        <f>tblDailySchedule[[#This Row],[STD]]</f>
        <v>0.57638888888888884</v>
      </c>
    </row>
    <row r="3394" spans="1:20" hidden="1" x14ac:dyDescent="0.35">
      <c r="A3394" s="11">
        <v>46232</v>
      </c>
      <c r="B3394" s="3">
        <v>3</v>
      </c>
      <c r="C3394" t="s">
        <v>113</v>
      </c>
      <c r="D3394" t="s">
        <v>18</v>
      </c>
      <c r="E3394" s="3">
        <v>14</v>
      </c>
      <c r="F3394" t="s">
        <v>19</v>
      </c>
      <c r="G3394" t="s">
        <v>60</v>
      </c>
      <c r="H3394" t="s">
        <v>61</v>
      </c>
      <c r="I3394" s="12">
        <v>0.59027777777777779</v>
      </c>
      <c r="J3394" t="s">
        <v>62</v>
      </c>
      <c r="K3394" t="s">
        <v>61</v>
      </c>
      <c r="L3394" s="12">
        <v>0.62152777777777779</v>
      </c>
      <c r="M3394" t="s">
        <v>63</v>
      </c>
      <c r="N3394" s="3">
        <v>232</v>
      </c>
      <c r="O3394" t="s">
        <v>24</v>
      </c>
      <c r="P3394" t="s">
        <v>56</v>
      </c>
      <c r="R3394">
        <f>tblDailySchedule[[#This Row],[Capacity Approx]]*'[1]Load Factor Sheet June Acft  '!$B$5</f>
        <v>187.86727272727273</v>
      </c>
      <c r="S3394">
        <f>tblDailySchedule[[#This Row],[Capacity Approx]]*'[1]Load Factor Sheet June Acft  '!$D$5</f>
        <v>203.4218181818182</v>
      </c>
      <c r="T3394" s="22">
        <f>tblDailySchedule[[#This Row],[STD]]</f>
        <v>0.62152777777777779</v>
      </c>
    </row>
    <row r="3395" spans="1:20" hidden="1" x14ac:dyDescent="0.35">
      <c r="A3395" s="11">
        <v>46232</v>
      </c>
      <c r="B3395" s="3">
        <v>3</v>
      </c>
      <c r="C3395" t="s">
        <v>113</v>
      </c>
      <c r="D3395" t="s">
        <v>18</v>
      </c>
      <c r="E3395" s="3">
        <v>15</v>
      </c>
      <c r="F3395" t="s">
        <v>19</v>
      </c>
      <c r="G3395" t="s">
        <v>64</v>
      </c>
      <c r="H3395" t="s">
        <v>31</v>
      </c>
      <c r="I3395" s="12">
        <v>0.60069444444444442</v>
      </c>
      <c r="J3395" t="s">
        <v>65</v>
      </c>
      <c r="K3395" t="s">
        <v>66</v>
      </c>
      <c r="L3395" s="12">
        <v>0.62847222222222221</v>
      </c>
      <c r="M3395" t="s">
        <v>63</v>
      </c>
      <c r="N3395" s="3">
        <v>232</v>
      </c>
      <c r="O3395" t="s">
        <v>24</v>
      </c>
      <c r="P3395" t="s">
        <v>56</v>
      </c>
      <c r="R3395">
        <f>tblDailySchedule[[#This Row],[Capacity Approx]]*'[1]Load Factor Sheet June Acft  '!$B$5</f>
        <v>187.86727272727273</v>
      </c>
      <c r="S3395">
        <f>tblDailySchedule[[#This Row],[Capacity Approx]]*'[1]Load Factor Sheet June Acft  '!$D$5</f>
        <v>203.4218181818182</v>
      </c>
      <c r="T3395" s="22">
        <f>tblDailySchedule[[#This Row],[STD]]</f>
        <v>0.62847222222222221</v>
      </c>
    </row>
    <row r="3396" spans="1:20" hidden="1" x14ac:dyDescent="0.35">
      <c r="A3396" s="11">
        <v>46232</v>
      </c>
      <c r="B3396" s="3">
        <v>3</v>
      </c>
      <c r="C3396" t="s">
        <v>113</v>
      </c>
      <c r="D3396" t="s">
        <v>18</v>
      </c>
      <c r="E3396" s="3">
        <v>16</v>
      </c>
      <c r="F3396" t="s">
        <v>19</v>
      </c>
      <c r="G3396" t="s">
        <v>67</v>
      </c>
      <c r="H3396" t="s">
        <v>31</v>
      </c>
      <c r="I3396" s="12">
        <v>0.65625</v>
      </c>
      <c r="J3396" t="s">
        <v>68</v>
      </c>
      <c r="K3396" t="s">
        <v>31</v>
      </c>
      <c r="L3396" s="12">
        <v>0.68402777777777779</v>
      </c>
      <c r="M3396" t="s">
        <v>63</v>
      </c>
      <c r="N3396" s="3">
        <v>232</v>
      </c>
      <c r="O3396" t="s">
        <v>24</v>
      </c>
      <c r="P3396" t="s">
        <v>56</v>
      </c>
      <c r="R3396">
        <f>tblDailySchedule[[#This Row],[Capacity Approx]]*'[1]Load Factor Sheet June Acft  '!$B$5</f>
        <v>187.86727272727273</v>
      </c>
      <c r="S3396">
        <f>tblDailySchedule[[#This Row],[Capacity Approx]]*'[1]Load Factor Sheet June Acft  '!$D$5</f>
        <v>203.4218181818182</v>
      </c>
      <c r="T3396" s="22">
        <f>tblDailySchedule[[#This Row],[STD]]</f>
        <v>0.68402777777777779</v>
      </c>
    </row>
    <row r="3397" spans="1:20" hidden="1" x14ac:dyDescent="0.35">
      <c r="A3397" s="11">
        <v>46232</v>
      </c>
      <c r="B3397" s="3">
        <v>3</v>
      </c>
      <c r="C3397" t="s">
        <v>113</v>
      </c>
      <c r="D3397" t="s">
        <v>18</v>
      </c>
      <c r="E3397" s="3">
        <v>17</v>
      </c>
      <c r="F3397" t="s">
        <v>19</v>
      </c>
      <c r="G3397" t="s">
        <v>69</v>
      </c>
      <c r="H3397" t="s">
        <v>31</v>
      </c>
      <c r="I3397" s="12">
        <v>0.66319444444444442</v>
      </c>
      <c r="J3397" t="s">
        <v>70</v>
      </c>
      <c r="K3397" t="s">
        <v>31</v>
      </c>
      <c r="L3397" s="12">
        <v>0.69097222222222221</v>
      </c>
      <c r="M3397" t="s">
        <v>33</v>
      </c>
      <c r="N3397" s="3">
        <v>189</v>
      </c>
      <c r="O3397" t="s">
        <v>24</v>
      </c>
      <c r="P3397" t="s">
        <v>56</v>
      </c>
      <c r="R3397">
        <f>tblDailySchedule[[#This Row],[Capacity Approx]]*'[1]Load Factor Sheet June Acft  '!$B$5</f>
        <v>153.04704545454547</v>
      </c>
      <c r="S3397">
        <f>tblDailySchedule[[#This Row],[Capacity Approx]]*'[1]Load Factor Sheet June Acft  '!$D$5</f>
        <v>165.71863636363636</v>
      </c>
      <c r="T3397" s="22">
        <f>tblDailySchedule[[#This Row],[STD]]</f>
        <v>0.69097222222222221</v>
      </c>
    </row>
    <row r="3398" spans="1:20" hidden="1" x14ac:dyDescent="0.35">
      <c r="A3398" s="11">
        <v>46232</v>
      </c>
      <c r="B3398" s="3">
        <v>3</v>
      </c>
      <c r="C3398" t="s">
        <v>113</v>
      </c>
      <c r="D3398" t="s">
        <v>18</v>
      </c>
      <c r="E3398" s="3">
        <v>18</v>
      </c>
      <c r="F3398" t="s">
        <v>19</v>
      </c>
      <c r="G3398" t="s">
        <v>71</v>
      </c>
      <c r="H3398" t="s">
        <v>21</v>
      </c>
      <c r="I3398" s="12">
        <v>0.67013888888888884</v>
      </c>
      <c r="J3398" t="s">
        <v>72</v>
      </c>
      <c r="K3398" t="s">
        <v>21</v>
      </c>
      <c r="L3398" s="12">
        <v>0.69791666666666663</v>
      </c>
      <c r="M3398" t="s">
        <v>63</v>
      </c>
      <c r="N3398" s="3">
        <v>232</v>
      </c>
      <c r="O3398" t="s">
        <v>24</v>
      </c>
      <c r="P3398" t="s">
        <v>56</v>
      </c>
      <c r="R3398">
        <f>tblDailySchedule[[#This Row],[Capacity Approx]]*'[1]Load Factor Sheet June Acft  '!$B$5</f>
        <v>187.86727272727273</v>
      </c>
      <c r="S3398">
        <f>tblDailySchedule[[#This Row],[Capacity Approx]]*'[1]Load Factor Sheet June Acft  '!$D$5</f>
        <v>203.4218181818182</v>
      </c>
      <c r="T3398" s="22">
        <f>tblDailySchedule[[#This Row],[STD]]</f>
        <v>0.69791666666666663</v>
      </c>
    </row>
    <row r="3399" spans="1:20" hidden="1" x14ac:dyDescent="0.35">
      <c r="A3399" s="11">
        <v>46232</v>
      </c>
      <c r="B3399" s="3">
        <v>3</v>
      </c>
      <c r="C3399" t="s">
        <v>113</v>
      </c>
      <c r="D3399" t="s">
        <v>18</v>
      </c>
      <c r="E3399" s="3">
        <v>19</v>
      </c>
      <c r="F3399" t="s">
        <v>19</v>
      </c>
      <c r="G3399" t="s">
        <v>73</v>
      </c>
      <c r="H3399" t="s">
        <v>27</v>
      </c>
      <c r="I3399" s="12">
        <v>0.74652777777777779</v>
      </c>
      <c r="J3399" t="s">
        <v>74</v>
      </c>
      <c r="K3399" t="s">
        <v>27</v>
      </c>
      <c r="L3399" s="12">
        <v>0.77430555555555558</v>
      </c>
      <c r="M3399" t="s">
        <v>63</v>
      </c>
      <c r="N3399" s="3">
        <v>232</v>
      </c>
      <c r="O3399" t="s">
        <v>24</v>
      </c>
      <c r="P3399" t="s">
        <v>56</v>
      </c>
      <c r="R3399">
        <f>tblDailySchedule[[#This Row],[Capacity Approx]]*'[1]Load Factor Sheet June Acft  '!$B$5</f>
        <v>187.86727272727273</v>
      </c>
      <c r="S3399">
        <f>tblDailySchedule[[#This Row],[Capacity Approx]]*'[1]Load Factor Sheet June Acft  '!$D$5</f>
        <v>203.4218181818182</v>
      </c>
      <c r="T3399" s="22">
        <f>tblDailySchedule[[#This Row],[STD]]</f>
        <v>0.77430555555555558</v>
      </c>
    </row>
    <row r="3400" spans="1:20" hidden="1" x14ac:dyDescent="0.35">
      <c r="A3400" s="11">
        <v>46232</v>
      </c>
      <c r="B3400" s="3">
        <v>3</v>
      </c>
      <c r="C3400" t="s">
        <v>113</v>
      </c>
      <c r="D3400" t="s">
        <v>18</v>
      </c>
      <c r="E3400" s="3">
        <v>20</v>
      </c>
      <c r="F3400" t="s">
        <v>34</v>
      </c>
      <c r="G3400" t="s">
        <v>75</v>
      </c>
      <c r="H3400" t="s">
        <v>76</v>
      </c>
      <c r="I3400" s="12">
        <v>0.76388888888888884</v>
      </c>
      <c r="J3400" t="s">
        <v>77</v>
      </c>
      <c r="K3400" t="s">
        <v>78</v>
      </c>
      <c r="L3400" s="12">
        <v>0.78472222222222221</v>
      </c>
      <c r="M3400" t="s">
        <v>51</v>
      </c>
      <c r="N3400" s="3">
        <v>78</v>
      </c>
      <c r="O3400" t="s">
        <v>24</v>
      </c>
      <c r="P3400" t="s">
        <v>79</v>
      </c>
      <c r="Q3400" s="16" t="s">
        <v>80</v>
      </c>
      <c r="R3400">
        <f>tblDailySchedule[[#This Row],[Capacity Approx]]*'[1]Load Factor Sheet June Acft  '!$B$5</f>
        <v>63.162272727272729</v>
      </c>
      <c r="S3400">
        <f>tblDailySchedule[[#This Row],[Capacity Approx]]*'[1]Load Factor Sheet June Acft  '!$D$5</f>
        <v>68.391818181818181</v>
      </c>
      <c r="T3400" s="22">
        <f>tblDailySchedule[[#This Row],[STD]]</f>
        <v>0.78472222222222221</v>
      </c>
    </row>
    <row r="3401" spans="1:20" hidden="1" x14ac:dyDescent="0.35">
      <c r="A3401" s="11">
        <v>46232</v>
      </c>
      <c r="B3401" s="3">
        <v>3</v>
      </c>
      <c r="C3401" t="s">
        <v>113</v>
      </c>
      <c r="D3401" t="s">
        <v>18</v>
      </c>
      <c r="E3401" s="3">
        <v>21</v>
      </c>
      <c r="F3401" t="s">
        <v>19</v>
      </c>
      <c r="G3401" t="s">
        <v>81</v>
      </c>
      <c r="H3401" t="s">
        <v>61</v>
      </c>
      <c r="I3401" s="12">
        <v>0.77083333333333337</v>
      </c>
      <c r="J3401" t="s">
        <v>82</v>
      </c>
      <c r="K3401" t="s">
        <v>49</v>
      </c>
      <c r="L3401" s="12">
        <v>0.79166666666666663</v>
      </c>
      <c r="M3401" t="s">
        <v>33</v>
      </c>
      <c r="N3401" s="3">
        <v>189</v>
      </c>
      <c r="O3401" t="s">
        <v>24</v>
      </c>
      <c r="P3401" t="s">
        <v>79</v>
      </c>
      <c r="R3401">
        <f>tblDailySchedule[[#This Row],[Capacity Approx]]*'[1]Load Factor Sheet June Acft  '!$B$5</f>
        <v>153.04704545454547</v>
      </c>
      <c r="S3401">
        <f>tblDailySchedule[[#This Row],[Capacity Approx]]*'[1]Load Factor Sheet June Acft  '!$D$5</f>
        <v>165.71863636363636</v>
      </c>
      <c r="T3401" s="22">
        <f>tblDailySchedule[[#This Row],[STD]]</f>
        <v>0.79166666666666663</v>
      </c>
    </row>
    <row r="3402" spans="1:20" hidden="1" x14ac:dyDescent="0.35">
      <c r="A3402" s="11">
        <v>46232</v>
      </c>
      <c r="B3402" s="3">
        <v>3</v>
      </c>
      <c r="C3402" t="s">
        <v>113</v>
      </c>
      <c r="D3402" t="s">
        <v>18</v>
      </c>
      <c r="E3402" s="3">
        <v>22</v>
      </c>
      <c r="F3402" t="s">
        <v>19</v>
      </c>
      <c r="G3402" t="s">
        <v>83</v>
      </c>
      <c r="H3402" t="s">
        <v>31</v>
      </c>
      <c r="I3402" s="12">
        <v>0.77777777777777779</v>
      </c>
      <c r="J3402" t="s">
        <v>84</v>
      </c>
      <c r="K3402" t="s">
        <v>31</v>
      </c>
      <c r="L3402" s="12">
        <v>0.80555555555555558</v>
      </c>
      <c r="M3402" t="s">
        <v>63</v>
      </c>
      <c r="N3402" s="3">
        <v>232</v>
      </c>
      <c r="O3402" t="s">
        <v>24</v>
      </c>
      <c r="P3402" t="s">
        <v>79</v>
      </c>
      <c r="R3402">
        <f>tblDailySchedule[[#This Row],[Capacity Approx]]*'[1]Load Factor Sheet June Acft  '!$B$5</f>
        <v>187.86727272727273</v>
      </c>
      <c r="S3402">
        <f>tblDailySchedule[[#This Row],[Capacity Approx]]*'[1]Load Factor Sheet June Acft  '!$D$5</f>
        <v>203.4218181818182</v>
      </c>
      <c r="T3402" s="22">
        <f>tblDailySchedule[[#This Row],[STD]]</f>
        <v>0.80555555555555558</v>
      </c>
    </row>
    <row r="3403" spans="1:20" hidden="1" x14ac:dyDescent="0.35">
      <c r="A3403" s="11">
        <v>46232</v>
      </c>
      <c r="B3403" s="3">
        <v>3</v>
      </c>
      <c r="C3403" t="s">
        <v>113</v>
      </c>
      <c r="D3403" t="s">
        <v>18</v>
      </c>
      <c r="E3403" s="3">
        <v>23</v>
      </c>
      <c r="F3403" t="s">
        <v>19</v>
      </c>
      <c r="G3403" t="s">
        <v>85</v>
      </c>
      <c r="H3403" t="s">
        <v>86</v>
      </c>
      <c r="I3403" s="12">
        <v>0.79861111111111116</v>
      </c>
      <c r="J3403" t="s">
        <v>87</v>
      </c>
      <c r="K3403" t="s">
        <v>86</v>
      </c>
      <c r="L3403" s="12">
        <v>0.82638888888888884</v>
      </c>
      <c r="M3403" t="s">
        <v>63</v>
      </c>
      <c r="N3403" s="3">
        <v>232</v>
      </c>
      <c r="O3403" t="s">
        <v>24</v>
      </c>
      <c r="P3403" t="s">
        <v>79</v>
      </c>
      <c r="R3403">
        <f>tblDailySchedule[[#This Row],[Capacity Approx]]*'[1]Load Factor Sheet June Acft  '!$B$5</f>
        <v>187.86727272727273</v>
      </c>
      <c r="S3403">
        <f>tblDailySchedule[[#This Row],[Capacity Approx]]*'[1]Load Factor Sheet June Acft  '!$D$5</f>
        <v>203.4218181818182</v>
      </c>
      <c r="T3403" s="22">
        <f>tblDailySchedule[[#This Row],[STD]]</f>
        <v>0.82638888888888884</v>
      </c>
    </row>
    <row r="3404" spans="1:20" hidden="1" x14ac:dyDescent="0.35">
      <c r="A3404" s="11">
        <v>46232</v>
      </c>
      <c r="B3404" s="3">
        <v>3</v>
      </c>
      <c r="C3404" t="s">
        <v>113</v>
      </c>
      <c r="D3404" t="s">
        <v>18</v>
      </c>
      <c r="E3404" s="3">
        <v>24</v>
      </c>
      <c r="F3404" t="s">
        <v>19</v>
      </c>
      <c r="G3404" t="s">
        <v>88</v>
      </c>
      <c r="H3404" t="s">
        <v>89</v>
      </c>
      <c r="I3404" s="12">
        <v>0.83333333333333337</v>
      </c>
      <c r="J3404" t="s">
        <v>90</v>
      </c>
      <c r="K3404" t="s">
        <v>31</v>
      </c>
      <c r="L3404" s="12">
        <v>0.86111111111111116</v>
      </c>
      <c r="M3404" t="s">
        <v>63</v>
      </c>
      <c r="N3404" s="3">
        <v>232</v>
      </c>
      <c r="O3404" t="s">
        <v>24</v>
      </c>
      <c r="P3404" t="s">
        <v>79</v>
      </c>
      <c r="R3404">
        <f>tblDailySchedule[[#This Row],[Capacity Approx]]*'[1]Load Factor Sheet June Acft  '!$B$5</f>
        <v>187.86727272727273</v>
      </c>
      <c r="S3404">
        <f>tblDailySchedule[[#This Row],[Capacity Approx]]*'[1]Load Factor Sheet June Acft  '!$D$5</f>
        <v>203.4218181818182</v>
      </c>
      <c r="T3404" s="22">
        <f>tblDailySchedule[[#This Row],[STD]]</f>
        <v>0.86111111111111116</v>
      </c>
    </row>
    <row r="3405" spans="1:20" hidden="1" x14ac:dyDescent="0.35">
      <c r="A3405" s="11">
        <v>46232</v>
      </c>
      <c r="B3405" s="3">
        <v>3</v>
      </c>
      <c r="C3405" t="s">
        <v>113</v>
      </c>
      <c r="D3405" t="s">
        <v>18</v>
      </c>
      <c r="E3405" s="3">
        <v>25</v>
      </c>
      <c r="F3405" t="s">
        <v>19</v>
      </c>
      <c r="G3405" t="s">
        <v>91</v>
      </c>
      <c r="H3405" t="s">
        <v>61</v>
      </c>
      <c r="I3405" s="12">
        <v>0.85416666666666663</v>
      </c>
      <c r="J3405" t="s">
        <v>92</v>
      </c>
      <c r="K3405" t="s">
        <v>61</v>
      </c>
      <c r="L3405" s="12">
        <v>0.88194444444444442</v>
      </c>
      <c r="M3405" t="s">
        <v>63</v>
      </c>
      <c r="N3405" s="3">
        <v>232</v>
      </c>
      <c r="O3405" t="s">
        <v>24</v>
      </c>
      <c r="P3405" t="s">
        <v>79</v>
      </c>
      <c r="R3405">
        <f>tblDailySchedule[[#This Row],[Capacity Approx]]*'[1]Load Factor Sheet June Acft  '!$B$5</f>
        <v>187.86727272727273</v>
      </c>
      <c r="S3405">
        <f>tblDailySchedule[[#This Row],[Capacity Approx]]*'[1]Load Factor Sheet June Acft  '!$D$5</f>
        <v>203.4218181818182</v>
      </c>
      <c r="T3405" s="22">
        <f>tblDailySchedule[[#This Row],[STD]]</f>
        <v>0.88194444444444442</v>
      </c>
    </row>
    <row r="3406" spans="1:20" hidden="1" x14ac:dyDescent="0.35">
      <c r="A3406" s="11">
        <v>46232</v>
      </c>
      <c r="B3406" s="3">
        <v>3</v>
      </c>
      <c r="C3406" t="s">
        <v>113</v>
      </c>
      <c r="D3406" t="s">
        <v>18</v>
      </c>
      <c r="E3406" s="3">
        <v>26</v>
      </c>
      <c r="F3406" t="s">
        <v>19</v>
      </c>
      <c r="G3406" t="s">
        <v>93</v>
      </c>
      <c r="H3406" t="s">
        <v>31</v>
      </c>
      <c r="I3406" s="12">
        <v>0.86111111111111116</v>
      </c>
      <c r="J3406" t="s">
        <v>94</v>
      </c>
      <c r="K3406" t="s">
        <v>31</v>
      </c>
      <c r="L3406" s="12">
        <v>0.88888888888888884</v>
      </c>
      <c r="M3406" t="s">
        <v>23</v>
      </c>
      <c r="N3406" s="3">
        <v>186</v>
      </c>
      <c r="O3406" t="s">
        <v>24</v>
      </c>
      <c r="P3406" t="s">
        <v>79</v>
      </c>
      <c r="R3406">
        <f>tblDailySchedule[[#This Row],[Capacity Approx]]*'[1]Load Factor Sheet June Acft  '!$B$5</f>
        <v>150.61772727272728</v>
      </c>
      <c r="S3406">
        <f>tblDailySchedule[[#This Row],[Capacity Approx]]*'[1]Load Factor Sheet June Acft  '!$D$5</f>
        <v>163.08818181818182</v>
      </c>
      <c r="T3406" s="22">
        <f>tblDailySchedule[[#This Row],[STD]]</f>
        <v>0.88888888888888884</v>
      </c>
    </row>
    <row r="3407" spans="1:20" hidden="1" x14ac:dyDescent="0.35">
      <c r="A3407" s="11">
        <v>46232</v>
      </c>
      <c r="B3407" s="3">
        <v>3</v>
      </c>
      <c r="C3407" t="s">
        <v>113</v>
      </c>
      <c r="D3407" t="s">
        <v>18</v>
      </c>
      <c r="E3407" s="3">
        <v>27</v>
      </c>
      <c r="F3407" t="s">
        <v>19</v>
      </c>
      <c r="G3407" t="s">
        <v>95</v>
      </c>
      <c r="H3407" t="s">
        <v>21</v>
      </c>
      <c r="I3407" s="12">
        <v>0.86805555555555558</v>
      </c>
      <c r="J3407" t="s">
        <v>96</v>
      </c>
      <c r="K3407" t="s">
        <v>21</v>
      </c>
      <c r="L3407" s="12">
        <v>0.89583333333333337</v>
      </c>
      <c r="M3407" t="s">
        <v>29</v>
      </c>
      <c r="N3407" s="3">
        <v>186</v>
      </c>
      <c r="O3407" t="s">
        <v>24</v>
      </c>
      <c r="P3407" t="s">
        <v>79</v>
      </c>
      <c r="R3407">
        <f>tblDailySchedule[[#This Row],[Capacity Approx]]*'[1]Load Factor Sheet June Acft  '!$B$5</f>
        <v>150.61772727272728</v>
      </c>
      <c r="S3407">
        <f>tblDailySchedule[[#This Row],[Capacity Approx]]*'[1]Load Factor Sheet June Acft  '!$D$5</f>
        <v>163.08818181818182</v>
      </c>
      <c r="T3407" s="22">
        <f>tblDailySchedule[[#This Row],[STD]]</f>
        <v>0.89583333333333337</v>
      </c>
    </row>
    <row r="3408" spans="1:20" hidden="1" x14ac:dyDescent="0.35">
      <c r="A3408" s="11">
        <v>46232</v>
      </c>
      <c r="B3408" s="3">
        <v>3</v>
      </c>
      <c r="C3408" t="s">
        <v>113</v>
      </c>
      <c r="D3408" t="s">
        <v>18</v>
      </c>
      <c r="E3408" s="3">
        <v>28</v>
      </c>
      <c r="F3408" t="s">
        <v>19</v>
      </c>
      <c r="G3408" t="s">
        <v>97</v>
      </c>
      <c r="H3408" t="s">
        <v>49</v>
      </c>
      <c r="I3408" s="12">
        <v>0.90277777777777779</v>
      </c>
      <c r="J3408" t="s">
        <v>97</v>
      </c>
      <c r="K3408" t="s">
        <v>61</v>
      </c>
      <c r="L3408" s="12">
        <v>0.92361111111111116</v>
      </c>
      <c r="M3408" t="s">
        <v>33</v>
      </c>
      <c r="N3408" s="3">
        <v>189</v>
      </c>
      <c r="O3408" t="s">
        <v>24</v>
      </c>
      <c r="P3408" t="s">
        <v>79</v>
      </c>
      <c r="R3408">
        <f>tblDailySchedule[[#This Row],[Capacity Approx]]*'[1]Load Factor Sheet June Acft  '!$B$5</f>
        <v>153.04704545454547</v>
      </c>
      <c r="S3408">
        <f>tblDailySchedule[[#This Row],[Capacity Approx]]*'[1]Load Factor Sheet June Acft  '!$D$5</f>
        <v>165.71863636363636</v>
      </c>
      <c r="T3408" s="22">
        <f>tblDailySchedule[[#This Row],[STD]]</f>
        <v>0.92361111111111116</v>
      </c>
    </row>
    <row r="3409" spans="1:20" hidden="1" x14ac:dyDescent="0.35">
      <c r="A3409" s="11">
        <v>46232</v>
      </c>
      <c r="B3409" s="3">
        <v>3</v>
      </c>
      <c r="C3409" t="s">
        <v>113</v>
      </c>
      <c r="D3409" t="s">
        <v>18</v>
      </c>
      <c r="E3409" s="3">
        <v>29</v>
      </c>
      <c r="F3409" t="s">
        <v>19</v>
      </c>
      <c r="G3409" t="s">
        <v>98</v>
      </c>
      <c r="H3409" t="s">
        <v>21</v>
      </c>
      <c r="I3409" s="12">
        <v>0.92013888888888884</v>
      </c>
      <c r="J3409" t="s">
        <v>99</v>
      </c>
      <c r="K3409" t="s">
        <v>21</v>
      </c>
      <c r="L3409" s="12">
        <v>0.94791666666666663</v>
      </c>
      <c r="M3409" t="s">
        <v>63</v>
      </c>
      <c r="N3409" s="3">
        <v>232</v>
      </c>
      <c r="O3409" t="s">
        <v>24</v>
      </c>
      <c r="P3409" t="s">
        <v>79</v>
      </c>
      <c r="R3409">
        <f>tblDailySchedule[[#This Row],[Capacity Approx]]*'[1]Load Factor Sheet June Acft  '!$B$5</f>
        <v>187.86727272727273</v>
      </c>
      <c r="S3409">
        <f>tblDailySchedule[[#This Row],[Capacity Approx]]*'[1]Load Factor Sheet June Acft  '!$D$5</f>
        <v>203.4218181818182</v>
      </c>
      <c r="T3409" s="22">
        <f>tblDailySchedule[[#This Row],[STD]]</f>
        <v>0.94791666666666663</v>
      </c>
    </row>
    <row r="3410" spans="1:20" hidden="1" x14ac:dyDescent="0.35">
      <c r="A3410" s="13">
        <v>46232</v>
      </c>
      <c r="B3410" s="7">
        <v>3</v>
      </c>
      <c r="C3410" s="14" t="s">
        <v>113</v>
      </c>
      <c r="D3410" s="14" t="s">
        <v>18</v>
      </c>
      <c r="E3410" s="7">
        <v>30</v>
      </c>
      <c r="F3410" s="14" t="s">
        <v>104</v>
      </c>
      <c r="G3410" s="14" t="s">
        <v>105</v>
      </c>
      <c r="H3410" s="14" t="s">
        <v>106</v>
      </c>
      <c r="I3410" s="15">
        <v>0.92708333333333337</v>
      </c>
      <c r="J3410" s="14" t="s">
        <v>107</v>
      </c>
      <c r="K3410" s="14" t="s">
        <v>106</v>
      </c>
      <c r="L3410" s="15">
        <v>0.95833333333333337</v>
      </c>
      <c r="M3410" s="14" t="s">
        <v>38</v>
      </c>
      <c r="N3410" s="7">
        <v>186</v>
      </c>
      <c r="O3410" s="14" t="s">
        <v>39</v>
      </c>
      <c r="P3410" s="14" t="s">
        <v>79</v>
      </c>
      <c r="Q3410" s="14" t="s">
        <v>39</v>
      </c>
      <c r="R3410">
        <f>tblDailySchedule[[#This Row],[Capacity Approx]]*'[1]Load Factor Sheet June Acft  '!$B$5</f>
        <v>150.61772727272728</v>
      </c>
      <c r="S3410">
        <f>tblDailySchedule[[#This Row],[Capacity Approx]]*'[1]Load Factor Sheet June Acft  '!$D$5</f>
        <v>163.08818181818182</v>
      </c>
      <c r="T3410" s="22">
        <f>tblDailySchedule[[#This Row],[STD]]</f>
        <v>0.95833333333333337</v>
      </c>
    </row>
    <row r="3411" spans="1:20" hidden="1" x14ac:dyDescent="0.35">
      <c r="A3411" s="11">
        <v>46233</v>
      </c>
      <c r="B3411" s="3">
        <v>4</v>
      </c>
      <c r="C3411" t="s">
        <v>114</v>
      </c>
      <c r="D3411" t="s">
        <v>18</v>
      </c>
      <c r="E3411" s="3">
        <v>1</v>
      </c>
      <c r="F3411" t="s">
        <v>101</v>
      </c>
      <c r="G3411" t="s">
        <v>102</v>
      </c>
      <c r="H3411" t="s">
        <v>61</v>
      </c>
      <c r="I3411" s="12">
        <v>0.3125</v>
      </c>
      <c r="J3411" t="s">
        <v>103</v>
      </c>
      <c r="K3411" t="s">
        <v>61</v>
      </c>
      <c r="L3411" s="12">
        <v>0.33333333333333331</v>
      </c>
      <c r="M3411" t="s">
        <v>33</v>
      </c>
      <c r="N3411" s="3">
        <v>189</v>
      </c>
      <c r="O3411" t="s">
        <v>24</v>
      </c>
      <c r="P3411" t="s">
        <v>25</v>
      </c>
      <c r="R3411">
        <f>tblDailySchedule[[#This Row],[Capacity Approx]]*'[1]Load Factor Sheet June Acft  '!$B$5</f>
        <v>153.04704545454547</v>
      </c>
      <c r="S3411">
        <f>tblDailySchedule[[#This Row],[Capacity Approx]]*'[1]Load Factor Sheet June Acft  '!$D$5</f>
        <v>165.71863636363636</v>
      </c>
      <c r="T3411" s="22">
        <f>tblDailySchedule[[#This Row],[STD]]</f>
        <v>0.33333333333333331</v>
      </c>
    </row>
    <row r="3412" spans="1:20" hidden="1" x14ac:dyDescent="0.35">
      <c r="A3412" s="11">
        <v>46233</v>
      </c>
      <c r="B3412" s="3">
        <v>4</v>
      </c>
      <c r="C3412" t="s">
        <v>114</v>
      </c>
      <c r="D3412" t="s">
        <v>18</v>
      </c>
      <c r="E3412" s="3">
        <v>2</v>
      </c>
      <c r="F3412" t="s">
        <v>19</v>
      </c>
      <c r="G3412" t="s">
        <v>20</v>
      </c>
      <c r="H3412" t="s">
        <v>21</v>
      </c>
      <c r="I3412" s="12">
        <v>0.31944444444444442</v>
      </c>
      <c r="J3412" t="s">
        <v>22</v>
      </c>
      <c r="K3412" t="s">
        <v>21</v>
      </c>
      <c r="L3412" s="12">
        <v>0.34722222222222221</v>
      </c>
      <c r="M3412" t="s">
        <v>23</v>
      </c>
      <c r="N3412" s="3">
        <v>186</v>
      </c>
      <c r="O3412" t="s">
        <v>24</v>
      </c>
      <c r="P3412" t="s">
        <v>25</v>
      </c>
      <c r="R3412">
        <f>tblDailySchedule[[#This Row],[Capacity Approx]]*'[1]Load Factor Sheet June Acft  '!$B$5</f>
        <v>150.61772727272728</v>
      </c>
      <c r="S3412">
        <f>tblDailySchedule[[#This Row],[Capacity Approx]]*'[1]Load Factor Sheet June Acft  '!$D$5</f>
        <v>163.08818181818182</v>
      </c>
      <c r="T3412" s="22">
        <f>tblDailySchedule[[#This Row],[STD]]</f>
        <v>0.34722222222222221</v>
      </c>
    </row>
    <row r="3413" spans="1:20" hidden="1" x14ac:dyDescent="0.35">
      <c r="A3413" s="11">
        <v>46233</v>
      </c>
      <c r="B3413" s="3">
        <v>4</v>
      </c>
      <c r="C3413" t="s">
        <v>114</v>
      </c>
      <c r="D3413" t="s">
        <v>18</v>
      </c>
      <c r="E3413" s="3">
        <v>3</v>
      </c>
      <c r="F3413" t="s">
        <v>19</v>
      </c>
      <c r="G3413" t="s">
        <v>26</v>
      </c>
      <c r="H3413" t="s">
        <v>27</v>
      </c>
      <c r="I3413" s="12">
        <v>0.3263888888888889</v>
      </c>
      <c r="J3413" t="s">
        <v>28</v>
      </c>
      <c r="K3413" t="s">
        <v>27</v>
      </c>
      <c r="L3413" s="12">
        <v>0.35416666666666669</v>
      </c>
      <c r="M3413" t="s">
        <v>29</v>
      </c>
      <c r="N3413" s="3">
        <v>186</v>
      </c>
      <c r="O3413" t="s">
        <v>24</v>
      </c>
      <c r="P3413" t="s">
        <v>25</v>
      </c>
      <c r="R3413">
        <f>tblDailySchedule[[#This Row],[Capacity Approx]]*'[1]Load Factor Sheet June Acft  '!$B$5</f>
        <v>150.61772727272728</v>
      </c>
      <c r="S3413">
        <f>tblDailySchedule[[#This Row],[Capacity Approx]]*'[1]Load Factor Sheet June Acft  '!$D$5</f>
        <v>163.08818181818182</v>
      </c>
      <c r="T3413" s="22">
        <f>tblDailySchedule[[#This Row],[STD]]</f>
        <v>0.35416666666666669</v>
      </c>
    </row>
    <row r="3414" spans="1:20" hidden="1" x14ac:dyDescent="0.35">
      <c r="A3414" s="11">
        <v>46233</v>
      </c>
      <c r="B3414" s="3">
        <v>4</v>
      </c>
      <c r="C3414" t="s">
        <v>114</v>
      </c>
      <c r="D3414" t="s">
        <v>18</v>
      </c>
      <c r="E3414" s="3">
        <v>4</v>
      </c>
      <c r="F3414" t="s">
        <v>19</v>
      </c>
      <c r="G3414" t="s">
        <v>30</v>
      </c>
      <c r="H3414" t="s">
        <v>31</v>
      </c>
      <c r="I3414" s="12">
        <v>0.34722222222222221</v>
      </c>
      <c r="J3414" t="s">
        <v>32</v>
      </c>
      <c r="K3414" t="s">
        <v>31</v>
      </c>
      <c r="L3414" s="12">
        <v>0.36805555555555558</v>
      </c>
      <c r="M3414" t="s">
        <v>33</v>
      </c>
      <c r="N3414" s="3">
        <v>189</v>
      </c>
      <c r="O3414" t="s">
        <v>24</v>
      </c>
      <c r="P3414" t="s">
        <v>25</v>
      </c>
      <c r="R3414">
        <f>tblDailySchedule[[#This Row],[Capacity Approx]]*'[1]Load Factor Sheet June Acft  '!$B$5</f>
        <v>153.04704545454547</v>
      </c>
      <c r="S3414">
        <f>tblDailySchedule[[#This Row],[Capacity Approx]]*'[1]Load Factor Sheet June Acft  '!$D$5</f>
        <v>165.71863636363636</v>
      </c>
      <c r="T3414" s="22">
        <f>tblDailySchedule[[#This Row],[STD]]</f>
        <v>0.36805555555555558</v>
      </c>
    </row>
    <row r="3415" spans="1:20" hidden="1" x14ac:dyDescent="0.35">
      <c r="A3415" s="11">
        <v>46233</v>
      </c>
      <c r="B3415" s="3">
        <v>4</v>
      </c>
      <c r="C3415" t="s">
        <v>114</v>
      </c>
      <c r="D3415" t="s">
        <v>18</v>
      </c>
      <c r="E3415" s="3">
        <v>5</v>
      </c>
      <c r="F3415" t="s">
        <v>19</v>
      </c>
      <c r="G3415" t="s">
        <v>40</v>
      </c>
      <c r="H3415" t="s">
        <v>31</v>
      </c>
      <c r="I3415" s="12">
        <v>0.35069444444444442</v>
      </c>
      <c r="J3415" t="s">
        <v>41</v>
      </c>
      <c r="K3415" t="s">
        <v>31</v>
      </c>
      <c r="L3415" s="12">
        <v>0.37152777777777779</v>
      </c>
      <c r="M3415" t="s">
        <v>23</v>
      </c>
      <c r="N3415" s="3">
        <v>186</v>
      </c>
      <c r="O3415" t="s">
        <v>24</v>
      </c>
      <c r="P3415" t="s">
        <v>25</v>
      </c>
      <c r="R3415">
        <f>tblDailySchedule[[#This Row],[Capacity Approx]]*'[1]Load Factor Sheet June Acft  '!$B$5</f>
        <v>150.61772727272728</v>
      </c>
      <c r="S3415">
        <f>tblDailySchedule[[#This Row],[Capacity Approx]]*'[1]Load Factor Sheet June Acft  '!$D$5</f>
        <v>163.08818181818182</v>
      </c>
      <c r="T3415" s="22">
        <f>tblDailySchedule[[#This Row],[STD]]</f>
        <v>0.37152777777777779</v>
      </c>
    </row>
    <row r="3416" spans="1:20" hidden="1" x14ac:dyDescent="0.35">
      <c r="A3416" s="11">
        <v>46233</v>
      </c>
      <c r="B3416" s="3">
        <v>4</v>
      </c>
      <c r="C3416" t="s">
        <v>114</v>
      </c>
      <c r="D3416" t="s">
        <v>18</v>
      </c>
      <c r="E3416" s="3">
        <v>7</v>
      </c>
      <c r="F3416" t="s">
        <v>19</v>
      </c>
      <c r="G3416" t="s">
        <v>42</v>
      </c>
      <c r="H3416" t="s">
        <v>43</v>
      </c>
      <c r="I3416" s="12">
        <v>0.3923611111111111</v>
      </c>
      <c r="J3416" t="s">
        <v>44</v>
      </c>
      <c r="K3416" t="s">
        <v>43</v>
      </c>
      <c r="L3416" s="12">
        <v>0.40277777777777779</v>
      </c>
      <c r="M3416" t="s">
        <v>45</v>
      </c>
      <c r="N3416" s="3">
        <v>9</v>
      </c>
      <c r="O3416" t="s">
        <v>24</v>
      </c>
      <c r="P3416" t="s">
        <v>25</v>
      </c>
      <c r="R3416">
        <f>tblDailySchedule[[#This Row],[Capacity Approx]]*'[1]Load Factor Sheet June Acft  '!$B$5</f>
        <v>7.2879545454545456</v>
      </c>
      <c r="S3416">
        <f>tblDailySchedule[[#This Row],[Capacity Approx]]*'[1]Load Factor Sheet June Acft  '!$D$5</f>
        <v>7.8913636363636366</v>
      </c>
      <c r="T3416" s="22">
        <f>tblDailySchedule[[#This Row],[STD]]</f>
        <v>0.40277777777777779</v>
      </c>
    </row>
    <row r="3417" spans="1:20" hidden="1" x14ac:dyDescent="0.35">
      <c r="A3417" s="11">
        <v>46233</v>
      </c>
      <c r="B3417" s="3">
        <v>4</v>
      </c>
      <c r="C3417" t="s">
        <v>114</v>
      </c>
      <c r="D3417" t="s">
        <v>18</v>
      </c>
      <c r="E3417" s="3">
        <v>8</v>
      </c>
      <c r="F3417" t="s">
        <v>19</v>
      </c>
      <c r="G3417" t="s">
        <v>46</v>
      </c>
      <c r="H3417" t="s">
        <v>31</v>
      </c>
      <c r="I3417" s="12">
        <v>0.4201388888888889</v>
      </c>
      <c r="J3417" t="s">
        <v>47</v>
      </c>
      <c r="K3417" t="s">
        <v>31</v>
      </c>
      <c r="L3417" s="12">
        <v>0.44444444444444442</v>
      </c>
      <c r="M3417" t="s">
        <v>29</v>
      </c>
      <c r="N3417" s="3">
        <v>186</v>
      </c>
      <c r="O3417" t="s">
        <v>24</v>
      </c>
      <c r="P3417" t="s">
        <v>25</v>
      </c>
      <c r="R3417">
        <f>tblDailySchedule[[#This Row],[Capacity Approx]]*'[1]Load Factor Sheet June Acft  '!$B$5</f>
        <v>150.61772727272728</v>
      </c>
      <c r="S3417">
        <f>tblDailySchedule[[#This Row],[Capacity Approx]]*'[1]Load Factor Sheet June Acft  '!$D$5</f>
        <v>163.08818181818182</v>
      </c>
      <c r="T3417" s="22">
        <f>tblDailySchedule[[#This Row],[STD]]</f>
        <v>0.44444444444444442</v>
      </c>
    </row>
    <row r="3418" spans="1:20" hidden="1" x14ac:dyDescent="0.35">
      <c r="A3418" s="11">
        <v>46233</v>
      </c>
      <c r="B3418" s="3">
        <v>4</v>
      </c>
      <c r="C3418" t="s">
        <v>114</v>
      </c>
      <c r="D3418" t="s">
        <v>18</v>
      </c>
      <c r="E3418" s="3">
        <v>9</v>
      </c>
      <c r="F3418" t="s">
        <v>19</v>
      </c>
      <c r="G3418" t="s">
        <v>48</v>
      </c>
      <c r="H3418" t="s">
        <v>49</v>
      </c>
      <c r="I3418" s="12">
        <v>0.4375</v>
      </c>
      <c r="J3418" t="s">
        <v>50</v>
      </c>
      <c r="K3418" t="s">
        <v>49</v>
      </c>
      <c r="L3418" s="12">
        <v>0.45833333333333331</v>
      </c>
      <c r="M3418" t="s">
        <v>51</v>
      </c>
      <c r="N3418" s="3">
        <v>78</v>
      </c>
      <c r="O3418" t="s">
        <v>24</v>
      </c>
      <c r="P3418" t="s">
        <v>25</v>
      </c>
      <c r="R3418">
        <f>tblDailySchedule[[#This Row],[Capacity Approx]]*'[1]Load Factor Sheet June Acft  '!$B$5</f>
        <v>63.162272727272729</v>
      </c>
      <c r="S3418">
        <f>tblDailySchedule[[#This Row],[Capacity Approx]]*'[1]Load Factor Sheet June Acft  '!$D$5</f>
        <v>68.391818181818181</v>
      </c>
      <c r="T3418" s="22">
        <f>tblDailySchedule[[#This Row],[STD]]</f>
        <v>0.45833333333333331</v>
      </c>
    </row>
    <row r="3419" spans="1:20" hidden="1" x14ac:dyDescent="0.35">
      <c r="A3419" s="11">
        <v>46233</v>
      </c>
      <c r="B3419" s="3">
        <v>4</v>
      </c>
      <c r="C3419" t="s">
        <v>114</v>
      </c>
      <c r="D3419" t="s">
        <v>18</v>
      </c>
      <c r="E3419" s="3">
        <v>10</v>
      </c>
      <c r="F3419" t="s">
        <v>19</v>
      </c>
      <c r="G3419" t="s">
        <v>52</v>
      </c>
      <c r="H3419" t="s">
        <v>27</v>
      </c>
      <c r="I3419" s="12">
        <v>0.4826388888888889</v>
      </c>
      <c r="J3419" t="s">
        <v>53</v>
      </c>
      <c r="K3419" t="s">
        <v>27</v>
      </c>
      <c r="L3419" s="12">
        <v>0.51041666666666663</v>
      </c>
      <c r="M3419" t="s">
        <v>23</v>
      </c>
      <c r="N3419" s="3">
        <v>186</v>
      </c>
      <c r="O3419" t="s">
        <v>24</v>
      </c>
      <c r="P3419" t="s">
        <v>25</v>
      </c>
      <c r="R3419">
        <f>tblDailySchedule[[#This Row],[Capacity Approx]]*'[1]Load Factor Sheet June Acft  '!$B$5</f>
        <v>150.61772727272728</v>
      </c>
      <c r="S3419">
        <f>tblDailySchedule[[#This Row],[Capacity Approx]]*'[1]Load Factor Sheet June Acft  '!$D$5</f>
        <v>163.08818181818182</v>
      </c>
      <c r="T3419" s="22">
        <f>tblDailySchedule[[#This Row],[STD]]</f>
        <v>0.51041666666666663</v>
      </c>
    </row>
    <row r="3420" spans="1:20" hidden="1" x14ac:dyDescent="0.35">
      <c r="A3420" s="11">
        <v>46233</v>
      </c>
      <c r="B3420" s="3">
        <v>4</v>
      </c>
      <c r="C3420" t="s">
        <v>114</v>
      </c>
      <c r="D3420" t="s">
        <v>18</v>
      </c>
      <c r="E3420" s="3">
        <v>11</v>
      </c>
      <c r="F3420" t="s">
        <v>19</v>
      </c>
      <c r="G3420" t="s">
        <v>54</v>
      </c>
      <c r="H3420" t="s">
        <v>31</v>
      </c>
      <c r="I3420" s="12">
        <v>0.51388888888888884</v>
      </c>
      <c r="J3420" t="s">
        <v>55</v>
      </c>
      <c r="K3420" t="s">
        <v>31</v>
      </c>
      <c r="L3420" s="12">
        <v>0.54166666666666663</v>
      </c>
      <c r="M3420" t="s">
        <v>23</v>
      </c>
      <c r="N3420" s="3">
        <v>186</v>
      </c>
      <c r="O3420" t="s">
        <v>24</v>
      </c>
      <c r="P3420" t="s">
        <v>56</v>
      </c>
      <c r="R3420">
        <f>tblDailySchedule[[#This Row],[Capacity Approx]]*'[1]Load Factor Sheet June Acft  '!$B$5</f>
        <v>150.61772727272728</v>
      </c>
      <c r="S3420">
        <f>tblDailySchedule[[#This Row],[Capacity Approx]]*'[1]Load Factor Sheet June Acft  '!$D$5</f>
        <v>163.08818181818182</v>
      </c>
      <c r="T3420" s="22">
        <f>tblDailySchedule[[#This Row],[STD]]</f>
        <v>0.54166666666666663</v>
      </c>
    </row>
    <row r="3421" spans="1:20" hidden="1" x14ac:dyDescent="0.35">
      <c r="A3421" s="11">
        <v>46233</v>
      </c>
      <c r="B3421" s="3">
        <v>4</v>
      </c>
      <c r="C3421" t="s">
        <v>114</v>
      </c>
      <c r="D3421" t="s">
        <v>18</v>
      </c>
      <c r="E3421" s="3">
        <v>12</v>
      </c>
      <c r="F3421" t="s">
        <v>109</v>
      </c>
      <c r="G3421" t="s">
        <v>110</v>
      </c>
      <c r="H3421" t="s">
        <v>111</v>
      </c>
      <c r="I3421" s="12">
        <v>0.55555555555555558</v>
      </c>
      <c r="J3421" t="s">
        <v>112</v>
      </c>
      <c r="K3421" t="s">
        <v>111</v>
      </c>
      <c r="L3421" s="12">
        <v>0.56944444444444442</v>
      </c>
      <c r="M3421" t="s">
        <v>51</v>
      </c>
      <c r="N3421" s="3">
        <v>78</v>
      </c>
      <c r="O3421" t="s">
        <v>24</v>
      </c>
      <c r="P3421" t="s">
        <v>56</v>
      </c>
      <c r="R3421">
        <f>tblDailySchedule[[#This Row],[Capacity Approx]]*'[1]Load Factor Sheet June Acft  '!$B$5</f>
        <v>63.162272727272729</v>
      </c>
      <c r="S3421">
        <f>tblDailySchedule[[#This Row],[Capacity Approx]]*'[1]Load Factor Sheet June Acft  '!$D$5</f>
        <v>68.391818181818181</v>
      </c>
      <c r="T3421" s="22">
        <f>tblDailySchedule[[#This Row],[STD]]</f>
        <v>0.56944444444444442</v>
      </c>
    </row>
    <row r="3422" spans="1:20" hidden="1" x14ac:dyDescent="0.35">
      <c r="A3422" s="11">
        <v>46233</v>
      </c>
      <c r="B3422" s="3">
        <v>4</v>
      </c>
      <c r="C3422" t="s">
        <v>114</v>
      </c>
      <c r="D3422" t="s">
        <v>18</v>
      </c>
      <c r="E3422" s="3">
        <v>13</v>
      </c>
      <c r="F3422" t="s">
        <v>19</v>
      </c>
      <c r="G3422" t="s">
        <v>57</v>
      </c>
      <c r="H3422" t="s">
        <v>58</v>
      </c>
      <c r="I3422" s="12">
        <v>0.55902777777777779</v>
      </c>
      <c r="J3422" t="s">
        <v>59</v>
      </c>
      <c r="K3422" t="s">
        <v>58</v>
      </c>
      <c r="L3422" s="12">
        <v>0.57638888888888884</v>
      </c>
      <c r="M3422" t="s">
        <v>51</v>
      </c>
      <c r="N3422" s="3">
        <v>78</v>
      </c>
      <c r="O3422" t="s">
        <v>24</v>
      </c>
      <c r="P3422" t="s">
        <v>56</v>
      </c>
      <c r="R3422">
        <f>tblDailySchedule[[#This Row],[Capacity Approx]]*'[1]Load Factor Sheet June Acft  '!$B$5</f>
        <v>63.162272727272729</v>
      </c>
      <c r="S3422">
        <f>tblDailySchedule[[#This Row],[Capacity Approx]]*'[1]Load Factor Sheet June Acft  '!$D$5</f>
        <v>68.391818181818181</v>
      </c>
      <c r="T3422" s="22">
        <f>tblDailySchedule[[#This Row],[STD]]</f>
        <v>0.57638888888888884</v>
      </c>
    </row>
    <row r="3423" spans="1:20" hidden="1" x14ac:dyDescent="0.35">
      <c r="A3423" s="11">
        <v>46233</v>
      </c>
      <c r="B3423" s="3">
        <v>4</v>
      </c>
      <c r="C3423" t="s">
        <v>114</v>
      </c>
      <c r="D3423" t="s">
        <v>18</v>
      </c>
      <c r="E3423" s="3">
        <v>14</v>
      </c>
      <c r="F3423" t="s">
        <v>19</v>
      </c>
      <c r="G3423" t="s">
        <v>60</v>
      </c>
      <c r="H3423" t="s">
        <v>61</v>
      </c>
      <c r="I3423" s="12">
        <v>0.59027777777777779</v>
      </c>
      <c r="J3423" t="s">
        <v>62</v>
      </c>
      <c r="K3423" t="s">
        <v>61</v>
      </c>
      <c r="L3423" s="12">
        <v>0.62152777777777779</v>
      </c>
      <c r="M3423" t="s">
        <v>63</v>
      </c>
      <c r="N3423" s="3">
        <v>232</v>
      </c>
      <c r="O3423" t="s">
        <v>24</v>
      </c>
      <c r="P3423" t="s">
        <v>56</v>
      </c>
      <c r="R3423">
        <f>tblDailySchedule[[#This Row],[Capacity Approx]]*'[1]Load Factor Sheet June Acft  '!$B$5</f>
        <v>187.86727272727273</v>
      </c>
      <c r="S3423">
        <f>tblDailySchedule[[#This Row],[Capacity Approx]]*'[1]Load Factor Sheet June Acft  '!$D$5</f>
        <v>203.4218181818182</v>
      </c>
      <c r="T3423" s="22">
        <f>tblDailySchedule[[#This Row],[STD]]</f>
        <v>0.62152777777777779</v>
      </c>
    </row>
    <row r="3424" spans="1:20" hidden="1" x14ac:dyDescent="0.35">
      <c r="A3424" s="11">
        <v>46233</v>
      </c>
      <c r="B3424" s="3">
        <v>4</v>
      </c>
      <c r="C3424" t="s">
        <v>114</v>
      </c>
      <c r="D3424" t="s">
        <v>18</v>
      </c>
      <c r="E3424" s="3">
        <v>15</v>
      </c>
      <c r="F3424" t="s">
        <v>19</v>
      </c>
      <c r="G3424" t="s">
        <v>64</v>
      </c>
      <c r="H3424" t="s">
        <v>31</v>
      </c>
      <c r="I3424" s="12">
        <v>0.60069444444444442</v>
      </c>
      <c r="J3424" t="s">
        <v>65</v>
      </c>
      <c r="K3424" t="s">
        <v>66</v>
      </c>
      <c r="L3424" s="12">
        <v>0.62847222222222221</v>
      </c>
      <c r="M3424" t="s">
        <v>63</v>
      </c>
      <c r="N3424" s="3">
        <v>232</v>
      </c>
      <c r="O3424" t="s">
        <v>24</v>
      </c>
      <c r="P3424" t="s">
        <v>56</v>
      </c>
      <c r="R3424">
        <f>tblDailySchedule[[#This Row],[Capacity Approx]]*'[1]Load Factor Sheet June Acft  '!$B$5</f>
        <v>187.86727272727273</v>
      </c>
      <c r="S3424">
        <f>tblDailySchedule[[#This Row],[Capacity Approx]]*'[1]Load Factor Sheet June Acft  '!$D$5</f>
        <v>203.4218181818182</v>
      </c>
      <c r="T3424" s="22">
        <f>tblDailySchedule[[#This Row],[STD]]</f>
        <v>0.62847222222222221</v>
      </c>
    </row>
    <row r="3425" spans="1:20" hidden="1" x14ac:dyDescent="0.35">
      <c r="A3425" s="11">
        <v>46233</v>
      </c>
      <c r="B3425" s="3">
        <v>4</v>
      </c>
      <c r="C3425" t="s">
        <v>114</v>
      </c>
      <c r="D3425" t="s">
        <v>18</v>
      </c>
      <c r="E3425" s="3">
        <v>16</v>
      </c>
      <c r="F3425" t="s">
        <v>19</v>
      </c>
      <c r="G3425" t="s">
        <v>67</v>
      </c>
      <c r="H3425" t="s">
        <v>31</v>
      </c>
      <c r="I3425" s="12">
        <v>0.65625</v>
      </c>
      <c r="J3425" t="s">
        <v>68</v>
      </c>
      <c r="K3425" t="s">
        <v>31</v>
      </c>
      <c r="L3425" s="12">
        <v>0.68402777777777779</v>
      </c>
      <c r="M3425" t="s">
        <v>63</v>
      </c>
      <c r="N3425" s="3">
        <v>232</v>
      </c>
      <c r="O3425" t="s">
        <v>24</v>
      </c>
      <c r="P3425" t="s">
        <v>56</v>
      </c>
      <c r="R3425">
        <f>tblDailySchedule[[#This Row],[Capacity Approx]]*'[1]Load Factor Sheet June Acft  '!$B$5</f>
        <v>187.86727272727273</v>
      </c>
      <c r="S3425">
        <f>tblDailySchedule[[#This Row],[Capacity Approx]]*'[1]Load Factor Sheet June Acft  '!$D$5</f>
        <v>203.4218181818182</v>
      </c>
      <c r="T3425" s="22">
        <f>tblDailySchedule[[#This Row],[STD]]</f>
        <v>0.68402777777777779</v>
      </c>
    </row>
    <row r="3426" spans="1:20" hidden="1" x14ac:dyDescent="0.35">
      <c r="A3426" s="11">
        <v>46233</v>
      </c>
      <c r="B3426" s="3">
        <v>4</v>
      </c>
      <c r="C3426" t="s">
        <v>114</v>
      </c>
      <c r="D3426" t="s">
        <v>18</v>
      </c>
      <c r="E3426" s="3">
        <v>17</v>
      </c>
      <c r="F3426" t="s">
        <v>19</v>
      </c>
      <c r="G3426" t="s">
        <v>69</v>
      </c>
      <c r="H3426" t="s">
        <v>31</v>
      </c>
      <c r="I3426" s="12">
        <v>0.66319444444444442</v>
      </c>
      <c r="J3426" t="s">
        <v>70</v>
      </c>
      <c r="K3426" t="s">
        <v>31</v>
      </c>
      <c r="L3426" s="12">
        <v>0.69097222222222221</v>
      </c>
      <c r="M3426" t="s">
        <v>33</v>
      </c>
      <c r="N3426" s="3">
        <v>189</v>
      </c>
      <c r="O3426" t="s">
        <v>24</v>
      </c>
      <c r="P3426" t="s">
        <v>56</v>
      </c>
      <c r="R3426">
        <f>tblDailySchedule[[#This Row],[Capacity Approx]]*'[1]Load Factor Sheet June Acft  '!$B$5</f>
        <v>153.04704545454547</v>
      </c>
      <c r="S3426">
        <f>tblDailySchedule[[#This Row],[Capacity Approx]]*'[1]Load Factor Sheet June Acft  '!$D$5</f>
        <v>165.71863636363636</v>
      </c>
      <c r="T3426" s="22">
        <f>tblDailySchedule[[#This Row],[STD]]</f>
        <v>0.69097222222222221</v>
      </c>
    </row>
    <row r="3427" spans="1:20" hidden="1" x14ac:dyDescent="0.35">
      <c r="A3427" s="11">
        <v>46233</v>
      </c>
      <c r="B3427" s="3">
        <v>4</v>
      </c>
      <c r="C3427" t="s">
        <v>114</v>
      </c>
      <c r="D3427" t="s">
        <v>18</v>
      </c>
      <c r="E3427" s="3">
        <v>18</v>
      </c>
      <c r="F3427" t="s">
        <v>19</v>
      </c>
      <c r="G3427" t="s">
        <v>71</v>
      </c>
      <c r="H3427" t="s">
        <v>21</v>
      </c>
      <c r="I3427" s="12">
        <v>0.67013888888888884</v>
      </c>
      <c r="J3427" t="s">
        <v>72</v>
      </c>
      <c r="K3427" t="s">
        <v>21</v>
      </c>
      <c r="L3427" s="12">
        <v>0.69791666666666663</v>
      </c>
      <c r="M3427" t="s">
        <v>63</v>
      </c>
      <c r="N3427" s="3">
        <v>232</v>
      </c>
      <c r="O3427" t="s">
        <v>24</v>
      </c>
      <c r="P3427" t="s">
        <v>56</v>
      </c>
      <c r="R3427">
        <f>tblDailySchedule[[#This Row],[Capacity Approx]]*'[1]Load Factor Sheet June Acft  '!$B$5</f>
        <v>187.86727272727273</v>
      </c>
      <c r="S3427">
        <f>tblDailySchedule[[#This Row],[Capacity Approx]]*'[1]Load Factor Sheet June Acft  '!$D$5</f>
        <v>203.4218181818182</v>
      </c>
      <c r="T3427" s="22">
        <f>tblDailySchedule[[#This Row],[STD]]</f>
        <v>0.69791666666666663</v>
      </c>
    </row>
    <row r="3428" spans="1:20" hidden="1" x14ac:dyDescent="0.35">
      <c r="A3428" s="11">
        <v>46233</v>
      </c>
      <c r="B3428" s="3">
        <v>4</v>
      </c>
      <c r="C3428" t="s">
        <v>114</v>
      </c>
      <c r="D3428" t="s">
        <v>18</v>
      </c>
      <c r="E3428" s="3">
        <v>19</v>
      </c>
      <c r="F3428" t="s">
        <v>19</v>
      </c>
      <c r="G3428" t="s">
        <v>73</v>
      </c>
      <c r="H3428" t="s">
        <v>27</v>
      </c>
      <c r="I3428" s="12">
        <v>0.74652777777777779</v>
      </c>
      <c r="J3428" t="s">
        <v>74</v>
      </c>
      <c r="K3428" t="s">
        <v>27</v>
      </c>
      <c r="L3428" s="12">
        <v>0.77430555555555558</v>
      </c>
      <c r="M3428" t="s">
        <v>63</v>
      </c>
      <c r="N3428" s="3">
        <v>232</v>
      </c>
      <c r="O3428" t="s">
        <v>24</v>
      </c>
      <c r="P3428" t="s">
        <v>56</v>
      </c>
      <c r="R3428">
        <f>tblDailySchedule[[#This Row],[Capacity Approx]]*'[1]Load Factor Sheet June Acft  '!$B$5</f>
        <v>187.86727272727273</v>
      </c>
      <c r="S3428">
        <f>tblDailySchedule[[#This Row],[Capacity Approx]]*'[1]Load Factor Sheet June Acft  '!$D$5</f>
        <v>203.4218181818182</v>
      </c>
      <c r="T3428" s="22">
        <f>tblDailySchedule[[#This Row],[STD]]</f>
        <v>0.77430555555555558</v>
      </c>
    </row>
    <row r="3429" spans="1:20" hidden="1" x14ac:dyDescent="0.35">
      <c r="A3429" s="11">
        <v>46233</v>
      </c>
      <c r="B3429" s="3">
        <v>4</v>
      </c>
      <c r="C3429" t="s">
        <v>114</v>
      </c>
      <c r="D3429" t="s">
        <v>18</v>
      </c>
      <c r="E3429" s="3">
        <v>21</v>
      </c>
      <c r="F3429" t="s">
        <v>19</v>
      </c>
      <c r="G3429" t="s">
        <v>81</v>
      </c>
      <c r="H3429" t="s">
        <v>61</v>
      </c>
      <c r="I3429" s="12">
        <v>0.77083333333333337</v>
      </c>
      <c r="J3429" t="s">
        <v>82</v>
      </c>
      <c r="K3429" t="s">
        <v>49</v>
      </c>
      <c r="L3429" s="12">
        <v>0.79166666666666663</v>
      </c>
      <c r="M3429" t="s">
        <v>33</v>
      </c>
      <c r="N3429" s="3">
        <v>189</v>
      </c>
      <c r="O3429" t="s">
        <v>24</v>
      </c>
      <c r="P3429" t="s">
        <v>79</v>
      </c>
      <c r="R3429">
        <f>tblDailySchedule[[#This Row],[Capacity Approx]]*'[1]Load Factor Sheet June Acft  '!$B$5</f>
        <v>153.04704545454547</v>
      </c>
      <c r="S3429">
        <f>tblDailySchedule[[#This Row],[Capacity Approx]]*'[1]Load Factor Sheet June Acft  '!$D$5</f>
        <v>165.71863636363636</v>
      </c>
      <c r="T3429" s="22">
        <f>tblDailySchedule[[#This Row],[STD]]</f>
        <v>0.79166666666666663</v>
      </c>
    </row>
    <row r="3430" spans="1:20" hidden="1" x14ac:dyDescent="0.35">
      <c r="A3430" s="11">
        <v>46233</v>
      </c>
      <c r="B3430" s="3">
        <v>4</v>
      </c>
      <c r="C3430" t="s">
        <v>114</v>
      </c>
      <c r="D3430" t="s">
        <v>18</v>
      </c>
      <c r="E3430" s="3">
        <v>22</v>
      </c>
      <c r="F3430" t="s">
        <v>19</v>
      </c>
      <c r="G3430" t="s">
        <v>83</v>
      </c>
      <c r="H3430" t="s">
        <v>31</v>
      </c>
      <c r="I3430" s="12">
        <v>0.77777777777777779</v>
      </c>
      <c r="J3430" t="s">
        <v>84</v>
      </c>
      <c r="K3430" t="s">
        <v>31</v>
      </c>
      <c r="L3430" s="12">
        <v>0.80555555555555558</v>
      </c>
      <c r="M3430" t="s">
        <v>63</v>
      </c>
      <c r="N3430" s="3">
        <v>232</v>
      </c>
      <c r="O3430" t="s">
        <v>24</v>
      </c>
      <c r="P3430" t="s">
        <v>79</v>
      </c>
      <c r="R3430">
        <f>tblDailySchedule[[#This Row],[Capacity Approx]]*'[1]Load Factor Sheet June Acft  '!$B$5</f>
        <v>187.86727272727273</v>
      </c>
      <c r="S3430">
        <f>tblDailySchedule[[#This Row],[Capacity Approx]]*'[1]Load Factor Sheet June Acft  '!$D$5</f>
        <v>203.4218181818182</v>
      </c>
      <c r="T3430" s="22">
        <f>tblDailySchedule[[#This Row],[STD]]</f>
        <v>0.80555555555555558</v>
      </c>
    </row>
    <row r="3431" spans="1:20" hidden="1" x14ac:dyDescent="0.35">
      <c r="A3431" s="11">
        <v>46233</v>
      </c>
      <c r="B3431" s="3">
        <v>4</v>
      </c>
      <c r="C3431" t="s">
        <v>114</v>
      </c>
      <c r="D3431" t="s">
        <v>18</v>
      </c>
      <c r="E3431" s="3">
        <v>23</v>
      </c>
      <c r="F3431" t="s">
        <v>19</v>
      </c>
      <c r="G3431" t="s">
        <v>85</v>
      </c>
      <c r="H3431" t="s">
        <v>86</v>
      </c>
      <c r="I3431" s="12">
        <v>0.79861111111111116</v>
      </c>
      <c r="J3431" t="s">
        <v>87</v>
      </c>
      <c r="K3431" t="s">
        <v>86</v>
      </c>
      <c r="L3431" s="12">
        <v>0.82638888888888884</v>
      </c>
      <c r="M3431" t="s">
        <v>63</v>
      </c>
      <c r="N3431" s="3">
        <v>232</v>
      </c>
      <c r="O3431" t="s">
        <v>24</v>
      </c>
      <c r="P3431" t="s">
        <v>79</v>
      </c>
      <c r="R3431">
        <f>tblDailySchedule[[#This Row],[Capacity Approx]]*'[1]Load Factor Sheet June Acft  '!$B$5</f>
        <v>187.86727272727273</v>
      </c>
      <c r="S3431">
        <f>tblDailySchedule[[#This Row],[Capacity Approx]]*'[1]Load Factor Sheet June Acft  '!$D$5</f>
        <v>203.4218181818182</v>
      </c>
      <c r="T3431" s="22">
        <f>tblDailySchedule[[#This Row],[STD]]</f>
        <v>0.82638888888888884</v>
      </c>
    </row>
    <row r="3432" spans="1:20" hidden="1" x14ac:dyDescent="0.35">
      <c r="A3432" s="11">
        <v>46233</v>
      </c>
      <c r="B3432" s="3">
        <v>4</v>
      </c>
      <c r="C3432" t="s">
        <v>114</v>
      </c>
      <c r="D3432" t="s">
        <v>18</v>
      </c>
      <c r="E3432" s="3">
        <v>24</v>
      </c>
      <c r="F3432" t="s">
        <v>19</v>
      </c>
      <c r="G3432" t="s">
        <v>88</v>
      </c>
      <c r="H3432" t="s">
        <v>89</v>
      </c>
      <c r="I3432" s="12">
        <v>0.83333333333333337</v>
      </c>
      <c r="J3432" t="s">
        <v>90</v>
      </c>
      <c r="K3432" t="s">
        <v>31</v>
      </c>
      <c r="L3432" s="12">
        <v>0.86111111111111116</v>
      </c>
      <c r="M3432" t="s">
        <v>63</v>
      </c>
      <c r="N3432" s="3">
        <v>232</v>
      </c>
      <c r="O3432" t="s">
        <v>24</v>
      </c>
      <c r="P3432" t="s">
        <v>79</v>
      </c>
      <c r="R3432">
        <f>tblDailySchedule[[#This Row],[Capacity Approx]]*'[1]Load Factor Sheet June Acft  '!$B$5</f>
        <v>187.86727272727273</v>
      </c>
      <c r="S3432">
        <f>tblDailySchedule[[#This Row],[Capacity Approx]]*'[1]Load Factor Sheet June Acft  '!$D$5</f>
        <v>203.4218181818182</v>
      </c>
      <c r="T3432" s="22">
        <f>tblDailySchedule[[#This Row],[STD]]</f>
        <v>0.86111111111111116</v>
      </c>
    </row>
    <row r="3433" spans="1:20" hidden="1" x14ac:dyDescent="0.35">
      <c r="A3433" s="11">
        <v>46233</v>
      </c>
      <c r="B3433" s="3">
        <v>4</v>
      </c>
      <c r="C3433" t="s">
        <v>114</v>
      </c>
      <c r="D3433" t="s">
        <v>18</v>
      </c>
      <c r="E3433" s="3">
        <v>25</v>
      </c>
      <c r="F3433" t="s">
        <v>19</v>
      </c>
      <c r="G3433" t="s">
        <v>91</v>
      </c>
      <c r="H3433" t="s">
        <v>61</v>
      </c>
      <c r="I3433" s="12">
        <v>0.85416666666666663</v>
      </c>
      <c r="J3433" t="s">
        <v>92</v>
      </c>
      <c r="K3433" t="s">
        <v>61</v>
      </c>
      <c r="L3433" s="12">
        <v>0.88194444444444442</v>
      </c>
      <c r="M3433" t="s">
        <v>63</v>
      </c>
      <c r="N3433" s="3">
        <v>232</v>
      </c>
      <c r="O3433" t="s">
        <v>24</v>
      </c>
      <c r="P3433" t="s">
        <v>79</v>
      </c>
      <c r="R3433">
        <f>tblDailySchedule[[#This Row],[Capacity Approx]]*'[1]Load Factor Sheet June Acft  '!$B$5</f>
        <v>187.86727272727273</v>
      </c>
      <c r="S3433">
        <f>tblDailySchedule[[#This Row],[Capacity Approx]]*'[1]Load Factor Sheet June Acft  '!$D$5</f>
        <v>203.4218181818182</v>
      </c>
      <c r="T3433" s="22">
        <f>tblDailySchedule[[#This Row],[STD]]</f>
        <v>0.88194444444444442</v>
      </c>
    </row>
    <row r="3434" spans="1:20" hidden="1" x14ac:dyDescent="0.35">
      <c r="A3434" s="11">
        <v>46233</v>
      </c>
      <c r="B3434" s="3">
        <v>4</v>
      </c>
      <c r="C3434" t="s">
        <v>114</v>
      </c>
      <c r="D3434" t="s">
        <v>18</v>
      </c>
      <c r="E3434" s="3">
        <v>26</v>
      </c>
      <c r="F3434" t="s">
        <v>19</v>
      </c>
      <c r="G3434" t="s">
        <v>93</v>
      </c>
      <c r="H3434" t="s">
        <v>31</v>
      </c>
      <c r="I3434" s="12">
        <v>0.86111111111111116</v>
      </c>
      <c r="J3434" t="s">
        <v>94</v>
      </c>
      <c r="K3434" t="s">
        <v>31</v>
      </c>
      <c r="L3434" s="12">
        <v>0.88888888888888884</v>
      </c>
      <c r="M3434" t="s">
        <v>23</v>
      </c>
      <c r="N3434" s="3">
        <v>186</v>
      </c>
      <c r="O3434" t="s">
        <v>24</v>
      </c>
      <c r="P3434" t="s">
        <v>79</v>
      </c>
      <c r="R3434">
        <f>tblDailySchedule[[#This Row],[Capacity Approx]]*'[1]Load Factor Sheet June Acft  '!$B$5</f>
        <v>150.61772727272728</v>
      </c>
      <c r="S3434">
        <f>tblDailySchedule[[#This Row],[Capacity Approx]]*'[1]Load Factor Sheet June Acft  '!$D$5</f>
        <v>163.08818181818182</v>
      </c>
      <c r="T3434" s="22">
        <f>tblDailySchedule[[#This Row],[STD]]</f>
        <v>0.88888888888888884</v>
      </c>
    </row>
    <row r="3435" spans="1:20" hidden="1" x14ac:dyDescent="0.35">
      <c r="A3435" s="11">
        <v>46233</v>
      </c>
      <c r="B3435" s="3">
        <v>4</v>
      </c>
      <c r="C3435" t="s">
        <v>114</v>
      </c>
      <c r="D3435" t="s">
        <v>18</v>
      </c>
      <c r="E3435" s="3">
        <v>27</v>
      </c>
      <c r="F3435" t="s">
        <v>19</v>
      </c>
      <c r="G3435" t="s">
        <v>95</v>
      </c>
      <c r="H3435" t="s">
        <v>21</v>
      </c>
      <c r="I3435" s="12">
        <v>0.86805555555555558</v>
      </c>
      <c r="J3435" t="s">
        <v>96</v>
      </c>
      <c r="K3435" t="s">
        <v>21</v>
      </c>
      <c r="L3435" s="12">
        <v>0.89583333333333337</v>
      </c>
      <c r="M3435" t="s">
        <v>29</v>
      </c>
      <c r="N3435" s="3">
        <v>186</v>
      </c>
      <c r="O3435" t="s">
        <v>24</v>
      </c>
      <c r="P3435" t="s">
        <v>79</v>
      </c>
      <c r="R3435">
        <f>tblDailySchedule[[#This Row],[Capacity Approx]]*'[1]Load Factor Sheet June Acft  '!$B$5</f>
        <v>150.61772727272728</v>
      </c>
      <c r="S3435">
        <f>tblDailySchedule[[#This Row],[Capacity Approx]]*'[1]Load Factor Sheet June Acft  '!$D$5</f>
        <v>163.08818181818182</v>
      </c>
      <c r="T3435" s="22">
        <f>tblDailySchedule[[#This Row],[STD]]</f>
        <v>0.89583333333333337</v>
      </c>
    </row>
    <row r="3436" spans="1:20" hidden="1" x14ac:dyDescent="0.35">
      <c r="A3436" s="11">
        <v>46233</v>
      </c>
      <c r="B3436" s="3">
        <v>4</v>
      </c>
      <c r="C3436" t="s">
        <v>114</v>
      </c>
      <c r="D3436" t="s">
        <v>18</v>
      </c>
      <c r="E3436" s="3">
        <v>28</v>
      </c>
      <c r="F3436" t="s">
        <v>19</v>
      </c>
      <c r="G3436" t="s">
        <v>97</v>
      </c>
      <c r="H3436" t="s">
        <v>49</v>
      </c>
      <c r="I3436" s="12">
        <v>0.90277777777777779</v>
      </c>
      <c r="J3436" t="s">
        <v>97</v>
      </c>
      <c r="K3436" t="s">
        <v>61</v>
      </c>
      <c r="L3436" s="12">
        <v>0.92361111111111116</v>
      </c>
      <c r="M3436" t="s">
        <v>33</v>
      </c>
      <c r="N3436" s="3">
        <v>189</v>
      </c>
      <c r="O3436" t="s">
        <v>24</v>
      </c>
      <c r="P3436" t="s">
        <v>79</v>
      </c>
      <c r="R3436">
        <f>tblDailySchedule[[#This Row],[Capacity Approx]]*'[1]Load Factor Sheet June Acft  '!$B$5</f>
        <v>153.04704545454547</v>
      </c>
      <c r="S3436">
        <f>tblDailySchedule[[#This Row],[Capacity Approx]]*'[1]Load Factor Sheet June Acft  '!$D$5</f>
        <v>165.71863636363636</v>
      </c>
      <c r="T3436" s="22">
        <f>tblDailySchedule[[#This Row],[STD]]</f>
        <v>0.92361111111111116</v>
      </c>
    </row>
    <row r="3437" spans="1:20" hidden="1" x14ac:dyDescent="0.35">
      <c r="A3437" s="11">
        <v>46233</v>
      </c>
      <c r="B3437" s="3">
        <v>4</v>
      </c>
      <c r="C3437" t="s">
        <v>114</v>
      </c>
      <c r="D3437" t="s">
        <v>18</v>
      </c>
      <c r="E3437" s="3">
        <v>29</v>
      </c>
      <c r="F3437" t="s">
        <v>19</v>
      </c>
      <c r="G3437" t="s">
        <v>98</v>
      </c>
      <c r="H3437" t="s">
        <v>21</v>
      </c>
      <c r="I3437" s="12">
        <v>0.92013888888888884</v>
      </c>
      <c r="J3437" t="s">
        <v>99</v>
      </c>
      <c r="K3437" t="s">
        <v>21</v>
      </c>
      <c r="L3437" s="12">
        <v>0.94791666666666663</v>
      </c>
      <c r="M3437" t="s">
        <v>63</v>
      </c>
      <c r="N3437" s="3">
        <v>232</v>
      </c>
      <c r="O3437" t="s">
        <v>24</v>
      </c>
      <c r="P3437" t="s">
        <v>79</v>
      </c>
      <c r="R3437">
        <f>tblDailySchedule[[#This Row],[Capacity Approx]]*'[1]Load Factor Sheet June Acft  '!$B$5</f>
        <v>187.86727272727273</v>
      </c>
      <c r="S3437">
        <f>tblDailySchedule[[#This Row],[Capacity Approx]]*'[1]Load Factor Sheet June Acft  '!$D$5</f>
        <v>203.4218181818182</v>
      </c>
      <c r="T3437" s="22">
        <f>tblDailySchedule[[#This Row],[STD]]</f>
        <v>0.94791666666666663</v>
      </c>
    </row>
    <row r="3438" spans="1:20" hidden="1" x14ac:dyDescent="0.35">
      <c r="A3438" s="11">
        <v>46234</v>
      </c>
      <c r="B3438" s="3">
        <v>5</v>
      </c>
      <c r="C3438" t="s">
        <v>115</v>
      </c>
      <c r="D3438" t="s">
        <v>18</v>
      </c>
      <c r="E3438" s="3">
        <v>2</v>
      </c>
      <c r="F3438" t="s">
        <v>19</v>
      </c>
      <c r="G3438" t="s">
        <v>20</v>
      </c>
      <c r="H3438" t="s">
        <v>21</v>
      </c>
      <c r="I3438" s="12">
        <v>0.31944444444444442</v>
      </c>
      <c r="J3438" t="s">
        <v>22</v>
      </c>
      <c r="K3438" t="s">
        <v>21</v>
      </c>
      <c r="L3438" s="12">
        <v>0.34722222222222221</v>
      </c>
      <c r="M3438" t="s">
        <v>23</v>
      </c>
      <c r="N3438" s="3">
        <v>186</v>
      </c>
      <c r="O3438" t="s">
        <v>24</v>
      </c>
      <c r="P3438" t="s">
        <v>25</v>
      </c>
      <c r="R3438">
        <f>tblDailySchedule[[#This Row],[Capacity Approx]]*'[1]Load Factor Sheet June Acft  '!$B$5</f>
        <v>150.61772727272728</v>
      </c>
      <c r="S3438">
        <f>tblDailySchedule[[#This Row],[Capacity Approx]]*'[1]Load Factor Sheet June Acft  '!$D$5</f>
        <v>163.08818181818182</v>
      </c>
      <c r="T3438" s="22">
        <f>tblDailySchedule[[#This Row],[STD]]</f>
        <v>0.34722222222222221</v>
      </c>
    </row>
    <row r="3439" spans="1:20" hidden="1" x14ac:dyDescent="0.35">
      <c r="A3439" s="11">
        <v>46234</v>
      </c>
      <c r="B3439" s="3">
        <v>5</v>
      </c>
      <c r="C3439" t="s">
        <v>115</v>
      </c>
      <c r="D3439" t="s">
        <v>18</v>
      </c>
      <c r="E3439" s="3">
        <v>3</v>
      </c>
      <c r="F3439" t="s">
        <v>19</v>
      </c>
      <c r="G3439" t="s">
        <v>26</v>
      </c>
      <c r="H3439" t="s">
        <v>27</v>
      </c>
      <c r="I3439" s="12">
        <v>0.3263888888888889</v>
      </c>
      <c r="J3439" t="s">
        <v>28</v>
      </c>
      <c r="K3439" t="s">
        <v>27</v>
      </c>
      <c r="L3439" s="12">
        <v>0.35416666666666669</v>
      </c>
      <c r="M3439" t="s">
        <v>29</v>
      </c>
      <c r="N3439" s="3">
        <v>186</v>
      </c>
      <c r="O3439" t="s">
        <v>24</v>
      </c>
      <c r="P3439" t="s">
        <v>25</v>
      </c>
      <c r="R3439">
        <f>tblDailySchedule[[#This Row],[Capacity Approx]]*'[1]Load Factor Sheet June Acft  '!$B$5</f>
        <v>150.61772727272728</v>
      </c>
      <c r="S3439">
        <f>tblDailySchedule[[#This Row],[Capacity Approx]]*'[1]Load Factor Sheet June Acft  '!$D$5</f>
        <v>163.08818181818182</v>
      </c>
      <c r="T3439" s="22">
        <f>tblDailySchedule[[#This Row],[STD]]</f>
        <v>0.35416666666666669</v>
      </c>
    </row>
    <row r="3440" spans="1:20" hidden="1" x14ac:dyDescent="0.35">
      <c r="A3440" s="11">
        <v>46234</v>
      </c>
      <c r="B3440" s="3">
        <v>5</v>
      </c>
      <c r="C3440" t="s">
        <v>115</v>
      </c>
      <c r="D3440" t="s">
        <v>18</v>
      </c>
      <c r="E3440" s="3">
        <v>4</v>
      </c>
      <c r="F3440" t="s">
        <v>19</v>
      </c>
      <c r="G3440" t="s">
        <v>30</v>
      </c>
      <c r="H3440" t="s">
        <v>31</v>
      </c>
      <c r="I3440" s="12">
        <v>0.34722222222222221</v>
      </c>
      <c r="J3440" t="s">
        <v>32</v>
      </c>
      <c r="K3440" t="s">
        <v>31</v>
      </c>
      <c r="L3440" s="12">
        <v>0.36805555555555558</v>
      </c>
      <c r="M3440" t="s">
        <v>33</v>
      </c>
      <c r="N3440" s="3">
        <v>189</v>
      </c>
      <c r="O3440" t="s">
        <v>24</v>
      </c>
      <c r="P3440" t="s">
        <v>25</v>
      </c>
      <c r="R3440">
        <f>tblDailySchedule[[#This Row],[Capacity Approx]]*'[1]Load Factor Sheet June Acft  '!$B$5</f>
        <v>153.04704545454547</v>
      </c>
      <c r="S3440">
        <f>tblDailySchedule[[#This Row],[Capacity Approx]]*'[1]Load Factor Sheet June Acft  '!$D$5</f>
        <v>165.71863636363636</v>
      </c>
      <c r="T3440" s="22">
        <f>tblDailySchedule[[#This Row],[STD]]</f>
        <v>0.36805555555555558</v>
      </c>
    </row>
    <row r="3441" spans="1:20" hidden="1" x14ac:dyDescent="0.35">
      <c r="A3441" s="13">
        <v>46234</v>
      </c>
      <c r="B3441" s="7">
        <v>5</v>
      </c>
      <c r="C3441" s="14" t="s">
        <v>115</v>
      </c>
      <c r="D3441" s="14" t="s">
        <v>18</v>
      </c>
      <c r="E3441" s="7">
        <v>6</v>
      </c>
      <c r="F3441" s="14" t="s">
        <v>34</v>
      </c>
      <c r="G3441" s="14" t="s">
        <v>35</v>
      </c>
      <c r="H3441" s="14" t="s">
        <v>36</v>
      </c>
      <c r="I3441" s="15">
        <v>0.34722222222222221</v>
      </c>
      <c r="J3441" s="14" t="s">
        <v>37</v>
      </c>
      <c r="K3441" s="14" t="s">
        <v>36</v>
      </c>
      <c r="L3441" s="15">
        <v>0.40972222222222221</v>
      </c>
      <c r="M3441" s="14" t="s">
        <v>38</v>
      </c>
      <c r="N3441" s="7">
        <v>186</v>
      </c>
      <c r="O3441" s="14" t="s">
        <v>39</v>
      </c>
      <c r="P3441" s="14" t="s">
        <v>25</v>
      </c>
      <c r="Q3441" s="14" t="s">
        <v>39</v>
      </c>
      <c r="R3441">
        <f>tblDailySchedule[[#This Row],[Capacity Approx]]*'[1]Load Factor Sheet June Acft  '!$B$5</f>
        <v>150.61772727272728</v>
      </c>
      <c r="S3441">
        <f>tblDailySchedule[[#This Row],[Capacity Approx]]*'[1]Load Factor Sheet June Acft  '!$D$5</f>
        <v>163.08818181818182</v>
      </c>
      <c r="T3441" s="22">
        <f>tblDailySchedule[[#This Row],[STD]]</f>
        <v>0.40972222222222221</v>
      </c>
    </row>
    <row r="3442" spans="1:20" hidden="1" x14ac:dyDescent="0.35">
      <c r="A3442" s="11">
        <v>46234</v>
      </c>
      <c r="B3442" s="3">
        <v>5</v>
      </c>
      <c r="C3442" t="s">
        <v>115</v>
      </c>
      <c r="D3442" t="s">
        <v>18</v>
      </c>
      <c r="E3442" s="3">
        <v>5</v>
      </c>
      <c r="F3442" t="s">
        <v>19</v>
      </c>
      <c r="G3442" t="s">
        <v>40</v>
      </c>
      <c r="H3442" t="s">
        <v>31</v>
      </c>
      <c r="I3442" s="12">
        <v>0.35069444444444442</v>
      </c>
      <c r="J3442" t="s">
        <v>41</v>
      </c>
      <c r="K3442" t="s">
        <v>31</v>
      </c>
      <c r="L3442" s="12">
        <v>0.37152777777777779</v>
      </c>
      <c r="M3442" t="s">
        <v>23</v>
      </c>
      <c r="N3442" s="3">
        <v>186</v>
      </c>
      <c r="O3442" t="s">
        <v>24</v>
      </c>
      <c r="P3442" t="s">
        <v>25</v>
      </c>
      <c r="R3442">
        <f>tblDailySchedule[[#This Row],[Capacity Approx]]*'[1]Load Factor Sheet June Acft  '!$B$5</f>
        <v>150.61772727272728</v>
      </c>
      <c r="S3442">
        <f>tblDailySchedule[[#This Row],[Capacity Approx]]*'[1]Load Factor Sheet June Acft  '!$D$5</f>
        <v>163.08818181818182</v>
      </c>
      <c r="T3442" s="22">
        <f>tblDailySchedule[[#This Row],[STD]]</f>
        <v>0.37152777777777779</v>
      </c>
    </row>
    <row r="3443" spans="1:20" hidden="1" x14ac:dyDescent="0.35">
      <c r="A3443" s="11">
        <v>46234</v>
      </c>
      <c r="B3443" s="3">
        <v>5</v>
      </c>
      <c r="C3443" t="s">
        <v>115</v>
      </c>
      <c r="D3443" t="s">
        <v>18</v>
      </c>
      <c r="E3443" s="3">
        <v>7</v>
      </c>
      <c r="F3443" t="s">
        <v>19</v>
      </c>
      <c r="G3443" t="s">
        <v>42</v>
      </c>
      <c r="H3443" t="s">
        <v>43</v>
      </c>
      <c r="I3443" s="12">
        <v>0.3923611111111111</v>
      </c>
      <c r="J3443" t="s">
        <v>44</v>
      </c>
      <c r="K3443" t="s">
        <v>43</v>
      </c>
      <c r="L3443" s="12">
        <v>0.40277777777777779</v>
      </c>
      <c r="M3443" t="s">
        <v>45</v>
      </c>
      <c r="N3443" s="3">
        <v>9</v>
      </c>
      <c r="O3443" t="s">
        <v>24</v>
      </c>
      <c r="P3443" t="s">
        <v>25</v>
      </c>
      <c r="R3443">
        <f>tblDailySchedule[[#This Row],[Capacity Approx]]*'[1]Load Factor Sheet June Acft  '!$B$5</f>
        <v>7.2879545454545456</v>
      </c>
      <c r="S3443">
        <f>tblDailySchedule[[#This Row],[Capacity Approx]]*'[1]Load Factor Sheet June Acft  '!$D$5</f>
        <v>7.8913636363636366</v>
      </c>
      <c r="T3443" s="22">
        <f>tblDailySchedule[[#This Row],[STD]]</f>
        <v>0.40277777777777779</v>
      </c>
    </row>
    <row r="3444" spans="1:20" hidden="1" x14ac:dyDescent="0.35">
      <c r="A3444" s="11">
        <v>46234</v>
      </c>
      <c r="B3444" s="3">
        <v>5</v>
      </c>
      <c r="C3444" t="s">
        <v>115</v>
      </c>
      <c r="D3444" t="s">
        <v>18</v>
      </c>
      <c r="E3444" s="3">
        <v>8</v>
      </c>
      <c r="F3444" t="s">
        <v>19</v>
      </c>
      <c r="G3444" t="s">
        <v>46</v>
      </c>
      <c r="H3444" t="s">
        <v>31</v>
      </c>
      <c r="I3444" s="12">
        <v>0.4201388888888889</v>
      </c>
      <c r="J3444" t="s">
        <v>47</v>
      </c>
      <c r="K3444" t="s">
        <v>31</v>
      </c>
      <c r="L3444" s="12">
        <v>0.44444444444444442</v>
      </c>
      <c r="M3444" t="s">
        <v>29</v>
      </c>
      <c r="N3444" s="3">
        <v>186</v>
      </c>
      <c r="O3444" t="s">
        <v>24</v>
      </c>
      <c r="P3444" t="s">
        <v>25</v>
      </c>
      <c r="R3444">
        <f>tblDailySchedule[[#This Row],[Capacity Approx]]*'[1]Load Factor Sheet June Acft  '!$B$5</f>
        <v>150.61772727272728</v>
      </c>
      <c r="S3444">
        <f>tblDailySchedule[[#This Row],[Capacity Approx]]*'[1]Load Factor Sheet June Acft  '!$D$5</f>
        <v>163.08818181818182</v>
      </c>
      <c r="T3444" s="22">
        <f>tblDailySchedule[[#This Row],[STD]]</f>
        <v>0.44444444444444442</v>
      </c>
    </row>
    <row r="3445" spans="1:20" hidden="1" x14ac:dyDescent="0.35">
      <c r="A3445" s="11">
        <v>46234</v>
      </c>
      <c r="B3445" s="3">
        <v>5</v>
      </c>
      <c r="C3445" t="s">
        <v>115</v>
      </c>
      <c r="D3445" t="s">
        <v>18</v>
      </c>
      <c r="E3445" s="3">
        <v>9</v>
      </c>
      <c r="F3445" t="s">
        <v>19</v>
      </c>
      <c r="G3445" t="s">
        <v>48</v>
      </c>
      <c r="H3445" t="s">
        <v>49</v>
      </c>
      <c r="I3445" s="12">
        <v>0.4375</v>
      </c>
      <c r="J3445" t="s">
        <v>50</v>
      </c>
      <c r="K3445" t="s">
        <v>49</v>
      </c>
      <c r="L3445" s="12">
        <v>0.45833333333333331</v>
      </c>
      <c r="M3445" t="s">
        <v>51</v>
      </c>
      <c r="N3445" s="3">
        <v>78</v>
      </c>
      <c r="O3445" t="s">
        <v>24</v>
      </c>
      <c r="P3445" t="s">
        <v>25</v>
      </c>
      <c r="R3445">
        <f>tblDailySchedule[[#This Row],[Capacity Approx]]*'[1]Load Factor Sheet June Acft  '!$B$5</f>
        <v>63.162272727272729</v>
      </c>
      <c r="S3445">
        <f>tblDailySchedule[[#This Row],[Capacity Approx]]*'[1]Load Factor Sheet June Acft  '!$D$5</f>
        <v>68.391818181818181</v>
      </c>
      <c r="T3445" s="22">
        <f>tblDailySchedule[[#This Row],[STD]]</f>
        <v>0.45833333333333331</v>
      </c>
    </row>
    <row r="3446" spans="1:20" hidden="1" x14ac:dyDescent="0.35">
      <c r="A3446" s="11">
        <v>46234</v>
      </c>
      <c r="B3446" s="3">
        <v>5</v>
      </c>
      <c r="C3446" t="s">
        <v>115</v>
      </c>
      <c r="D3446" t="s">
        <v>18</v>
      </c>
      <c r="E3446" s="3">
        <v>10</v>
      </c>
      <c r="F3446" t="s">
        <v>19</v>
      </c>
      <c r="G3446" t="s">
        <v>52</v>
      </c>
      <c r="H3446" t="s">
        <v>27</v>
      </c>
      <c r="I3446" s="12">
        <v>0.4826388888888889</v>
      </c>
      <c r="J3446" t="s">
        <v>53</v>
      </c>
      <c r="K3446" t="s">
        <v>27</v>
      </c>
      <c r="L3446" s="12">
        <v>0.51041666666666663</v>
      </c>
      <c r="M3446" t="s">
        <v>23</v>
      </c>
      <c r="N3446" s="3">
        <v>186</v>
      </c>
      <c r="O3446" t="s">
        <v>24</v>
      </c>
      <c r="P3446" t="s">
        <v>25</v>
      </c>
      <c r="R3446">
        <f>tblDailySchedule[[#This Row],[Capacity Approx]]*'[1]Load Factor Sheet June Acft  '!$B$5</f>
        <v>150.61772727272728</v>
      </c>
      <c r="S3446">
        <f>tblDailySchedule[[#This Row],[Capacity Approx]]*'[1]Load Factor Sheet June Acft  '!$D$5</f>
        <v>163.08818181818182</v>
      </c>
      <c r="T3446" s="22">
        <f>tblDailySchedule[[#This Row],[STD]]</f>
        <v>0.51041666666666663</v>
      </c>
    </row>
    <row r="3447" spans="1:20" hidden="1" x14ac:dyDescent="0.35">
      <c r="A3447" s="11">
        <v>46234</v>
      </c>
      <c r="B3447" s="3">
        <v>5</v>
      </c>
      <c r="C3447" t="s">
        <v>115</v>
      </c>
      <c r="D3447" t="s">
        <v>18</v>
      </c>
      <c r="E3447" s="3">
        <v>11</v>
      </c>
      <c r="F3447" t="s">
        <v>19</v>
      </c>
      <c r="G3447" t="s">
        <v>54</v>
      </c>
      <c r="H3447" t="s">
        <v>31</v>
      </c>
      <c r="I3447" s="12">
        <v>0.51388888888888884</v>
      </c>
      <c r="J3447" t="s">
        <v>55</v>
      </c>
      <c r="K3447" t="s">
        <v>31</v>
      </c>
      <c r="L3447" s="12">
        <v>0.54166666666666663</v>
      </c>
      <c r="M3447" t="s">
        <v>23</v>
      </c>
      <c r="N3447" s="3">
        <v>186</v>
      </c>
      <c r="O3447" t="s">
        <v>24</v>
      </c>
      <c r="P3447" t="s">
        <v>56</v>
      </c>
      <c r="R3447">
        <f>tblDailySchedule[[#This Row],[Capacity Approx]]*'[1]Load Factor Sheet June Acft  '!$B$5</f>
        <v>150.61772727272728</v>
      </c>
      <c r="S3447">
        <f>tblDailySchedule[[#This Row],[Capacity Approx]]*'[1]Load Factor Sheet June Acft  '!$D$5</f>
        <v>163.08818181818182</v>
      </c>
      <c r="T3447" s="22">
        <f>tblDailySchedule[[#This Row],[STD]]</f>
        <v>0.54166666666666663</v>
      </c>
    </row>
    <row r="3448" spans="1:20" hidden="1" x14ac:dyDescent="0.35">
      <c r="A3448" s="11">
        <v>46234</v>
      </c>
      <c r="B3448" s="3">
        <v>5</v>
      </c>
      <c r="C3448" t="s">
        <v>115</v>
      </c>
      <c r="D3448" t="s">
        <v>18</v>
      </c>
      <c r="E3448" s="3">
        <v>13</v>
      </c>
      <c r="F3448" t="s">
        <v>19</v>
      </c>
      <c r="G3448" t="s">
        <v>57</v>
      </c>
      <c r="H3448" t="s">
        <v>58</v>
      </c>
      <c r="I3448" s="12">
        <v>0.55902777777777779</v>
      </c>
      <c r="J3448" t="s">
        <v>59</v>
      </c>
      <c r="K3448" t="s">
        <v>58</v>
      </c>
      <c r="L3448" s="12">
        <v>0.57638888888888884</v>
      </c>
      <c r="M3448" t="s">
        <v>51</v>
      </c>
      <c r="N3448" s="3">
        <v>78</v>
      </c>
      <c r="O3448" t="s">
        <v>24</v>
      </c>
      <c r="P3448" t="s">
        <v>56</v>
      </c>
      <c r="R3448">
        <f>tblDailySchedule[[#This Row],[Capacity Approx]]*'[1]Load Factor Sheet June Acft  '!$B$5</f>
        <v>63.162272727272729</v>
      </c>
      <c r="S3448">
        <f>tblDailySchedule[[#This Row],[Capacity Approx]]*'[1]Load Factor Sheet June Acft  '!$D$5</f>
        <v>68.391818181818181</v>
      </c>
      <c r="T3448" s="22">
        <f>tblDailySchedule[[#This Row],[STD]]</f>
        <v>0.57638888888888884</v>
      </c>
    </row>
    <row r="3449" spans="1:20" hidden="1" x14ac:dyDescent="0.35">
      <c r="A3449" s="11">
        <v>46234</v>
      </c>
      <c r="B3449" s="3">
        <v>5</v>
      </c>
      <c r="C3449" t="s">
        <v>115</v>
      </c>
      <c r="D3449" t="s">
        <v>18</v>
      </c>
      <c r="E3449" s="3">
        <v>14</v>
      </c>
      <c r="F3449" t="s">
        <v>19</v>
      </c>
      <c r="G3449" t="s">
        <v>60</v>
      </c>
      <c r="H3449" t="s">
        <v>61</v>
      </c>
      <c r="I3449" s="12">
        <v>0.59027777777777779</v>
      </c>
      <c r="J3449" t="s">
        <v>62</v>
      </c>
      <c r="K3449" t="s">
        <v>61</v>
      </c>
      <c r="L3449" s="12">
        <v>0.62152777777777779</v>
      </c>
      <c r="M3449" t="s">
        <v>63</v>
      </c>
      <c r="N3449" s="3">
        <v>232</v>
      </c>
      <c r="O3449" t="s">
        <v>24</v>
      </c>
      <c r="P3449" t="s">
        <v>56</v>
      </c>
      <c r="R3449">
        <f>tblDailySchedule[[#This Row],[Capacity Approx]]*'[1]Load Factor Sheet June Acft  '!$B$5</f>
        <v>187.86727272727273</v>
      </c>
      <c r="S3449">
        <f>tblDailySchedule[[#This Row],[Capacity Approx]]*'[1]Load Factor Sheet June Acft  '!$D$5</f>
        <v>203.4218181818182</v>
      </c>
      <c r="T3449" s="22">
        <f>tblDailySchedule[[#This Row],[STD]]</f>
        <v>0.62152777777777779</v>
      </c>
    </row>
    <row r="3450" spans="1:20" hidden="1" x14ac:dyDescent="0.35">
      <c r="A3450" s="11">
        <v>46234</v>
      </c>
      <c r="B3450" s="3">
        <v>5</v>
      </c>
      <c r="C3450" t="s">
        <v>115</v>
      </c>
      <c r="D3450" t="s">
        <v>18</v>
      </c>
      <c r="E3450" s="3">
        <v>15</v>
      </c>
      <c r="F3450" t="s">
        <v>19</v>
      </c>
      <c r="G3450" t="s">
        <v>64</v>
      </c>
      <c r="H3450" t="s">
        <v>31</v>
      </c>
      <c r="I3450" s="12">
        <v>0.60069444444444442</v>
      </c>
      <c r="J3450" t="s">
        <v>65</v>
      </c>
      <c r="K3450" t="s">
        <v>66</v>
      </c>
      <c r="L3450" s="12">
        <v>0.62847222222222221</v>
      </c>
      <c r="M3450" t="s">
        <v>63</v>
      </c>
      <c r="N3450" s="3">
        <v>232</v>
      </c>
      <c r="O3450" t="s">
        <v>24</v>
      </c>
      <c r="P3450" t="s">
        <v>56</v>
      </c>
      <c r="R3450">
        <f>tblDailySchedule[[#This Row],[Capacity Approx]]*'[1]Load Factor Sheet June Acft  '!$B$5</f>
        <v>187.86727272727273</v>
      </c>
      <c r="S3450">
        <f>tblDailySchedule[[#This Row],[Capacity Approx]]*'[1]Load Factor Sheet June Acft  '!$D$5</f>
        <v>203.4218181818182</v>
      </c>
      <c r="T3450" s="22">
        <f>tblDailySchedule[[#This Row],[STD]]</f>
        <v>0.62847222222222221</v>
      </c>
    </row>
    <row r="3451" spans="1:20" hidden="1" x14ac:dyDescent="0.35">
      <c r="A3451" s="11">
        <v>46234</v>
      </c>
      <c r="B3451" s="3">
        <v>5</v>
      </c>
      <c r="C3451" t="s">
        <v>115</v>
      </c>
      <c r="D3451" t="s">
        <v>18</v>
      </c>
      <c r="E3451" s="3">
        <v>16</v>
      </c>
      <c r="F3451" t="s">
        <v>19</v>
      </c>
      <c r="G3451" t="s">
        <v>67</v>
      </c>
      <c r="H3451" t="s">
        <v>31</v>
      </c>
      <c r="I3451" s="12">
        <v>0.65625</v>
      </c>
      <c r="J3451" t="s">
        <v>68</v>
      </c>
      <c r="K3451" t="s">
        <v>31</v>
      </c>
      <c r="L3451" s="12">
        <v>0.68402777777777779</v>
      </c>
      <c r="M3451" t="s">
        <v>63</v>
      </c>
      <c r="N3451" s="3">
        <v>232</v>
      </c>
      <c r="O3451" t="s">
        <v>24</v>
      </c>
      <c r="P3451" t="s">
        <v>56</v>
      </c>
      <c r="R3451">
        <f>tblDailySchedule[[#This Row],[Capacity Approx]]*'[1]Load Factor Sheet June Acft  '!$B$5</f>
        <v>187.86727272727273</v>
      </c>
      <c r="S3451">
        <f>tblDailySchedule[[#This Row],[Capacity Approx]]*'[1]Load Factor Sheet June Acft  '!$D$5</f>
        <v>203.4218181818182</v>
      </c>
      <c r="T3451" s="22">
        <f>tblDailySchedule[[#This Row],[STD]]</f>
        <v>0.68402777777777779</v>
      </c>
    </row>
    <row r="3452" spans="1:20" hidden="1" x14ac:dyDescent="0.35">
      <c r="A3452" s="11">
        <v>46234</v>
      </c>
      <c r="B3452" s="3">
        <v>5</v>
      </c>
      <c r="C3452" t="s">
        <v>115</v>
      </c>
      <c r="D3452" t="s">
        <v>18</v>
      </c>
      <c r="E3452" s="3">
        <v>17</v>
      </c>
      <c r="F3452" t="s">
        <v>19</v>
      </c>
      <c r="G3452" t="s">
        <v>69</v>
      </c>
      <c r="H3452" t="s">
        <v>31</v>
      </c>
      <c r="I3452" s="12">
        <v>0.66319444444444442</v>
      </c>
      <c r="J3452" t="s">
        <v>70</v>
      </c>
      <c r="K3452" t="s">
        <v>31</v>
      </c>
      <c r="L3452" s="12">
        <v>0.69097222222222221</v>
      </c>
      <c r="M3452" t="s">
        <v>33</v>
      </c>
      <c r="N3452" s="3">
        <v>189</v>
      </c>
      <c r="O3452" t="s">
        <v>24</v>
      </c>
      <c r="P3452" t="s">
        <v>56</v>
      </c>
      <c r="R3452">
        <f>tblDailySchedule[[#This Row],[Capacity Approx]]*'[1]Load Factor Sheet June Acft  '!$B$5</f>
        <v>153.04704545454547</v>
      </c>
      <c r="S3452">
        <f>tblDailySchedule[[#This Row],[Capacity Approx]]*'[1]Load Factor Sheet June Acft  '!$D$5</f>
        <v>165.71863636363636</v>
      </c>
      <c r="T3452" s="22">
        <f>tblDailySchedule[[#This Row],[STD]]</f>
        <v>0.69097222222222221</v>
      </c>
    </row>
    <row r="3453" spans="1:20" hidden="1" x14ac:dyDescent="0.35">
      <c r="A3453" s="11">
        <v>46234</v>
      </c>
      <c r="B3453" s="3">
        <v>5</v>
      </c>
      <c r="C3453" t="s">
        <v>115</v>
      </c>
      <c r="D3453" t="s">
        <v>18</v>
      </c>
      <c r="E3453" s="3">
        <v>18</v>
      </c>
      <c r="F3453" t="s">
        <v>19</v>
      </c>
      <c r="G3453" t="s">
        <v>71</v>
      </c>
      <c r="H3453" t="s">
        <v>21</v>
      </c>
      <c r="I3453" s="12">
        <v>0.67013888888888884</v>
      </c>
      <c r="J3453" t="s">
        <v>72</v>
      </c>
      <c r="K3453" t="s">
        <v>21</v>
      </c>
      <c r="L3453" s="12">
        <v>0.69791666666666663</v>
      </c>
      <c r="M3453" t="s">
        <v>63</v>
      </c>
      <c r="N3453" s="3">
        <v>232</v>
      </c>
      <c r="O3453" t="s">
        <v>24</v>
      </c>
      <c r="P3453" t="s">
        <v>56</v>
      </c>
      <c r="R3453">
        <f>tblDailySchedule[[#This Row],[Capacity Approx]]*'[1]Load Factor Sheet June Acft  '!$B$5</f>
        <v>187.86727272727273</v>
      </c>
      <c r="S3453">
        <f>tblDailySchedule[[#This Row],[Capacity Approx]]*'[1]Load Factor Sheet June Acft  '!$D$5</f>
        <v>203.4218181818182</v>
      </c>
      <c r="T3453" s="22">
        <f>tblDailySchedule[[#This Row],[STD]]</f>
        <v>0.69791666666666663</v>
      </c>
    </row>
    <row r="3454" spans="1:20" hidden="1" x14ac:dyDescent="0.35">
      <c r="A3454" s="11">
        <v>46234</v>
      </c>
      <c r="B3454" s="3">
        <v>5</v>
      </c>
      <c r="C3454" t="s">
        <v>115</v>
      </c>
      <c r="D3454" t="s">
        <v>18</v>
      </c>
      <c r="E3454" s="3">
        <v>19</v>
      </c>
      <c r="F3454" t="s">
        <v>19</v>
      </c>
      <c r="G3454" t="s">
        <v>73</v>
      </c>
      <c r="H3454" t="s">
        <v>27</v>
      </c>
      <c r="I3454" s="12">
        <v>0.74652777777777779</v>
      </c>
      <c r="J3454" t="s">
        <v>74</v>
      </c>
      <c r="K3454" t="s">
        <v>27</v>
      </c>
      <c r="L3454" s="12">
        <v>0.77430555555555558</v>
      </c>
      <c r="M3454" t="s">
        <v>63</v>
      </c>
      <c r="N3454" s="3">
        <v>232</v>
      </c>
      <c r="O3454" t="s">
        <v>24</v>
      </c>
      <c r="P3454" t="s">
        <v>56</v>
      </c>
      <c r="R3454">
        <f>tblDailySchedule[[#This Row],[Capacity Approx]]*'[1]Load Factor Sheet June Acft  '!$B$5</f>
        <v>187.86727272727273</v>
      </c>
      <c r="S3454">
        <f>tblDailySchedule[[#This Row],[Capacity Approx]]*'[1]Load Factor Sheet June Acft  '!$D$5</f>
        <v>203.4218181818182</v>
      </c>
      <c r="T3454" s="22">
        <f>tblDailySchedule[[#This Row],[STD]]</f>
        <v>0.77430555555555558</v>
      </c>
    </row>
    <row r="3455" spans="1:20" hidden="1" x14ac:dyDescent="0.35">
      <c r="A3455" s="11">
        <v>46234</v>
      </c>
      <c r="B3455" s="3">
        <v>5</v>
      </c>
      <c r="C3455" t="s">
        <v>115</v>
      </c>
      <c r="D3455" t="s">
        <v>18</v>
      </c>
      <c r="E3455" s="3">
        <v>20</v>
      </c>
      <c r="F3455" t="s">
        <v>34</v>
      </c>
      <c r="G3455" t="s">
        <v>75</v>
      </c>
      <c r="H3455" t="s">
        <v>76</v>
      </c>
      <c r="I3455" s="12">
        <v>0.76388888888888884</v>
      </c>
      <c r="J3455" t="s">
        <v>77</v>
      </c>
      <c r="K3455" t="s">
        <v>78</v>
      </c>
      <c r="L3455" s="12">
        <v>0.78472222222222221</v>
      </c>
      <c r="M3455" t="s">
        <v>51</v>
      </c>
      <c r="N3455" s="3">
        <v>78</v>
      </c>
      <c r="O3455" t="s">
        <v>24</v>
      </c>
      <c r="P3455" t="s">
        <v>79</v>
      </c>
      <c r="Q3455" s="16" t="s">
        <v>80</v>
      </c>
      <c r="R3455">
        <f>tblDailySchedule[[#This Row],[Capacity Approx]]*'[1]Load Factor Sheet June Acft  '!$B$5</f>
        <v>63.162272727272729</v>
      </c>
      <c r="S3455">
        <f>tblDailySchedule[[#This Row],[Capacity Approx]]*'[1]Load Factor Sheet June Acft  '!$D$5</f>
        <v>68.391818181818181</v>
      </c>
      <c r="T3455" s="22">
        <f>tblDailySchedule[[#This Row],[STD]]</f>
        <v>0.78472222222222221</v>
      </c>
    </row>
    <row r="3456" spans="1:20" hidden="1" x14ac:dyDescent="0.35">
      <c r="A3456" s="11">
        <v>46234</v>
      </c>
      <c r="B3456" s="3">
        <v>5</v>
      </c>
      <c r="C3456" t="s">
        <v>115</v>
      </c>
      <c r="D3456" t="s">
        <v>18</v>
      </c>
      <c r="E3456" s="3">
        <v>21</v>
      </c>
      <c r="F3456" t="s">
        <v>19</v>
      </c>
      <c r="G3456" t="s">
        <v>81</v>
      </c>
      <c r="H3456" t="s">
        <v>61</v>
      </c>
      <c r="I3456" s="12">
        <v>0.77083333333333337</v>
      </c>
      <c r="J3456" t="s">
        <v>82</v>
      </c>
      <c r="K3456" t="s">
        <v>49</v>
      </c>
      <c r="L3456" s="12">
        <v>0.79166666666666663</v>
      </c>
      <c r="M3456" t="s">
        <v>33</v>
      </c>
      <c r="N3456" s="3">
        <v>189</v>
      </c>
      <c r="O3456" t="s">
        <v>24</v>
      </c>
      <c r="P3456" t="s">
        <v>79</v>
      </c>
      <c r="R3456">
        <f>tblDailySchedule[[#This Row],[Capacity Approx]]*'[1]Load Factor Sheet June Acft  '!$B$5</f>
        <v>153.04704545454547</v>
      </c>
      <c r="S3456">
        <f>tblDailySchedule[[#This Row],[Capacity Approx]]*'[1]Load Factor Sheet June Acft  '!$D$5</f>
        <v>165.71863636363636</v>
      </c>
      <c r="T3456" s="22">
        <f>tblDailySchedule[[#This Row],[STD]]</f>
        <v>0.79166666666666663</v>
      </c>
    </row>
    <row r="3457" spans="1:20" hidden="1" x14ac:dyDescent="0.35">
      <c r="A3457" s="11">
        <v>46234</v>
      </c>
      <c r="B3457" s="3">
        <v>5</v>
      </c>
      <c r="C3457" t="s">
        <v>115</v>
      </c>
      <c r="D3457" t="s">
        <v>18</v>
      </c>
      <c r="E3457" s="3">
        <v>22</v>
      </c>
      <c r="F3457" t="s">
        <v>19</v>
      </c>
      <c r="G3457" t="s">
        <v>83</v>
      </c>
      <c r="H3457" t="s">
        <v>31</v>
      </c>
      <c r="I3457" s="12">
        <v>0.77777777777777779</v>
      </c>
      <c r="J3457" t="s">
        <v>84</v>
      </c>
      <c r="K3457" t="s">
        <v>31</v>
      </c>
      <c r="L3457" s="12">
        <v>0.80555555555555558</v>
      </c>
      <c r="M3457" t="s">
        <v>63</v>
      </c>
      <c r="N3457" s="3">
        <v>232</v>
      </c>
      <c r="O3457" t="s">
        <v>24</v>
      </c>
      <c r="P3457" t="s">
        <v>79</v>
      </c>
      <c r="R3457">
        <f>tblDailySchedule[[#This Row],[Capacity Approx]]*'[1]Load Factor Sheet June Acft  '!$B$5</f>
        <v>187.86727272727273</v>
      </c>
      <c r="S3457">
        <f>tblDailySchedule[[#This Row],[Capacity Approx]]*'[1]Load Factor Sheet June Acft  '!$D$5</f>
        <v>203.4218181818182</v>
      </c>
      <c r="T3457" s="22">
        <f>tblDailySchedule[[#This Row],[STD]]</f>
        <v>0.80555555555555558</v>
      </c>
    </row>
    <row r="3458" spans="1:20" hidden="1" x14ac:dyDescent="0.35">
      <c r="A3458" s="11">
        <v>46234</v>
      </c>
      <c r="B3458" s="3">
        <v>5</v>
      </c>
      <c r="C3458" t="s">
        <v>115</v>
      </c>
      <c r="D3458" t="s">
        <v>18</v>
      </c>
      <c r="E3458" s="3">
        <v>23</v>
      </c>
      <c r="F3458" t="s">
        <v>19</v>
      </c>
      <c r="G3458" t="s">
        <v>85</v>
      </c>
      <c r="H3458" t="s">
        <v>86</v>
      </c>
      <c r="I3458" s="12">
        <v>0.79861111111111116</v>
      </c>
      <c r="J3458" t="s">
        <v>87</v>
      </c>
      <c r="K3458" t="s">
        <v>86</v>
      </c>
      <c r="L3458" s="12">
        <v>0.82638888888888884</v>
      </c>
      <c r="M3458" t="s">
        <v>63</v>
      </c>
      <c r="N3458" s="3">
        <v>232</v>
      </c>
      <c r="O3458" t="s">
        <v>24</v>
      </c>
      <c r="P3458" t="s">
        <v>79</v>
      </c>
      <c r="R3458">
        <f>tblDailySchedule[[#This Row],[Capacity Approx]]*'[1]Load Factor Sheet June Acft  '!$B$5</f>
        <v>187.86727272727273</v>
      </c>
      <c r="S3458">
        <f>tblDailySchedule[[#This Row],[Capacity Approx]]*'[1]Load Factor Sheet June Acft  '!$D$5</f>
        <v>203.4218181818182</v>
      </c>
      <c r="T3458" s="22">
        <f>tblDailySchedule[[#This Row],[STD]]</f>
        <v>0.82638888888888884</v>
      </c>
    </row>
    <row r="3459" spans="1:20" hidden="1" x14ac:dyDescent="0.35">
      <c r="A3459" s="11">
        <v>46234</v>
      </c>
      <c r="B3459" s="3">
        <v>5</v>
      </c>
      <c r="C3459" t="s">
        <v>115</v>
      </c>
      <c r="D3459" t="s">
        <v>18</v>
      </c>
      <c r="E3459" s="3">
        <v>24</v>
      </c>
      <c r="F3459" t="s">
        <v>19</v>
      </c>
      <c r="G3459" t="s">
        <v>88</v>
      </c>
      <c r="H3459" t="s">
        <v>89</v>
      </c>
      <c r="I3459" s="12">
        <v>0.83333333333333337</v>
      </c>
      <c r="J3459" t="s">
        <v>90</v>
      </c>
      <c r="K3459" t="s">
        <v>31</v>
      </c>
      <c r="L3459" s="12">
        <v>0.86111111111111116</v>
      </c>
      <c r="M3459" t="s">
        <v>63</v>
      </c>
      <c r="N3459" s="3">
        <v>232</v>
      </c>
      <c r="O3459" t="s">
        <v>24</v>
      </c>
      <c r="P3459" t="s">
        <v>79</v>
      </c>
      <c r="R3459">
        <f>tblDailySchedule[[#This Row],[Capacity Approx]]*'[1]Load Factor Sheet June Acft  '!$B$5</f>
        <v>187.86727272727273</v>
      </c>
      <c r="S3459">
        <f>tblDailySchedule[[#This Row],[Capacity Approx]]*'[1]Load Factor Sheet June Acft  '!$D$5</f>
        <v>203.4218181818182</v>
      </c>
      <c r="T3459" s="22">
        <f>tblDailySchedule[[#This Row],[STD]]</f>
        <v>0.86111111111111116</v>
      </c>
    </row>
    <row r="3460" spans="1:20" hidden="1" x14ac:dyDescent="0.35">
      <c r="A3460" s="11">
        <v>46234</v>
      </c>
      <c r="B3460" s="3">
        <v>5</v>
      </c>
      <c r="C3460" t="s">
        <v>115</v>
      </c>
      <c r="D3460" t="s">
        <v>18</v>
      </c>
      <c r="E3460" s="3">
        <v>25</v>
      </c>
      <c r="F3460" t="s">
        <v>19</v>
      </c>
      <c r="G3460" t="s">
        <v>91</v>
      </c>
      <c r="H3460" t="s">
        <v>61</v>
      </c>
      <c r="I3460" s="12">
        <v>0.85416666666666663</v>
      </c>
      <c r="J3460" t="s">
        <v>92</v>
      </c>
      <c r="K3460" t="s">
        <v>61</v>
      </c>
      <c r="L3460" s="12">
        <v>0.88194444444444442</v>
      </c>
      <c r="M3460" t="s">
        <v>63</v>
      </c>
      <c r="N3460" s="3">
        <v>232</v>
      </c>
      <c r="O3460" t="s">
        <v>24</v>
      </c>
      <c r="P3460" t="s">
        <v>79</v>
      </c>
      <c r="R3460">
        <f>tblDailySchedule[[#This Row],[Capacity Approx]]*'[1]Load Factor Sheet June Acft  '!$B$5</f>
        <v>187.86727272727273</v>
      </c>
      <c r="S3460">
        <f>tblDailySchedule[[#This Row],[Capacity Approx]]*'[1]Load Factor Sheet June Acft  '!$D$5</f>
        <v>203.4218181818182</v>
      </c>
      <c r="T3460" s="22">
        <f>tblDailySchedule[[#This Row],[STD]]</f>
        <v>0.88194444444444442</v>
      </c>
    </row>
    <row r="3461" spans="1:20" hidden="1" x14ac:dyDescent="0.35">
      <c r="A3461" s="11">
        <v>46234</v>
      </c>
      <c r="B3461" s="3">
        <v>5</v>
      </c>
      <c r="C3461" t="s">
        <v>115</v>
      </c>
      <c r="D3461" t="s">
        <v>18</v>
      </c>
      <c r="E3461" s="3">
        <v>26</v>
      </c>
      <c r="F3461" t="s">
        <v>19</v>
      </c>
      <c r="G3461" t="s">
        <v>93</v>
      </c>
      <c r="H3461" t="s">
        <v>31</v>
      </c>
      <c r="I3461" s="12">
        <v>0.86111111111111116</v>
      </c>
      <c r="J3461" t="s">
        <v>94</v>
      </c>
      <c r="K3461" t="s">
        <v>31</v>
      </c>
      <c r="L3461" s="12">
        <v>0.88888888888888884</v>
      </c>
      <c r="M3461" t="s">
        <v>23</v>
      </c>
      <c r="N3461" s="3">
        <v>186</v>
      </c>
      <c r="O3461" t="s">
        <v>24</v>
      </c>
      <c r="P3461" t="s">
        <v>79</v>
      </c>
      <c r="R3461">
        <f>tblDailySchedule[[#This Row],[Capacity Approx]]*'[1]Load Factor Sheet June Acft  '!$B$5</f>
        <v>150.61772727272728</v>
      </c>
      <c r="S3461">
        <f>tblDailySchedule[[#This Row],[Capacity Approx]]*'[1]Load Factor Sheet June Acft  '!$D$5</f>
        <v>163.08818181818182</v>
      </c>
      <c r="T3461" s="22">
        <f>tblDailySchedule[[#This Row],[STD]]</f>
        <v>0.88888888888888884</v>
      </c>
    </row>
    <row r="3462" spans="1:20" hidden="1" x14ac:dyDescent="0.35">
      <c r="A3462" s="11">
        <v>46234</v>
      </c>
      <c r="B3462" s="3">
        <v>5</v>
      </c>
      <c r="C3462" t="s">
        <v>115</v>
      </c>
      <c r="D3462" t="s">
        <v>18</v>
      </c>
      <c r="E3462" s="3">
        <v>27</v>
      </c>
      <c r="F3462" t="s">
        <v>19</v>
      </c>
      <c r="G3462" t="s">
        <v>95</v>
      </c>
      <c r="H3462" t="s">
        <v>21</v>
      </c>
      <c r="I3462" s="12">
        <v>0.86805555555555558</v>
      </c>
      <c r="J3462" t="s">
        <v>96</v>
      </c>
      <c r="K3462" t="s">
        <v>21</v>
      </c>
      <c r="L3462" s="12">
        <v>0.89583333333333337</v>
      </c>
      <c r="M3462" t="s">
        <v>29</v>
      </c>
      <c r="N3462" s="3">
        <v>186</v>
      </c>
      <c r="O3462" t="s">
        <v>24</v>
      </c>
      <c r="P3462" t="s">
        <v>79</v>
      </c>
      <c r="R3462">
        <f>tblDailySchedule[[#This Row],[Capacity Approx]]*'[1]Load Factor Sheet June Acft  '!$B$5</f>
        <v>150.61772727272728</v>
      </c>
      <c r="S3462">
        <f>tblDailySchedule[[#This Row],[Capacity Approx]]*'[1]Load Factor Sheet June Acft  '!$D$5</f>
        <v>163.08818181818182</v>
      </c>
      <c r="T3462" s="22">
        <f>tblDailySchedule[[#This Row],[STD]]</f>
        <v>0.89583333333333337</v>
      </c>
    </row>
    <row r="3463" spans="1:20" hidden="1" x14ac:dyDescent="0.35">
      <c r="A3463" s="11">
        <v>46234</v>
      </c>
      <c r="B3463" s="3">
        <v>5</v>
      </c>
      <c r="C3463" t="s">
        <v>115</v>
      </c>
      <c r="D3463" t="s">
        <v>18</v>
      </c>
      <c r="E3463" s="3">
        <v>28</v>
      </c>
      <c r="F3463" t="s">
        <v>19</v>
      </c>
      <c r="G3463" t="s">
        <v>97</v>
      </c>
      <c r="H3463" t="s">
        <v>49</v>
      </c>
      <c r="I3463" s="12">
        <v>0.90277777777777779</v>
      </c>
      <c r="J3463" t="s">
        <v>97</v>
      </c>
      <c r="K3463" t="s">
        <v>61</v>
      </c>
      <c r="L3463" s="12">
        <v>0.92361111111111116</v>
      </c>
      <c r="M3463" t="s">
        <v>33</v>
      </c>
      <c r="N3463" s="3">
        <v>189</v>
      </c>
      <c r="O3463" t="s">
        <v>24</v>
      </c>
      <c r="P3463" t="s">
        <v>79</v>
      </c>
      <c r="R3463">
        <f>tblDailySchedule[[#This Row],[Capacity Approx]]*'[1]Load Factor Sheet June Acft  '!$B$5</f>
        <v>153.04704545454547</v>
      </c>
      <c r="S3463">
        <f>tblDailySchedule[[#This Row],[Capacity Approx]]*'[1]Load Factor Sheet June Acft  '!$D$5</f>
        <v>165.71863636363636</v>
      </c>
      <c r="T3463" s="22">
        <f>tblDailySchedule[[#This Row],[STD]]</f>
        <v>0.92361111111111116</v>
      </c>
    </row>
    <row r="3464" spans="1:20" hidden="1" x14ac:dyDescent="0.35">
      <c r="A3464" s="11">
        <v>46234</v>
      </c>
      <c r="B3464" s="3">
        <v>5</v>
      </c>
      <c r="C3464" t="s">
        <v>115</v>
      </c>
      <c r="D3464" t="s">
        <v>18</v>
      </c>
      <c r="E3464" s="3">
        <v>29</v>
      </c>
      <c r="F3464" t="s">
        <v>19</v>
      </c>
      <c r="G3464" t="s">
        <v>98</v>
      </c>
      <c r="H3464" t="s">
        <v>21</v>
      </c>
      <c r="I3464" s="12">
        <v>0.92013888888888884</v>
      </c>
      <c r="J3464" t="s">
        <v>99</v>
      </c>
      <c r="K3464" t="s">
        <v>21</v>
      </c>
      <c r="L3464" s="12">
        <v>0.94791666666666663</v>
      </c>
      <c r="M3464" t="s">
        <v>63</v>
      </c>
      <c r="N3464" s="3">
        <v>232</v>
      </c>
      <c r="O3464" t="s">
        <v>24</v>
      </c>
      <c r="P3464" t="s">
        <v>79</v>
      </c>
      <c r="R3464">
        <f>tblDailySchedule[[#This Row],[Capacity Approx]]*'[1]Load Factor Sheet June Acft  '!$B$5</f>
        <v>187.86727272727273</v>
      </c>
      <c r="S3464">
        <f>tblDailySchedule[[#This Row],[Capacity Approx]]*'[1]Load Factor Sheet June Acft  '!$D$5</f>
        <v>203.4218181818182</v>
      </c>
      <c r="T3464" s="22">
        <f>tblDailySchedule[[#This Row],[STD]]</f>
        <v>0.94791666666666663</v>
      </c>
    </row>
    <row r="3465" spans="1:20" hidden="1" x14ac:dyDescent="0.35">
      <c r="A3465" s="13">
        <v>46234</v>
      </c>
      <c r="B3465" s="7">
        <v>5</v>
      </c>
      <c r="C3465" s="14" t="s">
        <v>115</v>
      </c>
      <c r="D3465" s="14" t="s">
        <v>18</v>
      </c>
      <c r="E3465" s="7">
        <v>30</v>
      </c>
      <c r="F3465" s="14" t="s">
        <v>104</v>
      </c>
      <c r="G3465" s="14" t="s">
        <v>105</v>
      </c>
      <c r="H3465" s="14" t="s">
        <v>106</v>
      </c>
      <c r="I3465" s="15">
        <v>0.92708333333333337</v>
      </c>
      <c r="J3465" s="14" t="s">
        <v>107</v>
      </c>
      <c r="K3465" s="14" t="s">
        <v>106</v>
      </c>
      <c r="L3465" s="15">
        <v>0.95833333333333337</v>
      </c>
      <c r="M3465" s="14" t="s">
        <v>38</v>
      </c>
      <c r="N3465" s="7">
        <v>186</v>
      </c>
      <c r="O3465" s="14" t="s">
        <v>39</v>
      </c>
      <c r="P3465" s="14" t="s">
        <v>79</v>
      </c>
      <c r="Q3465" s="14" t="s">
        <v>39</v>
      </c>
      <c r="R3465">
        <f>tblDailySchedule[[#This Row],[Capacity Approx]]*'[1]Load Factor Sheet June Acft  '!$B$5</f>
        <v>150.61772727272728</v>
      </c>
      <c r="S3465">
        <f>tblDailySchedule[[#This Row],[Capacity Approx]]*'[1]Load Factor Sheet June Acft  '!$D$5</f>
        <v>163.08818181818182</v>
      </c>
      <c r="T3465" s="22">
        <f>tblDailySchedule[[#This Row],[STD]]</f>
        <v>0.95833333333333337</v>
      </c>
    </row>
    <row r="3466" spans="1:20" hidden="1" x14ac:dyDescent="0.35">
      <c r="A3466" s="11">
        <v>46235</v>
      </c>
      <c r="B3466" s="3">
        <v>6</v>
      </c>
      <c r="C3466" t="s">
        <v>116</v>
      </c>
      <c r="D3466" t="s">
        <v>18</v>
      </c>
      <c r="E3466" s="3">
        <v>1</v>
      </c>
      <c r="F3466" t="s">
        <v>101</v>
      </c>
      <c r="G3466" t="s">
        <v>102</v>
      </c>
      <c r="H3466" t="s">
        <v>61</v>
      </c>
      <c r="I3466" s="12">
        <v>0.3125</v>
      </c>
      <c r="J3466" t="s">
        <v>103</v>
      </c>
      <c r="K3466" t="s">
        <v>61</v>
      </c>
      <c r="L3466" s="12">
        <v>0.33333333333333331</v>
      </c>
      <c r="M3466" t="s">
        <v>33</v>
      </c>
      <c r="N3466" s="3">
        <v>189</v>
      </c>
      <c r="O3466" t="s">
        <v>24</v>
      </c>
      <c r="P3466" t="s">
        <v>25</v>
      </c>
      <c r="R3466">
        <f>tblDailySchedule[[#This Row],[Capacity Approx]]*'[1]Load Factor Sheet June Acft  '!$B$5</f>
        <v>153.04704545454547</v>
      </c>
      <c r="S3466">
        <f>tblDailySchedule[[#This Row],[Capacity Approx]]*'[1]Load Factor Sheet June Acft  '!$D$5</f>
        <v>165.71863636363636</v>
      </c>
      <c r="T3466" s="22">
        <f>tblDailySchedule[[#This Row],[STD]]</f>
        <v>0.33333333333333331</v>
      </c>
    </row>
    <row r="3467" spans="1:20" hidden="1" x14ac:dyDescent="0.35">
      <c r="A3467" s="11">
        <v>46235</v>
      </c>
      <c r="B3467" s="3">
        <v>6</v>
      </c>
      <c r="C3467" t="s">
        <v>116</v>
      </c>
      <c r="D3467" t="s">
        <v>18</v>
      </c>
      <c r="E3467" s="3">
        <v>2</v>
      </c>
      <c r="F3467" t="s">
        <v>19</v>
      </c>
      <c r="G3467" t="s">
        <v>20</v>
      </c>
      <c r="H3467" t="s">
        <v>21</v>
      </c>
      <c r="I3467" s="12">
        <v>0.31944444444444442</v>
      </c>
      <c r="J3467" t="s">
        <v>22</v>
      </c>
      <c r="K3467" t="s">
        <v>21</v>
      </c>
      <c r="L3467" s="12">
        <v>0.34722222222222221</v>
      </c>
      <c r="M3467" t="s">
        <v>23</v>
      </c>
      <c r="N3467" s="3">
        <v>186</v>
      </c>
      <c r="O3467" t="s">
        <v>24</v>
      </c>
      <c r="P3467" t="s">
        <v>25</v>
      </c>
      <c r="R3467">
        <f>tblDailySchedule[[#This Row],[Capacity Approx]]*'[1]Load Factor Sheet June Acft  '!$B$5</f>
        <v>150.61772727272728</v>
      </c>
      <c r="S3467">
        <f>tblDailySchedule[[#This Row],[Capacity Approx]]*'[1]Load Factor Sheet June Acft  '!$D$5</f>
        <v>163.08818181818182</v>
      </c>
      <c r="T3467" s="22">
        <f>tblDailySchedule[[#This Row],[STD]]</f>
        <v>0.34722222222222221</v>
      </c>
    </row>
    <row r="3468" spans="1:20" hidden="1" x14ac:dyDescent="0.35">
      <c r="A3468" s="11">
        <v>46235</v>
      </c>
      <c r="B3468" s="3">
        <v>6</v>
      </c>
      <c r="C3468" t="s">
        <v>116</v>
      </c>
      <c r="D3468" t="s">
        <v>18</v>
      </c>
      <c r="E3468" s="3">
        <v>3</v>
      </c>
      <c r="F3468" t="s">
        <v>19</v>
      </c>
      <c r="G3468" t="s">
        <v>26</v>
      </c>
      <c r="H3468" t="s">
        <v>27</v>
      </c>
      <c r="I3468" s="12">
        <v>0.3263888888888889</v>
      </c>
      <c r="J3468" t="s">
        <v>28</v>
      </c>
      <c r="K3468" t="s">
        <v>27</v>
      </c>
      <c r="L3468" s="12">
        <v>0.35416666666666669</v>
      </c>
      <c r="M3468" t="s">
        <v>29</v>
      </c>
      <c r="N3468" s="3">
        <v>186</v>
      </c>
      <c r="O3468" t="s">
        <v>24</v>
      </c>
      <c r="P3468" t="s">
        <v>25</v>
      </c>
      <c r="R3468">
        <f>tblDailySchedule[[#This Row],[Capacity Approx]]*'[1]Load Factor Sheet June Acft  '!$B$5</f>
        <v>150.61772727272728</v>
      </c>
      <c r="S3468">
        <f>tblDailySchedule[[#This Row],[Capacity Approx]]*'[1]Load Factor Sheet June Acft  '!$D$5</f>
        <v>163.08818181818182</v>
      </c>
      <c r="T3468" s="22">
        <f>tblDailySchedule[[#This Row],[STD]]</f>
        <v>0.35416666666666669</v>
      </c>
    </row>
    <row r="3469" spans="1:20" hidden="1" x14ac:dyDescent="0.35">
      <c r="A3469" s="11">
        <v>46235</v>
      </c>
      <c r="B3469" s="3">
        <v>6</v>
      </c>
      <c r="C3469" t="s">
        <v>116</v>
      </c>
      <c r="D3469" t="s">
        <v>18</v>
      </c>
      <c r="E3469" s="3">
        <v>4</v>
      </c>
      <c r="F3469" t="s">
        <v>19</v>
      </c>
      <c r="G3469" t="s">
        <v>30</v>
      </c>
      <c r="H3469" t="s">
        <v>31</v>
      </c>
      <c r="I3469" s="12">
        <v>0.34722222222222221</v>
      </c>
      <c r="J3469" t="s">
        <v>32</v>
      </c>
      <c r="K3469" t="s">
        <v>31</v>
      </c>
      <c r="L3469" s="12">
        <v>0.36805555555555558</v>
      </c>
      <c r="M3469" t="s">
        <v>33</v>
      </c>
      <c r="N3469" s="3">
        <v>189</v>
      </c>
      <c r="O3469" t="s">
        <v>24</v>
      </c>
      <c r="P3469" t="s">
        <v>25</v>
      </c>
      <c r="R3469">
        <f>tblDailySchedule[[#This Row],[Capacity Approx]]*'[1]Load Factor Sheet June Acft  '!$B$5</f>
        <v>153.04704545454547</v>
      </c>
      <c r="S3469">
        <f>tblDailySchedule[[#This Row],[Capacity Approx]]*'[1]Load Factor Sheet June Acft  '!$D$5</f>
        <v>165.71863636363636</v>
      </c>
      <c r="T3469" s="22">
        <f>tblDailySchedule[[#This Row],[STD]]</f>
        <v>0.36805555555555558</v>
      </c>
    </row>
    <row r="3470" spans="1:20" hidden="1" x14ac:dyDescent="0.35">
      <c r="A3470" s="11">
        <v>46235</v>
      </c>
      <c r="B3470" s="3">
        <v>6</v>
      </c>
      <c r="C3470" t="s">
        <v>116</v>
      </c>
      <c r="D3470" t="s">
        <v>18</v>
      </c>
      <c r="E3470" s="3">
        <v>5</v>
      </c>
      <c r="F3470" t="s">
        <v>19</v>
      </c>
      <c r="G3470" t="s">
        <v>40</v>
      </c>
      <c r="H3470" t="s">
        <v>31</v>
      </c>
      <c r="I3470" s="12">
        <v>0.35069444444444442</v>
      </c>
      <c r="J3470" t="s">
        <v>41</v>
      </c>
      <c r="K3470" t="s">
        <v>31</v>
      </c>
      <c r="L3470" s="12">
        <v>0.37152777777777779</v>
      </c>
      <c r="M3470" t="s">
        <v>23</v>
      </c>
      <c r="N3470" s="3">
        <v>186</v>
      </c>
      <c r="O3470" t="s">
        <v>24</v>
      </c>
      <c r="P3470" t="s">
        <v>25</v>
      </c>
      <c r="R3470">
        <f>tblDailySchedule[[#This Row],[Capacity Approx]]*'[1]Load Factor Sheet June Acft  '!$B$5</f>
        <v>150.61772727272728</v>
      </c>
      <c r="S3470">
        <f>tblDailySchedule[[#This Row],[Capacity Approx]]*'[1]Load Factor Sheet June Acft  '!$D$5</f>
        <v>163.08818181818182</v>
      </c>
      <c r="T3470" s="22">
        <f>tblDailySchedule[[#This Row],[STD]]</f>
        <v>0.37152777777777779</v>
      </c>
    </row>
    <row r="3471" spans="1:20" hidden="1" x14ac:dyDescent="0.35">
      <c r="A3471" s="11">
        <v>46235</v>
      </c>
      <c r="B3471" s="3">
        <v>6</v>
      </c>
      <c r="C3471" t="s">
        <v>116</v>
      </c>
      <c r="D3471" t="s">
        <v>18</v>
      </c>
      <c r="E3471" s="3">
        <v>7</v>
      </c>
      <c r="F3471" t="s">
        <v>19</v>
      </c>
      <c r="G3471" t="s">
        <v>42</v>
      </c>
      <c r="H3471" t="s">
        <v>43</v>
      </c>
      <c r="I3471" s="12">
        <v>0.3923611111111111</v>
      </c>
      <c r="J3471" t="s">
        <v>44</v>
      </c>
      <c r="K3471" t="s">
        <v>43</v>
      </c>
      <c r="L3471" s="12">
        <v>0.40277777777777779</v>
      </c>
      <c r="M3471" t="s">
        <v>45</v>
      </c>
      <c r="N3471" s="3">
        <v>9</v>
      </c>
      <c r="O3471" t="s">
        <v>24</v>
      </c>
      <c r="P3471" t="s">
        <v>25</v>
      </c>
      <c r="R3471">
        <f>tblDailySchedule[[#This Row],[Capacity Approx]]*'[1]Load Factor Sheet June Acft  '!$B$5</f>
        <v>7.2879545454545456</v>
      </c>
      <c r="S3471">
        <f>tblDailySchedule[[#This Row],[Capacity Approx]]*'[1]Load Factor Sheet June Acft  '!$D$5</f>
        <v>7.8913636363636366</v>
      </c>
      <c r="T3471" s="22">
        <f>tblDailySchedule[[#This Row],[STD]]</f>
        <v>0.40277777777777779</v>
      </c>
    </row>
    <row r="3472" spans="1:20" hidden="1" x14ac:dyDescent="0.35">
      <c r="A3472" s="11">
        <v>46235</v>
      </c>
      <c r="B3472" s="3">
        <v>6</v>
      </c>
      <c r="C3472" t="s">
        <v>116</v>
      </c>
      <c r="D3472" t="s">
        <v>18</v>
      </c>
      <c r="E3472" s="3">
        <v>8</v>
      </c>
      <c r="F3472" t="s">
        <v>19</v>
      </c>
      <c r="G3472" t="s">
        <v>46</v>
      </c>
      <c r="H3472" t="s">
        <v>31</v>
      </c>
      <c r="I3472" s="12">
        <v>0.4201388888888889</v>
      </c>
      <c r="J3472" t="s">
        <v>47</v>
      </c>
      <c r="K3472" t="s">
        <v>31</v>
      </c>
      <c r="L3472" s="12">
        <v>0.44444444444444442</v>
      </c>
      <c r="M3472" t="s">
        <v>29</v>
      </c>
      <c r="N3472" s="3">
        <v>186</v>
      </c>
      <c r="O3472" t="s">
        <v>24</v>
      </c>
      <c r="P3472" t="s">
        <v>25</v>
      </c>
      <c r="R3472">
        <f>tblDailySchedule[[#This Row],[Capacity Approx]]*'[1]Load Factor Sheet June Acft  '!$B$5</f>
        <v>150.61772727272728</v>
      </c>
      <c r="S3472">
        <f>tblDailySchedule[[#This Row],[Capacity Approx]]*'[1]Load Factor Sheet June Acft  '!$D$5</f>
        <v>163.08818181818182</v>
      </c>
      <c r="T3472" s="22">
        <f>tblDailySchedule[[#This Row],[STD]]</f>
        <v>0.44444444444444442</v>
      </c>
    </row>
    <row r="3473" spans="1:20" hidden="1" x14ac:dyDescent="0.35">
      <c r="A3473" s="11">
        <v>46235</v>
      </c>
      <c r="B3473" s="3">
        <v>6</v>
      </c>
      <c r="C3473" t="s">
        <v>116</v>
      </c>
      <c r="D3473" t="s">
        <v>18</v>
      </c>
      <c r="E3473" s="3">
        <v>9</v>
      </c>
      <c r="F3473" t="s">
        <v>19</v>
      </c>
      <c r="G3473" t="s">
        <v>48</v>
      </c>
      <c r="H3473" t="s">
        <v>49</v>
      </c>
      <c r="I3473" s="12">
        <v>0.4375</v>
      </c>
      <c r="J3473" t="s">
        <v>50</v>
      </c>
      <c r="K3473" t="s">
        <v>49</v>
      </c>
      <c r="L3473" s="12">
        <v>0.45833333333333331</v>
      </c>
      <c r="M3473" t="s">
        <v>51</v>
      </c>
      <c r="N3473" s="3">
        <v>78</v>
      </c>
      <c r="O3473" t="s">
        <v>24</v>
      </c>
      <c r="P3473" t="s">
        <v>25</v>
      </c>
      <c r="R3473">
        <f>tblDailySchedule[[#This Row],[Capacity Approx]]*'[1]Load Factor Sheet June Acft  '!$B$5</f>
        <v>63.162272727272729</v>
      </c>
      <c r="S3473">
        <f>tblDailySchedule[[#This Row],[Capacity Approx]]*'[1]Load Factor Sheet June Acft  '!$D$5</f>
        <v>68.391818181818181</v>
      </c>
      <c r="T3473" s="22">
        <f>tblDailySchedule[[#This Row],[STD]]</f>
        <v>0.45833333333333331</v>
      </c>
    </row>
    <row r="3474" spans="1:20" hidden="1" x14ac:dyDescent="0.35">
      <c r="A3474" s="11">
        <v>46235</v>
      </c>
      <c r="B3474" s="3">
        <v>6</v>
      </c>
      <c r="C3474" t="s">
        <v>116</v>
      </c>
      <c r="D3474" t="s">
        <v>18</v>
      </c>
      <c r="E3474" s="3">
        <v>10</v>
      </c>
      <c r="F3474" t="s">
        <v>19</v>
      </c>
      <c r="G3474" t="s">
        <v>52</v>
      </c>
      <c r="H3474" t="s">
        <v>27</v>
      </c>
      <c r="I3474" s="12">
        <v>0.4826388888888889</v>
      </c>
      <c r="J3474" t="s">
        <v>53</v>
      </c>
      <c r="K3474" t="s">
        <v>27</v>
      </c>
      <c r="L3474" s="12">
        <v>0.51041666666666663</v>
      </c>
      <c r="M3474" t="s">
        <v>23</v>
      </c>
      <c r="N3474" s="3">
        <v>186</v>
      </c>
      <c r="O3474" t="s">
        <v>24</v>
      </c>
      <c r="P3474" t="s">
        <v>25</v>
      </c>
      <c r="R3474">
        <f>tblDailySchedule[[#This Row],[Capacity Approx]]*'[1]Load Factor Sheet June Acft  '!$B$5</f>
        <v>150.61772727272728</v>
      </c>
      <c r="S3474">
        <f>tblDailySchedule[[#This Row],[Capacity Approx]]*'[1]Load Factor Sheet June Acft  '!$D$5</f>
        <v>163.08818181818182</v>
      </c>
      <c r="T3474" s="22">
        <f>tblDailySchedule[[#This Row],[STD]]</f>
        <v>0.51041666666666663</v>
      </c>
    </row>
    <row r="3475" spans="1:20" hidden="1" x14ac:dyDescent="0.35">
      <c r="A3475" s="11">
        <v>46235</v>
      </c>
      <c r="B3475" s="3">
        <v>6</v>
      </c>
      <c r="C3475" t="s">
        <v>116</v>
      </c>
      <c r="D3475" t="s">
        <v>18</v>
      </c>
      <c r="E3475" s="3">
        <v>11</v>
      </c>
      <c r="F3475" t="s">
        <v>19</v>
      </c>
      <c r="G3475" t="s">
        <v>54</v>
      </c>
      <c r="H3475" t="s">
        <v>31</v>
      </c>
      <c r="I3475" s="12">
        <v>0.51388888888888884</v>
      </c>
      <c r="J3475" t="s">
        <v>55</v>
      </c>
      <c r="K3475" t="s">
        <v>31</v>
      </c>
      <c r="L3475" s="12">
        <v>0.54166666666666663</v>
      </c>
      <c r="M3475" t="s">
        <v>23</v>
      </c>
      <c r="N3475" s="3">
        <v>186</v>
      </c>
      <c r="O3475" t="s">
        <v>24</v>
      </c>
      <c r="P3475" t="s">
        <v>56</v>
      </c>
      <c r="R3475">
        <f>tblDailySchedule[[#This Row],[Capacity Approx]]*'[1]Load Factor Sheet June Acft  '!$B$5</f>
        <v>150.61772727272728</v>
      </c>
      <c r="S3475">
        <f>tblDailySchedule[[#This Row],[Capacity Approx]]*'[1]Load Factor Sheet June Acft  '!$D$5</f>
        <v>163.08818181818182</v>
      </c>
      <c r="T3475" s="22">
        <f>tblDailySchedule[[#This Row],[STD]]</f>
        <v>0.54166666666666663</v>
      </c>
    </row>
    <row r="3476" spans="1:20" hidden="1" x14ac:dyDescent="0.35">
      <c r="A3476" s="11">
        <v>46235</v>
      </c>
      <c r="B3476" s="3">
        <v>6</v>
      </c>
      <c r="C3476" t="s">
        <v>116</v>
      </c>
      <c r="D3476" t="s">
        <v>18</v>
      </c>
      <c r="E3476" s="3">
        <v>12</v>
      </c>
      <c r="F3476" t="s">
        <v>109</v>
      </c>
      <c r="G3476" t="s">
        <v>110</v>
      </c>
      <c r="H3476" t="s">
        <v>111</v>
      </c>
      <c r="I3476" s="12">
        <v>0.55555555555555558</v>
      </c>
      <c r="J3476" t="s">
        <v>112</v>
      </c>
      <c r="K3476" t="s">
        <v>111</v>
      </c>
      <c r="L3476" s="12">
        <v>0.56944444444444442</v>
      </c>
      <c r="M3476" t="s">
        <v>51</v>
      </c>
      <c r="N3476" s="3">
        <v>78</v>
      </c>
      <c r="O3476" t="s">
        <v>24</v>
      </c>
      <c r="P3476" t="s">
        <v>56</v>
      </c>
      <c r="R3476">
        <f>tblDailySchedule[[#This Row],[Capacity Approx]]*'[1]Load Factor Sheet June Acft  '!$B$5</f>
        <v>63.162272727272729</v>
      </c>
      <c r="S3476">
        <f>tblDailySchedule[[#This Row],[Capacity Approx]]*'[1]Load Factor Sheet June Acft  '!$D$5</f>
        <v>68.391818181818181</v>
      </c>
      <c r="T3476" s="22">
        <f>tblDailySchedule[[#This Row],[STD]]</f>
        <v>0.56944444444444442</v>
      </c>
    </row>
    <row r="3477" spans="1:20" hidden="1" x14ac:dyDescent="0.35">
      <c r="A3477" s="11">
        <v>46235</v>
      </c>
      <c r="B3477" s="3">
        <v>6</v>
      </c>
      <c r="C3477" t="s">
        <v>116</v>
      </c>
      <c r="D3477" t="s">
        <v>18</v>
      </c>
      <c r="E3477" s="3">
        <v>13</v>
      </c>
      <c r="F3477" t="s">
        <v>19</v>
      </c>
      <c r="G3477" t="s">
        <v>57</v>
      </c>
      <c r="H3477" t="s">
        <v>58</v>
      </c>
      <c r="I3477" s="12">
        <v>0.55902777777777779</v>
      </c>
      <c r="J3477" t="s">
        <v>59</v>
      </c>
      <c r="K3477" t="s">
        <v>58</v>
      </c>
      <c r="L3477" s="12">
        <v>0.57638888888888884</v>
      </c>
      <c r="M3477" t="s">
        <v>51</v>
      </c>
      <c r="N3477" s="3">
        <v>78</v>
      </c>
      <c r="O3477" t="s">
        <v>24</v>
      </c>
      <c r="P3477" t="s">
        <v>56</v>
      </c>
      <c r="R3477">
        <f>tblDailySchedule[[#This Row],[Capacity Approx]]*'[1]Load Factor Sheet June Acft  '!$B$5</f>
        <v>63.162272727272729</v>
      </c>
      <c r="S3477">
        <f>tblDailySchedule[[#This Row],[Capacity Approx]]*'[1]Load Factor Sheet June Acft  '!$D$5</f>
        <v>68.391818181818181</v>
      </c>
      <c r="T3477" s="22">
        <f>tblDailySchedule[[#This Row],[STD]]</f>
        <v>0.57638888888888884</v>
      </c>
    </row>
    <row r="3478" spans="1:20" hidden="1" x14ac:dyDescent="0.35">
      <c r="A3478" s="11">
        <v>46235</v>
      </c>
      <c r="B3478" s="3">
        <v>6</v>
      </c>
      <c r="C3478" t="s">
        <v>116</v>
      </c>
      <c r="D3478" t="s">
        <v>18</v>
      </c>
      <c r="E3478" s="3">
        <v>14</v>
      </c>
      <c r="F3478" t="s">
        <v>19</v>
      </c>
      <c r="G3478" t="s">
        <v>60</v>
      </c>
      <c r="H3478" t="s">
        <v>61</v>
      </c>
      <c r="I3478" s="12">
        <v>0.59027777777777779</v>
      </c>
      <c r="J3478" t="s">
        <v>62</v>
      </c>
      <c r="K3478" t="s">
        <v>61</v>
      </c>
      <c r="L3478" s="12">
        <v>0.62152777777777779</v>
      </c>
      <c r="M3478" t="s">
        <v>63</v>
      </c>
      <c r="N3478" s="3">
        <v>232</v>
      </c>
      <c r="O3478" t="s">
        <v>24</v>
      </c>
      <c r="P3478" t="s">
        <v>56</v>
      </c>
      <c r="R3478">
        <f>tblDailySchedule[[#This Row],[Capacity Approx]]*'[1]Load Factor Sheet June Acft  '!$B$5</f>
        <v>187.86727272727273</v>
      </c>
      <c r="S3478">
        <f>tblDailySchedule[[#This Row],[Capacity Approx]]*'[1]Load Factor Sheet June Acft  '!$D$5</f>
        <v>203.4218181818182</v>
      </c>
      <c r="T3478" s="22">
        <f>tblDailySchedule[[#This Row],[STD]]</f>
        <v>0.62152777777777779</v>
      </c>
    </row>
    <row r="3479" spans="1:20" hidden="1" x14ac:dyDescent="0.35">
      <c r="A3479" s="11">
        <v>46235</v>
      </c>
      <c r="B3479" s="3">
        <v>6</v>
      </c>
      <c r="C3479" t="s">
        <v>116</v>
      </c>
      <c r="D3479" t="s">
        <v>18</v>
      </c>
      <c r="E3479" s="3">
        <v>15</v>
      </c>
      <c r="F3479" t="s">
        <v>19</v>
      </c>
      <c r="G3479" t="s">
        <v>64</v>
      </c>
      <c r="H3479" t="s">
        <v>31</v>
      </c>
      <c r="I3479" s="12">
        <v>0.60069444444444442</v>
      </c>
      <c r="J3479" t="s">
        <v>65</v>
      </c>
      <c r="K3479" t="s">
        <v>66</v>
      </c>
      <c r="L3479" s="12">
        <v>0.62847222222222221</v>
      </c>
      <c r="M3479" t="s">
        <v>63</v>
      </c>
      <c r="N3479" s="3">
        <v>232</v>
      </c>
      <c r="O3479" t="s">
        <v>24</v>
      </c>
      <c r="P3479" t="s">
        <v>56</v>
      </c>
      <c r="R3479">
        <f>tblDailySchedule[[#This Row],[Capacity Approx]]*'[1]Load Factor Sheet June Acft  '!$B$5</f>
        <v>187.86727272727273</v>
      </c>
      <c r="S3479">
        <f>tblDailySchedule[[#This Row],[Capacity Approx]]*'[1]Load Factor Sheet June Acft  '!$D$5</f>
        <v>203.4218181818182</v>
      </c>
      <c r="T3479" s="22">
        <f>tblDailySchedule[[#This Row],[STD]]</f>
        <v>0.62847222222222221</v>
      </c>
    </row>
    <row r="3480" spans="1:20" hidden="1" x14ac:dyDescent="0.35">
      <c r="A3480" s="11">
        <v>46235</v>
      </c>
      <c r="B3480" s="3">
        <v>6</v>
      </c>
      <c r="C3480" t="s">
        <v>116</v>
      </c>
      <c r="D3480" t="s">
        <v>18</v>
      </c>
      <c r="E3480" s="3">
        <v>16</v>
      </c>
      <c r="F3480" t="s">
        <v>19</v>
      </c>
      <c r="G3480" t="s">
        <v>67</v>
      </c>
      <c r="H3480" t="s">
        <v>31</v>
      </c>
      <c r="I3480" s="12">
        <v>0.65625</v>
      </c>
      <c r="J3480" t="s">
        <v>68</v>
      </c>
      <c r="K3480" t="s">
        <v>31</v>
      </c>
      <c r="L3480" s="12">
        <v>0.68402777777777779</v>
      </c>
      <c r="M3480" t="s">
        <v>63</v>
      </c>
      <c r="N3480" s="3">
        <v>232</v>
      </c>
      <c r="O3480" t="s">
        <v>24</v>
      </c>
      <c r="P3480" t="s">
        <v>56</v>
      </c>
      <c r="R3480">
        <f>tblDailySchedule[[#This Row],[Capacity Approx]]*'[1]Load Factor Sheet June Acft  '!$B$5</f>
        <v>187.86727272727273</v>
      </c>
      <c r="S3480">
        <f>tblDailySchedule[[#This Row],[Capacity Approx]]*'[1]Load Factor Sheet June Acft  '!$D$5</f>
        <v>203.4218181818182</v>
      </c>
      <c r="T3480" s="22">
        <f>tblDailySchedule[[#This Row],[STD]]</f>
        <v>0.68402777777777779</v>
      </c>
    </row>
    <row r="3481" spans="1:20" hidden="1" x14ac:dyDescent="0.35">
      <c r="A3481" s="11">
        <v>46235</v>
      </c>
      <c r="B3481" s="3">
        <v>6</v>
      </c>
      <c r="C3481" t="s">
        <v>116</v>
      </c>
      <c r="D3481" t="s">
        <v>18</v>
      </c>
      <c r="E3481" s="3">
        <v>17</v>
      </c>
      <c r="F3481" t="s">
        <v>19</v>
      </c>
      <c r="G3481" t="s">
        <v>69</v>
      </c>
      <c r="H3481" t="s">
        <v>31</v>
      </c>
      <c r="I3481" s="12">
        <v>0.66319444444444442</v>
      </c>
      <c r="J3481" t="s">
        <v>70</v>
      </c>
      <c r="K3481" t="s">
        <v>31</v>
      </c>
      <c r="L3481" s="12">
        <v>0.69097222222222221</v>
      </c>
      <c r="M3481" t="s">
        <v>33</v>
      </c>
      <c r="N3481" s="3">
        <v>189</v>
      </c>
      <c r="O3481" t="s">
        <v>24</v>
      </c>
      <c r="P3481" t="s">
        <v>56</v>
      </c>
      <c r="R3481">
        <f>tblDailySchedule[[#This Row],[Capacity Approx]]*'[1]Load Factor Sheet June Acft  '!$B$5</f>
        <v>153.04704545454547</v>
      </c>
      <c r="S3481">
        <f>tblDailySchedule[[#This Row],[Capacity Approx]]*'[1]Load Factor Sheet June Acft  '!$D$5</f>
        <v>165.71863636363636</v>
      </c>
      <c r="T3481" s="22">
        <f>tblDailySchedule[[#This Row],[STD]]</f>
        <v>0.69097222222222221</v>
      </c>
    </row>
    <row r="3482" spans="1:20" hidden="1" x14ac:dyDescent="0.35">
      <c r="A3482" s="11">
        <v>46235</v>
      </c>
      <c r="B3482" s="3">
        <v>6</v>
      </c>
      <c r="C3482" t="s">
        <v>116</v>
      </c>
      <c r="D3482" t="s">
        <v>18</v>
      </c>
      <c r="E3482" s="3">
        <v>18</v>
      </c>
      <c r="F3482" t="s">
        <v>19</v>
      </c>
      <c r="G3482" t="s">
        <v>71</v>
      </c>
      <c r="H3482" t="s">
        <v>21</v>
      </c>
      <c r="I3482" s="12">
        <v>0.67013888888888884</v>
      </c>
      <c r="J3482" t="s">
        <v>72</v>
      </c>
      <c r="K3482" t="s">
        <v>21</v>
      </c>
      <c r="L3482" s="12">
        <v>0.69791666666666663</v>
      </c>
      <c r="M3482" t="s">
        <v>63</v>
      </c>
      <c r="N3482" s="3">
        <v>232</v>
      </c>
      <c r="O3482" t="s">
        <v>24</v>
      </c>
      <c r="P3482" t="s">
        <v>56</v>
      </c>
      <c r="R3482">
        <f>tblDailySchedule[[#This Row],[Capacity Approx]]*'[1]Load Factor Sheet June Acft  '!$B$5</f>
        <v>187.86727272727273</v>
      </c>
      <c r="S3482">
        <f>tblDailySchedule[[#This Row],[Capacity Approx]]*'[1]Load Factor Sheet June Acft  '!$D$5</f>
        <v>203.4218181818182</v>
      </c>
      <c r="T3482" s="22">
        <f>tblDailySchedule[[#This Row],[STD]]</f>
        <v>0.69791666666666663</v>
      </c>
    </row>
    <row r="3483" spans="1:20" hidden="1" x14ac:dyDescent="0.35">
      <c r="A3483" s="11">
        <v>46235</v>
      </c>
      <c r="B3483" s="3">
        <v>6</v>
      </c>
      <c r="C3483" t="s">
        <v>116</v>
      </c>
      <c r="D3483" t="s">
        <v>18</v>
      </c>
      <c r="E3483" s="3">
        <v>19</v>
      </c>
      <c r="F3483" t="s">
        <v>19</v>
      </c>
      <c r="G3483" t="s">
        <v>73</v>
      </c>
      <c r="H3483" t="s">
        <v>27</v>
      </c>
      <c r="I3483" s="12">
        <v>0.74652777777777779</v>
      </c>
      <c r="J3483" t="s">
        <v>74</v>
      </c>
      <c r="K3483" t="s">
        <v>27</v>
      </c>
      <c r="L3483" s="12">
        <v>0.77430555555555558</v>
      </c>
      <c r="M3483" t="s">
        <v>63</v>
      </c>
      <c r="N3483" s="3">
        <v>232</v>
      </c>
      <c r="O3483" t="s">
        <v>24</v>
      </c>
      <c r="P3483" t="s">
        <v>56</v>
      </c>
      <c r="R3483">
        <f>tblDailySchedule[[#This Row],[Capacity Approx]]*'[1]Load Factor Sheet June Acft  '!$B$5</f>
        <v>187.86727272727273</v>
      </c>
      <c r="S3483">
        <f>tblDailySchedule[[#This Row],[Capacity Approx]]*'[1]Load Factor Sheet June Acft  '!$D$5</f>
        <v>203.4218181818182</v>
      </c>
      <c r="T3483" s="22">
        <f>tblDailySchedule[[#This Row],[STD]]</f>
        <v>0.77430555555555558</v>
      </c>
    </row>
    <row r="3484" spans="1:20" hidden="1" x14ac:dyDescent="0.35">
      <c r="A3484" s="11">
        <v>46235</v>
      </c>
      <c r="B3484" s="3">
        <v>6</v>
      </c>
      <c r="C3484" t="s">
        <v>116</v>
      </c>
      <c r="D3484" t="s">
        <v>18</v>
      </c>
      <c r="E3484" s="3">
        <v>21</v>
      </c>
      <c r="F3484" t="s">
        <v>19</v>
      </c>
      <c r="G3484" t="s">
        <v>81</v>
      </c>
      <c r="H3484" t="s">
        <v>61</v>
      </c>
      <c r="I3484" s="12">
        <v>0.77083333333333337</v>
      </c>
      <c r="J3484" t="s">
        <v>82</v>
      </c>
      <c r="K3484" t="s">
        <v>49</v>
      </c>
      <c r="L3484" s="12">
        <v>0.79166666666666663</v>
      </c>
      <c r="M3484" t="s">
        <v>33</v>
      </c>
      <c r="N3484" s="3">
        <v>189</v>
      </c>
      <c r="O3484" t="s">
        <v>24</v>
      </c>
      <c r="P3484" t="s">
        <v>79</v>
      </c>
      <c r="R3484">
        <f>tblDailySchedule[[#This Row],[Capacity Approx]]*'[1]Load Factor Sheet June Acft  '!$B$5</f>
        <v>153.04704545454547</v>
      </c>
      <c r="S3484">
        <f>tblDailySchedule[[#This Row],[Capacity Approx]]*'[1]Load Factor Sheet June Acft  '!$D$5</f>
        <v>165.71863636363636</v>
      </c>
      <c r="T3484" s="22">
        <f>tblDailySchedule[[#This Row],[STD]]</f>
        <v>0.79166666666666663</v>
      </c>
    </row>
    <row r="3485" spans="1:20" hidden="1" x14ac:dyDescent="0.35">
      <c r="A3485" s="11">
        <v>46235</v>
      </c>
      <c r="B3485" s="3">
        <v>6</v>
      </c>
      <c r="C3485" t="s">
        <v>116</v>
      </c>
      <c r="D3485" t="s">
        <v>18</v>
      </c>
      <c r="E3485" s="3">
        <v>22</v>
      </c>
      <c r="F3485" t="s">
        <v>19</v>
      </c>
      <c r="G3485" t="s">
        <v>83</v>
      </c>
      <c r="H3485" t="s">
        <v>31</v>
      </c>
      <c r="I3485" s="12">
        <v>0.77777777777777779</v>
      </c>
      <c r="J3485" t="s">
        <v>84</v>
      </c>
      <c r="K3485" t="s">
        <v>31</v>
      </c>
      <c r="L3485" s="12">
        <v>0.80555555555555558</v>
      </c>
      <c r="M3485" t="s">
        <v>63</v>
      </c>
      <c r="N3485" s="3">
        <v>232</v>
      </c>
      <c r="O3485" t="s">
        <v>24</v>
      </c>
      <c r="P3485" t="s">
        <v>79</v>
      </c>
      <c r="R3485">
        <f>tblDailySchedule[[#This Row],[Capacity Approx]]*'[1]Load Factor Sheet June Acft  '!$B$5</f>
        <v>187.86727272727273</v>
      </c>
      <c r="S3485">
        <f>tblDailySchedule[[#This Row],[Capacity Approx]]*'[1]Load Factor Sheet June Acft  '!$D$5</f>
        <v>203.4218181818182</v>
      </c>
      <c r="T3485" s="22">
        <f>tblDailySchedule[[#This Row],[STD]]</f>
        <v>0.80555555555555558</v>
      </c>
    </row>
    <row r="3486" spans="1:20" hidden="1" x14ac:dyDescent="0.35">
      <c r="A3486" s="11">
        <v>46235</v>
      </c>
      <c r="B3486" s="3">
        <v>6</v>
      </c>
      <c r="C3486" t="s">
        <v>116</v>
      </c>
      <c r="D3486" t="s">
        <v>18</v>
      </c>
      <c r="E3486" s="3">
        <v>23</v>
      </c>
      <c r="F3486" t="s">
        <v>19</v>
      </c>
      <c r="G3486" t="s">
        <v>85</v>
      </c>
      <c r="H3486" t="s">
        <v>86</v>
      </c>
      <c r="I3486" s="12">
        <v>0.79861111111111116</v>
      </c>
      <c r="J3486" t="s">
        <v>87</v>
      </c>
      <c r="K3486" t="s">
        <v>86</v>
      </c>
      <c r="L3486" s="12">
        <v>0.82638888888888884</v>
      </c>
      <c r="M3486" t="s">
        <v>63</v>
      </c>
      <c r="N3486" s="3">
        <v>232</v>
      </c>
      <c r="O3486" t="s">
        <v>24</v>
      </c>
      <c r="P3486" t="s">
        <v>79</v>
      </c>
      <c r="R3486">
        <f>tblDailySchedule[[#This Row],[Capacity Approx]]*'[1]Load Factor Sheet June Acft  '!$B$5</f>
        <v>187.86727272727273</v>
      </c>
      <c r="S3486">
        <f>tblDailySchedule[[#This Row],[Capacity Approx]]*'[1]Load Factor Sheet June Acft  '!$D$5</f>
        <v>203.4218181818182</v>
      </c>
      <c r="T3486" s="22">
        <f>tblDailySchedule[[#This Row],[STD]]</f>
        <v>0.82638888888888884</v>
      </c>
    </row>
    <row r="3487" spans="1:20" hidden="1" x14ac:dyDescent="0.35">
      <c r="A3487" s="11">
        <v>46235</v>
      </c>
      <c r="B3487" s="3">
        <v>6</v>
      </c>
      <c r="C3487" t="s">
        <v>116</v>
      </c>
      <c r="D3487" t="s">
        <v>18</v>
      </c>
      <c r="E3487" s="3">
        <v>24</v>
      </c>
      <c r="F3487" t="s">
        <v>19</v>
      </c>
      <c r="G3487" t="s">
        <v>88</v>
      </c>
      <c r="H3487" t="s">
        <v>89</v>
      </c>
      <c r="I3487" s="12">
        <v>0.83333333333333337</v>
      </c>
      <c r="J3487" t="s">
        <v>90</v>
      </c>
      <c r="K3487" t="s">
        <v>31</v>
      </c>
      <c r="L3487" s="12">
        <v>0.86111111111111116</v>
      </c>
      <c r="M3487" t="s">
        <v>63</v>
      </c>
      <c r="N3487" s="3">
        <v>232</v>
      </c>
      <c r="O3487" t="s">
        <v>24</v>
      </c>
      <c r="P3487" t="s">
        <v>79</v>
      </c>
      <c r="R3487">
        <f>tblDailySchedule[[#This Row],[Capacity Approx]]*'[1]Load Factor Sheet June Acft  '!$B$5</f>
        <v>187.86727272727273</v>
      </c>
      <c r="S3487">
        <f>tblDailySchedule[[#This Row],[Capacity Approx]]*'[1]Load Factor Sheet June Acft  '!$D$5</f>
        <v>203.4218181818182</v>
      </c>
      <c r="T3487" s="22">
        <f>tblDailySchedule[[#This Row],[STD]]</f>
        <v>0.86111111111111116</v>
      </c>
    </row>
    <row r="3488" spans="1:20" hidden="1" x14ac:dyDescent="0.35">
      <c r="A3488" s="11">
        <v>46235</v>
      </c>
      <c r="B3488" s="3">
        <v>6</v>
      </c>
      <c r="C3488" t="s">
        <v>116</v>
      </c>
      <c r="D3488" t="s">
        <v>18</v>
      </c>
      <c r="E3488" s="3">
        <v>25</v>
      </c>
      <c r="F3488" t="s">
        <v>19</v>
      </c>
      <c r="G3488" t="s">
        <v>91</v>
      </c>
      <c r="H3488" t="s">
        <v>61</v>
      </c>
      <c r="I3488" s="12">
        <v>0.85416666666666663</v>
      </c>
      <c r="J3488" t="s">
        <v>92</v>
      </c>
      <c r="K3488" t="s">
        <v>61</v>
      </c>
      <c r="L3488" s="12">
        <v>0.88194444444444442</v>
      </c>
      <c r="M3488" t="s">
        <v>63</v>
      </c>
      <c r="N3488" s="3">
        <v>232</v>
      </c>
      <c r="O3488" t="s">
        <v>24</v>
      </c>
      <c r="P3488" t="s">
        <v>79</v>
      </c>
      <c r="R3488">
        <f>tblDailySchedule[[#This Row],[Capacity Approx]]*'[1]Load Factor Sheet June Acft  '!$B$5</f>
        <v>187.86727272727273</v>
      </c>
      <c r="S3488">
        <f>tblDailySchedule[[#This Row],[Capacity Approx]]*'[1]Load Factor Sheet June Acft  '!$D$5</f>
        <v>203.4218181818182</v>
      </c>
      <c r="T3488" s="22">
        <f>tblDailySchedule[[#This Row],[STD]]</f>
        <v>0.88194444444444442</v>
      </c>
    </row>
    <row r="3489" spans="1:20" hidden="1" x14ac:dyDescent="0.35">
      <c r="A3489" s="11">
        <v>46235</v>
      </c>
      <c r="B3489" s="3">
        <v>6</v>
      </c>
      <c r="C3489" t="s">
        <v>116</v>
      </c>
      <c r="D3489" t="s">
        <v>18</v>
      </c>
      <c r="E3489" s="3">
        <v>26</v>
      </c>
      <c r="F3489" t="s">
        <v>19</v>
      </c>
      <c r="G3489" t="s">
        <v>93</v>
      </c>
      <c r="H3489" t="s">
        <v>31</v>
      </c>
      <c r="I3489" s="12">
        <v>0.86111111111111116</v>
      </c>
      <c r="J3489" t="s">
        <v>94</v>
      </c>
      <c r="K3489" t="s">
        <v>31</v>
      </c>
      <c r="L3489" s="12">
        <v>0.88888888888888884</v>
      </c>
      <c r="M3489" t="s">
        <v>23</v>
      </c>
      <c r="N3489" s="3">
        <v>186</v>
      </c>
      <c r="O3489" t="s">
        <v>24</v>
      </c>
      <c r="P3489" t="s">
        <v>79</v>
      </c>
      <c r="R3489">
        <f>tblDailySchedule[[#This Row],[Capacity Approx]]*'[1]Load Factor Sheet June Acft  '!$B$5</f>
        <v>150.61772727272728</v>
      </c>
      <c r="S3489">
        <f>tblDailySchedule[[#This Row],[Capacity Approx]]*'[1]Load Factor Sheet June Acft  '!$D$5</f>
        <v>163.08818181818182</v>
      </c>
      <c r="T3489" s="22">
        <f>tblDailySchedule[[#This Row],[STD]]</f>
        <v>0.88888888888888884</v>
      </c>
    </row>
    <row r="3490" spans="1:20" hidden="1" x14ac:dyDescent="0.35">
      <c r="A3490" s="11">
        <v>46235</v>
      </c>
      <c r="B3490" s="3">
        <v>6</v>
      </c>
      <c r="C3490" t="s">
        <v>116</v>
      </c>
      <c r="D3490" t="s">
        <v>18</v>
      </c>
      <c r="E3490" s="3">
        <v>27</v>
      </c>
      <c r="F3490" t="s">
        <v>19</v>
      </c>
      <c r="G3490" t="s">
        <v>95</v>
      </c>
      <c r="H3490" t="s">
        <v>21</v>
      </c>
      <c r="I3490" s="12">
        <v>0.86805555555555558</v>
      </c>
      <c r="J3490" t="s">
        <v>96</v>
      </c>
      <c r="K3490" t="s">
        <v>21</v>
      </c>
      <c r="L3490" s="12">
        <v>0.89583333333333337</v>
      </c>
      <c r="M3490" t="s">
        <v>29</v>
      </c>
      <c r="N3490" s="3">
        <v>186</v>
      </c>
      <c r="O3490" t="s">
        <v>24</v>
      </c>
      <c r="P3490" t="s">
        <v>79</v>
      </c>
      <c r="R3490">
        <f>tblDailySchedule[[#This Row],[Capacity Approx]]*'[1]Load Factor Sheet June Acft  '!$B$5</f>
        <v>150.61772727272728</v>
      </c>
      <c r="S3490">
        <f>tblDailySchedule[[#This Row],[Capacity Approx]]*'[1]Load Factor Sheet June Acft  '!$D$5</f>
        <v>163.08818181818182</v>
      </c>
      <c r="T3490" s="22">
        <f>tblDailySchedule[[#This Row],[STD]]</f>
        <v>0.89583333333333337</v>
      </c>
    </row>
    <row r="3491" spans="1:20" hidden="1" x14ac:dyDescent="0.35">
      <c r="A3491" s="11">
        <v>46235</v>
      </c>
      <c r="B3491" s="3">
        <v>6</v>
      </c>
      <c r="C3491" t="s">
        <v>116</v>
      </c>
      <c r="D3491" t="s">
        <v>18</v>
      </c>
      <c r="E3491" s="3">
        <v>28</v>
      </c>
      <c r="F3491" t="s">
        <v>19</v>
      </c>
      <c r="G3491" t="s">
        <v>97</v>
      </c>
      <c r="H3491" t="s">
        <v>49</v>
      </c>
      <c r="I3491" s="12">
        <v>0.90277777777777779</v>
      </c>
      <c r="J3491" t="s">
        <v>97</v>
      </c>
      <c r="K3491" t="s">
        <v>61</v>
      </c>
      <c r="L3491" s="12">
        <v>0.92361111111111116</v>
      </c>
      <c r="M3491" t="s">
        <v>33</v>
      </c>
      <c r="N3491" s="3">
        <v>189</v>
      </c>
      <c r="O3491" t="s">
        <v>24</v>
      </c>
      <c r="P3491" t="s">
        <v>79</v>
      </c>
      <c r="R3491">
        <f>tblDailySchedule[[#This Row],[Capacity Approx]]*'[1]Load Factor Sheet June Acft  '!$B$5</f>
        <v>153.04704545454547</v>
      </c>
      <c r="S3491">
        <f>tblDailySchedule[[#This Row],[Capacity Approx]]*'[1]Load Factor Sheet June Acft  '!$D$5</f>
        <v>165.71863636363636</v>
      </c>
      <c r="T3491" s="22">
        <f>tblDailySchedule[[#This Row],[STD]]</f>
        <v>0.92361111111111116</v>
      </c>
    </row>
    <row r="3492" spans="1:20" hidden="1" x14ac:dyDescent="0.35">
      <c r="A3492" s="11">
        <v>46235</v>
      </c>
      <c r="B3492" s="3">
        <v>6</v>
      </c>
      <c r="C3492" t="s">
        <v>116</v>
      </c>
      <c r="D3492" t="s">
        <v>18</v>
      </c>
      <c r="E3492" s="3">
        <v>29</v>
      </c>
      <c r="F3492" t="s">
        <v>19</v>
      </c>
      <c r="G3492" t="s">
        <v>98</v>
      </c>
      <c r="H3492" t="s">
        <v>21</v>
      </c>
      <c r="I3492" s="12">
        <v>0.92013888888888884</v>
      </c>
      <c r="J3492" t="s">
        <v>99</v>
      </c>
      <c r="K3492" t="s">
        <v>21</v>
      </c>
      <c r="L3492" s="12">
        <v>0.94791666666666663</v>
      </c>
      <c r="M3492" t="s">
        <v>63</v>
      </c>
      <c r="N3492" s="3">
        <v>232</v>
      </c>
      <c r="O3492" t="s">
        <v>24</v>
      </c>
      <c r="P3492" t="s">
        <v>79</v>
      </c>
      <c r="R3492">
        <f>tblDailySchedule[[#This Row],[Capacity Approx]]*'[1]Load Factor Sheet June Acft  '!$B$5</f>
        <v>187.86727272727273</v>
      </c>
      <c r="S3492">
        <f>tblDailySchedule[[#This Row],[Capacity Approx]]*'[1]Load Factor Sheet June Acft  '!$D$5</f>
        <v>203.4218181818182</v>
      </c>
      <c r="T3492" s="22">
        <f>tblDailySchedule[[#This Row],[STD]]</f>
        <v>0.94791666666666663</v>
      </c>
    </row>
    <row r="3493" spans="1:20" hidden="1" x14ac:dyDescent="0.35">
      <c r="A3493" s="13">
        <v>46235</v>
      </c>
      <c r="B3493" s="7">
        <v>6</v>
      </c>
      <c r="C3493" s="14" t="s">
        <v>116</v>
      </c>
      <c r="D3493" s="14" t="s">
        <v>18</v>
      </c>
      <c r="E3493" s="7">
        <v>30</v>
      </c>
      <c r="F3493" s="14" t="s">
        <v>104</v>
      </c>
      <c r="G3493" s="14" t="s">
        <v>105</v>
      </c>
      <c r="H3493" s="14" t="s">
        <v>106</v>
      </c>
      <c r="I3493" s="15">
        <v>0.92708333333333337</v>
      </c>
      <c r="J3493" s="14" t="s">
        <v>107</v>
      </c>
      <c r="K3493" s="14" t="s">
        <v>106</v>
      </c>
      <c r="L3493" s="15">
        <v>0.95833333333333337</v>
      </c>
      <c r="M3493" s="14" t="s">
        <v>38</v>
      </c>
      <c r="N3493" s="7">
        <v>186</v>
      </c>
      <c r="O3493" s="14" t="s">
        <v>39</v>
      </c>
      <c r="P3493" s="14" t="s">
        <v>79</v>
      </c>
      <c r="Q3493" s="14" t="s">
        <v>39</v>
      </c>
      <c r="R3493">
        <f>tblDailySchedule[[#This Row],[Capacity Approx]]*'[1]Load Factor Sheet June Acft  '!$B$5</f>
        <v>150.61772727272728</v>
      </c>
      <c r="S3493">
        <f>tblDailySchedule[[#This Row],[Capacity Approx]]*'[1]Load Factor Sheet June Acft  '!$D$5</f>
        <v>163.08818181818182</v>
      </c>
      <c r="T3493" s="22">
        <f>tblDailySchedule[[#This Row],[STD]]</f>
        <v>0.95833333333333337</v>
      </c>
    </row>
    <row r="3494" spans="1:20" hidden="1" x14ac:dyDescent="0.35">
      <c r="A3494" s="11">
        <v>46236</v>
      </c>
      <c r="B3494" s="3">
        <v>7</v>
      </c>
      <c r="C3494" t="s">
        <v>17</v>
      </c>
      <c r="D3494" t="s">
        <v>18</v>
      </c>
      <c r="E3494" s="3">
        <v>2</v>
      </c>
      <c r="F3494" t="s">
        <v>19</v>
      </c>
      <c r="G3494" t="s">
        <v>20</v>
      </c>
      <c r="H3494" t="s">
        <v>21</v>
      </c>
      <c r="I3494" s="12">
        <v>0.31944444444444442</v>
      </c>
      <c r="J3494" t="s">
        <v>22</v>
      </c>
      <c r="K3494" t="s">
        <v>21</v>
      </c>
      <c r="L3494" s="12">
        <v>0.34722222222222221</v>
      </c>
      <c r="M3494" t="s">
        <v>23</v>
      </c>
      <c r="N3494" s="3">
        <v>186</v>
      </c>
      <c r="O3494" t="s">
        <v>24</v>
      </c>
      <c r="P3494" t="s">
        <v>25</v>
      </c>
      <c r="R3494">
        <f>tblDailySchedule[[#This Row],[Capacity Approx]]*'[1]Load Factor Sheet June Acft  '!$B$5</f>
        <v>150.61772727272728</v>
      </c>
      <c r="S3494">
        <f>tblDailySchedule[[#This Row],[Capacity Approx]]*'[1]Load Factor Sheet June Acft  '!$D$5</f>
        <v>163.08818181818182</v>
      </c>
      <c r="T3494" s="22">
        <f>tblDailySchedule[[#This Row],[STD]]</f>
        <v>0.34722222222222221</v>
      </c>
    </row>
    <row r="3495" spans="1:20" hidden="1" x14ac:dyDescent="0.35">
      <c r="A3495" s="11">
        <v>46236</v>
      </c>
      <c r="B3495" s="3">
        <v>7</v>
      </c>
      <c r="C3495" t="s">
        <v>17</v>
      </c>
      <c r="D3495" t="s">
        <v>18</v>
      </c>
      <c r="E3495" s="3">
        <v>3</v>
      </c>
      <c r="F3495" t="s">
        <v>19</v>
      </c>
      <c r="G3495" t="s">
        <v>26</v>
      </c>
      <c r="H3495" t="s">
        <v>27</v>
      </c>
      <c r="I3495" s="12">
        <v>0.3263888888888889</v>
      </c>
      <c r="J3495" t="s">
        <v>28</v>
      </c>
      <c r="K3495" t="s">
        <v>27</v>
      </c>
      <c r="L3495" s="12">
        <v>0.35416666666666669</v>
      </c>
      <c r="M3495" t="s">
        <v>29</v>
      </c>
      <c r="N3495" s="3">
        <v>186</v>
      </c>
      <c r="O3495" t="s">
        <v>24</v>
      </c>
      <c r="P3495" t="s">
        <v>25</v>
      </c>
      <c r="R3495">
        <f>tblDailySchedule[[#This Row],[Capacity Approx]]*'[1]Load Factor Sheet June Acft  '!$B$5</f>
        <v>150.61772727272728</v>
      </c>
      <c r="S3495">
        <f>tblDailySchedule[[#This Row],[Capacity Approx]]*'[1]Load Factor Sheet June Acft  '!$D$5</f>
        <v>163.08818181818182</v>
      </c>
      <c r="T3495" s="22">
        <f>tblDailySchedule[[#This Row],[STD]]</f>
        <v>0.35416666666666669</v>
      </c>
    </row>
    <row r="3496" spans="1:20" hidden="1" x14ac:dyDescent="0.35">
      <c r="A3496" s="11">
        <v>46236</v>
      </c>
      <c r="B3496" s="3">
        <v>7</v>
      </c>
      <c r="C3496" t="s">
        <v>17</v>
      </c>
      <c r="D3496" t="s">
        <v>18</v>
      </c>
      <c r="E3496" s="3">
        <v>4</v>
      </c>
      <c r="F3496" t="s">
        <v>19</v>
      </c>
      <c r="G3496" t="s">
        <v>30</v>
      </c>
      <c r="H3496" t="s">
        <v>31</v>
      </c>
      <c r="I3496" s="12">
        <v>0.34722222222222221</v>
      </c>
      <c r="J3496" t="s">
        <v>32</v>
      </c>
      <c r="K3496" t="s">
        <v>31</v>
      </c>
      <c r="L3496" s="12">
        <v>0.36805555555555558</v>
      </c>
      <c r="M3496" t="s">
        <v>33</v>
      </c>
      <c r="N3496" s="3">
        <v>189</v>
      </c>
      <c r="O3496" t="s">
        <v>24</v>
      </c>
      <c r="P3496" t="s">
        <v>25</v>
      </c>
      <c r="R3496">
        <f>tblDailySchedule[[#This Row],[Capacity Approx]]*'[1]Load Factor Sheet June Acft  '!$B$5</f>
        <v>153.04704545454547</v>
      </c>
      <c r="S3496">
        <f>tblDailySchedule[[#This Row],[Capacity Approx]]*'[1]Load Factor Sheet June Acft  '!$D$5</f>
        <v>165.71863636363636</v>
      </c>
      <c r="T3496" s="22">
        <f>tblDailySchedule[[#This Row],[STD]]</f>
        <v>0.36805555555555558</v>
      </c>
    </row>
    <row r="3497" spans="1:20" hidden="1" x14ac:dyDescent="0.35">
      <c r="A3497" s="13">
        <v>46236</v>
      </c>
      <c r="B3497" s="7">
        <v>7</v>
      </c>
      <c r="C3497" s="14" t="s">
        <v>17</v>
      </c>
      <c r="D3497" s="14" t="s">
        <v>18</v>
      </c>
      <c r="E3497" s="7">
        <v>6</v>
      </c>
      <c r="F3497" s="14" t="s">
        <v>34</v>
      </c>
      <c r="G3497" s="14" t="s">
        <v>35</v>
      </c>
      <c r="H3497" s="14" t="s">
        <v>36</v>
      </c>
      <c r="I3497" s="15">
        <v>0.34722222222222221</v>
      </c>
      <c r="J3497" s="14" t="s">
        <v>37</v>
      </c>
      <c r="K3497" s="14" t="s">
        <v>36</v>
      </c>
      <c r="L3497" s="15">
        <v>0.40972222222222221</v>
      </c>
      <c r="M3497" s="14" t="s">
        <v>38</v>
      </c>
      <c r="N3497" s="7">
        <v>186</v>
      </c>
      <c r="O3497" s="14" t="s">
        <v>39</v>
      </c>
      <c r="P3497" s="14" t="s">
        <v>25</v>
      </c>
      <c r="Q3497" s="14" t="s">
        <v>39</v>
      </c>
      <c r="R3497">
        <f>tblDailySchedule[[#This Row],[Capacity Approx]]*'[1]Load Factor Sheet June Acft  '!$B$5</f>
        <v>150.61772727272728</v>
      </c>
      <c r="S3497">
        <f>tblDailySchedule[[#This Row],[Capacity Approx]]*'[1]Load Factor Sheet June Acft  '!$D$5</f>
        <v>163.08818181818182</v>
      </c>
      <c r="T3497" s="22">
        <f>tblDailySchedule[[#This Row],[STD]]</f>
        <v>0.40972222222222221</v>
      </c>
    </row>
    <row r="3498" spans="1:20" hidden="1" x14ac:dyDescent="0.35">
      <c r="A3498" s="11">
        <v>46236</v>
      </c>
      <c r="B3498" s="3">
        <v>7</v>
      </c>
      <c r="C3498" t="s">
        <v>17</v>
      </c>
      <c r="D3498" t="s">
        <v>18</v>
      </c>
      <c r="E3498" s="3">
        <v>5</v>
      </c>
      <c r="F3498" t="s">
        <v>19</v>
      </c>
      <c r="G3498" t="s">
        <v>40</v>
      </c>
      <c r="H3498" t="s">
        <v>31</v>
      </c>
      <c r="I3498" s="12">
        <v>0.35069444444444442</v>
      </c>
      <c r="J3498" t="s">
        <v>41</v>
      </c>
      <c r="K3498" t="s">
        <v>31</v>
      </c>
      <c r="L3498" s="12">
        <v>0.37152777777777779</v>
      </c>
      <c r="M3498" t="s">
        <v>23</v>
      </c>
      <c r="N3498" s="3">
        <v>186</v>
      </c>
      <c r="O3498" t="s">
        <v>24</v>
      </c>
      <c r="P3498" t="s">
        <v>25</v>
      </c>
      <c r="R3498">
        <f>tblDailySchedule[[#This Row],[Capacity Approx]]*'[1]Load Factor Sheet June Acft  '!$B$5</f>
        <v>150.61772727272728</v>
      </c>
      <c r="S3498">
        <f>tblDailySchedule[[#This Row],[Capacity Approx]]*'[1]Load Factor Sheet June Acft  '!$D$5</f>
        <v>163.08818181818182</v>
      </c>
      <c r="T3498" s="22">
        <f>tblDailySchedule[[#This Row],[STD]]</f>
        <v>0.37152777777777779</v>
      </c>
    </row>
    <row r="3499" spans="1:20" hidden="1" x14ac:dyDescent="0.35">
      <c r="A3499" s="11">
        <v>46236</v>
      </c>
      <c r="B3499" s="3">
        <v>7</v>
      </c>
      <c r="C3499" t="s">
        <v>17</v>
      </c>
      <c r="D3499" t="s">
        <v>18</v>
      </c>
      <c r="E3499" s="3">
        <v>7</v>
      </c>
      <c r="F3499" t="s">
        <v>19</v>
      </c>
      <c r="G3499" t="s">
        <v>42</v>
      </c>
      <c r="H3499" t="s">
        <v>43</v>
      </c>
      <c r="I3499" s="12">
        <v>0.3923611111111111</v>
      </c>
      <c r="J3499" t="s">
        <v>44</v>
      </c>
      <c r="K3499" t="s">
        <v>43</v>
      </c>
      <c r="L3499" s="12">
        <v>0.40277777777777779</v>
      </c>
      <c r="M3499" t="s">
        <v>45</v>
      </c>
      <c r="N3499" s="3">
        <v>9</v>
      </c>
      <c r="O3499" t="s">
        <v>24</v>
      </c>
      <c r="P3499" t="s">
        <v>25</v>
      </c>
      <c r="R3499">
        <f>tblDailySchedule[[#This Row],[Capacity Approx]]*'[1]Load Factor Sheet June Acft  '!$B$5</f>
        <v>7.2879545454545456</v>
      </c>
      <c r="S3499">
        <f>tblDailySchedule[[#This Row],[Capacity Approx]]*'[1]Load Factor Sheet June Acft  '!$D$5</f>
        <v>7.8913636363636366</v>
      </c>
      <c r="T3499" s="22">
        <f>tblDailySchedule[[#This Row],[STD]]</f>
        <v>0.40277777777777779</v>
      </c>
    </row>
    <row r="3500" spans="1:20" hidden="1" x14ac:dyDescent="0.35">
      <c r="A3500" s="11">
        <v>46236</v>
      </c>
      <c r="B3500" s="3">
        <v>7</v>
      </c>
      <c r="C3500" t="s">
        <v>17</v>
      </c>
      <c r="D3500" t="s">
        <v>18</v>
      </c>
      <c r="E3500" s="3">
        <v>8</v>
      </c>
      <c r="F3500" t="s">
        <v>19</v>
      </c>
      <c r="G3500" t="s">
        <v>46</v>
      </c>
      <c r="H3500" t="s">
        <v>31</v>
      </c>
      <c r="I3500" s="12">
        <v>0.4201388888888889</v>
      </c>
      <c r="J3500" t="s">
        <v>47</v>
      </c>
      <c r="K3500" t="s">
        <v>31</v>
      </c>
      <c r="L3500" s="12">
        <v>0.44444444444444442</v>
      </c>
      <c r="M3500" t="s">
        <v>29</v>
      </c>
      <c r="N3500" s="3">
        <v>186</v>
      </c>
      <c r="O3500" t="s">
        <v>24</v>
      </c>
      <c r="P3500" t="s">
        <v>25</v>
      </c>
      <c r="R3500">
        <f>tblDailySchedule[[#This Row],[Capacity Approx]]*'[1]Load Factor Sheet June Acft  '!$B$5</f>
        <v>150.61772727272728</v>
      </c>
      <c r="S3500">
        <f>tblDailySchedule[[#This Row],[Capacity Approx]]*'[1]Load Factor Sheet June Acft  '!$D$5</f>
        <v>163.08818181818182</v>
      </c>
      <c r="T3500" s="22">
        <f>tblDailySchedule[[#This Row],[STD]]</f>
        <v>0.44444444444444442</v>
      </c>
    </row>
    <row r="3501" spans="1:20" hidden="1" x14ac:dyDescent="0.35">
      <c r="A3501" s="11">
        <v>46236</v>
      </c>
      <c r="B3501" s="3">
        <v>7</v>
      </c>
      <c r="C3501" t="s">
        <v>17</v>
      </c>
      <c r="D3501" t="s">
        <v>18</v>
      </c>
      <c r="E3501" s="3">
        <v>9</v>
      </c>
      <c r="F3501" t="s">
        <v>19</v>
      </c>
      <c r="G3501" t="s">
        <v>48</v>
      </c>
      <c r="H3501" t="s">
        <v>49</v>
      </c>
      <c r="I3501" s="12">
        <v>0.4375</v>
      </c>
      <c r="J3501" t="s">
        <v>50</v>
      </c>
      <c r="K3501" t="s">
        <v>49</v>
      </c>
      <c r="L3501" s="12">
        <v>0.45833333333333331</v>
      </c>
      <c r="M3501" t="s">
        <v>51</v>
      </c>
      <c r="N3501" s="3">
        <v>78</v>
      </c>
      <c r="O3501" t="s">
        <v>24</v>
      </c>
      <c r="P3501" t="s">
        <v>25</v>
      </c>
      <c r="R3501">
        <f>tblDailySchedule[[#This Row],[Capacity Approx]]*'[1]Load Factor Sheet June Acft  '!$B$5</f>
        <v>63.162272727272729</v>
      </c>
      <c r="S3501">
        <f>tblDailySchedule[[#This Row],[Capacity Approx]]*'[1]Load Factor Sheet June Acft  '!$D$5</f>
        <v>68.391818181818181</v>
      </c>
      <c r="T3501" s="22">
        <f>tblDailySchedule[[#This Row],[STD]]</f>
        <v>0.45833333333333331</v>
      </c>
    </row>
    <row r="3502" spans="1:20" hidden="1" x14ac:dyDescent="0.35">
      <c r="A3502" s="11">
        <v>46236</v>
      </c>
      <c r="B3502" s="3">
        <v>7</v>
      </c>
      <c r="C3502" t="s">
        <v>17</v>
      </c>
      <c r="D3502" t="s">
        <v>18</v>
      </c>
      <c r="E3502" s="3">
        <v>10</v>
      </c>
      <c r="F3502" t="s">
        <v>19</v>
      </c>
      <c r="G3502" t="s">
        <v>52</v>
      </c>
      <c r="H3502" t="s">
        <v>27</v>
      </c>
      <c r="I3502" s="12">
        <v>0.4826388888888889</v>
      </c>
      <c r="J3502" t="s">
        <v>53</v>
      </c>
      <c r="K3502" t="s">
        <v>27</v>
      </c>
      <c r="L3502" s="12">
        <v>0.51041666666666663</v>
      </c>
      <c r="M3502" t="s">
        <v>23</v>
      </c>
      <c r="N3502" s="3">
        <v>186</v>
      </c>
      <c r="O3502" t="s">
        <v>24</v>
      </c>
      <c r="P3502" t="s">
        <v>25</v>
      </c>
      <c r="R3502">
        <f>tblDailySchedule[[#This Row],[Capacity Approx]]*'[1]Load Factor Sheet June Acft  '!$B$5</f>
        <v>150.61772727272728</v>
      </c>
      <c r="S3502">
        <f>tblDailySchedule[[#This Row],[Capacity Approx]]*'[1]Load Factor Sheet June Acft  '!$D$5</f>
        <v>163.08818181818182</v>
      </c>
      <c r="T3502" s="22">
        <f>tblDailySchedule[[#This Row],[STD]]</f>
        <v>0.51041666666666663</v>
      </c>
    </row>
    <row r="3503" spans="1:20" hidden="1" x14ac:dyDescent="0.35">
      <c r="A3503" s="11">
        <v>46236</v>
      </c>
      <c r="B3503" s="3">
        <v>7</v>
      </c>
      <c r="C3503" t="s">
        <v>17</v>
      </c>
      <c r="D3503" t="s">
        <v>18</v>
      </c>
      <c r="E3503" s="3">
        <v>11</v>
      </c>
      <c r="F3503" t="s">
        <v>19</v>
      </c>
      <c r="G3503" t="s">
        <v>54</v>
      </c>
      <c r="H3503" t="s">
        <v>31</v>
      </c>
      <c r="I3503" s="12">
        <v>0.51388888888888884</v>
      </c>
      <c r="J3503" t="s">
        <v>55</v>
      </c>
      <c r="K3503" t="s">
        <v>31</v>
      </c>
      <c r="L3503" s="12">
        <v>0.54166666666666663</v>
      </c>
      <c r="M3503" t="s">
        <v>23</v>
      </c>
      <c r="N3503" s="3">
        <v>186</v>
      </c>
      <c r="O3503" t="s">
        <v>24</v>
      </c>
      <c r="P3503" t="s">
        <v>56</v>
      </c>
      <c r="R3503">
        <f>tblDailySchedule[[#This Row],[Capacity Approx]]*'[1]Load Factor Sheet June Acft  '!$B$5</f>
        <v>150.61772727272728</v>
      </c>
      <c r="S3503">
        <f>tblDailySchedule[[#This Row],[Capacity Approx]]*'[1]Load Factor Sheet June Acft  '!$D$5</f>
        <v>163.08818181818182</v>
      </c>
      <c r="T3503" s="22">
        <f>tblDailySchedule[[#This Row],[STD]]</f>
        <v>0.54166666666666663</v>
      </c>
    </row>
    <row r="3504" spans="1:20" hidden="1" x14ac:dyDescent="0.35">
      <c r="A3504" s="11">
        <v>46236</v>
      </c>
      <c r="B3504" s="3">
        <v>7</v>
      </c>
      <c r="C3504" t="s">
        <v>17</v>
      </c>
      <c r="D3504" t="s">
        <v>18</v>
      </c>
      <c r="E3504" s="3">
        <v>13</v>
      </c>
      <c r="F3504" t="s">
        <v>19</v>
      </c>
      <c r="G3504" t="s">
        <v>57</v>
      </c>
      <c r="H3504" t="s">
        <v>58</v>
      </c>
      <c r="I3504" s="12">
        <v>0.55902777777777779</v>
      </c>
      <c r="J3504" t="s">
        <v>59</v>
      </c>
      <c r="K3504" t="s">
        <v>58</v>
      </c>
      <c r="L3504" s="12">
        <v>0.57638888888888884</v>
      </c>
      <c r="M3504" t="s">
        <v>51</v>
      </c>
      <c r="N3504" s="3">
        <v>78</v>
      </c>
      <c r="O3504" t="s">
        <v>24</v>
      </c>
      <c r="P3504" t="s">
        <v>56</v>
      </c>
      <c r="R3504">
        <f>tblDailySchedule[[#This Row],[Capacity Approx]]*'[1]Load Factor Sheet June Acft  '!$B$5</f>
        <v>63.162272727272729</v>
      </c>
      <c r="S3504">
        <f>tblDailySchedule[[#This Row],[Capacity Approx]]*'[1]Load Factor Sheet June Acft  '!$D$5</f>
        <v>68.391818181818181</v>
      </c>
      <c r="T3504" s="22">
        <f>tblDailySchedule[[#This Row],[STD]]</f>
        <v>0.57638888888888884</v>
      </c>
    </row>
    <row r="3505" spans="1:20" hidden="1" x14ac:dyDescent="0.35">
      <c r="A3505" s="11">
        <v>46236</v>
      </c>
      <c r="B3505" s="3">
        <v>7</v>
      </c>
      <c r="C3505" t="s">
        <v>17</v>
      </c>
      <c r="D3505" t="s">
        <v>18</v>
      </c>
      <c r="E3505" s="3">
        <v>14</v>
      </c>
      <c r="F3505" t="s">
        <v>19</v>
      </c>
      <c r="G3505" t="s">
        <v>60</v>
      </c>
      <c r="H3505" t="s">
        <v>61</v>
      </c>
      <c r="I3505" s="12">
        <v>0.59027777777777779</v>
      </c>
      <c r="J3505" t="s">
        <v>62</v>
      </c>
      <c r="K3505" t="s">
        <v>61</v>
      </c>
      <c r="L3505" s="12">
        <v>0.62152777777777779</v>
      </c>
      <c r="M3505" t="s">
        <v>63</v>
      </c>
      <c r="N3505" s="3">
        <v>232</v>
      </c>
      <c r="O3505" t="s">
        <v>24</v>
      </c>
      <c r="P3505" t="s">
        <v>56</v>
      </c>
      <c r="R3505">
        <f>tblDailySchedule[[#This Row],[Capacity Approx]]*'[1]Load Factor Sheet June Acft  '!$B$5</f>
        <v>187.86727272727273</v>
      </c>
      <c r="S3505">
        <f>tblDailySchedule[[#This Row],[Capacity Approx]]*'[1]Load Factor Sheet June Acft  '!$D$5</f>
        <v>203.4218181818182</v>
      </c>
      <c r="T3505" s="22">
        <f>tblDailySchedule[[#This Row],[STD]]</f>
        <v>0.62152777777777779</v>
      </c>
    </row>
    <row r="3506" spans="1:20" hidden="1" x14ac:dyDescent="0.35">
      <c r="A3506" s="11">
        <v>46236</v>
      </c>
      <c r="B3506" s="3">
        <v>7</v>
      </c>
      <c r="C3506" t="s">
        <v>17</v>
      </c>
      <c r="D3506" t="s">
        <v>18</v>
      </c>
      <c r="E3506" s="3">
        <v>15</v>
      </c>
      <c r="F3506" t="s">
        <v>19</v>
      </c>
      <c r="G3506" t="s">
        <v>64</v>
      </c>
      <c r="H3506" t="s">
        <v>31</v>
      </c>
      <c r="I3506" s="12">
        <v>0.60069444444444442</v>
      </c>
      <c r="J3506" t="s">
        <v>65</v>
      </c>
      <c r="K3506" t="s">
        <v>66</v>
      </c>
      <c r="L3506" s="12">
        <v>0.62847222222222221</v>
      </c>
      <c r="M3506" t="s">
        <v>63</v>
      </c>
      <c r="N3506" s="3">
        <v>232</v>
      </c>
      <c r="O3506" t="s">
        <v>24</v>
      </c>
      <c r="P3506" t="s">
        <v>56</v>
      </c>
      <c r="R3506">
        <f>tblDailySchedule[[#This Row],[Capacity Approx]]*'[1]Load Factor Sheet June Acft  '!$B$5</f>
        <v>187.86727272727273</v>
      </c>
      <c r="S3506">
        <f>tblDailySchedule[[#This Row],[Capacity Approx]]*'[1]Load Factor Sheet June Acft  '!$D$5</f>
        <v>203.4218181818182</v>
      </c>
      <c r="T3506" s="22">
        <f>tblDailySchedule[[#This Row],[STD]]</f>
        <v>0.62847222222222221</v>
      </c>
    </row>
    <row r="3507" spans="1:20" hidden="1" x14ac:dyDescent="0.35">
      <c r="A3507" s="11">
        <v>46236</v>
      </c>
      <c r="B3507" s="3">
        <v>7</v>
      </c>
      <c r="C3507" t="s">
        <v>17</v>
      </c>
      <c r="D3507" t="s">
        <v>18</v>
      </c>
      <c r="E3507" s="3">
        <v>16</v>
      </c>
      <c r="F3507" t="s">
        <v>19</v>
      </c>
      <c r="G3507" t="s">
        <v>67</v>
      </c>
      <c r="H3507" t="s">
        <v>31</v>
      </c>
      <c r="I3507" s="12">
        <v>0.65625</v>
      </c>
      <c r="J3507" t="s">
        <v>68</v>
      </c>
      <c r="K3507" t="s">
        <v>31</v>
      </c>
      <c r="L3507" s="12">
        <v>0.68402777777777779</v>
      </c>
      <c r="M3507" t="s">
        <v>63</v>
      </c>
      <c r="N3507" s="3">
        <v>232</v>
      </c>
      <c r="O3507" t="s">
        <v>24</v>
      </c>
      <c r="P3507" t="s">
        <v>56</v>
      </c>
      <c r="R3507">
        <f>tblDailySchedule[[#This Row],[Capacity Approx]]*'[1]Load Factor Sheet June Acft  '!$B$5</f>
        <v>187.86727272727273</v>
      </c>
      <c r="S3507">
        <f>tblDailySchedule[[#This Row],[Capacity Approx]]*'[1]Load Factor Sheet June Acft  '!$D$5</f>
        <v>203.4218181818182</v>
      </c>
      <c r="T3507" s="22">
        <f>tblDailySchedule[[#This Row],[STD]]</f>
        <v>0.68402777777777779</v>
      </c>
    </row>
    <row r="3508" spans="1:20" hidden="1" x14ac:dyDescent="0.35">
      <c r="A3508" s="11">
        <v>46236</v>
      </c>
      <c r="B3508" s="3">
        <v>7</v>
      </c>
      <c r="C3508" t="s">
        <v>17</v>
      </c>
      <c r="D3508" t="s">
        <v>18</v>
      </c>
      <c r="E3508" s="3">
        <v>17</v>
      </c>
      <c r="F3508" t="s">
        <v>19</v>
      </c>
      <c r="G3508" t="s">
        <v>69</v>
      </c>
      <c r="H3508" t="s">
        <v>31</v>
      </c>
      <c r="I3508" s="12">
        <v>0.66319444444444442</v>
      </c>
      <c r="J3508" t="s">
        <v>70</v>
      </c>
      <c r="K3508" t="s">
        <v>31</v>
      </c>
      <c r="L3508" s="12">
        <v>0.69097222222222221</v>
      </c>
      <c r="M3508" t="s">
        <v>33</v>
      </c>
      <c r="N3508" s="3">
        <v>189</v>
      </c>
      <c r="O3508" t="s">
        <v>24</v>
      </c>
      <c r="P3508" t="s">
        <v>56</v>
      </c>
      <c r="R3508">
        <f>tblDailySchedule[[#This Row],[Capacity Approx]]*'[1]Load Factor Sheet June Acft  '!$B$5</f>
        <v>153.04704545454547</v>
      </c>
      <c r="S3508">
        <f>tblDailySchedule[[#This Row],[Capacity Approx]]*'[1]Load Factor Sheet June Acft  '!$D$5</f>
        <v>165.71863636363636</v>
      </c>
      <c r="T3508" s="22">
        <f>tblDailySchedule[[#This Row],[STD]]</f>
        <v>0.69097222222222221</v>
      </c>
    </row>
    <row r="3509" spans="1:20" hidden="1" x14ac:dyDescent="0.35">
      <c r="A3509" s="11">
        <v>46236</v>
      </c>
      <c r="B3509" s="3">
        <v>7</v>
      </c>
      <c r="C3509" t="s">
        <v>17</v>
      </c>
      <c r="D3509" t="s">
        <v>18</v>
      </c>
      <c r="E3509" s="3">
        <v>18</v>
      </c>
      <c r="F3509" t="s">
        <v>19</v>
      </c>
      <c r="G3509" t="s">
        <v>71</v>
      </c>
      <c r="H3509" t="s">
        <v>21</v>
      </c>
      <c r="I3509" s="12">
        <v>0.67013888888888884</v>
      </c>
      <c r="J3509" t="s">
        <v>72</v>
      </c>
      <c r="K3509" t="s">
        <v>21</v>
      </c>
      <c r="L3509" s="12">
        <v>0.69791666666666663</v>
      </c>
      <c r="M3509" t="s">
        <v>63</v>
      </c>
      <c r="N3509" s="3">
        <v>232</v>
      </c>
      <c r="O3509" t="s">
        <v>24</v>
      </c>
      <c r="P3509" t="s">
        <v>56</v>
      </c>
      <c r="R3509">
        <f>tblDailySchedule[[#This Row],[Capacity Approx]]*'[1]Load Factor Sheet June Acft  '!$B$5</f>
        <v>187.86727272727273</v>
      </c>
      <c r="S3509">
        <f>tblDailySchedule[[#This Row],[Capacity Approx]]*'[1]Load Factor Sheet June Acft  '!$D$5</f>
        <v>203.4218181818182</v>
      </c>
      <c r="T3509" s="22">
        <f>tblDailySchedule[[#This Row],[STD]]</f>
        <v>0.69791666666666663</v>
      </c>
    </row>
    <row r="3510" spans="1:20" hidden="1" x14ac:dyDescent="0.35">
      <c r="A3510" s="11">
        <v>46236</v>
      </c>
      <c r="B3510" s="3">
        <v>7</v>
      </c>
      <c r="C3510" t="s">
        <v>17</v>
      </c>
      <c r="D3510" t="s">
        <v>18</v>
      </c>
      <c r="E3510" s="3">
        <v>19</v>
      </c>
      <c r="F3510" t="s">
        <v>19</v>
      </c>
      <c r="G3510" t="s">
        <v>73</v>
      </c>
      <c r="H3510" t="s">
        <v>27</v>
      </c>
      <c r="I3510" s="12">
        <v>0.74652777777777779</v>
      </c>
      <c r="J3510" t="s">
        <v>74</v>
      </c>
      <c r="K3510" t="s">
        <v>27</v>
      </c>
      <c r="L3510" s="12">
        <v>0.77430555555555558</v>
      </c>
      <c r="M3510" t="s">
        <v>63</v>
      </c>
      <c r="N3510" s="3">
        <v>232</v>
      </c>
      <c r="O3510" t="s">
        <v>24</v>
      </c>
      <c r="P3510" t="s">
        <v>56</v>
      </c>
      <c r="R3510">
        <f>tblDailySchedule[[#This Row],[Capacity Approx]]*'[1]Load Factor Sheet June Acft  '!$B$5</f>
        <v>187.86727272727273</v>
      </c>
      <c r="S3510">
        <f>tblDailySchedule[[#This Row],[Capacity Approx]]*'[1]Load Factor Sheet June Acft  '!$D$5</f>
        <v>203.4218181818182</v>
      </c>
      <c r="T3510" s="22">
        <f>tblDailySchedule[[#This Row],[STD]]</f>
        <v>0.77430555555555558</v>
      </c>
    </row>
    <row r="3511" spans="1:20" hidden="1" x14ac:dyDescent="0.35">
      <c r="A3511" s="11">
        <v>46236</v>
      </c>
      <c r="B3511" s="3">
        <v>7</v>
      </c>
      <c r="C3511" t="s">
        <v>17</v>
      </c>
      <c r="D3511" t="s">
        <v>18</v>
      </c>
      <c r="E3511" s="3">
        <v>20</v>
      </c>
      <c r="F3511" t="s">
        <v>34</v>
      </c>
      <c r="G3511" t="s">
        <v>75</v>
      </c>
      <c r="H3511" t="s">
        <v>76</v>
      </c>
      <c r="I3511" s="12">
        <v>0.76388888888888884</v>
      </c>
      <c r="J3511" t="s">
        <v>77</v>
      </c>
      <c r="K3511" t="s">
        <v>78</v>
      </c>
      <c r="L3511" s="12">
        <v>0.78472222222222221</v>
      </c>
      <c r="M3511" t="s">
        <v>51</v>
      </c>
      <c r="N3511" s="3">
        <v>78</v>
      </c>
      <c r="O3511" t="s">
        <v>24</v>
      </c>
      <c r="P3511" t="s">
        <v>79</v>
      </c>
      <c r="Q3511" s="16" t="s">
        <v>80</v>
      </c>
      <c r="R3511">
        <f>tblDailySchedule[[#This Row],[Capacity Approx]]*'[1]Load Factor Sheet June Acft  '!$B$5</f>
        <v>63.162272727272729</v>
      </c>
      <c r="S3511">
        <f>tblDailySchedule[[#This Row],[Capacity Approx]]*'[1]Load Factor Sheet June Acft  '!$D$5</f>
        <v>68.391818181818181</v>
      </c>
      <c r="T3511" s="22">
        <f>tblDailySchedule[[#This Row],[STD]]</f>
        <v>0.78472222222222221</v>
      </c>
    </row>
    <row r="3512" spans="1:20" hidden="1" x14ac:dyDescent="0.35">
      <c r="A3512" s="11">
        <v>46236</v>
      </c>
      <c r="B3512" s="3">
        <v>7</v>
      </c>
      <c r="C3512" t="s">
        <v>17</v>
      </c>
      <c r="D3512" t="s">
        <v>18</v>
      </c>
      <c r="E3512" s="3">
        <v>21</v>
      </c>
      <c r="F3512" t="s">
        <v>19</v>
      </c>
      <c r="G3512" t="s">
        <v>81</v>
      </c>
      <c r="H3512" t="s">
        <v>61</v>
      </c>
      <c r="I3512" s="12">
        <v>0.77083333333333337</v>
      </c>
      <c r="J3512" t="s">
        <v>82</v>
      </c>
      <c r="K3512" t="s">
        <v>49</v>
      </c>
      <c r="L3512" s="12">
        <v>0.79166666666666663</v>
      </c>
      <c r="M3512" t="s">
        <v>33</v>
      </c>
      <c r="N3512" s="3">
        <v>189</v>
      </c>
      <c r="O3512" t="s">
        <v>24</v>
      </c>
      <c r="P3512" t="s">
        <v>79</v>
      </c>
      <c r="R3512">
        <f>tblDailySchedule[[#This Row],[Capacity Approx]]*'[1]Load Factor Sheet June Acft  '!$B$5</f>
        <v>153.04704545454547</v>
      </c>
      <c r="S3512">
        <f>tblDailySchedule[[#This Row],[Capacity Approx]]*'[1]Load Factor Sheet June Acft  '!$D$5</f>
        <v>165.71863636363636</v>
      </c>
      <c r="T3512" s="22">
        <f>tblDailySchedule[[#This Row],[STD]]</f>
        <v>0.79166666666666663</v>
      </c>
    </row>
    <row r="3513" spans="1:20" hidden="1" x14ac:dyDescent="0.35">
      <c r="A3513" s="11">
        <v>46236</v>
      </c>
      <c r="B3513" s="3">
        <v>7</v>
      </c>
      <c r="C3513" t="s">
        <v>17</v>
      </c>
      <c r="D3513" t="s">
        <v>18</v>
      </c>
      <c r="E3513" s="3">
        <v>22</v>
      </c>
      <c r="F3513" t="s">
        <v>19</v>
      </c>
      <c r="G3513" t="s">
        <v>83</v>
      </c>
      <c r="H3513" t="s">
        <v>31</v>
      </c>
      <c r="I3513" s="12">
        <v>0.77777777777777779</v>
      </c>
      <c r="J3513" t="s">
        <v>84</v>
      </c>
      <c r="K3513" t="s">
        <v>31</v>
      </c>
      <c r="L3513" s="12">
        <v>0.80555555555555558</v>
      </c>
      <c r="M3513" t="s">
        <v>63</v>
      </c>
      <c r="N3513" s="3">
        <v>232</v>
      </c>
      <c r="O3513" t="s">
        <v>24</v>
      </c>
      <c r="P3513" t="s">
        <v>79</v>
      </c>
      <c r="R3513">
        <f>tblDailySchedule[[#This Row],[Capacity Approx]]*'[1]Load Factor Sheet June Acft  '!$B$5</f>
        <v>187.86727272727273</v>
      </c>
      <c r="S3513">
        <f>tblDailySchedule[[#This Row],[Capacity Approx]]*'[1]Load Factor Sheet June Acft  '!$D$5</f>
        <v>203.4218181818182</v>
      </c>
      <c r="T3513" s="22">
        <f>tblDailySchedule[[#This Row],[STD]]</f>
        <v>0.80555555555555558</v>
      </c>
    </row>
    <row r="3514" spans="1:20" hidden="1" x14ac:dyDescent="0.35">
      <c r="A3514" s="11">
        <v>46236</v>
      </c>
      <c r="B3514" s="3">
        <v>7</v>
      </c>
      <c r="C3514" t="s">
        <v>17</v>
      </c>
      <c r="D3514" t="s">
        <v>18</v>
      </c>
      <c r="E3514" s="3">
        <v>23</v>
      </c>
      <c r="F3514" t="s">
        <v>19</v>
      </c>
      <c r="G3514" t="s">
        <v>85</v>
      </c>
      <c r="H3514" t="s">
        <v>86</v>
      </c>
      <c r="I3514" s="12">
        <v>0.79861111111111116</v>
      </c>
      <c r="J3514" t="s">
        <v>87</v>
      </c>
      <c r="K3514" t="s">
        <v>86</v>
      </c>
      <c r="L3514" s="12">
        <v>0.82638888888888884</v>
      </c>
      <c r="M3514" t="s">
        <v>63</v>
      </c>
      <c r="N3514" s="3">
        <v>232</v>
      </c>
      <c r="O3514" t="s">
        <v>24</v>
      </c>
      <c r="P3514" t="s">
        <v>79</v>
      </c>
      <c r="R3514">
        <f>tblDailySchedule[[#This Row],[Capacity Approx]]*'[1]Load Factor Sheet June Acft  '!$B$5</f>
        <v>187.86727272727273</v>
      </c>
      <c r="S3514">
        <f>tblDailySchedule[[#This Row],[Capacity Approx]]*'[1]Load Factor Sheet June Acft  '!$D$5</f>
        <v>203.4218181818182</v>
      </c>
      <c r="T3514" s="22">
        <f>tblDailySchedule[[#This Row],[STD]]</f>
        <v>0.82638888888888884</v>
      </c>
    </row>
    <row r="3515" spans="1:20" hidden="1" x14ac:dyDescent="0.35">
      <c r="A3515" s="11">
        <v>46236</v>
      </c>
      <c r="B3515" s="3">
        <v>7</v>
      </c>
      <c r="C3515" t="s">
        <v>17</v>
      </c>
      <c r="D3515" t="s">
        <v>18</v>
      </c>
      <c r="E3515" s="3">
        <v>24</v>
      </c>
      <c r="F3515" t="s">
        <v>19</v>
      </c>
      <c r="G3515" t="s">
        <v>88</v>
      </c>
      <c r="H3515" t="s">
        <v>89</v>
      </c>
      <c r="I3515" s="12">
        <v>0.83333333333333337</v>
      </c>
      <c r="J3515" t="s">
        <v>90</v>
      </c>
      <c r="K3515" t="s">
        <v>31</v>
      </c>
      <c r="L3515" s="12">
        <v>0.86111111111111116</v>
      </c>
      <c r="M3515" t="s">
        <v>63</v>
      </c>
      <c r="N3515" s="3">
        <v>232</v>
      </c>
      <c r="O3515" t="s">
        <v>24</v>
      </c>
      <c r="P3515" t="s">
        <v>79</v>
      </c>
      <c r="R3515">
        <f>tblDailySchedule[[#This Row],[Capacity Approx]]*'[1]Load Factor Sheet June Acft  '!$B$5</f>
        <v>187.86727272727273</v>
      </c>
      <c r="S3515">
        <f>tblDailySchedule[[#This Row],[Capacity Approx]]*'[1]Load Factor Sheet June Acft  '!$D$5</f>
        <v>203.4218181818182</v>
      </c>
      <c r="T3515" s="22">
        <f>tblDailySchedule[[#This Row],[STD]]</f>
        <v>0.86111111111111116</v>
      </c>
    </row>
    <row r="3516" spans="1:20" hidden="1" x14ac:dyDescent="0.35">
      <c r="A3516" s="11">
        <v>46236</v>
      </c>
      <c r="B3516" s="3">
        <v>7</v>
      </c>
      <c r="C3516" t="s">
        <v>17</v>
      </c>
      <c r="D3516" t="s">
        <v>18</v>
      </c>
      <c r="E3516" s="3">
        <v>25</v>
      </c>
      <c r="F3516" t="s">
        <v>19</v>
      </c>
      <c r="G3516" t="s">
        <v>91</v>
      </c>
      <c r="H3516" t="s">
        <v>61</v>
      </c>
      <c r="I3516" s="12">
        <v>0.85416666666666663</v>
      </c>
      <c r="J3516" t="s">
        <v>92</v>
      </c>
      <c r="K3516" t="s">
        <v>61</v>
      </c>
      <c r="L3516" s="12">
        <v>0.88194444444444442</v>
      </c>
      <c r="M3516" t="s">
        <v>63</v>
      </c>
      <c r="N3516" s="3">
        <v>232</v>
      </c>
      <c r="O3516" t="s">
        <v>24</v>
      </c>
      <c r="P3516" t="s">
        <v>79</v>
      </c>
      <c r="R3516">
        <f>tblDailySchedule[[#This Row],[Capacity Approx]]*'[1]Load Factor Sheet June Acft  '!$B$5</f>
        <v>187.86727272727273</v>
      </c>
      <c r="S3516">
        <f>tblDailySchedule[[#This Row],[Capacity Approx]]*'[1]Load Factor Sheet June Acft  '!$D$5</f>
        <v>203.4218181818182</v>
      </c>
      <c r="T3516" s="22">
        <f>tblDailySchedule[[#This Row],[STD]]</f>
        <v>0.88194444444444442</v>
      </c>
    </row>
    <row r="3517" spans="1:20" hidden="1" x14ac:dyDescent="0.35">
      <c r="A3517" s="11">
        <v>46236</v>
      </c>
      <c r="B3517" s="3">
        <v>7</v>
      </c>
      <c r="C3517" t="s">
        <v>17</v>
      </c>
      <c r="D3517" t="s">
        <v>18</v>
      </c>
      <c r="E3517" s="3">
        <v>26</v>
      </c>
      <c r="F3517" t="s">
        <v>19</v>
      </c>
      <c r="G3517" t="s">
        <v>93</v>
      </c>
      <c r="H3517" t="s">
        <v>31</v>
      </c>
      <c r="I3517" s="12">
        <v>0.86111111111111116</v>
      </c>
      <c r="J3517" t="s">
        <v>94</v>
      </c>
      <c r="K3517" t="s">
        <v>31</v>
      </c>
      <c r="L3517" s="12">
        <v>0.88888888888888884</v>
      </c>
      <c r="M3517" t="s">
        <v>23</v>
      </c>
      <c r="N3517" s="3">
        <v>186</v>
      </c>
      <c r="O3517" t="s">
        <v>24</v>
      </c>
      <c r="P3517" t="s">
        <v>79</v>
      </c>
      <c r="R3517">
        <f>tblDailySchedule[[#This Row],[Capacity Approx]]*'[1]Load Factor Sheet June Acft  '!$B$5</f>
        <v>150.61772727272728</v>
      </c>
      <c r="S3517">
        <f>tblDailySchedule[[#This Row],[Capacity Approx]]*'[1]Load Factor Sheet June Acft  '!$D$5</f>
        <v>163.08818181818182</v>
      </c>
      <c r="T3517" s="22">
        <f>tblDailySchedule[[#This Row],[STD]]</f>
        <v>0.88888888888888884</v>
      </c>
    </row>
    <row r="3518" spans="1:20" hidden="1" x14ac:dyDescent="0.35">
      <c r="A3518" s="11">
        <v>46236</v>
      </c>
      <c r="B3518" s="3">
        <v>7</v>
      </c>
      <c r="C3518" t="s">
        <v>17</v>
      </c>
      <c r="D3518" t="s">
        <v>18</v>
      </c>
      <c r="E3518" s="3">
        <v>27</v>
      </c>
      <c r="F3518" t="s">
        <v>19</v>
      </c>
      <c r="G3518" t="s">
        <v>95</v>
      </c>
      <c r="H3518" t="s">
        <v>21</v>
      </c>
      <c r="I3518" s="12">
        <v>0.86805555555555558</v>
      </c>
      <c r="J3518" t="s">
        <v>96</v>
      </c>
      <c r="K3518" t="s">
        <v>21</v>
      </c>
      <c r="L3518" s="12">
        <v>0.89583333333333337</v>
      </c>
      <c r="M3518" t="s">
        <v>29</v>
      </c>
      <c r="N3518" s="3">
        <v>186</v>
      </c>
      <c r="O3518" t="s">
        <v>24</v>
      </c>
      <c r="P3518" t="s">
        <v>79</v>
      </c>
      <c r="R3518">
        <f>tblDailySchedule[[#This Row],[Capacity Approx]]*'[1]Load Factor Sheet June Acft  '!$B$5</f>
        <v>150.61772727272728</v>
      </c>
      <c r="S3518">
        <f>tblDailySchedule[[#This Row],[Capacity Approx]]*'[1]Load Factor Sheet June Acft  '!$D$5</f>
        <v>163.08818181818182</v>
      </c>
      <c r="T3518" s="22">
        <f>tblDailySchedule[[#This Row],[STD]]</f>
        <v>0.89583333333333337</v>
      </c>
    </row>
    <row r="3519" spans="1:20" hidden="1" x14ac:dyDescent="0.35">
      <c r="A3519" s="11">
        <v>46236</v>
      </c>
      <c r="B3519" s="3">
        <v>7</v>
      </c>
      <c r="C3519" t="s">
        <v>17</v>
      </c>
      <c r="D3519" t="s">
        <v>18</v>
      </c>
      <c r="E3519" s="3">
        <v>28</v>
      </c>
      <c r="F3519" t="s">
        <v>19</v>
      </c>
      <c r="G3519" t="s">
        <v>97</v>
      </c>
      <c r="H3519" t="s">
        <v>49</v>
      </c>
      <c r="I3519" s="12">
        <v>0.90277777777777779</v>
      </c>
      <c r="J3519" t="s">
        <v>97</v>
      </c>
      <c r="K3519" t="s">
        <v>61</v>
      </c>
      <c r="L3519" s="12">
        <v>0.92361111111111116</v>
      </c>
      <c r="M3519" t="s">
        <v>33</v>
      </c>
      <c r="N3519" s="3">
        <v>189</v>
      </c>
      <c r="O3519" t="s">
        <v>24</v>
      </c>
      <c r="P3519" t="s">
        <v>79</v>
      </c>
      <c r="R3519">
        <f>tblDailySchedule[[#This Row],[Capacity Approx]]*'[1]Load Factor Sheet June Acft  '!$B$5</f>
        <v>153.04704545454547</v>
      </c>
      <c r="S3519">
        <f>tblDailySchedule[[#This Row],[Capacity Approx]]*'[1]Load Factor Sheet June Acft  '!$D$5</f>
        <v>165.71863636363636</v>
      </c>
      <c r="T3519" s="22">
        <f>tblDailySchedule[[#This Row],[STD]]</f>
        <v>0.92361111111111116</v>
      </c>
    </row>
    <row r="3520" spans="1:20" hidden="1" x14ac:dyDescent="0.35">
      <c r="A3520" s="11">
        <v>46236</v>
      </c>
      <c r="B3520" s="3">
        <v>7</v>
      </c>
      <c r="C3520" t="s">
        <v>17</v>
      </c>
      <c r="D3520" t="s">
        <v>18</v>
      </c>
      <c r="E3520" s="3">
        <v>29</v>
      </c>
      <c r="F3520" t="s">
        <v>19</v>
      </c>
      <c r="G3520" t="s">
        <v>98</v>
      </c>
      <c r="H3520" t="s">
        <v>21</v>
      </c>
      <c r="I3520" s="12">
        <v>0.92013888888888884</v>
      </c>
      <c r="J3520" t="s">
        <v>99</v>
      </c>
      <c r="K3520" t="s">
        <v>21</v>
      </c>
      <c r="L3520" s="12">
        <v>0.94791666666666663</v>
      </c>
      <c r="M3520" t="s">
        <v>63</v>
      </c>
      <c r="N3520" s="3">
        <v>232</v>
      </c>
      <c r="O3520" t="s">
        <v>24</v>
      </c>
      <c r="P3520" t="s">
        <v>79</v>
      </c>
      <c r="R3520">
        <f>tblDailySchedule[[#This Row],[Capacity Approx]]*'[1]Load Factor Sheet June Acft  '!$B$5</f>
        <v>187.86727272727273</v>
      </c>
      <c r="S3520">
        <f>tblDailySchedule[[#This Row],[Capacity Approx]]*'[1]Load Factor Sheet June Acft  '!$D$5</f>
        <v>203.4218181818182</v>
      </c>
      <c r="T3520" s="22">
        <f>tblDailySchedule[[#This Row],[STD]]</f>
        <v>0.94791666666666663</v>
      </c>
    </row>
    <row r="3521" spans="1:20" hidden="1" x14ac:dyDescent="0.35">
      <c r="A3521" s="11">
        <v>46237</v>
      </c>
      <c r="B3521" s="3">
        <v>1</v>
      </c>
      <c r="C3521" t="s">
        <v>100</v>
      </c>
      <c r="D3521" t="s">
        <v>18</v>
      </c>
      <c r="E3521" s="3">
        <v>1</v>
      </c>
      <c r="F3521" t="s">
        <v>101</v>
      </c>
      <c r="G3521" t="s">
        <v>102</v>
      </c>
      <c r="H3521" t="s">
        <v>61</v>
      </c>
      <c r="I3521" s="12">
        <v>0.3125</v>
      </c>
      <c r="J3521" t="s">
        <v>103</v>
      </c>
      <c r="K3521" t="s">
        <v>61</v>
      </c>
      <c r="L3521" s="12">
        <v>0.33333333333333331</v>
      </c>
      <c r="M3521" t="s">
        <v>33</v>
      </c>
      <c r="N3521" s="3">
        <v>189</v>
      </c>
      <c r="O3521" t="s">
        <v>24</v>
      </c>
      <c r="P3521" t="s">
        <v>25</v>
      </c>
      <c r="R3521">
        <f>tblDailySchedule[[#This Row],[Capacity Approx]]*'[1]Load Factor Sheet June Acft  '!$B$5</f>
        <v>153.04704545454547</v>
      </c>
      <c r="S3521">
        <f>tblDailySchedule[[#This Row],[Capacity Approx]]*'[1]Load Factor Sheet June Acft  '!$D$5</f>
        <v>165.71863636363636</v>
      </c>
      <c r="T3521" s="22">
        <f>tblDailySchedule[[#This Row],[STD]]</f>
        <v>0.33333333333333331</v>
      </c>
    </row>
    <row r="3522" spans="1:20" hidden="1" x14ac:dyDescent="0.35">
      <c r="A3522" s="11">
        <v>46237</v>
      </c>
      <c r="B3522" s="3">
        <v>1</v>
      </c>
      <c r="C3522" t="s">
        <v>100</v>
      </c>
      <c r="D3522" t="s">
        <v>18</v>
      </c>
      <c r="E3522" s="3">
        <v>2</v>
      </c>
      <c r="F3522" t="s">
        <v>19</v>
      </c>
      <c r="G3522" t="s">
        <v>20</v>
      </c>
      <c r="H3522" t="s">
        <v>21</v>
      </c>
      <c r="I3522" s="12">
        <v>0.31944444444444442</v>
      </c>
      <c r="J3522" t="s">
        <v>22</v>
      </c>
      <c r="K3522" t="s">
        <v>21</v>
      </c>
      <c r="L3522" s="12">
        <v>0.34722222222222221</v>
      </c>
      <c r="M3522" t="s">
        <v>23</v>
      </c>
      <c r="N3522" s="3">
        <v>186</v>
      </c>
      <c r="O3522" t="s">
        <v>24</v>
      </c>
      <c r="P3522" t="s">
        <v>25</v>
      </c>
      <c r="R3522">
        <f>tblDailySchedule[[#This Row],[Capacity Approx]]*'[1]Load Factor Sheet June Acft  '!$B$5</f>
        <v>150.61772727272728</v>
      </c>
      <c r="S3522">
        <f>tblDailySchedule[[#This Row],[Capacity Approx]]*'[1]Load Factor Sheet June Acft  '!$D$5</f>
        <v>163.08818181818182</v>
      </c>
      <c r="T3522" s="22">
        <f>tblDailySchedule[[#This Row],[STD]]</f>
        <v>0.34722222222222221</v>
      </c>
    </row>
    <row r="3523" spans="1:20" hidden="1" x14ac:dyDescent="0.35">
      <c r="A3523" s="11">
        <v>46237</v>
      </c>
      <c r="B3523" s="3">
        <v>1</v>
      </c>
      <c r="C3523" t="s">
        <v>100</v>
      </c>
      <c r="D3523" t="s">
        <v>18</v>
      </c>
      <c r="E3523" s="3">
        <v>3</v>
      </c>
      <c r="F3523" t="s">
        <v>19</v>
      </c>
      <c r="G3523" t="s">
        <v>26</v>
      </c>
      <c r="H3523" t="s">
        <v>27</v>
      </c>
      <c r="I3523" s="12">
        <v>0.3263888888888889</v>
      </c>
      <c r="J3523" t="s">
        <v>28</v>
      </c>
      <c r="K3523" t="s">
        <v>27</v>
      </c>
      <c r="L3523" s="12">
        <v>0.35416666666666669</v>
      </c>
      <c r="M3523" t="s">
        <v>29</v>
      </c>
      <c r="N3523" s="3">
        <v>186</v>
      </c>
      <c r="O3523" t="s">
        <v>24</v>
      </c>
      <c r="P3523" t="s">
        <v>25</v>
      </c>
      <c r="R3523">
        <f>tblDailySchedule[[#This Row],[Capacity Approx]]*'[1]Load Factor Sheet June Acft  '!$B$5</f>
        <v>150.61772727272728</v>
      </c>
      <c r="S3523">
        <f>tblDailySchedule[[#This Row],[Capacity Approx]]*'[1]Load Factor Sheet June Acft  '!$D$5</f>
        <v>163.08818181818182</v>
      </c>
      <c r="T3523" s="22">
        <f>tblDailySchedule[[#This Row],[STD]]</f>
        <v>0.35416666666666669</v>
      </c>
    </row>
    <row r="3524" spans="1:20" hidden="1" x14ac:dyDescent="0.35">
      <c r="A3524" s="11">
        <v>46237</v>
      </c>
      <c r="B3524" s="3">
        <v>1</v>
      </c>
      <c r="C3524" t="s">
        <v>100</v>
      </c>
      <c r="D3524" t="s">
        <v>18</v>
      </c>
      <c r="E3524" s="3">
        <v>4</v>
      </c>
      <c r="F3524" t="s">
        <v>19</v>
      </c>
      <c r="G3524" t="s">
        <v>30</v>
      </c>
      <c r="H3524" t="s">
        <v>31</v>
      </c>
      <c r="I3524" s="12">
        <v>0.34722222222222221</v>
      </c>
      <c r="J3524" t="s">
        <v>32</v>
      </c>
      <c r="K3524" t="s">
        <v>31</v>
      </c>
      <c r="L3524" s="12">
        <v>0.36805555555555558</v>
      </c>
      <c r="M3524" t="s">
        <v>33</v>
      </c>
      <c r="N3524" s="3">
        <v>189</v>
      </c>
      <c r="O3524" t="s">
        <v>24</v>
      </c>
      <c r="P3524" t="s">
        <v>25</v>
      </c>
      <c r="R3524">
        <f>tblDailySchedule[[#This Row],[Capacity Approx]]*'[1]Load Factor Sheet June Acft  '!$B$5</f>
        <v>153.04704545454547</v>
      </c>
      <c r="S3524">
        <f>tblDailySchedule[[#This Row],[Capacity Approx]]*'[1]Load Factor Sheet June Acft  '!$D$5</f>
        <v>165.71863636363636</v>
      </c>
      <c r="T3524" s="22">
        <f>tblDailySchedule[[#This Row],[STD]]</f>
        <v>0.36805555555555558</v>
      </c>
    </row>
    <row r="3525" spans="1:20" hidden="1" x14ac:dyDescent="0.35">
      <c r="A3525" s="13">
        <v>46237</v>
      </c>
      <c r="B3525" s="7">
        <v>1</v>
      </c>
      <c r="C3525" s="14" t="s">
        <v>100</v>
      </c>
      <c r="D3525" s="14" t="s">
        <v>18</v>
      </c>
      <c r="E3525" s="7">
        <v>6</v>
      </c>
      <c r="F3525" s="14" t="s">
        <v>34</v>
      </c>
      <c r="G3525" s="14" t="s">
        <v>35</v>
      </c>
      <c r="H3525" s="14" t="s">
        <v>36</v>
      </c>
      <c r="I3525" s="15">
        <v>0.34722222222222221</v>
      </c>
      <c r="J3525" s="14" t="s">
        <v>37</v>
      </c>
      <c r="K3525" s="14" t="s">
        <v>36</v>
      </c>
      <c r="L3525" s="15">
        <v>0.40972222222222221</v>
      </c>
      <c r="M3525" s="14" t="s">
        <v>38</v>
      </c>
      <c r="N3525" s="7">
        <v>186</v>
      </c>
      <c r="O3525" s="14" t="s">
        <v>39</v>
      </c>
      <c r="P3525" s="14" t="s">
        <v>25</v>
      </c>
      <c r="Q3525" s="14" t="s">
        <v>39</v>
      </c>
      <c r="R3525">
        <f>tblDailySchedule[[#This Row],[Capacity Approx]]*'[1]Load Factor Sheet June Acft  '!$B$5</f>
        <v>150.61772727272728</v>
      </c>
      <c r="S3525">
        <f>tblDailySchedule[[#This Row],[Capacity Approx]]*'[1]Load Factor Sheet June Acft  '!$D$5</f>
        <v>163.08818181818182</v>
      </c>
      <c r="T3525" s="22">
        <f>tblDailySchedule[[#This Row],[STD]]</f>
        <v>0.40972222222222221</v>
      </c>
    </row>
    <row r="3526" spans="1:20" hidden="1" x14ac:dyDescent="0.35">
      <c r="A3526" s="11">
        <v>46237</v>
      </c>
      <c r="B3526" s="3">
        <v>1</v>
      </c>
      <c r="C3526" t="s">
        <v>100</v>
      </c>
      <c r="D3526" t="s">
        <v>18</v>
      </c>
      <c r="E3526" s="3">
        <v>5</v>
      </c>
      <c r="F3526" t="s">
        <v>19</v>
      </c>
      <c r="G3526" t="s">
        <v>40</v>
      </c>
      <c r="H3526" t="s">
        <v>31</v>
      </c>
      <c r="I3526" s="12">
        <v>0.35069444444444442</v>
      </c>
      <c r="J3526" t="s">
        <v>41</v>
      </c>
      <c r="K3526" t="s">
        <v>31</v>
      </c>
      <c r="L3526" s="12">
        <v>0.37152777777777779</v>
      </c>
      <c r="M3526" t="s">
        <v>23</v>
      </c>
      <c r="N3526" s="3">
        <v>186</v>
      </c>
      <c r="O3526" t="s">
        <v>24</v>
      </c>
      <c r="P3526" t="s">
        <v>25</v>
      </c>
      <c r="R3526">
        <f>tblDailySchedule[[#This Row],[Capacity Approx]]*'[1]Load Factor Sheet June Acft  '!$B$5</f>
        <v>150.61772727272728</v>
      </c>
      <c r="S3526">
        <f>tblDailySchedule[[#This Row],[Capacity Approx]]*'[1]Load Factor Sheet June Acft  '!$D$5</f>
        <v>163.08818181818182</v>
      </c>
      <c r="T3526" s="22">
        <f>tblDailySchedule[[#This Row],[STD]]</f>
        <v>0.37152777777777779</v>
      </c>
    </row>
    <row r="3527" spans="1:20" hidden="1" x14ac:dyDescent="0.35">
      <c r="A3527" s="11">
        <v>46237</v>
      </c>
      <c r="B3527" s="3">
        <v>1</v>
      </c>
      <c r="C3527" t="s">
        <v>100</v>
      </c>
      <c r="D3527" t="s">
        <v>18</v>
      </c>
      <c r="E3527" s="3">
        <v>7</v>
      </c>
      <c r="F3527" t="s">
        <v>19</v>
      </c>
      <c r="G3527" t="s">
        <v>42</v>
      </c>
      <c r="H3527" t="s">
        <v>43</v>
      </c>
      <c r="I3527" s="12">
        <v>0.3923611111111111</v>
      </c>
      <c r="J3527" t="s">
        <v>44</v>
      </c>
      <c r="K3527" t="s">
        <v>43</v>
      </c>
      <c r="L3527" s="12">
        <v>0.40277777777777779</v>
      </c>
      <c r="M3527" t="s">
        <v>45</v>
      </c>
      <c r="N3527" s="3">
        <v>9</v>
      </c>
      <c r="O3527" t="s">
        <v>24</v>
      </c>
      <c r="P3527" t="s">
        <v>25</v>
      </c>
      <c r="R3527">
        <f>tblDailySchedule[[#This Row],[Capacity Approx]]*'[1]Load Factor Sheet June Acft  '!$B$5</f>
        <v>7.2879545454545456</v>
      </c>
      <c r="S3527">
        <f>tblDailySchedule[[#This Row],[Capacity Approx]]*'[1]Load Factor Sheet June Acft  '!$D$5</f>
        <v>7.8913636363636366</v>
      </c>
      <c r="T3527" s="22">
        <f>tblDailySchedule[[#This Row],[STD]]</f>
        <v>0.40277777777777779</v>
      </c>
    </row>
    <row r="3528" spans="1:20" hidden="1" x14ac:dyDescent="0.35">
      <c r="A3528" s="11">
        <v>46237</v>
      </c>
      <c r="B3528" s="3">
        <v>1</v>
      </c>
      <c r="C3528" t="s">
        <v>100</v>
      </c>
      <c r="D3528" t="s">
        <v>18</v>
      </c>
      <c r="E3528" s="3">
        <v>8</v>
      </c>
      <c r="F3528" t="s">
        <v>19</v>
      </c>
      <c r="G3528" t="s">
        <v>46</v>
      </c>
      <c r="H3528" t="s">
        <v>31</v>
      </c>
      <c r="I3528" s="12">
        <v>0.4201388888888889</v>
      </c>
      <c r="J3528" t="s">
        <v>47</v>
      </c>
      <c r="K3528" t="s">
        <v>31</v>
      </c>
      <c r="L3528" s="12">
        <v>0.44444444444444442</v>
      </c>
      <c r="M3528" t="s">
        <v>29</v>
      </c>
      <c r="N3528" s="3">
        <v>186</v>
      </c>
      <c r="O3528" t="s">
        <v>24</v>
      </c>
      <c r="P3528" t="s">
        <v>25</v>
      </c>
      <c r="R3528">
        <f>tblDailySchedule[[#This Row],[Capacity Approx]]*'[1]Load Factor Sheet June Acft  '!$B$5</f>
        <v>150.61772727272728</v>
      </c>
      <c r="S3528">
        <f>tblDailySchedule[[#This Row],[Capacity Approx]]*'[1]Load Factor Sheet June Acft  '!$D$5</f>
        <v>163.08818181818182</v>
      </c>
      <c r="T3528" s="22">
        <f>tblDailySchedule[[#This Row],[STD]]</f>
        <v>0.44444444444444442</v>
      </c>
    </row>
    <row r="3529" spans="1:20" hidden="1" x14ac:dyDescent="0.35">
      <c r="A3529" s="11">
        <v>46237</v>
      </c>
      <c r="B3529" s="3">
        <v>1</v>
      </c>
      <c r="C3529" t="s">
        <v>100</v>
      </c>
      <c r="D3529" t="s">
        <v>18</v>
      </c>
      <c r="E3529" s="3">
        <v>9</v>
      </c>
      <c r="F3529" t="s">
        <v>19</v>
      </c>
      <c r="G3529" t="s">
        <v>48</v>
      </c>
      <c r="H3529" t="s">
        <v>49</v>
      </c>
      <c r="I3529" s="12">
        <v>0.4375</v>
      </c>
      <c r="J3529" t="s">
        <v>50</v>
      </c>
      <c r="K3529" t="s">
        <v>49</v>
      </c>
      <c r="L3529" s="12">
        <v>0.45833333333333331</v>
      </c>
      <c r="M3529" t="s">
        <v>51</v>
      </c>
      <c r="N3529" s="3">
        <v>78</v>
      </c>
      <c r="O3529" t="s">
        <v>24</v>
      </c>
      <c r="P3529" t="s">
        <v>25</v>
      </c>
      <c r="R3529">
        <f>tblDailySchedule[[#This Row],[Capacity Approx]]*'[1]Load Factor Sheet June Acft  '!$B$5</f>
        <v>63.162272727272729</v>
      </c>
      <c r="S3529">
        <f>tblDailySchedule[[#This Row],[Capacity Approx]]*'[1]Load Factor Sheet June Acft  '!$D$5</f>
        <v>68.391818181818181</v>
      </c>
      <c r="T3529" s="22">
        <f>tblDailySchedule[[#This Row],[STD]]</f>
        <v>0.45833333333333331</v>
      </c>
    </row>
    <row r="3530" spans="1:20" hidden="1" x14ac:dyDescent="0.35">
      <c r="A3530" s="11">
        <v>46237</v>
      </c>
      <c r="B3530" s="3">
        <v>1</v>
      </c>
      <c r="C3530" t="s">
        <v>100</v>
      </c>
      <c r="D3530" t="s">
        <v>18</v>
      </c>
      <c r="E3530" s="3">
        <v>10</v>
      </c>
      <c r="F3530" t="s">
        <v>19</v>
      </c>
      <c r="G3530" t="s">
        <v>52</v>
      </c>
      <c r="H3530" t="s">
        <v>27</v>
      </c>
      <c r="I3530" s="12">
        <v>0.4826388888888889</v>
      </c>
      <c r="J3530" t="s">
        <v>53</v>
      </c>
      <c r="K3530" t="s">
        <v>27</v>
      </c>
      <c r="L3530" s="12">
        <v>0.51041666666666663</v>
      </c>
      <c r="M3530" t="s">
        <v>23</v>
      </c>
      <c r="N3530" s="3">
        <v>186</v>
      </c>
      <c r="O3530" t="s">
        <v>24</v>
      </c>
      <c r="P3530" t="s">
        <v>25</v>
      </c>
      <c r="R3530">
        <f>tblDailySchedule[[#This Row],[Capacity Approx]]*'[1]Load Factor Sheet June Acft  '!$B$5</f>
        <v>150.61772727272728</v>
      </c>
      <c r="S3530">
        <f>tblDailySchedule[[#This Row],[Capacity Approx]]*'[1]Load Factor Sheet June Acft  '!$D$5</f>
        <v>163.08818181818182</v>
      </c>
      <c r="T3530" s="22">
        <f>tblDailySchedule[[#This Row],[STD]]</f>
        <v>0.51041666666666663</v>
      </c>
    </row>
    <row r="3531" spans="1:20" hidden="1" x14ac:dyDescent="0.35">
      <c r="A3531" s="11">
        <v>46237</v>
      </c>
      <c r="B3531" s="3">
        <v>1</v>
      </c>
      <c r="C3531" t="s">
        <v>100</v>
      </c>
      <c r="D3531" t="s">
        <v>18</v>
      </c>
      <c r="E3531" s="3">
        <v>11</v>
      </c>
      <c r="F3531" t="s">
        <v>19</v>
      </c>
      <c r="G3531" t="s">
        <v>54</v>
      </c>
      <c r="H3531" t="s">
        <v>31</v>
      </c>
      <c r="I3531" s="12">
        <v>0.51388888888888884</v>
      </c>
      <c r="J3531" t="s">
        <v>55</v>
      </c>
      <c r="K3531" t="s">
        <v>31</v>
      </c>
      <c r="L3531" s="12">
        <v>0.54166666666666663</v>
      </c>
      <c r="M3531" t="s">
        <v>23</v>
      </c>
      <c r="N3531" s="3">
        <v>186</v>
      </c>
      <c r="O3531" t="s">
        <v>24</v>
      </c>
      <c r="P3531" t="s">
        <v>56</v>
      </c>
      <c r="R3531">
        <f>tblDailySchedule[[#This Row],[Capacity Approx]]*'[1]Load Factor Sheet June Acft  '!$B$5</f>
        <v>150.61772727272728</v>
      </c>
      <c r="S3531">
        <f>tblDailySchedule[[#This Row],[Capacity Approx]]*'[1]Load Factor Sheet June Acft  '!$D$5</f>
        <v>163.08818181818182</v>
      </c>
      <c r="T3531" s="22">
        <f>tblDailySchedule[[#This Row],[STD]]</f>
        <v>0.54166666666666663</v>
      </c>
    </row>
    <row r="3532" spans="1:20" hidden="1" x14ac:dyDescent="0.35">
      <c r="A3532" s="11">
        <v>46237</v>
      </c>
      <c r="B3532" s="3">
        <v>1</v>
      </c>
      <c r="C3532" t="s">
        <v>100</v>
      </c>
      <c r="D3532" t="s">
        <v>18</v>
      </c>
      <c r="E3532" s="3">
        <v>13</v>
      </c>
      <c r="F3532" t="s">
        <v>19</v>
      </c>
      <c r="G3532" t="s">
        <v>57</v>
      </c>
      <c r="H3532" t="s">
        <v>58</v>
      </c>
      <c r="I3532" s="12">
        <v>0.55902777777777779</v>
      </c>
      <c r="J3532" t="s">
        <v>59</v>
      </c>
      <c r="K3532" t="s">
        <v>58</v>
      </c>
      <c r="L3532" s="12">
        <v>0.57638888888888884</v>
      </c>
      <c r="M3532" t="s">
        <v>51</v>
      </c>
      <c r="N3532" s="3">
        <v>78</v>
      </c>
      <c r="O3532" t="s">
        <v>24</v>
      </c>
      <c r="P3532" t="s">
        <v>56</v>
      </c>
      <c r="R3532">
        <f>tblDailySchedule[[#This Row],[Capacity Approx]]*'[1]Load Factor Sheet June Acft  '!$B$5</f>
        <v>63.162272727272729</v>
      </c>
      <c r="S3532">
        <f>tblDailySchedule[[#This Row],[Capacity Approx]]*'[1]Load Factor Sheet June Acft  '!$D$5</f>
        <v>68.391818181818181</v>
      </c>
      <c r="T3532" s="22">
        <f>tblDailySchedule[[#This Row],[STD]]</f>
        <v>0.57638888888888884</v>
      </c>
    </row>
    <row r="3533" spans="1:20" hidden="1" x14ac:dyDescent="0.35">
      <c r="A3533" s="11">
        <v>46237</v>
      </c>
      <c r="B3533" s="3">
        <v>1</v>
      </c>
      <c r="C3533" t="s">
        <v>100</v>
      </c>
      <c r="D3533" t="s">
        <v>18</v>
      </c>
      <c r="E3533" s="3">
        <v>14</v>
      </c>
      <c r="F3533" t="s">
        <v>19</v>
      </c>
      <c r="G3533" t="s">
        <v>60</v>
      </c>
      <c r="H3533" t="s">
        <v>61</v>
      </c>
      <c r="I3533" s="12">
        <v>0.59027777777777779</v>
      </c>
      <c r="J3533" t="s">
        <v>62</v>
      </c>
      <c r="K3533" t="s">
        <v>61</v>
      </c>
      <c r="L3533" s="12">
        <v>0.62152777777777779</v>
      </c>
      <c r="M3533" t="s">
        <v>63</v>
      </c>
      <c r="N3533" s="3">
        <v>232</v>
      </c>
      <c r="O3533" t="s">
        <v>24</v>
      </c>
      <c r="P3533" t="s">
        <v>56</v>
      </c>
      <c r="R3533">
        <f>tblDailySchedule[[#This Row],[Capacity Approx]]*'[1]Load Factor Sheet June Acft  '!$B$5</f>
        <v>187.86727272727273</v>
      </c>
      <c r="S3533">
        <f>tblDailySchedule[[#This Row],[Capacity Approx]]*'[1]Load Factor Sheet June Acft  '!$D$5</f>
        <v>203.4218181818182</v>
      </c>
      <c r="T3533" s="22">
        <f>tblDailySchedule[[#This Row],[STD]]</f>
        <v>0.62152777777777779</v>
      </c>
    </row>
    <row r="3534" spans="1:20" hidden="1" x14ac:dyDescent="0.35">
      <c r="A3534" s="11">
        <v>46237</v>
      </c>
      <c r="B3534" s="3">
        <v>1</v>
      </c>
      <c r="C3534" t="s">
        <v>100</v>
      </c>
      <c r="D3534" t="s">
        <v>18</v>
      </c>
      <c r="E3534" s="3">
        <v>15</v>
      </c>
      <c r="F3534" t="s">
        <v>19</v>
      </c>
      <c r="G3534" t="s">
        <v>64</v>
      </c>
      <c r="H3534" t="s">
        <v>31</v>
      </c>
      <c r="I3534" s="12">
        <v>0.60069444444444442</v>
      </c>
      <c r="J3534" t="s">
        <v>65</v>
      </c>
      <c r="K3534" t="s">
        <v>66</v>
      </c>
      <c r="L3534" s="12">
        <v>0.62847222222222221</v>
      </c>
      <c r="M3534" t="s">
        <v>63</v>
      </c>
      <c r="N3534" s="3">
        <v>232</v>
      </c>
      <c r="O3534" t="s">
        <v>24</v>
      </c>
      <c r="P3534" t="s">
        <v>56</v>
      </c>
      <c r="R3534">
        <f>tblDailySchedule[[#This Row],[Capacity Approx]]*'[1]Load Factor Sheet June Acft  '!$B$5</f>
        <v>187.86727272727273</v>
      </c>
      <c r="S3534">
        <f>tblDailySchedule[[#This Row],[Capacity Approx]]*'[1]Load Factor Sheet June Acft  '!$D$5</f>
        <v>203.4218181818182</v>
      </c>
      <c r="T3534" s="22">
        <f>tblDailySchedule[[#This Row],[STD]]</f>
        <v>0.62847222222222221</v>
      </c>
    </row>
    <row r="3535" spans="1:20" hidden="1" x14ac:dyDescent="0.35">
      <c r="A3535" s="11">
        <v>46237</v>
      </c>
      <c r="B3535" s="3">
        <v>1</v>
      </c>
      <c r="C3535" t="s">
        <v>100</v>
      </c>
      <c r="D3535" t="s">
        <v>18</v>
      </c>
      <c r="E3535" s="3">
        <v>16</v>
      </c>
      <c r="F3535" t="s">
        <v>19</v>
      </c>
      <c r="G3535" t="s">
        <v>67</v>
      </c>
      <c r="H3535" t="s">
        <v>31</v>
      </c>
      <c r="I3535" s="12">
        <v>0.65625</v>
      </c>
      <c r="J3535" t="s">
        <v>68</v>
      </c>
      <c r="K3535" t="s">
        <v>31</v>
      </c>
      <c r="L3535" s="12">
        <v>0.68402777777777779</v>
      </c>
      <c r="M3535" t="s">
        <v>63</v>
      </c>
      <c r="N3535" s="3">
        <v>232</v>
      </c>
      <c r="O3535" t="s">
        <v>24</v>
      </c>
      <c r="P3535" t="s">
        <v>56</v>
      </c>
      <c r="R3535">
        <f>tblDailySchedule[[#This Row],[Capacity Approx]]*'[1]Load Factor Sheet June Acft  '!$B$5</f>
        <v>187.86727272727273</v>
      </c>
      <c r="S3535">
        <f>tblDailySchedule[[#This Row],[Capacity Approx]]*'[1]Load Factor Sheet June Acft  '!$D$5</f>
        <v>203.4218181818182</v>
      </c>
      <c r="T3535" s="22">
        <f>tblDailySchedule[[#This Row],[STD]]</f>
        <v>0.68402777777777779</v>
      </c>
    </row>
    <row r="3536" spans="1:20" hidden="1" x14ac:dyDescent="0.35">
      <c r="A3536" s="11">
        <v>46237</v>
      </c>
      <c r="B3536" s="3">
        <v>1</v>
      </c>
      <c r="C3536" t="s">
        <v>100</v>
      </c>
      <c r="D3536" t="s">
        <v>18</v>
      </c>
      <c r="E3536" s="3">
        <v>17</v>
      </c>
      <c r="F3536" t="s">
        <v>19</v>
      </c>
      <c r="G3536" t="s">
        <v>69</v>
      </c>
      <c r="H3536" t="s">
        <v>31</v>
      </c>
      <c r="I3536" s="12">
        <v>0.66319444444444442</v>
      </c>
      <c r="J3536" t="s">
        <v>70</v>
      </c>
      <c r="K3536" t="s">
        <v>31</v>
      </c>
      <c r="L3536" s="12">
        <v>0.69097222222222221</v>
      </c>
      <c r="M3536" t="s">
        <v>33</v>
      </c>
      <c r="N3536" s="3">
        <v>189</v>
      </c>
      <c r="O3536" t="s">
        <v>24</v>
      </c>
      <c r="P3536" t="s">
        <v>56</v>
      </c>
      <c r="R3536">
        <f>tblDailySchedule[[#This Row],[Capacity Approx]]*'[1]Load Factor Sheet June Acft  '!$B$5</f>
        <v>153.04704545454547</v>
      </c>
      <c r="S3536">
        <f>tblDailySchedule[[#This Row],[Capacity Approx]]*'[1]Load Factor Sheet June Acft  '!$D$5</f>
        <v>165.71863636363636</v>
      </c>
      <c r="T3536" s="22">
        <f>tblDailySchedule[[#This Row],[STD]]</f>
        <v>0.69097222222222221</v>
      </c>
    </row>
    <row r="3537" spans="1:20" hidden="1" x14ac:dyDescent="0.35">
      <c r="A3537" s="11">
        <v>46237</v>
      </c>
      <c r="B3537" s="3">
        <v>1</v>
      </c>
      <c r="C3537" t="s">
        <v>100</v>
      </c>
      <c r="D3537" t="s">
        <v>18</v>
      </c>
      <c r="E3537" s="3">
        <v>18</v>
      </c>
      <c r="F3537" t="s">
        <v>19</v>
      </c>
      <c r="G3537" t="s">
        <v>71</v>
      </c>
      <c r="H3537" t="s">
        <v>21</v>
      </c>
      <c r="I3537" s="12">
        <v>0.67013888888888884</v>
      </c>
      <c r="J3537" t="s">
        <v>72</v>
      </c>
      <c r="K3537" t="s">
        <v>21</v>
      </c>
      <c r="L3537" s="12">
        <v>0.69791666666666663</v>
      </c>
      <c r="M3537" t="s">
        <v>63</v>
      </c>
      <c r="N3537" s="3">
        <v>232</v>
      </c>
      <c r="O3537" t="s">
        <v>24</v>
      </c>
      <c r="P3537" t="s">
        <v>56</v>
      </c>
      <c r="R3537">
        <f>tblDailySchedule[[#This Row],[Capacity Approx]]*'[1]Load Factor Sheet June Acft  '!$B$5</f>
        <v>187.86727272727273</v>
      </c>
      <c r="S3537">
        <f>tblDailySchedule[[#This Row],[Capacity Approx]]*'[1]Load Factor Sheet June Acft  '!$D$5</f>
        <v>203.4218181818182</v>
      </c>
      <c r="T3537" s="22">
        <f>tblDailySchedule[[#This Row],[STD]]</f>
        <v>0.69791666666666663</v>
      </c>
    </row>
    <row r="3538" spans="1:20" hidden="1" x14ac:dyDescent="0.35">
      <c r="A3538" s="11">
        <v>46237</v>
      </c>
      <c r="B3538" s="3">
        <v>1</v>
      </c>
      <c r="C3538" t="s">
        <v>100</v>
      </c>
      <c r="D3538" t="s">
        <v>18</v>
      </c>
      <c r="E3538" s="3">
        <v>19</v>
      </c>
      <c r="F3538" t="s">
        <v>19</v>
      </c>
      <c r="G3538" t="s">
        <v>73</v>
      </c>
      <c r="H3538" t="s">
        <v>27</v>
      </c>
      <c r="I3538" s="12">
        <v>0.74652777777777779</v>
      </c>
      <c r="J3538" t="s">
        <v>74</v>
      </c>
      <c r="K3538" t="s">
        <v>27</v>
      </c>
      <c r="L3538" s="12">
        <v>0.77430555555555558</v>
      </c>
      <c r="M3538" t="s">
        <v>63</v>
      </c>
      <c r="N3538" s="3">
        <v>232</v>
      </c>
      <c r="O3538" t="s">
        <v>24</v>
      </c>
      <c r="P3538" t="s">
        <v>56</v>
      </c>
      <c r="R3538">
        <f>tblDailySchedule[[#This Row],[Capacity Approx]]*'[1]Load Factor Sheet June Acft  '!$B$5</f>
        <v>187.86727272727273</v>
      </c>
      <c r="S3538">
        <f>tblDailySchedule[[#This Row],[Capacity Approx]]*'[1]Load Factor Sheet June Acft  '!$D$5</f>
        <v>203.4218181818182</v>
      </c>
      <c r="T3538" s="22">
        <f>tblDailySchedule[[#This Row],[STD]]</f>
        <v>0.77430555555555558</v>
      </c>
    </row>
    <row r="3539" spans="1:20" hidden="1" x14ac:dyDescent="0.35">
      <c r="A3539" s="11">
        <v>46237</v>
      </c>
      <c r="B3539" s="3">
        <v>1</v>
      </c>
      <c r="C3539" t="s">
        <v>100</v>
      </c>
      <c r="D3539" t="s">
        <v>18</v>
      </c>
      <c r="E3539" s="3">
        <v>20</v>
      </c>
      <c r="F3539" t="s">
        <v>34</v>
      </c>
      <c r="G3539" t="s">
        <v>75</v>
      </c>
      <c r="H3539" t="s">
        <v>76</v>
      </c>
      <c r="I3539" s="12">
        <v>0.76388888888888884</v>
      </c>
      <c r="J3539" t="s">
        <v>77</v>
      </c>
      <c r="K3539" t="s">
        <v>78</v>
      </c>
      <c r="L3539" s="12">
        <v>0.78472222222222221</v>
      </c>
      <c r="M3539" t="s">
        <v>51</v>
      </c>
      <c r="N3539" s="3">
        <v>78</v>
      </c>
      <c r="O3539" t="s">
        <v>24</v>
      </c>
      <c r="P3539" t="s">
        <v>79</v>
      </c>
      <c r="Q3539" s="16" t="s">
        <v>80</v>
      </c>
      <c r="R3539">
        <f>tblDailySchedule[[#This Row],[Capacity Approx]]*'[1]Load Factor Sheet June Acft  '!$B$5</f>
        <v>63.162272727272729</v>
      </c>
      <c r="S3539">
        <f>tblDailySchedule[[#This Row],[Capacity Approx]]*'[1]Load Factor Sheet June Acft  '!$D$5</f>
        <v>68.391818181818181</v>
      </c>
      <c r="T3539" s="22">
        <f>tblDailySchedule[[#This Row],[STD]]</f>
        <v>0.78472222222222221</v>
      </c>
    </row>
    <row r="3540" spans="1:20" hidden="1" x14ac:dyDescent="0.35">
      <c r="A3540" s="11">
        <v>46237</v>
      </c>
      <c r="B3540" s="3">
        <v>1</v>
      </c>
      <c r="C3540" t="s">
        <v>100</v>
      </c>
      <c r="D3540" t="s">
        <v>18</v>
      </c>
      <c r="E3540" s="3">
        <v>21</v>
      </c>
      <c r="F3540" t="s">
        <v>19</v>
      </c>
      <c r="G3540" t="s">
        <v>81</v>
      </c>
      <c r="H3540" t="s">
        <v>61</v>
      </c>
      <c r="I3540" s="12">
        <v>0.77083333333333337</v>
      </c>
      <c r="J3540" t="s">
        <v>82</v>
      </c>
      <c r="K3540" t="s">
        <v>49</v>
      </c>
      <c r="L3540" s="12">
        <v>0.79166666666666663</v>
      </c>
      <c r="M3540" t="s">
        <v>33</v>
      </c>
      <c r="N3540" s="3">
        <v>189</v>
      </c>
      <c r="O3540" t="s">
        <v>24</v>
      </c>
      <c r="P3540" t="s">
        <v>79</v>
      </c>
      <c r="R3540">
        <f>tblDailySchedule[[#This Row],[Capacity Approx]]*'[1]Load Factor Sheet June Acft  '!$B$5</f>
        <v>153.04704545454547</v>
      </c>
      <c r="S3540">
        <f>tblDailySchedule[[#This Row],[Capacity Approx]]*'[1]Load Factor Sheet June Acft  '!$D$5</f>
        <v>165.71863636363636</v>
      </c>
      <c r="T3540" s="22">
        <f>tblDailySchedule[[#This Row],[STD]]</f>
        <v>0.79166666666666663</v>
      </c>
    </row>
    <row r="3541" spans="1:20" hidden="1" x14ac:dyDescent="0.35">
      <c r="A3541" s="11">
        <v>46237</v>
      </c>
      <c r="B3541" s="3">
        <v>1</v>
      </c>
      <c r="C3541" t="s">
        <v>100</v>
      </c>
      <c r="D3541" t="s">
        <v>18</v>
      </c>
      <c r="E3541" s="3">
        <v>22</v>
      </c>
      <c r="F3541" t="s">
        <v>19</v>
      </c>
      <c r="G3541" t="s">
        <v>83</v>
      </c>
      <c r="H3541" t="s">
        <v>31</v>
      </c>
      <c r="I3541" s="12">
        <v>0.77777777777777779</v>
      </c>
      <c r="J3541" t="s">
        <v>84</v>
      </c>
      <c r="K3541" t="s">
        <v>31</v>
      </c>
      <c r="L3541" s="12">
        <v>0.80555555555555558</v>
      </c>
      <c r="M3541" t="s">
        <v>63</v>
      </c>
      <c r="N3541" s="3">
        <v>232</v>
      </c>
      <c r="O3541" t="s">
        <v>24</v>
      </c>
      <c r="P3541" t="s">
        <v>79</v>
      </c>
      <c r="R3541">
        <f>tblDailySchedule[[#This Row],[Capacity Approx]]*'[1]Load Factor Sheet June Acft  '!$B$5</f>
        <v>187.86727272727273</v>
      </c>
      <c r="S3541">
        <f>tblDailySchedule[[#This Row],[Capacity Approx]]*'[1]Load Factor Sheet June Acft  '!$D$5</f>
        <v>203.4218181818182</v>
      </c>
      <c r="T3541" s="22">
        <f>tblDailySchedule[[#This Row],[STD]]</f>
        <v>0.80555555555555558</v>
      </c>
    </row>
    <row r="3542" spans="1:20" hidden="1" x14ac:dyDescent="0.35">
      <c r="A3542" s="11">
        <v>46237</v>
      </c>
      <c r="B3542" s="3">
        <v>1</v>
      </c>
      <c r="C3542" t="s">
        <v>100</v>
      </c>
      <c r="D3542" t="s">
        <v>18</v>
      </c>
      <c r="E3542" s="3">
        <v>23</v>
      </c>
      <c r="F3542" t="s">
        <v>19</v>
      </c>
      <c r="G3542" t="s">
        <v>85</v>
      </c>
      <c r="H3542" t="s">
        <v>86</v>
      </c>
      <c r="I3542" s="12">
        <v>0.79861111111111116</v>
      </c>
      <c r="J3542" t="s">
        <v>87</v>
      </c>
      <c r="K3542" t="s">
        <v>86</v>
      </c>
      <c r="L3542" s="12">
        <v>0.82638888888888884</v>
      </c>
      <c r="M3542" t="s">
        <v>63</v>
      </c>
      <c r="N3542" s="3">
        <v>232</v>
      </c>
      <c r="O3542" t="s">
        <v>24</v>
      </c>
      <c r="P3542" t="s">
        <v>79</v>
      </c>
      <c r="R3542">
        <f>tblDailySchedule[[#This Row],[Capacity Approx]]*'[1]Load Factor Sheet June Acft  '!$B$5</f>
        <v>187.86727272727273</v>
      </c>
      <c r="S3542">
        <f>tblDailySchedule[[#This Row],[Capacity Approx]]*'[1]Load Factor Sheet June Acft  '!$D$5</f>
        <v>203.4218181818182</v>
      </c>
      <c r="T3542" s="22">
        <f>tblDailySchedule[[#This Row],[STD]]</f>
        <v>0.82638888888888884</v>
      </c>
    </row>
    <row r="3543" spans="1:20" hidden="1" x14ac:dyDescent="0.35">
      <c r="A3543" s="11">
        <v>46237</v>
      </c>
      <c r="B3543" s="3">
        <v>1</v>
      </c>
      <c r="C3543" t="s">
        <v>100</v>
      </c>
      <c r="D3543" t="s">
        <v>18</v>
      </c>
      <c r="E3543" s="3">
        <v>24</v>
      </c>
      <c r="F3543" t="s">
        <v>19</v>
      </c>
      <c r="G3543" t="s">
        <v>88</v>
      </c>
      <c r="H3543" t="s">
        <v>89</v>
      </c>
      <c r="I3543" s="12">
        <v>0.83333333333333337</v>
      </c>
      <c r="J3543" t="s">
        <v>90</v>
      </c>
      <c r="K3543" t="s">
        <v>31</v>
      </c>
      <c r="L3543" s="12">
        <v>0.86111111111111116</v>
      </c>
      <c r="M3543" t="s">
        <v>63</v>
      </c>
      <c r="N3543" s="3">
        <v>232</v>
      </c>
      <c r="O3543" t="s">
        <v>24</v>
      </c>
      <c r="P3543" t="s">
        <v>79</v>
      </c>
      <c r="R3543">
        <f>tblDailySchedule[[#This Row],[Capacity Approx]]*'[1]Load Factor Sheet June Acft  '!$B$5</f>
        <v>187.86727272727273</v>
      </c>
      <c r="S3543">
        <f>tblDailySchedule[[#This Row],[Capacity Approx]]*'[1]Load Factor Sheet June Acft  '!$D$5</f>
        <v>203.4218181818182</v>
      </c>
      <c r="T3543" s="22">
        <f>tblDailySchedule[[#This Row],[STD]]</f>
        <v>0.86111111111111116</v>
      </c>
    </row>
    <row r="3544" spans="1:20" hidden="1" x14ac:dyDescent="0.35">
      <c r="A3544" s="11">
        <v>46237</v>
      </c>
      <c r="B3544" s="3">
        <v>1</v>
      </c>
      <c r="C3544" t="s">
        <v>100</v>
      </c>
      <c r="D3544" t="s">
        <v>18</v>
      </c>
      <c r="E3544" s="3">
        <v>25</v>
      </c>
      <c r="F3544" t="s">
        <v>19</v>
      </c>
      <c r="G3544" t="s">
        <v>91</v>
      </c>
      <c r="H3544" t="s">
        <v>61</v>
      </c>
      <c r="I3544" s="12">
        <v>0.85416666666666663</v>
      </c>
      <c r="J3544" t="s">
        <v>92</v>
      </c>
      <c r="K3544" t="s">
        <v>61</v>
      </c>
      <c r="L3544" s="12">
        <v>0.88194444444444442</v>
      </c>
      <c r="M3544" t="s">
        <v>63</v>
      </c>
      <c r="N3544" s="3">
        <v>232</v>
      </c>
      <c r="O3544" t="s">
        <v>24</v>
      </c>
      <c r="P3544" t="s">
        <v>79</v>
      </c>
      <c r="R3544">
        <f>tblDailySchedule[[#This Row],[Capacity Approx]]*'[1]Load Factor Sheet June Acft  '!$B$5</f>
        <v>187.86727272727273</v>
      </c>
      <c r="S3544">
        <f>tblDailySchedule[[#This Row],[Capacity Approx]]*'[1]Load Factor Sheet June Acft  '!$D$5</f>
        <v>203.4218181818182</v>
      </c>
      <c r="T3544" s="22">
        <f>tblDailySchedule[[#This Row],[STD]]</f>
        <v>0.88194444444444442</v>
      </c>
    </row>
    <row r="3545" spans="1:20" hidden="1" x14ac:dyDescent="0.35">
      <c r="A3545" s="11">
        <v>46237</v>
      </c>
      <c r="B3545" s="3">
        <v>1</v>
      </c>
      <c r="C3545" t="s">
        <v>100</v>
      </c>
      <c r="D3545" t="s">
        <v>18</v>
      </c>
      <c r="E3545" s="3">
        <v>26</v>
      </c>
      <c r="F3545" t="s">
        <v>19</v>
      </c>
      <c r="G3545" t="s">
        <v>93</v>
      </c>
      <c r="H3545" t="s">
        <v>31</v>
      </c>
      <c r="I3545" s="12">
        <v>0.86111111111111116</v>
      </c>
      <c r="J3545" t="s">
        <v>94</v>
      </c>
      <c r="K3545" t="s">
        <v>31</v>
      </c>
      <c r="L3545" s="12">
        <v>0.88888888888888884</v>
      </c>
      <c r="M3545" t="s">
        <v>23</v>
      </c>
      <c r="N3545" s="3">
        <v>186</v>
      </c>
      <c r="O3545" t="s">
        <v>24</v>
      </c>
      <c r="P3545" t="s">
        <v>79</v>
      </c>
      <c r="R3545">
        <f>tblDailySchedule[[#This Row],[Capacity Approx]]*'[1]Load Factor Sheet June Acft  '!$B$5</f>
        <v>150.61772727272728</v>
      </c>
      <c r="S3545">
        <f>tblDailySchedule[[#This Row],[Capacity Approx]]*'[1]Load Factor Sheet June Acft  '!$D$5</f>
        <v>163.08818181818182</v>
      </c>
      <c r="T3545" s="22">
        <f>tblDailySchedule[[#This Row],[STD]]</f>
        <v>0.88888888888888884</v>
      </c>
    </row>
    <row r="3546" spans="1:20" hidden="1" x14ac:dyDescent="0.35">
      <c r="A3546" s="11">
        <v>46237</v>
      </c>
      <c r="B3546" s="3">
        <v>1</v>
      </c>
      <c r="C3546" t="s">
        <v>100</v>
      </c>
      <c r="D3546" t="s">
        <v>18</v>
      </c>
      <c r="E3546" s="3">
        <v>27</v>
      </c>
      <c r="F3546" t="s">
        <v>19</v>
      </c>
      <c r="G3546" t="s">
        <v>95</v>
      </c>
      <c r="H3546" t="s">
        <v>21</v>
      </c>
      <c r="I3546" s="12">
        <v>0.86805555555555558</v>
      </c>
      <c r="J3546" t="s">
        <v>96</v>
      </c>
      <c r="K3546" t="s">
        <v>21</v>
      </c>
      <c r="L3546" s="12">
        <v>0.89583333333333337</v>
      </c>
      <c r="M3546" t="s">
        <v>29</v>
      </c>
      <c r="N3546" s="3">
        <v>186</v>
      </c>
      <c r="O3546" t="s">
        <v>24</v>
      </c>
      <c r="P3546" t="s">
        <v>79</v>
      </c>
      <c r="R3546">
        <f>tblDailySchedule[[#This Row],[Capacity Approx]]*'[1]Load Factor Sheet June Acft  '!$B$5</f>
        <v>150.61772727272728</v>
      </c>
      <c r="S3546">
        <f>tblDailySchedule[[#This Row],[Capacity Approx]]*'[1]Load Factor Sheet June Acft  '!$D$5</f>
        <v>163.08818181818182</v>
      </c>
      <c r="T3546" s="22">
        <f>tblDailySchedule[[#This Row],[STD]]</f>
        <v>0.89583333333333337</v>
      </c>
    </row>
    <row r="3547" spans="1:20" hidden="1" x14ac:dyDescent="0.35">
      <c r="A3547" s="11">
        <v>46237</v>
      </c>
      <c r="B3547" s="3">
        <v>1</v>
      </c>
      <c r="C3547" t="s">
        <v>100</v>
      </c>
      <c r="D3547" t="s">
        <v>18</v>
      </c>
      <c r="E3547" s="3">
        <v>28</v>
      </c>
      <c r="F3547" t="s">
        <v>19</v>
      </c>
      <c r="G3547" t="s">
        <v>97</v>
      </c>
      <c r="H3547" t="s">
        <v>49</v>
      </c>
      <c r="I3547" s="12">
        <v>0.90277777777777779</v>
      </c>
      <c r="J3547" t="s">
        <v>97</v>
      </c>
      <c r="K3547" t="s">
        <v>61</v>
      </c>
      <c r="L3547" s="12">
        <v>0.92361111111111116</v>
      </c>
      <c r="M3547" t="s">
        <v>33</v>
      </c>
      <c r="N3547" s="3">
        <v>189</v>
      </c>
      <c r="O3547" t="s">
        <v>24</v>
      </c>
      <c r="P3547" t="s">
        <v>79</v>
      </c>
      <c r="R3547">
        <f>tblDailySchedule[[#This Row],[Capacity Approx]]*'[1]Load Factor Sheet June Acft  '!$B$5</f>
        <v>153.04704545454547</v>
      </c>
      <c r="S3547">
        <f>tblDailySchedule[[#This Row],[Capacity Approx]]*'[1]Load Factor Sheet June Acft  '!$D$5</f>
        <v>165.71863636363636</v>
      </c>
      <c r="T3547" s="22">
        <f>tblDailySchedule[[#This Row],[STD]]</f>
        <v>0.92361111111111116</v>
      </c>
    </row>
    <row r="3548" spans="1:20" hidden="1" x14ac:dyDescent="0.35">
      <c r="A3548" s="11">
        <v>46237</v>
      </c>
      <c r="B3548" s="3">
        <v>1</v>
      </c>
      <c r="C3548" t="s">
        <v>100</v>
      </c>
      <c r="D3548" t="s">
        <v>18</v>
      </c>
      <c r="E3548" s="3">
        <v>29</v>
      </c>
      <c r="F3548" t="s">
        <v>19</v>
      </c>
      <c r="G3548" t="s">
        <v>98</v>
      </c>
      <c r="H3548" t="s">
        <v>21</v>
      </c>
      <c r="I3548" s="12">
        <v>0.92013888888888884</v>
      </c>
      <c r="J3548" t="s">
        <v>99</v>
      </c>
      <c r="K3548" t="s">
        <v>21</v>
      </c>
      <c r="L3548" s="12">
        <v>0.94791666666666663</v>
      </c>
      <c r="M3548" t="s">
        <v>63</v>
      </c>
      <c r="N3548" s="3">
        <v>232</v>
      </c>
      <c r="O3548" t="s">
        <v>24</v>
      </c>
      <c r="P3548" t="s">
        <v>79</v>
      </c>
      <c r="R3548">
        <f>tblDailySchedule[[#This Row],[Capacity Approx]]*'[1]Load Factor Sheet June Acft  '!$B$5</f>
        <v>187.86727272727273</v>
      </c>
      <c r="S3548">
        <f>tblDailySchedule[[#This Row],[Capacity Approx]]*'[1]Load Factor Sheet June Acft  '!$D$5</f>
        <v>203.4218181818182</v>
      </c>
      <c r="T3548" s="22">
        <f>tblDailySchedule[[#This Row],[STD]]</f>
        <v>0.94791666666666663</v>
      </c>
    </row>
    <row r="3549" spans="1:20" hidden="1" x14ac:dyDescent="0.35">
      <c r="A3549" s="13">
        <v>46237</v>
      </c>
      <c r="B3549" s="7">
        <v>1</v>
      </c>
      <c r="C3549" s="14" t="s">
        <v>100</v>
      </c>
      <c r="D3549" s="14" t="s">
        <v>18</v>
      </c>
      <c r="E3549" s="7">
        <v>30</v>
      </c>
      <c r="F3549" s="14" t="s">
        <v>104</v>
      </c>
      <c r="G3549" s="14" t="s">
        <v>105</v>
      </c>
      <c r="H3549" s="14" t="s">
        <v>106</v>
      </c>
      <c r="I3549" s="15">
        <v>0.92708333333333337</v>
      </c>
      <c r="J3549" s="14" t="s">
        <v>107</v>
      </c>
      <c r="K3549" s="14" t="s">
        <v>106</v>
      </c>
      <c r="L3549" s="15">
        <v>0.95833333333333337</v>
      </c>
      <c r="M3549" s="14" t="s">
        <v>38</v>
      </c>
      <c r="N3549" s="7">
        <v>186</v>
      </c>
      <c r="O3549" s="14" t="s">
        <v>39</v>
      </c>
      <c r="P3549" s="14" t="s">
        <v>79</v>
      </c>
      <c r="Q3549" s="14" t="s">
        <v>39</v>
      </c>
      <c r="R3549">
        <f>tblDailySchedule[[#This Row],[Capacity Approx]]*'[1]Load Factor Sheet June Acft  '!$B$5</f>
        <v>150.61772727272728</v>
      </c>
      <c r="S3549">
        <f>tblDailySchedule[[#This Row],[Capacity Approx]]*'[1]Load Factor Sheet June Acft  '!$D$5</f>
        <v>163.08818181818182</v>
      </c>
      <c r="T3549" s="22">
        <f>tblDailySchedule[[#This Row],[STD]]</f>
        <v>0.95833333333333337</v>
      </c>
    </row>
    <row r="3550" spans="1:20" hidden="1" x14ac:dyDescent="0.35">
      <c r="A3550" s="11">
        <v>46238</v>
      </c>
      <c r="B3550" s="3">
        <v>2</v>
      </c>
      <c r="C3550" t="s">
        <v>108</v>
      </c>
      <c r="D3550" t="s">
        <v>18</v>
      </c>
      <c r="E3550" s="3">
        <v>1</v>
      </c>
      <c r="F3550" t="s">
        <v>101</v>
      </c>
      <c r="G3550" t="s">
        <v>102</v>
      </c>
      <c r="H3550" t="s">
        <v>61</v>
      </c>
      <c r="I3550" s="12">
        <v>0.3125</v>
      </c>
      <c r="J3550" t="s">
        <v>103</v>
      </c>
      <c r="K3550" t="s">
        <v>61</v>
      </c>
      <c r="L3550" s="12">
        <v>0.33333333333333331</v>
      </c>
      <c r="M3550" t="s">
        <v>33</v>
      </c>
      <c r="N3550" s="3">
        <v>189</v>
      </c>
      <c r="O3550" t="s">
        <v>24</v>
      </c>
      <c r="P3550" t="s">
        <v>25</v>
      </c>
      <c r="R3550">
        <f>tblDailySchedule[[#This Row],[Capacity Approx]]*'[1]Load Factor Sheet June Acft  '!$B$5</f>
        <v>153.04704545454547</v>
      </c>
      <c r="S3550">
        <f>tblDailySchedule[[#This Row],[Capacity Approx]]*'[1]Load Factor Sheet June Acft  '!$D$5</f>
        <v>165.71863636363636</v>
      </c>
      <c r="T3550" s="22">
        <f>tblDailySchedule[[#This Row],[STD]]</f>
        <v>0.33333333333333331</v>
      </c>
    </row>
    <row r="3551" spans="1:20" hidden="1" x14ac:dyDescent="0.35">
      <c r="A3551" s="11">
        <v>46238</v>
      </c>
      <c r="B3551" s="3">
        <v>2</v>
      </c>
      <c r="C3551" t="s">
        <v>108</v>
      </c>
      <c r="D3551" t="s">
        <v>18</v>
      </c>
      <c r="E3551" s="3">
        <v>2</v>
      </c>
      <c r="F3551" t="s">
        <v>19</v>
      </c>
      <c r="G3551" t="s">
        <v>20</v>
      </c>
      <c r="H3551" t="s">
        <v>21</v>
      </c>
      <c r="I3551" s="12">
        <v>0.31944444444444442</v>
      </c>
      <c r="J3551" t="s">
        <v>22</v>
      </c>
      <c r="K3551" t="s">
        <v>21</v>
      </c>
      <c r="L3551" s="12">
        <v>0.34722222222222221</v>
      </c>
      <c r="M3551" t="s">
        <v>23</v>
      </c>
      <c r="N3551" s="3">
        <v>186</v>
      </c>
      <c r="O3551" t="s">
        <v>24</v>
      </c>
      <c r="P3551" t="s">
        <v>25</v>
      </c>
      <c r="R3551">
        <f>tblDailySchedule[[#This Row],[Capacity Approx]]*'[1]Load Factor Sheet June Acft  '!$B$5</f>
        <v>150.61772727272728</v>
      </c>
      <c r="S3551">
        <f>tblDailySchedule[[#This Row],[Capacity Approx]]*'[1]Load Factor Sheet June Acft  '!$D$5</f>
        <v>163.08818181818182</v>
      </c>
      <c r="T3551" s="22">
        <f>tblDailySchedule[[#This Row],[STD]]</f>
        <v>0.34722222222222221</v>
      </c>
    </row>
    <row r="3552" spans="1:20" hidden="1" x14ac:dyDescent="0.35">
      <c r="A3552" s="11">
        <v>46238</v>
      </c>
      <c r="B3552" s="3">
        <v>2</v>
      </c>
      <c r="C3552" t="s">
        <v>108</v>
      </c>
      <c r="D3552" t="s">
        <v>18</v>
      </c>
      <c r="E3552" s="3">
        <v>3</v>
      </c>
      <c r="F3552" t="s">
        <v>19</v>
      </c>
      <c r="G3552" t="s">
        <v>26</v>
      </c>
      <c r="H3552" t="s">
        <v>27</v>
      </c>
      <c r="I3552" s="12">
        <v>0.3263888888888889</v>
      </c>
      <c r="J3552" t="s">
        <v>28</v>
      </c>
      <c r="K3552" t="s">
        <v>27</v>
      </c>
      <c r="L3552" s="12">
        <v>0.35416666666666669</v>
      </c>
      <c r="M3552" t="s">
        <v>29</v>
      </c>
      <c r="N3552" s="3">
        <v>186</v>
      </c>
      <c r="O3552" t="s">
        <v>24</v>
      </c>
      <c r="P3552" t="s">
        <v>25</v>
      </c>
      <c r="R3552">
        <f>tblDailySchedule[[#This Row],[Capacity Approx]]*'[1]Load Factor Sheet June Acft  '!$B$5</f>
        <v>150.61772727272728</v>
      </c>
      <c r="S3552">
        <f>tblDailySchedule[[#This Row],[Capacity Approx]]*'[1]Load Factor Sheet June Acft  '!$D$5</f>
        <v>163.08818181818182</v>
      </c>
      <c r="T3552" s="22">
        <f>tblDailySchedule[[#This Row],[STD]]</f>
        <v>0.35416666666666669</v>
      </c>
    </row>
    <row r="3553" spans="1:20" hidden="1" x14ac:dyDescent="0.35">
      <c r="A3553" s="11">
        <v>46238</v>
      </c>
      <c r="B3553" s="3">
        <v>2</v>
      </c>
      <c r="C3553" t="s">
        <v>108</v>
      </c>
      <c r="D3553" t="s">
        <v>18</v>
      </c>
      <c r="E3553" s="3">
        <v>4</v>
      </c>
      <c r="F3553" t="s">
        <v>19</v>
      </c>
      <c r="G3553" t="s">
        <v>30</v>
      </c>
      <c r="H3553" t="s">
        <v>31</v>
      </c>
      <c r="I3553" s="12">
        <v>0.34722222222222221</v>
      </c>
      <c r="J3553" t="s">
        <v>32</v>
      </c>
      <c r="K3553" t="s">
        <v>31</v>
      </c>
      <c r="L3553" s="12">
        <v>0.36805555555555558</v>
      </c>
      <c r="M3553" t="s">
        <v>33</v>
      </c>
      <c r="N3553" s="3">
        <v>189</v>
      </c>
      <c r="O3553" t="s">
        <v>24</v>
      </c>
      <c r="P3553" t="s">
        <v>25</v>
      </c>
      <c r="R3553">
        <f>tblDailySchedule[[#This Row],[Capacity Approx]]*'[1]Load Factor Sheet June Acft  '!$B$5</f>
        <v>153.04704545454547</v>
      </c>
      <c r="S3553">
        <f>tblDailySchedule[[#This Row],[Capacity Approx]]*'[1]Load Factor Sheet June Acft  '!$D$5</f>
        <v>165.71863636363636</v>
      </c>
      <c r="T3553" s="22">
        <f>tblDailySchedule[[#This Row],[STD]]</f>
        <v>0.36805555555555558</v>
      </c>
    </row>
    <row r="3554" spans="1:20" hidden="1" x14ac:dyDescent="0.35">
      <c r="A3554" s="11">
        <v>46238</v>
      </c>
      <c r="B3554" s="3">
        <v>2</v>
      </c>
      <c r="C3554" t="s">
        <v>108</v>
      </c>
      <c r="D3554" t="s">
        <v>18</v>
      </c>
      <c r="E3554" s="3">
        <v>5</v>
      </c>
      <c r="F3554" t="s">
        <v>19</v>
      </c>
      <c r="G3554" t="s">
        <v>40</v>
      </c>
      <c r="H3554" t="s">
        <v>31</v>
      </c>
      <c r="I3554" s="12">
        <v>0.35069444444444442</v>
      </c>
      <c r="J3554" t="s">
        <v>41</v>
      </c>
      <c r="K3554" t="s">
        <v>31</v>
      </c>
      <c r="L3554" s="12">
        <v>0.37152777777777779</v>
      </c>
      <c r="M3554" t="s">
        <v>23</v>
      </c>
      <c r="N3554" s="3">
        <v>186</v>
      </c>
      <c r="O3554" t="s">
        <v>24</v>
      </c>
      <c r="P3554" t="s">
        <v>25</v>
      </c>
      <c r="R3554">
        <f>tblDailySchedule[[#This Row],[Capacity Approx]]*'[1]Load Factor Sheet June Acft  '!$B$5</f>
        <v>150.61772727272728</v>
      </c>
      <c r="S3554">
        <f>tblDailySchedule[[#This Row],[Capacity Approx]]*'[1]Load Factor Sheet June Acft  '!$D$5</f>
        <v>163.08818181818182</v>
      </c>
      <c r="T3554" s="22">
        <f>tblDailySchedule[[#This Row],[STD]]</f>
        <v>0.37152777777777779</v>
      </c>
    </row>
    <row r="3555" spans="1:20" hidden="1" x14ac:dyDescent="0.35">
      <c r="A3555" s="11">
        <v>46238</v>
      </c>
      <c r="B3555" s="3">
        <v>2</v>
      </c>
      <c r="C3555" t="s">
        <v>108</v>
      </c>
      <c r="D3555" t="s">
        <v>18</v>
      </c>
      <c r="E3555" s="3">
        <v>7</v>
      </c>
      <c r="F3555" t="s">
        <v>19</v>
      </c>
      <c r="G3555" t="s">
        <v>42</v>
      </c>
      <c r="H3555" t="s">
        <v>43</v>
      </c>
      <c r="I3555" s="12">
        <v>0.3923611111111111</v>
      </c>
      <c r="J3555" t="s">
        <v>44</v>
      </c>
      <c r="K3555" t="s">
        <v>43</v>
      </c>
      <c r="L3555" s="12">
        <v>0.40277777777777779</v>
      </c>
      <c r="M3555" t="s">
        <v>45</v>
      </c>
      <c r="N3555" s="3">
        <v>9</v>
      </c>
      <c r="O3555" t="s">
        <v>24</v>
      </c>
      <c r="P3555" t="s">
        <v>25</v>
      </c>
      <c r="R3555">
        <f>tblDailySchedule[[#This Row],[Capacity Approx]]*'[1]Load Factor Sheet June Acft  '!$B$5</f>
        <v>7.2879545454545456</v>
      </c>
      <c r="S3555">
        <f>tblDailySchedule[[#This Row],[Capacity Approx]]*'[1]Load Factor Sheet June Acft  '!$D$5</f>
        <v>7.8913636363636366</v>
      </c>
      <c r="T3555" s="22">
        <f>tblDailySchedule[[#This Row],[STD]]</f>
        <v>0.40277777777777779</v>
      </c>
    </row>
    <row r="3556" spans="1:20" hidden="1" x14ac:dyDescent="0.35">
      <c r="A3556" s="11">
        <v>46238</v>
      </c>
      <c r="B3556" s="3">
        <v>2</v>
      </c>
      <c r="C3556" t="s">
        <v>108</v>
      </c>
      <c r="D3556" t="s">
        <v>18</v>
      </c>
      <c r="E3556" s="3">
        <v>8</v>
      </c>
      <c r="F3556" t="s">
        <v>19</v>
      </c>
      <c r="G3556" t="s">
        <v>46</v>
      </c>
      <c r="H3556" t="s">
        <v>31</v>
      </c>
      <c r="I3556" s="12">
        <v>0.4201388888888889</v>
      </c>
      <c r="J3556" t="s">
        <v>47</v>
      </c>
      <c r="K3556" t="s">
        <v>31</v>
      </c>
      <c r="L3556" s="12">
        <v>0.44444444444444442</v>
      </c>
      <c r="M3556" t="s">
        <v>29</v>
      </c>
      <c r="N3556" s="3">
        <v>186</v>
      </c>
      <c r="O3556" t="s">
        <v>24</v>
      </c>
      <c r="P3556" t="s">
        <v>25</v>
      </c>
      <c r="R3556">
        <f>tblDailySchedule[[#This Row],[Capacity Approx]]*'[1]Load Factor Sheet June Acft  '!$B$5</f>
        <v>150.61772727272728</v>
      </c>
      <c r="S3556">
        <f>tblDailySchedule[[#This Row],[Capacity Approx]]*'[1]Load Factor Sheet June Acft  '!$D$5</f>
        <v>163.08818181818182</v>
      </c>
      <c r="T3556" s="22">
        <f>tblDailySchedule[[#This Row],[STD]]</f>
        <v>0.44444444444444442</v>
      </c>
    </row>
    <row r="3557" spans="1:20" hidden="1" x14ac:dyDescent="0.35">
      <c r="A3557" s="11">
        <v>46238</v>
      </c>
      <c r="B3557" s="3">
        <v>2</v>
      </c>
      <c r="C3557" t="s">
        <v>108</v>
      </c>
      <c r="D3557" t="s">
        <v>18</v>
      </c>
      <c r="E3557" s="3">
        <v>9</v>
      </c>
      <c r="F3557" t="s">
        <v>19</v>
      </c>
      <c r="G3557" t="s">
        <v>48</v>
      </c>
      <c r="H3557" t="s">
        <v>49</v>
      </c>
      <c r="I3557" s="12">
        <v>0.4375</v>
      </c>
      <c r="J3557" t="s">
        <v>50</v>
      </c>
      <c r="K3557" t="s">
        <v>49</v>
      </c>
      <c r="L3557" s="12">
        <v>0.45833333333333331</v>
      </c>
      <c r="M3557" t="s">
        <v>51</v>
      </c>
      <c r="N3557" s="3">
        <v>78</v>
      </c>
      <c r="O3557" t="s">
        <v>24</v>
      </c>
      <c r="P3557" t="s">
        <v>25</v>
      </c>
      <c r="R3557">
        <f>tblDailySchedule[[#This Row],[Capacity Approx]]*'[1]Load Factor Sheet June Acft  '!$B$5</f>
        <v>63.162272727272729</v>
      </c>
      <c r="S3557">
        <f>tblDailySchedule[[#This Row],[Capacity Approx]]*'[1]Load Factor Sheet June Acft  '!$D$5</f>
        <v>68.391818181818181</v>
      </c>
      <c r="T3557" s="22">
        <f>tblDailySchedule[[#This Row],[STD]]</f>
        <v>0.45833333333333331</v>
      </c>
    </row>
    <row r="3558" spans="1:20" hidden="1" x14ac:dyDescent="0.35">
      <c r="A3558" s="11">
        <v>46238</v>
      </c>
      <c r="B3558" s="3">
        <v>2</v>
      </c>
      <c r="C3558" t="s">
        <v>108</v>
      </c>
      <c r="D3558" t="s">
        <v>18</v>
      </c>
      <c r="E3558" s="3">
        <v>10</v>
      </c>
      <c r="F3558" t="s">
        <v>19</v>
      </c>
      <c r="G3558" t="s">
        <v>52</v>
      </c>
      <c r="H3558" t="s">
        <v>27</v>
      </c>
      <c r="I3558" s="12">
        <v>0.4826388888888889</v>
      </c>
      <c r="J3558" t="s">
        <v>53</v>
      </c>
      <c r="K3558" t="s">
        <v>27</v>
      </c>
      <c r="L3558" s="12">
        <v>0.51041666666666663</v>
      </c>
      <c r="M3558" t="s">
        <v>23</v>
      </c>
      <c r="N3558" s="3">
        <v>186</v>
      </c>
      <c r="O3558" t="s">
        <v>24</v>
      </c>
      <c r="P3558" t="s">
        <v>25</v>
      </c>
      <c r="R3558">
        <f>tblDailySchedule[[#This Row],[Capacity Approx]]*'[1]Load Factor Sheet June Acft  '!$B$5</f>
        <v>150.61772727272728</v>
      </c>
      <c r="S3558">
        <f>tblDailySchedule[[#This Row],[Capacity Approx]]*'[1]Load Factor Sheet June Acft  '!$D$5</f>
        <v>163.08818181818182</v>
      </c>
      <c r="T3558" s="22">
        <f>tblDailySchedule[[#This Row],[STD]]</f>
        <v>0.51041666666666663</v>
      </c>
    </row>
    <row r="3559" spans="1:20" hidden="1" x14ac:dyDescent="0.35">
      <c r="A3559" s="11">
        <v>46238</v>
      </c>
      <c r="B3559" s="3">
        <v>2</v>
      </c>
      <c r="C3559" t="s">
        <v>108</v>
      </c>
      <c r="D3559" t="s">
        <v>18</v>
      </c>
      <c r="E3559" s="3">
        <v>11</v>
      </c>
      <c r="F3559" t="s">
        <v>19</v>
      </c>
      <c r="G3559" t="s">
        <v>54</v>
      </c>
      <c r="H3559" t="s">
        <v>31</v>
      </c>
      <c r="I3559" s="12">
        <v>0.51388888888888884</v>
      </c>
      <c r="J3559" t="s">
        <v>55</v>
      </c>
      <c r="K3559" t="s">
        <v>31</v>
      </c>
      <c r="L3559" s="12">
        <v>0.54166666666666663</v>
      </c>
      <c r="M3559" t="s">
        <v>23</v>
      </c>
      <c r="N3559" s="3">
        <v>186</v>
      </c>
      <c r="O3559" t="s">
        <v>24</v>
      </c>
      <c r="P3559" t="s">
        <v>56</v>
      </c>
      <c r="R3559">
        <f>tblDailySchedule[[#This Row],[Capacity Approx]]*'[1]Load Factor Sheet June Acft  '!$B$5</f>
        <v>150.61772727272728</v>
      </c>
      <c r="S3559">
        <f>tblDailySchedule[[#This Row],[Capacity Approx]]*'[1]Load Factor Sheet June Acft  '!$D$5</f>
        <v>163.08818181818182</v>
      </c>
      <c r="T3559" s="22">
        <f>tblDailySchedule[[#This Row],[STD]]</f>
        <v>0.54166666666666663</v>
      </c>
    </row>
    <row r="3560" spans="1:20" hidden="1" x14ac:dyDescent="0.35">
      <c r="A3560" s="11">
        <v>46238</v>
      </c>
      <c r="B3560" s="3">
        <v>2</v>
      </c>
      <c r="C3560" t="s">
        <v>108</v>
      </c>
      <c r="D3560" t="s">
        <v>18</v>
      </c>
      <c r="E3560" s="3">
        <v>12</v>
      </c>
      <c r="F3560" t="s">
        <v>109</v>
      </c>
      <c r="G3560" t="s">
        <v>110</v>
      </c>
      <c r="H3560" t="s">
        <v>111</v>
      </c>
      <c r="I3560" s="12">
        <v>0.55555555555555558</v>
      </c>
      <c r="J3560" t="s">
        <v>112</v>
      </c>
      <c r="K3560" t="s">
        <v>111</v>
      </c>
      <c r="L3560" s="12">
        <v>0.56944444444444442</v>
      </c>
      <c r="M3560" t="s">
        <v>51</v>
      </c>
      <c r="N3560" s="3">
        <v>78</v>
      </c>
      <c r="O3560" t="s">
        <v>24</v>
      </c>
      <c r="P3560" t="s">
        <v>56</v>
      </c>
      <c r="R3560">
        <f>tblDailySchedule[[#This Row],[Capacity Approx]]*'[1]Load Factor Sheet June Acft  '!$B$5</f>
        <v>63.162272727272729</v>
      </c>
      <c r="S3560">
        <f>tblDailySchedule[[#This Row],[Capacity Approx]]*'[1]Load Factor Sheet June Acft  '!$D$5</f>
        <v>68.391818181818181</v>
      </c>
      <c r="T3560" s="22">
        <f>tblDailySchedule[[#This Row],[STD]]</f>
        <v>0.56944444444444442</v>
      </c>
    </row>
    <row r="3561" spans="1:20" hidden="1" x14ac:dyDescent="0.35">
      <c r="A3561" s="11">
        <v>46238</v>
      </c>
      <c r="B3561" s="3">
        <v>2</v>
      </c>
      <c r="C3561" t="s">
        <v>108</v>
      </c>
      <c r="D3561" t="s">
        <v>18</v>
      </c>
      <c r="E3561" s="3">
        <v>13</v>
      </c>
      <c r="F3561" t="s">
        <v>19</v>
      </c>
      <c r="G3561" t="s">
        <v>57</v>
      </c>
      <c r="H3561" t="s">
        <v>58</v>
      </c>
      <c r="I3561" s="12">
        <v>0.55902777777777779</v>
      </c>
      <c r="J3561" t="s">
        <v>59</v>
      </c>
      <c r="K3561" t="s">
        <v>58</v>
      </c>
      <c r="L3561" s="12">
        <v>0.57638888888888884</v>
      </c>
      <c r="M3561" t="s">
        <v>51</v>
      </c>
      <c r="N3561" s="3">
        <v>78</v>
      </c>
      <c r="O3561" t="s">
        <v>24</v>
      </c>
      <c r="P3561" t="s">
        <v>56</v>
      </c>
      <c r="R3561">
        <f>tblDailySchedule[[#This Row],[Capacity Approx]]*'[1]Load Factor Sheet June Acft  '!$B$5</f>
        <v>63.162272727272729</v>
      </c>
      <c r="S3561">
        <f>tblDailySchedule[[#This Row],[Capacity Approx]]*'[1]Load Factor Sheet June Acft  '!$D$5</f>
        <v>68.391818181818181</v>
      </c>
      <c r="T3561" s="22">
        <f>tblDailySchedule[[#This Row],[STD]]</f>
        <v>0.57638888888888884</v>
      </c>
    </row>
    <row r="3562" spans="1:20" hidden="1" x14ac:dyDescent="0.35">
      <c r="A3562" s="11">
        <v>46238</v>
      </c>
      <c r="B3562" s="3">
        <v>2</v>
      </c>
      <c r="C3562" t="s">
        <v>108</v>
      </c>
      <c r="D3562" t="s">
        <v>18</v>
      </c>
      <c r="E3562" s="3">
        <v>14</v>
      </c>
      <c r="F3562" t="s">
        <v>19</v>
      </c>
      <c r="G3562" t="s">
        <v>60</v>
      </c>
      <c r="H3562" t="s">
        <v>61</v>
      </c>
      <c r="I3562" s="12">
        <v>0.59027777777777779</v>
      </c>
      <c r="J3562" t="s">
        <v>62</v>
      </c>
      <c r="K3562" t="s">
        <v>61</v>
      </c>
      <c r="L3562" s="12">
        <v>0.62152777777777779</v>
      </c>
      <c r="M3562" t="s">
        <v>63</v>
      </c>
      <c r="N3562" s="3">
        <v>232</v>
      </c>
      <c r="O3562" t="s">
        <v>24</v>
      </c>
      <c r="P3562" t="s">
        <v>56</v>
      </c>
      <c r="R3562">
        <f>tblDailySchedule[[#This Row],[Capacity Approx]]*'[1]Load Factor Sheet June Acft  '!$B$5</f>
        <v>187.86727272727273</v>
      </c>
      <c r="S3562">
        <f>tblDailySchedule[[#This Row],[Capacity Approx]]*'[1]Load Factor Sheet June Acft  '!$D$5</f>
        <v>203.4218181818182</v>
      </c>
      <c r="T3562" s="22">
        <f>tblDailySchedule[[#This Row],[STD]]</f>
        <v>0.62152777777777779</v>
      </c>
    </row>
    <row r="3563" spans="1:20" hidden="1" x14ac:dyDescent="0.35">
      <c r="A3563" s="11">
        <v>46238</v>
      </c>
      <c r="B3563" s="3">
        <v>2</v>
      </c>
      <c r="C3563" t="s">
        <v>108</v>
      </c>
      <c r="D3563" t="s">
        <v>18</v>
      </c>
      <c r="E3563" s="3">
        <v>15</v>
      </c>
      <c r="F3563" t="s">
        <v>19</v>
      </c>
      <c r="G3563" t="s">
        <v>64</v>
      </c>
      <c r="H3563" t="s">
        <v>31</v>
      </c>
      <c r="I3563" s="12">
        <v>0.60069444444444442</v>
      </c>
      <c r="J3563" t="s">
        <v>65</v>
      </c>
      <c r="K3563" t="s">
        <v>66</v>
      </c>
      <c r="L3563" s="12">
        <v>0.62847222222222221</v>
      </c>
      <c r="M3563" t="s">
        <v>63</v>
      </c>
      <c r="N3563" s="3">
        <v>232</v>
      </c>
      <c r="O3563" t="s">
        <v>24</v>
      </c>
      <c r="P3563" t="s">
        <v>56</v>
      </c>
      <c r="R3563">
        <f>tblDailySchedule[[#This Row],[Capacity Approx]]*'[1]Load Factor Sheet June Acft  '!$B$5</f>
        <v>187.86727272727273</v>
      </c>
      <c r="S3563">
        <f>tblDailySchedule[[#This Row],[Capacity Approx]]*'[1]Load Factor Sheet June Acft  '!$D$5</f>
        <v>203.4218181818182</v>
      </c>
      <c r="T3563" s="22">
        <f>tblDailySchedule[[#This Row],[STD]]</f>
        <v>0.62847222222222221</v>
      </c>
    </row>
    <row r="3564" spans="1:20" hidden="1" x14ac:dyDescent="0.35">
      <c r="A3564" s="11">
        <v>46238</v>
      </c>
      <c r="B3564" s="3">
        <v>2</v>
      </c>
      <c r="C3564" t="s">
        <v>108</v>
      </c>
      <c r="D3564" t="s">
        <v>18</v>
      </c>
      <c r="E3564" s="3">
        <v>16</v>
      </c>
      <c r="F3564" t="s">
        <v>19</v>
      </c>
      <c r="G3564" t="s">
        <v>67</v>
      </c>
      <c r="H3564" t="s">
        <v>31</v>
      </c>
      <c r="I3564" s="12">
        <v>0.65625</v>
      </c>
      <c r="J3564" t="s">
        <v>68</v>
      </c>
      <c r="K3564" t="s">
        <v>31</v>
      </c>
      <c r="L3564" s="12">
        <v>0.68402777777777779</v>
      </c>
      <c r="M3564" t="s">
        <v>63</v>
      </c>
      <c r="N3564" s="3">
        <v>232</v>
      </c>
      <c r="O3564" t="s">
        <v>24</v>
      </c>
      <c r="P3564" t="s">
        <v>56</v>
      </c>
      <c r="R3564">
        <f>tblDailySchedule[[#This Row],[Capacity Approx]]*'[1]Load Factor Sheet June Acft  '!$B$5</f>
        <v>187.86727272727273</v>
      </c>
      <c r="S3564">
        <f>tblDailySchedule[[#This Row],[Capacity Approx]]*'[1]Load Factor Sheet June Acft  '!$D$5</f>
        <v>203.4218181818182</v>
      </c>
      <c r="T3564" s="22">
        <f>tblDailySchedule[[#This Row],[STD]]</f>
        <v>0.68402777777777779</v>
      </c>
    </row>
    <row r="3565" spans="1:20" hidden="1" x14ac:dyDescent="0.35">
      <c r="A3565" s="11">
        <v>46238</v>
      </c>
      <c r="B3565" s="3">
        <v>2</v>
      </c>
      <c r="C3565" t="s">
        <v>108</v>
      </c>
      <c r="D3565" t="s">
        <v>18</v>
      </c>
      <c r="E3565" s="3">
        <v>17</v>
      </c>
      <c r="F3565" t="s">
        <v>19</v>
      </c>
      <c r="G3565" t="s">
        <v>69</v>
      </c>
      <c r="H3565" t="s">
        <v>31</v>
      </c>
      <c r="I3565" s="12">
        <v>0.66319444444444442</v>
      </c>
      <c r="J3565" t="s">
        <v>70</v>
      </c>
      <c r="K3565" t="s">
        <v>31</v>
      </c>
      <c r="L3565" s="12">
        <v>0.69097222222222221</v>
      </c>
      <c r="M3565" t="s">
        <v>33</v>
      </c>
      <c r="N3565" s="3">
        <v>189</v>
      </c>
      <c r="O3565" t="s">
        <v>24</v>
      </c>
      <c r="P3565" t="s">
        <v>56</v>
      </c>
      <c r="R3565">
        <f>tblDailySchedule[[#This Row],[Capacity Approx]]*'[1]Load Factor Sheet June Acft  '!$B$5</f>
        <v>153.04704545454547</v>
      </c>
      <c r="S3565">
        <f>tblDailySchedule[[#This Row],[Capacity Approx]]*'[1]Load Factor Sheet June Acft  '!$D$5</f>
        <v>165.71863636363636</v>
      </c>
      <c r="T3565" s="22">
        <f>tblDailySchedule[[#This Row],[STD]]</f>
        <v>0.69097222222222221</v>
      </c>
    </row>
    <row r="3566" spans="1:20" hidden="1" x14ac:dyDescent="0.35">
      <c r="A3566" s="11">
        <v>46238</v>
      </c>
      <c r="B3566" s="3">
        <v>2</v>
      </c>
      <c r="C3566" t="s">
        <v>108</v>
      </c>
      <c r="D3566" t="s">
        <v>18</v>
      </c>
      <c r="E3566" s="3">
        <v>18</v>
      </c>
      <c r="F3566" t="s">
        <v>19</v>
      </c>
      <c r="G3566" t="s">
        <v>71</v>
      </c>
      <c r="H3566" t="s">
        <v>21</v>
      </c>
      <c r="I3566" s="12">
        <v>0.67013888888888884</v>
      </c>
      <c r="J3566" t="s">
        <v>72</v>
      </c>
      <c r="K3566" t="s">
        <v>21</v>
      </c>
      <c r="L3566" s="12">
        <v>0.69791666666666663</v>
      </c>
      <c r="M3566" t="s">
        <v>63</v>
      </c>
      <c r="N3566" s="3">
        <v>232</v>
      </c>
      <c r="O3566" t="s">
        <v>24</v>
      </c>
      <c r="P3566" t="s">
        <v>56</v>
      </c>
      <c r="R3566">
        <f>tblDailySchedule[[#This Row],[Capacity Approx]]*'[1]Load Factor Sheet June Acft  '!$B$5</f>
        <v>187.86727272727273</v>
      </c>
      <c r="S3566">
        <f>tblDailySchedule[[#This Row],[Capacity Approx]]*'[1]Load Factor Sheet June Acft  '!$D$5</f>
        <v>203.4218181818182</v>
      </c>
      <c r="T3566" s="22">
        <f>tblDailySchedule[[#This Row],[STD]]</f>
        <v>0.69791666666666663</v>
      </c>
    </row>
    <row r="3567" spans="1:20" hidden="1" x14ac:dyDescent="0.35">
      <c r="A3567" s="11">
        <v>46238</v>
      </c>
      <c r="B3567" s="3">
        <v>2</v>
      </c>
      <c r="C3567" t="s">
        <v>108</v>
      </c>
      <c r="D3567" t="s">
        <v>18</v>
      </c>
      <c r="E3567" s="3">
        <v>19</v>
      </c>
      <c r="F3567" t="s">
        <v>19</v>
      </c>
      <c r="G3567" t="s">
        <v>73</v>
      </c>
      <c r="H3567" t="s">
        <v>27</v>
      </c>
      <c r="I3567" s="12">
        <v>0.74652777777777779</v>
      </c>
      <c r="J3567" t="s">
        <v>74</v>
      </c>
      <c r="K3567" t="s">
        <v>27</v>
      </c>
      <c r="L3567" s="12">
        <v>0.77430555555555558</v>
      </c>
      <c r="M3567" t="s">
        <v>63</v>
      </c>
      <c r="N3567" s="3">
        <v>232</v>
      </c>
      <c r="O3567" t="s">
        <v>24</v>
      </c>
      <c r="P3567" t="s">
        <v>56</v>
      </c>
      <c r="R3567">
        <f>tblDailySchedule[[#This Row],[Capacity Approx]]*'[1]Load Factor Sheet June Acft  '!$B$5</f>
        <v>187.86727272727273</v>
      </c>
      <c r="S3567">
        <f>tblDailySchedule[[#This Row],[Capacity Approx]]*'[1]Load Factor Sheet June Acft  '!$D$5</f>
        <v>203.4218181818182</v>
      </c>
      <c r="T3567" s="22">
        <f>tblDailySchedule[[#This Row],[STD]]</f>
        <v>0.77430555555555558</v>
      </c>
    </row>
    <row r="3568" spans="1:20" hidden="1" x14ac:dyDescent="0.35">
      <c r="A3568" s="11">
        <v>46238</v>
      </c>
      <c r="B3568" s="3">
        <v>2</v>
      </c>
      <c r="C3568" t="s">
        <v>108</v>
      </c>
      <c r="D3568" t="s">
        <v>18</v>
      </c>
      <c r="E3568" s="3">
        <v>21</v>
      </c>
      <c r="F3568" t="s">
        <v>19</v>
      </c>
      <c r="G3568" t="s">
        <v>81</v>
      </c>
      <c r="H3568" t="s">
        <v>61</v>
      </c>
      <c r="I3568" s="12">
        <v>0.77083333333333337</v>
      </c>
      <c r="J3568" t="s">
        <v>82</v>
      </c>
      <c r="K3568" t="s">
        <v>49</v>
      </c>
      <c r="L3568" s="12">
        <v>0.79166666666666663</v>
      </c>
      <c r="M3568" t="s">
        <v>33</v>
      </c>
      <c r="N3568" s="3">
        <v>189</v>
      </c>
      <c r="O3568" t="s">
        <v>24</v>
      </c>
      <c r="P3568" t="s">
        <v>79</v>
      </c>
      <c r="R3568">
        <f>tblDailySchedule[[#This Row],[Capacity Approx]]*'[1]Load Factor Sheet June Acft  '!$B$5</f>
        <v>153.04704545454547</v>
      </c>
      <c r="S3568">
        <f>tblDailySchedule[[#This Row],[Capacity Approx]]*'[1]Load Factor Sheet June Acft  '!$D$5</f>
        <v>165.71863636363636</v>
      </c>
      <c r="T3568" s="22">
        <f>tblDailySchedule[[#This Row],[STD]]</f>
        <v>0.79166666666666663</v>
      </c>
    </row>
    <row r="3569" spans="1:20" hidden="1" x14ac:dyDescent="0.35">
      <c r="A3569" s="11">
        <v>46238</v>
      </c>
      <c r="B3569" s="3">
        <v>2</v>
      </c>
      <c r="C3569" t="s">
        <v>108</v>
      </c>
      <c r="D3569" t="s">
        <v>18</v>
      </c>
      <c r="E3569" s="3">
        <v>22</v>
      </c>
      <c r="F3569" t="s">
        <v>19</v>
      </c>
      <c r="G3569" t="s">
        <v>83</v>
      </c>
      <c r="H3569" t="s">
        <v>31</v>
      </c>
      <c r="I3569" s="12">
        <v>0.77777777777777779</v>
      </c>
      <c r="J3569" t="s">
        <v>84</v>
      </c>
      <c r="K3569" t="s">
        <v>31</v>
      </c>
      <c r="L3569" s="12">
        <v>0.80555555555555558</v>
      </c>
      <c r="M3569" t="s">
        <v>63</v>
      </c>
      <c r="N3569" s="3">
        <v>232</v>
      </c>
      <c r="O3569" t="s">
        <v>24</v>
      </c>
      <c r="P3569" t="s">
        <v>79</v>
      </c>
      <c r="R3569">
        <f>tblDailySchedule[[#This Row],[Capacity Approx]]*'[1]Load Factor Sheet June Acft  '!$B$5</f>
        <v>187.86727272727273</v>
      </c>
      <c r="S3569">
        <f>tblDailySchedule[[#This Row],[Capacity Approx]]*'[1]Load Factor Sheet June Acft  '!$D$5</f>
        <v>203.4218181818182</v>
      </c>
      <c r="T3569" s="22">
        <f>tblDailySchedule[[#This Row],[STD]]</f>
        <v>0.80555555555555558</v>
      </c>
    </row>
    <row r="3570" spans="1:20" hidden="1" x14ac:dyDescent="0.35">
      <c r="A3570" s="11">
        <v>46238</v>
      </c>
      <c r="B3570" s="3">
        <v>2</v>
      </c>
      <c r="C3570" t="s">
        <v>108</v>
      </c>
      <c r="D3570" t="s">
        <v>18</v>
      </c>
      <c r="E3570" s="3">
        <v>23</v>
      </c>
      <c r="F3570" t="s">
        <v>19</v>
      </c>
      <c r="G3570" t="s">
        <v>85</v>
      </c>
      <c r="H3570" t="s">
        <v>86</v>
      </c>
      <c r="I3570" s="12">
        <v>0.79861111111111116</v>
      </c>
      <c r="J3570" t="s">
        <v>87</v>
      </c>
      <c r="K3570" t="s">
        <v>86</v>
      </c>
      <c r="L3570" s="12">
        <v>0.82638888888888884</v>
      </c>
      <c r="M3570" t="s">
        <v>63</v>
      </c>
      <c r="N3570" s="3">
        <v>232</v>
      </c>
      <c r="O3570" t="s">
        <v>24</v>
      </c>
      <c r="P3570" t="s">
        <v>79</v>
      </c>
      <c r="R3570">
        <f>tblDailySchedule[[#This Row],[Capacity Approx]]*'[1]Load Factor Sheet June Acft  '!$B$5</f>
        <v>187.86727272727273</v>
      </c>
      <c r="S3570">
        <f>tblDailySchedule[[#This Row],[Capacity Approx]]*'[1]Load Factor Sheet June Acft  '!$D$5</f>
        <v>203.4218181818182</v>
      </c>
      <c r="T3570" s="22">
        <f>tblDailySchedule[[#This Row],[STD]]</f>
        <v>0.82638888888888884</v>
      </c>
    </row>
    <row r="3571" spans="1:20" hidden="1" x14ac:dyDescent="0.35">
      <c r="A3571" s="11">
        <v>46238</v>
      </c>
      <c r="B3571" s="3">
        <v>2</v>
      </c>
      <c r="C3571" t="s">
        <v>108</v>
      </c>
      <c r="D3571" t="s">
        <v>18</v>
      </c>
      <c r="E3571" s="3">
        <v>24</v>
      </c>
      <c r="F3571" t="s">
        <v>19</v>
      </c>
      <c r="G3571" t="s">
        <v>88</v>
      </c>
      <c r="H3571" t="s">
        <v>89</v>
      </c>
      <c r="I3571" s="12">
        <v>0.83333333333333337</v>
      </c>
      <c r="J3571" t="s">
        <v>90</v>
      </c>
      <c r="K3571" t="s">
        <v>31</v>
      </c>
      <c r="L3571" s="12">
        <v>0.86111111111111116</v>
      </c>
      <c r="M3571" t="s">
        <v>63</v>
      </c>
      <c r="N3571" s="3">
        <v>232</v>
      </c>
      <c r="O3571" t="s">
        <v>24</v>
      </c>
      <c r="P3571" t="s">
        <v>79</v>
      </c>
      <c r="R3571">
        <f>tblDailySchedule[[#This Row],[Capacity Approx]]*'[1]Load Factor Sheet June Acft  '!$B$5</f>
        <v>187.86727272727273</v>
      </c>
      <c r="S3571">
        <f>tblDailySchedule[[#This Row],[Capacity Approx]]*'[1]Load Factor Sheet June Acft  '!$D$5</f>
        <v>203.4218181818182</v>
      </c>
      <c r="T3571" s="22">
        <f>tblDailySchedule[[#This Row],[STD]]</f>
        <v>0.86111111111111116</v>
      </c>
    </row>
    <row r="3572" spans="1:20" hidden="1" x14ac:dyDescent="0.35">
      <c r="A3572" s="11">
        <v>46238</v>
      </c>
      <c r="B3572" s="3">
        <v>2</v>
      </c>
      <c r="C3572" t="s">
        <v>108</v>
      </c>
      <c r="D3572" t="s">
        <v>18</v>
      </c>
      <c r="E3572" s="3">
        <v>25</v>
      </c>
      <c r="F3572" t="s">
        <v>19</v>
      </c>
      <c r="G3572" t="s">
        <v>91</v>
      </c>
      <c r="H3572" t="s">
        <v>61</v>
      </c>
      <c r="I3572" s="12">
        <v>0.85416666666666663</v>
      </c>
      <c r="J3572" t="s">
        <v>92</v>
      </c>
      <c r="K3572" t="s">
        <v>61</v>
      </c>
      <c r="L3572" s="12">
        <v>0.88194444444444442</v>
      </c>
      <c r="M3572" t="s">
        <v>63</v>
      </c>
      <c r="N3572" s="3">
        <v>232</v>
      </c>
      <c r="O3572" t="s">
        <v>24</v>
      </c>
      <c r="P3572" t="s">
        <v>79</v>
      </c>
      <c r="R3572">
        <f>tblDailySchedule[[#This Row],[Capacity Approx]]*'[1]Load Factor Sheet June Acft  '!$B$5</f>
        <v>187.86727272727273</v>
      </c>
      <c r="S3572">
        <f>tblDailySchedule[[#This Row],[Capacity Approx]]*'[1]Load Factor Sheet June Acft  '!$D$5</f>
        <v>203.4218181818182</v>
      </c>
      <c r="T3572" s="22">
        <f>tblDailySchedule[[#This Row],[STD]]</f>
        <v>0.88194444444444442</v>
      </c>
    </row>
    <row r="3573" spans="1:20" hidden="1" x14ac:dyDescent="0.35">
      <c r="A3573" s="11">
        <v>46238</v>
      </c>
      <c r="B3573" s="3">
        <v>2</v>
      </c>
      <c r="C3573" t="s">
        <v>108</v>
      </c>
      <c r="D3573" t="s">
        <v>18</v>
      </c>
      <c r="E3573" s="3">
        <v>26</v>
      </c>
      <c r="F3573" t="s">
        <v>19</v>
      </c>
      <c r="G3573" t="s">
        <v>93</v>
      </c>
      <c r="H3573" t="s">
        <v>31</v>
      </c>
      <c r="I3573" s="12">
        <v>0.86111111111111116</v>
      </c>
      <c r="J3573" t="s">
        <v>94</v>
      </c>
      <c r="K3573" t="s">
        <v>31</v>
      </c>
      <c r="L3573" s="12">
        <v>0.88888888888888884</v>
      </c>
      <c r="M3573" t="s">
        <v>23</v>
      </c>
      <c r="N3573" s="3">
        <v>186</v>
      </c>
      <c r="O3573" t="s">
        <v>24</v>
      </c>
      <c r="P3573" t="s">
        <v>79</v>
      </c>
      <c r="R3573">
        <f>tblDailySchedule[[#This Row],[Capacity Approx]]*'[1]Load Factor Sheet June Acft  '!$B$5</f>
        <v>150.61772727272728</v>
      </c>
      <c r="S3573">
        <f>tblDailySchedule[[#This Row],[Capacity Approx]]*'[1]Load Factor Sheet June Acft  '!$D$5</f>
        <v>163.08818181818182</v>
      </c>
      <c r="T3573" s="22">
        <f>tblDailySchedule[[#This Row],[STD]]</f>
        <v>0.88888888888888884</v>
      </c>
    </row>
    <row r="3574" spans="1:20" hidden="1" x14ac:dyDescent="0.35">
      <c r="A3574" s="11">
        <v>46238</v>
      </c>
      <c r="B3574" s="3">
        <v>2</v>
      </c>
      <c r="C3574" t="s">
        <v>108</v>
      </c>
      <c r="D3574" t="s">
        <v>18</v>
      </c>
      <c r="E3574" s="3">
        <v>27</v>
      </c>
      <c r="F3574" t="s">
        <v>19</v>
      </c>
      <c r="G3574" t="s">
        <v>95</v>
      </c>
      <c r="H3574" t="s">
        <v>21</v>
      </c>
      <c r="I3574" s="12">
        <v>0.86805555555555558</v>
      </c>
      <c r="J3574" t="s">
        <v>96</v>
      </c>
      <c r="K3574" t="s">
        <v>21</v>
      </c>
      <c r="L3574" s="12">
        <v>0.89583333333333337</v>
      </c>
      <c r="M3574" t="s">
        <v>29</v>
      </c>
      <c r="N3574" s="3">
        <v>186</v>
      </c>
      <c r="O3574" t="s">
        <v>24</v>
      </c>
      <c r="P3574" t="s">
        <v>79</v>
      </c>
      <c r="R3574">
        <f>tblDailySchedule[[#This Row],[Capacity Approx]]*'[1]Load Factor Sheet June Acft  '!$B$5</f>
        <v>150.61772727272728</v>
      </c>
      <c r="S3574">
        <f>tblDailySchedule[[#This Row],[Capacity Approx]]*'[1]Load Factor Sheet June Acft  '!$D$5</f>
        <v>163.08818181818182</v>
      </c>
      <c r="T3574" s="22">
        <f>tblDailySchedule[[#This Row],[STD]]</f>
        <v>0.89583333333333337</v>
      </c>
    </row>
    <row r="3575" spans="1:20" hidden="1" x14ac:dyDescent="0.35">
      <c r="A3575" s="11">
        <v>46238</v>
      </c>
      <c r="B3575" s="3">
        <v>2</v>
      </c>
      <c r="C3575" t="s">
        <v>108</v>
      </c>
      <c r="D3575" t="s">
        <v>18</v>
      </c>
      <c r="E3575" s="3">
        <v>28</v>
      </c>
      <c r="F3575" t="s">
        <v>19</v>
      </c>
      <c r="G3575" t="s">
        <v>97</v>
      </c>
      <c r="H3575" t="s">
        <v>49</v>
      </c>
      <c r="I3575" s="12">
        <v>0.90277777777777779</v>
      </c>
      <c r="J3575" t="s">
        <v>97</v>
      </c>
      <c r="K3575" t="s">
        <v>61</v>
      </c>
      <c r="L3575" s="12">
        <v>0.92361111111111116</v>
      </c>
      <c r="M3575" t="s">
        <v>33</v>
      </c>
      <c r="N3575" s="3">
        <v>189</v>
      </c>
      <c r="O3575" t="s">
        <v>24</v>
      </c>
      <c r="P3575" t="s">
        <v>79</v>
      </c>
      <c r="R3575">
        <f>tblDailySchedule[[#This Row],[Capacity Approx]]*'[1]Load Factor Sheet June Acft  '!$B$5</f>
        <v>153.04704545454547</v>
      </c>
      <c r="S3575">
        <f>tblDailySchedule[[#This Row],[Capacity Approx]]*'[1]Load Factor Sheet June Acft  '!$D$5</f>
        <v>165.71863636363636</v>
      </c>
      <c r="T3575" s="22">
        <f>tblDailySchedule[[#This Row],[STD]]</f>
        <v>0.92361111111111116</v>
      </c>
    </row>
    <row r="3576" spans="1:20" hidden="1" x14ac:dyDescent="0.35">
      <c r="A3576" s="11">
        <v>46238</v>
      </c>
      <c r="B3576" s="3">
        <v>2</v>
      </c>
      <c r="C3576" t="s">
        <v>108</v>
      </c>
      <c r="D3576" t="s">
        <v>18</v>
      </c>
      <c r="E3576" s="3">
        <v>29</v>
      </c>
      <c r="F3576" t="s">
        <v>19</v>
      </c>
      <c r="G3576" t="s">
        <v>98</v>
      </c>
      <c r="H3576" t="s">
        <v>21</v>
      </c>
      <c r="I3576" s="12">
        <v>0.92013888888888884</v>
      </c>
      <c r="J3576" t="s">
        <v>99</v>
      </c>
      <c r="K3576" t="s">
        <v>21</v>
      </c>
      <c r="L3576" s="12">
        <v>0.94791666666666663</v>
      </c>
      <c r="M3576" t="s">
        <v>63</v>
      </c>
      <c r="N3576" s="3">
        <v>232</v>
      </c>
      <c r="O3576" t="s">
        <v>24</v>
      </c>
      <c r="P3576" t="s">
        <v>79</v>
      </c>
      <c r="R3576">
        <f>tblDailySchedule[[#This Row],[Capacity Approx]]*'[1]Load Factor Sheet June Acft  '!$B$5</f>
        <v>187.86727272727273</v>
      </c>
      <c r="S3576">
        <f>tblDailySchedule[[#This Row],[Capacity Approx]]*'[1]Load Factor Sheet June Acft  '!$D$5</f>
        <v>203.4218181818182</v>
      </c>
      <c r="T3576" s="22">
        <f>tblDailySchedule[[#This Row],[STD]]</f>
        <v>0.94791666666666663</v>
      </c>
    </row>
    <row r="3577" spans="1:20" hidden="1" x14ac:dyDescent="0.35">
      <c r="A3577" s="11">
        <v>46239</v>
      </c>
      <c r="B3577" s="3">
        <v>3</v>
      </c>
      <c r="C3577" t="s">
        <v>113</v>
      </c>
      <c r="D3577" t="s">
        <v>18</v>
      </c>
      <c r="E3577" s="3">
        <v>2</v>
      </c>
      <c r="F3577" t="s">
        <v>19</v>
      </c>
      <c r="G3577" t="s">
        <v>20</v>
      </c>
      <c r="H3577" t="s">
        <v>21</v>
      </c>
      <c r="I3577" s="12">
        <v>0.31944444444444442</v>
      </c>
      <c r="J3577" t="s">
        <v>22</v>
      </c>
      <c r="K3577" t="s">
        <v>21</v>
      </c>
      <c r="L3577" s="12">
        <v>0.34722222222222221</v>
      </c>
      <c r="M3577" t="s">
        <v>23</v>
      </c>
      <c r="N3577" s="3">
        <v>186</v>
      </c>
      <c r="O3577" t="s">
        <v>24</v>
      </c>
      <c r="P3577" t="s">
        <v>25</v>
      </c>
      <c r="R3577">
        <f>tblDailySchedule[[#This Row],[Capacity Approx]]*'[1]Load Factor Sheet June Acft  '!$B$5</f>
        <v>150.61772727272728</v>
      </c>
      <c r="S3577">
        <f>tblDailySchedule[[#This Row],[Capacity Approx]]*'[1]Load Factor Sheet June Acft  '!$D$5</f>
        <v>163.08818181818182</v>
      </c>
      <c r="T3577" s="22">
        <f>tblDailySchedule[[#This Row],[STD]]</f>
        <v>0.34722222222222221</v>
      </c>
    </row>
    <row r="3578" spans="1:20" hidden="1" x14ac:dyDescent="0.35">
      <c r="A3578" s="11">
        <v>46239</v>
      </c>
      <c r="B3578" s="3">
        <v>3</v>
      </c>
      <c r="C3578" t="s">
        <v>113</v>
      </c>
      <c r="D3578" t="s">
        <v>18</v>
      </c>
      <c r="E3578" s="3">
        <v>3</v>
      </c>
      <c r="F3578" t="s">
        <v>19</v>
      </c>
      <c r="G3578" t="s">
        <v>26</v>
      </c>
      <c r="H3578" t="s">
        <v>27</v>
      </c>
      <c r="I3578" s="12">
        <v>0.3263888888888889</v>
      </c>
      <c r="J3578" t="s">
        <v>28</v>
      </c>
      <c r="K3578" t="s">
        <v>27</v>
      </c>
      <c r="L3578" s="12">
        <v>0.35416666666666669</v>
      </c>
      <c r="M3578" t="s">
        <v>29</v>
      </c>
      <c r="N3578" s="3">
        <v>186</v>
      </c>
      <c r="O3578" t="s">
        <v>24</v>
      </c>
      <c r="P3578" t="s">
        <v>25</v>
      </c>
      <c r="R3578">
        <f>tblDailySchedule[[#This Row],[Capacity Approx]]*'[1]Load Factor Sheet June Acft  '!$B$5</f>
        <v>150.61772727272728</v>
      </c>
      <c r="S3578">
        <f>tblDailySchedule[[#This Row],[Capacity Approx]]*'[1]Load Factor Sheet June Acft  '!$D$5</f>
        <v>163.08818181818182</v>
      </c>
      <c r="T3578" s="22">
        <f>tblDailySchedule[[#This Row],[STD]]</f>
        <v>0.35416666666666669</v>
      </c>
    </row>
    <row r="3579" spans="1:20" hidden="1" x14ac:dyDescent="0.35">
      <c r="A3579" s="11">
        <v>46239</v>
      </c>
      <c r="B3579" s="3">
        <v>3</v>
      </c>
      <c r="C3579" t="s">
        <v>113</v>
      </c>
      <c r="D3579" t="s">
        <v>18</v>
      </c>
      <c r="E3579" s="3">
        <v>4</v>
      </c>
      <c r="F3579" t="s">
        <v>19</v>
      </c>
      <c r="G3579" t="s">
        <v>30</v>
      </c>
      <c r="H3579" t="s">
        <v>31</v>
      </c>
      <c r="I3579" s="12">
        <v>0.34722222222222221</v>
      </c>
      <c r="J3579" t="s">
        <v>32</v>
      </c>
      <c r="K3579" t="s">
        <v>31</v>
      </c>
      <c r="L3579" s="12">
        <v>0.36805555555555558</v>
      </c>
      <c r="M3579" t="s">
        <v>33</v>
      </c>
      <c r="N3579" s="3">
        <v>189</v>
      </c>
      <c r="O3579" t="s">
        <v>24</v>
      </c>
      <c r="P3579" t="s">
        <v>25</v>
      </c>
      <c r="R3579">
        <f>tblDailySchedule[[#This Row],[Capacity Approx]]*'[1]Load Factor Sheet June Acft  '!$B$5</f>
        <v>153.04704545454547</v>
      </c>
      <c r="S3579">
        <f>tblDailySchedule[[#This Row],[Capacity Approx]]*'[1]Load Factor Sheet June Acft  '!$D$5</f>
        <v>165.71863636363636</v>
      </c>
      <c r="T3579" s="22">
        <f>tblDailySchedule[[#This Row],[STD]]</f>
        <v>0.36805555555555558</v>
      </c>
    </row>
    <row r="3580" spans="1:20" hidden="1" x14ac:dyDescent="0.35">
      <c r="A3580" s="13">
        <v>46239</v>
      </c>
      <c r="B3580" s="7">
        <v>3</v>
      </c>
      <c r="C3580" s="14" t="s">
        <v>113</v>
      </c>
      <c r="D3580" s="14" t="s">
        <v>18</v>
      </c>
      <c r="E3580" s="7">
        <v>6</v>
      </c>
      <c r="F3580" s="14" t="s">
        <v>34</v>
      </c>
      <c r="G3580" s="14" t="s">
        <v>35</v>
      </c>
      <c r="H3580" s="14" t="s">
        <v>36</v>
      </c>
      <c r="I3580" s="15">
        <v>0.34722222222222221</v>
      </c>
      <c r="J3580" s="14" t="s">
        <v>37</v>
      </c>
      <c r="K3580" s="14" t="s">
        <v>36</v>
      </c>
      <c r="L3580" s="15">
        <v>0.40972222222222221</v>
      </c>
      <c r="M3580" s="14" t="s">
        <v>38</v>
      </c>
      <c r="N3580" s="7">
        <v>186</v>
      </c>
      <c r="O3580" s="14" t="s">
        <v>39</v>
      </c>
      <c r="P3580" s="14" t="s">
        <v>25</v>
      </c>
      <c r="Q3580" s="14" t="s">
        <v>39</v>
      </c>
      <c r="R3580">
        <f>tblDailySchedule[[#This Row],[Capacity Approx]]*'[1]Load Factor Sheet June Acft  '!$B$5</f>
        <v>150.61772727272728</v>
      </c>
      <c r="S3580">
        <f>tblDailySchedule[[#This Row],[Capacity Approx]]*'[1]Load Factor Sheet June Acft  '!$D$5</f>
        <v>163.08818181818182</v>
      </c>
      <c r="T3580" s="22">
        <f>tblDailySchedule[[#This Row],[STD]]</f>
        <v>0.40972222222222221</v>
      </c>
    </row>
    <row r="3581" spans="1:20" hidden="1" x14ac:dyDescent="0.35">
      <c r="A3581" s="11">
        <v>46239</v>
      </c>
      <c r="B3581" s="3">
        <v>3</v>
      </c>
      <c r="C3581" t="s">
        <v>113</v>
      </c>
      <c r="D3581" t="s">
        <v>18</v>
      </c>
      <c r="E3581" s="3">
        <v>5</v>
      </c>
      <c r="F3581" t="s">
        <v>19</v>
      </c>
      <c r="G3581" t="s">
        <v>40</v>
      </c>
      <c r="H3581" t="s">
        <v>31</v>
      </c>
      <c r="I3581" s="12">
        <v>0.35069444444444442</v>
      </c>
      <c r="J3581" t="s">
        <v>41</v>
      </c>
      <c r="K3581" t="s">
        <v>31</v>
      </c>
      <c r="L3581" s="12">
        <v>0.37152777777777779</v>
      </c>
      <c r="M3581" t="s">
        <v>23</v>
      </c>
      <c r="N3581" s="3">
        <v>186</v>
      </c>
      <c r="O3581" t="s">
        <v>24</v>
      </c>
      <c r="P3581" t="s">
        <v>25</v>
      </c>
      <c r="R3581">
        <f>tblDailySchedule[[#This Row],[Capacity Approx]]*'[1]Load Factor Sheet June Acft  '!$B$5</f>
        <v>150.61772727272728</v>
      </c>
      <c r="S3581">
        <f>tblDailySchedule[[#This Row],[Capacity Approx]]*'[1]Load Factor Sheet June Acft  '!$D$5</f>
        <v>163.08818181818182</v>
      </c>
      <c r="T3581" s="22">
        <f>tblDailySchedule[[#This Row],[STD]]</f>
        <v>0.37152777777777779</v>
      </c>
    </row>
    <row r="3582" spans="1:20" hidden="1" x14ac:dyDescent="0.35">
      <c r="A3582" s="11">
        <v>46239</v>
      </c>
      <c r="B3582" s="3">
        <v>3</v>
      </c>
      <c r="C3582" t="s">
        <v>113</v>
      </c>
      <c r="D3582" t="s">
        <v>18</v>
      </c>
      <c r="E3582" s="3">
        <v>7</v>
      </c>
      <c r="F3582" t="s">
        <v>19</v>
      </c>
      <c r="G3582" t="s">
        <v>42</v>
      </c>
      <c r="H3582" t="s">
        <v>43</v>
      </c>
      <c r="I3582" s="12">
        <v>0.3923611111111111</v>
      </c>
      <c r="J3582" t="s">
        <v>44</v>
      </c>
      <c r="K3582" t="s">
        <v>43</v>
      </c>
      <c r="L3582" s="12">
        <v>0.40277777777777779</v>
      </c>
      <c r="M3582" t="s">
        <v>45</v>
      </c>
      <c r="N3582" s="3">
        <v>9</v>
      </c>
      <c r="O3582" t="s">
        <v>24</v>
      </c>
      <c r="P3582" t="s">
        <v>25</v>
      </c>
      <c r="R3582">
        <f>tblDailySchedule[[#This Row],[Capacity Approx]]*'[1]Load Factor Sheet June Acft  '!$B$5</f>
        <v>7.2879545454545456</v>
      </c>
      <c r="S3582">
        <f>tblDailySchedule[[#This Row],[Capacity Approx]]*'[1]Load Factor Sheet June Acft  '!$D$5</f>
        <v>7.8913636363636366</v>
      </c>
      <c r="T3582" s="22">
        <f>tblDailySchedule[[#This Row],[STD]]</f>
        <v>0.40277777777777779</v>
      </c>
    </row>
    <row r="3583" spans="1:20" hidden="1" x14ac:dyDescent="0.35">
      <c r="A3583" s="11">
        <v>46239</v>
      </c>
      <c r="B3583" s="3">
        <v>3</v>
      </c>
      <c r="C3583" t="s">
        <v>113</v>
      </c>
      <c r="D3583" t="s">
        <v>18</v>
      </c>
      <c r="E3583" s="3">
        <v>8</v>
      </c>
      <c r="F3583" t="s">
        <v>19</v>
      </c>
      <c r="G3583" t="s">
        <v>46</v>
      </c>
      <c r="H3583" t="s">
        <v>31</v>
      </c>
      <c r="I3583" s="12">
        <v>0.4201388888888889</v>
      </c>
      <c r="J3583" t="s">
        <v>47</v>
      </c>
      <c r="K3583" t="s">
        <v>31</v>
      </c>
      <c r="L3583" s="12">
        <v>0.44444444444444442</v>
      </c>
      <c r="M3583" t="s">
        <v>29</v>
      </c>
      <c r="N3583" s="3">
        <v>186</v>
      </c>
      <c r="O3583" t="s">
        <v>24</v>
      </c>
      <c r="P3583" t="s">
        <v>25</v>
      </c>
      <c r="R3583">
        <f>tblDailySchedule[[#This Row],[Capacity Approx]]*'[1]Load Factor Sheet June Acft  '!$B$5</f>
        <v>150.61772727272728</v>
      </c>
      <c r="S3583">
        <f>tblDailySchedule[[#This Row],[Capacity Approx]]*'[1]Load Factor Sheet June Acft  '!$D$5</f>
        <v>163.08818181818182</v>
      </c>
      <c r="T3583" s="22">
        <f>tblDailySchedule[[#This Row],[STD]]</f>
        <v>0.44444444444444442</v>
      </c>
    </row>
    <row r="3584" spans="1:20" hidden="1" x14ac:dyDescent="0.35">
      <c r="A3584" s="11">
        <v>46239</v>
      </c>
      <c r="B3584" s="3">
        <v>3</v>
      </c>
      <c r="C3584" t="s">
        <v>113</v>
      </c>
      <c r="D3584" t="s">
        <v>18</v>
      </c>
      <c r="E3584" s="3">
        <v>9</v>
      </c>
      <c r="F3584" t="s">
        <v>19</v>
      </c>
      <c r="G3584" t="s">
        <v>48</v>
      </c>
      <c r="H3584" t="s">
        <v>49</v>
      </c>
      <c r="I3584" s="12">
        <v>0.4375</v>
      </c>
      <c r="J3584" t="s">
        <v>50</v>
      </c>
      <c r="K3584" t="s">
        <v>49</v>
      </c>
      <c r="L3584" s="12">
        <v>0.45833333333333331</v>
      </c>
      <c r="M3584" t="s">
        <v>51</v>
      </c>
      <c r="N3584" s="3">
        <v>78</v>
      </c>
      <c r="O3584" t="s">
        <v>24</v>
      </c>
      <c r="P3584" t="s">
        <v>25</v>
      </c>
      <c r="R3584">
        <f>tblDailySchedule[[#This Row],[Capacity Approx]]*'[1]Load Factor Sheet June Acft  '!$B$5</f>
        <v>63.162272727272729</v>
      </c>
      <c r="S3584">
        <f>tblDailySchedule[[#This Row],[Capacity Approx]]*'[1]Load Factor Sheet June Acft  '!$D$5</f>
        <v>68.391818181818181</v>
      </c>
      <c r="T3584" s="22">
        <f>tblDailySchedule[[#This Row],[STD]]</f>
        <v>0.45833333333333331</v>
      </c>
    </row>
    <row r="3585" spans="1:20" hidden="1" x14ac:dyDescent="0.35">
      <c r="A3585" s="11">
        <v>46239</v>
      </c>
      <c r="B3585" s="3">
        <v>3</v>
      </c>
      <c r="C3585" t="s">
        <v>113</v>
      </c>
      <c r="D3585" t="s">
        <v>18</v>
      </c>
      <c r="E3585" s="3">
        <v>10</v>
      </c>
      <c r="F3585" t="s">
        <v>19</v>
      </c>
      <c r="G3585" t="s">
        <v>52</v>
      </c>
      <c r="H3585" t="s">
        <v>27</v>
      </c>
      <c r="I3585" s="12">
        <v>0.4826388888888889</v>
      </c>
      <c r="J3585" t="s">
        <v>53</v>
      </c>
      <c r="K3585" t="s">
        <v>27</v>
      </c>
      <c r="L3585" s="12">
        <v>0.51041666666666663</v>
      </c>
      <c r="M3585" t="s">
        <v>23</v>
      </c>
      <c r="N3585" s="3">
        <v>186</v>
      </c>
      <c r="O3585" t="s">
        <v>24</v>
      </c>
      <c r="P3585" t="s">
        <v>25</v>
      </c>
      <c r="R3585">
        <f>tblDailySchedule[[#This Row],[Capacity Approx]]*'[1]Load Factor Sheet June Acft  '!$B$5</f>
        <v>150.61772727272728</v>
      </c>
      <c r="S3585">
        <f>tblDailySchedule[[#This Row],[Capacity Approx]]*'[1]Load Factor Sheet June Acft  '!$D$5</f>
        <v>163.08818181818182</v>
      </c>
      <c r="T3585" s="22">
        <f>tblDailySchedule[[#This Row],[STD]]</f>
        <v>0.51041666666666663</v>
      </c>
    </row>
    <row r="3586" spans="1:20" hidden="1" x14ac:dyDescent="0.35">
      <c r="A3586" s="11">
        <v>46239</v>
      </c>
      <c r="B3586" s="3">
        <v>3</v>
      </c>
      <c r="C3586" t="s">
        <v>113</v>
      </c>
      <c r="D3586" t="s">
        <v>18</v>
      </c>
      <c r="E3586" s="3">
        <v>11</v>
      </c>
      <c r="F3586" t="s">
        <v>19</v>
      </c>
      <c r="G3586" t="s">
        <v>54</v>
      </c>
      <c r="H3586" t="s">
        <v>31</v>
      </c>
      <c r="I3586" s="12">
        <v>0.51388888888888884</v>
      </c>
      <c r="J3586" t="s">
        <v>55</v>
      </c>
      <c r="K3586" t="s">
        <v>31</v>
      </c>
      <c r="L3586" s="12">
        <v>0.54166666666666663</v>
      </c>
      <c r="M3586" t="s">
        <v>23</v>
      </c>
      <c r="N3586" s="3">
        <v>186</v>
      </c>
      <c r="O3586" t="s">
        <v>24</v>
      </c>
      <c r="P3586" t="s">
        <v>56</v>
      </c>
      <c r="R3586">
        <f>tblDailySchedule[[#This Row],[Capacity Approx]]*'[1]Load Factor Sheet June Acft  '!$B$5</f>
        <v>150.61772727272728</v>
      </c>
      <c r="S3586">
        <f>tblDailySchedule[[#This Row],[Capacity Approx]]*'[1]Load Factor Sheet June Acft  '!$D$5</f>
        <v>163.08818181818182</v>
      </c>
      <c r="T3586" s="22">
        <f>tblDailySchedule[[#This Row],[STD]]</f>
        <v>0.54166666666666663</v>
      </c>
    </row>
    <row r="3587" spans="1:20" hidden="1" x14ac:dyDescent="0.35">
      <c r="A3587" s="11">
        <v>46239</v>
      </c>
      <c r="B3587" s="3">
        <v>3</v>
      </c>
      <c r="C3587" t="s">
        <v>113</v>
      </c>
      <c r="D3587" t="s">
        <v>18</v>
      </c>
      <c r="E3587" s="3">
        <v>13</v>
      </c>
      <c r="F3587" t="s">
        <v>19</v>
      </c>
      <c r="G3587" t="s">
        <v>57</v>
      </c>
      <c r="H3587" t="s">
        <v>58</v>
      </c>
      <c r="I3587" s="12">
        <v>0.55902777777777779</v>
      </c>
      <c r="J3587" t="s">
        <v>59</v>
      </c>
      <c r="K3587" t="s">
        <v>58</v>
      </c>
      <c r="L3587" s="12">
        <v>0.57638888888888884</v>
      </c>
      <c r="M3587" t="s">
        <v>51</v>
      </c>
      <c r="N3587" s="3">
        <v>78</v>
      </c>
      <c r="O3587" t="s">
        <v>24</v>
      </c>
      <c r="P3587" t="s">
        <v>56</v>
      </c>
      <c r="R3587">
        <f>tblDailySchedule[[#This Row],[Capacity Approx]]*'[1]Load Factor Sheet June Acft  '!$B$5</f>
        <v>63.162272727272729</v>
      </c>
      <c r="S3587">
        <f>tblDailySchedule[[#This Row],[Capacity Approx]]*'[1]Load Factor Sheet June Acft  '!$D$5</f>
        <v>68.391818181818181</v>
      </c>
      <c r="T3587" s="22">
        <f>tblDailySchedule[[#This Row],[STD]]</f>
        <v>0.57638888888888884</v>
      </c>
    </row>
    <row r="3588" spans="1:20" hidden="1" x14ac:dyDescent="0.35">
      <c r="A3588" s="11">
        <v>46239</v>
      </c>
      <c r="B3588" s="3">
        <v>3</v>
      </c>
      <c r="C3588" t="s">
        <v>113</v>
      </c>
      <c r="D3588" t="s">
        <v>18</v>
      </c>
      <c r="E3588" s="3">
        <v>14</v>
      </c>
      <c r="F3588" t="s">
        <v>19</v>
      </c>
      <c r="G3588" t="s">
        <v>60</v>
      </c>
      <c r="H3588" t="s">
        <v>61</v>
      </c>
      <c r="I3588" s="12">
        <v>0.59027777777777779</v>
      </c>
      <c r="J3588" t="s">
        <v>62</v>
      </c>
      <c r="K3588" t="s">
        <v>61</v>
      </c>
      <c r="L3588" s="12">
        <v>0.62152777777777779</v>
      </c>
      <c r="M3588" t="s">
        <v>63</v>
      </c>
      <c r="N3588" s="3">
        <v>232</v>
      </c>
      <c r="O3588" t="s">
        <v>24</v>
      </c>
      <c r="P3588" t="s">
        <v>56</v>
      </c>
      <c r="R3588">
        <f>tblDailySchedule[[#This Row],[Capacity Approx]]*'[1]Load Factor Sheet June Acft  '!$B$5</f>
        <v>187.86727272727273</v>
      </c>
      <c r="S3588">
        <f>tblDailySchedule[[#This Row],[Capacity Approx]]*'[1]Load Factor Sheet June Acft  '!$D$5</f>
        <v>203.4218181818182</v>
      </c>
      <c r="T3588" s="22">
        <f>tblDailySchedule[[#This Row],[STD]]</f>
        <v>0.62152777777777779</v>
      </c>
    </row>
    <row r="3589" spans="1:20" hidden="1" x14ac:dyDescent="0.35">
      <c r="A3589" s="11">
        <v>46239</v>
      </c>
      <c r="B3589" s="3">
        <v>3</v>
      </c>
      <c r="C3589" t="s">
        <v>113</v>
      </c>
      <c r="D3589" t="s">
        <v>18</v>
      </c>
      <c r="E3589" s="3">
        <v>15</v>
      </c>
      <c r="F3589" t="s">
        <v>19</v>
      </c>
      <c r="G3589" t="s">
        <v>64</v>
      </c>
      <c r="H3589" t="s">
        <v>31</v>
      </c>
      <c r="I3589" s="12">
        <v>0.60069444444444442</v>
      </c>
      <c r="J3589" t="s">
        <v>65</v>
      </c>
      <c r="K3589" t="s">
        <v>66</v>
      </c>
      <c r="L3589" s="12">
        <v>0.62847222222222221</v>
      </c>
      <c r="M3589" t="s">
        <v>63</v>
      </c>
      <c r="N3589" s="3">
        <v>232</v>
      </c>
      <c r="O3589" t="s">
        <v>24</v>
      </c>
      <c r="P3589" t="s">
        <v>56</v>
      </c>
      <c r="R3589">
        <f>tblDailySchedule[[#This Row],[Capacity Approx]]*'[1]Load Factor Sheet June Acft  '!$B$5</f>
        <v>187.86727272727273</v>
      </c>
      <c r="S3589">
        <f>tblDailySchedule[[#This Row],[Capacity Approx]]*'[1]Load Factor Sheet June Acft  '!$D$5</f>
        <v>203.4218181818182</v>
      </c>
      <c r="T3589" s="22">
        <f>tblDailySchedule[[#This Row],[STD]]</f>
        <v>0.62847222222222221</v>
      </c>
    </row>
    <row r="3590" spans="1:20" hidden="1" x14ac:dyDescent="0.35">
      <c r="A3590" s="11">
        <v>46239</v>
      </c>
      <c r="B3590" s="3">
        <v>3</v>
      </c>
      <c r="C3590" t="s">
        <v>113</v>
      </c>
      <c r="D3590" t="s">
        <v>18</v>
      </c>
      <c r="E3590" s="3">
        <v>16</v>
      </c>
      <c r="F3590" t="s">
        <v>19</v>
      </c>
      <c r="G3590" t="s">
        <v>67</v>
      </c>
      <c r="H3590" t="s">
        <v>31</v>
      </c>
      <c r="I3590" s="12">
        <v>0.65625</v>
      </c>
      <c r="J3590" t="s">
        <v>68</v>
      </c>
      <c r="K3590" t="s">
        <v>31</v>
      </c>
      <c r="L3590" s="12">
        <v>0.68402777777777779</v>
      </c>
      <c r="M3590" t="s">
        <v>63</v>
      </c>
      <c r="N3590" s="3">
        <v>232</v>
      </c>
      <c r="O3590" t="s">
        <v>24</v>
      </c>
      <c r="P3590" t="s">
        <v>56</v>
      </c>
      <c r="R3590">
        <f>tblDailySchedule[[#This Row],[Capacity Approx]]*'[1]Load Factor Sheet June Acft  '!$B$5</f>
        <v>187.86727272727273</v>
      </c>
      <c r="S3590">
        <f>tblDailySchedule[[#This Row],[Capacity Approx]]*'[1]Load Factor Sheet June Acft  '!$D$5</f>
        <v>203.4218181818182</v>
      </c>
      <c r="T3590" s="22">
        <f>tblDailySchedule[[#This Row],[STD]]</f>
        <v>0.68402777777777779</v>
      </c>
    </row>
    <row r="3591" spans="1:20" hidden="1" x14ac:dyDescent="0.35">
      <c r="A3591" s="11">
        <v>46239</v>
      </c>
      <c r="B3591" s="3">
        <v>3</v>
      </c>
      <c r="C3591" t="s">
        <v>113</v>
      </c>
      <c r="D3591" t="s">
        <v>18</v>
      </c>
      <c r="E3591" s="3">
        <v>17</v>
      </c>
      <c r="F3591" t="s">
        <v>19</v>
      </c>
      <c r="G3591" t="s">
        <v>69</v>
      </c>
      <c r="H3591" t="s">
        <v>31</v>
      </c>
      <c r="I3591" s="12">
        <v>0.66319444444444442</v>
      </c>
      <c r="J3591" t="s">
        <v>70</v>
      </c>
      <c r="K3591" t="s">
        <v>31</v>
      </c>
      <c r="L3591" s="12">
        <v>0.69097222222222221</v>
      </c>
      <c r="M3591" t="s">
        <v>33</v>
      </c>
      <c r="N3591" s="3">
        <v>189</v>
      </c>
      <c r="O3591" t="s">
        <v>24</v>
      </c>
      <c r="P3591" t="s">
        <v>56</v>
      </c>
      <c r="R3591">
        <f>tblDailySchedule[[#This Row],[Capacity Approx]]*'[1]Load Factor Sheet June Acft  '!$B$5</f>
        <v>153.04704545454547</v>
      </c>
      <c r="S3591">
        <f>tblDailySchedule[[#This Row],[Capacity Approx]]*'[1]Load Factor Sheet June Acft  '!$D$5</f>
        <v>165.71863636363636</v>
      </c>
      <c r="T3591" s="22">
        <f>tblDailySchedule[[#This Row],[STD]]</f>
        <v>0.69097222222222221</v>
      </c>
    </row>
    <row r="3592" spans="1:20" hidden="1" x14ac:dyDescent="0.35">
      <c r="A3592" s="11">
        <v>46239</v>
      </c>
      <c r="B3592" s="3">
        <v>3</v>
      </c>
      <c r="C3592" t="s">
        <v>113</v>
      </c>
      <c r="D3592" t="s">
        <v>18</v>
      </c>
      <c r="E3592" s="3">
        <v>18</v>
      </c>
      <c r="F3592" t="s">
        <v>19</v>
      </c>
      <c r="G3592" t="s">
        <v>71</v>
      </c>
      <c r="H3592" t="s">
        <v>21</v>
      </c>
      <c r="I3592" s="12">
        <v>0.67013888888888884</v>
      </c>
      <c r="J3592" t="s">
        <v>72</v>
      </c>
      <c r="K3592" t="s">
        <v>21</v>
      </c>
      <c r="L3592" s="12">
        <v>0.69791666666666663</v>
      </c>
      <c r="M3592" t="s">
        <v>63</v>
      </c>
      <c r="N3592" s="3">
        <v>232</v>
      </c>
      <c r="O3592" t="s">
        <v>24</v>
      </c>
      <c r="P3592" t="s">
        <v>56</v>
      </c>
      <c r="R3592">
        <f>tblDailySchedule[[#This Row],[Capacity Approx]]*'[1]Load Factor Sheet June Acft  '!$B$5</f>
        <v>187.86727272727273</v>
      </c>
      <c r="S3592">
        <f>tblDailySchedule[[#This Row],[Capacity Approx]]*'[1]Load Factor Sheet June Acft  '!$D$5</f>
        <v>203.4218181818182</v>
      </c>
      <c r="T3592" s="22">
        <f>tblDailySchedule[[#This Row],[STD]]</f>
        <v>0.69791666666666663</v>
      </c>
    </row>
    <row r="3593" spans="1:20" hidden="1" x14ac:dyDescent="0.35">
      <c r="A3593" s="11">
        <v>46239</v>
      </c>
      <c r="B3593" s="3">
        <v>3</v>
      </c>
      <c r="C3593" t="s">
        <v>113</v>
      </c>
      <c r="D3593" t="s">
        <v>18</v>
      </c>
      <c r="E3593" s="3">
        <v>19</v>
      </c>
      <c r="F3593" t="s">
        <v>19</v>
      </c>
      <c r="G3593" t="s">
        <v>73</v>
      </c>
      <c r="H3593" t="s">
        <v>27</v>
      </c>
      <c r="I3593" s="12">
        <v>0.74652777777777779</v>
      </c>
      <c r="J3593" t="s">
        <v>74</v>
      </c>
      <c r="K3593" t="s">
        <v>27</v>
      </c>
      <c r="L3593" s="12">
        <v>0.77430555555555558</v>
      </c>
      <c r="M3593" t="s">
        <v>63</v>
      </c>
      <c r="N3593" s="3">
        <v>232</v>
      </c>
      <c r="O3593" t="s">
        <v>24</v>
      </c>
      <c r="P3593" t="s">
        <v>56</v>
      </c>
      <c r="R3593">
        <f>tblDailySchedule[[#This Row],[Capacity Approx]]*'[1]Load Factor Sheet June Acft  '!$B$5</f>
        <v>187.86727272727273</v>
      </c>
      <c r="S3593">
        <f>tblDailySchedule[[#This Row],[Capacity Approx]]*'[1]Load Factor Sheet June Acft  '!$D$5</f>
        <v>203.4218181818182</v>
      </c>
      <c r="T3593" s="22">
        <f>tblDailySchedule[[#This Row],[STD]]</f>
        <v>0.77430555555555558</v>
      </c>
    </row>
    <row r="3594" spans="1:20" hidden="1" x14ac:dyDescent="0.35">
      <c r="A3594" s="11">
        <v>46239</v>
      </c>
      <c r="B3594" s="3">
        <v>3</v>
      </c>
      <c r="C3594" t="s">
        <v>113</v>
      </c>
      <c r="D3594" t="s">
        <v>18</v>
      </c>
      <c r="E3594" s="3">
        <v>20</v>
      </c>
      <c r="F3594" t="s">
        <v>34</v>
      </c>
      <c r="G3594" t="s">
        <v>75</v>
      </c>
      <c r="H3594" t="s">
        <v>76</v>
      </c>
      <c r="I3594" s="12">
        <v>0.76388888888888884</v>
      </c>
      <c r="J3594" t="s">
        <v>77</v>
      </c>
      <c r="K3594" t="s">
        <v>78</v>
      </c>
      <c r="L3594" s="12">
        <v>0.78472222222222221</v>
      </c>
      <c r="M3594" t="s">
        <v>51</v>
      </c>
      <c r="N3594" s="3">
        <v>78</v>
      </c>
      <c r="O3594" t="s">
        <v>24</v>
      </c>
      <c r="P3594" t="s">
        <v>79</v>
      </c>
      <c r="Q3594" s="16" t="s">
        <v>80</v>
      </c>
      <c r="R3594">
        <f>tblDailySchedule[[#This Row],[Capacity Approx]]*'[1]Load Factor Sheet June Acft  '!$B$5</f>
        <v>63.162272727272729</v>
      </c>
      <c r="S3594">
        <f>tblDailySchedule[[#This Row],[Capacity Approx]]*'[1]Load Factor Sheet June Acft  '!$D$5</f>
        <v>68.391818181818181</v>
      </c>
      <c r="T3594" s="22">
        <f>tblDailySchedule[[#This Row],[STD]]</f>
        <v>0.78472222222222221</v>
      </c>
    </row>
    <row r="3595" spans="1:20" hidden="1" x14ac:dyDescent="0.35">
      <c r="A3595" s="11">
        <v>46239</v>
      </c>
      <c r="B3595" s="3">
        <v>3</v>
      </c>
      <c r="C3595" t="s">
        <v>113</v>
      </c>
      <c r="D3595" t="s">
        <v>18</v>
      </c>
      <c r="E3595" s="3">
        <v>21</v>
      </c>
      <c r="F3595" t="s">
        <v>19</v>
      </c>
      <c r="G3595" t="s">
        <v>81</v>
      </c>
      <c r="H3595" t="s">
        <v>61</v>
      </c>
      <c r="I3595" s="12">
        <v>0.77083333333333337</v>
      </c>
      <c r="J3595" t="s">
        <v>82</v>
      </c>
      <c r="K3595" t="s">
        <v>49</v>
      </c>
      <c r="L3595" s="12">
        <v>0.79166666666666663</v>
      </c>
      <c r="M3595" t="s">
        <v>33</v>
      </c>
      <c r="N3595" s="3">
        <v>189</v>
      </c>
      <c r="O3595" t="s">
        <v>24</v>
      </c>
      <c r="P3595" t="s">
        <v>79</v>
      </c>
      <c r="R3595">
        <f>tblDailySchedule[[#This Row],[Capacity Approx]]*'[1]Load Factor Sheet June Acft  '!$B$5</f>
        <v>153.04704545454547</v>
      </c>
      <c r="S3595">
        <f>tblDailySchedule[[#This Row],[Capacity Approx]]*'[1]Load Factor Sheet June Acft  '!$D$5</f>
        <v>165.71863636363636</v>
      </c>
      <c r="T3595" s="22">
        <f>tblDailySchedule[[#This Row],[STD]]</f>
        <v>0.79166666666666663</v>
      </c>
    </row>
    <row r="3596" spans="1:20" hidden="1" x14ac:dyDescent="0.35">
      <c r="A3596" s="11">
        <v>46239</v>
      </c>
      <c r="B3596" s="3">
        <v>3</v>
      </c>
      <c r="C3596" t="s">
        <v>113</v>
      </c>
      <c r="D3596" t="s">
        <v>18</v>
      </c>
      <c r="E3596" s="3">
        <v>22</v>
      </c>
      <c r="F3596" t="s">
        <v>19</v>
      </c>
      <c r="G3596" t="s">
        <v>83</v>
      </c>
      <c r="H3596" t="s">
        <v>31</v>
      </c>
      <c r="I3596" s="12">
        <v>0.77777777777777779</v>
      </c>
      <c r="J3596" t="s">
        <v>84</v>
      </c>
      <c r="K3596" t="s">
        <v>31</v>
      </c>
      <c r="L3596" s="12">
        <v>0.80555555555555558</v>
      </c>
      <c r="M3596" t="s">
        <v>63</v>
      </c>
      <c r="N3596" s="3">
        <v>232</v>
      </c>
      <c r="O3596" t="s">
        <v>24</v>
      </c>
      <c r="P3596" t="s">
        <v>79</v>
      </c>
      <c r="R3596">
        <f>tblDailySchedule[[#This Row],[Capacity Approx]]*'[1]Load Factor Sheet June Acft  '!$B$5</f>
        <v>187.86727272727273</v>
      </c>
      <c r="S3596">
        <f>tblDailySchedule[[#This Row],[Capacity Approx]]*'[1]Load Factor Sheet June Acft  '!$D$5</f>
        <v>203.4218181818182</v>
      </c>
      <c r="T3596" s="22">
        <f>tblDailySchedule[[#This Row],[STD]]</f>
        <v>0.80555555555555558</v>
      </c>
    </row>
    <row r="3597" spans="1:20" hidden="1" x14ac:dyDescent="0.35">
      <c r="A3597" s="11">
        <v>46239</v>
      </c>
      <c r="B3597" s="3">
        <v>3</v>
      </c>
      <c r="C3597" t="s">
        <v>113</v>
      </c>
      <c r="D3597" t="s">
        <v>18</v>
      </c>
      <c r="E3597" s="3">
        <v>23</v>
      </c>
      <c r="F3597" t="s">
        <v>19</v>
      </c>
      <c r="G3597" t="s">
        <v>85</v>
      </c>
      <c r="H3597" t="s">
        <v>86</v>
      </c>
      <c r="I3597" s="12">
        <v>0.79861111111111116</v>
      </c>
      <c r="J3597" t="s">
        <v>87</v>
      </c>
      <c r="K3597" t="s">
        <v>86</v>
      </c>
      <c r="L3597" s="12">
        <v>0.82638888888888884</v>
      </c>
      <c r="M3597" t="s">
        <v>63</v>
      </c>
      <c r="N3597" s="3">
        <v>232</v>
      </c>
      <c r="O3597" t="s">
        <v>24</v>
      </c>
      <c r="P3597" t="s">
        <v>79</v>
      </c>
      <c r="R3597">
        <f>tblDailySchedule[[#This Row],[Capacity Approx]]*'[1]Load Factor Sheet June Acft  '!$B$5</f>
        <v>187.86727272727273</v>
      </c>
      <c r="S3597">
        <f>tblDailySchedule[[#This Row],[Capacity Approx]]*'[1]Load Factor Sheet June Acft  '!$D$5</f>
        <v>203.4218181818182</v>
      </c>
      <c r="T3597" s="22">
        <f>tblDailySchedule[[#This Row],[STD]]</f>
        <v>0.82638888888888884</v>
      </c>
    </row>
    <row r="3598" spans="1:20" hidden="1" x14ac:dyDescent="0.35">
      <c r="A3598" s="11">
        <v>46239</v>
      </c>
      <c r="B3598" s="3">
        <v>3</v>
      </c>
      <c r="C3598" t="s">
        <v>113</v>
      </c>
      <c r="D3598" t="s">
        <v>18</v>
      </c>
      <c r="E3598" s="3">
        <v>24</v>
      </c>
      <c r="F3598" t="s">
        <v>19</v>
      </c>
      <c r="G3598" t="s">
        <v>88</v>
      </c>
      <c r="H3598" t="s">
        <v>89</v>
      </c>
      <c r="I3598" s="12">
        <v>0.83333333333333337</v>
      </c>
      <c r="J3598" t="s">
        <v>90</v>
      </c>
      <c r="K3598" t="s">
        <v>31</v>
      </c>
      <c r="L3598" s="12">
        <v>0.86111111111111116</v>
      </c>
      <c r="M3598" t="s">
        <v>63</v>
      </c>
      <c r="N3598" s="3">
        <v>232</v>
      </c>
      <c r="O3598" t="s">
        <v>24</v>
      </c>
      <c r="P3598" t="s">
        <v>79</v>
      </c>
      <c r="R3598">
        <f>tblDailySchedule[[#This Row],[Capacity Approx]]*'[1]Load Factor Sheet June Acft  '!$B$5</f>
        <v>187.86727272727273</v>
      </c>
      <c r="S3598">
        <f>tblDailySchedule[[#This Row],[Capacity Approx]]*'[1]Load Factor Sheet June Acft  '!$D$5</f>
        <v>203.4218181818182</v>
      </c>
      <c r="T3598" s="22">
        <f>tblDailySchedule[[#This Row],[STD]]</f>
        <v>0.86111111111111116</v>
      </c>
    </row>
    <row r="3599" spans="1:20" hidden="1" x14ac:dyDescent="0.35">
      <c r="A3599" s="11">
        <v>46239</v>
      </c>
      <c r="B3599" s="3">
        <v>3</v>
      </c>
      <c r="C3599" t="s">
        <v>113</v>
      </c>
      <c r="D3599" t="s">
        <v>18</v>
      </c>
      <c r="E3599" s="3">
        <v>25</v>
      </c>
      <c r="F3599" t="s">
        <v>19</v>
      </c>
      <c r="G3599" t="s">
        <v>91</v>
      </c>
      <c r="H3599" t="s">
        <v>61</v>
      </c>
      <c r="I3599" s="12">
        <v>0.85416666666666663</v>
      </c>
      <c r="J3599" t="s">
        <v>92</v>
      </c>
      <c r="K3599" t="s">
        <v>61</v>
      </c>
      <c r="L3599" s="12">
        <v>0.88194444444444442</v>
      </c>
      <c r="M3599" t="s">
        <v>63</v>
      </c>
      <c r="N3599" s="3">
        <v>232</v>
      </c>
      <c r="O3599" t="s">
        <v>24</v>
      </c>
      <c r="P3599" t="s">
        <v>79</v>
      </c>
      <c r="R3599">
        <f>tblDailySchedule[[#This Row],[Capacity Approx]]*'[1]Load Factor Sheet June Acft  '!$B$5</f>
        <v>187.86727272727273</v>
      </c>
      <c r="S3599">
        <f>tblDailySchedule[[#This Row],[Capacity Approx]]*'[1]Load Factor Sheet June Acft  '!$D$5</f>
        <v>203.4218181818182</v>
      </c>
      <c r="T3599" s="22">
        <f>tblDailySchedule[[#This Row],[STD]]</f>
        <v>0.88194444444444442</v>
      </c>
    </row>
    <row r="3600" spans="1:20" hidden="1" x14ac:dyDescent="0.35">
      <c r="A3600" s="11">
        <v>46239</v>
      </c>
      <c r="B3600" s="3">
        <v>3</v>
      </c>
      <c r="C3600" t="s">
        <v>113</v>
      </c>
      <c r="D3600" t="s">
        <v>18</v>
      </c>
      <c r="E3600" s="3">
        <v>26</v>
      </c>
      <c r="F3600" t="s">
        <v>19</v>
      </c>
      <c r="G3600" t="s">
        <v>93</v>
      </c>
      <c r="H3600" t="s">
        <v>31</v>
      </c>
      <c r="I3600" s="12">
        <v>0.86111111111111116</v>
      </c>
      <c r="J3600" t="s">
        <v>94</v>
      </c>
      <c r="K3600" t="s">
        <v>31</v>
      </c>
      <c r="L3600" s="12">
        <v>0.88888888888888884</v>
      </c>
      <c r="M3600" t="s">
        <v>23</v>
      </c>
      <c r="N3600" s="3">
        <v>186</v>
      </c>
      <c r="O3600" t="s">
        <v>24</v>
      </c>
      <c r="P3600" t="s">
        <v>79</v>
      </c>
      <c r="R3600">
        <f>tblDailySchedule[[#This Row],[Capacity Approx]]*'[1]Load Factor Sheet June Acft  '!$B$5</f>
        <v>150.61772727272728</v>
      </c>
      <c r="S3600">
        <f>tblDailySchedule[[#This Row],[Capacity Approx]]*'[1]Load Factor Sheet June Acft  '!$D$5</f>
        <v>163.08818181818182</v>
      </c>
      <c r="T3600" s="22">
        <f>tblDailySchedule[[#This Row],[STD]]</f>
        <v>0.88888888888888884</v>
      </c>
    </row>
    <row r="3601" spans="1:20" hidden="1" x14ac:dyDescent="0.35">
      <c r="A3601" s="11">
        <v>46239</v>
      </c>
      <c r="B3601" s="3">
        <v>3</v>
      </c>
      <c r="C3601" t="s">
        <v>113</v>
      </c>
      <c r="D3601" t="s">
        <v>18</v>
      </c>
      <c r="E3601" s="3">
        <v>27</v>
      </c>
      <c r="F3601" t="s">
        <v>19</v>
      </c>
      <c r="G3601" t="s">
        <v>95</v>
      </c>
      <c r="H3601" t="s">
        <v>21</v>
      </c>
      <c r="I3601" s="12">
        <v>0.86805555555555558</v>
      </c>
      <c r="J3601" t="s">
        <v>96</v>
      </c>
      <c r="K3601" t="s">
        <v>21</v>
      </c>
      <c r="L3601" s="12">
        <v>0.89583333333333337</v>
      </c>
      <c r="M3601" t="s">
        <v>29</v>
      </c>
      <c r="N3601" s="3">
        <v>186</v>
      </c>
      <c r="O3601" t="s">
        <v>24</v>
      </c>
      <c r="P3601" t="s">
        <v>79</v>
      </c>
      <c r="R3601">
        <f>tblDailySchedule[[#This Row],[Capacity Approx]]*'[1]Load Factor Sheet June Acft  '!$B$5</f>
        <v>150.61772727272728</v>
      </c>
      <c r="S3601">
        <f>tblDailySchedule[[#This Row],[Capacity Approx]]*'[1]Load Factor Sheet June Acft  '!$D$5</f>
        <v>163.08818181818182</v>
      </c>
      <c r="T3601" s="22">
        <f>tblDailySchedule[[#This Row],[STD]]</f>
        <v>0.89583333333333337</v>
      </c>
    </row>
    <row r="3602" spans="1:20" hidden="1" x14ac:dyDescent="0.35">
      <c r="A3602" s="11">
        <v>46239</v>
      </c>
      <c r="B3602" s="3">
        <v>3</v>
      </c>
      <c r="C3602" t="s">
        <v>113</v>
      </c>
      <c r="D3602" t="s">
        <v>18</v>
      </c>
      <c r="E3602" s="3">
        <v>28</v>
      </c>
      <c r="F3602" t="s">
        <v>19</v>
      </c>
      <c r="G3602" t="s">
        <v>97</v>
      </c>
      <c r="H3602" t="s">
        <v>49</v>
      </c>
      <c r="I3602" s="12">
        <v>0.90277777777777779</v>
      </c>
      <c r="J3602" t="s">
        <v>97</v>
      </c>
      <c r="K3602" t="s">
        <v>61</v>
      </c>
      <c r="L3602" s="12">
        <v>0.92361111111111116</v>
      </c>
      <c r="M3602" t="s">
        <v>33</v>
      </c>
      <c r="N3602" s="3">
        <v>189</v>
      </c>
      <c r="O3602" t="s">
        <v>24</v>
      </c>
      <c r="P3602" t="s">
        <v>79</v>
      </c>
      <c r="R3602">
        <f>tblDailySchedule[[#This Row],[Capacity Approx]]*'[1]Load Factor Sheet June Acft  '!$B$5</f>
        <v>153.04704545454547</v>
      </c>
      <c r="S3602">
        <f>tblDailySchedule[[#This Row],[Capacity Approx]]*'[1]Load Factor Sheet June Acft  '!$D$5</f>
        <v>165.71863636363636</v>
      </c>
      <c r="T3602" s="22">
        <f>tblDailySchedule[[#This Row],[STD]]</f>
        <v>0.92361111111111116</v>
      </c>
    </row>
    <row r="3603" spans="1:20" hidden="1" x14ac:dyDescent="0.35">
      <c r="A3603" s="11">
        <v>46239</v>
      </c>
      <c r="B3603" s="3">
        <v>3</v>
      </c>
      <c r="C3603" t="s">
        <v>113</v>
      </c>
      <c r="D3603" t="s">
        <v>18</v>
      </c>
      <c r="E3603" s="3">
        <v>29</v>
      </c>
      <c r="F3603" t="s">
        <v>19</v>
      </c>
      <c r="G3603" t="s">
        <v>98</v>
      </c>
      <c r="H3603" t="s">
        <v>21</v>
      </c>
      <c r="I3603" s="12">
        <v>0.92013888888888884</v>
      </c>
      <c r="J3603" t="s">
        <v>99</v>
      </c>
      <c r="K3603" t="s">
        <v>21</v>
      </c>
      <c r="L3603" s="12">
        <v>0.94791666666666663</v>
      </c>
      <c r="M3603" t="s">
        <v>63</v>
      </c>
      <c r="N3603" s="3">
        <v>232</v>
      </c>
      <c r="O3603" t="s">
        <v>24</v>
      </c>
      <c r="P3603" t="s">
        <v>79</v>
      </c>
      <c r="R3603">
        <f>tblDailySchedule[[#This Row],[Capacity Approx]]*'[1]Load Factor Sheet June Acft  '!$B$5</f>
        <v>187.86727272727273</v>
      </c>
      <c r="S3603">
        <f>tblDailySchedule[[#This Row],[Capacity Approx]]*'[1]Load Factor Sheet June Acft  '!$D$5</f>
        <v>203.4218181818182</v>
      </c>
      <c r="T3603" s="22">
        <f>tblDailySchedule[[#This Row],[STD]]</f>
        <v>0.94791666666666663</v>
      </c>
    </row>
    <row r="3604" spans="1:20" hidden="1" x14ac:dyDescent="0.35">
      <c r="A3604" s="13">
        <v>46239</v>
      </c>
      <c r="B3604" s="7">
        <v>3</v>
      </c>
      <c r="C3604" s="14" t="s">
        <v>113</v>
      </c>
      <c r="D3604" s="14" t="s">
        <v>18</v>
      </c>
      <c r="E3604" s="7">
        <v>30</v>
      </c>
      <c r="F3604" s="14" t="s">
        <v>104</v>
      </c>
      <c r="G3604" s="14" t="s">
        <v>105</v>
      </c>
      <c r="H3604" s="14" t="s">
        <v>106</v>
      </c>
      <c r="I3604" s="15">
        <v>0.92708333333333337</v>
      </c>
      <c r="J3604" s="14" t="s">
        <v>107</v>
      </c>
      <c r="K3604" s="14" t="s">
        <v>106</v>
      </c>
      <c r="L3604" s="15">
        <v>0.95833333333333337</v>
      </c>
      <c r="M3604" s="14" t="s">
        <v>38</v>
      </c>
      <c r="N3604" s="7">
        <v>186</v>
      </c>
      <c r="O3604" s="14" t="s">
        <v>39</v>
      </c>
      <c r="P3604" s="14" t="s">
        <v>79</v>
      </c>
      <c r="Q3604" s="14" t="s">
        <v>39</v>
      </c>
      <c r="R3604">
        <f>tblDailySchedule[[#This Row],[Capacity Approx]]*'[1]Load Factor Sheet June Acft  '!$B$5</f>
        <v>150.61772727272728</v>
      </c>
      <c r="S3604">
        <f>tblDailySchedule[[#This Row],[Capacity Approx]]*'[1]Load Factor Sheet June Acft  '!$D$5</f>
        <v>163.08818181818182</v>
      </c>
      <c r="T3604" s="22">
        <f>tblDailySchedule[[#This Row],[STD]]</f>
        <v>0.95833333333333337</v>
      </c>
    </row>
    <row r="3605" spans="1:20" hidden="1" x14ac:dyDescent="0.35">
      <c r="A3605" s="11">
        <v>46240</v>
      </c>
      <c r="B3605" s="3">
        <v>4</v>
      </c>
      <c r="C3605" t="s">
        <v>114</v>
      </c>
      <c r="D3605" t="s">
        <v>18</v>
      </c>
      <c r="E3605" s="3">
        <v>1</v>
      </c>
      <c r="F3605" t="s">
        <v>101</v>
      </c>
      <c r="G3605" t="s">
        <v>102</v>
      </c>
      <c r="H3605" t="s">
        <v>61</v>
      </c>
      <c r="I3605" s="12">
        <v>0.3125</v>
      </c>
      <c r="J3605" t="s">
        <v>103</v>
      </c>
      <c r="K3605" t="s">
        <v>61</v>
      </c>
      <c r="L3605" s="12">
        <v>0.33333333333333331</v>
      </c>
      <c r="M3605" t="s">
        <v>33</v>
      </c>
      <c r="N3605" s="3">
        <v>189</v>
      </c>
      <c r="O3605" t="s">
        <v>24</v>
      </c>
      <c r="P3605" t="s">
        <v>25</v>
      </c>
      <c r="R3605">
        <f>tblDailySchedule[[#This Row],[Capacity Approx]]*'[1]Load Factor Sheet June Acft  '!$B$5</f>
        <v>153.04704545454547</v>
      </c>
      <c r="S3605">
        <f>tblDailySchedule[[#This Row],[Capacity Approx]]*'[1]Load Factor Sheet June Acft  '!$D$5</f>
        <v>165.71863636363636</v>
      </c>
      <c r="T3605" s="22">
        <f>tblDailySchedule[[#This Row],[STD]]</f>
        <v>0.33333333333333331</v>
      </c>
    </row>
    <row r="3606" spans="1:20" hidden="1" x14ac:dyDescent="0.35">
      <c r="A3606" s="11">
        <v>46240</v>
      </c>
      <c r="B3606" s="3">
        <v>4</v>
      </c>
      <c r="C3606" t="s">
        <v>114</v>
      </c>
      <c r="D3606" t="s">
        <v>18</v>
      </c>
      <c r="E3606" s="3">
        <v>2</v>
      </c>
      <c r="F3606" t="s">
        <v>19</v>
      </c>
      <c r="G3606" t="s">
        <v>20</v>
      </c>
      <c r="H3606" t="s">
        <v>21</v>
      </c>
      <c r="I3606" s="12">
        <v>0.31944444444444442</v>
      </c>
      <c r="J3606" t="s">
        <v>22</v>
      </c>
      <c r="K3606" t="s">
        <v>21</v>
      </c>
      <c r="L3606" s="12">
        <v>0.34722222222222221</v>
      </c>
      <c r="M3606" t="s">
        <v>23</v>
      </c>
      <c r="N3606" s="3">
        <v>186</v>
      </c>
      <c r="O3606" t="s">
        <v>24</v>
      </c>
      <c r="P3606" t="s">
        <v>25</v>
      </c>
      <c r="R3606">
        <f>tblDailySchedule[[#This Row],[Capacity Approx]]*'[1]Load Factor Sheet June Acft  '!$B$5</f>
        <v>150.61772727272728</v>
      </c>
      <c r="S3606">
        <f>tblDailySchedule[[#This Row],[Capacity Approx]]*'[1]Load Factor Sheet June Acft  '!$D$5</f>
        <v>163.08818181818182</v>
      </c>
      <c r="T3606" s="22">
        <f>tblDailySchedule[[#This Row],[STD]]</f>
        <v>0.34722222222222221</v>
      </c>
    </row>
    <row r="3607" spans="1:20" hidden="1" x14ac:dyDescent="0.35">
      <c r="A3607" s="11">
        <v>46240</v>
      </c>
      <c r="B3607" s="3">
        <v>4</v>
      </c>
      <c r="C3607" t="s">
        <v>114</v>
      </c>
      <c r="D3607" t="s">
        <v>18</v>
      </c>
      <c r="E3607" s="3">
        <v>3</v>
      </c>
      <c r="F3607" t="s">
        <v>19</v>
      </c>
      <c r="G3607" t="s">
        <v>26</v>
      </c>
      <c r="H3607" t="s">
        <v>27</v>
      </c>
      <c r="I3607" s="12">
        <v>0.3263888888888889</v>
      </c>
      <c r="J3607" t="s">
        <v>28</v>
      </c>
      <c r="K3607" t="s">
        <v>27</v>
      </c>
      <c r="L3607" s="12">
        <v>0.35416666666666669</v>
      </c>
      <c r="M3607" t="s">
        <v>29</v>
      </c>
      <c r="N3607" s="3">
        <v>186</v>
      </c>
      <c r="O3607" t="s">
        <v>24</v>
      </c>
      <c r="P3607" t="s">
        <v>25</v>
      </c>
      <c r="R3607">
        <f>tblDailySchedule[[#This Row],[Capacity Approx]]*'[1]Load Factor Sheet June Acft  '!$B$5</f>
        <v>150.61772727272728</v>
      </c>
      <c r="S3607">
        <f>tblDailySchedule[[#This Row],[Capacity Approx]]*'[1]Load Factor Sheet June Acft  '!$D$5</f>
        <v>163.08818181818182</v>
      </c>
      <c r="T3607" s="22">
        <f>tblDailySchedule[[#This Row],[STD]]</f>
        <v>0.35416666666666669</v>
      </c>
    </row>
    <row r="3608" spans="1:20" hidden="1" x14ac:dyDescent="0.35">
      <c r="A3608" s="11">
        <v>46240</v>
      </c>
      <c r="B3608" s="3">
        <v>4</v>
      </c>
      <c r="C3608" t="s">
        <v>114</v>
      </c>
      <c r="D3608" t="s">
        <v>18</v>
      </c>
      <c r="E3608" s="3">
        <v>4</v>
      </c>
      <c r="F3608" t="s">
        <v>19</v>
      </c>
      <c r="G3608" t="s">
        <v>30</v>
      </c>
      <c r="H3608" t="s">
        <v>31</v>
      </c>
      <c r="I3608" s="12">
        <v>0.34722222222222221</v>
      </c>
      <c r="J3608" t="s">
        <v>32</v>
      </c>
      <c r="K3608" t="s">
        <v>31</v>
      </c>
      <c r="L3608" s="12">
        <v>0.36805555555555558</v>
      </c>
      <c r="M3608" t="s">
        <v>33</v>
      </c>
      <c r="N3608" s="3">
        <v>189</v>
      </c>
      <c r="O3608" t="s">
        <v>24</v>
      </c>
      <c r="P3608" t="s">
        <v>25</v>
      </c>
      <c r="R3608">
        <f>tblDailySchedule[[#This Row],[Capacity Approx]]*'[1]Load Factor Sheet June Acft  '!$B$5</f>
        <v>153.04704545454547</v>
      </c>
      <c r="S3608">
        <f>tblDailySchedule[[#This Row],[Capacity Approx]]*'[1]Load Factor Sheet June Acft  '!$D$5</f>
        <v>165.71863636363636</v>
      </c>
      <c r="T3608" s="22">
        <f>tblDailySchedule[[#This Row],[STD]]</f>
        <v>0.36805555555555558</v>
      </c>
    </row>
    <row r="3609" spans="1:20" hidden="1" x14ac:dyDescent="0.35">
      <c r="A3609" s="11">
        <v>46240</v>
      </c>
      <c r="B3609" s="3">
        <v>4</v>
      </c>
      <c r="C3609" t="s">
        <v>114</v>
      </c>
      <c r="D3609" t="s">
        <v>18</v>
      </c>
      <c r="E3609" s="3">
        <v>5</v>
      </c>
      <c r="F3609" t="s">
        <v>19</v>
      </c>
      <c r="G3609" t="s">
        <v>40</v>
      </c>
      <c r="H3609" t="s">
        <v>31</v>
      </c>
      <c r="I3609" s="12">
        <v>0.35069444444444442</v>
      </c>
      <c r="J3609" t="s">
        <v>41</v>
      </c>
      <c r="K3609" t="s">
        <v>31</v>
      </c>
      <c r="L3609" s="12">
        <v>0.37152777777777779</v>
      </c>
      <c r="M3609" t="s">
        <v>23</v>
      </c>
      <c r="N3609" s="3">
        <v>186</v>
      </c>
      <c r="O3609" t="s">
        <v>24</v>
      </c>
      <c r="P3609" t="s">
        <v>25</v>
      </c>
      <c r="R3609">
        <f>tblDailySchedule[[#This Row],[Capacity Approx]]*'[1]Load Factor Sheet June Acft  '!$B$5</f>
        <v>150.61772727272728</v>
      </c>
      <c r="S3609">
        <f>tblDailySchedule[[#This Row],[Capacity Approx]]*'[1]Load Factor Sheet June Acft  '!$D$5</f>
        <v>163.08818181818182</v>
      </c>
      <c r="T3609" s="22">
        <f>tblDailySchedule[[#This Row],[STD]]</f>
        <v>0.37152777777777779</v>
      </c>
    </row>
    <row r="3610" spans="1:20" hidden="1" x14ac:dyDescent="0.35">
      <c r="A3610" s="11">
        <v>46240</v>
      </c>
      <c r="B3610" s="3">
        <v>4</v>
      </c>
      <c r="C3610" t="s">
        <v>114</v>
      </c>
      <c r="D3610" t="s">
        <v>18</v>
      </c>
      <c r="E3610" s="3">
        <v>7</v>
      </c>
      <c r="F3610" t="s">
        <v>19</v>
      </c>
      <c r="G3610" t="s">
        <v>42</v>
      </c>
      <c r="H3610" t="s">
        <v>43</v>
      </c>
      <c r="I3610" s="12">
        <v>0.3923611111111111</v>
      </c>
      <c r="J3610" t="s">
        <v>44</v>
      </c>
      <c r="K3610" t="s">
        <v>43</v>
      </c>
      <c r="L3610" s="12">
        <v>0.40277777777777779</v>
      </c>
      <c r="M3610" t="s">
        <v>45</v>
      </c>
      <c r="N3610" s="3">
        <v>9</v>
      </c>
      <c r="O3610" t="s">
        <v>24</v>
      </c>
      <c r="P3610" t="s">
        <v>25</v>
      </c>
      <c r="R3610">
        <f>tblDailySchedule[[#This Row],[Capacity Approx]]*'[1]Load Factor Sheet June Acft  '!$B$5</f>
        <v>7.2879545454545456</v>
      </c>
      <c r="S3610">
        <f>tblDailySchedule[[#This Row],[Capacity Approx]]*'[1]Load Factor Sheet June Acft  '!$D$5</f>
        <v>7.8913636363636366</v>
      </c>
      <c r="T3610" s="22">
        <f>tblDailySchedule[[#This Row],[STD]]</f>
        <v>0.40277777777777779</v>
      </c>
    </row>
    <row r="3611" spans="1:20" hidden="1" x14ac:dyDescent="0.35">
      <c r="A3611" s="11">
        <v>46240</v>
      </c>
      <c r="B3611" s="3">
        <v>4</v>
      </c>
      <c r="C3611" t="s">
        <v>114</v>
      </c>
      <c r="D3611" t="s">
        <v>18</v>
      </c>
      <c r="E3611" s="3">
        <v>8</v>
      </c>
      <c r="F3611" t="s">
        <v>19</v>
      </c>
      <c r="G3611" t="s">
        <v>46</v>
      </c>
      <c r="H3611" t="s">
        <v>31</v>
      </c>
      <c r="I3611" s="12">
        <v>0.4201388888888889</v>
      </c>
      <c r="J3611" t="s">
        <v>47</v>
      </c>
      <c r="K3611" t="s">
        <v>31</v>
      </c>
      <c r="L3611" s="12">
        <v>0.44444444444444442</v>
      </c>
      <c r="M3611" t="s">
        <v>29</v>
      </c>
      <c r="N3611" s="3">
        <v>186</v>
      </c>
      <c r="O3611" t="s">
        <v>24</v>
      </c>
      <c r="P3611" t="s">
        <v>25</v>
      </c>
      <c r="R3611">
        <f>tblDailySchedule[[#This Row],[Capacity Approx]]*'[1]Load Factor Sheet June Acft  '!$B$5</f>
        <v>150.61772727272728</v>
      </c>
      <c r="S3611">
        <f>tblDailySchedule[[#This Row],[Capacity Approx]]*'[1]Load Factor Sheet June Acft  '!$D$5</f>
        <v>163.08818181818182</v>
      </c>
      <c r="T3611" s="22">
        <f>tblDailySchedule[[#This Row],[STD]]</f>
        <v>0.44444444444444442</v>
      </c>
    </row>
    <row r="3612" spans="1:20" hidden="1" x14ac:dyDescent="0.35">
      <c r="A3612" s="11">
        <v>46240</v>
      </c>
      <c r="B3612" s="3">
        <v>4</v>
      </c>
      <c r="C3612" t="s">
        <v>114</v>
      </c>
      <c r="D3612" t="s">
        <v>18</v>
      </c>
      <c r="E3612" s="3">
        <v>9</v>
      </c>
      <c r="F3612" t="s">
        <v>19</v>
      </c>
      <c r="G3612" t="s">
        <v>48</v>
      </c>
      <c r="H3612" t="s">
        <v>49</v>
      </c>
      <c r="I3612" s="12">
        <v>0.4375</v>
      </c>
      <c r="J3612" t="s">
        <v>50</v>
      </c>
      <c r="K3612" t="s">
        <v>49</v>
      </c>
      <c r="L3612" s="12">
        <v>0.45833333333333331</v>
      </c>
      <c r="M3612" t="s">
        <v>51</v>
      </c>
      <c r="N3612" s="3">
        <v>78</v>
      </c>
      <c r="O3612" t="s">
        <v>24</v>
      </c>
      <c r="P3612" t="s">
        <v>25</v>
      </c>
      <c r="R3612">
        <f>tblDailySchedule[[#This Row],[Capacity Approx]]*'[1]Load Factor Sheet June Acft  '!$B$5</f>
        <v>63.162272727272729</v>
      </c>
      <c r="S3612">
        <f>tblDailySchedule[[#This Row],[Capacity Approx]]*'[1]Load Factor Sheet June Acft  '!$D$5</f>
        <v>68.391818181818181</v>
      </c>
      <c r="T3612" s="22">
        <f>tblDailySchedule[[#This Row],[STD]]</f>
        <v>0.45833333333333331</v>
      </c>
    </row>
    <row r="3613" spans="1:20" hidden="1" x14ac:dyDescent="0.35">
      <c r="A3613" s="11">
        <v>46240</v>
      </c>
      <c r="B3613" s="3">
        <v>4</v>
      </c>
      <c r="C3613" t="s">
        <v>114</v>
      </c>
      <c r="D3613" t="s">
        <v>18</v>
      </c>
      <c r="E3613" s="3">
        <v>10</v>
      </c>
      <c r="F3613" t="s">
        <v>19</v>
      </c>
      <c r="G3613" t="s">
        <v>52</v>
      </c>
      <c r="H3613" t="s">
        <v>27</v>
      </c>
      <c r="I3613" s="12">
        <v>0.4826388888888889</v>
      </c>
      <c r="J3613" t="s">
        <v>53</v>
      </c>
      <c r="K3613" t="s">
        <v>27</v>
      </c>
      <c r="L3613" s="12">
        <v>0.51041666666666663</v>
      </c>
      <c r="M3613" t="s">
        <v>23</v>
      </c>
      <c r="N3613" s="3">
        <v>186</v>
      </c>
      <c r="O3613" t="s">
        <v>24</v>
      </c>
      <c r="P3613" t="s">
        <v>25</v>
      </c>
      <c r="R3613">
        <f>tblDailySchedule[[#This Row],[Capacity Approx]]*'[1]Load Factor Sheet June Acft  '!$B$5</f>
        <v>150.61772727272728</v>
      </c>
      <c r="S3613">
        <f>tblDailySchedule[[#This Row],[Capacity Approx]]*'[1]Load Factor Sheet June Acft  '!$D$5</f>
        <v>163.08818181818182</v>
      </c>
      <c r="T3613" s="22">
        <f>tblDailySchedule[[#This Row],[STD]]</f>
        <v>0.51041666666666663</v>
      </c>
    </row>
    <row r="3614" spans="1:20" hidden="1" x14ac:dyDescent="0.35">
      <c r="A3614" s="11">
        <v>46240</v>
      </c>
      <c r="B3614" s="3">
        <v>4</v>
      </c>
      <c r="C3614" t="s">
        <v>114</v>
      </c>
      <c r="D3614" t="s">
        <v>18</v>
      </c>
      <c r="E3614" s="3">
        <v>11</v>
      </c>
      <c r="F3614" t="s">
        <v>19</v>
      </c>
      <c r="G3614" t="s">
        <v>54</v>
      </c>
      <c r="H3614" t="s">
        <v>31</v>
      </c>
      <c r="I3614" s="12">
        <v>0.51388888888888884</v>
      </c>
      <c r="J3614" t="s">
        <v>55</v>
      </c>
      <c r="K3614" t="s">
        <v>31</v>
      </c>
      <c r="L3614" s="12">
        <v>0.54166666666666663</v>
      </c>
      <c r="M3614" t="s">
        <v>23</v>
      </c>
      <c r="N3614" s="3">
        <v>186</v>
      </c>
      <c r="O3614" t="s">
        <v>24</v>
      </c>
      <c r="P3614" t="s">
        <v>56</v>
      </c>
      <c r="R3614">
        <f>tblDailySchedule[[#This Row],[Capacity Approx]]*'[1]Load Factor Sheet June Acft  '!$B$5</f>
        <v>150.61772727272728</v>
      </c>
      <c r="S3614">
        <f>tblDailySchedule[[#This Row],[Capacity Approx]]*'[1]Load Factor Sheet June Acft  '!$D$5</f>
        <v>163.08818181818182</v>
      </c>
      <c r="T3614" s="22">
        <f>tblDailySchedule[[#This Row],[STD]]</f>
        <v>0.54166666666666663</v>
      </c>
    </row>
    <row r="3615" spans="1:20" hidden="1" x14ac:dyDescent="0.35">
      <c r="A3615" s="11">
        <v>46240</v>
      </c>
      <c r="B3615" s="3">
        <v>4</v>
      </c>
      <c r="C3615" t="s">
        <v>114</v>
      </c>
      <c r="D3615" t="s">
        <v>18</v>
      </c>
      <c r="E3615" s="3">
        <v>12</v>
      </c>
      <c r="F3615" t="s">
        <v>109</v>
      </c>
      <c r="G3615" t="s">
        <v>110</v>
      </c>
      <c r="H3615" t="s">
        <v>111</v>
      </c>
      <c r="I3615" s="12">
        <v>0.55555555555555558</v>
      </c>
      <c r="J3615" t="s">
        <v>112</v>
      </c>
      <c r="K3615" t="s">
        <v>111</v>
      </c>
      <c r="L3615" s="12">
        <v>0.56944444444444442</v>
      </c>
      <c r="M3615" t="s">
        <v>51</v>
      </c>
      <c r="N3615" s="3">
        <v>78</v>
      </c>
      <c r="O3615" t="s">
        <v>24</v>
      </c>
      <c r="P3615" t="s">
        <v>56</v>
      </c>
      <c r="R3615">
        <f>tblDailySchedule[[#This Row],[Capacity Approx]]*'[1]Load Factor Sheet June Acft  '!$B$5</f>
        <v>63.162272727272729</v>
      </c>
      <c r="S3615">
        <f>tblDailySchedule[[#This Row],[Capacity Approx]]*'[1]Load Factor Sheet June Acft  '!$D$5</f>
        <v>68.391818181818181</v>
      </c>
      <c r="T3615" s="22">
        <f>tblDailySchedule[[#This Row],[STD]]</f>
        <v>0.56944444444444442</v>
      </c>
    </row>
    <row r="3616" spans="1:20" hidden="1" x14ac:dyDescent="0.35">
      <c r="A3616" s="11">
        <v>46240</v>
      </c>
      <c r="B3616" s="3">
        <v>4</v>
      </c>
      <c r="C3616" t="s">
        <v>114</v>
      </c>
      <c r="D3616" t="s">
        <v>18</v>
      </c>
      <c r="E3616" s="3">
        <v>13</v>
      </c>
      <c r="F3616" t="s">
        <v>19</v>
      </c>
      <c r="G3616" t="s">
        <v>57</v>
      </c>
      <c r="H3616" t="s">
        <v>58</v>
      </c>
      <c r="I3616" s="12">
        <v>0.55902777777777779</v>
      </c>
      <c r="J3616" t="s">
        <v>59</v>
      </c>
      <c r="K3616" t="s">
        <v>58</v>
      </c>
      <c r="L3616" s="12">
        <v>0.57638888888888884</v>
      </c>
      <c r="M3616" t="s">
        <v>51</v>
      </c>
      <c r="N3616" s="3">
        <v>78</v>
      </c>
      <c r="O3616" t="s">
        <v>24</v>
      </c>
      <c r="P3616" t="s">
        <v>56</v>
      </c>
      <c r="R3616">
        <f>tblDailySchedule[[#This Row],[Capacity Approx]]*'[1]Load Factor Sheet June Acft  '!$B$5</f>
        <v>63.162272727272729</v>
      </c>
      <c r="S3616">
        <f>tblDailySchedule[[#This Row],[Capacity Approx]]*'[1]Load Factor Sheet June Acft  '!$D$5</f>
        <v>68.391818181818181</v>
      </c>
      <c r="T3616" s="22">
        <f>tblDailySchedule[[#This Row],[STD]]</f>
        <v>0.57638888888888884</v>
      </c>
    </row>
    <row r="3617" spans="1:20" hidden="1" x14ac:dyDescent="0.35">
      <c r="A3617" s="11">
        <v>46240</v>
      </c>
      <c r="B3617" s="3">
        <v>4</v>
      </c>
      <c r="C3617" t="s">
        <v>114</v>
      </c>
      <c r="D3617" t="s">
        <v>18</v>
      </c>
      <c r="E3617" s="3">
        <v>14</v>
      </c>
      <c r="F3617" t="s">
        <v>19</v>
      </c>
      <c r="G3617" t="s">
        <v>60</v>
      </c>
      <c r="H3617" t="s">
        <v>61</v>
      </c>
      <c r="I3617" s="12">
        <v>0.59027777777777779</v>
      </c>
      <c r="J3617" t="s">
        <v>62</v>
      </c>
      <c r="K3617" t="s">
        <v>61</v>
      </c>
      <c r="L3617" s="12">
        <v>0.62152777777777779</v>
      </c>
      <c r="M3617" t="s">
        <v>63</v>
      </c>
      <c r="N3617" s="3">
        <v>232</v>
      </c>
      <c r="O3617" t="s">
        <v>24</v>
      </c>
      <c r="P3617" t="s">
        <v>56</v>
      </c>
      <c r="R3617">
        <f>tblDailySchedule[[#This Row],[Capacity Approx]]*'[1]Load Factor Sheet June Acft  '!$B$5</f>
        <v>187.86727272727273</v>
      </c>
      <c r="S3617">
        <f>tblDailySchedule[[#This Row],[Capacity Approx]]*'[1]Load Factor Sheet June Acft  '!$D$5</f>
        <v>203.4218181818182</v>
      </c>
      <c r="T3617" s="22">
        <f>tblDailySchedule[[#This Row],[STD]]</f>
        <v>0.62152777777777779</v>
      </c>
    </row>
    <row r="3618" spans="1:20" hidden="1" x14ac:dyDescent="0.35">
      <c r="A3618" s="11">
        <v>46240</v>
      </c>
      <c r="B3618" s="3">
        <v>4</v>
      </c>
      <c r="C3618" t="s">
        <v>114</v>
      </c>
      <c r="D3618" t="s">
        <v>18</v>
      </c>
      <c r="E3618" s="3">
        <v>15</v>
      </c>
      <c r="F3618" t="s">
        <v>19</v>
      </c>
      <c r="G3618" t="s">
        <v>64</v>
      </c>
      <c r="H3618" t="s">
        <v>31</v>
      </c>
      <c r="I3618" s="12">
        <v>0.60069444444444442</v>
      </c>
      <c r="J3618" t="s">
        <v>65</v>
      </c>
      <c r="K3618" t="s">
        <v>66</v>
      </c>
      <c r="L3618" s="12">
        <v>0.62847222222222221</v>
      </c>
      <c r="M3618" t="s">
        <v>63</v>
      </c>
      <c r="N3618" s="3">
        <v>232</v>
      </c>
      <c r="O3618" t="s">
        <v>24</v>
      </c>
      <c r="P3618" t="s">
        <v>56</v>
      </c>
      <c r="R3618">
        <f>tblDailySchedule[[#This Row],[Capacity Approx]]*'[1]Load Factor Sheet June Acft  '!$B$5</f>
        <v>187.86727272727273</v>
      </c>
      <c r="S3618">
        <f>tblDailySchedule[[#This Row],[Capacity Approx]]*'[1]Load Factor Sheet June Acft  '!$D$5</f>
        <v>203.4218181818182</v>
      </c>
      <c r="T3618" s="22">
        <f>tblDailySchedule[[#This Row],[STD]]</f>
        <v>0.62847222222222221</v>
      </c>
    </row>
    <row r="3619" spans="1:20" hidden="1" x14ac:dyDescent="0.35">
      <c r="A3619" s="11">
        <v>46240</v>
      </c>
      <c r="B3619" s="3">
        <v>4</v>
      </c>
      <c r="C3619" t="s">
        <v>114</v>
      </c>
      <c r="D3619" t="s">
        <v>18</v>
      </c>
      <c r="E3619" s="3">
        <v>16</v>
      </c>
      <c r="F3619" t="s">
        <v>19</v>
      </c>
      <c r="G3619" t="s">
        <v>67</v>
      </c>
      <c r="H3619" t="s">
        <v>31</v>
      </c>
      <c r="I3619" s="12">
        <v>0.65625</v>
      </c>
      <c r="J3619" t="s">
        <v>68</v>
      </c>
      <c r="K3619" t="s">
        <v>31</v>
      </c>
      <c r="L3619" s="12">
        <v>0.68402777777777779</v>
      </c>
      <c r="M3619" t="s">
        <v>63</v>
      </c>
      <c r="N3619" s="3">
        <v>232</v>
      </c>
      <c r="O3619" t="s">
        <v>24</v>
      </c>
      <c r="P3619" t="s">
        <v>56</v>
      </c>
      <c r="R3619">
        <f>tblDailySchedule[[#This Row],[Capacity Approx]]*'[1]Load Factor Sheet June Acft  '!$B$5</f>
        <v>187.86727272727273</v>
      </c>
      <c r="S3619">
        <f>tblDailySchedule[[#This Row],[Capacity Approx]]*'[1]Load Factor Sheet June Acft  '!$D$5</f>
        <v>203.4218181818182</v>
      </c>
      <c r="T3619" s="22">
        <f>tblDailySchedule[[#This Row],[STD]]</f>
        <v>0.68402777777777779</v>
      </c>
    </row>
    <row r="3620" spans="1:20" hidden="1" x14ac:dyDescent="0.35">
      <c r="A3620" s="11">
        <v>46240</v>
      </c>
      <c r="B3620" s="3">
        <v>4</v>
      </c>
      <c r="C3620" t="s">
        <v>114</v>
      </c>
      <c r="D3620" t="s">
        <v>18</v>
      </c>
      <c r="E3620" s="3">
        <v>17</v>
      </c>
      <c r="F3620" t="s">
        <v>19</v>
      </c>
      <c r="G3620" t="s">
        <v>69</v>
      </c>
      <c r="H3620" t="s">
        <v>31</v>
      </c>
      <c r="I3620" s="12">
        <v>0.66319444444444442</v>
      </c>
      <c r="J3620" t="s">
        <v>70</v>
      </c>
      <c r="K3620" t="s">
        <v>31</v>
      </c>
      <c r="L3620" s="12">
        <v>0.69097222222222221</v>
      </c>
      <c r="M3620" t="s">
        <v>33</v>
      </c>
      <c r="N3620" s="3">
        <v>189</v>
      </c>
      <c r="O3620" t="s">
        <v>24</v>
      </c>
      <c r="P3620" t="s">
        <v>56</v>
      </c>
      <c r="R3620">
        <f>tblDailySchedule[[#This Row],[Capacity Approx]]*'[1]Load Factor Sheet June Acft  '!$B$5</f>
        <v>153.04704545454547</v>
      </c>
      <c r="S3620">
        <f>tblDailySchedule[[#This Row],[Capacity Approx]]*'[1]Load Factor Sheet June Acft  '!$D$5</f>
        <v>165.71863636363636</v>
      </c>
      <c r="T3620" s="22">
        <f>tblDailySchedule[[#This Row],[STD]]</f>
        <v>0.69097222222222221</v>
      </c>
    </row>
    <row r="3621" spans="1:20" hidden="1" x14ac:dyDescent="0.35">
      <c r="A3621" s="11">
        <v>46240</v>
      </c>
      <c r="B3621" s="3">
        <v>4</v>
      </c>
      <c r="C3621" t="s">
        <v>114</v>
      </c>
      <c r="D3621" t="s">
        <v>18</v>
      </c>
      <c r="E3621" s="3">
        <v>18</v>
      </c>
      <c r="F3621" t="s">
        <v>19</v>
      </c>
      <c r="G3621" t="s">
        <v>71</v>
      </c>
      <c r="H3621" t="s">
        <v>21</v>
      </c>
      <c r="I3621" s="12">
        <v>0.67013888888888884</v>
      </c>
      <c r="J3621" t="s">
        <v>72</v>
      </c>
      <c r="K3621" t="s">
        <v>21</v>
      </c>
      <c r="L3621" s="12">
        <v>0.69791666666666663</v>
      </c>
      <c r="M3621" t="s">
        <v>63</v>
      </c>
      <c r="N3621" s="3">
        <v>232</v>
      </c>
      <c r="O3621" t="s">
        <v>24</v>
      </c>
      <c r="P3621" t="s">
        <v>56</v>
      </c>
      <c r="R3621">
        <f>tblDailySchedule[[#This Row],[Capacity Approx]]*'[1]Load Factor Sheet June Acft  '!$B$5</f>
        <v>187.86727272727273</v>
      </c>
      <c r="S3621">
        <f>tblDailySchedule[[#This Row],[Capacity Approx]]*'[1]Load Factor Sheet June Acft  '!$D$5</f>
        <v>203.4218181818182</v>
      </c>
      <c r="T3621" s="22">
        <f>tblDailySchedule[[#This Row],[STD]]</f>
        <v>0.69791666666666663</v>
      </c>
    </row>
    <row r="3622" spans="1:20" hidden="1" x14ac:dyDescent="0.35">
      <c r="A3622" s="11">
        <v>46240</v>
      </c>
      <c r="B3622" s="3">
        <v>4</v>
      </c>
      <c r="C3622" t="s">
        <v>114</v>
      </c>
      <c r="D3622" t="s">
        <v>18</v>
      </c>
      <c r="E3622" s="3">
        <v>19</v>
      </c>
      <c r="F3622" t="s">
        <v>19</v>
      </c>
      <c r="G3622" t="s">
        <v>73</v>
      </c>
      <c r="H3622" t="s">
        <v>27</v>
      </c>
      <c r="I3622" s="12">
        <v>0.74652777777777779</v>
      </c>
      <c r="J3622" t="s">
        <v>74</v>
      </c>
      <c r="K3622" t="s">
        <v>27</v>
      </c>
      <c r="L3622" s="12">
        <v>0.77430555555555558</v>
      </c>
      <c r="M3622" t="s">
        <v>63</v>
      </c>
      <c r="N3622" s="3">
        <v>232</v>
      </c>
      <c r="O3622" t="s">
        <v>24</v>
      </c>
      <c r="P3622" t="s">
        <v>56</v>
      </c>
      <c r="R3622">
        <f>tblDailySchedule[[#This Row],[Capacity Approx]]*'[1]Load Factor Sheet June Acft  '!$B$5</f>
        <v>187.86727272727273</v>
      </c>
      <c r="S3622">
        <f>tblDailySchedule[[#This Row],[Capacity Approx]]*'[1]Load Factor Sheet June Acft  '!$D$5</f>
        <v>203.4218181818182</v>
      </c>
      <c r="T3622" s="22">
        <f>tblDailySchedule[[#This Row],[STD]]</f>
        <v>0.77430555555555558</v>
      </c>
    </row>
    <row r="3623" spans="1:20" hidden="1" x14ac:dyDescent="0.35">
      <c r="A3623" s="11">
        <v>46240</v>
      </c>
      <c r="B3623" s="3">
        <v>4</v>
      </c>
      <c r="C3623" t="s">
        <v>114</v>
      </c>
      <c r="D3623" t="s">
        <v>18</v>
      </c>
      <c r="E3623" s="3">
        <v>21</v>
      </c>
      <c r="F3623" t="s">
        <v>19</v>
      </c>
      <c r="G3623" t="s">
        <v>81</v>
      </c>
      <c r="H3623" t="s">
        <v>61</v>
      </c>
      <c r="I3623" s="12">
        <v>0.77083333333333337</v>
      </c>
      <c r="J3623" t="s">
        <v>82</v>
      </c>
      <c r="K3623" t="s">
        <v>49</v>
      </c>
      <c r="L3623" s="12">
        <v>0.79166666666666663</v>
      </c>
      <c r="M3623" t="s">
        <v>33</v>
      </c>
      <c r="N3623" s="3">
        <v>189</v>
      </c>
      <c r="O3623" t="s">
        <v>24</v>
      </c>
      <c r="P3623" t="s">
        <v>79</v>
      </c>
      <c r="R3623">
        <f>tblDailySchedule[[#This Row],[Capacity Approx]]*'[1]Load Factor Sheet June Acft  '!$B$5</f>
        <v>153.04704545454547</v>
      </c>
      <c r="S3623">
        <f>tblDailySchedule[[#This Row],[Capacity Approx]]*'[1]Load Factor Sheet June Acft  '!$D$5</f>
        <v>165.71863636363636</v>
      </c>
      <c r="T3623" s="22">
        <f>tblDailySchedule[[#This Row],[STD]]</f>
        <v>0.79166666666666663</v>
      </c>
    </row>
    <row r="3624" spans="1:20" hidden="1" x14ac:dyDescent="0.35">
      <c r="A3624" s="11">
        <v>46240</v>
      </c>
      <c r="B3624" s="3">
        <v>4</v>
      </c>
      <c r="C3624" t="s">
        <v>114</v>
      </c>
      <c r="D3624" t="s">
        <v>18</v>
      </c>
      <c r="E3624" s="3">
        <v>22</v>
      </c>
      <c r="F3624" t="s">
        <v>19</v>
      </c>
      <c r="G3624" t="s">
        <v>83</v>
      </c>
      <c r="H3624" t="s">
        <v>31</v>
      </c>
      <c r="I3624" s="12">
        <v>0.77777777777777779</v>
      </c>
      <c r="J3624" t="s">
        <v>84</v>
      </c>
      <c r="K3624" t="s">
        <v>31</v>
      </c>
      <c r="L3624" s="12">
        <v>0.80555555555555558</v>
      </c>
      <c r="M3624" t="s">
        <v>63</v>
      </c>
      <c r="N3624" s="3">
        <v>232</v>
      </c>
      <c r="O3624" t="s">
        <v>24</v>
      </c>
      <c r="P3624" t="s">
        <v>79</v>
      </c>
      <c r="R3624">
        <f>tblDailySchedule[[#This Row],[Capacity Approx]]*'[1]Load Factor Sheet June Acft  '!$B$5</f>
        <v>187.86727272727273</v>
      </c>
      <c r="S3624">
        <f>tblDailySchedule[[#This Row],[Capacity Approx]]*'[1]Load Factor Sheet June Acft  '!$D$5</f>
        <v>203.4218181818182</v>
      </c>
      <c r="T3624" s="22">
        <f>tblDailySchedule[[#This Row],[STD]]</f>
        <v>0.80555555555555558</v>
      </c>
    </row>
    <row r="3625" spans="1:20" hidden="1" x14ac:dyDescent="0.35">
      <c r="A3625" s="11">
        <v>46240</v>
      </c>
      <c r="B3625" s="3">
        <v>4</v>
      </c>
      <c r="C3625" t="s">
        <v>114</v>
      </c>
      <c r="D3625" t="s">
        <v>18</v>
      </c>
      <c r="E3625" s="3">
        <v>23</v>
      </c>
      <c r="F3625" t="s">
        <v>19</v>
      </c>
      <c r="G3625" t="s">
        <v>85</v>
      </c>
      <c r="H3625" t="s">
        <v>86</v>
      </c>
      <c r="I3625" s="12">
        <v>0.79861111111111116</v>
      </c>
      <c r="J3625" t="s">
        <v>87</v>
      </c>
      <c r="K3625" t="s">
        <v>86</v>
      </c>
      <c r="L3625" s="12">
        <v>0.82638888888888884</v>
      </c>
      <c r="M3625" t="s">
        <v>63</v>
      </c>
      <c r="N3625" s="3">
        <v>232</v>
      </c>
      <c r="O3625" t="s">
        <v>24</v>
      </c>
      <c r="P3625" t="s">
        <v>79</v>
      </c>
      <c r="R3625">
        <f>tblDailySchedule[[#This Row],[Capacity Approx]]*'[1]Load Factor Sheet June Acft  '!$B$5</f>
        <v>187.86727272727273</v>
      </c>
      <c r="S3625">
        <f>tblDailySchedule[[#This Row],[Capacity Approx]]*'[1]Load Factor Sheet June Acft  '!$D$5</f>
        <v>203.4218181818182</v>
      </c>
      <c r="T3625" s="22">
        <f>tblDailySchedule[[#This Row],[STD]]</f>
        <v>0.82638888888888884</v>
      </c>
    </row>
    <row r="3626" spans="1:20" hidden="1" x14ac:dyDescent="0.35">
      <c r="A3626" s="11">
        <v>46240</v>
      </c>
      <c r="B3626" s="3">
        <v>4</v>
      </c>
      <c r="C3626" t="s">
        <v>114</v>
      </c>
      <c r="D3626" t="s">
        <v>18</v>
      </c>
      <c r="E3626" s="3">
        <v>24</v>
      </c>
      <c r="F3626" t="s">
        <v>19</v>
      </c>
      <c r="G3626" t="s">
        <v>88</v>
      </c>
      <c r="H3626" t="s">
        <v>89</v>
      </c>
      <c r="I3626" s="12">
        <v>0.83333333333333337</v>
      </c>
      <c r="J3626" t="s">
        <v>90</v>
      </c>
      <c r="K3626" t="s">
        <v>31</v>
      </c>
      <c r="L3626" s="12">
        <v>0.86111111111111116</v>
      </c>
      <c r="M3626" t="s">
        <v>63</v>
      </c>
      <c r="N3626" s="3">
        <v>232</v>
      </c>
      <c r="O3626" t="s">
        <v>24</v>
      </c>
      <c r="P3626" t="s">
        <v>79</v>
      </c>
      <c r="R3626">
        <f>tblDailySchedule[[#This Row],[Capacity Approx]]*'[1]Load Factor Sheet June Acft  '!$B$5</f>
        <v>187.86727272727273</v>
      </c>
      <c r="S3626">
        <f>tblDailySchedule[[#This Row],[Capacity Approx]]*'[1]Load Factor Sheet June Acft  '!$D$5</f>
        <v>203.4218181818182</v>
      </c>
      <c r="T3626" s="22">
        <f>tblDailySchedule[[#This Row],[STD]]</f>
        <v>0.86111111111111116</v>
      </c>
    </row>
    <row r="3627" spans="1:20" hidden="1" x14ac:dyDescent="0.35">
      <c r="A3627" s="11">
        <v>46240</v>
      </c>
      <c r="B3627" s="3">
        <v>4</v>
      </c>
      <c r="C3627" t="s">
        <v>114</v>
      </c>
      <c r="D3627" t="s">
        <v>18</v>
      </c>
      <c r="E3627" s="3">
        <v>25</v>
      </c>
      <c r="F3627" t="s">
        <v>19</v>
      </c>
      <c r="G3627" t="s">
        <v>91</v>
      </c>
      <c r="H3627" t="s">
        <v>61</v>
      </c>
      <c r="I3627" s="12">
        <v>0.85416666666666663</v>
      </c>
      <c r="J3627" t="s">
        <v>92</v>
      </c>
      <c r="K3627" t="s">
        <v>61</v>
      </c>
      <c r="L3627" s="12">
        <v>0.88194444444444442</v>
      </c>
      <c r="M3627" t="s">
        <v>63</v>
      </c>
      <c r="N3627" s="3">
        <v>232</v>
      </c>
      <c r="O3627" t="s">
        <v>24</v>
      </c>
      <c r="P3627" t="s">
        <v>79</v>
      </c>
      <c r="R3627">
        <f>tblDailySchedule[[#This Row],[Capacity Approx]]*'[1]Load Factor Sheet June Acft  '!$B$5</f>
        <v>187.86727272727273</v>
      </c>
      <c r="S3627">
        <f>tblDailySchedule[[#This Row],[Capacity Approx]]*'[1]Load Factor Sheet June Acft  '!$D$5</f>
        <v>203.4218181818182</v>
      </c>
      <c r="T3627" s="22">
        <f>tblDailySchedule[[#This Row],[STD]]</f>
        <v>0.88194444444444442</v>
      </c>
    </row>
    <row r="3628" spans="1:20" hidden="1" x14ac:dyDescent="0.35">
      <c r="A3628" s="11">
        <v>46240</v>
      </c>
      <c r="B3628" s="3">
        <v>4</v>
      </c>
      <c r="C3628" t="s">
        <v>114</v>
      </c>
      <c r="D3628" t="s">
        <v>18</v>
      </c>
      <c r="E3628" s="3">
        <v>26</v>
      </c>
      <c r="F3628" t="s">
        <v>19</v>
      </c>
      <c r="G3628" t="s">
        <v>93</v>
      </c>
      <c r="H3628" t="s">
        <v>31</v>
      </c>
      <c r="I3628" s="12">
        <v>0.86111111111111116</v>
      </c>
      <c r="J3628" t="s">
        <v>94</v>
      </c>
      <c r="K3628" t="s">
        <v>31</v>
      </c>
      <c r="L3628" s="12">
        <v>0.88888888888888884</v>
      </c>
      <c r="M3628" t="s">
        <v>23</v>
      </c>
      <c r="N3628" s="3">
        <v>186</v>
      </c>
      <c r="O3628" t="s">
        <v>24</v>
      </c>
      <c r="P3628" t="s">
        <v>79</v>
      </c>
      <c r="R3628">
        <f>tblDailySchedule[[#This Row],[Capacity Approx]]*'[1]Load Factor Sheet June Acft  '!$B$5</f>
        <v>150.61772727272728</v>
      </c>
      <c r="S3628">
        <f>tblDailySchedule[[#This Row],[Capacity Approx]]*'[1]Load Factor Sheet June Acft  '!$D$5</f>
        <v>163.08818181818182</v>
      </c>
      <c r="T3628" s="22">
        <f>tblDailySchedule[[#This Row],[STD]]</f>
        <v>0.88888888888888884</v>
      </c>
    </row>
    <row r="3629" spans="1:20" hidden="1" x14ac:dyDescent="0.35">
      <c r="A3629" s="11">
        <v>46240</v>
      </c>
      <c r="B3629" s="3">
        <v>4</v>
      </c>
      <c r="C3629" t="s">
        <v>114</v>
      </c>
      <c r="D3629" t="s">
        <v>18</v>
      </c>
      <c r="E3629" s="3">
        <v>27</v>
      </c>
      <c r="F3629" t="s">
        <v>19</v>
      </c>
      <c r="G3629" t="s">
        <v>95</v>
      </c>
      <c r="H3629" t="s">
        <v>21</v>
      </c>
      <c r="I3629" s="12">
        <v>0.86805555555555558</v>
      </c>
      <c r="J3629" t="s">
        <v>96</v>
      </c>
      <c r="K3629" t="s">
        <v>21</v>
      </c>
      <c r="L3629" s="12">
        <v>0.89583333333333337</v>
      </c>
      <c r="M3629" t="s">
        <v>29</v>
      </c>
      <c r="N3629" s="3">
        <v>186</v>
      </c>
      <c r="O3629" t="s">
        <v>24</v>
      </c>
      <c r="P3629" t="s">
        <v>79</v>
      </c>
      <c r="R3629">
        <f>tblDailySchedule[[#This Row],[Capacity Approx]]*'[1]Load Factor Sheet June Acft  '!$B$5</f>
        <v>150.61772727272728</v>
      </c>
      <c r="S3629">
        <f>tblDailySchedule[[#This Row],[Capacity Approx]]*'[1]Load Factor Sheet June Acft  '!$D$5</f>
        <v>163.08818181818182</v>
      </c>
      <c r="T3629" s="22">
        <f>tblDailySchedule[[#This Row],[STD]]</f>
        <v>0.89583333333333337</v>
      </c>
    </row>
    <row r="3630" spans="1:20" hidden="1" x14ac:dyDescent="0.35">
      <c r="A3630" s="11">
        <v>46240</v>
      </c>
      <c r="B3630" s="3">
        <v>4</v>
      </c>
      <c r="C3630" t="s">
        <v>114</v>
      </c>
      <c r="D3630" t="s">
        <v>18</v>
      </c>
      <c r="E3630" s="3">
        <v>28</v>
      </c>
      <c r="F3630" t="s">
        <v>19</v>
      </c>
      <c r="G3630" t="s">
        <v>97</v>
      </c>
      <c r="H3630" t="s">
        <v>49</v>
      </c>
      <c r="I3630" s="12">
        <v>0.90277777777777779</v>
      </c>
      <c r="J3630" t="s">
        <v>97</v>
      </c>
      <c r="K3630" t="s">
        <v>61</v>
      </c>
      <c r="L3630" s="12">
        <v>0.92361111111111116</v>
      </c>
      <c r="M3630" t="s">
        <v>33</v>
      </c>
      <c r="N3630" s="3">
        <v>189</v>
      </c>
      <c r="O3630" t="s">
        <v>24</v>
      </c>
      <c r="P3630" t="s">
        <v>79</v>
      </c>
      <c r="R3630">
        <f>tblDailySchedule[[#This Row],[Capacity Approx]]*'[1]Load Factor Sheet June Acft  '!$B$5</f>
        <v>153.04704545454547</v>
      </c>
      <c r="S3630">
        <f>tblDailySchedule[[#This Row],[Capacity Approx]]*'[1]Load Factor Sheet June Acft  '!$D$5</f>
        <v>165.71863636363636</v>
      </c>
      <c r="T3630" s="22">
        <f>tblDailySchedule[[#This Row],[STD]]</f>
        <v>0.92361111111111116</v>
      </c>
    </row>
    <row r="3631" spans="1:20" hidden="1" x14ac:dyDescent="0.35">
      <c r="A3631" s="11">
        <v>46240</v>
      </c>
      <c r="B3631" s="3">
        <v>4</v>
      </c>
      <c r="C3631" t="s">
        <v>114</v>
      </c>
      <c r="D3631" t="s">
        <v>18</v>
      </c>
      <c r="E3631" s="3">
        <v>29</v>
      </c>
      <c r="F3631" t="s">
        <v>19</v>
      </c>
      <c r="G3631" t="s">
        <v>98</v>
      </c>
      <c r="H3631" t="s">
        <v>21</v>
      </c>
      <c r="I3631" s="12">
        <v>0.92013888888888884</v>
      </c>
      <c r="J3631" t="s">
        <v>99</v>
      </c>
      <c r="K3631" t="s">
        <v>21</v>
      </c>
      <c r="L3631" s="12">
        <v>0.94791666666666663</v>
      </c>
      <c r="M3631" t="s">
        <v>63</v>
      </c>
      <c r="N3631" s="3">
        <v>232</v>
      </c>
      <c r="O3631" t="s">
        <v>24</v>
      </c>
      <c r="P3631" t="s">
        <v>79</v>
      </c>
      <c r="R3631">
        <f>tblDailySchedule[[#This Row],[Capacity Approx]]*'[1]Load Factor Sheet June Acft  '!$B$5</f>
        <v>187.86727272727273</v>
      </c>
      <c r="S3631">
        <f>tblDailySchedule[[#This Row],[Capacity Approx]]*'[1]Load Factor Sheet June Acft  '!$D$5</f>
        <v>203.4218181818182</v>
      </c>
      <c r="T3631" s="22">
        <f>tblDailySchedule[[#This Row],[STD]]</f>
        <v>0.94791666666666663</v>
      </c>
    </row>
    <row r="3632" spans="1:20" hidden="1" x14ac:dyDescent="0.35">
      <c r="A3632" s="11">
        <v>46241</v>
      </c>
      <c r="B3632" s="3">
        <v>5</v>
      </c>
      <c r="C3632" t="s">
        <v>115</v>
      </c>
      <c r="D3632" t="s">
        <v>18</v>
      </c>
      <c r="E3632" s="3">
        <v>2</v>
      </c>
      <c r="F3632" t="s">
        <v>19</v>
      </c>
      <c r="G3632" t="s">
        <v>20</v>
      </c>
      <c r="H3632" t="s">
        <v>21</v>
      </c>
      <c r="I3632" s="12">
        <v>0.31944444444444442</v>
      </c>
      <c r="J3632" t="s">
        <v>22</v>
      </c>
      <c r="K3632" t="s">
        <v>21</v>
      </c>
      <c r="L3632" s="12">
        <v>0.34722222222222221</v>
      </c>
      <c r="M3632" t="s">
        <v>23</v>
      </c>
      <c r="N3632" s="3">
        <v>186</v>
      </c>
      <c r="O3632" t="s">
        <v>24</v>
      </c>
      <c r="P3632" t="s">
        <v>25</v>
      </c>
      <c r="R3632">
        <f>tblDailySchedule[[#This Row],[Capacity Approx]]*'[1]Load Factor Sheet June Acft  '!$B$5</f>
        <v>150.61772727272728</v>
      </c>
      <c r="S3632">
        <f>tblDailySchedule[[#This Row],[Capacity Approx]]*'[1]Load Factor Sheet June Acft  '!$D$5</f>
        <v>163.08818181818182</v>
      </c>
      <c r="T3632" s="22">
        <f>tblDailySchedule[[#This Row],[STD]]</f>
        <v>0.34722222222222221</v>
      </c>
    </row>
    <row r="3633" spans="1:20" hidden="1" x14ac:dyDescent="0.35">
      <c r="A3633" s="11">
        <v>46241</v>
      </c>
      <c r="B3633" s="3">
        <v>5</v>
      </c>
      <c r="C3633" t="s">
        <v>115</v>
      </c>
      <c r="D3633" t="s">
        <v>18</v>
      </c>
      <c r="E3633" s="3">
        <v>3</v>
      </c>
      <c r="F3633" t="s">
        <v>19</v>
      </c>
      <c r="G3633" t="s">
        <v>26</v>
      </c>
      <c r="H3633" t="s">
        <v>27</v>
      </c>
      <c r="I3633" s="12">
        <v>0.3263888888888889</v>
      </c>
      <c r="J3633" t="s">
        <v>28</v>
      </c>
      <c r="K3633" t="s">
        <v>27</v>
      </c>
      <c r="L3633" s="12">
        <v>0.35416666666666669</v>
      </c>
      <c r="M3633" t="s">
        <v>29</v>
      </c>
      <c r="N3633" s="3">
        <v>186</v>
      </c>
      <c r="O3633" t="s">
        <v>24</v>
      </c>
      <c r="P3633" t="s">
        <v>25</v>
      </c>
      <c r="R3633">
        <f>tblDailySchedule[[#This Row],[Capacity Approx]]*'[1]Load Factor Sheet June Acft  '!$B$5</f>
        <v>150.61772727272728</v>
      </c>
      <c r="S3633">
        <f>tblDailySchedule[[#This Row],[Capacity Approx]]*'[1]Load Factor Sheet June Acft  '!$D$5</f>
        <v>163.08818181818182</v>
      </c>
      <c r="T3633" s="22">
        <f>tblDailySchedule[[#This Row],[STD]]</f>
        <v>0.35416666666666669</v>
      </c>
    </row>
    <row r="3634" spans="1:20" hidden="1" x14ac:dyDescent="0.35">
      <c r="A3634" s="11">
        <v>46241</v>
      </c>
      <c r="B3634" s="3">
        <v>5</v>
      </c>
      <c r="C3634" t="s">
        <v>115</v>
      </c>
      <c r="D3634" t="s">
        <v>18</v>
      </c>
      <c r="E3634" s="3">
        <v>4</v>
      </c>
      <c r="F3634" t="s">
        <v>19</v>
      </c>
      <c r="G3634" t="s">
        <v>30</v>
      </c>
      <c r="H3634" t="s">
        <v>31</v>
      </c>
      <c r="I3634" s="12">
        <v>0.34722222222222221</v>
      </c>
      <c r="J3634" t="s">
        <v>32</v>
      </c>
      <c r="K3634" t="s">
        <v>31</v>
      </c>
      <c r="L3634" s="12">
        <v>0.36805555555555558</v>
      </c>
      <c r="M3634" t="s">
        <v>33</v>
      </c>
      <c r="N3634" s="3">
        <v>189</v>
      </c>
      <c r="O3634" t="s">
        <v>24</v>
      </c>
      <c r="P3634" t="s">
        <v>25</v>
      </c>
      <c r="R3634">
        <f>tblDailySchedule[[#This Row],[Capacity Approx]]*'[1]Load Factor Sheet June Acft  '!$B$5</f>
        <v>153.04704545454547</v>
      </c>
      <c r="S3634">
        <f>tblDailySchedule[[#This Row],[Capacity Approx]]*'[1]Load Factor Sheet June Acft  '!$D$5</f>
        <v>165.71863636363636</v>
      </c>
      <c r="T3634" s="22">
        <f>tblDailySchedule[[#This Row],[STD]]</f>
        <v>0.36805555555555558</v>
      </c>
    </row>
    <row r="3635" spans="1:20" hidden="1" x14ac:dyDescent="0.35">
      <c r="A3635" s="13">
        <v>46241</v>
      </c>
      <c r="B3635" s="7">
        <v>5</v>
      </c>
      <c r="C3635" s="14" t="s">
        <v>115</v>
      </c>
      <c r="D3635" s="14" t="s">
        <v>18</v>
      </c>
      <c r="E3635" s="7">
        <v>6</v>
      </c>
      <c r="F3635" s="14" t="s">
        <v>34</v>
      </c>
      <c r="G3635" s="14" t="s">
        <v>35</v>
      </c>
      <c r="H3635" s="14" t="s">
        <v>36</v>
      </c>
      <c r="I3635" s="15">
        <v>0.34722222222222221</v>
      </c>
      <c r="J3635" s="14" t="s">
        <v>37</v>
      </c>
      <c r="K3635" s="14" t="s">
        <v>36</v>
      </c>
      <c r="L3635" s="15">
        <v>0.40972222222222221</v>
      </c>
      <c r="M3635" s="14" t="s">
        <v>38</v>
      </c>
      <c r="N3635" s="7">
        <v>186</v>
      </c>
      <c r="O3635" s="14" t="s">
        <v>39</v>
      </c>
      <c r="P3635" s="14" t="s">
        <v>25</v>
      </c>
      <c r="Q3635" s="14" t="s">
        <v>39</v>
      </c>
      <c r="R3635">
        <f>tblDailySchedule[[#This Row],[Capacity Approx]]*'[1]Load Factor Sheet June Acft  '!$B$5</f>
        <v>150.61772727272728</v>
      </c>
      <c r="S3635">
        <f>tblDailySchedule[[#This Row],[Capacity Approx]]*'[1]Load Factor Sheet June Acft  '!$D$5</f>
        <v>163.08818181818182</v>
      </c>
      <c r="T3635" s="22">
        <f>tblDailySchedule[[#This Row],[STD]]</f>
        <v>0.40972222222222221</v>
      </c>
    </row>
    <row r="3636" spans="1:20" hidden="1" x14ac:dyDescent="0.35">
      <c r="A3636" s="11">
        <v>46241</v>
      </c>
      <c r="B3636" s="3">
        <v>5</v>
      </c>
      <c r="C3636" t="s">
        <v>115</v>
      </c>
      <c r="D3636" t="s">
        <v>18</v>
      </c>
      <c r="E3636" s="3">
        <v>5</v>
      </c>
      <c r="F3636" t="s">
        <v>19</v>
      </c>
      <c r="G3636" t="s">
        <v>40</v>
      </c>
      <c r="H3636" t="s">
        <v>31</v>
      </c>
      <c r="I3636" s="12">
        <v>0.35069444444444442</v>
      </c>
      <c r="J3636" t="s">
        <v>41</v>
      </c>
      <c r="K3636" t="s">
        <v>31</v>
      </c>
      <c r="L3636" s="12">
        <v>0.37152777777777779</v>
      </c>
      <c r="M3636" t="s">
        <v>23</v>
      </c>
      <c r="N3636" s="3">
        <v>186</v>
      </c>
      <c r="O3636" t="s">
        <v>24</v>
      </c>
      <c r="P3636" t="s">
        <v>25</v>
      </c>
      <c r="R3636">
        <f>tblDailySchedule[[#This Row],[Capacity Approx]]*'[1]Load Factor Sheet June Acft  '!$B$5</f>
        <v>150.61772727272728</v>
      </c>
      <c r="S3636">
        <f>tblDailySchedule[[#This Row],[Capacity Approx]]*'[1]Load Factor Sheet June Acft  '!$D$5</f>
        <v>163.08818181818182</v>
      </c>
      <c r="T3636" s="22">
        <f>tblDailySchedule[[#This Row],[STD]]</f>
        <v>0.37152777777777779</v>
      </c>
    </row>
    <row r="3637" spans="1:20" hidden="1" x14ac:dyDescent="0.35">
      <c r="A3637" s="11">
        <v>46241</v>
      </c>
      <c r="B3637" s="3">
        <v>5</v>
      </c>
      <c r="C3637" t="s">
        <v>115</v>
      </c>
      <c r="D3637" t="s">
        <v>18</v>
      </c>
      <c r="E3637" s="3">
        <v>7</v>
      </c>
      <c r="F3637" t="s">
        <v>19</v>
      </c>
      <c r="G3637" t="s">
        <v>42</v>
      </c>
      <c r="H3637" t="s">
        <v>43</v>
      </c>
      <c r="I3637" s="12">
        <v>0.3923611111111111</v>
      </c>
      <c r="J3637" t="s">
        <v>44</v>
      </c>
      <c r="K3637" t="s">
        <v>43</v>
      </c>
      <c r="L3637" s="12">
        <v>0.40277777777777779</v>
      </c>
      <c r="M3637" t="s">
        <v>45</v>
      </c>
      <c r="N3637" s="3">
        <v>9</v>
      </c>
      <c r="O3637" t="s">
        <v>24</v>
      </c>
      <c r="P3637" t="s">
        <v>25</v>
      </c>
      <c r="R3637">
        <f>tblDailySchedule[[#This Row],[Capacity Approx]]*'[1]Load Factor Sheet June Acft  '!$B$5</f>
        <v>7.2879545454545456</v>
      </c>
      <c r="S3637">
        <f>tblDailySchedule[[#This Row],[Capacity Approx]]*'[1]Load Factor Sheet June Acft  '!$D$5</f>
        <v>7.8913636363636366</v>
      </c>
      <c r="T3637" s="22">
        <f>tblDailySchedule[[#This Row],[STD]]</f>
        <v>0.40277777777777779</v>
      </c>
    </row>
    <row r="3638" spans="1:20" hidden="1" x14ac:dyDescent="0.35">
      <c r="A3638" s="11">
        <v>46241</v>
      </c>
      <c r="B3638" s="3">
        <v>5</v>
      </c>
      <c r="C3638" t="s">
        <v>115</v>
      </c>
      <c r="D3638" t="s">
        <v>18</v>
      </c>
      <c r="E3638" s="3">
        <v>8</v>
      </c>
      <c r="F3638" t="s">
        <v>19</v>
      </c>
      <c r="G3638" t="s">
        <v>46</v>
      </c>
      <c r="H3638" t="s">
        <v>31</v>
      </c>
      <c r="I3638" s="12">
        <v>0.4201388888888889</v>
      </c>
      <c r="J3638" t="s">
        <v>47</v>
      </c>
      <c r="K3638" t="s">
        <v>31</v>
      </c>
      <c r="L3638" s="12">
        <v>0.44444444444444442</v>
      </c>
      <c r="M3638" t="s">
        <v>29</v>
      </c>
      <c r="N3638" s="3">
        <v>186</v>
      </c>
      <c r="O3638" t="s">
        <v>24</v>
      </c>
      <c r="P3638" t="s">
        <v>25</v>
      </c>
      <c r="R3638">
        <f>tblDailySchedule[[#This Row],[Capacity Approx]]*'[1]Load Factor Sheet June Acft  '!$B$5</f>
        <v>150.61772727272728</v>
      </c>
      <c r="S3638">
        <f>tblDailySchedule[[#This Row],[Capacity Approx]]*'[1]Load Factor Sheet June Acft  '!$D$5</f>
        <v>163.08818181818182</v>
      </c>
      <c r="T3638" s="22">
        <f>tblDailySchedule[[#This Row],[STD]]</f>
        <v>0.44444444444444442</v>
      </c>
    </row>
    <row r="3639" spans="1:20" hidden="1" x14ac:dyDescent="0.35">
      <c r="A3639" s="11">
        <v>46241</v>
      </c>
      <c r="B3639" s="3">
        <v>5</v>
      </c>
      <c r="C3639" t="s">
        <v>115</v>
      </c>
      <c r="D3639" t="s">
        <v>18</v>
      </c>
      <c r="E3639" s="3">
        <v>9</v>
      </c>
      <c r="F3639" t="s">
        <v>19</v>
      </c>
      <c r="G3639" t="s">
        <v>48</v>
      </c>
      <c r="H3639" t="s">
        <v>49</v>
      </c>
      <c r="I3639" s="12">
        <v>0.4375</v>
      </c>
      <c r="J3639" t="s">
        <v>50</v>
      </c>
      <c r="K3639" t="s">
        <v>49</v>
      </c>
      <c r="L3639" s="12">
        <v>0.45833333333333331</v>
      </c>
      <c r="M3639" t="s">
        <v>51</v>
      </c>
      <c r="N3639" s="3">
        <v>78</v>
      </c>
      <c r="O3639" t="s">
        <v>24</v>
      </c>
      <c r="P3639" t="s">
        <v>25</v>
      </c>
      <c r="R3639">
        <f>tblDailySchedule[[#This Row],[Capacity Approx]]*'[1]Load Factor Sheet June Acft  '!$B$5</f>
        <v>63.162272727272729</v>
      </c>
      <c r="S3639">
        <f>tblDailySchedule[[#This Row],[Capacity Approx]]*'[1]Load Factor Sheet June Acft  '!$D$5</f>
        <v>68.391818181818181</v>
      </c>
      <c r="T3639" s="22">
        <f>tblDailySchedule[[#This Row],[STD]]</f>
        <v>0.45833333333333331</v>
      </c>
    </row>
    <row r="3640" spans="1:20" hidden="1" x14ac:dyDescent="0.35">
      <c r="A3640" s="11">
        <v>46241</v>
      </c>
      <c r="B3640" s="3">
        <v>5</v>
      </c>
      <c r="C3640" t="s">
        <v>115</v>
      </c>
      <c r="D3640" t="s">
        <v>18</v>
      </c>
      <c r="E3640" s="3">
        <v>10</v>
      </c>
      <c r="F3640" t="s">
        <v>19</v>
      </c>
      <c r="G3640" t="s">
        <v>52</v>
      </c>
      <c r="H3640" t="s">
        <v>27</v>
      </c>
      <c r="I3640" s="12">
        <v>0.4826388888888889</v>
      </c>
      <c r="J3640" t="s">
        <v>53</v>
      </c>
      <c r="K3640" t="s">
        <v>27</v>
      </c>
      <c r="L3640" s="12">
        <v>0.51041666666666663</v>
      </c>
      <c r="M3640" t="s">
        <v>23</v>
      </c>
      <c r="N3640" s="3">
        <v>186</v>
      </c>
      <c r="O3640" t="s">
        <v>24</v>
      </c>
      <c r="P3640" t="s">
        <v>25</v>
      </c>
      <c r="R3640">
        <f>tblDailySchedule[[#This Row],[Capacity Approx]]*'[1]Load Factor Sheet June Acft  '!$B$5</f>
        <v>150.61772727272728</v>
      </c>
      <c r="S3640">
        <f>tblDailySchedule[[#This Row],[Capacity Approx]]*'[1]Load Factor Sheet June Acft  '!$D$5</f>
        <v>163.08818181818182</v>
      </c>
      <c r="T3640" s="22">
        <f>tblDailySchedule[[#This Row],[STD]]</f>
        <v>0.51041666666666663</v>
      </c>
    </row>
    <row r="3641" spans="1:20" hidden="1" x14ac:dyDescent="0.35">
      <c r="A3641" s="11">
        <v>46241</v>
      </c>
      <c r="B3641" s="3">
        <v>5</v>
      </c>
      <c r="C3641" t="s">
        <v>115</v>
      </c>
      <c r="D3641" t="s">
        <v>18</v>
      </c>
      <c r="E3641" s="3">
        <v>11</v>
      </c>
      <c r="F3641" t="s">
        <v>19</v>
      </c>
      <c r="G3641" t="s">
        <v>54</v>
      </c>
      <c r="H3641" t="s">
        <v>31</v>
      </c>
      <c r="I3641" s="12">
        <v>0.51388888888888884</v>
      </c>
      <c r="J3641" t="s">
        <v>55</v>
      </c>
      <c r="K3641" t="s">
        <v>31</v>
      </c>
      <c r="L3641" s="12">
        <v>0.54166666666666663</v>
      </c>
      <c r="M3641" t="s">
        <v>23</v>
      </c>
      <c r="N3641" s="3">
        <v>186</v>
      </c>
      <c r="O3641" t="s">
        <v>24</v>
      </c>
      <c r="P3641" t="s">
        <v>56</v>
      </c>
      <c r="R3641">
        <f>tblDailySchedule[[#This Row],[Capacity Approx]]*'[1]Load Factor Sheet June Acft  '!$B$5</f>
        <v>150.61772727272728</v>
      </c>
      <c r="S3641">
        <f>tblDailySchedule[[#This Row],[Capacity Approx]]*'[1]Load Factor Sheet June Acft  '!$D$5</f>
        <v>163.08818181818182</v>
      </c>
      <c r="T3641" s="22">
        <f>tblDailySchedule[[#This Row],[STD]]</f>
        <v>0.54166666666666663</v>
      </c>
    </row>
    <row r="3642" spans="1:20" hidden="1" x14ac:dyDescent="0.35">
      <c r="A3642" s="11">
        <v>46241</v>
      </c>
      <c r="B3642" s="3">
        <v>5</v>
      </c>
      <c r="C3642" t="s">
        <v>115</v>
      </c>
      <c r="D3642" t="s">
        <v>18</v>
      </c>
      <c r="E3642" s="3">
        <v>13</v>
      </c>
      <c r="F3642" t="s">
        <v>19</v>
      </c>
      <c r="G3642" t="s">
        <v>57</v>
      </c>
      <c r="H3642" t="s">
        <v>58</v>
      </c>
      <c r="I3642" s="12">
        <v>0.55902777777777779</v>
      </c>
      <c r="J3642" t="s">
        <v>59</v>
      </c>
      <c r="K3642" t="s">
        <v>58</v>
      </c>
      <c r="L3642" s="12">
        <v>0.57638888888888884</v>
      </c>
      <c r="M3642" t="s">
        <v>51</v>
      </c>
      <c r="N3642" s="3">
        <v>78</v>
      </c>
      <c r="O3642" t="s">
        <v>24</v>
      </c>
      <c r="P3642" t="s">
        <v>56</v>
      </c>
      <c r="R3642">
        <f>tblDailySchedule[[#This Row],[Capacity Approx]]*'[1]Load Factor Sheet June Acft  '!$B$5</f>
        <v>63.162272727272729</v>
      </c>
      <c r="S3642">
        <f>tblDailySchedule[[#This Row],[Capacity Approx]]*'[1]Load Factor Sheet June Acft  '!$D$5</f>
        <v>68.391818181818181</v>
      </c>
      <c r="T3642" s="22">
        <f>tblDailySchedule[[#This Row],[STD]]</f>
        <v>0.57638888888888884</v>
      </c>
    </row>
    <row r="3643" spans="1:20" hidden="1" x14ac:dyDescent="0.35">
      <c r="A3643" s="11">
        <v>46241</v>
      </c>
      <c r="B3643" s="3">
        <v>5</v>
      </c>
      <c r="C3643" t="s">
        <v>115</v>
      </c>
      <c r="D3643" t="s">
        <v>18</v>
      </c>
      <c r="E3643" s="3">
        <v>14</v>
      </c>
      <c r="F3643" t="s">
        <v>19</v>
      </c>
      <c r="G3643" t="s">
        <v>60</v>
      </c>
      <c r="H3643" t="s">
        <v>61</v>
      </c>
      <c r="I3643" s="12">
        <v>0.59027777777777779</v>
      </c>
      <c r="J3643" t="s">
        <v>62</v>
      </c>
      <c r="K3643" t="s">
        <v>61</v>
      </c>
      <c r="L3643" s="12">
        <v>0.62152777777777779</v>
      </c>
      <c r="M3643" t="s">
        <v>63</v>
      </c>
      <c r="N3643" s="3">
        <v>232</v>
      </c>
      <c r="O3643" t="s">
        <v>24</v>
      </c>
      <c r="P3643" t="s">
        <v>56</v>
      </c>
      <c r="R3643">
        <f>tblDailySchedule[[#This Row],[Capacity Approx]]*'[1]Load Factor Sheet June Acft  '!$B$5</f>
        <v>187.86727272727273</v>
      </c>
      <c r="S3643">
        <f>tblDailySchedule[[#This Row],[Capacity Approx]]*'[1]Load Factor Sheet June Acft  '!$D$5</f>
        <v>203.4218181818182</v>
      </c>
      <c r="T3643" s="22">
        <f>tblDailySchedule[[#This Row],[STD]]</f>
        <v>0.62152777777777779</v>
      </c>
    </row>
    <row r="3644" spans="1:20" hidden="1" x14ac:dyDescent="0.35">
      <c r="A3644" s="11">
        <v>46241</v>
      </c>
      <c r="B3644" s="3">
        <v>5</v>
      </c>
      <c r="C3644" t="s">
        <v>115</v>
      </c>
      <c r="D3644" t="s">
        <v>18</v>
      </c>
      <c r="E3644" s="3">
        <v>15</v>
      </c>
      <c r="F3644" t="s">
        <v>19</v>
      </c>
      <c r="G3644" t="s">
        <v>64</v>
      </c>
      <c r="H3644" t="s">
        <v>31</v>
      </c>
      <c r="I3644" s="12">
        <v>0.60069444444444442</v>
      </c>
      <c r="J3644" t="s">
        <v>65</v>
      </c>
      <c r="K3644" t="s">
        <v>66</v>
      </c>
      <c r="L3644" s="12">
        <v>0.62847222222222221</v>
      </c>
      <c r="M3644" t="s">
        <v>63</v>
      </c>
      <c r="N3644" s="3">
        <v>232</v>
      </c>
      <c r="O3644" t="s">
        <v>24</v>
      </c>
      <c r="P3644" t="s">
        <v>56</v>
      </c>
      <c r="R3644">
        <f>tblDailySchedule[[#This Row],[Capacity Approx]]*'[1]Load Factor Sheet June Acft  '!$B$5</f>
        <v>187.86727272727273</v>
      </c>
      <c r="S3644">
        <f>tblDailySchedule[[#This Row],[Capacity Approx]]*'[1]Load Factor Sheet June Acft  '!$D$5</f>
        <v>203.4218181818182</v>
      </c>
      <c r="T3644" s="22">
        <f>tblDailySchedule[[#This Row],[STD]]</f>
        <v>0.62847222222222221</v>
      </c>
    </row>
    <row r="3645" spans="1:20" hidden="1" x14ac:dyDescent="0.35">
      <c r="A3645" s="11">
        <v>46241</v>
      </c>
      <c r="B3645" s="3">
        <v>5</v>
      </c>
      <c r="C3645" t="s">
        <v>115</v>
      </c>
      <c r="D3645" t="s">
        <v>18</v>
      </c>
      <c r="E3645" s="3">
        <v>16</v>
      </c>
      <c r="F3645" t="s">
        <v>19</v>
      </c>
      <c r="G3645" t="s">
        <v>67</v>
      </c>
      <c r="H3645" t="s">
        <v>31</v>
      </c>
      <c r="I3645" s="12">
        <v>0.65625</v>
      </c>
      <c r="J3645" t="s">
        <v>68</v>
      </c>
      <c r="K3645" t="s">
        <v>31</v>
      </c>
      <c r="L3645" s="12">
        <v>0.68402777777777779</v>
      </c>
      <c r="M3645" t="s">
        <v>63</v>
      </c>
      <c r="N3645" s="3">
        <v>232</v>
      </c>
      <c r="O3645" t="s">
        <v>24</v>
      </c>
      <c r="P3645" t="s">
        <v>56</v>
      </c>
      <c r="R3645">
        <f>tblDailySchedule[[#This Row],[Capacity Approx]]*'[1]Load Factor Sheet June Acft  '!$B$5</f>
        <v>187.86727272727273</v>
      </c>
      <c r="S3645">
        <f>tblDailySchedule[[#This Row],[Capacity Approx]]*'[1]Load Factor Sheet June Acft  '!$D$5</f>
        <v>203.4218181818182</v>
      </c>
      <c r="T3645" s="22">
        <f>tblDailySchedule[[#This Row],[STD]]</f>
        <v>0.68402777777777779</v>
      </c>
    </row>
    <row r="3646" spans="1:20" hidden="1" x14ac:dyDescent="0.35">
      <c r="A3646" s="11">
        <v>46241</v>
      </c>
      <c r="B3646" s="3">
        <v>5</v>
      </c>
      <c r="C3646" t="s">
        <v>115</v>
      </c>
      <c r="D3646" t="s">
        <v>18</v>
      </c>
      <c r="E3646" s="3">
        <v>17</v>
      </c>
      <c r="F3646" t="s">
        <v>19</v>
      </c>
      <c r="G3646" t="s">
        <v>69</v>
      </c>
      <c r="H3646" t="s">
        <v>31</v>
      </c>
      <c r="I3646" s="12">
        <v>0.66319444444444442</v>
      </c>
      <c r="J3646" t="s">
        <v>70</v>
      </c>
      <c r="K3646" t="s">
        <v>31</v>
      </c>
      <c r="L3646" s="12">
        <v>0.69097222222222221</v>
      </c>
      <c r="M3646" t="s">
        <v>33</v>
      </c>
      <c r="N3646" s="3">
        <v>189</v>
      </c>
      <c r="O3646" t="s">
        <v>24</v>
      </c>
      <c r="P3646" t="s">
        <v>56</v>
      </c>
      <c r="R3646">
        <f>tblDailySchedule[[#This Row],[Capacity Approx]]*'[1]Load Factor Sheet June Acft  '!$B$5</f>
        <v>153.04704545454547</v>
      </c>
      <c r="S3646">
        <f>tblDailySchedule[[#This Row],[Capacity Approx]]*'[1]Load Factor Sheet June Acft  '!$D$5</f>
        <v>165.71863636363636</v>
      </c>
      <c r="T3646" s="22">
        <f>tblDailySchedule[[#This Row],[STD]]</f>
        <v>0.69097222222222221</v>
      </c>
    </row>
    <row r="3647" spans="1:20" hidden="1" x14ac:dyDescent="0.35">
      <c r="A3647" s="11">
        <v>46241</v>
      </c>
      <c r="B3647" s="3">
        <v>5</v>
      </c>
      <c r="C3647" t="s">
        <v>115</v>
      </c>
      <c r="D3647" t="s">
        <v>18</v>
      </c>
      <c r="E3647" s="3">
        <v>18</v>
      </c>
      <c r="F3647" t="s">
        <v>19</v>
      </c>
      <c r="G3647" t="s">
        <v>71</v>
      </c>
      <c r="H3647" t="s">
        <v>21</v>
      </c>
      <c r="I3647" s="12">
        <v>0.67013888888888884</v>
      </c>
      <c r="J3647" t="s">
        <v>72</v>
      </c>
      <c r="K3647" t="s">
        <v>21</v>
      </c>
      <c r="L3647" s="12">
        <v>0.69791666666666663</v>
      </c>
      <c r="M3647" t="s">
        <v>63</v>
      </c>
      <c r="N3647" s="3">
        <v>232</v>
      </c>
      <c r="O3647" t="s">
        <v>24</v>
      </c>
      <c r="P3647" t="s">
        <v>56</v>
      </c>
      <c r="R3647">
        <f>tblDailySchedule[[#This Row],[Capacity Approx]]*'[1]Load Factor Sheet June Acft  '!$B$5</f>
        <v>187.86727272727273</v>
      </c>
      <c r="S3647">
        <f>tblDailySchedule[[#This Row],[Capacity Approx]]*'[1]Load Factor Sheet June Acft  '!$D$5</f>
        <v>203.4218181818182</v>
      </c>
      <c r="T3647" s="22">
        <f>tblDailySchedule[[#This Row],[STD]]</f>
        <v>0.69791666666666663</v>
      </c>
    </row>
    <row r="3648" spans="1:20" hidden="1" x14ac:dyDescent="0.35">
      <c r="A3648" s="11">
        <v>46241</v>
      </c>
      <c r="B3648" s="3">
        <v>5</v>
      </c>
      <c r="C3648" t="s">
        <v>115</v>
      </c>
      <c r="D3648" t="s">
        <v>18</v>
      </c>
      <c r="E3648" s="3">
        <v>19</v>
      </c>
      <c r="F3648" t="s">
        <v>19</v>
      </c>
      <c r="G3648" t="s">
        <v>73</v>
      </c>
      <c r="H3648" t="s">
        <v>27</v>
      </c>
      <c r="I3648" s="12">
        <v>0.74652777777777779</v>
      </c>
      <c r="J3648" t="s">
        <v>74</v>
      </c>
      <c r="K3648" t="s">
        <v>27</v>
      </c>
      <c r="L3648" s="12">
        <v>0.77430555555555558</v>
      </c>
      <c r="M3648" t="s">
        <v>63</v>
      </c>
      <c r="N3648" s="3">
        <v>232</v>
      </c>
      <c r="O3648" t="s">
        <v>24</v>
      </c>
      <c r="P3648" t="s">
        <v>56</v>
      </c>
      <c r="R3648">
        <f>tblDailySchedule[[#This Row],[Capacity Approx]]*'[1]Load Factor Sheet June Acft  '!$B$5</f>
        <v>187.86727272727273</v>
      </c>
      <c r="S3648">
        <f>tblDailySchedule[[#This Row],[Capacity Approx]]*'[1]Load Factor Sheet June Acft  '!$D$5</f>
        <v>203.4218181818182</v>
      </c>
      <c r="T3648" s="22">
        <f>tblDailySchedule[[#This Row],[STD]]</f>
        <v>0.77430555555555558</v>
      </c>
    </row>
    <row r="3649" spans="1:20" hidden="1" x14ac:dyDescent="0.35">
      <c r="A3649" s="11">
        <v>46241</v>
      </c>
      <c r="B3649" s="3">
        <v>5</v>
      </c>
      <c r="C3649" t="s">
        <v>115</v>
      </c>
      <c r="D3649" t="s">
        <v>18</v>
      </c>
      <c r="E3649" s="3">
        <v>20</v>
      </c>
      <c r="F3649" t="s">
        <v>34</v>
      </c>
      <c r="G3649" t="s">
        <v>75</v>
      </c>
      <c r="H3649" t="s">
        <v>76</v>
      </c>
      <c r="I3649" s="12">
        <v>0.76388888888888884</v>
      </c>
      <c r="J3649" t="s">
        <v>77</v>
      </c>
      <c r="K3649" t="s">
        <v>78</v>
      </c>
      <c r="L3649" s="12">
        <v>0.78472222222222221</v>
      </c>
      <c r="M3649" t="s">
        <v>51</v>
      </c>
      <c r="N3649" s="3">
        <v>78</v>
      </c>
      <c r="O3649" t="s">
        <v>24</v>
      </c>
      <c r="P3649" t="s">
        <v>79</v>
      </c>
      <c r="Q3649" s="16" t="s">
        <v>80</v>
      </c>
      <c r="R3649">
        <f>tblDailySchedule[[#This Row],[Capacity Approx]]*'[1]Load Factor Sheet June Acft  '!$B$5</f>
        <v>63.162272727272729</v>
      </c>
      <c r="S3649">
        <f>tblDailySchedule[[#This Row],[Capacity Approx]]*'[1]Load Factor Sheet June Acft  '!$D$5</f>
        <v>68.391818181818181</v>
      </c>
      <c r="T3649" s="22">
        <f>tblDailySchedule[[#This Row],[STD]]</f>
        <v>0.78472222222222221</v>
      </c>
    </row>
    <row r="3650" spans="1:20" hidden="1" x14ac:dyDescent="0.35">
      <c r="A3650" s="11">
        <v>46241</v>
      </c>
      <c r="B3650" s="3">
        <v>5</v>
      </c>
      <c r="C3650" t="s">
        <v>115</v>
      </c>
      <c r="D3650" t="s">
        <v>18</v>
      </c>
      <c r="E3650" s="3">
        <v>21</v>
      </c>
      <c r="F3650" t="s">
        <v>19</v>
      </c>
      <c r="G3650" t="s">
        <v>81</v>
      </c>
      <c r="H3650" t="s">
        <v>61</v>
      </c>
      <c r="I3650" s="12">
        <v>0.77083333333333337</v>
      </c>
      <c r="J3650" t="s">
        <v>82</v>
      </c>
      <c r="K3650" t="s">
        <v>49</v>
      </c>
      <c r="L3650" s="12">
        <v>0.79166666666666663</v>
      </c>
      <c r="M3650" t="s">
        <v>33</v>
      </c>
      <c r="N3650" s="3">
        <v>189</v>
      </c>
      <c r="O3650" t="s">
        <v>24</v>
      </c>
      <c r="P3650" t="s">
        <v>79</v>
      </c>
      <c r="R3650">
        <f>tblDailySchedule[[#This Row],[Capacity Approx]]*'[1]Load Factor Sheet June Acft  '!$B$5</f>
        <v>153.04704545454547</v>
      </c>
      <c r="S3650">
        <f>tblDailySchedule[[#This Row],[Capacity Approx]]*'[1]Load Factor Sheet June Acft  '!$D$5</f>
        <v>165.71863636363636</v>
      </c>
      <c r="T3650" s="22">
        <f>tblDailySchedule[[#This Row],[STD]]</f>
        <v>0.79166666666666663</v>
      </c>
    </row>
    <row r="3651" spans="1:20" hidden="1" x14ac:dyDescent="0.35">
      <c r="A3651" s="11">
        <v>46241</v>
      </c>
      <c r="B3651" s="3">
        <v>5</v>
      </c>
      <c r="C3651" t="s">
        <v>115</v>
      </c>
      <c r="D3651" t="s">
        <v>18</v>
      </c>
      <c r="E3651" s="3">
        <v>22</v>
      </c>
      <c r="F3651" t="s">
        <v>19</v>
      </c>
      <c r="G3651" t="s">
        <v>83</v>
      </c>
      <c r="H3651" t="s">
        <v>31</v>
      </c>
      <c r="I3651" s="12">
        <v>0.77777777777777779</v>
      </c>
      <c r="J3651" t="s">
        <v>84</v>
      </c>
      <c r="K3651" t="s">
        <v>31</v>
      </c>
      <c r="L3651" s="12">
        <v>0.80555555555555558</v>
      </c>
      <c r="M3651" t="s">
        <v>63</v>
      </c>
      <c r="N3651" s="3">
        <v>232</v>
      </c>
      <c r="O3651" t="s">
        <v>24</v>
      </c>
      <c r="P3651" t="s">
        <v>79</v>
      </c>
      <c r="R3651">
        <f>tblDailySchedule[[#This Row],[Capacity Approx]]*'[1]Load Factor Sheet June Acft  '!$B$5</f>
        <v>187.86727272727273</v>
      </c>
      <c r="S3651">
        <f>tblDailySchedule[[#This Row],[Capacity Approx]]*'[1]Load Factor Sheet June Acft  '!$D$5</f>
        <v>203.4218181818182</v>
      </c>
      <c r="T3651" s="22">
        <f>tblDailySchedule[[#This Row],[STD]]</f>
        <v>0.80555555555555558</v>
      </c>
    </row>
    <row r="3652" spans="1:20" hidden="1" x14ac:dyDescent="0.35">
      <c r="A3652" s="11">
        <v>46241</v>
      </c>
      <c r="B3652" s="3">
        <v>5</v>
      </c>
      <c r="C3652" t="s">
        <v>115</v>
      </c>
      <c r="D3652" t="s">
        <v>18</v>
      </c>
      <c r="E3652" s="3">
        <v>23</v>
      </c>
      <c r="F3652" t="s">
        <v>19</v>
      </c>
      <c r="G3652" t="s">
        <v>85</v>
      </c>
      <c r="H3652" t="s">
        <v>86</v>
      </c>
      <c r="I3652" s="12">
        <v>0.79861111111111116</v>
      </c>
      <c r="J3652" t="s">
        <v>87</v>
      </c>
      <c r="K3652" t="s">
        <v>86</v>
      </c>
      <c r="L3652" s="12">
        <v>0.82638888888888884</v>
      </c>
      <c r="M3652" t="s">
        <v>63</v>
      </c>
      <c r="N3652" s="3">
        <v>232</v>
      </c>
      <c r="O3652" t="s">
        <v>24</v>
      </c>
      <c r="P3652" t="s">
        <v>79</v>
      </c>
      <c r="R3652">
        <f>tblDailySchedule[[#This Row],[Capacity Approx]]*'[1]Load Factor Sheet June Acft  '!$B$5</f>
        <v>187.86727272727273</v>
      </c>
      <c r="S3652">
        <f>tblDailySchedule[[#This Row],[Capacity Approx]]*'[1]Load Factor Sheet June Acft  '!$D$5</f>
        <v>203.4218181818182</v>
      </c>
      <c r="T3652" s="22">
        <f>tblDailySchedule[[#This Row],[STD]]</f>
        <v>0.82638888888888884</v>
      </c>
    </row>
    <row r="3653" spans="1:20" hidden="1" x14ac:dyDescent="0.35">
      <c r="A3653" s="11">
        <v>46241</v>
      </c>
      <c r="B3653" s="3">
        <v>5</v>
      </c>
      <c r="C3653" t="s">
        <v>115</v>
      </c>
      <c r="D3653" t="s">
        <v>18</v>
      </c>
      <c r="E3653" s="3">
        <v>24</v>
      </c>
      <c r="F3653" t="s">
        <v>19</v>
      </c>
      <c r="G3653" t="s">
        <v>88</v>
      </c>
      <c r="H3653" t="s">
        <v>89</v>
      </c>
      <c r="I3653" s="12">
        <v>0.83333333333333337</v>
      </c>
      <c r="J3653" t="s">
        <v>90</v>
      </c>
      <c r="K3653" t="s">
        <v>31</v>
      </c>
      <c r="L3653" s="12">
        <v>0.86111111111111116</v>
      </c>
      <c r="M3653" t="s">
        <v>63</v>
      </c>
      <c r="N3653" s="3">
        <v>232</v>
      </c>
      <c r="O3653" t="s">
        <v>24</v>
      </c>
      <c r="P3653" t="s">
        <v>79</v>
      </c>
      <c r="R3653">
        <f>tblDailySchedule[[#This Row],[Capacity Approx]]*'[1]Load Factor Sheet June Acft  '!$B$5</f>
        <v>187.86727272727273</v>
      </c>
      <c r="S3653">
        <f>tblDailySchedule[[#This Row],[Capacity Approx]]*'[1]Load Factor Sheet June Acft  '!$D$5</f>
        <v>203.4218181818182</v>
      </c>
      <c r="T3653" s="22">
        <f>tblDailySchedule[[#This Row],[STD]]</f>
        <v>0.86111111111111116</v>
      </c>
    </row>
    <row r="3654" spans="1:20" hidden="1" x14ac:dyDescent="0.35">
      <c r="A3654" s="11">
        <v>46241</v>
      </c>
      <c r="B3654" s="3">
        <v>5</v>
      </c>
      <c r="C3654" t="s">
        <v>115</v>
      </c>
      <c r="D3654" t="s">
        <v>18</v>
      </c>
      <c r="E3654" s="3">
        <v>25</v>
      </c>
      <c r="F3654" t="s">
        <v>19</v>
      </c>
      <c r="G3654" t="s">
        <v>91</v>
      </c>
      <c r="H3654" t="s">
        <v>61</v>
      </c>
      <c r="I3654" s="12">
        <v>0.85416666666666663</v>
      </c>
      <c r="J3654" t="s">
        <v>92</v>
      </c>
      <c r="K3654" t="s">
        <v>61</v>
      </c>
      <c r="L3654" s="12">
        <v>0.88194444444444442</v>
      </c>
      <c r="M3654" t="s">
        <v>63</v>
      </c>
      <c r="N3654" s="3">
        <v>232</v>
      </c>
      <c r="O3654" t="s">
        <v>24</v>
      </c>
      <c r="P3654" t="s">
        <v>79</v>
      </c>
      <c r="R3654">
        <f>tblDailySchedule[[#This Row],[Capacity Approx]]*'[1]Load Factor Sheet June Acft  '!$B$5</f>
        <v>187.86727272727273</v>
      </c>
      <c r="S3654">
        <f>tblDailySchedule[[#This Row],[Capacity Approx]]*'[1]Load Factor Sheet June Acft  '!$D$5</f>
        <v>203.4218181818182</v>
      </c>
      <c r="T3654" s="22">
        <f>tblDailySchedule[[#This Row],[STD]]</f>
        <v>0.88194444444444442</v>
      </c>
    </row>
    <row r="3655" spans="1:20" hidden="1" x14ac:dyDescent="0.35">
      <c r="A3655" s="11">
        <v>46241</v>
      </c>
      <c r="B3655" s="3">
        <v>5</v>
      </c>
      <c r="C3655" t="s">
        <v>115</v>
      </c>
      <c r="D3655" t="s">
        <v>18</v>
      </c>
      <c r="E3655" s="3">
        <v>26</v>
      </c>
      <c r="F3655" t="s">
        <v>19</v>
      </c>
      <c r="G3655" t="s">
        <v>93</v>
      </c>
      <c r="H3655" t="s">
        <v>31</v>
      </c>
      <c r="I3655" s="12">
        <v>0.86111111111111116</v>
      </c>
      <c r="J3655" t="s">
        <v>94</v>
      </c>
      <c r="K3655" t="s">
        <v>31</v>
      </c>
      <c r="L3655" s="12">
        <v>0.88888888888888884</v>
      </c>
      <c r="M3655" t="s">
        <v>23</v>
      </c>
      <c r="N3655" s="3">
        <v>186</v>
      </c>
      <c r="O3655" t="s">
        <v>24</v>
      </c>
      <c r="P3655" t="s">
        <v>79</v>
      </c>
      <c r="R3655">
        <f>tblDailySchedule[[#This Row],[Capacity Approx]]*'[1]Load Factor Sheet June Acft  '!$B$5</f>
        <v>150.61772727272728</v>
      </c>
      <c r="S3655">
        <f>tblDailySchedule[[#This Row],[Capacity Approx]]*'[1]Load Factor Sheet June Acft  '!$D$5</f>
        <v>163.08818181818182</v>
      </c>
      <c r="T3655" s="22">
        <f>tblDailySchedule[[#This Row],[STD]]</f>
        <v>0.88888888888888884</v>
      </c>
    </row>
    <row r="3656" spans="1:20" hidden="1" x14ac:dyDescent="0.35">
      <c r="A3656" s="11">
        <v>46241</v>
      </c>
      <c r="B3656" s="3">
        <v>5</v>
      </c>
      <c r="C3656" t="s">
        <v>115</v>
      </c>
      <c r="D3656" t="s">
        <v>18</v>
      </c>
      <c r="E3656" s="3">
        <v>27</v>
      </c>
      <c r="F3656" t="s">
        <v>19</v>
      </c>
      <c r="G3656" t="s">
        <v>95</v>
      </c>
      <c r="H3656" t="s">
        <v>21</v>
      </c>
      <c r="I3656" s="12">
        <v>0.86805555555555558</v>
      </c>
      <c r="J3656" t="s">
        <v>96</v>
      </c>
      <c r="K3656" t="s">
        <v>21</v>
      </c>
      <c r="L3656" s="12">
        <v>0.89583333333333337</v>
      </c>
      <c r="M3656" t="s">
        <v>29</v>
      </c>
      <c r="N3656" s="3">
        <v>186</v>
      </c>
      <c r="O3656" t="s">
        <v>24</v>
      </c>
      <c r="P3656" t="s">
        <v>79</v>
      </c>
      <c r="R3656">
        <f>tblDailySchedule[[#This Row],[Capacity Approx]]*'[1]Load Factor Sheet June Acft  '!$B$5</f>
        <v>150.61772727272728</v>
      </c>
      <c r="S3656">
        <f>tblDailySchedule[[#This Row],[Capacity Approx]]*'[1]Load Factor Sheet June Acft  '!$D$5</f>
        <v>163.08818181818182</v>
      </c>
      <c r="T3656" s="22">
        <f>tblDailySchedule[[#This Row],[STD]]</f>
        <v>0.89583333333333337</v>
      </c>
    </row>
    <row r="3657" spans="1:20" hidden="1" x14ac:dyDescent="0.35">
      <c r="A3657" s="11">
        <v>46241</v>
      </c>
      <c r="B3657" s="3">
        <v>5</v>
      </c>
      <c r="C3657" t="s">
        <v>115</v>
      </c>
      <c r="D3657" t="s">
        <v>18</v>
      </c>
      <c r="E3657" s="3">
        <v>28</v>
      </c>
      <c r="F3657" t="s">
        <v>19</v>
      </c>
      <c r="G3657" t="s">
        <v>97</v>
      </c>
      <c r="H3657" t="s">
        <v>49</v>
      </c>
      <c r="I3657" s="12">
        <v>0.90277777777777779</v>
      </c>
      <c r="J3657" t="s">
        <v>97</v>
      </c>
      <c r="K3657" t="s">
        <v>61</v>
      </c>
      <c r="L3657" s="12">
        <v>0.92361111111111116</v>
      </c>
      <c r="M3657" t="s">
        <v>33</v>
      </c>
      <c r="N3657" s="3">
        <v>189</v>
      </c>
      <c r="O3657" t="s">
        <v>24</v>
      </c>
      <c r="P3657" t="s">
        <v>79</v>
      </c>
      <c r="R3657">
        <f>tblDailySchedule[[#This Row],[Capacity Approx]]*'[1]Load Factor Sheet June Acft  '!$B$5</f>
        <v>153.04704545454547</v>
      </c>
      <c r="S3657">
        <f>tblDailySchedule[[#This Row],[Capacity Approx]]*'[1]Load Factor Sheet June Acft  '!$D$5</f>
        <v>165.71863636363636</v>
      </c>
      <c r="T3657" s="22">
        <f>tblDailySchedule[[#This Row],[STD]]</f>
        <v>0.92361111111111116</v>
      </c>
    </row>
    <row r="3658" spans="1:20" hidden="1" x14ac:dyDescent="0.35">
      <c r="A3658" s="11">
        <v>46241</v>
      </c>
      <c r="B3658" s="3">
        <v>5</v>
      </c>
      <c r="C3658" t="s">
        <v>115</v>
      </c>
      <c r="D3658" t="s">
        <v>18</v>
      </c>
      <c r="E3658" s="3">
        <v>29</v>
      </c>
      <c r="F3658" t="s">
        <v>19</v>
      </c>
      <c r="G3658" t="s">
        <v>98</v>
      </c>
      <c r="H3658" t="s">
        <v>21</v>
      </c>
      <c r="I3658" s="12">
        <v>0.92013888888888884</v>
      </c>
      <c r="J3658" t="s">
        <v>99</v>
      </c>
      <c r="K3658" t="s">
        <v>21</v>
      </c>
      <c r="L3658" s="12">
        <v>0.94791666666666663</v>
      </c>
      <c r="M3658" t="s">
        <v>63</v>
      </c>
      <c r="N3658" s="3">
        <v>232</v>
      </c>
      <c r="O3658" t="s">
        <v>24</v>
      </c>
      <c r="P3658" t="s">
        <v>79</v>
      </c>
      <c r="R3658">
        <f>tblDailySchedule[[#This Row],[Capacity Approx]]*'[1]Load Factor Sheet June Acft  '!$B$5</f>
        <v>187.86727272727273</v>
      </c>
      <c r="S3658">
        <f>tblDailySchedule[[#This Row],[Capacity Approx]]*'[1]Load Factor Sheet June Acft  '!$D$5</f>
        <v>203.4218181818182</v>
      </c>
      <c r="T3658" s="22">
        <f>tblDailySchedule[[#This Row],[STD]]</f>
        <v>0.94791666666666663</v>
      </c>
    </row>
    <row r="3659" spans="1:20" hidden="1" x14ac:dyDescent="0.35">
      <c r="A3659" s="13">
        <v>46241</v>
      </c>
      <c r="B3659" s="7">
        <v>5</v>
      </c>
      <c r="C3659" s="14" t="s">
        <v>115</v>
      </c>
      <c r="D3659" s="14" t="s">
        <v>18</v>
      </c>
      <c r="E3659" s="7">
        <v>30</v>
      </c>
      <c r="F3659" s="14" t="s">
        <v>104</v>
      </c>
      <c r="G3659" s="14" t="s">
        <v>105</v>
      </c>
      <c r="H3659" s="14" t="s">
        <v>106</v>
      </c>
      <c r="I3659" s="15">
        <v>0.92708333333333337</v>
      </c>
      <c r="J3659" s="14" t="s">
        <v>107</v>
      </c>
      <c r="K3659" s="14" t="s">
        <v>106</v>
      </c>
      <c r="L3659" s="15">
        <v>0.95833333333333337</v>
      </c>
      <c r="M3659" s="14" t="s">
        <v>38</v>
      </c>
      <c r="N3659" s="7">
        <v>186</v>
      </c>
      <c r="O3659" s="14" t="s">
        <v>39</v>
      </c>
      <c r="P3659" s="14" t="s">
        <v>79</v>
      </c>
      <c r="Q3659" s="14" t="s">
        <v>39</v>
      </c>
      <c r="R3659">
        <f>tblDailySchedule[[#This Row],[Capacity Approx]]*'[1]Load Factor Sheet June Acft  '!$B$5</f>
        <v>150.61772727272728</v>
      </c>
      <c r="S3659">
        <f>tblDailySchedule[[#This Row],[Capacity Approx]]*'[1]Load Factor Sheet June Acft  '!$D$5</f>
        <v>163.08818181818182</v>
      </c>
      <c r="T3659" s="22">
        <f>tblDailySchedule[[#This Row],[STD]]</f>
        <v>0.95833333333333337</v>
      </c>
    </row>
    <row r="3660" spans="1:20" hidden="1" x14ac:dyDescent="0.35">
      <c r="A3660" s="11">
        <v>46242</v>
      </c>
      <c r="B3660" s="3">
        <v>6</v>
      </c>
      <c r="C3660" t="s">
        <v>116</v>
      </c>
      <c r="D3660" t="s">
        <v>18</v>
      </c>
      <c r="E3660" s="3">
        <v>1</v>
      </c>
      <c r="F3660" t="s">
        <v>101</v>
      </c>
      <c r="G3660" t="s">
        <v>102</v>
      </c>
      <c r="H3660" t="s">
        <v>61</v>
      </c>
      <c r="I3660" s="12">
        <v>0.3125</v>
      </c>
      <c r="J3660" t="s">
        <v>103</v>
      </c>
      <c r="K3660" t="s">
        <v>61</v>
      </c>
      <c r="L3660" s="12">
        <v>0.33333333333333331</v>
      </c>
      <c r="M3660" t="s">
        <v>33</v>
      </c>
      <c r="N3660" s="3">
        <v>189</v>
      </c>
      <c r="O3660" t="s">
        <v>24</v>
      </c>
      <c r="P3660" t="s">
        <v>25</v>
      </c>
      <c r="R3660">
        <f>tblDailySchedule[[#This Row],[Capacity Approx]]*'[1]Load Factor Sheet June Acft  '!$B$5</f>
        <v>153.04704545454547</v>
      </c>
      <c r="S3660">
        <f>tblDailySchedule[[#This Row],[Capacity Approx]]*'[1]Load Factor Sheet June Acft  '!$D$5</f>
        <v>165.71863636363636</v>
      </c>
      <c r="T3660" s="22">
        <f>tblDailySchedule[[#This Row],[STD]]</f>
        <v>0.33333333333333331</v>
      </c>
    </row>
    <row r="3661" spans="1:20" hidden="1" x14ac:dyDescent="0.35">
      <c r="A3661" s="11">
        <v>46242</v>
      </c>
      <c r="B3661" s="3">
        <v>6</v>
      </c>
      <c r="C3661" t="s">
        <v>116</v>
      </c>
      <c r="D3661" t="s">
        <v>18</v>
      </c>
      <c r="E3661" s="3">
        <v>2</v>
      </c>
      <c r="F3661" t="s">
        <v>19</v>
      </c>
      <c r="G3661" t="s">
        <v>20</v>
      </c>
      <c r="H3661" t="s">
        <v>21</v>
      </c>
      <c r="I3661" s="12">
        <v>0.31944444444444442</v>
      </c>
      <c r="J3661" t="s">
        <v>22</v>
      </c>
      <c r="K3661" t="s">
        <v>21</v>
      </c>
      <c r="L3661" s="12">
        <v>0.34722222222222221</v>
      </c>
      <c r="M3661" t="s">
        <v>23</v>
      </c>
      <c r="N3661" s="3">
        <v>186</v>
      </c>
      <c r="O3661" t="s">
        <v>24</v>
      </c>
      <c r="P3661" t="s">
        <v>25</v>
      </c>
      <c r="R3661">
        <f>tblDailySchedule[[#This Row],[Capacity Approx]]*'[1]Load Factor Sheet June Acft  '!$B$5</f>
        <v>150.61772727272728</v>
      </c>
      <c r="S3661">
        <f>tblDailySchedule[[#This Row],[Capacity Approx]]*'[1]Load Factor Sheet June Acft  '!$D$5</f>
        <v>163.08818181818182</v>
      </c>
      <c r="T3661" s="22">
        <f>tblDailySchedule[[#This Row],[STD]]</f>
        <v>0.34722222222222221</v>
      </c>
    </row>
    <row r="3662" spans="1:20" hidden="1" x14ac:dyDescent="0.35">
      <c r="A3662" s="11">
        <v>46242</v>
      </c>
      <c r="B3662" s="3">
        <v>6</v>
      </c>
      <c r="C3662" t="s">
        <v>116</v>
      </c>
      <c r="D3662" t="s">
        <v>18</v>
      </c>
      <c r="E3662" s="3">
        <v>3</v>
      </c>
      <c r="F3662" t="s">
        <v>19</v>
      </c>
      <c r="G3662" t="s">
        <v>26</v>
      </c>
      <c r="H3662" t="s">
        <v>27</v>
      </c>
      <c r="I3662" s="12">
        <v>0.3263888888888889</v>
      </c>
      <c r="J3662" t="s">
        <v>28</v>
      </c>
      <c r="K3662" t="s">
        <v>27</v>
      </c>
      <c r="L3662" s="12">
        <v>0.35416666666666669</v>
      </c>
      <c r="M3662" t="s">
        <v>29</v>
      </c>
      <c r="N3662" s="3">
        <v>186</v>
      </c>
      <c r="O3662" t="s">
        <v>24</v>
      </c>
      <c r="P3662" t="s">
        <v>25</v>
      </c>
      <c r="R3662">
        <f>tblDailySchedule[[#This Row],[Capacity Approx]]*'[1]Load Factor Sheet June Acft  '!$B$5</f>
        <v>150.61772727272728</v>
      </c>
      <c r="S3662">
        <f>tblDailySchedule[[#This Row],[Capacity Approx]]*'[1]Load Factor Sheet June Acft  '!$D$5</f>
        <v>163.08818181818182</v>
      </c>
      <c r="T3662" s="22">
        <f>tblDailySchedule[[#This Row],[STD]]</f>
        <v>0.35416666666666669</v>
      </c>
    </row>
    <row r="3663" spans="1:20" hidden="1" x14ac:dyDescent="0.35">
      <c r="A3663" s="11">
        <v>46242</v>
      </c>
      <c r="B3663" s="3">
        <v>6</v>
      </c>
      <c r="C3663" t="s">
        <v>116</v>
      </c>
      <c r="D3663" t="s">
        <v>18</v>
      </c>
      <c r="E3663" s="3">
        <v>4</v>
      </c>
      <c r="F3663" t="s">
        <v>19</v>
      </c>
      <c r="G3663" t="s">
        <v>30</v>
      </c>
      <c r="H3663" t="s">
        <v>31</v>
      </c>
      <c r="I3663" s="12">
        <v>0.34722222222222221</v>
      </c>
      <c r="J3663" t="s">
        <v>32</v>
      </c>
      <c r="K3663" t="s">
        <v>31</v>
      </c>
      <c r="L3663" s="12">
        <v>0.36805555555555558</v>
      </c>
      <c r="M3663" t="s">
        <v>33</v>
      </c>
      <c r="N3663" s="3">
        <v>189</v>
      </c>
      <c r="O3663" t="s">
        <v>24</v>
      </c>
      <c r="P3663" t="s">
        <v>25</v>
      </c>
      <c r="R3663">
        <f>tblDailySchedule[[#This Row],[Capacity Approx]]*'[1]Load Factor Sheet June Acft  '!$B$5</f>
        <v>153.04704545454547</v>
      </c>
      <c r="S3663">
        <f>tblDailySchedule[[#This Row],[Capacity Approx]]*'[1]Load Factor Sheet June Acft  '!$D$5</f>
        <v>165.71863636363636</v>
      </c>
      <c r="T3663" s="22">
        <f>tblDailySchedule[[#This Row],[STD]]</f>
        <v>0.36805555555555558</v>
      </c>
    </row>
    <row r="3664" spans="1:20" hidden="1" x14ac:dyDescent="0.35">
      <c r="A3664" s="11">
        <v>46242</v>
      </c>
      <c r="B3664" s="3">
        <v>6</v>
      </c>
      <c r="C3664" t="s">
        <v>116</v>
      </c>
      <c r="D3664" t="s">
        <v>18</v>
      </c>
      <c r="E3664" s="3">
        <v>5</v>
      </c>
      <c r="F3664" t="s">
        <v>19</v>
      </c>
      <c r="G3664" t="s">
        <v>40</v>
      </c>
      <c r="H3664" t="s">
        <v>31</v>
      </c>
      <c r="I3664" s="12">
        <v>0.35069444444444442</v>
      </c>
      <c r="J3664" t="s">
        <v>41</v>
      </c>
      <c r="K3664" t="s">
        <v>31</v>
      </c>
      <c r="L3664" s="12">
        <v>0.37152777777777779</v>
      </c>
      <c r="M3664" t="s">
        <v>23</v>
      </c>
      <c r="N3664" s="3">
        <v>186</v>
      </c>
      <c r="O3664" t="s">
        <v>24</v>
      </c>
      <c r="P3664" t="s">
        <v>25</v>
      </c>
      <c r="R3664">
        <f>tblDailySchedule[[#This Row],[Capacity Approx]]*'[1]Load Factor Sheet June Acft  '!$B$5</f>
        <v>150.61772727272728</v>
      </c>
      <c r="S3664">
        <f>tblDailySchedule[[#This Row],[Capacity Approx]]*'[1]Load Factor Sheet June Acft  '!$D$5</f>
        <v>163.08818181818182</v>
      </c>
      <c r="T3664" s="22">
        <f>tblDailySchedule[[#This Row],[STD]]</f>
        <v>0.37152777777777779</v>
      </c>
    </row>
    <row r="3665" spans="1:20" hidden="1" x14ac:dyDescent="0.35">
      <c r="A3665" s="11">
        <v>46242</v>
      </c>
      <c r="B3665" s="3">
        <v>6</v>
      </c>
      <c r="C3665" t="s">
        <v>116</v>
      </c>
      <c r="D3665" t="s">
        <v>18</v>
      </c>
      <c r="E3665" s="3">
        <v>7</v>
      </c>
      <c r="F3665" t="s">
        <v>19</v>
      </c>
      <c r="G3665" t="s">
        <v>42</v>
      </c>
      <c r="H3665" t="s">
        <v>43</v>
      </c>
      <c r="I3665" s="12">
        <v>0.3923611111111111</v>
      </c>
      <c r="J3665" t="s">
        <v>44</v>
      </c>
      <c r="K3665" t="s">
        <v>43</v>
      </c>
      <c r="L3665" s="12">
        <v>0.40277777777777779</v>
      </c>
      <c r="M3665" t="s">
        <v>45</v>
      </c>
      <c r="N3665" s="3">
        <v>9</v>
      </c>
      <c r="O3665" t="s">
        <v>24</v>
      </c>
      <c r="P3665" t="s">
        <v>25</v>
      </c>
      <c r="R3665">
        <f>tblDailySchedule[[#This Row],[Capacity Approx]]*'[1]Load Factor Sheet June Acft  '!$B$5</f>
        <v>7.2879545454545456</v>
      </c>
      <c r="S3665">
        <f>tblDailySchedule[[#This Row],[Capacity Approx]]*'[1]Load Factor Sheet June Acft  '!$D$5</f>
        <v>7.8913636363636366</v>
      </c>
      <c r="T3665" s="22">
        <f>tblDailySchedule[[#This Row],[STD]]</f>
        <v>0.40277777777777779</v>
      </c>
    </row>
    <row r="3666" spans="1:20" hidden="1" x14ac:dyDescent="0.35">
      <c r="A3666" s="11">
        <v>46242</v>
      </c>
      <c r="B3666" s="3">
        <v>6</v>
      </c>
      <c r="C3666" t="s">
        <v>116</v>
      </c>
      <c r="D3666" t="s">
        <v>18</v>
      </c>
      <c r="E3666" s="3">
        <v>8</v>
      </c>
      <c r="F3666" t="s">
        <v>19</v>
      </c>
      <c r="G3666" t="s">
        <v>46</v>
      </c>
      <c r="H3666" t="s">
        <v>31</v>
      </c>
      <c r="I3666" s="12">
        <v>0.4201388888888889</v>
      </c>
      <c r="J3666" t="s">
        <v>47</v>
      </c>
      <c r="K3666" t="s">
        <v>31</v>
      </c>
      <c r="L3666" s="12">
        <v>0.44444444444444442</v>
      </c>
      <c r="M3666" t="s">
        <v>29</v>
      </c>
      <c r="N3666" s="3">
        <v>186</v>
      </c>
      <c r="O3666" t="s">
        <v>24</v>
      </c>
      <c r="P3666" t="s">
        <v>25</v>
      </c>
      <c r="R3666">
        <f>tblDailySchedule[[#This Row],[Capacity Approx]]*'[1]Load Factor Sheet June Acft  '!$B$5</f>
        <v>150.61772727272728</v>
      </c>
      <c r="S3666">
        <f>tblDailySchedule[[#This Row],[Capacity Approx]]*'[1]Load Factor Sheet June Acft  '!$D$5</f>
        <v>163.08818181818182</v>
      </c>
      <c r="T3666" s="22">
        <f>tblDailySchedule[[#This Row],[STD]]</f>
        <v>0.44444444444444442</v>
      </c>
    </row>
    <row r="3667" spans="1:20" hidden="1" x14ac:dyDescent="0.35">
      <c r="A3667" s="11">
        <v>46242</v>
      </c>
      <c r="B3667" s="3">
        <v>6</v>
      </c>
      <c r="C3667" t="s">
        <v>116</v>
      </c>
      <c r="D3667" t="s">
        <v>18</v>
      </c>
      <c r="E3667" s="3">
        <v>9</v>
      </c>
      <c r="F3667" t="s">
        <v>19</v>
      </c>
      <c r="G3667" t="s">
        <v>48</v>
      </c>
      <c r="H3667" t="s">
        <v>49</v>
      </c>
      <c r="I3667" s="12">
        <v>0.4375</v>
      </c>
      <c r="J3667" t="s">
        <v>50</v>
      </c>
      <c r="K3667" t="s">
        <v>49</v>
      </c>
      <c r="L3667" s="12">
        <v>0.45833333333333331</v>
      </c>
      <c r="M3667" t="s">
        <v>51</v>
      </c>
      <c r="N3667" s="3">
        <v>78</v>
      </c>
      <c r="O3667" t="s">
        <v>24</v>
      </c>
      <c r="P3667" t="s">
        <v>25</v>
      </c>
      <c r="R3667">
        <f>tblDailySchedule[[#This Row],[Capacity Approx]]*'[1]Load Factor Sheet June Acft  '!$B$5</f>
        <v>63.162272727272729</v>
      </c>
      <c r="S3667">
        <f>tblDailySchedule[[#This Row],[Capacity Approx]]*'[1]Load Factor Sheet June Acft  '!$D$5</f>
        <v>68.391818181818181</v>
      </c>
      <c r="T3667" s="22">
        <f>tblDailySchedule[[#This Row],[STD]]</f>
        <v>0.45833333333333331</v>
      </c>
    </row>
    <row r="3668" spans="1:20" hidden="1" x14ac:dyDescent="0.35">
      <c r="A3668" s="11">
        <v>46242</v>
      </c>
      <c r="B3668" s="3">
        <v>6</v>
      </c>
      <c r="C3668" t="s">
        <v>116</v>
      </c>
      <c r="D3668" t="s">
        <v>18</v>
      </c>
      <c r="E3668" s="3">
        <v>10</v>
      </c>
      <c r="F3668" t="s">
        <v>19</v>
      </c>
      <c r="G3668" t="s">
        <v>52</v>
      </c>
      <c r="H3668" t="s">
        <v>27</v>
      </c>
      <c r="I3668" s="12">
        <v>0.4826388888888889</v>
      </c>
      <c r="J3668" t="s">
        <v>53</v>
      </c>
      <c r="K3668" t="s">
        <v>27</v>
      </c>
      <c r="L3668" s="12">
        <v>0.51041666666666663</v>
      </c>
      <c r="M3668" t="s">
        <v>23</v>
      </c>
      <c r="N3668" s="3">
        <v>186</v>
      </c>
      <c r="O3668" t="s">
        <v>24</v>
      </c>
      <c r="P3668" t="s">
        <v>25</v>
      </c>
      <c r="R3668">
        <f>tblDailySchedule[[#This Row],[Capacity Approx]]*'[1]Load Factor Sheet June Acft  '!$B$5</f>
        <v>150.61772727272728</v>
      </c>
      <c r="S3668">
        <f>tblDailySchedule[[#This Row],[Capacity Approx]]*'[1]Load Factor Sheet June Acft  '!$D$5</f>
        <v>163.08818181818182</v>
      </c>
      <c r="T3668" s="22">
        <f>tblDailySchedule[[#This Row],[STD]]</f>
        <v>0.51041666666666663</v>
      </c>
    </row>
    <row r="3669" spans="1:20" hidden="1" x14ac:dyDescent="0.35">
      <c r="A3669" s="11">
        <v>46242</v>
      </c>
      <c r="B3669" s="3">
        <v>6</v>
      </c>
      <c r="C3669" t="s">
        <v>116</v>
      </c>
      <c r="D3669" t="s">
        <v>18</v>
      </c>
      <c r="E3669" s="3">
        <v>11</v>
      </c>
      <c r="F3669" t="s">
        <v>19</v>
      </c>
      <c r="G3669" t="s">
        <v>54</v>
      </c>
      <c r="H3669" t="s">
        <v>31</v>
      </c>
      <c r="I3669" s="12">
        <v>0.51388888888888884</v>
      </c>
      <c r="J3669" t="s">
        <v>55</v>
      </c>
      <c r="K3669" t="s">
        <v>31</v>
      </c>
      <c r="L3669" s="12">
        <v>0.54166666666666663</v>
      </c>
      <c r="M3669" t="s">
        <v>23</v>
      </c>
      <c r="N3669" s="3">
        <v>186</v>
      </c>
      <c r="O3669" t="s">
        <v>24</v>
      </c>
      <c r="P3669" t="s">
        <v>56</v>
      </c>
      <c r="R3669">
        <f>tblDailySchedule[[#This Row],[Capacity Approx]]*'[1]Load Factor Sheet June Acft  '!$B$5</f>
        <v>150.61772727272728</v>
      </c>
      <c r="S3669">
        <f>tblDailySchedule[[#This Row],[Capacity Approx]]*'[1]Load Factor Sheet June Acft  '!$D$5</f>
        <v>163.08818181818182</v>
      </c>
      <c r="T3669" s="22">
        <f>tblDailySchedule[[#This Row],[STD]]</f>
        <v>0.54166666666666663</v>
      </c>
    </row>
    <row r="3670" spans="1:20" hidden="1" x14ac:dyDescent="0.35">
      <c r="A3670" s="11">
        <v>46242</v>
      </c>
      <c r="B3670" s="3">
        <v>6</v>
      </c>
      <c r="C3670" t="s">
        <v>116</v>
      </c>
      <c r="D3670" t="s">
        <v>18</v>
      </c>
      <c r="E3670" s="3">
        <v>12</v>
      </c>
      <c r="F3670" t="s">
        <v>109</v>
      </c>
      <c r="G3670" t="s">
        <v>110</v>
      </c>
      <c r="H3670" t="s">
        <v>111</v>
      </c>
      <c r="I3670" s="12">
        <v>0.55555555555555558</v>
      </c>
      <c r="J3670" t="s">
        <v>112</v>
      </c>
      <c r="K3670" t="s">
        <v>111</v>
      </c>
      <c r="L3670" s="12">
        <v>0.56944444444444442</v>
      </c>
      <c r="M3670" t="s">
        <v>51</v>
      </c>
      <c r="N3670" s="3">
        <v>78</v>
      </c>
      <c r="O3670" t="s">
        <v>24</v>
      </c>
      <c r="P3670" t="s">
        <v>56</v>
      </c>
      <c r="R3670">
        <f>tblDailySchedule[[#This Row],[Capacity Approx]]*'[1]Load Factor Sheet June Acft  '!$B$5</f>
        <v>63.162272727272729</v>
      </c>
      <c r="S3670">
        <f>tblDailySchedule[[#This Row],[Capacity Approx]]*'[1]Load Factor Sheet June Acft  '!$D$5</f>
        <v>68.391818181818181</v>
      </c>
      <c r="T3670" s="22">
        <f>tblDailySchedule[[#This Row],[STD]]</f>
        <v>0.56944444444444442</v>
      </c>
    </row>
    <row r="3671" spans="1:20" hidden="1" x14ac:dyDescent="0.35">
      <c r="A3671" s="11">
        <v>46242</v>
      </c>
      <c r="B3671" s="3">
        <v>6</v>
      </c>
      <c r="C3671" t="s">
        <v>116</v>
      </c>
      <c r="D3671" t="s">
        <v>18</v>
      </c>
      <c r="E3671" s="3">
        <v>13</v>
      </c>
      <c r="F3671" t="s">
        <v>19</v>
      </c>
      <c r="G3671" t="s">
        <v>57</v>
      </c>
      <c r="H3671" t="s">
        <v>58</v>
      </c>
      <c r="I3671" s="12">
        <v>0.55902777777777779</v>
      </c>
      <c r="J3671" t="s">
        <v>59</v>
      </c>
      <c r="K3671" t="s">
        <v>58</v>
      </c>
      <c r="L3671" s="12">
        <v>0.57638888888888884</v>
      </c>
      <c r="M3671" t="s">
        <v>51</v>
      </c>
      <c r="N3671" s="3">
        <v>78</v>
      </c>
      <c r="O3671" t="s">
        <v>24</v>
      </c>
      <c r="P3671" t="s">
        <v>56</v>
      </c>
      <c r="R3671">
        <f>tblDailySchedule[[#This Row],[Capacity Approx]]*'[1]Load Factor Sheet June Acft  '!$B$5</f>
        <v>63.162272727272729</v>
      </c>
      <c r="S3671">
        <f>tblDailySchedule[[#This Row],[Capacity Approx]]*'[1]Load Factor Sheet June Acft  '!$D$5</f>
        <v>68.391818181818181</v>
      </c>
      <c r="T3671" s="22">
        <f>tblDailySchedule[[#This Row],[STD]]</f>
        <v>0.57638888888888884</v>
      </c>
    </row>
    <row r="3672" spans="1:20" hidden="1" x14ac:dyDescent="0.35">
      <c r="A3672" s="11">
        <v>46242</v>
      </c>
      <c r="B3672" s="3">
        <v>6</v>
      </c>
      <c r="C3672" t="s">
        <v>116</v>
      </c>
      <c r="D3672" t="s">
        <v>18</v>
      </c>
      <c r="E3672" s="3">
        <v>14</v>
      </c>
      <c r="F3672" t="s">
        <v>19</v>
      </c>
      <c r="G3672" t="s">
        <v>60</v>
      </c>
      <c r="H3672" t="s">
        <v>61</v>
      </c>
      <c r="I3672" s="12">
        <v>0.59027777777777779</v>
      </c>
      <c r="J3672" t="s">
        <v>62</v>
      </c>
      <c r="K3672" t="s">
        <v>61</v>
      </c>
      <c r="L3672" s="12">
        <v>0.62152777777777779</v>
      </c>
      <c r="M3672" t="s">
        <v>63</v>
      </c>
      <c r="N3672" s="3">
        <v>232</v>
      </c>
      <c r="O3672" t="s">
        <v>24</v>
      </c>
      <c r="P3672" t="s">
        <v>56</v>
      </c>
      <c r="R3672">
        <f>tblDailySchedule[[#This Row],[Capacity Approx]]*'[1]Load Factor Sheet June Acft  '!$B$5</f>
        <v>187.86727272727273</v>
      </c>
      <c r="S3672">
        <f>tblDailySchedule[[#This Row],[Capacity Approx]]*'[1]Load Factor Sheet June Acft  '!$D$5</f>
        <v>203.4218181818182</v>
      </c>
      <c r="T3672" s="22">
        <f>tblDailySchedule[[#This Row],[STD]]</f>
        <v>0.62152777777777779</v>
      </c>
    </row>
    <row r="3673" spans="1:20" hidden="1" x14ac:dyDescent="0.35">
      <c r="A3673" s="11">
        <v>46242</v>
      </c>
      <c r="B3673" s="3">
        <v>6</v>
      </c>
      <c r="C3673" t="s">
        <v>116</v>
      </c>
      <c r="D3673" t="s">
        <v>18</v>
      </c>
      <c r="E3673" s="3">
        <v>15</v>
      </c>
      <c r="F3673" t="s">
        <v>19</v>
      </c>
      <c r="G3673" t="s">
        <v>64</v>
      </c>
      <c r="H3673" t="s">
        <v>31</v>
      </c>
      <c r="I3673" s="12">
        <v>0.60069444444444442</v>
      </c>
      <c r="J3673" t="s">
        <v>65</v>
      </c>
      <c r="K3673" t="s">
        <v>66</v>
      </c>
      <c r="L3673" s="12">
        <v>0.62847222222222221</v>
      </c>
      <c r="M3673" t="s">
        <v>63</v>
      </c>
      <c r="N3673" s="3">
        <v>232</v>
      </c>
      <c r="O3673" t="s">
        <v>24</v>
      </c>
      <c r="P3673" t="s">
        <v>56</v>
      </c>
      <c r="R3673">
        <f>tblDailySchedule[[#This Row],[Capacity Approx]]*'[1]Load Factor Sheet June Acft  '!$B$5</f>
        <v>187.86727272727273</v>
      </c>
      <c r="S3673">
        <f>tblDailySchedule[[#This Row],[Capacity Approx]]*'[1]Load Factor Sheet June Acft  '!$D$5</f>
        <v>203.4218181818182</v>
      </c>
      <c r="T3673" s="22">
        <f>tblDailySchedule[[#This Row],[STD]]</f>
        <v>0.62847222222222221</v>
      </c>
    </row>
    <row r="3674" spans="1:20" hidden="1" x14ac:dyDescent="0.35">
      <c r="A3674" s="11">
        <v>46242</v>
      </c>
      <c r="B3674" s="3">
        <v>6</v>
      </c>
      <c r="C3674" t="s">
        <v>116</v>
      </c>
      <c r="D3674" t="s">
        <v>18</v>
      </c>
      <c r="E3674" s="3">
        <v>16</v>
      </c>
      <c r="F3674" t="s">
        <v>19</v>
      </c>
      <c r="G3674" t="s">
        <v>67</v>
      </c>
      <c r="H3674" t="s">
        <v>31</v>
      </c>
      <c r="I3674" s="12">
        <v>0.65625</v>
      </c>
      <c r="J3674" t="s">
        <v>68</v>
      </c>
      <c r="K3674" t="s">
        <v>31</v>
      </c>
      <c r="L3674" s="12">
        <v>0.68402777777777779</v>
      </c>
      <c r="M3674" t="s">
        <v>63</v>
      </c>
      <c r="N3674" s="3">
        <v>232</v>
      </c>
      <c r="O3674" t="s">
        <v>24</v>
      </c>
      <c r="P3674" t="s">
        <v>56</v>
      </c>
      <c r="R3674">
        <f>tblDailySchedule[[#This Row],[Capacity Approx]]*'[1]Load Factor Sheet June Acft  '!$B$5</f>
        <v>187.86727272727273</v>
      </c>
      <c r="S3674">
        <f>tblDailySchedule[[#This Row],[Capacity Approx]]*'[1]Load Factor Sheet June Acft  '!$D$5</f>
        <v>203.4218181818182</v>
      </c>
      <c r="T3674" s="22">
        <f>tblDailySchedule[[#This Row],[STD]]</f>
        <v>0.68402777777777779</v>
      </c>
    </row>
    <row r="3675" spans="1:20" hidden="1" x14ac:dyDescent="0.35">
      <c r="A3675" s="11">
        <v>46242</v>
      </c>
      <c r="B3675" s="3">
        <v>6</v>
      </c>
      <c r="C3675" t="s">
        <v>116</v>
      </c>
      <c r="D3675" t="s">
        <v>18</v>
      </c>
      <c r="E3675" s="3">
        <v>17</v>
      </c>
      <c r="F3675" t="s">
        <v>19</v>
      </c>
      <c r="G3675" t="s">
        <v>69</v>
      </c>
      <c r="H3675" t="s">
        <v>31</v>
      </c>
      <c r="I3675" s="12">
        <v>0.66319444444444442</v>
      </c>
      <c r="J3675" t="s">
        <v>70</v>
      </c>
      <c r="K3675" t="s">
        <v>31</v>
      </c>
      <c r="L3675" s="12">
        <v>0.69097222222222221</v>
      </c>
      <c r="M3675" t="s">
        <v>33</v>
      </c>
      <c r="N3675" s="3">
        <v>189</v>
      </c>
      <c r="O3675" t="s">
        <v>24</v>
      </c>
      <c r="P3675" t="s">
        <v>56</v>
      </c>
      <c r="R3675">
        <f>tblDailySchedule[[#This Row],[Capacity Approx]]*'[1]Load Factor Sheet June Acft  '!$B$5</f>
        <v>153.04704545454547</v>
      </c>
      <c r="S3675">
        <f>tblDailySchedule[[#This Row],[Capacity Approx]]*'[1]Load Factor Sheet June Acft  '!$D$5</f>
        <v>165.71863636363636</v>
      </c>
      <c r="T3675" s="22">
        <f>tblDailySchedule[[#This Row],[STD]]</f>
        <v>0.69097222222222221</v>
      </c>
    </row>
    <row r="3676" spans="1:20" hidden="1" x14ac:dyDescent="0.35">
      <c r="A3676" s="11">
        <v>46242</v>
      </c>
      <c r="B3676" s="3">
        <v>6</v>
      </c>
      <c r="C3676" t="s">
        <v>116</v>
      </c>
      <c r="D3676" t="s">
        <v>18</v>
      </c>
      <c r="E3676" s="3">
        <v>18</v>
      </c>
      <c r="F3676" t="s">
        <v>19</v>
      </c>
      <c r="G3676" t="s">
        <v>71</v>
      </c>
      <c r="H3676" t="s">
        <v>21</v>
      </c>
      <c r="I3676" s="12">
        <v>0.67013888888888884</v>
      </c>
      <c r="J3676" t="s">
        <v>72</v>
      </c>
      <c r="K3676" t="s">
        <v>21</v>
      </c>
      <c r="L3676" s="12">
        <v>0.69791666666666663</v>
      </c>
      <c r="M3676" t="s">
        <v>63</v>
      </c>
      <c r="N3676" s="3">
        <v>232</v>
      </c>
      <c r="O3676" t="s">
        <v>24</v>
      </c>
      <c r="P3676" t="s">
        <v>56</v>
      </c>
      <c r="R3676">
        <f>tblDailySchedule[[#This Row],[Capacity Approx]]*'[1]Load Factor Sheet June Acft  '!$B$5</f>
        <v>187.86727272727273</v>
      </c>
      <c r="S3676">
        <f>tblDailySchedule[[#This Row],[Capacity Approx]]*'[1]Load Factor Sheet June Acft  '!$D$5</f>
        <v>203.4218181818182</v>
      </c>
      <c r="T3676" s="22">
        <f>tblDailySchedule[[#This Row],[STD]]</f>
        <v>0.69791666666666663</v>
      </c>
    </row>
    <row r="3677" spans="1:20" hidden="1" x14ac:dyDescent="0.35">
      <c r="A3677" s="11">
        <v>46242</v>
      </c>
      <c r="B3677" s="3">
        <v>6</v>
      </c>
      <c r="C3677" t="s">
        <v>116</v>
      </c>
      <c r="D3677" t="s">
        <v>18</v>
      </c>
      <c r="E3677" s="3">
        <v>19</v>
      </c>
      <c r="F3677" t="s">
        <v>19</v>
      </c>
      <c r="G3677" t="s">
        <v>73</v>
      </c>
      <c r="H3677" t="s">
        <v>27</v>
      </c>
      <c r="I3677" s="12">
        <v>0.74652777777777779</v>
      </c>
      <c r="J3677" t="s">
        <v>74</v>
      </c>
      <c r="K3677" t="s">
        <v>27</v>
      </c>
      <c r="L3677" s="12">
        <v>0.77430555555555558</v>
      </c>
      <c r="M3677" t="s">
        <v>63</v>
      </c>
      <c r="N3677" s="3">
        <v>232</v>
      </c>
      <c r="O3677" t="s">
        <v>24</v>
      </c>
      <c r="P3677" t="s">
        <v>56</v>
      </c>
      <c r="R3677">
        <f>tblDailySchedule[[#This Row],[Capacity Approx]]*'[1]Load Factor Sheet June Acft  '!$B$5</f>
        <v>187.86727272727273</v>
      </c>
      <c r="S3677">
        <f>tblDailySchedule[[#This Row],[Capacity Approx]]*'[1]Load Factor Sheet June Acft  '!$D$5</f>
        <v>203.4218181818182</v>
      </c>
      <c r="T3677" s="22">
        <f>tblDailySchedule[[#This Row],[STD]]</f>
        <v>0.77430555555555558</v>
      </c>
    </row>
    <row r="3678" spans="1:20" hidden="1" x14ac:dyDescent="0.35">
      <c r="A3678" s="11">
        <v>46242</v>
      </c>
      <c r="B3678" s="3">
        <v>6</v>
      </c>
      <c r="C3678" t="s">
        <v>116</v>
      </c>
      <c r="D3678" t="s">
        <v>18</v>
      </c>
      <c r="E3678" s="3">
        <v>21</v>
      </c>
      <c r="F3678" t="s">
        <v>19</v>
      </c>
      <c r="G3678" t="s">
        <v>81</v>
      </c>
      <c r="H3678" t="s">
        <v>61</v>
      </c>
      <c r="I3678" s="12">
        <v>0.77083333333333337</v>
      </c>
      <c r="J3678" t="s">
        <v>82</v>
      </c>
      <c r="K3678" t="s">
        <v>49</v>
      </c>
      <c r="L3678" s="12">
        <v>0.79166666666666663</v>
      </c>
      <c r="M3678" t="s">
        <v>33</v>
      </c>
      <c r="N3678" s="3">
        <v>189</v>
      </c>
      <c r="O3678" t="s">
        <v>24</v>
      </c>
      <c r="P3678" t="s">
        <v>79</v>
      </c>
      <c r="R3678">
        <f>tblDailySchedule[[#This Row],[Capacity Approx]]*'[1]Load Factor Sheet June Acft  '!$B$5</f>
        <v>153.04704545454547</v>
      </c>
      <c r="S3678">
        <f>tblDailySchedule[[#This Row],[Capacity Approx]]*'[1]Load Factor Sheet June Acft  '!$D$5</f>
        <v>165.71863636363636</v>
      </c>
      <c r="T3678" s="22">
        <f>tblDailySchedule[[#This Row],[STD]]</f>
        <v>0.79166666666666663</v>
      </c>
    </row>
    <row r="3679" spans="1:20" hidden="1" x14ac:dyDescent="0.35">
      <c r="A3679" s="11">
        <v>46242</v>
      </c>
      <c r="B3679" s="3">
        <v>6</v>
      </c>
      <c r="C3679" t="s">
        <v>116</v>
      </c>
      <c r="D3679" t="s">
        <v>18</v>
      </c>
      <c r="E3679" s="3">
        <v>22</v>
      </c>
      <c r="F3679" t="s">
        <v>19</v>
      </c>
      <c r="G3679" t="s">
        <v>83</v>
      </c>
      <c r="H3679" t="s">
        <v>31</v>
      </c>
      <c r="I3679" s="12">
        <v>0.77777777777777779</v>
      </c>
      <c r="J3679" t="s">
        <v>84</v>
      </c>
      <c r="K3679" t="s">
        <v>31</v>
      </c>
      <c r="L3679" s="12">
        <v>0.80555555555555558</v>
      </c>
      <c r="M3679" t="s">
        <v>63</v>
      </c>
      <c r="N3679" s="3">
        <v>232</v>
      </c>
      <c r="O3679" t="s">
        <v>24</v>
      </c>
      <c r="P3679" t="s">
        <v>79</v>
      </c>
      <c r="R3679">
        <f>tblDailySchedule[[#This Row],[Capacity Approx]]*'[1]Load Factor Sheet June Acft  '!$B$5</f>
        <v>187.86727272727273</v>
      </c>
      <c r="S3679">
        <f>tblDailySchedule[[#This Row],[Capacity Approx]]*'[1]Load Factor Sheet June Acft  '!$D$5</f>
        <v>203.4218181818182</v>
      </c>
      <c r="T3679" s="22">
        <f>tblDailySchedule[[#This Row],[STD]]</f>
        <v>0.80555555555555558</v>
      </c>
    </row>
    <row r="3680" spans="1:20" hidden="1" x14ac:dyDescent="0.35">
      <c r="A3680" s="11">
        <v>46242</v>
      </c>
      <c r="B3680" s="3">
        <v>6</v>
      </c>
      <c r="C3680" t="s">
        <v>116</v>
      </c>
      <c r="D3680" t="s">
        <v>18</v>
      </c>
      <c r="E3680" s="3">
        <v>23</v>
      </c>
      <c r="F3680" t="s">
        <v>19</v>
      </c>
      <c r="G3680" t="s">
        <v>85</v>
      </c>
      <c r="H3680" t="s">
        <v>86</v>
      </c>
      <c r="I3680" s="12">
        <v>0.79861111111111116</v>
      </c>
      <c r="J3680" t="s">
        <v>87</v>
      </c>
      <c r="K3680" t="s">
        <v>86</v>
      </c>
      <c r="L3680" s="12">
        <v>0.82638888888888884</v>
      </c>
      <c r="M3680" t="s">
        <v>63</v>
      </c>
      <c r="N3680" s="3">
        <v>232</v>
      </c>
      <c r="O3680" t="s">
        <v>24</v>
      </c>
      <c r="P3680" t="s">
        <v>79</v>
      </c>
      <c r="R3680">
        <f>tblDailySchedule[[#This Row],[Capacity Approx]]*'[1]Load Factor Sheet June Acft  '!$B$5</f>
        <v>187.86727272727273</v>
      </c>
      <c r="S3680">
        <f>tblDailySchedule[[#This Row],[Capacity Approx]]*'[1]Load Factor Sheet June Acft  '!$D$5</f>
        <v>203.4218181818182</v>
      </c>
      <c r="T3680" s="22">
        <f>tblDailySchedule[[#This Row],[STD]]</f>
        <v>0.82638888888888884</v>
      </c>
    </row>
    <row r="3681" spans="1:20" hidden="1" x14ac:dyDescent="0.35">
      <c r="A3681" s="11">
        <v>46242</v>
      </c>
      <c r="B3681" s="3">
        <v>6</v>
      </c>
      <c r="C3681" t="s">
        <v>116</v>
      </c>
      <c r="D3681" t="s">
        <v>18</v>
      </c>
      <c r="E3681" s="3">
        <v>24</v>
      </c>
      <c r="F3681" t="s">
        <v>19</v>
      </c>
      <c r="G3681" t="s">
        <v>88</v>
      </c>
      <c r="H3681" t="s">
        <v>89</v>
      </c>
      <c r="I3681" s="12">
        <v>0.83333333333333337</v>
      </c>
      <c r="J3681" t="s">
        <v>90</v>
      </c>
      <c r="K3681" t="s">
        <v>31</v>
      </c>
      <c r="L3681" s="12">
        <v>0.86111111111111116</v>
      </c>
      <c r="M3681" t="s">
        <v>63</v>
      </c>
      <c r="N3681" s="3">
        <v>232</v>
      </c>
      <c r="O3681" t="s">
        <v>24</v>
      </c>
      <c r="P3681" t="s">
        <v>79</v>
      </c>
      <c r="R3681">
        <f>tblDailySchedule[[#This Row],[Capacity Approx]]*'[1]Load Factor Sheet June Acft  '!$B$5</f>
        <v>187.86727272727273</v>
      </c>
      <c r="S3681">
        <f>tblDailySchedule[[#This Row],[Capacity Approx]]*'[1]Load Factor Sheet June Acft  '!$D$5</f>
        <v>203.4218181818182</v>
      </c>
      <c r="T3681" s="22">
        <f>tblDailySchedule[[#This Row],[STD]]</f>
        <v>0.86111111111111116</v>
      </c>
    </row>
    <row r="3682" spans="1:20" hidden="1" x14ac:dyDescent="0.35">
      <c r="A3682" s="11">
        <v>46242</v>
      </c>
      <c r="B3682" s="3">
        <v>6</v>
      </c>
      <c r="C3682" t="s">
        <v>116</v>
      </c>
      <c r="D3682" t="s">
        <v>18</v>
      </c>
      <c r="E3682" s="3">
        <v>25</v>
      </c>
      <c r="F3682" t="s">
        <v>19</v>
      </c>
      <c r="G3682" t="s">
        <v>91</v>
      </c>
      <c r="H3682" t="s">
        <v>61</v>
      </c>
      <c r="I3682" s="12">
        <v>0.85416666666666663</v>
      </c>
      <c r="J3682" t="s">
        <v>92</v>
      </c>
      <c r="K3682" t="s">
        <v>61</v>
      </c>
      <c r="L3682" s="12">
        <v>0.88194444444444442</v>
      </c>
      <c r="M3682" t="s">
        <v>63</v>
      </c>
      <c r="N3682" s="3">
        <v>232</v>
      </c>
      <c r="O3682" t="s">
        <v>24</v>
      </c>
      <c r="P3682" t="s">
        <v>79</v>
      </c>
      <c r="R3682">
        <f>tblDailySchedule[[#This Row],[Capacity Approx]]*'[1]Load Factor Sheet June Acft  '!$B$5</f>
        <v>187.86727272727273</v>
      </c>
      <c r="S3682">
        <f>tblDailySchedule[[#This Row],[Capacity Approx]]*'[1]Load Factor Sheet June Acft  '!$D$5</f>
        <v>203.4218181818182</v>
      </c>
      <c r="T3682" s="22">
        <f>tblDailySchedule[[#This Row],[STD]]</f>
        <v>0.88194444444444442</v>
      </c>
    </row>
    <row r="3683" spans="1:20" hidden="1" x14ac:dyDescent="0.35">
      <c r="A3683" s="11">
        <v>46242</v>
      </c>
      <c r="B3683" s="3">
        <v>6</v>
      </c>
      <c r="C3683" t="s">
        <v>116</v>
      </c>
      <c r="D3683" t="s">
        <v>18</v>
      </c>
      <c r="E3683" s="3">
        <v>26</v>
      </c>
      <c r="F3683" t="s">
        <v>19</v>
      </c>
      <c r="G3683" t="s">
        <v>93</v>
      </c>
      <c r="H3683" t="s">
        <v>31</v>
      </c>
      <c r="I3683" s="12">
        <v>0.86111111111111116</v>
      </c>
      <c r="J3683" t="s">
        <v>94</v>
      </c>
      <c r="K3683" t="s">
        <v>31</v>
      </c>
      <c r="L3683" s="12">
        <v>0.88888888888888884</v>
      </c>
      <c r="M3683" t="s">
        <v>23</v>
      </c>
      <c r="N3683" s="3">
        <v>186</v>
      </c>
      <c r="O3683" t="s">
        <v>24</v>
      </c>
      <c r="P3683" t="s">
        <v>79</v>
      </c>
      <c r="R3683">
        <f>tblDailySchedule[[#This Row],[Capacity Approx]]*'[1]Load Factor Sheet June Acft  '!$B$5</f>
        <v>150.61772727272728</v>
      </c>
      <c r="S3683">
        <f>tblDailySchedule[[#This Row],[Capacity Approx]]*'[1]Load Factor Sheet June Acft  '!$D$5</f>
        <v>163.08818181818182</v>
      </c>
      <c r="T3683" s="22">
        <f>tblDailySchedule[[#This Row],[STD]]</f>
        <v>0.88888888888888884</v>
      </c>
    </row>
    <row r="3684" spans="1:20" hidden="1" x14ac:dyDescent="0.35">
      <c r="A3684" s="11">
        <v>46242</v>
      </c>
      <c r="B3684" s="3">
        <v>6</v>
      </c>
      <c r="C3684" t="s">
        <v>116</v>
      </c>
      <c r="D3684" t="s">
        <v>18</v>
      </c>
      <c r="E3684" s="3">
        <v>27</v>
      </c>
      <c r="F3684" t="s">
        <v>19</v>
      </c>
      <c r="G3684" t="s">
        <v>95</v>
      </c>
      <c r="H3684" t="s">
        <v>21</v>
      </c>
      <c r="I3684" s="12">
        <v>0.86805555555555558</v>
      </c>
      <c r="J3684" t="s">
        <v>96</v>
      </c>
      <c r="K3684" t="s">
        <v>21</v>
      </c>
      <c r="L3684" s="12">
        <v>0.89583333333333337</v>
      </c>
      <c r="M3684" t="s">
        <v>29</v>
      </c>
      <c r="N3684" s="3">
        <v>186</v>
      </c>
      <c r="O3684" t="s">
        <v>24</v>
      </c>
      <c r="P3684" t="s">
        <v>79</v>
      </c>
      <c r="R3684">
        <f>tblDailySchedule[[#This Row],[Capacity Approx]]*'[1]Load Factor Sheet June Acft  '!$B$5</f>
        <v>150.61772727272728</v>
      </c>
      <c r="S3684">
        <f>tblDailySchedule[[#This Row],[Capacity Approx]]*'[1]Load Factor Sheet June Acft  '!$D$5</f>
        <v>163.08818181818182</v>
      </c>
      <c r="T3684" s="22">
        <f>tblDailySchedule[[#This Row],[STD]]</f>
        <v>0.89583333333333337</v>
      </c>
    </row>
    <row r="3685" spans="1:20" hidden="1" x14ac:dyDescent="0.35">
      <c r="A3685" s="11">
        <v>46242</v>
      </c>
      <c r="B3685" s="3">
        <v>6</v>
      </c>
      <c r="C3685" t="s">
        <v>116</v>
      </c>
      <c r="D3685" t="s">
        <v>18</v>
      </c>
      <c r="E3685" s="3">
        <v>28</v>
      </c>
      <c r="F3685" t="s">
        <v>19</v>
      </c>
      <c r="G3685" t="s">
        <v>97</v>
      </c>
      <c r="H3685" t="s">
        <v>49</v>
      </c>
      <c r="I3685" s="12">
        <v>0.90277777777777779</v>
      </c>
      <c r="J3685" t="s">
        <v>97</v>
      </c>
      <c r="K3685" t="s">
        <v>61</v>
      </c>
      <c r="L3685" s="12">
        <v>0.92361111111111116</v>
      </c>
      <c r="M3685" t="s">
        <v>33</v>
      </c>
      <c r="N3685" s="3">
        <v>189</v>
      </c>
      <c r="O3685" t="s">
        <v>24</v>
      </c>
      <c r="P3685" t="s">
        <v>79</v>
      </c>
      <c r="R3685">
        <f>tblDailySchedule[[#This Row],[Capacity Approx]]*'[1]Load Factor Sheet June Acft  '!$B$5</f>
        <v>153.04704545454547</v>
      </c>
      <c r="S3685">
        <f>tblDailySchedule[[#This Row],[Capacity Approx]]*'[1]Load Factor Sheet June Acft  '!$D$5</f>
        <v>165.71863636363636</v>
      </c>
      <c r="T3685" s="22">
        <f>tblDailySchedule[[#This Row],[STD]]</f>
        <v>0.92361111111111116</v>
      </c>
    </row>
    <row r="3686" spans="1:20" hidden="1" x14ac:dyDescent="0.35">
      <c r="A3686" s="11">
        <v>46242</v>
      </c>
      <c r="B3686" s="3">
        <v>6</v>
      </c>
      <c r="C3686" t="s">
        <v>116</v>
      </c>
      <c r="D3686" t="s">
        <v>18</v>
      </c>
      <c r="E3686" s="3">
        <v>29</v>
      </c>
      <c r="F3686" t="s">
        <v>19</v>
      </c>
      <c r="G3686" t="s">
        <v>98</v>
      </c>
      <c r="H3686" t="s">
        <v>21</v>
      </c>
      <c r="I3686" s="12">
        <v>0.92013888888888884</v>
      </c>
      <c r="J3686" t="s">
        <v>99</v>
      </c>
      <c r="K3686" t="s">
        <v>21</v>
      </c>
      <c r="L3686" s="12">
        <v>0.94791666666666663</v>
      </c>
      <c r="M3686" t="s">
        <v>63</v>
      </c>
      <c r="N3686" s="3">
        <v>232</v>
      </c>
      <c r="O3686" t="s">
        <v>24</v>
      </c>
      <c r="P3686" t="s">
        <v>79</v>
      </c>
      <c r="R3686">
        <f>tblDailySchedule[[#This Row],[Capacity Approx]]*'[1]Load Factor Sheet June Acft  '!$B$5</f>
        <v>187.86727272727273</v>
      </c>
      <c r="S3686">
        <f>tblDailySchedule[[#This Row],[Capacity Approx]]*'[1]Load Factor Sheet June Acft  '!$D$5</f>
        <v>203.4218181818182</v>
      </c>
      <c r="T3686" s="22">
        <f>tblDailySchedule[[#This Row],[STD]]</f>
        <v>0.94791666666666663</v>
      </c>
    </row>
    <row r="3687" spans="1:20" hidden="1" x14ac:dyDescent="0.35">
      <c r="A3687" s="13">
        <v>46242</v>
      </c>
      <c r="B3687" s="7">
        <v>6</v>
      </c>
      <c r="C3687" s="14" t="s">
        <v>116</v>
      </c>
      <c r="D3687" s="14" t="s">
        <v>18</v>
      </c>
      <c r="E3687" s="7">
        <v>30</v>
      </c>
      <c r="F3687" s="14" t="s">
        <v>104</v>
      </c>
      <c r="G3687" s="14" t="s">
        <v>105</v>
      </c>
      <c r="H3687" s="14" t="s">
        <v>106</v>
      </c>
      <c r="I3687" s="15">
        <v>0.92708333333333337</v>
      </c>
      <c r="J3687" s="14" t="s">
        <v>107</v>
      </c>
      <c r="K3687" s="14" t="s">
        <v>106</v>
      </c>
      <c r="L3687" s="15">
        <v>0.95833333333333337</v>
      </c>
      <c r="M3687" s="14" t="s">
        <v>38</v>
      </c>
      <c r="N3687" s="7">
        <v>186</v>
      </c>
      <c r="O3687" s="14" t="s">
        <v>39</v>
      </c>
      <c r="P3687" s="14" t="s">
        <v>79</v>
      </c>
      <c r="Q3687" s="14" t="s">
        <v>39</v>
      </c>
      <c r="R3687">
        <f>tblDailySchedule[[#This Row],[Capacity Approx]]*'[1]Load Factor Sheet June Acft  '!$B$5</f>
        <v>150.61772727272728</v>
      </c>
      <c r="S3687">
        <f>tblDailySchedule[[#This Row],[Capacity Approx]]*'[1]Load Factor Sheet June Acft  '!$D$5</f>
        <v>163.08818181818182</v>
      </c>
      <c r="T3687" s="22">
        <f>tblDailySchedule[[#This Row],[STD]]</f>
        <v>0.95833333333333337</v>
      </c>
    </row>
    <row r="3688" spans="1:20" hidden="1" x14ac:dyDescent="0.35">
      <c r="A3688" s="11">
        <v>46243</v>
      </c>
      <c r="B3688" s="3">
        <v>7</v>
      </c>
      <c r="C3688" t="s">
        <v>17</v>
      </c>
      <c r="D3688" t="s">
        <v>18</v>
      </c>
      <c r="E3688" s="3">
        <v>2</v>
      </c>
      <c r="F3688" t="s">
        <v>19</v>
      </c>
      <c r="G3688" t="s">
        <v>20</v>
      </c>
      <c r="H3688" t="s">
        <v>21</v>
      </c>
      <c r="I3688" s="12">
        <v>0.31944444444444442</v>
      </c>
      <c r="J3688" t="s">
        <v>22</v>
      </c>
      <c r="K3688" t="s">
        <v>21</v>
      </c>
      <c r="L3688" s="12">
        <v>0.34722222222222221</v>
      </c>
      <c r="M3688" t="s">
        <v>23</v>
      </c>
      <c r="N3688" s="3">
        <v>186</v>
      </c>
      <c r="O3688" t="s">
        <v>24</v>
      </c>
      <c r="P3688" t="s">
        <v>25</v>
      </c>
      <c r="R3688">
        <f>tblDailySchedule[[#This Row],[Capacity Approx]]*'[1]Load Factor Sheet June Acft  '!$B$5</f>
        <v>150.61772727272728</v>
      </c>
      <c r="S3688">
        <f>tblDailySchedule[[#This Row],[Capacity Approx]]*'[1]Load Factor Sheet June Acft  '!$D$5</f>
        <v>163.08818181818182</v>
      </c>
      <c r="T3688" s="22">
        <f>tblDailySchedule[[#This Row],[STD]]</f>
        <v>0.34722222222222221</v>
      </c>
    </row>
    <row r="3689" spans="1:20" hidden="1" x14ac:dyDescent="0.35">
      <c r="A3689" s="11">
        <v>46243</v>
      </c>
      <c r="B3689" s="3">
        <v>7</v>
      </c>
      <c r="C3689" t="s">
        <v>17</v>
      </c>
      <c r="D3689" t="s">
        <v>18</v>
      </c>
      <c r="E3689" s="3">
        <v>3</v>
      </c>
      <c r="F3689" t="s">
        <v>19</v>
      </c>
      <c r="G3689" t="s">
        <v>26</v>
      </c>
      <c r="H3689" t="s">
        <v>27</v>
      </c>
      <c r="I3689" s="12">
        <v>0.3263888888888889</v>
      </c>
      <c r="J3689" t="s">
        <v>28</v>
      </c>
      <c r="K3689" t="s">
        <v>27</v>
      </c>
      <c r="L3689" s="12">
        <v>0.35416666666666669</v>
      </c>
      <c r="M3689" t="s">
        <v>29</v>
      </c>
      <c r="N3689" s="3">
        <v>186</v>
      </c>
      <c r="O3689" t="s">
        <v>24</v>
      </c>
      <c r="P3689" t="s">
        <v>25</v>
      </c>
      <c r="R3689">
        <f>tblDailySchedule[[#This Row],[Capacity Approx]]*'[1]Load Factor Sheet June Acft  '!$B$5</f>
        <v>150.61772727272728</v>
      </c>
      <c r="S3689">
        <f>tblDailySchedule[[#This Row],[Capacity Approx]]*'[1]Load Factor Sheet June Acft  '!$D$5</f>
        <v>163.08818181818182</v>
      </c>
      <c r="T3689" s="22">
        <f>tblDailySchedule[[#This Row],[STD]]</f>
        <v>0.35416666666666669</v>
      </c>
    </row>
    <row r="3690" spans="1:20" hidden="1" x14ac:dyDescent="0.35">
      <c r="A3690" s="11">
        <v>46243</v>
      </c>
      <c r="B3690" s="3">
        <v>7</v>
      </c>
      <c r="C3690" t="s">
        <v>17</v>
      </c>
      <c r="D3690" t="s">
        <v>18</v>
      </c>
      <c r="E3690" s="3">
        <v>4</v>
      </c>
      <c r="F3690" t="s">
        <v>19</v>
      </c>
      <c r="G3690" t="s">
        <v>30</v>
      </c>
      <c r="H3690" t="s">
        <v>31</v>
      </c>
      <c r="I3690" s="12">
        <v>0.34722222222222221</v>
      </c>
      <c r="J3690" t="s">
        <v>32</v>
      </c>
      <c r="K3690" t="s">
        <v>31</v>
      </c>
      <c r="L3690" s="12">
        <v>0.36805555555555558</v>
      </c>
      <c r="M3690" t="s">
        <v>33</v>
      </c>
      <c r="N3690" s="3">
        <v>189</v>
      </c>
      <c r="O3690" t="s">
        <v>24</v>
      </c>
      <c r="P3690" t="s">
        <v>25</v>
      </c>
      <c r="R3690">
        <f>tblDailySchedule[[#This Row],[Capacity Approx]]*'[1]Load Factor Sheet June Acft  '!$B$5</f>
        <v>153.04704545454547</v>
      </c>
      <c r="S3690">
        <f>tblDailySchedule[[#This Row],[Capacity Approx]]*'[1]Load Factor Sheet June Acft  '!$D$5</f>
        <v>165.71863636363636</v>
      </c>
      <c r="T3690" s="22">
        <f>tblDailySchedule[[#This Row],[STD]]</f>
        <v>0.36805555555555558</v>
      </c>
    </row>
    <row r="3691" spans="1:20" hidden="1" x14ac:dyDescent="0.35">
      <c r="A3691" s="13">
        <v>46243</v>
      </c>
      <c r="B3691" s="7">
        <v>7</v>
      </c>
      <c r="C3691" s="14" t="s">
        <v>17</v>
      </c>
      <c r="D3691" s="14" t="s">
        <v>18</v>
      </c>
      <c r="E3691" s="7">
        <v>6</v>
      </c>
      <c r="F3691" s="14" t="s">
        <v>34</v>
      </c>
      <c r="G3691" s="14" t="s">
        <v>35</v>
      </c>
      <c r="H3691" s="14" t="s">
        <v>36</v>
      </c>
      <c r="I3691" s="15">
        <v>0.34722222222222221</v>
      </c>
      <c r="J3691" s="14" t="s">
        <v>37</v>
      </c>
      <c r="K3691" s="14" t="s">
        <v>36</v>
      </c>
      <c r="L3691" s="15">
        <v>0.40972222222222221</v>
      </c>
      <c r="M3691" s="14" t="s">
        <v>38</v>
      </c>
      <c r="N3691" s="7">
        <v>186</v>
      </c>
      <c r="O3691" s="14" t="s">
        <v>39</v>
      </c>
      <c r="P3691" s="14" t="s">
        <v>25</v>
      </c>
      <c r="Q3691" s="14" t="s">
        <v>39</v>
      </c>
      <c r="R3691">
        <f>tblDailySchedule[[#This Row],[Capacity Approx]]*'[1]Load Factor Sheet June Acft  '!$B$5</f>
        <v>150.61772727272728</v>
      </c>
      <c r="S3691">
        <f>tblDailySchedule[[#This Row],[Capacity Approx]]*'[1]Load Factor Sheet June Acft  '!$D$5</f>
        <v>163.08818181818182</v>
      </c>
      <c r="T3691" s="22">
        <f>tblDailySchedule[[#This Row],[STD]]</f>
        <v>0.40972222222222221</v>
      </c>
    </row>
    <row r="3692" spans="1:20" hidden="1" x14ac:dyDescent="0.35">
      <c r="A3692" s="11">
        <v>46243</v>
      </c>
      <c r="B3692" s="3">
        <v>7</v>
      </c>
      <c r="C3692" t="s">
        <v>17</v>
      </c>
      <c r="D3692" t="s">
        <v>18</v>
      </c>
      <c r="E3692" s="3">
        <v>5</v>
      </c>
      <c r="F3692" t="s">
        <v>19</v>
      </c>
      <c r="G3692" t="s">
        <v>40</v>
      </c>
      <c r="H3692" t="s">
        <v>31</v>
      </c>
      <c r="I3692" s="12">
        <v>0.35069444444444442</v>
      </c>
      <c r="J3692" t="s">
        <v>41</v>
      </c>
      <c r="K3692" t="s">
        <v>31</v>
      </c>
      <c r="L3692" s="12">
        <v>0.37152777777777779</v>
      </c>
      <c r="M3692" t="s">
        <v>23</v>
      </c>
      <c r="N3692" s="3">
        <v>186</v>
      </c>
      <c r="O3692" t="s">
        <v>24</v>
      </c>
      <c r="P3692" t="s">
        <v>25</v>
      </c>
      <c r="R3692">
        <f>tblDailySchedule[[#This Row],[Capacity Approx]]*'[1]Load Factor Sheet June Acft  '!$B$5</f>
        <v>150.61772727272728</v>
      </c>
      <c r="S3692">
        <f>tblDailySchedule[[#This Row],[Capacity Approx]]*'[1]Load Factor Sheet June Acft  '!$D$5</f>
        <v>163.08818181818182</v>
      </c>
      <c r="T3692" s="22">
        <f>tblDailySchedule[[#This Row],[STD]]</f>
        <v>0.37152777777777779</v>
      </c>
    </row>
    <row r="3693" spans="1:20" hidden="1" x14ac:dyDescent="0.35">
      <c r="A3693" s="11">
        <v>46243</v>
      </c>
      <c r="B3693" s="3">
        <v>7</v>
      </c>
      <c r="C3693" t="s">
        <v>17</v>
      </c>
      <c r="D3693" t="s">
        <v>18</v>
      </c>
      <c r="E3693" s="3">
        <v>7</v>
      </c>
      <c r="F3693" t="s">
        <v>19</v>
      </c>
      <c r="G3693" t="s">
        <v>42</v>
      </c>
      <c r="H3693" t="s">
        <v>43</v>
      </c>
      <c r="I3693" s="12">
        <v>0.3923611111111111</v>
      </c>
      <c r="J3693" t="s">
        <v>44</v>
      </c>
      <c r="K3693" t="s">
        <v>43</v>
      </c>
      <c r="L3693" s="12">
        <v>0.40277777777777779</v>
      </c>
      <c r="M3693" t="s">
        <v>45</v>
      </c>
      <c r="N3693" s="3">
        <v>9</v>
      </c>
      <c r="O3693" t="s">
        <v>24</v>
      </c>
      <c r="P3693" t="s">
        <v>25</v>
      </c>
      <c r="R3693">
        <f>tblDailySchedule[[#This Row],[Capacity Approx]]*'[1]Load Factor Sheet June Acft  '!$B$5</f>
        <v>7.2879545454545456</v>
      </c>
      <c r="S3693">
        <f>tblDailySchedule[[#This Row],[Capacity Approx]]*'[1]Load Factor Sheet June Acft  '!$D$5</f>
        <v>7.8913636363636366</v>
      </c>
      <c r="T3693" s="22">
        <f>tblDailySchedule[[#This Row],[STD]]</f>
        <v>0.40277777777777779</v>
      </c>
    </row>
    <row r="3694" spans="1:20" hidden="1" x14ac:dyDescent="0.35">
      <c r="A3694" s="11">
        <v>46243</v>
      </c>
      <c r="B3694" s="3">
        <v>7</v>
      </c>
      <c r="C3694" t="s">
        <v>17</v>
      </c>
      <c r="D3694" t="s">
        <v>18</v>
      </c>
      <c r="E3694" s="3">
        <v>8</v>
      </c>
      <c r="F3694" t="s">
        <v>19</v>
      </c>
      <c r="G3694" t="s">
        <v>46</v>
      </c>
      <c r="H3694" t="s">
        <v>31</v>
      </c>
      <c r="I3694" s="12">
        <v>0.4201388888888889</v>
      </c>
      <c r="J3694" t="s">
        <v>47</v>
      </c>
      <c r="K3694" t="s">
        <v>31</v>
      </c>
      <c r="L3694" s="12">
        <v>0.44444444444444442</v>
      </c>
      <c r="M3694" t="s">
        <v>29</v>
      </c>
      <c r="N3694" s="3">
        <v>186</v>
      </c>
      <c r="O3694" t="s">
        <v>24</v>
      </c>
      <c r="P3694" t="s">
        <v>25</v>
      </c>
      <c r="R3694">
        <f>tblDailySchedule[[#This Row],[Capacity Approx]]*'[1]Load Factor Sheet June Acft  '!$B$5</f>
        <v>150.61772727272728</v>
      </c>
      <c r="S3694">
        <f>tblDailySchedule[[#This Row],[Capacity Approx]]*'[1]Load Factor Sheet June Acft  '!$D$5</f>
        <v>163.08818181818182</v>
      </c>
      <c r="T3694" s="22">
        <f>tblDailySchedule[[#This Row],[STD]]</f>
        <v>0.44444444444444442</v>
      </c>
    </row>
    <row r="3695" spans="1:20" hidden="1" x14ac:dyDescent="0.35">
      <c r="A3695" s="11">
        <v>46243</v>
      </c>
      <c r="B3695" s="3">
        <v>7</v>
      </c>
      <c r="C3695" t="s">
        <v>17</v>
      </c>
      <c r="D3695" t="s">
        <v>18</v>
      </c>
      <c r="E3695" s="3">
        <v>9</v>
      </c>
      <c r="F3695" t="s">
        <v>19</v>
      </c>
      <c r="G3695" t="s">
        <v>48</v>
      </c>
      <c r="H3695" t="s">
        <v>49</v>
      </c>
      <c r="I3695" s="12">
        <v>0.4375</v>
      </c>
      <c r="J3695" t="s">
        <v>50</v>
      </c>
      <c r="K3695" t="s">
        <v>49</v>
      </c>
      <c r="L3695" s="12">
        <v>0.45833333333333331</v>
      </c>
      <c r="M3695" t="s">
        <v>51</v>
      </c>
      <c r="N3695" s="3">
        <v>78</v>
      </c>
      <c r="O3695" t="s">
        <v>24</v>
      </c>
      <c r="P3695" t="s">
        <v>25</v>
      </c>
      <c r="R3695">
        <f>tblDailySchedule[[#This Row],[Capacity Approx]]*'[1]Load Factor Sheet June Acft  '!$B$5</f>
        <v>63.162272727272729</v>
      </c>
      <c r="S3695">
        <f>tblDailySchedule[[#This Row],[Capacity Approx]]*'[1]Load Factor Sheet June Acft  '!$D$5</f>
        <v>68.391818181818181</v>
      </c>
      <c r="T3695" s="22">
        <f>tblDailySchedule[[#This Row],[STD]]</f>
        <v>0.45833333333333331</v>
      </c>
    </row>
    <row r="3696" spans="1:20" hidden="1" x14ac:dyDescent="0.35">
      <c r="A3696" s="11">
        <v>46243</v>
      </c>
      <c r="B3696" s="3">
        <v>7</v>
      </c>
      <c r="C3696" t="s">
        <v>17</v>
      </c>
      <c r="D3696" t="s">
        <v>18</v>
      </c>
      <c r="E3696" s="3">
        <v>10</v>
      </c>
      <c r="F3696" t="s">
        <v>19</v>
      </c>
      <c r="G3696" t="s">
        <v>52</v>
      </c>
      <c r="H3696" t="s">
        <v>27</v>
      </c>
      <c r="I3696" s="12">
        <v>0.4826388888888889</v>
      </c>
      <c r="J3696" t="s">
        <v>53</v>
      </c>
      <c r="K3696" t="s">
        <v>27</v>
      </c>
      <c r="L3696" s="12">
        <v>0.51041666666666663</v>
      </c>
      <c r="M3696" t="s">
        <v>23</v>
      </c>
      <c r="N3696" s="3">
        <v>186</v>
      </c>
      <c r="O3696" t="s">
        <v>24</v>
      </c>
      <c r="P3696" t="s">
        <v>25</v>
      </c>
      <c r="R3696">
        <f>tblDailySchedule[[#This Row],[Capacity Approx]]*'[1]Load Factor Sheet June Acft  '!$B$5</f>
        <v>150.61772727272728</v>
      </c>
      <c r="S3696">
        <f>tblDailySchedule[[#This Row],[Capacity Approx]]*'[1]Load Factor Sheet June Acft  '!$D$5</f>
        <v>163.08818181818182</v>
      </c>
      <c r="T3696" s="22">
        <f>tblDailySchedule[[#This Row],[STD]]</f>
        <v>0.51041666666666663</v>
      </c>
    </row>
    <row r="3697" spans="1:20" hidden="1" x14ac:dyDescent="0.35">
      <c r="A3697" s="11">
        <v>46243</v>
      </c>
      <c r="B3697" s="3">
        <v>7</v>
      </c>
      <c r="C3697" t="s">
        <v>17</v>
      </c>
      <c r="D3697" t="s">
        <v>18</v>
      </c>
      <c r="E3697" s="3">
        <v>11</v>
      </c>
      <c r="F3697" t="s">
        <v>19</v>
      </c>
      <c r="G3697" t="s">
        <v>54</v>
      </c>
      <c r="H3697" t="s">
        <v>31</v>
      </c>
      <c r="I3697" s="12">
        <v>0.51388888888888884</v>
      </c>
      <c r="J3697" t="s">
        <v>55</v>
      </c>
      <c r="K3697" t="s">
        <v>31</v>
      </c>
      <c r="L3697" s="12">
        <v>0.54166666666666663</v>
      </c>
      <c r="M3697" t="s">
        <v>23</v>
      </c>
      <c r="N3697" s="3">
        <v>186</v>
      </c>
      <c r="O3697" t="s">
        <v>24</v>
      </c>
      <c r="P3697" t="s">
        <v>56</v>
      </c>
      <c r="R3697">
        <f>tblDailySchedule[[#This Row],[Capacity Approx]]*'[1]Load Factor Sheet June Acft  '!$B$5</f>
        <v>150.61772727272728</v>
      </c>
      <c r="S3697">
        <f>tblDailySchedule[[#This Row],[Capacity Approx]]*'[1]Load Factor Sheet June Acft  '!$D$5</f>
        <v>163.08818181818182</v>
      </c>
      <c r="T3697" s="22">
        <f>tblDailySchedule[[#This Row],[STD]]</f>
        <v>0.54166666666666663</v>
      </c>
    </row>
    <row r="3698" spans="1:20" hidden="1" x14ac:dyDescent="0.35">
      <c r="A3698" s="11">
        <v>46243</v>
      </c>
      <c r="B3698" s="3">
        <v>7</v>
      </c>
      <c r="C3698" t="s">
        <v>17</v>
      </c>
      <c r="D3698" t="s">
        <v>18</v>
      </c>
      <c r="E3698" s="3">
        <v>13</v>
      </c>
      <c r="F3698" t="s">
        <v>19</v>
      </c>
      <c r="G3698" t="s">
        <v>57</v>
      </c>
      <c r="H3698" t="s">
        <v>58</v>
      </c>
      <c r="I3698" s="12">
        <v>0.55902777777777779</v>
      </c>
      <c r="J3698" t="s">
        <v>59</v>
      </c>
      <c r="K3698" t="s">
        <v>58</v>
      </c>
      <c r="L3698" s="12">
        <v>0.57638888888888884</v>
      </c>
      <c r="M3698" t="s">
        <v>51</v>
      </c>
      <c r="N3698" s="3">
        <v>78</v>
      </c>
      <c r="O3698" t="s">
        <v>24</v>
      </c>
      <c r="P3698" t="s">
        <v>56</v>
      </c>
      <c r="R3698">
        <f>tblDailySchedule[[#This Row],[Capacity Approx]]*'[1]Load Factor Sheet June Acft  '!$B$5</f>
        <v>63.162272727272729</v>
      </c>
      <c r="S3698">
        <f>tblDailySchedule[[#This Row],[Capacity Approx]]*'[1]Load Factor Sheet June Acft  '!$D$5</f>
        <v>68.391818181818181</v>
      </c>
      <c r="T3698" s="22">
        <f>tblDailySchedule[[#This Row],[STD]]</f>
        <v>0.57638888888888884</v>
      </c>
    </row>
    <row r="3699" spans="1:20" hidden="1" x14ac:dyDescent="0.35">
      <c r="A3699" s="11">
        <v>46243</v>
      </c>
      <c r="B3699" s="3">
        <v>7</v>
      </c>
      <c r="C3699" t="s">
        <v>17</v>
      </c>
      <c r="D3699" t="s">
        <v>18</v>
      </c>
      <c r="E3699" s="3">
        <v>14</v>
      </c>
      <c r="F3699" t="s">
        <v>19</v>
      </c>
      <c r="G3699" t="s">
        <v>60</v>
      </c>
      <c r="H3699" t="s">
        <v>61</v>
      </c>
      <c r="I3699" s="12">
        <v>0.59027777777777779</v>
      </c>
      <c r="J3699" t="s">
        <v>62</v>
      </c>
      <c r="K3699" t="s">
        <v>61</v>
      </c>
      <c r="L3699" s="12">
        <v>0.62152777777777779</v>
      </c>
      <c r="M3699" t="s">
        <v>63</v>
      </c>
      <c r="N3699" s="3">
        <v>232</v>
      </c>
      <c r="O3699" t="s">
        <v>24</v>
      </c>
      <c r="P3699" t="s">
        <v>56</v>
      </c>
      <c r="R3699">
        <f>tblDailySchedule[[#This Row],[Capacity Approx]]*'[1]Load Factor Sheet June Acft  '!$B$5</f>
        <v>187.86727272727273</v>
      </c>
      <c r="S3699">
        <f>tblDailySchedule[[#This Row],[Capacity Approx]]*'[1]Load Factor Sheet June Acft  '!$D$5</f>
        <v>203.4218181818182</v>
      </c>
      <c r="T3699" s="22">
        <f>tblDailySchedule[[#This Row],[STD]]</f>
        <v>0.62152777777777779</v>
      </c>
    </row>
    <row r="3700" spans="1:20" hidden="1" x14ac:dyDescent="0.35">
      <c r="A3700" s="11">
        <v>46243</v>
      </c>
      <c r="B3700" s="3">
        <v>7</v>
      </c>
      <c r="C3700" t="s">
        <v>17</v>
      </c>
      <c r="D3700" t="s">
        <v>18</v>
      </c>
      <c r="E3700" s="3">
        <v>15</v>
      </c>
      <c r="F3700" t="s">
        <v>19</v>
      </c>
      <c r="G3700" t="s">
        <v>64</v>
      </c>
      <c r="H3700" t="s">
        <v>31</v>
      </c>
      <c r="I3700" s="12">
        <v>0.60069444444444442</v>
      </c>
      <c r="J3700" t="s">
        <v>65</v>
      </c>
      <c r="K3700" t="s">
        <v>66</v>
      </c>
      <c r="L3700" s="12">
        <v>0.62847222222222221</v>
      </c>
      <c r="M3700" t="s">
        <v>63</v>
      </c>
      <c r="N3700" s="3">
        <v>232</v>
      </c>
      <c r="O3700" t="s">
        <v>24</v>
      </c>
      <c r="P3700" t="s">
        <v>56</v>
      </c>
      <c r="R3700">
        <f>tblDailySchedule[[#This Row],[Capacity Approx]]*'[1]Load Factor Sheet June Acft  '!$B$5</f>
        <v>187.86727272727273</v>
      </c>
      <c r="S3700">
        <f>tblDailySchedule[[#This Row],[Capacity Approx]]*'[1]Load Factor Sheet June Acft  '!$D$5</f>
        <v>203.4218181818182</v>
      </c>
      <c r="T3700" s="22">
        <f>tblDailySchedule[[#This Row],[STD]]</f>
        <v>0.62847222222222221</v>
      </c>
    </row>
    <row r="3701" spans="1:20" hidden="1" x14ac:dyDescent="0.35">
      <c r="A3701" s="11">
        <v>46243</v>
      </c>
      <c r="B3701" s="3">
        <v>7</v>
      </c>
      <c r="C3701" t="s">
        <v>17</v>
      </c>
      <c r="D3701" t="s">
        <v>18</v>
      </c>
      <c r="E3701" s="3">
        <v>16</v>
      </c>
      <c r="F3701" t="s">
        <v>19</v>
      </c>
      <c r="G3701" t="s">
        <v>67</v>
      </c>
      <c r="H3701" t="s">
        <v>31</v>
      </c>
      <c r="I3701" s="12">
        <v>0.65625</v>
      </c>
      <c r="J3701" t="s">
        <v>68</v>
      </c>
      <c r="K3701" t="s">
        <v>31</v>
      </c>
      <c r="L3701" s="12">
        <v>0.68402777777777779</v>
      </c>
      <c r="M3701" t="s">
        <v>63</v>
      </c>
      <c r="N3701" s="3">
        <v>232</v>
      </c>
      <c r="O3701" t="s">
        <v>24</v>
      </c>
      <c r="P3701" t="s">
        <v>56</v>
      </c>
      <c r="R3701">
        <f>tblDailySchedule[[#This Row],[Capacity Approx]]*'[1]Load Factor Sheet June Acft  '!$B$5</f>
        <v>187.86727272727273</v>
      </c>
      <c r="S3701">
        <f>tblDailySchedule[[#This Row],[Capacity Approx]]*'[1]Load Factor Sheet June Acft  '!$D$5</f>
        <v>203.4218181818182</v>
      </c>
      <c r="T3701" s="22">
        <f>tblDailySchedule[[#This Row],[STD]]</f>
        <v>0.68402777777777779</v>
      </c>
    </row>
    <row r="3702" spans="1:20" hidden="1" x14ac:dyDescent="0.35">
      <c r="A3702" s="11">
        <v>46243</v>
      </c>
      <c r="B3702" s="3">
        <v>7</v>
      </c>
      <c r="C3702" t="s">
        <v>17</v>
      </c>
      <c r="D3702" t="s">
        <v>18</v>
      </c>
      <c r="E3702" s="3">
        <v>17</v>
      </c>
      <c r="F3702" t="s">
        <v>19</v>
      </c>
      <c r="G3702" t="s">
        <v>69</v>
      </c>
      <c r="H3702" t="s">
        <v>31</v>
      </c>
      <c r="I3702" s="12">
        <v>0.66319444444444442</v>
      </c>
      <c r="J3702" t="s">
        <v>70</v>
      </c>
      <c r="K3702" t="s">
        <v>31</v>
      </c>
      <c r="L3702" s="12">
        <v>0.69097222222222221</v>
      </c>
      <c r="M3702" t="s">
        <v>33</v>
      </c>
      <c r="N3702" s="3">
        <v>189</v>
      </c>
      <c r="O3702" t="s">
        <v>24</v>
      </c>
      <c r="P3702" t="s">
        <v>56</v>
      </c>
      <c r="R3702">
        <f>tblDailySchedule[[#This Row],[Capacity Approx]]*'[1]Load Factor Sheet June Acft  '!$B$5</f>
        <v>153.04704545454547</v>
      </c>
      <c r="S3702">
        <f>tblDailySchedule[[#This Row],[Capacity Approx]]*'[1]Load Factor Sheet June Acft  '!$D$5</f>
        <v>165.71863636363636</v>
      </c>
      <c r="T3702" s="22">
        <f>tblDailySchedule[[#This Row],[STD]]</f>
        <v>0.69097222222222221</v>
      </c>
    </row>
    <row r="3703" spans="1:20" hidden="1" x14ac:dyDescent="0.35">
      <c r="A3703" s="11">
        <v>46243</v>
      </c>
      <c r="B3703" s="3">
        <v>7</v>
      </c>
      <c r="C3703" t="s">
        <v>17</v>
      </c>
      <c r="D3703" t="s">
        <v>18</v>
      </c>
      <c r="E3703" s="3">
        <v>18</v>
      </c>
      <c r="F3703" t="s">
        <v>19</v>
      </c>
      <c r="G3703" t="s">
        <v>71</v>
      </c>
      <c r="H3703" t="s">
        <v>21</v>
      </c>
      <c r="I3703" s="12">
        <v>0.67013888888888884</v>
      </c>
      <c r="J3703" t="s">
        <v>72</v>
      </c>
      <c r="K3703" t="s">
        <v>21</v>
      </c>
      <c r="L3703" s="12">
        <v>0.69791666666666663</v>
      </c>
      <c r="M3703" t="s">
        <v>63</v>
      </c>
      <c r="N3703" s="3">
        <v>232</v>
      </c>
      <c r="O3703" t="s">
        <v>24</v>
      </c>
      <c r="P3703" t="s">
        <v>56</v>
      </c>
      <c r="R3703">
        <f>tblDailySchedule[[#This Row],[Capacity Approx]]*'[1]Load Factor Sheet June Acft  '!$B$5</f>
        <v>187.86727272727273</v>
      </c>
      <c r="S3703">
        <f>tblDailySchedule[[#This Row],[Capacity Approx]]*'[1]Load Factor Sheet June Acft  '!$D$5</f>
        <v>203.4218181818182</v>
      </c>
      <c r="T3703" s="22">
        <f>tblDailySchedule[[#This Row],[STD]]</f>
        <v>0.69791666666666663</v>
      </c>
    </row>
    <row r="3704" spans="1:20" hidden="1" x14ac:dyDescent="0.35">
      <c r="A3704" s="11">
        <v>46243</v>
      </c>
      <c r="B3704" s="3">
        <v>7</v>
      </c>
      <c r="C3704" t="s">
        <v>17</v>
      </c>
      <c r="D3704" t="s">
        <v>18</v>
      </c>
      <c r="E3704" s="3">
        <v>19</v>
      </c>
      <c r="F3704" t="s">
        <v>19</v>
      </c>
      <c r="G3704" t="s">
        <v>73</v>
      </c>
      <c r="H3704" t="s">
        <v>27</v>
      </c>
      <c r="I3704" s="12">
        <v>0.74652777777777779</v>
      </c>
      <c r="J3704" t="s">
        <v>74</v>
      </c>
      <c r="K3704" t="s">
        <v>27</v>
      </c>
      <c r="L3704" s="12">
        <v>0.77430555555555558</v>
      </c>
      <c r="M3704" t="s">
        <v>63</v>
      </c>
      <c r="N3704" s="3">
        <v>232</v>
      </c>
      <c r="O3704" t="s">
        <v>24</v>
      </c>
      <c r="P3704" t="s">
        <v>56</v>
      </c>
      <c r="R3704">
        <f>tblDailySchedule[[#This Row],[Capacity Approx]]*'[1]Load Factor Sheet June Acft  '!$B$5</f>
        <v>187.86727272727273</v>
      </c>
      <c r="S3704">
        <f>tblDailySchedule[[#This Row],[Capacity Approx]]*'[1]Load Factor Sheet June Acft  '!$D$5</f>
        <v>203.4218181818182</v>
      </c>
      <c r="T3704" s="22">
        <f>tblDailySchedule[[#This Row],[STD]]</f>
        <v>0.77430555555555558</v>
      </c>
    </row>
    <row r="3705" spans="1:20" hidden="1" x14ac:dyDescent="0.35">
      <c r="A3705" s="11">
        <v>46243</v>
      </c>
      <c r="B3705" s="3">
        <v>7</v>
      </c>
      <c r="C3705" t="s">
        <v>17</v>
      </c>
      <c r="D3705" t="s">
        <v>18</v>
      </c>
      <c r="E3705" s="3">
        <v>20</v>
      </c>
      <c r="F3705" t="s">
        <v>34</v>
      </c>
      <c r="G3705" t="s">
        <v>75</v>
      </c>
      <c r="H3705" t="s">
        <v>76</v>
      </c>
      <c r="I3705" s="12">
        <v>0.76388888888888884</v>
      </c>
      <c r="J3705" t="s">
        <v>77</v>
      </c>
      <c r="K3705" t="s">
        <v>78</v>
      </c>
      <c r="L3705" s="12">
        <v>0.78472222222222221</v>
      </c>
      <c r="M3705" t="s">
        <v>51</v>
      </c>
      <c r="N3705" s="3">
        <v>78</v>
      </c>
      <c r="O3705" t="s">
        <v>24</v>
      </c>
      <c r="P3705" t="s">
        <v>79</v>
      </c>
      <c r="Q3705" s="16" t="s">
        <v>80</v>
      </c>
      <c r="R3705">
        <f>tblDailySchedule[[#This Row],[Capacity Approx]]*'[1]Load Factor Sheet June Acft  '!$B$5</f>
        <v>63.162272727272729</v>
      </c>
      <c r="S3705">
        <f>tblDailySchedule[[#This Row],[Capacity Approx]]*'[1]Load Factor Sheet June Acft  '!$D$5</f>
        <v>68.391818181818181</v>
      </c>
      <c r="T3705" s="22">
        <f>tblDailySchedule[[#This Row],[STD]]</f>
        <v>0.78472222222222221</v>
      </c>
    </row>
    <row r="3706" spans="1:20" hidden="1" x14ac:dyDescent="0.35">
      <c r="A3706" s="11">
        <v>46243</v>
      </c>
      <c r="B3706" s="3">
        <v>7</v>
      </c>
      <c r="C3706" t="s">
        <v>17</v>
      </c>
      <c r="D3706" t="s">
        <v>18</v>
      </c>
      <c r="E3706" s="3">
        <v>21</v>
      </c>
      <c r="F3706" t="s">
        <v>19</v>
      </c>
      <c r="G3706" t="s">
        <v>81</v>
      </c>
      <c r="H3706" t="s">
        <v>61</v>
      </c>
      <c r="I3706" s="12">
        <v>0.77083333333333337</v>
      </c>
      <c r="J3706" t="s">
        <v>82</v>
      </c>
      <c r="K3706" t="s">
        <v>49</v>
      </c>
      <c r="L3706" s="12">
        <v>0.79166666666666663</v>
      </c>
      <c r="M3706" t="s">
        <v>33</v>
      </c>
      <c r="N3706" s="3">
        <v>189</v>
      </c>
      <c r="O3706" t="s">
        <v>24</v>
      </c>
      <c r="P3706" t="s">
        <v>79</v>
      </c>
      <c r="R3706">
        <f>tblDailySchedule[[#This Row],[Capacity Approx]]*'[1]Load Factor Sheet June Acft  '!$B$5</f>
        <v>153.04704545454547</v>
      </c>
      <c r="S3706">
        <f>tblDailySchedule[[#This Row],[Capacity Approx]]*'[1]Load Factor Sheet June Acft  '!$D$5</f>
        <v>165.71863636363636</v>
      </c>
      <c r="T3706" s="22">
        <f>tblDailySchedule[[#This Row],[STD]]</f>
        <v>0.79166666666666663</v>
      </c>
    </row>
    <row r="3707" spans="1:20" hidden="1" x14ac:dyDescent="0.35">
      <c r="A3707" s="11">
        <v>46243</v>
      </c>
      <c r="B3707" s="3">
        <v>7</v>
      </c>
      <c r="C3707" t="s">
        <v>17</v>
      </c>
      <c r="D3707" t="s">
        <v>18</v>
      </c>
      <c r="E3707" s="3">
        <v>22</v>
      </c>
      <c r="F3707" t="s">
        <v>19</v>
      </c>
      <c r="G3707" t="s">
        <v>83</v>
      </c>
      <c r="H3707" t="s">
        <v>31</v>
      </c>
      <c r="I3707" s="12">
        <v>0.77777777777777779</v>
      </c>
      <c r="J3707" t="s">
        <v>84</v>
      </c>
      <c r="K3707" t="s">
        <v>31</v>
      </c>
      <c r="L3707" s="12">
        <v>0.80555555555555558</v>
      </c>
      <c r="M3707" t="s">
        <v>63</v>
      </c>
      <c r="N3707" s="3">
        <v>232</v>
      </c>
      <c r="O3707" t="s">
        <v>24</v>
      </c>
      <c r="P3707" t="s">
        <v>79</v>
      </c>
      <c r="R3707">
        <f>tblDailySchedule[[#This Row],[Capacity Approx]]*'[1]Load Factor Sheet June Acft  '!$B$5</f>
        <v>187.86727272727273</v>
      </c>
      <c r="S3707">
        <f>tblDailySchedule[[#This Row],[Capacity Approx]]*'[1]Load Factor Sheet June Acft  '!$D$5</f>
        <v>203.4218181818182</v>
      </c>
      <c r="T3707" s="22">
        <f>tblDailySchedule[[#This Row],[STD]]</f>
        <v>0.80555555555555558</v>
      </c>
    </row>
    <row r="3708" spans="1:20" hidden="1" x14ac:dyDescent="0.35">
      <c r="A3708" s="11">
        <v>46243</v>
      </c>
      <c r="B3708" s="3">
        <v>7</v>
      </c>
      <c r="C3708" t="s">
        <v>17</v>
      </c>
      <c r="D3708" t="s">
        <v>18</v>
      </c>
      <c r="E3708" s="3">
        <v>23</v>
      </c>
      <c r="F3708" t="s">
        <v>19</v>
      </c>
      <c r="G3708" t="s">
        <v>85</v>
      </c>
      <c r="H3708" t="s">
        <v>86</v>
      </c>
      <c r="I3708" s="12">
        <v>0.79861111111111116</v>
      </c>
      <c r="J3708" t="s">
        <v>87</v>
      </c>
      <c r="K3708" t="s">
        <v>86</v>
      </c>
      <c r="L3708" s="12">
        <v>0.82638888888888884</v>
      </c>
      <c r="M3708" t="s">
        <v>63</v>
      </c>
      <c r="N3708" s="3">
        <v>232</v>
      </c>
      <c r="O3708" t="s">
        <v>24</v>
      </c>
      <c r="P3708" t="s">
        <v>79</v>
      </c>
      <c r="R3708">
        <f>tblDailySchedule[[#This Row],[Capacity Approx]]*'[1]Load Factor Sheet June Acft  '!$B$5</f>
        <v>187.86727272727273</v>
      </c>
      <c r="S3708">
        <f>tblDailySchedule[[#This Row],[Capacity Approx]]*'[1]Load Factor Sheet June Acft  '!$D$5</f>
        <v>203.4218181818182</v>
      </c>
      <c r="T3708" s="22">
        <f>tblDailySchedule[[#This Row],[STD]]</f>
        <v>0.82638888888888884</v>
      </c>
    </row>
    <row r="3709" spans="1:20" hidden="1" x14ac:dyDescent="0.35">
      <c r="A3709" s="11">
        <v>46243</v>
      </c>
      <c r="B3709" s="3">
        <v>7</v>
      </c>
      <c r="C3709" t="s">
        <v>17</v>
      </c>
      <c r="D3709" t="s">
        <v>18</v>
      </c>
      <c r="E3709" s="3">
        <v>24</v>
      </c>
      <c r="F3709" t="s">
        <v>19</v>
      </c>
      <c r="G3709" t="s">
        <v>88</v>
      </c>
      <c r="H3709" t="s">
        <v>89</v>
      </c>
      <c r="I3709" s="12">
        <v>0.83333333333333337</v>
      </c>
      <c r="J3709" t="s">
        <v>90</v>
      </c>
      <c r="K3709" t="s">
        <v>31</v>
      </c>
      <c r="L3709" s="12">
        <v>0.86111111111111116</v>
      </c>
      <c r="M3709" t="s">
        <v>63</v>
      </c>
      <c r="N3709" s="3">
        <v>232</v>
      </c>
      <c r="O3709" t="s">
        <v>24</v>
      </c>
      <c r="P3709" t="s">
        <v>79</v>
      </c>
      <c r="R3709">
        <f>tblDailySchedule[[#This Row],[Capacity Approx]]*'[1]Load Factor Sheet June Acft  '!$B$5</f>
        <v>187.86727272727273</v>
      </c>
      <c r="S3709">
        <f>tblDailySchedule[[#This Row],[Capacity Approx]]*'[1]Load Factor Sheet June Acft  '!$D$5</f>
        <v>203.4218181818182</v>
      </c>
      <c r="T3709" s="22">
        <f>tblDailySchedule[[#This Row],[STD]]</f>
        <v>0.86111111111111116</v>
      </c>
    </row>
    <row r="3710" spans="1:20" hidden="1" x14ac:dyDescent="0.35">
      <c r="A3710" s="11">
        <v>46243</v>
      </c>
      <c r="B3710" s="3">
        <v>7</v>
      </c>
      <c r="C3710" t="s">
        <v>17</v>
      </c>
      <c r="D3710" t="s">
        <v>18</v>
      </c>
      <c r="E3710" s="3">
        <v>25</v>
      </c>
      <c r="F3710" t="s">
        <v>19</v>
      </c>
      <c r="G3710" t="s">
        <v>91</v>
      </c>
      <c r="H3710" t="s">
        <v>61</v>
      </c>
      <c r="I3710" s="12">
        <v>0.85416666666666663</v>
      </c>
      <c r="J3710" t="s">
        <v>92</v>
      </c>
      <c r="K3710" t="s">
        <v>61</v>
      </c>
      <c r="L3710" s="12">
        <v>0.88194444444444442</v>
      </c>
      <c r="M3710" t="s">
        <v>63</v>
      </c>
      <c r="N3710" s="3">
        <v>232</v>
      </c>
      <c r="O3710" t="s">
        <v>24</v>
      </c>
      <c r="P3710" t="s">
        <v>79</v>
      </c>
      <c r="R3710">
        <f>tblDailySchedule[[#This Row],[Capacity Approx]]*'[1]Load Factor Sheet June Acft  '!$B$5</f>
        <v>187.86727272727273</v>
      </c>
      <c r="S3710">
        <f>tblDailySchedule[[#This Row],[Capacity Approx]]*'[1]Load Factor Sheet June Acft  '!$D$5</f>
        <v>203.4218181818182</v>
      </c>
      <c r="T3710" s="22">
        <f>tblDailySchedule[[#This Row],[STD]]</f>
        <v>0.88194444444444442</v>
      </c>
    </row>
    <row r="3711" spans="1:20" hidden="1" x14ac:dyDescent="0.35">
      <c r="A3711" s="11">
        <v>46243</v>
      </c>
      <c r="B3711" s="3">
        <v>7</v>
      </c>
      <c r="C3711" t="s">
        <v>17</v>
      </c>
      <c r="D3711" t="s">
        <v>18</v>
      </c>
      <c r="E3711" s="3">
        <v>26</v>
      </c>
      <c r="F3711" t="s">
        <v>19</v>
      </c>
      <c r="G3711" t="s">
        <v>93</v>
      </c>
      <c r="H3711" t="s">
        <v>31</v>
      </c>
      <c r="I3711" s="12">
        <v>0.86111111111111116</v>
      </c>
      <c r="J3711" t="s">
        <v>94</v>
      </c>
      <c r="K3711" t="s">
        <v>31</v>
      </c>
      <c r="L3711" s="12">
        <v>0.88888888888888884</v>
      </c>
      <c r="M3711" t="s">
        <v>23</v>
      </c>
      <c r="N3711" s="3">
        <v>186</v>
      </c>
      <c r="O3711" t="s">
        <v>24</v>
      </c>
      <c r="P3711" t="s">
        <v>79</v>
      </c>
      <c r="R3711">
        <f>tblDailySchedule[[#This Row],[Capacity Approx]]*'[1]Load Factor Sheet June Acft  '!$B$5</f>
        <v>150.61772727272728</v>
      </c>
      <c r="S3711">
        <f>tblDailySchedule[[#This Row],[Capacity Approx]]*'[1]Load Factor Sheet June Acft  '!$D$5</f>
        <v>163.08818181818182</v>
      </c>
      <c r="T3711" s="22">
        <f>tblDailySchedule[[#This Row],[STD]]</f>
        <v>0.88888888888888884</v>
      </c>
    </row>
    <row r="3712" spans="1:20" hidden="1" x14ac:dyDescent="0.35">
      <c r="A3712" s="11">
        <v>46243</v>
      </c>
      <c r="B3712" s="3">
        <v>7</v>
      </c>
      <c r="C3712" t="s">
        <v>17</v>
      </c>
      <c r="D3712" t="s">
        <v>18</v>
      </c>
      <c r="E3712" s="3">
        <v>27</v>
      </c>
      <c r="F3712" t="s">
        <v>19</v>
      </c>
      <c r="G3712" t="s">
        <v>95</v>
      </c>
      <c r="H3712" t="s">
        <v>21</v>
      </c>
      <c r="I3712" s="12">
        <v>0.86805555555555558</v>
      </c>
      <c r="J3712" t="s">
        <v>96</v>
      </c>
      <c r="K3712" t="s">
        <v>21</v>
      </c>
      <c r="L3712" s="12">
        <v>0.89583333333333337</v>
      </c>
      <c r="M3712" t="s">
        <v>29</v>
      </c>
      <c r="N3712" s="3">
        <v>186</v>
      </c>
      <c r="O3712" t="s">
        <v>24</v>
      </c>
      <c r="P3712" t="s">
        <v>79</v>
      </c>
      <c r="R3712">
        <f>tblDailySchedule[[#This Row],[Capacity Approx]]*'[1]Load Factor Sheet June Acft  '!$B$5</f>
        <v>150.61772727272728</v>
      </c>
      <c r="S3712">
        <f>tblDailySchedule[[#This Row],[Capacity Approx]]*'[1]Load Factor Sheet June Acft  '!$D$5</f>
        <v>163.08818181818182</v>
      </c>
      <c r="T3712" s="22">
        <f>tblDailySchedule[[#This Row],[STD]]</f>
        <v>0.89583333333333337</v>
      </c>
    </row>
    <row r="3713" spans="1:20" hidden="1" x14ac:dyDescent="0.35">
      <c r="A3713" s="11">
        <v>46243</v>
      </c>
      <c r="B3713" s="3">
        <v>7</v>
      </c>
      <c r="C3713" t="s">
        <v>17</v>
      </c>
      <c r="D3713" t="s">
        <v>18</v>
      </c>
      <c r="E3713" s="3">
        <v>28</v>
      </c>
      <c r="F3713" t="s">
        <v>19</v>
      </c>
      <c r="G3713" t="s">
        <v>97</v>
      </c>
      <c r="H3713" t="s">
        <v>49</v>
      </c>
      <c r="I3713" s="12">
        <v>0.90277777777777779</v>
      </c>
      <c r="J3713" t="s">
        <v>97</v>
      </c>
      <c r="K3713" t="s">
        <v>61</v>
      </c>
      <c r="L3713" s="12">
        <v>0.92361111111111116</v>
      </c>
      <c r="M3713" t="s">
        <v>33</v>
      </c>
      <c r="N3713" s="3">
        <v>189</v>
      </c>
      <c r="O3713" t="s">
        <v>24</v>
      </c>
      <c r="P3713" t="s">
        <v>79</v>
      </c>
      <c r="R3713">
        <f>tblDailySchedule[[#This Row],[Capacity Approx]]*'[1]Load Factor Sheet June Acft  '!$B$5</f>
        <v>153.04704545454547</v>
      </c>
      <c r="S3713">
        <f>tblDailySchedule[[#This Row],[Capacity Approx]]*'[1]Load Factor Sheet June Acft  '!$D$5</f>
        <v>165.71863636363636</v>
      </c>
      <c r="T3713" s="22">
        <f>tblDailySchedule[[#This Row],[STD]]</f>
        <v>0.92361111111111116</v>
      </c>
    </row>
    <row r="3714" spans="1:20" hidden="1" x14ac:dyDescent="0.35">
      <c r="A3714" s="11">
        <v>46243</v>
      </c>
      <c r="B3714" s="3">
        <v>7</v>
      </c>
      <c r="C3714" t="s">
        <v>17</v>
      </c>
      <c r="D3714" t="s">
        <v>18</v>
      </c>
      <c r="E3714" s="3">
        <v>29</v>
      </c>
      <c r="F3714" t="s">
        <v>19</v>
      </c>
      <c r="G3714" t="s">
        <v>98</v>
      </c>
      <c r="H3714" t="s">
        <v>21</v>
      </c>
      <c r="I3714" s="12">
        <v>0.92013888888888884</v>
      </c>
      <c r="J3714" t="s">
        <v>99</v>
      </c>
      <c r="K3714" t="s">
        <v>21</v>
      </c>
      <c r="L3714" s="12">
        <v>0.94791666666666663</v>
      </c>
      <c r="M3714" t="s">
        <v>63</v>
      </c>
      <c r="N3714" s="3">
        <v>232</v>
      </c>
      <c r="O3714" t="s">
        <v>24</v>
      </c>
      <c r="P3714" t="s">
        <v>79</v>
      </c>
      <c r="R3714">
        <f>tblDailySchedule[[#This Row],[Capacity Approx]]*'[1]Load Factor Sheet June Acft  '!$B$5</f>
        <v>187.86727272727273</v>
      </c>
      <c r="S3714">
        <f>tblDailySchedule[[#This Row],[Capacity Approx]]*'[1]Load Factor Sheet June Acft  '!$D$5</f>
        <v>203.4218181818182</v>
      </c>
      <c r="T3714" s="22">
        <f>tblDailySchedule[[#This Row],[STD]]</f>
        <v>0.94791666666666663</v>
      </c>
    </row>
    <row r="3715" spans="1:20" hidden="1" x14ac:dyDescent="0.35">
      <c r="A3715" s="11">
        <v>46244</v>
      </c>
      <c r="B3715" s="3">
        <v>1</v>
      </c>
      <c r="C3715" t="s">
        <v>100</v>
      </c>
      <c r="D3715" t="s">
        <v>18</v>
      </c>
      <c r="E3715" s="3">
        <v>1</v>
      </c>
      <c r="F3715" t="s">
        <v>101</v>
      </c>
      <c r="G3715" t="s">
        <v>102</v>
      </c>
      <c r="H3715" t="s">
        <v>61</v>
      </c>
      <c r="I3715" s="12">
        <v>0.3125</v>
      </c>
      <c r="J3715" t="s">
        <v>103</v>
      </c>
      <c r="K3715" t="s">
        <v>61</v>
      </c>
      <c r="L3715" s="12">
        <v>0.33333333333333331</v>
      </c>
      <c r="M3715" t="s">
        <v>33</v>
      </c>
      <c r="N3715" s="3">
        <v>189</v>
      </c>
      <c r="O3715" t="s">
        <v>24</v>
      </c>
      <c r="P3715" t="s">
        <v>25</v>
      </c>
      <c r="R3715">
        <f>tblDailySchedule[[#This Row],[Capacity Approx]]*'[1]Load Factor Sheet June Acft  '!$B$5</f>
        <v>153.04704545454547</v>
      </c>
      <c r="S3715">
        <f>tblDailySchedule[[#This Row],[Capacity Approx]]*'[1]Load Factor Sheet June Acft  '!$D$5</f>
        <v>165.71863636363636</v>
      </c>
      <c r="T3715" s="22">
        <f>tblDailySchedule[[#This Row],[STD]]</f>
        <v>0.33333333333333331</v>
      </c>
    </row>
    <row r="3716" spans="1:20" hidden="1" x14ac:dyDescent="0.35">
      <c r="A3716" s="11">
        <v>46244</v>
      </c>
      <c r="B3716" s="3">
        <v>1</v>
      </c>
      <c r="C3716" t="s">
        <v>100</v>
      </c>
      <c r="D3716" t="s">
        <v>18</v>
      </c>
      <c r="E3716" s="3">
        <v>2</v>
      </c>
      <c r="F3716" t="s">
        <v>19</v>
      </c>
      <c r="G3716" t="s">
        <v>20</v>
      </c>
      <c r="H3716" t="s">
        <v>21</v>
      </c>
      <c r="I3716" s="12">
        <v>0.31944444444444442</v>
      </c>
      <c r="J3716" t="s">
        <v>22</v>
      </c>
      <c r="K3716" t="s">
        <v>21</v>
      </c>
      <c r="L3716" s="12">
        <v>0.34722222222222221</v>
      </c>
      <c r="M3716" t="s">
        <v>23</v>
      </c>
      <c r="N3716" s="3">
        <v>186</v>
      </c>
      <c r="O3716" t="s">
        <v>24</v>
      </c>
      <c r="P3716" t="s">
        <v>25</v>
      </c>
      <c r="R3716">
        <f>tblDailySchedule[[#This Row],[Capacity Approx]]*'[1]Load Factor Sheet June Acft  '!$B$5</f>
        <v>150.61772727272728</v>
      </c>
      <c r="S3716">
        <f>tblDailySchedule[[#This Row],[Capacity Approx]]*'[1]Load Factor Sheet June Acft  '!$D$5</f>
        <v>163.08818181818182</v>
      </c>
      <c r="T3716" s="22">
        <f>tblDailySchedule[[#This Row],[STD]]</f>
        <v>0.34722222222222221</v>
      </c>
    </row>
    <row r="3717" spans="1:20" hidden="1" x14ac:dyDescent="0.35">
      <c r="A3717" s="11">
        <v>46244</v>
      </c>
      <c r="B3717" s="3">
        <v>1</v>
      </c>
      <c r="C3717" t="s">
        <v>100</v>
      </c>
      <c r="D3717" t="s">
        <v>18</v>
      </c>
      <c r="E3717" s="3">
        <v>3</v>
      </c>
      <c r="F3717" t="s">
        <v>19</v>
      </c>
      <c r="G3717" t="s">
        <v>26</v>
      </c>
      <c r="H3717" t="s">
        <v>27</v>
      </c>
      <c r="I3717" s="12">
        <v>0.3263888888888889</v>
      </c>
      <c r="J3717" t="s">
        <v>28</v>
      </c>
      <c r="K3717" t="s">
        <v>27</v>
      </c>
      <c r="L3717" s="12">
        <v>0.35416666666666669</v>
      </c>
      <c r="M3717" t="s">
        <v>29</v>
      </c>
      <c r="N3717" s="3">
        <v>186</v>
      </c>
      <c r="O3717" t="s">
        <v>24</v>
      </c>
      <c r="P3717" t="s">
        <v>25</v>
      </c>
      <c r="R3717">
        <f>tblDailySchedule[[#This Row],[Capacity Approx]]*'[1]Load Factor Sheet June Acft  '!$B$5</f>
        <v>150.61772727272728</v>
      </c>
      <c r="S3717">
        <f>tblDailySchedule[[#This Row],[Capacity Approx]]*'[1]Load Factor Sheet June Acft  '!$D$5</f>
        <v>163.08818181818182</v>
      </c>
      <c r="T3717" s="22">
        <f>tblDailySchedule[[#This Row],[STD]]</f>
        <v>0.35416666666666669</v>
      </c>
    </row>
    <row r="3718" spans="1:20" hidden="1" x14ac:dyDescent="0.35">
      <c r="A3718" s="11">
        <v>46244</v>
      </c>
      <c r="B3718" s="3">
        <v>1</v>
      </c>
      <c r="C3718" t="s">
        <v>100</v>
      </c>
      <c r="D3718" t="s">
        <v>18</v>
      </c>
      <c r="E3718" s="3">
        <v>4</v>
      </c>
      <c r="F3718" t="s">
        <v>19</v>
      </c>
      <c r="G3718" t="s">
        <v>30</v>
      </c>
      <c r="H3718" t="s">
        <v>31</v>
      </c>
      <c r="I3718" s="12">
        <v>0.34722222222222221</v>
      </c>
      <c r="J3718" t="s">
        <v>32</v>
      </c>
      <c r="K3718" t="s">
        <v>31</v>
      </c>
      <c r="L3718" s="12">
        <v>0.36805555555555558</v>
      </c>
      <c r="M3718" t="s">
        <v>33</v>
      </c>
      <c r="N3718" s="3">
        <v>189</v>
      </c>
      <c r="O3718" t="s">
        <v>24</v>
      </c>
      <c r="P3718" t="s">
        <v>25</v>
      </c>
      <c r="R3718">
        <f>tblDailySchedule[[#This Row],[Capacity Approx]]*'[1]Load Factor Sheet June Acft  '!$B$5</f>
        <v>153.04704545454547</v>
      </c>
      <c r="S3718">
        <f>tblDailySchedule[[#This Row],[Capacity Approx]]*'[1]Load Factor Sheet June Acft  '!$D$5</f>
        <v>165.71863636363636</v>
      </c>
      <c r="T3718" s="22">
        <f>tblDailySchedule[[#This Row],[STD]]</f>
        <v>0.36805555555555558</v>
      </c>
    </row>
    <row r="3719" spans="1:20" hidden="1" x14ac:dyDescent="0.35">
      <c r="A3719" s="13">
        <v>46244</v>
      </c>
      <c r="B3719" s="7">
        <v>1</v>
      </c>
      <c r="C3719" s="14" t="s">
        <v>100</v>
      </c>
      <c r="D3719" s="14" t="s">
        <v>18</v>
      </c>
      <c r="E3719" s="7">
        <v>6</v>
      </c>
      <c r="F3719" s="14" t="s">
        <v>34</v>
      </c>
      <c r="G3719" s="14" t="s">
        <v>35</v>
      </c>
      <c r="H3719" s="14" t="s">
        <v>36</v>
      </c>
      <c r="I3719" s="15">
        <v>0.34722222222222221</v>
      </c>
      <c r="J3719" s="14" t="s">
        <v>37</v>
      </c>
      <c r="K3719" s="14" t="s">
        <v>36</v>
      </c>
      <c r="L3719" s="15">
        <v>0.40972222222222221</v>
      </c>
      <c r="M3719" s="14" t="s">
        <v>38</v>
      </c>
      <c r="N3719" s="7">
        <v>186</v>
      </c>
      <c r="O3719" s="14" t="s">
        <v>39</v>
      </c>
      <c r="P3719" s="14" t="s">
        <v>25</v>
      </c>
      <c r="Q3719" s="14" t="s">
        <v>39</v>
      </c>
      <c r="R3719">
        <f>tblDailySchedule[[#This Row],[Capacity Approx]]*'[1]Load Factor Sheet June Acft  '!$B$5</f>
        <v>150.61772727272728</v>
      </c>
      <c r="S3719">
        <f>tblDailySchedule[[#This Row],[Capacity Approx]]*'[1]Load Factor Sheet June Acft  '!$D$5</f>
        <v>163.08818181818182</v>
      </c>
      <c r="T3719" s="22">
        <f>tblDailySchedule[[#This Row],[STD]]</f>
        <v>0.40972222222222221</v>
      </c>
    </row>
    <row r="3720" spans="1:20" hidden="1" x14ac:dyDescent="0.35">
      <c r="A3720" s="11">
        <v>46244</v>
      </c>
      <c r="B3720" s="3">
        <v>1</v>
      </c>
      <c r="C3720" t="s">
        <v>100</v>
      </c>
      <c r="D3720" t="s">
        <v>18</v>
      </c>
      <c r="E3720" s="3">
        <v>5</v>
      </c>
      <c r="F3720" t="s">
        <v>19</v>
      </c>
      <c r="G3720" t="s">
        <v>40</v>
      </c>
      <c r="H3720" t="s">
        <v>31</v>
      </c>
      <c r="I3720" s="12">
        <v>0.35069444444444442</v>
      </c>
      <c r="J3720" t="s">
        <v>41</v>
      </c>
      <c r="K3720" t="s">
        <v>31</v>
      </c>
      <c r="L3720" s="12">
        <v>0.37152777777777779</v>
      </c>
      <c r="M3720" t="s">
        <v>23</v>
      </c>
      <c r="N3720" s="3">
        <v>186</v>
      </c>
      <c r="O3720" t="s">
        <v>24</v>
      </c>
      <c r="P3720" t="s">
        <v>25</v>
      </c>
      <c r="R3720">
        <f>tblDailySchedule[[#This Row],[Capacity Approx]]*'[1]Load Factor Sheet June Acft  '!$B$5</f>
        <v>150.61772727272728</v>
      </c>
      <c r="S3720">
        <f>tblDailySchedule[[#This Row],[Capacity Approx]]*'[1]Load Factor Sheet June Acft  '!$D$5</f>
        <v>163.08818181818182</v>
      </c>
      <c r="T3720" s="22">
        <f>tblDailySchedule[[#This Row],[STD]]</f>
        <v>0.37152777777777779</v>
      </c>
    </row>
    <row r="3721" spans="1:20" hidden="1" x14ac:dyDescent="0.35">
      <c r="A3721" s="11">
        <v>46244</v>
      </c>
      <c r="B3721" s="3">
        <v>1</v>
      </c>
      <c r="C3721" t="s">
        <v>100</v>
      </c>
      <c r="D3721" t="s">
        <v>18</v>
      </c>
      <c r="E3721" s="3">
        <v>7</v>
      </c>
      <c r="F3721" t="s">
        <v>19</v>
      </c>
      <c r="G3721" t="s">
        <v>42</v>
      </c>
      <c r="H3721" t="s">
        <v>43</v>
      </c>
      <c r="I3721" s="12">
        <v>0.3923611111111111</v>
      </c>
      <c r="J3721" t="s">
        <v>44</v>
      </c>
      <c r="K3721" t="s">
        <v>43</v>
      </c>
      <c r="L3721" s="12">
        <v>0.40277777777777779</v>
      </c>
      <c r="M3721" t="s">
        <v>45</v>
      </c>
      <c r="N3721" s="3">
        <v>9</v>
      </c>
      <c r="O3721" t="s">
        <v>24</v>
      </c>
      <c r="P3721" t="s">
        <v>25</v>
      </c>
      <c r="R3721">
        <f>tblDailySchedule[[#This Row],[Capacity Approx]]*'[1]Load Factor Sheet June Acft  '!$B$5</f>
        <v>7.2879545454545456</v>
      </c>
      <c r="S3721">
        <f>tblDailySchedule[[#This Row],[Capacity Approx]]*'[1]Load Factor Sheet June Acft  '!$D$5</f>
        <v>7.8913636363636366</v>
      </c>
      <c r="T3721" s="22">
        <f>tblDailySchedule[[#This Row],[STD]]</f>
        <v>0.40277777777777779</v>
      </c>
    </row>
    <row r="3722" spans="1:20" hidden="1" x14ac:dyDescent="0.35">
      <c r="A3722" s="11">
        <v>46244</v>
      </c>
      <c r="B3722" s="3">
        <v>1</v>
      </c>
      <c r="C3722" t="s">
        <v>100</v>
      </c>
      <c r="D3722" t="s">
        <v>18</v>
      </c>
      <c r="E3722" s="3">
        <v>8</v>
      </c>
      <c r="F3722" t="s">
        <v>19</v>
      </c>
      <c r="G3722" t="s">
        <v>46</v>
      </c>
      <c r="H3722" t="s">
        <v>31</v>
      </c>
      <c r="I3722" s="12">
        <v>0.4201388888888889</v>
      </c>
      <c r="J3722" t="s">
        <v>47</v>
      </c>
      <c r="K3722" t="s">
        <v>31</v>
      </c>
      <c r="L3722" s="12">
        <v>0.44444444444444442</v>
      </c>
      <c r="M3722" t="s">
        <v>29</v>
      </c>
      <c r="N3722" s="3">
        <v>186</v>
      </c>
      <c r="O3722" t="s">
        <v>24</v>
      </c>
      <c r="P3722" t="s">
        <v>25</v>
      </c>
      <c r="R3722">
        <f>tblDailySchedule[[#This Row],[Capacity Approx]]*'[1]Load Factor Sheet June Acft  '!$B$5</f>
        <v>150.61772727272728</v>
      </c>
      <c r="S3722">
        <f>tblDailySchedule[[#This Row],[Capacity Approx]]*'[1]Load Factor Sheet June Acft  '!$D$5</f>
        <v>163.08818181818182</v>
      </c>
      <c r="T3722" s="22">
        <f>tblDailySchedule[[#This Row],[STD]]</f>
        <v>0.44444444444444442</v>
      </c>
    </row>
    <row r="3723" spans="1:20" hidden="1" x14ac:dyDescent="0.35">
      <c r="A3723" s="11">
        <v>46244</v>
      </c>
      <c r="B3723" s="3">
        <v>1</v>
      </c>
      <c r="C3723" t="s">
        <v>100</v>
      </c>
      <c r="D3723" t="s">
        <v>18</v>
      </c>
      <c r="E3723" s="3">
        <v>9</v>
      </c>
      <c r="F3723" t="s">
        <v>19</v>
      </c>
      <c r="G3723" t="s">
        <v>48</v>
      </c>
      <c r="H3723" t="s">
        <v>49</v>
      </c>
      <c r="I3723" s="12">
        <v>0.4375</v>
      </c>
      <c r="J3723" t="s">
        <v>50</v>
      </c>
      <c r="K3723" t="s">
        <v>49</v>
      </c>
      <c r="L3723" s="12">
        <v>0.45833333333333331</v>
      </c>
      <c r="M3723" t="s">
        <v>51</v>
      </c>
      <c r="N3723" s="3">
        <v>78</v>
      </c>
      <c r="O3723" t="s">
        <v>24</v>
      </c>
      <c r="P3723" t="s">
        <v>25</v>
      </c>
      <c r="R3723">
        <f>tblDailySchedule[[#This Row],[Capacity Approx]]*'[1]Load Factor Sheet June Acft  '!$B$5</f>
        <v>63.162272727272729</v>
      </c>
      <c r="S3723">
        <f>tblDailySchedule[[#This Row],[Capacity Approx]]*'[1]Load Factor Sheet June Acft  '!$D$5</f>
        <v>68.391818181818181</v>
      </c>
      <c r="T3723" s="22">
        <f>tblDailySchedule[[#This Row],[STD]]</f>
        <v>0.45833333333333331</v>
      </c>
    </row>
    <row r="3724" spans="1:20" hidden="1" x14ac:dyDescent="0.35">
      <c r="A3724" s="11">
        <v>46244</v>
      </c>
      <c r="B3724" s="3">
        <v>1</v>
      </c>
      <c r="C3724" t="s">
        <v>100</v>
      </c>
      <c r="D3724" t="s">
        <v>18</v>
      </c>
      <c r="E3724" s="3">
        <v>10</v>
      </c>
      <c r="F3724" t="s">
        <v>19</v>
      </c>
      <c r="G3724" t="s">
        <v>52</v>
      </c>
      <c r="H3724" t="s">
        <v>27</v>
      </c>
      <c r="I3724" s="12">
        <v>0.4826388888888889</v>
      </c>
      <c r="J3724" t="s">
        <v>53</v>
      </c>
      <c r="K3724" t="s">
        <v>27</v>
      </c>
      <c r="L3724" s="12">
        <v>0.51041666666666663</v>
      </c>
      <c r="M3724" t="s">
        <v>23</v>
      </c>
      <c r="N3724" s="3">
        <v>186</v>
      </c>
      <c r="O3724" t="s">
        <v>24</v>
      </c>
      <c r="P3724" t="s">
        <v>25</v>
      </c>
      <c r="R3724">
        <f>tblDailySchedule[[#This Row],[Capacity Approx]]*'[1]Load Factor Sheet June Acft  '!$B$5</f>
        <v>150.61772727272728</v>
      </c>
      <c r="S3724">
        <f>tblDailySchedule[[#This Row],[Capacity Approx]]*'[1]Load Factor Sheet June Acft  '!$D$5</f>
        <v>163.08818181818182</v>
      </c>
      <c r="T3724" s="22">
        <f>tblDailySchedule[[#This Row],[STD]]</f>
        <v>0.51041666666666663</v>
      </c>
    </row>
    <row r="3725" spans="1:20" hidden="1" x14ac:dyDescent="0.35">
      <c r="A3725" s="11">
        <v>46244</v>
      </c>
      <c r="B3725" s="3">
        <v>1</v>
      </c>
      <c r="C3725" t="s">
        <v>100</v>
      </c>
      <c r="D3725" t="s">
        <v>18</v>
      </c>
      <c r="E3725" s="3">
        <v>11</v>
      </c>
      <c r="F3725" t="s">
        <v>19</v>
      </c>
      <c r="G3725" t="s">
        <v>54</v>
      </c>
      <c r="H3725" t="s">
        <v>31</v>
      </c>
      <c r="I3725" s="12">
        <v>0.51388888888888884</v>
      </c>
      <c r="J3725" t="s">
        <v>55</v>
      </c>
      <c r="K3725" t="s">
        <v>31</v>
      </c>
      <c r="L3725" s="12">
        <v>0.54166666666666663</v>
      </c>
      <c r="M3725" t="s">
        <v>23</v>
      </c>
      <c r="N3725" s="3">
        <v>186</v>
      </c>
      <c r="O3725" t="s">
        <v>24</v>
      </c>
      <c r="P3725" t="s">
        <v>56</v>
      </c>
      <c r="R3725">
        <f>tblDailySchedule[[#This Row],[Capacity Approx]]*'[1]Load Factor Sheet June Acft  '!$B$5</f>
        <v>150.61772727272728</v>
      </c>
      <c r="S3725">
        <f>tblDailySchedule[[#This Row],[Capacity Approx]]*'[1]Load Factor Sheet June Acft  '!$D$5</f>
        <v>163.08818181818182</v>
      </c>
      <c r="T3725" s="22">
        <f>tblDailySchedule[[#This Row],[STD]]</f>
        <v>0.54166666666666663</v>
      </c>
    </row>
    <row r="3726" spans="1:20" hidden="1" x14ac:dyDescent="0.35">
      <c r="A3726" s="11">
        <v>46244</v>
      </c>
      <c r="B3726" s="3">
        <v>1</v>
      </c>
      <c r="C3726" t="s">
        <v>100</v>
      </c>
      <c r="D3726" t="s">
        <v>18</v>
      </c>
      <c r="E3726" s="3">
        <v>13</v>
      </c>
      <c r="F3726" t="s">
        <v>19</v>
      </c>
      <c r="G3726" t="s">
        <v>57</v>
      </c>
      <c r="H3726" t="s">
        <v>58</v>
      </c>
      <c r="I3726" s="12">
        <v>0.55902777777777779</v>
      </c>
      <c r="J3726" t="s">
        <v>59</v>
      </c>
      <c r="K3726" t="s">
        <v>58</v>
      </c>
      <c r="L3726" s="12">
        <v>0.57638888888888884</v>
      </c>
      <c r="M3726" t="s">
        <v>51</v>
      </c>
      <c r="N3726" s="3">
        <v>78</v>
      </c>
      <c r="O3726" t="s">
        <v>24</v>
      </c>
      <c r="P3726" t="s">
        <v>56</v>
      </c>
      <c r="R3726">
        <f>tblDailySchedule[[#This Row],[Capacity Approx]]*'[1]Load Factor Sheet June Acft  '!$B$5</f>
        <v>63.162272727272729</v>
      </c>
      <c r="S3726">
        <f>tblDailySchedule[[#This Row],[Capacity Approx]]*'[1]Load Factor Sheet June Acft  '!$D$5</f>
        <v>68.391818181818181</v>
      </c>
      <c r="T3726" s="22">
        <f>tblDailySchedule[[#This Row],[STD]]</f>
        <v>0.57638888888888884</v>
      </c>
    </row>
    <row r="3727" spans="1:20" hidden="1" x14ac:dyDescent="0.35">
      <c r="A3727" s="11">
        <v>46244</v>
      </c>
      <c r="B3727" s="3">
        <v>1</v>
      </c>
      <c r="C3727" t="s">
        <v>100</v>
      </c>
      <c r="D3727" t="s">
        <v>18</v>
      </c>
      <c r="E3727" s="3">
        <v>14</v>
      </c>
      <c r="F3727" t="s">
        <v>19</v>
      </c>
      <c r="G3727" t="s">
        <v>60</v>
      </c>
      <c r="H3727" t="s">
        <v>61</v>
      </c>
      <c r="I3727" s="12">
        <v>0.59027777777777779</v>
      </c>
      <c r="J3727" t="s">
        <v>62</v>
      </c>
      <c r="K3727" t="s">
        <v>61</v>
      </c>
      <c r="L3727" s="12">
        <v>0.62152777777777779</v>
      </c>
      <c r="M3727" t="s">
        <v>63</v>
      </c>
      <c r="N3727" s="3">
        <v>232</v>
      </c>
      <c r="O3727" t="s">
        <v>24</v>
      </c>
      <c r="P3727" t="s">
        <v>56</v>
      </c>
      <c r="R3727">
        <f>tblDailySchedule[[#This Row],[Capacity Approx]]*'[1]Load Factor Sheet June Acft  '!$B$5</f>
        <v>187.86727272727273</v>
      </c>
      <c r="S3727">
        <f>tblDailySchedule[[#This Row],[Capacity Approx]]*'[1]Load Factor Sheet June Acft  '!$D$5</f>
        <v>203.4218181818182</v>
      </c>
      <c r="T3727" s="22">
        <f>tblDailySchedule[[#This Row],[STD]]</f>
        <v>0.62152777777777779</v>
      </c>
    </row>
    <row r="3728" spans="1:20" hidden="1" x14ac:dyDescent="0.35">
      <c r="A3728" s="11">
        <v>46244</v>
      </c>
      <c r="B3728" s="3">
        <v>1</v>
      </c>
      <c r="C3728" t="s">
        <v>100</v>
      </c>
      <c r="D3728" t="s">
        <v>18</v>
      </c>
      <c r="E3728" s="3">
        <v>15</v>
      </c>
      <c r="F3728" t="s">
        <v>19</v>
      </c>
      <c r="G3728" t="s">
        <v>64</v>
      </c>
      <c r="H3728" t="s">
        <v>31</v>
      </c>
      <c r="I3728" s="12">
        <v>0.60069444444444442</v>
      </c>
      <c r="J3728" t="s">
        <v>65</v>
      </c>
      <c r="K3728" t="s">
        <v>66</v>
      </c>
      <c r="L3728" s="12">
        <v>0.62847222222222221</v>
      </c>
      <c r="M3728" t="s">
        <v>63</v>
      </c>
      <c r="N3728" s="3">
        <v>232</v>
      </c>
      <c r="O3728" t="s">
        <v>24</v>
      </c>
      <c r="P3728" t="s">
        <v>56</v>
      </c>
      <c r="R3728">
        <f>tblDailySchedule[[#This Row],[Capacity Approx]]*'[1]Load Factor Sheet June Acft  '!$B$5</f>
        <v>187.86727272727273</v>
      </c>
      <c r="S3728">
        <f>tblDailySchedule[[#This Row],[Capacity Approx]]*'[1]Load Factor Sheet June Acft  '!$D$5</f>
        <v>203.4218181818182</v>
      </c>
      <c r="T3728" s="22">
        <f>tblDailySchedule[[#This Row],[STD]]</f>
        <v>0.62847222222222221</v>
      </c>
    </row>
    <row r="3729" spans="1:20" hidden="1" x14ac:dyDescent="0.35">
      <c r="A3729" s="11">
        <v>46244</v>
      </c>
      <c r="B3729" s="3">
        <v>1</v>
      </c>
      <c r="C3729" t="s">
        <v>100</v>
      </c>
      <c r="D3729" t="s">
        <v>18</v>
      </c>
      <c r="E3729" s="3">
        <v>16</v>
      </c>
      <c r="F3729" t="s">
        <v>19</v>
      </c>
      <c r="G3729" t="s">
        <v>67</v>
      </c>
      <c r="H3729" t="s">
        <v>31</v>
      </c>
      <c r="I3729" s="12">
        <v>0.65625</v>
      </c>
      <c r="J3729" t="s">
        <v>68</v>
      </c>
      <c r="K3729" t="s">
        <v>31</v>
      </c>
      <c r="L3729" s="12">
        <v>0.68402777777777779</v>
      </c>
      <c r="M3729" t="s">
        <v>63</v>
      </c>
      <c r="N3729" s="3">
        <v>232</v>
      </c>
      <c r="O3729" t="s">
        <v>24</v>
      </c>
      <c r="P3729" t="s">
        <v>56</v>
      </c>
      <c r="R3729">
        <f>tblDailySchedule[[#This Row],[Capacity Approx]]*'[1]Load Factor Sheet June Acft  '!$B$5</f>
        <v>187.86727272727273</v>
      </c>
      <c r="S3729">
        <f>tblDailySchedule[[#This Row],[Capacity Approx]]*'[1]Load Factor Sheet June Acft  '!$D$5</f>
        <v>203.4218181818182</v>
      </c>
      <c r="T3729" s="22">
        <f>tblDailySchedule[[#This Row],[STD]]</f>
        <v>0.68402777777777779</v>
      </c>
    </row>
    <row r="3730" spans="1:20" hidden="1" x14ac:dyDescent="0.35">
      <c r="A3730" s="11">
        <v>46244</v>
      </c>
      <c r="B3730" s="3">
        <v>1</v>
      </c>
      <c r="C3730" t="s">
        <v>100</v>
      </c>
      <c r="D3730" t="s">
        <v>18</v>
      </c>
      <c r="E3730" s="3">
        <v>17</v>
      </c>
      <c r="F3730" t="s">
        <v>19</v>
      </c>
      <c r="G3730" t="s">
        <v>69</v>
      </c>
      <c r="H3730" t="s">
        <v>31</v>
      </c>
      <c r="I3730" s="12">
        <v>0.66319444444444442</v>
      </c>
      <c r="J3730" t="s">
        <v>70</v>
      </c>
      <c r="K3730" t="s">
        <v>31</v>
      </c>
      <c r="L3730" s="12">
        <v>0.69097222222222221</v>
      </c>
      <c r="M3730" t="s">
        <v>33</v>
      </c>
      <c r="N3730" s="3">
        <v>189</v>
      </c>
      <c r="O3730" t="s">
        <v>24</v>
      </c>
      <c r="P3730" t="s">
        <v>56</v>
      </c>
      <c r="R3730">
        <f>tblDailySchedule[[#This Row],[Capacity Approx]]*'[1]Load Factor Sheet June Acft  '!$B$5</f>
        <v>153.04704545454547</v>
      </c>
      <c r="S3730">
        <f>tblDailySchedule[[#This Row],[Capacity Approx]]*'[1]Load Factor Sheet June Acft  '!$D$5</f>
        <v>165.71863636363636</v>
      </c>
      <c r="T3730" s="22">
        <f>tblDailySchedule[[#This Row],[STD]]</f>
        <v>0.69097222222222221</v>
      </c>
    </row>
    <row r="3731" spans="1:20" hidden="1" x14ac:dyDescent="0.35">
      <c r="A3731" s="11">
        <v>46244</v>
      </c>
      <c r="B3731" s="3">
        <v>1</v>
      </c>
      <c r="C3731" t="s">
        <v>100</v>
      </c>
      <c r="D3731" t="s">
        <v>18</v>
      </c>
      <c r="E3731" s="3">
        <v>18</v>
      </c>
      <c r="F3731" t="s">
        <v>19</v>
      </c>
      <c r="G3731" t="s">
        <v>71</v>
      </c>
      <c r="H3731" t="s">
        <v>21</v>
      </c>
      <c r="I3731" s="12">
        <v>0.67013888888888884</v>
      </c>
      <c r="J3731" t="s">
        <v>72</v>
      </c>
      <c r="K3731" t="s">
        <v>21</v>
      </c>
      <c r="L3731" s="12">
        <v>0.69791666666666663</v>
      </c>
      <c r="M3731" t="s">
        <v>63</v>
      </c>
      <c r="N3731" s="3">
        <v>232</v>
      </c>
      <c r="O3731" t="s">
        <v>24</v>
      </c>
      <c r="P3731" t="s">
        <v>56</v>
      </c>
      <c r="R3731">
        <f>tblDailySchedule[[#This Row],[Capacity Approx]]*'[1]Load Factor Sheet June Acft  '!$B$5</f>
        <v>187.86727272727273</v>
      </c>
      <c r="S3731">
        <f>tblDailySchedule[[#This Row],[Capacity Approx]]*'[1]Load Factor Sheet June Acft  '!$D$5</f>
        <v>203.4218181818182</v>
      </c>
      <c r="T3731" s="22">
        <f>tblDailySchedule[[#This Row],[STD]]</f>
        <v>0.69791666666666663</v>
      </c>
    </row>
    <row r="3732" spans="1:20" hidden="1" x14ac:dyDescent="0.35">
      <c r="A3732" s="11">
        <v>46244</v>
      </c>
      <c r="B3732" s="3">
        <v>1</v>
      </c>
      <c r="C3732" t="s">
        <v>100</v>
      </c>
      <c r="D3732" t="s">
        <v>18</v>
      </c>
      <c r="E3732" s="3">
        <v>19</v>
      </c>
      <c r="F3732" t="s">
        <v>19</v>
      </c>
      <c r="G3732" t="s">
        <v>73</v>
      </c>
      <c r="H3732" t="s">
        <v>27</v>
      </c>
      <c r="I3732" s="12">
        <v>0.74652777777777779</v>
      </c>
      <c r="J3732" t="s">
        <v>74</v>
      </c>
      <c r="K3732" t="s">
        <v>27</v>
      </c>
      <c r="L3732" s="12">
        <v>0.77430555555555558</v>
      </c>
      <c r="M3732" t="s">
        <v>63</v>
      </c>
      <c r="N3732" s="3">
        <v>232</v>
      </c>
      <c r="O3732" t="s">
        <v>24</v>
      </c>
      <c r="P3732" t="s">
        <v>56</v>
      </c>
      <c r="R3732">
        <f>tblDailySchedule[[#This Row],[Capacity Approx]]*'[1]Load Factor Sheet June Acft  '!$B$5</f>
        <v>187.86727272727273</v>
      </c>
      <c r="S3732">
        <f>tblDailySchedule[[#This Row],[Capacity Approx]]*'[1]Load Factor Sheet June Acft  '!$D$5</f>
        <v>203.4218181818182</v>
      </c>
      <c r="T3732" s="22">
        <f>tblDailySchedule[[#This Row],[STD]]</f>
        <v>0.77430555555555558</v>
      </c>
    </row>
    <row r="3733" spans="1:20" hidden="1" x14ac:dyDescent="0.35">
      <c r="A3733" s="11">
        <v>46244</v>
      </c>
      <c r="B3733" s="3">
        <v>1</v>
      </c>
      <c r="C3733" t="s">
        <v>100</v>
      </c>
      <c r="D3733" t="s">
        <v>18</v>
      </c>
      <c r="E3733" s="3">
        <v>20</v>
      </c>
      <c r="F3733" t="s">
        <v>34</v>
      </c>
      <c r="G3733" t="s">
        <v>75</v>
      </c>
      <c r="H3733" t="s">
        <v>76</v>
      </c>
      <c r="I3733" s="12">
        <v>0.76388888888888884</v>
      </c>
      <c r="J3733" t="s">
        <v>77</v>
      </c>
      <c r="K3733" t="s">
        <v>78</v>
      </c>
      <c r="L3733" s="12">
        <v>0.78472222222222221</v>
      </c>
      <c r="M3733" t="s">
        <v>51</v>
      </c>
      <c r="N3733" s="3">
        <v>78</v>
      </c>
      <c r="O3733" t="s">
        <v>24</v>
      </c>
      <c r="P3733" t="s">
        <v>79</v>
      </c>
      <c r="Q3733" s="16" t="s">
        <v>80</v>
      </c>
      <c r="R3733">
        <f>tblDailySchedule[[#This Row],[Capacity Approx]]*'[1]Load Factor Sheet June Acft  '!$B$5</f>
        <v>63.162272727272729</v>
      </c>
      <c r="S3733">
        <f>tblDailySchedule[[#This Row],[Capacity Approx]]*'[1]Load Factor Sheet June Acft  '!$D$5</f>
        <v>68.391818181818181</v>
      </c>
      <c r="T3733" s="22">
        <f>tblDailySchedule[[#This Row],[STD]]</f>
        <v>0.78472222222222221</v>
      </c>
    </row>
    <row r="3734" spans="1:20" hidden="1" x14ac:dyDescent="0.35">
      <c r="A3734" s="11">
        <v>46244</v>
      </c>
      <c r="B3734" s="3">
        <v>1</v>
      </c>
      <c r="C3734" t="s">
        <v>100</v>
      </c>
      <c r="D3734" t="s">
        <v>18</v>
      </c>
      <c r="E3734" s="3">
        <v>21</v>
      </c>
      <c r="F3734" t="s">
        <v>19</v>
      </c>
      <c r="G3734" t="s">
        <v>81</v>
      </c>
      <c r="H3734" t="s">
        <v>61</v>
      </c>
      <c r="I3734" s="12">
        <v>0.77083333333333337</v>
      </c>
      <c r="J3734" t="s">
        <v>82</v>
      </c>
      <c r="K3734" t="s">
        <v>49</v>
      </c>
      <c r="L3734" s="12">
        <v>0.79166666666666663</v>
      </c>
      <c r="M3734" t="s">
        <v>33</v>
      </c>
      <c r="N3734" s="3">
        <v>189</v>
      </c>
      <c r="O3734" t="s">
        <v>24</v>
      </c>
      <c r="P3734" t="s">
        <v>79</v>
      </c>
      <c r="R3734">
        <f>tblDailySchedule[[#This Row],[Capacity Approx]]*'[1]Load Factor Sheet June Acft  '!$B$5</f>
        <v>153.04704545454547</v>
      </c>
      <c r="S3734">
        <f>tblDailySchedule[[#This Row],[Capacity Approx]]*'[1]Load Factor Sheet June Acft  '!$D$5</f>
        <v>165.71863636363636</v>
      </c>
      <c r="T3734" s="22">
        <f>tblDailySchedule[[#This Row],[STD]]</f>
        <v>0.79166666666666663</v>
      </c>
    </row>
    <row r="3735" spans="1:20" hidden="1" x14ac:dyDescent="0.35">
      <c r="A3735" s="11">
        <v>46244</v>
      </c>
      <c r="B3735" s="3">
        <v>1</v>
      </c>
      <c r="C3735" t="s">
        <v>100</v>
      </c>
      <c r="D3735" t="s">
        <v>18</v>
      </c>
      <c r="E3735" s="3">
        <v>22</v>
      </c>
      <c r="F3735" t="s">
        <v>19</v>
      </c>
      <c r="G3735" t="s">
        <v>83</v>
      </c>
      <c r="H3735" t="s">
        <v>31</v>
      </c>
      <c r="I3735" s="12">
        <v>0.77777777777777779</v>
      </c>
      <c r="J3735" t="s">
        <v>84</v>
      </c>
      <c r="K3735" t="s">
        <v>31</v>
      </c>
      <c r="L3735" s="12">
        <v>0.80555555555555558</v>
      </c>
      <c r="M3735" t="s">
        <v>63</v>
      </c>
      <c r="N3735" s="3">
        <v>232</v>
      </c>
      <c r="O3735" t="s">
        <v>24</v>
      </c>
      <c r="P3735" t="s">
        <v>79</v>
      </c>
      <c r="R3735">
        <f>tblDailySchedule[[#This Row],[Capacity Approx]]*'[1]Load Factor Sheet June Acft  '!$B$5</f>
        <v>187.86727272727273</v>
      </c>
      <c r="S3735">
        <f>tblDailySchedule[[#This Row],[Capacity Approx]]*'[1]Load Factor Sheet June Acft  '!$D$5</f>
        <v>203.4218181818182</v>
      </c>
      <c r="T3735" s="22">
        <f>tblDailySchedule[[#This Row],[STD]]</f>
        <v>0.80555555555555558</v>
      </c>
    </row>
    <row r="3736" spans="1:20" hidden="1" x14ac:dyDescent="0.35">
      <c r="A3736" s="11">
        <v>46244</v>
      </c>
      <c r="B3736" s="3">
        <v>1</v>
      </c>
      <c r="C3736" t="s">
        <v>100</v>
      </c>
      <c r="D3736" t="s">
        <v>18</v>
      </c>
      <c r="E3736" s="3">
        <v>23</v>
      </c>
      <c r="F3736" t="s">
        <v>19</v>
      </c>
      <c r="G3736" t="s">
        <v>85</v>
      </c>
      <c r="H3736" t="s">
        <v>86</v>
      </c>
      <c r="I3736" s="12">
        <v>0.79861111111111116</v>
      </c>
      <c r="J3736" t="s">
        <v>87</v>
      </c>
      <c r="K3736" t="s">
        <v>86</v>
      </c>
      <c r="L3736" s="12">
        <v>0.82638888888888884</v>
      </c>
      <c r="M3736" t="s">
        <v>63</v>
      </c>
      <c r="N3736" s="3">
        <v>232</v>
      </c>
      <c r="O3736" t="s">
        <v>24</v>
      </c>
      <c r="P3736" t="s">
        <v>79</v>
      </c>
      <c r="R3736">
        <f>tblDailySchedule[[#This Row],[Capacity Approx]]*'[1]Load Factor Sheet June Acft  '!$B$5</f>
        <v>187.86727272727273</v>
      </c>
      <c r="S3736">
        <f>tblDailySchedule[[#This Row],[Capacity Approx]]*'[1]Load Factor Sheet June Acft  '!$D$5</f>
        <v>203.4218181818182</v>
      </c>
      <c r="T3736" s="22">
        <f>tblDailySchedule[[#This Row],[STD]]</f>
        <v>0.82638888888888884</v>
      </c>
    </row>
    <row r="3737" spans="1:20" hidden="1" x14ac:dyDescent="0.35">
      <c r="A3737" s="11">
        <v>46244</v>
      </c>
      <c r="B3737" s="3">
        <v>1</v>
      </c>
      <c r="C3737" t="s">
        <v>100</v>
      </c>
      <c r="D3737" t="s">
        <v>18</v>
      </c>
      <c r="E3737" s="3">
        <v>24</v>
      </c>
      <c r="F3737" t="s">
        <v>19</v>
      </c>
      <c r="G3737" t="s">
        <v>88</v>
      </c>
      <c r="H3737" t="s">
        <v>89</v>
      </c>
      <c r="I3737" s="12">
        <v>0.83333333333333337</v>
      </c>
      <c r="J3737" t="s">
        <v>90</v>
      </c>
      <c r="K3737" t="s">
        <v>31</v>
      </c>
      <c r="L3737" s="12">
        <v>0.86111111111111116</v>
      </c>
      <c r="M3737" t="s">
        <v>63</v>
      </c>
      <c r="N3737" s="3">
        <v>232</v>
      </c>
      <c r="O3737" t="s">
        <v>24</v>
      </c>
      <c r="P3737" t="s">
        <v>79</v>
      </c>
      <c r="R3737">
        <f>tblDailySchedule[[#This Row],[Capacity Approx]]*'[1]Load Factor Sheet June Acft  '!$B$5</f>
        <v>187.86727272727273</v>
      </c>
      <c r="S3737">
        <f>tblDailySchedule[[#This Row],[Capacity Approx]]*'[1]Load Factor Sheet June Acft  '!$D$5</f>
        <v>203.4218181818182</v>
      </c>
      <c r="T3737" s="22">
        <f>tblDailySchedule[[#This Row],[STD]]</f>
        <v>0.86111111111111116</v>
      </c>
    </row>
    <row r="3738" spans="1:20" hidden="1" x14ac:dyDescent="0.35">
      <c r="A3738" s="11">
        <v>46244</v>
      </c>
      <c r="B3738" s="3">
        <v>1</v>
      </c>
      <c r="C3738" t="s">
        <v>100</v>
      </c>
      <c r="D3738" t="s">
        <v>18</v>
      </c>
      <c r="E3738" s="3">
        <v>25</v>
      </c>
      <c r="F3738" t="s">
        <v>19</v>
      </c>
      <c r="G3738" t="s">
        <v>91</v>
      </c>
      <c r="H3738" t="s">
        <v>61</v>
      </c>
      <c r="I3738" s="12">
        <v>0.85416666666666663</v>
      </c>
      <c r="J3738" t="s">
        <v>92</v>
      </c>
      <c r="K3738" t="s">
        <v>61</v>
      </c>
      <c r="L3738" s="12">
        <v>0.88194444444444442</v>
      </c>
      <c r="M3738" t="s">
        <v>63</v>
      </c>
      <c r="N3738" s="3">
        <v>232</v>
      </c>
      <c r="O3738" t="s">
        <v>24</v>
      </c>
      <c r="P3738" t="s">
        <v>79</v>
      </c>
      <c r="R3738">
        <f>tblDailySchedule[[#This Row],[Capacity Approx]]*'[1]Load Factor Sheet June Acft  '!$B$5</f>
        <v>187.86727272727273</v>
      </c>
      <c r="S3738">
        <f>tblDailySchedule[[#This Row],[Capacity Approx]]*'[1]Load Factor Sheet June Acft  '!$D$5</f>
        <v>203.4218181818182</v>
      </c>
      <c r="T3738" s="22">
        <f>tblDailySchedule[[#This Row],[STD]]</f>
        <v>0.88194444444444442</v>
      </c>
    </row>
    <row r="3739" spans="1:20" hidden="1" x14ac:dyDescent="0.35">
      <c r="A3739" s="11">
        <v>46244</v>
      </c>
      <c r="B3739" s="3">
        <v>1</v>
      </c>
      <c r="C3739" t="s">
        <v>100</v>
      </c>
      <c r="D3739" t="s">
        <v>18</v>
      </c>
      <c r="E3739" s="3">
        <v>26</v>
      </c>
      <c r="F3739" t="s">
        <v>19</v>
      </c>
      <c r="G3739" t="s">
        <v>93</v>
      </c>
      <c r="H3739" t="s">
        <v>31</v>
      </c>
      <c r="I3739" s="12">
        <v>0.86111111111111116</v>
      </c>
      <c r="J3739" t="s">
        <v>94</v>
      </c>
      <c r="K3739" t="s">
        <v>31</v>
      </c>
      <c r="L3739" s="12">
        <v>0.88888888888888884</v>
      </c>
      <c r="M3739" t="s">
        <v>23</v>
      </c>
      <c r="N3739" s="3">
        <v>186</v>
      </c>
      <c r="O3739" t="s">
        <v>24</v>
      </c>
      <c r="P3739" t="s">
        <v>79</v>
      </c>
      <c r="R3739">
        <f>tblDailySchedule[[#This Row],[Capacity Approx]]*'[1]Load Factor Sheet June Acft  '!$B$5</f>
        <v>150.61772727272728</v>
      </c>
      <c r="S3739">
        <f>tblDailySchedule[[#This Row],[Capacity Approx]]*'[1]Load Factor Sheet June Acft  '!$D$5</f>
        <v>163.08818181818182</v>
      </c>
      <c r="T3739" s="22">
        <f>tblDailySchedule[[#This Row],[STD]]</f>
        <v>0.88888888888888884</v>
      </c>
    </row>
    <row r="3740" spans="1:20" hidden="1" x14ac:dyDescent="0.35">
      <c r="A3740" s="11">
        <v>46244</v>
      </c>
      <c r="B3740" s="3">
        <v>1</v>
      </c>
      <c r="C3740" t="s">
        <v>100</v>
      </c>
      <c r="D3740" t="s">
        <v>18</v>
      </c>
      <c r="E3740" s="3">
        <v>27</v>
      </c>
      <c r="F3740" t="s">
        <v>19</v>
      </c>
      <c r="G3740" t="s">
        <v>95</v>
      </c>
      <c r="H3740" t="s">
        <v>21</v>
      </c>
      <c r="I3740" s="12">
        <v>0.86805555555555558</v>
      </c>
      <c r="J3740" t="s">
        <v>96</v>
      </c>
      <c r="K3740" t="s">
        <v>21</v>
      </c>
      <c r="L3740" s="12">
        <v>0.89583333333333337</v>
      </c>
      <c r="M3740" t="s">
        <v>29</v>
      </c>
      <c r="N3740" s="3">
        <v>186</v>
      </c>
      <c r="O3740" t="s">
        <v>24</v>
      </c>
      <c r="P3740" t="s">
        <v>79</v>
      </c>
      <c r="R3740">
        <f>tblDailySchedule[[#This Row],[Capacity Approx]]*'[1]Load Factor Sheet June Acft  '!$B$5</f>
        <v>150.61772727272728</v>
      </c>
      <c r="S3740">
        <f>tblDailySchedule[[#This Row],[Capacity Approx]]*'[1]Load Factor Sheet June Acft  '!$D$5</f>
        <v>163.08818181818182</v>
      </c>
      <c r="T3740" s="22">
        <f>tblDailySchedule[[#This Row],[STD]]</f>
        <v>0.89583333333333337</v>
      </c>
    </row>
    <row r="3741" spans="1:20" hidden="1" x14ac:dyDescent="0.35">
      <c r="A3741" s="11">
        <v>46244</v>
      </c>
      <c r="B3741" s="3">
        <v>1</v>
      </c>
      <c r="C3741" t="s">
        <v>100</v>
      </c>
      <c r="D3741" t="s">
        <v>18</v>
      </c>
      <c r="E3741" s="3">
        <v>28</v>
      </c>
      <c r="F3741" t="s">
        <v>19</v>
      </c>
      <c r="G3741" t="s">
        <v>97</v>
      </c>
      <c r="H3741" t="s">
        <v>49</v>
      </c>
      <c r="I3741" s="12">
        <v>0.90277777777777779</v>
      </c>
      <c r="J3741" t="s">
        <v>97</v>
      </c>
      <c r="K3741" t="s">
        <v>61</v>
      </c>
      <c r="L3741" s="12">
        <v>0.92361111111111116</v>
      </c>
      <c r="M3741" t="s">
        <v>33</v>
      </c>
      <c r="N3741" s="3">
        <v>189</v>
      </c>
      <c r="O3741" t="s">
        <v>24</v>
      </c>
      <c r="P3741" t="s">
        <v>79</v>
      </c>
      <c r="R3741">
        <f>tblDailySchedule[[#This Row],[Capacity Approx]]*'[1]Load Factor Sheet June Acft  '!$B$5</f>
        <v>153.04704545454547</v>
      </c>
      <c r="S3741">
        <f>tblDailySchedule[[#This Row],[Capacity Approx]]*'[1]Load Factor Sheet June Acft  '!$D$5</f>
        <v>165.71863636363636</v>
      </c>
      <c r="T3741" s="22">
        <f>tblDailySchedule[[#This Row],[STD]]</f>
        <v>0.92361111111111116</v>
      </c>
    </row>
    <row r="3742" spans="1:20" hidden="1" x14ac:dyDescent="0.35">
      <c r="A3742" s="11">
        <v>46244</v>
      </c>
      <c r="B3742" s="3">
        <v>1</v>
      </c>
      <c r="C3742" t="s">
        <v>100</v>
      </c>
      <c r="D3742" t="s">
        <v>18</v>
      </c>
      <c r="E3742" s="3">
        <v>29</v>
      </c>
      <c r="F3742" t="s">
        <v>19</v>
      </c>
      <c r="G3742" t="s">
        <v>98</v>
      </c>
      <c r="H3742" t="s">
        <v>21</v>
      </c>
      <c r="I3742" s="12">
        <v>0.92013888888888884</v>
      </c>
      <c r="J3742" t="s">
        <v>99</v>
      </c>
      <c r="K3742" t="s">
        <v>21</v>
      </c>
      <c r="L3742" s="12">
        <v>0.94791666666666663</v>
      </c>
      <c r="M3742" t="s">
        <v>63</v>
      </c>
      <c r="N3742" s="3">
        <v>232</v>
      </c>
      <c r="O3742" t="s">
        <v>24</v>
      </c>
      <c r="P3742" t="s">
        <v>79</v>
      </c>
      <c r="R3742">
        <f>tblDailySchedule[[#This Row],[Capacity Approx]]*'[1]Load Factor Sheet June Acft  '!$B$5</f>
        <v>187.86727272727273</v>
      </c>
      <c r="S3742">
        <f>tblDailySchedule[[#This Row],[Capacity Approx]]*'[1]Load Factor Sheet June Acft  '!$D$5</f>
        <v>203.4218181818182</v>
      </c>
      <c r="T3742" s="22">
        <f>tblDailySchedule[[#This Row],[STD]]</f>
        <v>0.94791666666666663</v>
      </c>
    </row>
    <row r="3743" spans="1:20" hidden="1" x14ac:dyDescent="0.35">
      <c r="A3743" s="13">
        <v>46244</v>
      </c>
      <c r="B3743" s="7">
        <v>1</v>
      </c>
      <c r="C3743" s="14" t="s">
        <v>100</v>
      </c>
      <c r="D3743" s="14" t="s">
        <v>18</v>
      </c>
      <c r="E3743" s="7">
        <v>30</v>
      </c>
      <c r="F3743" s="14" t="s">
        <v>104</v>
      </c>
      <c r="G3743" s="14" t="s">
        <v>105</v>
      </c>
      <c r="H3743" s="14" t="s">
        <v>106</v>
      </c>
      <c r="I3743" s="15">
        <v>0.92708333333333337</v>
      </c>
      <c r="J3743" s="14" t="s">
        <v>107</v>
      </c>
      <c r="K3743" s="14" t="s">
        <v>106</v>
      </c>
      <c r="L3743" s="15">
        <v>0.95833333333333337</v>
      </c>
      <c r="M3743" s="14" t="s">
        <v>38</v>
      </c>
      <c r="N3743" s="7">
        <v>186</v>
      </c>
      <c r="O3743" s="14" t="s">
        <v>39</v>
      </c>
      <c r="P3743" s="14" t="s">
        <v>79</v>
      </c>
      <c r="Q3743" s="14" t="s">
        <v>39</v>
      </c>
      <c r="R3743">
        <f>tblDailySchedule[[#This Row],[Capacity Approx]]*'[1]Load Factor Sheet June Acft  '!$B$5</f>
        <v>150.61772727272728</v>
      </c>
      <c r="S3743">
        <f>tblDailySchedule[[#This Row],[Capacity Approx]]*'[1]Load Factor Sheet June Acft  '!$D$5</f>
        <v>163.08818181818182</v>
      </c>
      <c r="T3743" s="22">
        <f>tblDailySchedule[[#This Row],[STD]]</f>
        <v>0.95833333333333337</v>
      </c>
    </row>
    <row r="3744" spans="1:20" hidden="1" x14ac:dyDescent="0.35">
      <c r="A3744" s="11">
        <v>46245</v>
      </c>
      <c r="B3744" s="3">
        <v>2</v>
      </c>
      <c r="C3744" t="s">
        <v>108</v>
      </c>
      <c r="D3744" t="s">
        <v>18</v>
      </c>
      <c r="E3744" s="3">
        <v>1</v>
      </c>
      <c r="F3744" t="s">
        <v>101</v>
      </c>
      <c r="G3744" t="s">
        <v>102</v>
      </c>
      <c r="H3744" t="s">
        <v>61</v>
      </c>
      <c r="I3744" s="12">
        <v>0.3125</v>
      </c>
      <c r="J3744" t="s">
        <v>103</v>
      </c>
      <c r="K3744" t="s">
        <v>61</v>
      </c>
      <c r="L3744" s="12">
        <v>0.33333333333333331</v>
      </c>
      <c r="M3744" t="s">
        <v>33</v>
      </c>
      <c r="N3744" s="3">
        <v>189</v>
      </c>
      <c r="O3744" t="s">
        <v>24</v>
      </c>
      <c r="P3744" t="s">
        <v>25</v>
      </c>
      <c r="R3744">
        <f>tblDailySchedule[[#This Row],[Capacity Approx]]*'[1]Load Factor Sheet June Acft  '!$B$5</f>
        <v>153.04704545454547</v>
      </c>
      <c r="S3744">
        <f>tblDailySchedule[[#This Row],[Capacity Approx]]*'[1]Load Factor Sheet June Acft  '!$D$5</f>
        <v>165.71863636363636</v>
      </c>
      <c r="T3744" s="22">
        <f>tblDailySchedule[[#This Row],[STD]]</f>
        <v>0.33333333333333331</v>
      </c>
    </row>
    <row r="3745" spans="1:20" hidden="1" x14ac:dyDescent="0.35">
      <c r="A3745" s="11">
        <v>46245</v>
      </c>
      <c r="B3745" s="3">
        <v>2</v>
      </c>
      <c r="C3745" t="s">
        <v>108</v>
      </c>
      <c r="D3745" t="s">
        <v>18</v>
      </c>
      <c r="E3745" s="3">
        <v>2</v>
      </c>
      <c r="F3745" t="s">
        <v>19</v>
      </c>
      <c r="G3745" t="s">
        <v>20</v>
      </c>
      <c r="H3745" t="s">
        <v>21</v>
      </c>
      <c r="I3745" s="12">
        <v>0.31944444444444442</v>
      </c>
      <c r="J3745" t="s">
        <v>22</v>
      </c>
      <c r="K3745" t="s">
        <v>21</v>
      </c>
      <c r="L3745" s="12">
        <v>0.34722222222222221</v>
      </c>
      <c r="M3745" t="s">
        <v>23</v>
      </c>
      <c r="N3745" s="3">
        <v>186</v>
      </c>
      <c r="O3745" t="s">
        <v>24</v>
      </c>
      <c r="P3745" t="s">
        <v>25</v>
      </c>
      <c r="R3745">
        <f>tblDailySchedule[[#This Row],[Capacity Approx]]*'[1]Load Factor Sheet June Acft  '!$B$5</f>
        <v>150.61772727272728</v>
      </c>
      <c r="S3745">
        <f>tblDailySchedule[[#This Row],[Capacity Approx]]*'[1]Load Factor Sheet June Acft  '!$D$5</f>
        <v>163.08818181818182</v>
      </c>
      <c r="T3745" s="22">
        <f>tblDailySchedule[[#This Row],[STD]]</f>
        <v>0.34722222222222221</v>
      </c>
    </row>
    <row r="3746" spans="1:20" hidden="1" x14ac:dyDescent="0.35">
      <c r="A3746" s="11">
        <v>46245</v>
      </c>
      <c r="B3746" s="3">
        <v>2</v>
      </c>
      <c r="C3746" t="s">
        <v>108</v>
      </c>
      <c r="D3746" t="s">
        <v>18</v>
      </c>
      <c r="E3746" s="3">
        <v>3</v>
      </c>
      <c r="F3746" t="s">
        <v>19</v>
      </c>
      <c r="G3746" t="s">
        <v>26</v>
      </c>
      <c r="H3746" t="s">
        <v>27</v>
      </c>
      <c r="I3746" s="12">
        <v>0.3263888888888889</v>
      </c>
      <c r="J3746" t="s">
        <v>28</v>
      </c>
      <c r="K3746" t="s">
        <v>27</v>
      </c>
      <c r="L3746" s="12">
        <v>0.35416666666666669</v>
      </c>
      <c r="M3746" t="s">
        <v>29</v>
      </c>
      <c r="N3746" s="3">
        <v>186</v>
      </c>
      <c r="O3746" t="s">
        <v>24</v>
      </c>
      <c r="P3746" t="s">
        <v>25</v>
      </c>
      <c r="R3746">
        <f>tblDailySchedule[[#This Row],[Capacity Approx]]*'[1]Load Factor Sheet June Acft  '!$B$5</f>
        <v>150.61772727272728</v>
      </c>
      <c r="S3746">
        <f>tblDailySchedule[[#This Row],[Capacity Approx]]*'[1]Load Factor Sheet June Acft  '!$D$5</f>
        <v>163.08818181818182</v>
      </c>
      <c r="T3746" s="22">
        <f>tblDailySchedule[[#This Row],[STD]]</f>
        <v>0.35416666666666669</v>
      </c>
    </row>
    <row r="3747" spans="1:20" hidden="1" x14ac:dyDescent="0.35">
      <c r="A3747" s="11">
        <v>46245</v>
      </c>
      <c r="B3747" s="3">
        <v>2</v>
      </c>
      <c r="C3747" t="s">
        <v>108</v>
      </c>
      <c r="D3747" t="s">
        <v>18</v>
      </c>
      <c r="E3747" s="3">
        <v>4</v>
      </c>
      <c r="F3747" t="s">
        <v>19</v>
      </c>
      <c r="G3747" t="s">
        <v>30</v>
      </c>
      <c r="H3747" t="s">
        <v>31</v>
      </c>
      <c r="I3747" s="12">
        <v>0.34722222222222221</v>
      </c>
      <c r="J3747" t="s">
        <v>32</v>
      </c>
      <c r="K3747" t="s">
        <v>31</v>
      </c>
      <c r="L3747" s="12">
        <v>0.36805555555555558</v>
      </c>
      <c r="M3747" t="s">
        <v>33</v>
      </c>
      <c r="N3747" s="3">
        <v>189</v>
      </c>
      <c r="O3747" t="s">
        <v>24</v>
      </c>
      <c r="P3747" t="s">
        <v>25</v>
      </c>
      <c r="R3747">
        <f>tblDailySchedule[[#This Row],[Capacity Approx]]*'[1]Load Factor Sheet June Acft  '!$B$5</f>
        <v>153.04704545454547</v>
      </c>
      <c r="S3747">
        <f>tblDailySchedule[[#This Row],[Capacity Approx]]*'[1]Load Factor Sheet June Acft  '!$D$5</f>
        <v>165.71863636363636</v>
      </c>
      <c r="T3747" s="22">
        <f>tblDailySchedule[[#This Row],[STD]]</f>
        <v>0.36805555555555558</v>
      </c>
    </row>
    <row r="3748" spans="1:20" hidden="1" x14ac:dyDescent="0.35">
      <c r="A3748" s="11">
        <v>46245</v>
      </c>
      <c r="B3748" s="3">
        <v>2</v>
      </c>
      <c r="C3748" t="s">
        <v>108</v>
      </c>
      <c r="D3748" t="s">
        <v>18</v>
      </c>
      <c r="E3748" s="3">
        <v>5</v>
      </c>
      <c r="F3748" t="s">
        <v>19</v>
      </c>
      <c r="G3748" t="s">
        <v>40</v>
      </c>
      <c r="H3748" t="s">
        <v>31</v>
      </c>
      <c r="I3748" s="12">
        <v>0.35069444444444442</v>
      </c>
      <c r="J3748" t="s">
        <v>41</v>
      </c>
      <c r="K3748" t="s">
        <v>31</v>
      </c>
      <c r="L3748" s="12">
        <v>0.37152777777777779</v>
      </c>
      <c r="M3748" t="s">
        <v>23</v>
      </c>
      <c r="N3748" s="3">
        <v>186</v>
      </c>
      <c r="O3748" t="s">
        <v>24</v>
      </c>
      <c r="P3748" t="s">
        <v>25</v>
      </c>
      <c r="R3748">
        <f>tblDailySchedule[[#This Row],[Capacity Approx]]*'[1]Load Factor Sheet June Acft  '!$B$5</f>
        <v>150.61772727272728</v>
      </c>
      <c r="S3748">
        <f>tblDailySchedule[[#This Row],[Capacity Approx]]*'[1]Load Factor Sheet June Acft  '!$D$5</f>
        <v>163.08818181818182</v>
      </c>
      <c r="T3748" s="22">
        <f>tblDailySchedule[[#This Row],[STD]]</f>
        <v>0.37152777777777779</v>
      </c>
    </row>
    <row r="3749" spans="1:20" hidden="1" x14ac:dyDescent="0.35">
      <c r="A3749" s="11">
        <v>46245</v>
      </c>
      <c r="B3749" s="3">
        <v>2</v>
      </c>
      <c r="C3749" t="s">
        <v>108</v>
      </c>
      <c r="D3749" t="s">
        <v>18</v>
      </c>
      <c r="E3749" s="3">
        <v>7</v>
      </c>
      <c r="F3749" t="s">
        <v>19</v>
      </c>
      <c r="G3749" t="s">
        <v>42</v>
      </c>
      <c r="H3749" t="s">
        <v>43</v>
      </c>
      <c r="I3749" s="12">
        <v>0.3923611111111111</v>
      </c>
      <c r="J3749" t="s">
        <v>44</v>
      </c>
      <c r="K3749" t="s">
        <v>43</v>
      </c>
      <c r="L3749" s="12">
        <v>0.40277777777777779</v>
      </c>
      <c r="M3749" t="s">
        <v>45</v>
      </c>
      <c r="N3749" s="3">
        <v>9</v>
      </c>
      <c r="O3749" t="s">
        <v>24</v>
      </c>
      <c r="P3749" t="s">
        <v>25</v>
      </c>
      <c r="R3749">
        <f>tblDailySchedule[[#This Row],[Capacity Approx]]*'[1]Load Factor Sheet June Acft  '!$B$5</f>
        <v>7.2879545454545456</v>
      </c>
      <c r="S3749">
        <f>tblDailySchedule[[#This Row],[Capacity Approx]]*'[1]Load Factor Sheet June Acft  '!$D$5</f>
        <v>7.8913636363636366</v>
      </c>
      <c r="T3749" s="22">
        <f>tblDailySchedule[[#This Row],[STD]]</f>
        <v>0.40277777777777779</v>
      </c>
    </row>
    <row r="3750" spans="1:20" hidden="1" x14ac:dyDescent="0.35">
      <c r="A3750" s="11">
        <v>46245</v>
      </c>
      <c r="B3750" s="3">
        <v>2</v>
      </c>
      <c r="C3750" t="s">
        <v>108</v>
      </c>
      <c r="D3750" t="s">
        <v>18</v>
      </c>
      <c r="E3750" s="3">
        <v>8</v>
      </c>
      <c r="F3750" t="s">
        <v>19</v>
      </c>
      <c r="G3750" t="s">
        <v>46</v>
      </c>
      <c r="H3750" t="s">
        <v>31</v>
      </c>
      <c r="I3750" s="12">
        <v>0.4201388888888889</v>
      </c>
      <c r="J3750" t="s">
        <v>47</v>
      </c>
      <c r="K3750" t="s">
        <v>31</v>
      </c>
      <c r="L3750" s="12">
        <v>0.44444444444444442</v>
      </c>
      <c r="M3750" t="s">
        <v>29</v>
      </c>
      <c r="N3750" s="3">
        <v>186</v>
      </c>
      <c r="O3750" t="s">
        <v>24</v>
      </c>
      <c r="P3750" t="s">
        <v>25</v>
      </c>
      <c r="R3750">
        <f>tblDailySchedule[[#This Row],[Capacity Approx]]*'[1]Load Factor Sheet June Acft  '!$B$5</f>
        <v>150.61772727272728</v>
      </c>
      <c r="S3750">
        <f>tblDailySchedule[[#This Row],[Capacity Approx]]*'[1]Load Factor Sheet June Acft  '!$D$5</f>
        <v>163.08818181818182</v>
      </c>
      <c r="T3750" s="22">
        <f>tblDailySchedule[[#This Row],[STD]]</f>
        <v>0.44444444444444442</v>
      </c>
    </row>
    <row r="3751" spans="1:20" hidden="1" x14ac:dyDescent="0.35">
      <c r="A3751" s="11">
        <v>46245</v>
      </c>
      <c r="B3751" s="3">
        <v>2</v>
      </c>
      <c r="C3751" t="s">
        <v>108</v>
      </c>
      <c r="D3751" t="s">
        <v>18</v>
      </c>
      <c r="E3751" s="3">
        <v>9</v>
      </c>
      <c r="F3751" t="s">
        <v>19</v>
      </c>
      <c r="G3751" t="s">
        <v>48</v>
      </c>
      <c r="H3751" t="s">
        <v>49</v>
      </c>
      <c r="I3751" s="12">
        <v>0.4375</v>
      </c>
      <c r="J3751" t="s">
        <v>50</v>
      </c>
      <c r="K3751" t="s">
        <v>49</v>
      </c>
      <c r="L3751" s="12">
        <v>0.45833333333333331</v>
      </c>
      <c r="M3751" t="s">
        <v>51</v>
      </c>
      <c r="N3751" s="3">
        <v>78</v>
      </c>
      <c r="O3751" t="s">
        <v>24</v>
      </c>
      <c r="P3751" t="s">
        <v>25</v>
      </c>
      <c r="R3751">
        <f>tblDailySchedule[[#This Row],[Capacity Approx]]*'[1]Load Factor Sheet June Acft  '!$B$5</f>
        <v>63.162272727272729</v>
      </c>
      <c r="S3751">
        <f>tblDailySchedule[[#This Row],[Capacity Approx]]*'[1]Load Factor Sheet June Acft  '!$D$5</f>
        <v>68.391818181818181</v>
      </c>
      <c r="T3751" s="22">
        <f>tblDailySchedule[[#This Row],[STD]]</f>
        <v>0.45833333333333331</v>
      </c>
    </row>
    <row r="3752" spans="1:20" hidden="1" x14ac:dyDescent="0.35">
      <c r="A3752" s="11">
        <v>46245</v>
      </c>
      <c r="B3752" s="3">
        <v>2</v>
      </c>
      <c r="C3752" t="s">
        <v>108</v>
      </c>
      <c r="D3752" t="s">
        <v>18</v>
      </c>
      <c r="E3752" s="3">
        <v>10</v>
      </c>
      <c r="F3752" t="s">
        <v>19</v>
      </c>
      <c r="G3752" t="s">
        <v>52</v>
      </c>
      <c r="H3752" t="s">
        <v>27</v>
      </c>
      <c r="I3752" s="12">
        <v>0.4826388888888889</v>
      </c>
      <c r="J3752" t="s">
        <v>53</v>
      </c>
      <c r="K3752" t="s">
        <v>27</v>
      </c>
      <c r="L3752" s="12">
        <v>0.51041666666666663</v>
      </c>
      <c r="M3752" t="s">
        <v>23</v>
      </c>
      <c r="N3752" s="3">
        <v>186</v>
      </c>
      <c r="O3752" t="s">
        <v>24</v>
      </c>
      <c r="P3752" t="s">
        <v>25</v>
      </c>
      <c r="R3752">
        <f>tblDailySchedule[[#This Row],[Capacity Approx]]*'[1]Load Factor Sheet June Acft  '!$B$5</f>
        <v>150.61772727272728</v>
      </c>
      <c r="S3752">
        <f>tblDailySchedule[[#This Row],[Capacity Approx]]*'[1]Load Factor Sheet June Acft  '!$D$5</f>
        <v>163.08818181818182</v>
      </c>
      <c r="T3752" s="22">
        <f>tblDailySchedule[[#This Row],[STD]]</f>
        <v>0.51041666666666663</v>
      </c>
    </row>
    <row r="3753" spans="1:20" hidden="1" x14ac:dyDescent="0.35">
      <c r="A3753" s="11">
        <v>46245</v>
      </c>
      <c r="B3753" s="3">
        <v>2</v>
      </c>
      <c r="C3753" t="s">
        <v>108</v>
      </c>
      <c r="D3753" t="s">
        <v>18</v>
      </c>
      <c r="E3753" s="3">
        <v>11</v>
      </c>
      <c r="F3753" t="s">
        <v>19</v>
      </c>
      <c r="G3753" t="s">
        <v>54</v>
      </c>
      <c r="H3753" t="s">
        <v>31</v>
      </c>
      <c r="I3753" s="12">
        <v>0.51388888888888884</v>
      </c>
      <c r="J3753" t="s">
        <v>55</v>
      </c>
      <c r="K3753" t="s">
        <v>31</v>
      </c>
      <c r="L3753" s="12">
        <v>0.54166666666666663</v>
      </c>
      <c r="M3753" t="s">
        <v>23</v>
      </c>
      <c r="N3753" s="3">
        <v>186</v>
      </c>
      <c r="O3753" t="s">
        <v>24</v>
      </c>
      <c r="P3753" t="s">
        <v>56</v>
      </c>
      <c r="R3753">
        <f>tblDailySchedule[[#This Row],[Capacity Approx]]*'[1]Load Factor Sheet June Acft  '!$B$5</f>
        <v>150.61772727272728</v>
      </c>
      <c r="S3753">
        <f>tblDailySchedule[[#This Row],[Capacity Approx]]*'[1]Load Factor Sheet June Acft  '!$D$5</f>
        <v>163.08818181818182</v>
      </c>
      <c r="T3753" s="22">
        <f>tblDailySchedule[[#This Row],[STD]]</f>
        <v>0.54166666666666663</v>
      </c>
    </row>
    <row r="3754" spans="1:20" hidden="1" x14ac:dyDescent="0.35">
      <c r="A3754" s="11">
        <v>46245</v>
      </c>
      <c r="B3754" s="3">
        <v>2</v>
      </c>
      <c r="C3754" t="s">
        <v>108</v>
      </c>
      <c r="D3754" t="s">
        <v>18</v>
      </c>
      <c r="E3754" s="3">
        <v>12</v>
      </c>
      <c r="F3754" t="s">
        <v>109</v>
      </c>
      <c r="G3754" t="s">
        <v>110</v>
      </c>
      <c r="H3754" t="s">
        <v>111</v>
      </c>
      <c r="I3754" s="12">
        <v>0.55555555555555558</v>
      </c>
      <c r="J3754" t="s">
        <v>112</v>
      </c>
      <c r="K3754" t="s">
        <v>111</v>
      </c>
      <c r="L3754" s="12">
        <v>0.56944444444444442</v>
      </c>
      <c r="M3754" t="s">
        <v>51</v>
      </c>
      <c r="N3754" s="3">
        <v>78</v>
      </c>
      <c r="O3754" t="s">
        <v>24</v>
      </c>
      <c r="P3754" t="s">
        <v>56</v>
      </c>
      <c r="R3754">
        <f>tblDailySchedule[[#This Row],[Capacity Approx]]*'[1]Load Factor Sheet June Acft  '!$B$5</f>
        <v>63.162272727272729</v>
      </c>
      <c r="S3754">
        <f>tblDailySchedule[[#This Row],[Capacity Approx]]*'[1]Load Factor Sheet June Acft  '!$D$5</f>
        <v>68.391818181818181</v>
      </c>
      <c r="T3754" s="22">
        <f>tblDailySchedule[[#This Row],[STD]]</f>
        <v>0.56944444444444442</v>
      </c>
    </row>
    <row r="3755" spans="1:20" hidden="1" x14ac:dyDescent="0.35">
      <c r="A3755" s="11">
        <v>46245</v>
      </c>
      <c r="B3755" s="3">
        <v>2</v>
      </c>
      <c r="C3755" t="s">
        <v>108</v>
      </c>
      <c r="D3755" t="s">
        <v>18</v>
      </c>
      <c r="E3755" s="3">
        <v>13</v>
      </c>
      <c r="F3755" t="s">
        <v>19</v>
      </c>
      <c r="G3755" t="s">
        <v>57</v>
      </c>
      <c r="H3755" t="s">
        <v>58</v>
      </c>
      <c r="I3755" s="12">
        <v>0.55902777777777779</v>
      </c>
      <c r="J3755" t="s">
        <v>59</v>
      </c>
      <c r="K3755" t="s">
        <v>58</v>
      </c>
      <c r="L3755" s="12">
        <v>0.57638888888888884</v>
      </c>
      <c r="M3755" t="s">
        <v>51</v>
      </c>
      <c r="N3755" s="3">
        <v>78</v>
      </c>
      <c r="O3755" t="s">
        <v>24</v>
      </c>
      <c r="P3755" t="s">
        <v>56</v>
      </c>
      <c r="R3755">
        <f>tblDailySchedule[[#This Row],[Capacity Approx]]*'[1]Load Factor Sheet June Acft  '!$B$5</f>
        <v>63.162272727272729</v>
      </c>
      <c r="S3755">
        <f>tblDailySchedule[[#This Row],[Capacity Approx]]*'[1]Load Factor Sheet June Acft  '!$D$5</f>
        <v>68.391818181818181</v>
      </c>
      <c r="T3755" s="22">
        <f>tblDailySchedule[[#This Row],[STD]]</f>
        <v>0.57638888888888884</v>
      </c>
    </row>
    <row r="3756" spans="1:20" hidden="1" x14ac:dyDescent="0.35">
      <c r="A3756" s="11">
        <v>46245</v>
      </c>
      <c r="B3756" s="3">
        <v>2</v>
      </c>
      <c r="C3756" t="s">
        <v>108</v>
      </c>
      <c r="D3756" t="s">
        <v>18</v>
      </c>
      <c r="E3756" s="3">
        <v>14</v>
      </c>
      <c r="F3756" t="s">
        <v>19</v>
      </c>
      <c r="G3756" t="s">
        <v>60</v>
      </c>
      <c r="H3756" t="s">
        <v>61</v>
      </c>
      <c r="I3756" s="12">
        <v>0.59027777777777779</v>
      </c>
      <c r="J3756" t="s">
        <v>62</v>
      </c>
      <c r="K3756" t="s">
        <v>61</v>
      </c>
      <c r="L3756" s="12">
        <v>0.62152777777777779</v>
      </c>
      <c r="M3756" t="s">
        <v>63</v>
      </c>
      <c r="N3756" s="3">
        <v>232</v>
      </c>
      <c r="O3756" t="s">
        <v>24</v>
      </c>
      <c r="P3756" t="s">
        <v>56</v>
      </c>
      <c r="R3756">
        <f>tblDailySchedule[[#This Row],[Capacity Approx]]*'[1]Load Factor Sheet June Acft  '!$B$5</f>
        <v>187.86727272727273</v>
      </c>
      <c r="S3756">
        <f>tblDailySchedule[[#This Row],[Capacity Approx]]*'[1]Load Factor Sheet June Acft  '!$D$5</f>
        <v>203.4218181818182</v>
      </c>
      <c r="T3756" s="22">
        <f>tblDailySchedule[[#This Row],[STD]]</f>
        <v>0.62152777777777779</v>
      </c>
    </row>
    <row r="3757" spans="1:20" hidden="1" x14ac:dyDescent="0.35">
      <c r="A3757" s="11">
        <v>46245</v>
      </c>
      <c r="B3757" s="3">
        <v>2</v>
      </c>
      <c r="C3757" t="s">
        <v>108</v>
      </c>
      <c r="D3757" t="s">
        <v>18</v>
      </c>
      <c r="E3757" s="3">
        <v>15</v>
      </c>
      <c r="F3757" t="s">
        <v>19</v>
      </c>
      <c r="G3757" t="s">
        <v>64</v>
      </c>
      <c r="H3757" t="s">
        <v>31</v>
      </c>
      <c r="I3757" s="12">
        <v>0.60069444444444442</v>
      </c>
      <c r="J3757" t="s">
        <v>65</v>
      </c>
      <c r="K3757" t="s">
        <v>66</v>
      </c>
      <c r="L3757" s="12">
        <v>0.62847222222222221</v>
      </c>
      <c r="M3757" t="s">
        <v>63</v>
      </c>
      <c r="N3757" s="3">
        <v>232</v>
      </c>
      <c r="O3757" t="s">
        <v>24</v>
      </c>
      <c r="P3757" t="s">
        <v>56</v>
      </c>
      <c r="R3757">
        <f>tblDailySchedule[[#This Row],[Capacity Approx]]*'[1]Load Factor Sheet June Acft  '!$B$5</f>
        <v>187.86727272727273</v>
      </c>
      <c r="S3757">
        <f>tblDailySchedule[[#This Row],[Capacity Approx]]*'[1]Load Factor Sheet June Acft  '!$D$5</f>
        <v>203.4218181818182</v>
      </c>
      <c r="T3757" s="22">
        <f>tblDailySchedule[[#This Row],[STD]]</f>
        <v>0.62847222222222221</v>
      </c>
    </row>
    <row r="3758" spans="1:20" hidden="1" x14ac:dyDescent="0.35">
      <c r="A3758" s="11">
        <v>46245</v>
      </c>
      <c r="B3758" s="3">
        <v>2</v>
      </c>
      <c r="C3758" t="s">
        <v>108</v>
      </c>
      <c r="D3758" t="s">
        <v>18</v>
      </c>
      <c r="E3758" s="3">
        <v>16</v>
      </c>
      <c r="F3758" t="s">
        <v>19</v>
      </c>
      <c r="G3758" t="s">
        <v>67</v>
      </c>
      <c r="H3758" t="s">
        <v>31</v>
      </c>
      <c r="I3758" s="12">
        <v>0.65625</v>
      </c>
      <c r="J3758" t="s">
        <v>68</v>
      </c>
      <c r="K3758" t="s">
        <v>31</v>
      </c>
      <c r="L3758" s="12">
        <v>0.68402777777777779</v>
      </c>
      <c r="M3758" t="s">
        <v>63</v>
      </c>
      <c r="N3758" s="3">
        <v>232</v>
      </c>
      <c r="O3758" t="s">
        <v>24</v>
      </c>
      <c r="P3758" t="s">
        <v>56</v>
      </c>
      <c r="R3758">
        <f>tblDailySchedule[[#This Row],[Capacity Approx]]*'[1]Load Factor Sheet June Acft  '!$B$5</f>
        <v>187.86727272727273</v>
      </c>
      <c r="S3758">
        <f>tblDailySchedule[[#This Row],[Capacity Approx]]*'[1]Load Factor Sheet June Acft  '!$D$5</f>
        <v>203.4218181818182</v>
      </c>
      <c r="T3758" s="22">
        <f>tblDailySchedule[[#This Row],[STD]]</f>
        <v>0.68402777777777779</v>
      </c>
    </row>
    <row r="3759" spans="1:20" hidden="1" x14ac:dyDescent="0.35">
      <c r="A3759" s="11">
        <v>46245</v>
      </c>
      <c r="B3759" s="3">
        <v>2</v>
      </c>
      <c r="C3759" t="s">
        <v>108</v>
      </c>
      <c r="D3759" t="s">
        <v>18</v>
      </c>
      <c r="E3759" s="3">
        <v>17</v>
      </c>
      <c r="F3759" t="s">
        <v>19</v>
      </c>
      <c r="G3759" t="s">
        <v>69</v>
      </c>
      <c r="H3759" t="s">
        <v>31</v>
      </c>
      <c r="I3759" s="12">
        <v>0.66319444444444442</v>
      </c>
      <c r="J3759" t="s">
        <v>70</v>
      </c>
      <c r="K3759" t="s">
        <v>31</v>
      </c>
      <c r="L3759" s="12">
        <v>0.69097222222222221</v>
      </c>
      <c r="M3759" t="s">
        <v>33</v>
      </c>
      <c r="N3759" s="3">
        <v>189</v>
      </c>
      <c r="O3759" t="s">
        <v>24</v>
      </c>
      <c r="P3759" t="s">
        <v>56</v>
      </c>
      <c r="R3759">
        <f>tblDailySchedule[[#This Row],[Capacity Approx]]*'[1]Load Factor Sheet June Acft  '!$B$5</f>
        <v>153.04704545454547</v>
      </c>
      <c r="S3759">
        <f>tblDailySchedule[[#This Row],[Capacity Approx]]*'[1]Load Factor Sheet June Acft  '!$D$5</f>
        <v>165.71863636363636</v>
      </c>
      <c r="T3759" s="22">
        <f>tblDailySchedule[[#This Row],[STD]]</f>
        <v>0.69097222222222221</v>
      </c>
    </row>
    <row r="3760" spans="1:20" hidden="1" x14ac:dyDescent="0.35">
      <c r="A3760" s="11">
        <v>46245</v>
      </c>
      <c r="B3760" s="3">
        <v>2</v>
      </c>
      <c r="C3760" t="s">
        <v>108</v>
      </c>
      <c r="D3760" t="s">
        <v>18</v>
      </c>
      <c r="E3760" s="3">
        <v>18</v>
      </c>
      <c r="F3760" t="s">
        <v>19</v>
      </c>
      <c r="G3760" t="s">
        <v>71</v>
      </c>
      <c r="H3760" t="s">
        <v>21</v>
      </c>
      <c r="I3760" s="12">
        <v>0.67013888888888884</v>
      </c>
      <c r="J3760" t="s">
        <v>72</v>
      </c>
      <c r="K3760" t="s">
        <v>21</v>
      </c>
      <c r="L3760" s="12">
        <v>0.69791666666666663</v>
      </c>
      <c r="M3760" t="s">
        <v>63</v>
      </c>
      <c r="N3760" s="3">
        <v>232</v>
      </c>
      <c r="O3760" t="s">
        <v>24</v>
      </c>
      <c r="P3760" t="s">
        <v>56</v>
      </c>
      <c r="R3760">
        <f>tblDailySchedule[[#This Row],[Capacity Approx]]*'[1]Load Factor Sheet June Acft  '!$B$5</f>
        <v>187.86727272727273</v>
      </c>
      <c r="S3760">
        <f>tblDailySchedule[[#This Row],[Capacity Approx]]*'[1]Load Factor Sheet June Acft  '!$D$5</f>
        <v>203.4218181818182</v>
      </c>
      <c r="T3760" s="22">
        <f>tblDailySchedule[[#This Row],[STD]]</f>
        <v>0.69791666666666663</v>
      </c>
    </row>
    <row r="3761" spans="1:20" hidden="1" x14ac:dyDescent="0.35">
      <c r="A3761" s="11">
        <v>46245</v>
      </c>
      <c r="B3761" s="3">
        <v>2</v>
      </c>
      <c r="C3761" t="s">
        <v>108</v>
      </c>
      <c r="D3761" t="s">
        <v>18</v>
      </c>
      <c r="E3761" s="3">
        <v>19</v>
      </c>
      <c r="F3761" t="s">
        <v>19</v>
      </c>
      <c r="G3761" t="s">
        <v>73</v>
      </c>
      <c r="H3761" t="s">
        <v>27</v>
      </c>
      <c r="I3761" s="12">
        <v>0.74652777777777779</v>
      </c>
      <c r="J3761" t="s">
        <v>74</v>
      </c>
      <c r="K3761" t="s">
        <v>27</v>
      </c>
      <c r="L3761" s="12">
        <v>0.77430555555555558</v>
      </c>
      <c r="M3761" t="s">
        <v>63</v>
      </c>
      <c r="N3761" s="3">
        <v>232</v>
      </c>
      <c r="O3761" t="s">
        <v>24</v>
      </c>
      <c r="P3761" t="s">
        <v>56</v>
      </c>
      <c r="R3761">
        <f>tblDailySchedule[[#This Row],[Capacity Approx]]*'[1]Load Factor Sheet June Acft  '!$B$5</f>
        <v>187.86727272727273</v>
      </c>
      <c r="S3761">
        <f>tblDailySchedule[[#This Row],[Capacity Approx]]*'[1]Load Factor Sheet June Acft  '!$D$5</f>
        <v>203.4218181818182</v>
      </c>
      <c r="T3761" s="22">
        <f>tblDailySchedule[[#This Row],[STD]]</f>
        <v>0.77430555555555558</v>
      </c>
    </row>
    <row r="3762" spans="1:20" hidden="1" x14ac:dyDescent="0.35">
      <c r="A3762" s="11">
        <v>46245</v>
      </c>
      <c r="B3762" s="3">
        <v>2</v>
      </c>
      <c r="C3762" t="s">
        <v>108</v>
      </c>
      <c r="D3762" t="s">
        <v>18</v>
      </c>
      <c r="E3762" s="3">
        <v>21</v>
      </c>
      <c r="F3762" t="s">
        <v>19</v>
      </c>
      <c r="G3762" t="s">
        <v>81</v>
      </c>
      <c r="H3762" t="s">
        <v>61</v>
      </c>
      <c r="I3762" s="12">
        <v>0.77083333333333337</v>
      </c>
      <c r="J3762" t="s">
        <v>82</v>
      </c>
      <c r="K3762" t="s">
        <v>49</v>
      </c>
      <c r="L3762" s="12">
        <v>0.79166666666666663</v>
      </c>
      <c r="M3762" t="s">
        <v>33</v>
      </c>
      <c r="N3762" s="3">
        <v>189</v>
      </c>
      <c r="O3762" t="s">
        <v>24</v>
      </c>
      <c r="P3762" t="s">
        <v>79</v>
      </c>
      <c r="R3762">
        <f>tblDailySchedule[[#This Row],[Capacity Approx]]*'[1]Load Factor Sheet June Acft  '!$B$5</f>
        <v>153.04704545454547</v>
      </c>
      <c r="S3762">
        <f>tblDailySchedule[[#This Row],[Capacity Approx]]*'[1]Load Factor Sheet June Acft  '!$D$5</f>
        <v>165.71863636363636</v>
      </c>
      <c r="T3762" s="22">
        <f>tblDailySchedule[[#This Row],[STD]]</f>
        <v>0.79166666666666663</v>
      </c>
    </row>
    <row r="3763" spans="1:20" hidden="1" x14ac:dyDescent="0.35">
      <c r="A3763" s="11">
        <v>46245</v>
      </c>
      <c r="B3763" s="3">
        <v>2</v>
      </c>
      <c r="C3763" t="s">
        <v>108</v>
      </c>
      <c r="D3763" t="s">
        <v>18</v>
      </c>
      <c r="E3763" s="3">
        <v>22</v>
      </c>
      <c r="F3763" t="s">
        <v>19</v>
      </c>
      <c r="G3763" t="s">
        <v>83</v>
      </c>
      <c r="H3763" t="s">
        <v>31</v>
      </c>
      <c r="I3763" s="12">
        <v>0.77777777777777779</v>
      </c>
      <c r="J3763" t="s">
        <v>84</v>
      </c>
      <c r="K3763" t="s">
        <v>31</v>
      </c>
      <c r="L3763" s="12">
        <v>0.80555555555555558</v>
      </c>
      <c r="M3763" t="s">
        <v>63</v>
      </c>
      <c r="N3763" s="3">
        <v>232</v>
      </c>
      <c r="O3763" t="s">
        <v>24</v>
      </c>
      <c r="P3763" t="s">
        <v>79</v>
      </c>
      <c r="R3763">
        <f>tblDailySchedule[[#This Row],[Capacity Approx]]*'[1]Load Factor Sheet June Acft  '!$B$5</f>
        <v>187.86727272727273</v>
      </c>
      <c r="S3763">
        <f>tblDailySchedule[[#This Row],[Capacity Approx]]*'[1]Load Factor Sheet June Acft  '!$D$5</f>
        <v>203.4218181818182</v>
      </c>
      <c r="T3763" s="22">
        <f>tblDailySchedule[[#This Row],[STD]]</f>
        <v>0.80555555555555558</v>
      </c>
    </row>
    <row r="3764" spans="1:20" hidden="1" x14ac:dyDescent="0.35">
      <c r="A3764" s="11">
        <v>46245</v>
      </c>
      <c r="B3764" s="3">
        <v>2</v>
      </c>
      <c r="C3764" t="s">
        <v>108</v>
      </c>
      <c r="D3764" t="s">
        <v>18</v>
      </c>
      <c r="E3764" s="3">
        <v>23</v>
      </c>
      <c r="F3764" t="s">
        <v>19</v>
      </c>
      <c r="G3764" t="s">
        <v>85</v>
      </c>
      <c r="H3764" t="s">
        <v>86</v>
      </c>
      <c r="I3764" s="12">
        <v>0.79861111111111116</v>
      </c>
      <c r="J3764" t="s">
        <v>87</v>
      </c>
      <c r="K3764" t="s">
        <v>86</v>
      </c>
      <c r="L3764" s="12">
        <v>0.82638888888888884</v>
      </c>
      <c r="M3764" t="s">
        <v>63</v>
      </c>
      <c r="N3764" s="3">
        <v>232</v>
      </c>
      <c r="O3764" t="s">
        <v>24</v>
      </c>
      <c r="P3764" t="s">
        <v>79</v>
      </c>
      <c r="R3764">
        <f>tblDailySchedule[[#This Row],[Capacity Approx]]*'[1]Load Factor Sheet June Acft  '!$B$5</f>
        <v>187.86727272727273</v>
      </c>
      <c r="S3764">
        <f>tblDailySchedule[[#This Row],[Capacity Approx]]*'[1]Load Factor Sheet June Acft  '!$D$5</f>
        <v>203.4218181818182</v>
      </c>
      <c r="T3764" s="22">
        <f>tblDailySchedule[[#This Row],[STD]]</f>
        <v>0.82638888888888884</v>
      </c>
    </row>
    <row r="3765" spans="1:20" hidden="1" x14ac:dyDescent="0.35">
      <c r="A3765" s="11">
        <v>46245</v>
      </c>
      <c r="B3765" s="3">
        <v>2</v>
      </c>
      <c r="C3765" t="s">
        <v>108</v>
      </c>
      <c r="D3765" t="s">
        <v>18</v>
      </c>
      <c r="E3765" s="3">
        <v>24</v>
      </c>
      <c r="F3765" t="s">
        <v>19</v>
      </c>
      <c r="G3765" t="s">
        <v>88</v>
      </c>
      <c r="H3765" t="s">
        <v>89</v>
      </c>
      <c r="I3765" s="12">
        <v>0.83333333333333337</v>
      </c>
      <c r="J3765" t="s">
        <v>90</v>
      </c>
      <c r="K3765" t="s">
        <v>31</v>
      </c>
      <c r="L3765" s="12">
        <v>0.86111111111111116</v>
      </c>
      <c r="M3765" t="s">
        <v>63</v>
      </c>
      <c r="N3765" s="3">
        <v>232</v>
      </c>
      <c r="O3765" t="s">
        <v>24</v>
      </c>
      <c r="P3765" t="s">
        <v>79</v>
      </c>
      <c r="R3765">
        <f>tblDailySchedule[[#This Row],[Capacity Approx]]*'[1]Load Factor Sheet June Acft  '!$B$5</f>
        <v>187.86727272727273</v>
      </c>
      <c r="S3765">
        <f>tblDailySchedule[[#This Row],[Capacity Approx]]*'[1]Load Factor Sheet June Acft  '!$D$5</f>
        <v>203.4218181818182</v>
      </c>
      <c r="T3765" s="22">
        <f>tblDailySchedule[[#This Row],[STD]]</f>
        <v>0.86111111111111116</v>
      </c>
    </row>
    <row r="3766" spans="1:20" hidden="1" x14ac:dyDescent="0.35">
      <c r="A3766" s="11">
        <v>46245</v>
      </c>
      <c r="B3766" s="3">
        <v>2</v>
      </c>
      <c r="C3766" t="s">
        <v>108</v>
      </c>
      <c r="D3766" t="s">
        <v>18</v>
      </c>
      <c r="E3766" s="3">
        <v>25</v>
      </c>
      <c r="F3766" t="s">
        <v>19</v>
      </c>
      <c r="G3766" t="s">
        <v>91</v>
      </c>
      <c r="H3766" t="s">
        <v>61</v>
      </c>
      <c r="I3766" s="12">
        <v>0.85416666666666663</v>
      </c>
      <c r="J3766" t="s">
        <v>92</v>
      </c>
      <c r="K3766" t="s">
        <v>61</v>
      </c>
      <c r="L3766" s="12">
        <v>0.88194444444444442</v>
      </c>
      <c r="M3766" t="s">
        <v>63</v>
      </c>
      <c r="N3766" s="3">
        <v>232</v>
      </c>
      <c r="O3766" t="s">
        <v>24</v>
      </c>
      <c r="P3766" t="s">
        <v>79</v>
      </c>
      <c r="R3766">
        <f>tblDailySchedule[[#This Row],[Capacity Approx]]*'[1]Load Factor Sheet June Acft  '!$B$5</f>
        <v>187.86727272727273</v>
      </c>
      <c r="S3766">
        <f>tblDailySchedule[[#This Row],[Capacity Approx]]*'[1]Load Factor Sheet June Acft  '!$D$5</f>
        <v>203.4218181818182</v>
      </c>
      <c r="T3766" s="22">
        <f>tblDailySchedule[[#This Row],[STD]]</f>
        <v>0.88194444444444442</v>
      </c>
    </row>
    <row r="3767" spans="1:20" hidden="1" x14ac:dyDescent="0.35">
      <c r="A3767" s="11">
        <v>46245</v>
      </c>
      <c r="B3767" s="3">
        <v>2</v>
      </c>
      <c r="C3767" t="s">
        <v>108</v>
      </c>
      <c r="D3767" t="s">
        <v>18</v>
      </c>
      <c r="E3767" s="3">
        <v>26</v>
      </c>
      <c r="F3767" t="s">
        <v>19</v>
      </c>
      <c r="G3767" t="s">
        <v>93</v>
      </c>
      <c r="H3767" t="s">
        <v>31</v>
      </c>
      <c r="I3767" s="12">
        <v>0.86111111111111116</v>
      </c>
      <c r="J3767" t="s">
        <v>94</v>
      </c>
      <c r="K3767" t="s">
        <v>31</v>
      </c>
      <c r="L3767" s="12">
        <v>0.88888888888888884</v>
      </c>
      <c r="M3767" t="s">
        <v>23</v>
      </c>
      <c r="N3767" s="3">
        <v>186</v>
      </c>
      <c r="O3767" t="s">
        <v>24</v>
      </c>
      <c r="P3767" t="s">
        <v>79</v>
      </c>
      <c r="R3767">
        <f>tblDailySchedule[[#This Row],[Capacity Approx]]*'[1]Load Factor Sheet June Acft  '!$B$5</f>
        <v>150.61772727272728</v>
      </c>
      <c r="S3767">
        <f>tblDailySchedule[[#This Row],[Capacity Approx]]*'[1]Load Factor Sheet June Acft  '!$D$5</f>
        <v>163.08818181818182</v>
      </c>
      <c r="T3767" s="22">
        <f>tblDailySchedule[[#This Row],[STD]]</f>
        <v>0.88888888888888884</v>
      </c>
    </row>
    <row r="3768" spans="1:20" hidden="1" x14ac:dyDescent="0.35">
      <c r="A3768" s="11">
        <v>46245</v>
      </c>
      <c r="B3768" s="3">
        <v>2</v>
      </c>
      <c r="C3768" t="s">
        <v>108</v>
      </c>
      <c r="D3768" t="s">
        <v>18</v>
      </c>
      <c r="E3768" s="3">
        <v>27</v>
      </c>
      <c r="F3768" t="s">
        <v>19</v>
      </c>
      <c r="G3768" t="s">
        <v>95</v>
      </c>
      <c r="H3768" t="s">
        <v>21</v>
      </c>
      <c r="I3768" s="12">
        <v>0.86805555555555558</v>
      </c>
      <c r="J3768" t="s">
        <v>96</v>
      </c>
      <c r="K3768" t="s">
        <v>21</v>
      </c>
      <c r="L3768" s="12">
        <v>0.89583333333333337</v>
      </c>
      <c r="M3768" t="s">
        <v>29</v>
      </c>
      <c r="N3768" s="3">
        <v>186</v>
      </c>
      <c r="O3768" t="s">
        <v>24</v>
      </c>
      <c r="P3768" t="s">
        <v>79</v>
      </c>
      <c r="R3768">
        <f>tblDailySchedule[[#This Row],[Capacity Approx]]*'[1]Load Factor Sheet June Acft  '!$B$5</f>
        <v>150.61772727272728</v>
      </c>
      <c r="S3768">
        <f>tblDailySchedule[[#This Row],[Capacity Approx]]*'[1]Load Factor Sheet June Acft  '!$D$5</f>
        <v>163.08818181818182</v>
      </c>
      <c r="T3768" s="22">
        <f>tblDailySchedule[[#This Row],[STD]]</f>
        <v>0.89583333333333337</v>
      </c>
    </row>
    <row r="3769" spans="1:20" hidden="1" x14ac:dyDescent="0.35">
      <c r="A3769" s="11">
        <v>46245</v>
      </c>
      <c r="B3769" s="3">
        <v>2</v>
      </c>
      <c r="C3769" t="s">
        <v>108</v>
      </c>
      <c r="D3769" t="s">
        <v>18</v>
      </c>
      <c r="E3769" s="3">
        <v>28</v>
      </c>
      <c r="F3769" t="s">
        <v>19</v>
      </c>
      <c r="G3769" t="s">
        <v>97</v>
      </c>
      <c r="H3769" t="s">
        <v>49</v>
      </c>
      <c r="I3769" s="12">
        <v>0.90277777777777779</v>
      </c>
      <c r="J3769" t="s">
        <v>97</v>
      </c>
      <c r="K3769" t="s">
        <v>61</v>
      </c>
      <c r="L3769" s="12">
        <v>0.92361111111111116</v>
      </c>
      <c r="M3769" t="s">
        <v>33</v>
      </c>
      <c r="N3769" s="3">
        <v>189</v>
      </c>
      <c r="O3769" t="s">
        <v>24</v>
      </c>
      <c r="P3769" t="s">
        <v>79</v>
      </c>
      <c r="R3769">
        <f>tblDailySchedule[[#This Row],[Capacity Approx]]*'[1]Load Factor Sheet June Acft  '!$B$5</f>
        <v>153.04704545454547</v>
      </c>
      <c r="S3769">
        <f>tblDailySchedule[[#This Row],[Capacity Approx]]*'[1]Load Factor Sheet June Acft  '!$D$5</f>
        <v>165.71863636363636</v>
      </c>
      <c r="T3769" s="22">
        <f>tblDailySchedule[[#This Row],[STD]]</f>
        <v>0.92361111111111116</v>
      </c>
    </row>
    <row r="3770" spans="1:20" hidden="1" x14ac:dyDescent="0.35">
      <c r="A3770" s="11">
        <v>46245</v>
      </c>
      <c r="B3770" s="3">
        <v>2</v>
      </c>
      <c r="C3770" t="s">
        <v>108</v>
      </c>
      <c r="D3770" t="s">
        <v>18</v>
      </c>
      <c r="E3770" s="3">
        <v>29</v>
      </c>
      <c r="F3770" t="s">
        <v>19</v>
      </c>
      <c r="G3770" t="s">
        <v>98</v>
      </c>
      <c r="H3770" t="s">
        <v>21</v>
      </c>
      <c r="I3770" s="12">
        <v>0.92013888888888884</v>
      </c>
      <c r="J3770" t="s">
        <v>99</v>
      </c>
      <c r="K3770" t="s">
        <v>21</v>
      </c>
      <c r="L3770" s="12">
        <v>0.94791666666666663</v>
      </c>
      <c r="M3770" t="s">
        <v>63</v>
      </c>
      <c r="N3770" s="3">
        <v>232</v>
      </c>
      <c r="O3770" t="s">
        <v>24</v>
      </c>
      <c r="P3770" t="s">
        <v>79</v>
      </c>
      <c r="R3770">
        <f>tblDailySchedule[[#This Row],[Capacity Approx]]*'[1]Load Factor Sheet June Acft  '!$B$5</f>
        <v>187.86727272727273</v>
      </c>
      <c r="S3770">
        <f>tblDailySchedule[[#This Row],[Capacity Approx]]*'[1]Load Factor Sheet June Acft  '!$D$5</f>
        <v>203.4218181818182</v>
      </c>
      <c r="T3770" s="22">
        <f>tblDailySchedule[[#This Row],[STD]]</f>
        <v>0.94791666666666663</v>
      </c>
    </row>
    <row r="3771" spans="1:20" hidden="1" x14ac:dyDescent="0.35">
      <c r="A3771" s="11">
        <v>46246</v>
      </c>
      <c r="B3771" s="3">
        <v>3</v>
      </c>
      <c r="C3771" t="s">
        <v>113</v>
      </c>
      <c r="D3771" t="s">
        <v>18</v>
      </c>
      <c r="E3771" s="3">
        <v>2</v>
      </c>
      <c r="F3771" t="s">
        <v>19</v>
      </c>
      <c r="G3771" t="s">
        <v>20</v>
      </c>
      <c r="H3771" t="s">
        <v>21</v>
      </c>
      <c r="I3771" s="12">
        <v>0.31944444444444442</v>
      </c>
      <c r="J3771" t="s">
        <v>22</v>
      </c>
      <c r="K3771" t="s">
        <v>21</v>
      </c>
      <c r="L3771" s="12">
        <v>0.34722222222222221</v>
      </c>
      <c r="M3771" t="s">
        <v>23</v>
      </c>
      <c r="N3771" s="3">
        <v>186</v>
      </c>
      <c r="O3771" t="s">
        <v>24</v>
      </c>
      <c r="P3771" t="s">
        <v>25</v>
      </c>
      <c r="R3771">
        <f>tblDailySchedule[[#This Row],[Capacity Approx]]*'[1]Load Factor Sheet June Acft  '!$B$5</f>
        <v>150.61772727272728</v>
      </c>
      <c r="S3771">
        <f>tblDailySchedule[[#This Row],[Capacity Approx]]*'[1]Load Factor Sheet June Acft  '!$D$5</f>
        <v>163.08818181818182</v>
      </c>
      <c r="T3771" s="22">
        <f>tblDailySchedule[[#This Row],[STD]]</f>
        <v>0.34722222222222221</v>
      </c>
    </row>
    <row r="3772" spans="1:20" hidden="1" x14ac:dyDescent="0.35">
      <c r="A3772" s="11">
        <v>46246</v>
      </c>
      <c r="B3772" s="3">
        <v>3</v>
      </c>
      <c r="C3772" t="s">
        <v>113</v>
      </c>
      <c r="D3772" t="s">
        <v>18</v>
      </c>
      <c r="E3772" s="3">
        <v>3</v>
      </c>
      <c r="F3772" t="s">
        <v>19</v>
      </c>
      <c r="G3772" t="s">
        <v>26</v>
      </c>
      <c r="H3772" t="s">
        <v>27</v>
      </c>
      <c r="I3772" s="12">
        <v>0.3263888888888889</v>
      </c>
      <c r="J3772" t="s">
        <v>28</v>
      </c>
      <c r="K3772" t="s">
        <v>27</v>
      </c>
      <c r="L3772" s="12">
        <v>0.35416666666666669</v>
      </c>
      <c r="M3772" t="s">
        <v>29</v>
      </c>
      <c r="N3772" s="3">
        <v>186</v>
      </c>
      <c r="O3772" t="s">
        <v>24</v>
      </c>
      <c r="P3772" t="s">
        <v>25</v>
      </c>
      <c r="R3772">
        <f>tblDailySchedule[[#This Row],[Capacity Approx]]*'[1]Load Factor Sheet June Acft  '!$B$5</f>
        <v>150.61772727272728</v>
      </c>
      <c r="S3772">
        <f>tblDailySchedule[[#This Row],[Capacity Approx]]*'[1]Load Factor Sheet June Acft  '!$D$5</f>
        <v>163.08818181818182</v>
      </c>
      <c r="T3772" s="22">
        <f>tblDailySchedule[[#This Row],[STD]]</f>
        <v>0.35416666666666669</v>
      </c>
    </row>
    <row r="3773" spans="1:20" hidden="1" x14ac:dyDescent="0.35">
      <c r="A3773" s="11">
        <v>46246</v>
      </c>
      <c r="B3773" s="3">
        <v>3</v>
      </c>
      <c r="C3773" t="s">
        <v>113</v>
      </c>
      <c r="D3773" t="s">
        <v>18</v>
      </c>
      <c r="E3773" s="3">
        <v>4</v>
      </c>
      <c r="F3773" t="s">
        <v>19</v>
      </c>
      <c r="G3773" t="s">
        <v>30</v>
      </c>
      <c r="H3773" t="s">
        <v>31</v>
      </c>
      <c r="I3773" s="12">
        <v>0.34722222222222221</v>
      </c>
      <c r="J3773" t="s">
        <v>32</v>
      </c>
      <c r="K3773" t="s">
        <v>31</v>
      </c>
      <c r="L3773" s="12">
        <v>0.36805555555555558</v>
      </c>
      <c r="M3773" t="s">
        <v>33</v>
      </c>
      <c r="N3773" s="3">
        <v>189</v>
      </c>
      <c r="O3773" t="s">
        <v>24</v>
      </c>
      <c r="P3773" t="s">
        <v>25</v>
      </c>
      <c r="R3773">
        <f>tblDailySchedule[[#This Row],[Capacity Approx]]*'[1]Load Factor Sheet June Acft  '!$B$5</f>
        <v>153.04704545454547</v>
      </c>
      <c r="S3773">
        <f>tblDailySchedule[[#This Row],[Capacity Approx]]*'[1]Load Factor Sheet June Acft  '!$D$5</f>
        <v>165.71863636363636</v>
      </c>
      <c r="T3773" s="22">
        <f>tblDailySchedule[[#This Row],[STD]]</f>
        <v>0.36805555555555558</v>
      </c>
    </row>
    <row r="3774" spans="1:20" hidden="1" x14ac:dyDescent="0.35">
      <c r="A3774" s="13">
        <v>46246</v>
      </c>
      <c r="B3774" s="7">
        <v>3</v>
      </c>
      <c r="C3774" s="14" t="s">
        <v>113</v>
      </c>
      <c r="D3774" s="14" t="s">
        <v>18</v>
      </c>
      <c r="E3774" s="7">
        <v>6</v>
      </c>
      <c r="F3774" s="14" t="s">
        <v>34</v>
      </c>
      <c r="G3774" s="14" t="s">
        <v>35</v>
      </c>
      <c r="H3774" s="14" t="s">
        <v>36</v>
      </c>
      <c r="I3774" s="15">
        <v>0.34722222222222221</v>
      </c>
      <c r="J3774" s="14" t="s">
        <v>37</v>
      </c>
      <c r="K3774" s="14" t="s">
        <v>36</v>
      </c>
      <c r="L3774" s="15">
        <v>0.40972222222222221</v>
      </c>
      <c r="M3774" s="14" t="s">
        <v>38</v>
      </c>
      <c r="N3774" s="7">
        <v>186</v>
      </c>
      <c r="O3774" s="14" t="s">
        <v>39</v>
      </c>
      <c r="P3774" s="14" t="s">
        <v>25</v>
      </c>
      <c r="Q3774" s="14" t="s">
        <v>39</v>
      </c>
      <c r="R3774">
        <f>tblDailySchedule[[#This Row],[Capacity Approx]]*'[1]Load Factor Sheet June Acft  '!$B$5</f>
        <v>150.61772727272728</v>
      </c>
      <c r="S3774">
        <f>tblDailySchedule[[#This Row],[Capacity Approx]]*'[1]Load Factor Sheet June Acft  '!$D$5</f>
        <v>163.08818181818182</v>
      </c>
      <c r="T3774" s="22">
        <f>tblDailySchedule[[#This Row],[STD]]</f>
        <v>0.40972222222222221</v>
      </c>
    </row>
    <row r="3775" spans="1:20" hidden="1" x14ac:dyDescent="0.35">
      <c r="A3775" s="11">
        <v>46246</v>
      </c>
      <c r="B3775" s="3">
        <v>3</v>
      </c>
      <c r="C3775" t="s">
        <v>113</v>
      </c>
      <c r="D3775" t="s">
        <v>18</v>
      </c>
      <c r="E3775" s="3">
        <v>5</v>
      </c>
      <c r="F3775" t="s">
        <v>19</v>
      </c>
      <c r="G3775" t="s">
        <v>40</v>
      </c>
      <c r="H3775" t="s">
        <v>31</v>
      </c>
      <c r="I3775" s="12">
        <v>0.35069444444444442</v>
      </c>
      <c r="J3775" t="s">
        <v>41</v>
      </c>
      <c r="K3775" t="s">
        <v>31</v>
      </c>
      <c r="L3775" s="12">
        <v>0.37152777777777779</v>
      </c>
      <c r="M3775" t="s">
        <v>23</v>
      </c>
      <c r="N3775" s="3">
        <v>186</v>
      </c>
      <c r="O3775" t="s">
        <v>24</v>
      </c>
      <c r="P3775" t="s">
        <v>25</v>
      </c>
      <c r="R3775">
        <f>tblDailySchedule[[#This Row],[Capacity Approx]]*'[1]Load Factor Sheet June Acft  '!$B$5</f>
        <v>150.61772727272728</v>
      </c>
      <c r="S3775">
        <f>tblDailySchedule[[#This Row],[Capacity Approx]]*'[1]Load Factor Sheet June Acft  '!$D$5</f>
        <v>163.08818181818182</v>
      </c>
      <c r="T3775" s="22">
        <f>tblDailySchedule[[#This Row],[STD]]</f>
        <v>0.37152777777777779</v>
      </c>
    </row>
    <row r="3776" spans="1:20" hidden="1" x14ac:dyDescent="0.35">
      <c r="A3776" s="11">
        <v>46246</v>
      </c>
      <c r="B3776" s="3">
        <v>3</v>
      </c>
      <c r="C3776" t="s">
        <v>113</v>
      </c>
      <c r="D3776" t="s">
        <v>18</v>
      </c>
      <c r="E3776" s="3">
        <v>7</v>
      </c>
      <c r="F3776" t="s">
        <v>19</v>
      </c>
      <c r="G3776" t="s">
        <v>42</v>
      </c>
      <c r="H3776" t="s">
        <v>43</v>
      </c>
      <c r="I3776" s="12">
        <v>0.3923611111111111</v>
      </c>
      <c r="J3776" t="s">
        <v>44</v>
      </c>
      <c r="K3776" t="s">
        <v>43</v>
      </c>
      <c r="L3776" s="12">
        <v>0.40277777777777779</v>
      </c>
      <c r="M3776" t="s">
        <v>45</v>
      </c>
      <c r="N3776" s="3">
        <v>9</v>
      </c>
      <c r="O3776" t="s">
        <v>24</v>
      </c>
      <c r="P3776" t="s">
        <v>25</v>
      </c>
      <c r="R3776">
        <f>tblDailySchedule[[#This Row],[Capacity Approx]]*'[1]Load Factor Sheet June Acft  '!$B$5</f>
        <v>7.2879545454545456</v>
      </c>
      <c r="S3776">
        <f>tblDailySchedule[[#This Row],[Capacity Approx]]*'[1]Load Factor Sheet June Acft  '!$D$5</f>
        <v>7.8913636363636366</v>
      </c>
      <c r="T3776" s="22">
        <f>tblDailySchedule[[#This Row],[STD]]</f>
        <v>0.40277777777777779</v>
      </c>
    </row>
    <row r="3777" spans="1:20" hidden="1" x14ac:dyDescent="0.35">
      <c r="A3777" s="11">
        <v>46246</v>
      </c>
      <c r="B3777" s="3">
        <v>3</v>
      </c>
      <c r="C3777" t="s">
        <v>113</v>
      </c>
      <c r="D3777" t="s">
        <v>18</v>
      </c>
      <c r="E3777" s="3">
        <v>8</v>
      </c>
      <c r="F3777" t="s">
        <v>19</v>
      </c>
      <c r="G3777" t="s">
        <v>46</v>
      </c>
      <c r="H3777" t="s">
        <v>31</v>
      </c>
      <c r="I3777" s="12">
        <v>0.4201388888888889</v>
      </c>
      <c r="J3777" t="s">
        <v>47</v>
      </c>
      <c r="K3777" t="s">
        <v>31</v>
      </c>
      <c r="L3777" s="12">
        <v>0.44444444444444442</v>
      </c>
      <c r="M3777" t="s">
        <v>29</v>
      </c>
      <c r="N3777" s="3">
        <v>186</v>
      </c>
      <c r="O3777" t="s">
        <v>24</v>
      </c>
      <c r="P3777" t="s">
        <v>25</v>
      </c>
      <c r="R3777">
        <f>tblDailySchedule[[#This Row],[Capacity Approx]]*'[1]Load Factor Sheet June Acft  '!$B$5</f>
        <v>150.61772727272728</v>
      </c>
      <c r="S3777">
        <f>tblDailySchedule[[#This Row],[Capacity Approx]]*'[1]Load Factor Sheet June Acft  '!$D$5</f>
        <v>163.08818181818182</v>
      </c>
      <c r="T3777" s="22">
        <f>tblDailySchedule[[#This Row],[STD]]</f>
        <v>0.44444444444444442</v>
      </c>
    </row>
    <row r="3778" spans="1:20" hidden="1" x14ac:dyDescent="0.35">
      <c r="A3778" s="11">
        <v>46246</v>
      </c>
      <c r="B3778" s="3">
        <v>3</v>
      </c>
      <c r="C3778" t="s">
        <v>113</v>
      </c>
      <c r="D3778" t="s">
        <v>18</v>
      </c>
      <c r="E3778" s="3">
        <v>9</v>
      </c>
      <c r="F3778" t="s">
        <v>19</v>
      </c>
      <c r="G3778" t="s">
        <v>48</v>
      </c>
      <c r="H3778" t="s">
        <v>49</v>
      </c>
      <c r="I3778" s="12">
        <v>0.4375</v>
      </c>
      <c r="J3778" t="s">
        <v>50</v>
      </c>
      <c r="K3778" t="s">
        <v>49</v>
      </c>
      <c r="L3778" s="12">
        <v>0.45833333333333331</v>
      </c>
      <c r="M3778" t="s">
        <v>51</v>
      </c>
      <c r="N3778" s="3">
        <v>78</v>
      </c>
      <c r="O3778" t="s">
        <v>24</v>
      </c>
      <c r="P3778" t="s">
        <v>25</v>
      </c>
      <c r="R3778">
        <f>tblDailySchedule[[#This Row],[Capacity Approx]]*'[1]Load Factor Sheet June Acft  '!$B$5</f>
        <v>63.162272727272729</v>
      </c>
      <c r="S3778">
        <f>tblDailySchedule[[#This Row],[Capacity Approx]]*'[1]Load Factor Sheet June Acft  '!$D$5</f>
        <v>68.391818181818181</v>
      </c>
      <c r="T3778" s="22">
        <f>tblDailySchedule[[#This Row],[STD]]</f>
        <v>0.45833333333333331</v>
      </c>
    </row>
    <row r="3779" spans="1:20" hidden="1" x14ac:dyDescent="0.35">
      <c r="A3779" s="11">
        <v>46246</v>
      </c>
      <c r="B3779" s="3">
        <v>3</v>
      </c>
      <c r="C3779" t="s">
        <v>113</v>
      </c>
      <c r="D3779" t="s">
        <v>18</v>
      </c>
      <c r="E3779" s="3">
        <v>10</v>
      </c>
      <c r="F3779" t="s">
        <v>19</v>
      </c>
      <c r="G3779" t="s">
        <v>52</v>
      </c>
      <c r="H3779" t="s">
        <v>27</v>
      </c>
      <c r="I3779" s="12">
        <v>0.4826388888888889</v>
      </c>
      <c r="J3779" t="s">
        <v>53</v>
      </c>
      <c r="K3779" t="s">
        <v>27</v>
      </c>
      <c r="L3779" s="12">
        <v>0.51041666666666663</v>
      </c>
      <c r="M3779" t="s">
        <v>23</v>
      </c>
      <c r="N3779" s="3">
        <v>186</v>
      </c>
      <c r="O3779" t="s">
        <v>24</v>
      </c>
      <c r="P3779" t="s">
        <v>25</v>
      </c>
      <c r="R3779">
        <f>tblDailySchedule[[#This Row],[Capacity Approx]]*'[1]Load Factor Sheet June Acft  '!$B$5</f>
        <v>150.61772727272728</v>
      </c>
      <c r="S3779">
        <f>tblDailySchedule[[#This Row],[Capacity Approx]]*'[1]Load Factor Sheet June Acft  '!$D$5</f>
        <v>163.08818181818182</v>
      </c>
      <c r="T3779" s="22">
        <f>tblDailySchedule[[#This Row],[STD]]</f>
        <v>0.51041666666666663</v>
      </c>
    </row>
    <row r="3780" spans="1:20" hidden="1" x14ac:dyDescent="0.35">
      <c r="A3780" s="11">
        <v>46246</v>
      </c>
      <c r="B3780" s="3">
        <v>3</v>
      </c>
      <c r="C3780" t="s">
        <v>113</v>
      </c>
      <c r="D3780" t="s">
        <v>18</v>
      </c>
      <c r="E3780" s="3">
        <v>11</v>
      </c>
      <c r="F3780" t="s">
        <v>19</v>
      </c>
      <c r="G3780" t="s">
        <v>54</v>
      </c>
      <c r="H3780" t="s">
        <v>31</v>
      </c>
      <c r="I3780" s="12">
        <v>0.51388888888888884</v>
      </c>
      <c r="J3780" t="s">
        <v>55</v>
      </c>
      <c r="K3780" t="s">
        <v>31</v>
      </c>
      <c r="L3780" s="12">
        <v>0.54166666666666663</v>
      </c>
      <c r="M3780" t="s">
        <v>23</v>
      </c>
      <c r="N3780" s="3">
        <v>186</v>
      </c>
      <c r="O3780" t="s">
        <v>24</v>
      </c>
      <c r="P3780" t="s">
        <v>56</v>
      </c>
      <c r="R3780">
        <f>tblDailySchedule[[#This Row],[Capacity Approx]]*'[1]Load Factor Sheet June Acft  '!$B$5</f>
        <v>150.61772727272728</v>
      </c>
      <c r="S3780">
        <f>tblDailySchedule[[#This Row],[Capacity Approx]]*'[1]Load Factor Sheet June Acft  '!$D$5</f>
        <v>163.08818181818182</v>
      </c>
      <c r="T3780" s="22">
        <f>tblDailySchedule[[#This Row],[STD]]</f>
        <v>0.54166666666666663</v>
      </c>
    </row>
    <row r="3781" spans="1:20" hidden="1" x14ac:dyDescent="0.35">
      <c r="A3781" s="11">
        <v>46246</v>
      </c>
      <c r="B3781" s="3">
        <v>3</v>
      </c>
      <c r="C3781" t="s">
        <v>113</v>
      </c>
      <c r="D3781" t="s">
        <v>18</v>
      </c>
      <c r="E3781" s="3">
        <v>13</v>
      </c>
      <c r="F3781" t="s">
        <v>19</v>
      </c>
      <c r="G3781" t="s">
        <v>57</v>
      </c>
      <c r="H3781" t="s">
        <v>58</v>
      </c>
      <c r="I3781" s="12">
        <v>0.55902777777777779</v>
      </c>
      <c r="J3781" t="s">
        <v>59</v>
      </c>
      <c r="K3781" t="s">
        <v>58</v>
      </c>
      <c r="L3781" s="12">
        <v>0.57638888888888884</v>
      </c>
      <c r="M3781" t="s">
        <v>51</v>
      </c>
      <c r="N3781" s="3">
        <v>78</v>
      </c>
      <c r="O3781" t="s">
        <v>24</v>
      </c>
      <c r="P3781" t="s">
        <v>56</v>
      </c>
      <c r="R3781">
        <f>tblDailySchedule[[#This Row],[Capacity Approx]]*'[1]Load Factor Sheet June Acft  '!$B$5</f>
        <v>63.162272727272729</v>
      </c>
      <c r="S3781">
        <f>tblDailySchedule[[#This Row],[Capacity Approx]]*'[1]Load Factor Sheet June Acft  '!$D$5</f>
        <v>68.391818181818181</v>
      </c>
      <c r="T3781" s="22">
        <f>tblDailySchedule[[#This Row],[STD]]</f>
        <v>0.57638888888888884</v>
      </c>
    </row>
    <row r="3782" spans="1:20" hidden="1" x14ac:dyDescent="0.35">
      <c r="A3782" s="11">
        <v>46246</v>
      </c>
      <c r="B3782" s="3">
        <v>3</v>
      </c>
      <c r="C3782" t="s">
        <v>113</v>
      </c>
      <c r="D3782" t="s">
        <v>18</v>
      </c>
      <c r="E3782" s="3">
        <v>14</v>
      </c>
      <c r="F3782" t="s">
        <v>19</v>
      </c>
      <c r="G3782" t="s">
        <v>60</v>
      </c>
      <c r="H3782" t="s">
        <v>61</v>
      </c>
      <c r="I3782" s="12">
        <v>0.59027777777777779</v>
      </c>
      <c r="J3782" t="s">
        <v>62</v>
      </c>
      <c r="K3782" t="s">
        <v>61</v>
      </c>
      <c r="L3782" s="12">
        <v>0.62152777777777779</v>
      </c>
      <c r="M3782" t="s">
        <v>63</v>
      </c>
      <c r="N3782" s="3">
        <v>232</v>
      </c>
      <c r="O3782" t="s">
        <v>24</v>
      </c>
      <c r="P3782" t="s">
        <v>56</v>
      </c>
      <c r="R3782">
        <f>tblDailySchedule[[#This Row],[Capacity Approx]]*'[1]Load Factor Sheet June Acft  '!$B$5</f>
        <v>187.86727272727273</v>
      </c>
      <c r="S3782">
        <f>tblDailySchedule[[#This Row],[Capacity Approx]]*'[1]Load Factor Sheet June Acft  '!$D$5</f>
        <v>203.4218181818182</v>
      </c>
      <c r="T3782" s="22">
        <f>tblDailySchedule[[#This Row],[STD]]</f>
        <v>0.62152777777777779</v>
      </c>
    </row>
    <row r="3783" spans="1:20" hidden="1" x14ac:dyDescent="0.35">
      <c r="A3783" s="11">
        <v>46246</v>
      </c>
      <c r="B3783" s="3">
        <v>3</v>
      </c>
      <c r="C3783" t="s">
        <v>113</v>
      </c>
      <c r="D3783" t="s">
        <v>18</v>
      </c>
      <c r="E3783" s="3">
        <v>15</v>
      </c>
      <c r="F3783" t="s">
        <v>19</v>
      </c>
      <c r="G3783" t="s">
        <v>64</v>
      </c>
      <c r="H3783" t="s">
        <v>31</v>
      </c>
      <c r="I3783" s="12">
        <v>0.60069444444444442</v>
      </c>
      <c r="J3783" t="s">
        <v>65</v>
      </c>
      <c r="K3783" t="s">
        <v>66</v>
      </c>
      <c r="L3783" s="12">
        <v>0.62847222222222221</v>
      </c>
      <c r="M3783" t="s">
        <v>63</v>
      </c>
      <c r="N3783" s="3">
        <v>232</v>
      </c>
      <c r="O3783" t="s">
        <v>24</v>
      </c>
      <c r="P3783" t="s">
        <v>56</v>
      </c>
      <c r="R3783">
        <f>tblDailySchedule[[#This Row],[Capacity Approx]]*'[1]Load Factor Sheet June Acft  '!$B$5</f>
        <v>187.86727272727273</v>
      </c>
      <c r="S3783">
        <f>tblDailySchedule[[#This Row],[Capacity Approx]]*'[1]Load Factor Sheet June Acft  '!$D$5</f>
        <v>203.4218181818182</v>
      </c>
      <c r="T3783" s="22">
        <f>tblDailySchedule[[#This Row],[STD]]</f>
        <v>0.62847222222222221</v>
      </c>
    </row>
    <row r="3784" spans="1:20" hidden="1" x14ac:dyDescent="0.35">
      <c r="A3784" s="11">
        <v>46246</v>
      </c>
      <c r="B3784" s="3">
        <v>3</v>
      </c>
      <c r="C3784" t="s">
        <v>113</v>
      </c>
      <c r="D3784" t="s">
        <v>18</v>
      </c>
      <c r="E3784" s="3">
        <v>16</v>
      </c>
      <c r="F3784" t="s">
        <v>19</v>
      </c>
      <c r="G3784" t="s">
        <v>67</v>
      </c>
      <c r="H3784" t="s">
        <v>31</v>
      </c>
      <c r="I3784" s="12">
        <v>0.65625</v>
      </c>
      <c r="J3784" t="s">
        <v>68</v>
      </c>
      <c r="K3784" t="s">
        <v>31</v>
      </c>
      <c r="L3784" s="12">
        <v>0.68402777777777779</v>
      </c>
      <c r="M3784" t="s">
        <v>63</v>
      </c>
      <c r="N3784" s="3">
        <v>232</v>
      </c>
      <c r="O3784" t="s">
        <v>24</v>
      </c>
      <c r="P3784" t="s">
        <v>56</v>
      </c>
      <c r="R3784">
        <f>tblDailySchedule[[#This Row],[Capacity Approx]]*'[1]Load Factor Sheet June Acft  '!$B$5</f>
        <v>187.86727272727273</v>
      </c>
      <c r="S3784">
        <f>tblDailySchedule[[#This Row],[Capacity Approx]]*'[1]Load Factor Sheet June Acft  '!$D$5</f>
        <v>203.4218181818182</v>
      </c>
      <c r="T3784" s="22">
        <f>tblDailySchedule[[#This Row],[STD]]</f>
        <v>0.68402777777777779</v>
      </c>
    </row>
    <row r="3785" spans="1:20" hidden="1" x14ac:dyDescent="0.35">
      <c r="A3785" s="11">
        <v>46246</v>
      </c>
      <c r="B3785" s="3">
        <v>3</v>
      </c>
      <c r="C3785" t="s">
        <v>113</v>
      </c>
      <c r="D3785" t="s">
        <v>18</v>
      </c>
      <c r="E3785" s="3">
        <v>17</v>
      </c>
      <c r="F3785" t="s">
        <v>19</v>
      </c>
      <c r="G3785" t="s">
        <v>69</v>
      </c>
      <c r="H3785" t="s">
        <v>31</v>
      </c>
      <c r="I3785" s="12">
        <v>0.66319444444444442</v>
      </c>
      <c r="J3785" t="s">
        <v>70</v>
      </c>
      <c r="K3785" t="s">
        <v>31</v>
      </c>
      <c r="L3785" s="12">
        <v>0.69097222222222221</v>
      </c>
      <c r="M3785" t="s">
        <v>33</v>
      </c>
      <c r="N3785" s="3">
        <v>189</v>
      </c>
      <c r="O3785" t="s">
        <v>24</v>
      </c>
      <c r="P3785" t="s">
        <v>56</v>
      </c>
      <c r="R3785">
        <f>tblDailySchedule[[#This Row],[Capacity Approx]]*'[1]Load Factor Sheet June Acft  '!$B$5</f>
        <v>153.04704545454547</v>
      </c>
      <c r="S3785">
        <f>tblDailySchedule[[#This Row],[Capacity Approx]]*'[1]Load Factor Sheet June Acft  '!$D$5</f>
        <v>165.71863636363636</v>
      </c>
      <c r="T3785" s="22">
        <f>tblDailySchedule[[#This Row],[STD]]</f>
        <v>0.69097222222222221</v>
      </c>
    </row>
    <row r="3786" spans="1:20" hidden="1" x14ac:dyDescent="0.35">
      <c r="A3786" s="11">
        <v>46246</v>
      </c>
      <c r="B3786" s="3">
        <v>3</v>
      </c>
      <c r="C3786" t="s">
        <v>113</v>
      </c>
      <c r="D3786" t="s">
        <v>18</v>
      </c>
      <c r="E3786" s="3">
        <v>18</v>
      </c>
      <c r="F3786" t="s">
        <v>19</v>
      </c>
      <c r="G3786" t="s">
        <v>71</v>
      </c>
      <c r="H3786" t="s">
        <v>21</v>
      </c>
      <c r="I3786" s="12">
        <v>0.67013888888888884</v>
      </c>
      <c r="J3786" t="s">
        <v>72</v>
      </c>
      <c r="K3786" t="s">
        <v>21</v>
      </c>
      <c r="L3786" s="12">
        <v>0.69791666666666663</v>
      </c>
      <c r="M3786" t="s">
        <v>63</v>
      </c>
      <c r="N3786" s="3">
        <v>232</v>
      </c>
      <c r="O3786" t="s">
        <v>24</v>
      </c>
      <c r="P3786" t="s">
        <v>56</v>
      </c>
      <c r="R3786">
        <f>tblDailySchedule[[#This Row],[Capacity Approx]]*'[1]Load Factor Sheet June Acft  '!$B$5</f>
        <v>187.86727272727273</v>
      </c>
      <c r="S3786">
        <f>tblDailySchedule[[#This Row],[Capacity Approx]]*'[1]Load Factor Sheet June Acft  '!$D$5</f>
        <v>203.4218181818182</v>
      </c>
      <c r="T3786" s="22">
        <f>tblDailySchedule[[#This Row],[STD]]</f>
        <v>0.69791666666666663</v>
      </c>
    </row>
    <row r="3787" spans="1:20" hidden="1" x14ac:dyDescent="0.35">
      <c r="A3787" s="11">
        <v>46246</v>
      </c>
      <c r="B3787" s="3">
        <v>3</v>
      </c>
      <c r="C3787" t="s">
        <v>113</v>
      </c>
      <c r="D3787" t="s">
        <v>18</v>
      </c>
      <c r="E3787" s="3">
        <v>19</v>
      </c>
      <c r="F3787" t="s">
        <v>19</v>
      </c>
      <c r="G3787" t="s">
        <v>73</v>
      </c>
      <c r="H3787" t="s">
        <v>27</v>
      </c>
      <c r="I3787" s="12">
        <v>0.74652777777777779</v>
      </c>
      <c r="J3787" t="s">
        <v>74</v>
      </c>
      <c r="K3787" t="s">
        <v>27</v>
      </c>
      <c r="L3787" s="12">
        <v>0.77430555555555558</v>
      </c>
      <c r="M3787" t="s">
        <v>63</v>
      </c>
      <c r="N3787" s="3">
        <v>232</v>
      </c>
      <c r="O3787" t="s">
        <v>24</v>
      </c>
      <c r="P3787" t="s">
        <v>56</v>
      </c>
      <c r="R3787">
        <f>tblDailySchedule[[#This Row],[Capacity Approx]]*'[1]Load Factor Sheet June Acft  '!$B$5</f>
        <v>187.86727272727273</v>
      </c>
      <c r="S3787">
        <f>tblDailySchedule[[#This Row],[Capacity Approx]]*'[1]Load Factor Sheet June Acft  '!$D$5</f>
        <v>203.4218181818182</v>
      </c>
      <c r="T3787" s="22">
        <f>tblDailySchedule[[#This Row],[STD]]</f>
        <v>0.77430555555555558</v>
      </c>
    </row>
    <row r="3788" spans="1:20" hidden="1" x14ac:dyDescent="0.35">
      <c r="A3788" s="11">
        <v>46246</v>
      </c>
      <c r="B3788" s="3">
        <v>3</v>
      </c>
      <c r="C3788" t="s">
        <v>113</v>
      </c>
      <c r="D3788" t="s">
        <v>18</v>
      </c>
      <c r="E3788" s="3">
        <v>20</v>
      </c>
      <c r="F3788" t="s">
        <v>34</v>
      </c>
      <c r="G3788" t="s">
        <v>75</v>
      </c>
      <c r="H3788" t="s">
        <v>76</v>
      </c>
      <c r="I3788" s="12">
        <v>0.76388888888888884</v>
      </c>
      <c r="J3788" t="s">
        <v>77</v>
      </c>
      <c r="K3788" t="s">
        <v>78</v>
      </c>
      <c r="L3788" s="12">
        <v>0.78472222222222221</v>
      </c>
      <c r="M3788" t="s">
        <v>51</v>
      </c>
      <c r="N3788" s="3">
        <v>78</v>
      </c>
      <c r="O3788" t="s">
        <v>24</v>
      </c>
      <c r="P3788" t="s">
        <v>79</v>
      </c>
      <c r="Q3788" s="16" t="s">
        <v>80</v>
      </c>
      <c r="R3788">
        <f>tblDailySchedule[[#This Row],[Capacity Approx]]*'[1]Load Factor Sheet June Acft  '!$B$5</f>
        <v>63.162272727272729</v>
      </c>
      <c r="S3788">
        <f>tblDailySchedule[[#This Row],[Capacity Approx]]*'[1]Load Factor Sheet June Acft  '!$D$5</f>
        <v>68.391818181818181</v>
      </c>
      <c r="T3788" s="22">
        <f>tblDailySchedule[[#This Row],[STD]]</f>
        <v>0.78472222222222221</v>
      </c>
    </row>
    <row r="3789" spans="1:20" hidden="1" x14ac:dyDescent="0.35">
      <c r="A3789" s="11">
        <v>46246</v>
      </c>
      <c r="B3789" s="3">
        <v>3</v>
      </c>
      <c r="C3789" t="s">
        <v>113</v>
      </c>
      <c r="D3789" t="s">
        <v>18</v>
      </c>
      <c r="E3789" s="3">
        <v>21</v>
      </c>
      <c r="F3789" t="s">
        <v>19</v>
      </c>
      <c r="G3789" t="s">
        <v>81</v>
      </c>
      <c r="H3789" t="s">
        <v>61</v>
      </c>
      <c r="I3789" s="12">
        <v>0.77083333333333337</v>
      </c>
      <c r="J3789" t="s">
        <v>82</v>
      </c>
      <c r="K3789" t="s">
        <v>49</v>
      </c>
      <c r="L3789" s="12">
        <v>0.79166666666666663</v>
      </c>
      <c r="M3789" t="s">
        <v>33</v>
      </c>
      <c r="N3789" s="3">
        <v>189</v>
      </c>
      <c r="O3789" t="s">
        <v>24</v>
      </c>
      <c r="P3789" t="s">
        <v>79</v>
      </c>
      <c r="R3789">
        <f>tblDailySchedule[[#This Row],[Capacity Approx]]*'[1]Load Factor Sheet June Acft  '!$B$5</f>
        <v>153.04704545454547</v>
      </c>
      <c r="S3789">
        <f>tblDailySchedule[[#This Row],[Capacity Approx]]*'[1]Load Factor Sheet June Acft  '!$D$5</f>
        <v>165.71863636363636</v>
      </c>
      <c r="T3789" s="22">
        <f>tblDailySchedule[[#This Row],[STD]]</f>
        <v>0.79166666666666663</v>
      </c>
    </row>
    <row r="3790" spans="1:20" hidden="1" x14ac:dyDescent="0.35">
      <c r="A3790" s="11">
        <v>46246</v>
      </c>
      <c r="B3790" s="3">
        <v>3</v>
      </c>
      <c r="C3790" t="s">
        <v>113</v>
      </c>
      <c r="D3790" t="s">
        <v>18</v>
      </c>
      <c r="E3790" s="3">
        <v>22</v>
      </c>
      <c r="F3790" t="s">
        <v>19</v>
      </c>
      <c r="G3790" t="s">
        <v>83</v>
      </c>
      <c r="H3790" t="s">
        <v>31</v>
      </c>
      <c r="I3790" s="12">
        <v>0.77777777777777779</v>
      </c>
      <c r="J3790" t="s">
        <v>84</v>
      </c>
      <c r="K3790" t="s">
        <v>31</v>
      </c>
      <c r="L3790" s="12">
        <v>0.80555555555555558</v>
      </c>
      <c r="M3790" t="s">
        <v>63</v>
      </c>
      <c r="N3790" s="3">
        <v>232</v>
      </c>
      <c r="O3790" t="s">
        <v>24</v>
      </c>
      <c r="P3790" t="s">
        <v>79</v>
      </c>
      <c r="R3790">
        <f>tblDailySchedule[[#This Row],[Capacity Approx]]*'[1]Load Factor Sheet June Acft  '!$B$5</f>
        <v>187.86727272727273</v>
      </c>
      <c r="S3790">
        <f>tblDailySchedule[[#This Row],[Capacity Approx]]*'[1]Load Factor Sheet June Acft  '!$D$5</f>
        <v>203.4218181818182</v>
      </c>
      <c r="T3790" s="22">
        <f>tblDailySchedule[[#This Row],[STD]]</f>
        <v>0.80555555555555558</v>
      </c>
    </row>
    <row r="3791" spans="1:20" hidden="1" x14ac:dyDescent="0.35">
      <c r="A3791" s="11">
        <v>46246</v>
      </c>
      <c r="B3791" s="3">
        <v>3</v>
      </c>
      <c r="C3791" t="s">
        <v>113</v>
      </c>
      <c r="D3791" t="s">
        <v>18</v>
      </c>
      <c r="E3791" s="3">
        <v>23</v>
      </c>
      <c r="F3791" t="s">
        <v>19</v>
      </c>
      <c r="G3791" t="s">
        <v>85</v>
      </c>
      <c r="H3791" t="s">
        <v>86</v>
      </c>
      <c r="I3791" s="12">
        <v>0.79861111111111116</v>
      </c>
      <c r="J3791" t="s">
        <v>87</v>
      </c>
      <c r="K3791" t="s">
        <v>86</v>
      </c>
      <c r="L3791" s="12">
        <v>0.82638888888888884</v>
      </c>
      <c r="M3791" t="s">
        <v>63</v>
      </c>
      <c r="N3791" s="3">
        <v>232</v>
      </c>
      <c r="O3791" t="s">
        <v>24</v>
      </c>
      <c r="P3791" t="s">
        <v>79</v>
      </c>
      <c r="R3791">
        <f>tblDailySchedule[[#This Row],[Capacity Approx]]*'[1]Load Factor Sheet June Acft  '!$B$5</f>
        <v>187.86727272727273</v>
      </c>
      <c r="S3791">
        <f>tblDailySchedule[[#This Row],[Capacity Approx]]*'[1]Load Factor Sheet June Acft  '!$D$5</f>
        <v>203.4218181818182</v>
      </c>
      <c r="T3791" s="22">
        <f>tblDailySchedule[[#This Row],[STD]]</f>
        <v>0.82638888888888884</v>
      </c>
    </row>
    <row r="3792" spans="1:20" hidden="1" x14ac:dyDescent="0.35">
      <c r="A3792" s="11">
        <v>46246</v>
      </c>
      <c r="B3792" s="3">
        <v>3</v>
      </c>
      <c r="C3792" t="s">
        <v>113</v>
      </c>
      <c r="D3792" t="s">
        <v>18</v>
      </c>
      <c r="E3792" s="3">
        <v>24</v>
      </c>
      <c r="F3792" t="s">
        <v>19</v>
      </c>
      <c r="G3792" t="s">
        <v>88</v>
      </c>
      <c r="H3792" t="s">
        <v>89</v>
      </c>
      <c r="I3792" s="12">
        <v>0.83333333333333337</v>
      </c>
      <c r="J3792" t="s">
        <v>90</v>
      </c>
      <c r="K3792" t="s">
        <v>31</v>
      </c>
      <c r="L3792" s="12">
        <v>0.86111111111111116</v>
      </c>
      <c r="M3792" t="s">
        <v>63</v>
      </c>
      <c r="N3792" s="3">
        <v>232</v>
      </c>
      <c r="O3792" t="s">
        <v>24</v>
      </c>
      <c r="P3792" t="s">
        <v>79</v>
      </c>
      <c r="R3792">
        <f>tblDailySchedule[[#This Row],[Capacity Approx]]*'[1]Load Factor Sheet June Acft  '!$B$5</f>
        <v>187.86727272727273</v>
      </c>
      <c r="S3792">
        <f>tblDailySchedule[[#This Row],[Capacity Approx]]*'[1]Load Factor Sheet June Acft  '!$D$5</f>
        <v>203.4218181818182</v>
      </c>
      <c r="T3792" s="22">
        <f>tblDailySchedule[[#This Row],[STD]]</f>
        <v>0.86111111111111116</v>
      </c>
    </row>
    <row r="3793" spans="1:20" hidden="1" x14ac:dyDescent="0.35">
      <c r="A3793" s="11">
        <v>46246</v>
      </c>
      <c r="B3793" s="3">
        <v>3</v>
      </c>
      <c r="C3793" t="s">
        <v>113</v>
      </c>
      <c r="D3793" t="s">
        <v>18</v>
      </c>
      <c r="E3793" s="3">
        <v>25</v>
      </c>
      <c r="F3793" t="s">
        <v>19</v>
      </c>
      <c r="G3793" t="s">
        <v>91</v>
      </c>
      <c r="H3793" t="s">
        <v>61</v>
      </c>
      <c r="I3793" s="12">
        <v>0.85416666666666663</v>
      </c>
      <c r="J3793" t="s">
        <v>92</v>
      </c>
      <c r="K3793" t="s">
        <v>61</v>
      </c>
      <c r="L3793" s="12">
        <v>0.88194444444444442</v>
      </c>
      <c r="M3793" t="s">
        <v>63</v>
      </c>
      <c r="N3793" s="3">
        <v>232</v>
      </c>
      <c r="O3793" t="s">
        <v>24</v>
      </c>
      <c r="P3793" t="s">
        <v>79</v>
      </c>
      <c r="R3793">
        <f>tblDailySchedule[[#This Row],[Capacity Approx]]*'[1]Load Factor Sheet June Acft  '!$B$5</f>
        <v>187.86727272727273</v>
      </c>
      <c r="S3793">
        <f>tblDailySchedule[[#This Row],[Capacity Approx]]*'[1]Load Factor Sheet June Acft  '!$D$5</f>
        <v>203.4218181818182</v>
      </c>
      <c r="T3793" s="22">
        <f>tblDailySchedule[[#This Row],[STD]]</f>
        <v>0.88194444444444442</v>
      </c>
    </row>
    <row r="3794" spans="1:20" hidden="1" x14ac:dyDescent="0.35">
      <c r="A3794" s="11">
        <v>46246</v>
      </c>
      <c r="B3794" s="3">
        <v>3</v>
      </c>
      <c r="C3794" t="s">
        <v>113</v>
      </c>
      <c r="D3794" t="s">
        <v>18</v>
      </c>
      <c r="E3794" s="3">
        <v>26</v>
      </c>
      <c r="F3794" t="s">
        <v>19</v>
      </c>
      <c r="G3794" t="s">
        <v>93</v>
      </c>
      <c r="H3794" t="s">
        <v>31</v>
      </c>
      <c r="I3794" s="12">
        <v>0.86111111111111116</v>
      </c>
      <c r="J3794" t="s">
        <v>94</v>
      </c>
      <c r="K3794" t="s">
        <v>31</v>
      </c>
      <c r="L3794" s="12">
        <v>0.88888888888888884</v>
      </c>
      <c r="M3794" t="s">
        <v>23</v>
      </c>
      <c r="N3794" s="3">
        <v>186</v>
      </c>
      <c r="O3794" t="s">
        <v>24</v>
      </c>
      <c r="P3794" t="s">
        <v>79</v>
      </c>
      <c r="R3794">
        <f>tblDailySchedule[[#This Row],[Capacity Approx]]*'[1]Load Factor Sheet June Acft  '!$B$5</f>
        <v>150.61772727272728</v>
      </c>
      <c r="S3794">
        <f>tblDailySchedule[[#This Row],[Capacity Approx]]*'[1]Load Factor Sheet June Acft  '!$D$5</f>
        <v>163.08818181818182</v>
      </c>
      <c r="T3794" s="22">
        <f>tblDailySchedule[[#This Row],[STD]]</f>
        <v>0.88888888888888884</v>
      </c>
    </row>
    <row r="3795" spans="1:20" hidden="1" x14ac:dyDescent="0.35">
      <c r="A3795" s="11">
        <v>46246</v>
      </c>
      <c r="B3795" s="3">
        <v>3</v>
      </c>
      <c r="C3795" t="s">
        <v>113</v>
      </c>
      <c r="D3795" t="s">
        <v>18</v>
      </c>
      <c r="E3795" s="3">
        <v>27</v>
      </c>
      <c r="F3795" t="s">
        <v>19</v>
      </c>
      <c r="G3795" t="s">
        <v>95</v>
      </c>
      <c r="H3795" t="s">
        <v>21</v>
      </c>
      <c r="I3795" s="12">
        <v>0.86805555555555558</v>
      </c>
      <c r="J3795" t="s">
        <v>96</v>
      </c>
      <c r="K3795" t="s">
        <v>21</v>
      </c>
      <c r="L3795" s="12">
        <v>0.89583333333333337</v>
      </c>
      <c r="M3795" t="s">
        <v>29</v>
      </c>
      <c r="N3795" s="3">
        <v>186</v>
      </c>
      <c r="O3795" t="s">
        <v>24</v>
      </c>
      <c r="P3795" t="s">
        <v>79</v>
      </c>
      <c r="R3795">
        <f>tblDailySchedule[[#This Row],[Capacity Approx]]*'[1]Load Factor Sheet June Acft  '!$B$5</f>
        <v>150.61772727272728</v>
      </c>
      <c r="S3795">
        <f>tblDailySchedule[[#This Row],[Capacity Approx]]*'[1]Load Factor Sheet June Acft  '!$D$5</f>
        <v>163.08818181818182</v>
      </c>
      <c r="T3795" s="22">
        <f>tblDailySchedule[[#This Row],[STD]]</f>
        <v>0.89583333333333337</v>
      </c>
    </row>
    <row r="3796" spans="1:20" hidden="1" x14ac:dyDescent="0.35">
      <c r="A3796" s="11">
        <v>46246</v>
      </c>
      <c r="B3796" s="3">
        <v>3</v>
      </c>
      <c r="C3796" t="s">
        <v>113</v>
      </c>
      <c r="D3796" t="s">
        <v>18</v>
      </c>
      <c r="E3796" s="3">
        <v>28</v>
      </c>
      <c r="F3796" t="s">
        <v>19</v>
      </c>
      <c r="G3796" t="s">
        <v>97</v>
      </c>
      <c r="H3796" t="s">
        <v>49</v>
      </c>
      <c r="I3796" s="12">
        <v>0.90277777777777779</v>
      </c>
      <c r="J3796" t="s">
        <v>97</v>
      </c>
      <c r="K3796" t="s">
        <v>61</v>
      </c>
      <c r="L3796" s="12">
        <v>0.92361111111111116</v>
      </c>
      <c r="M3796" t="s">
        <v>33</v>
      </c>
      <c r="N3796" s="3">
        <v>189</v>
      </c>
      <c r="O3796" t="s">
        <v>24</v>
      </c>
      <c r="P3796" t="s">
        <v>79</v>
      </c>
      <c r="R3796">
        <f>tblDailySchedule[[#This Row],[Capacity Approx]]*'[1]Load Factor Sheet June Acft  '!$B$5</f>
        <v>153.04704545454547</v>
      </c>
      <c r="S3796">
        <f>tblDailySchedule[[#This Row],[Capacity Approx]]*'[1]Load Factor Sheet June Acft  '!$D$5</f>
        <v>165.71863636363636</v>
      </c>
      <c r="T3796" s="22">
        <f>tblDailySchedule[[#This Row],[STD]]</f>
        <v>0.92361111111111116</v>
      </c>
    </row>
    <row r="3797" spans="1:20" hidden="1" x14ac:dyDescent="0.35">
      <c r="A3797" s="11">
        <v>46246</v>
      </c>
      <c r="B3797" s="3">
        <v>3</v>
      </c>
      <c r="C3797" t="s">
        <v>113</v>
      </c>
      <c r="D3797" t="s">
        <v>18</v>
      </c>
      <c r="E3797" s="3">
        <v>29</v>
      </c>
      <c r="F3797" t="s">
        <v>19</v>
      </c>
      <c r="G3797" t="s">
        <v>98</v>
      </c>
      <c r="H3797" t="s">
        <v>21</v>
      </c>
      <c r="I3797" s="12">
        <v>0.92013888888888884</v>
      </c>
      <c r="J3797" t="s">
        <v>99</v>
      </c>
      <c r="K3797" t="s">
        <v>21</v>
      </c>
      <c r="L3797" s="12">
        <v>0.94791666666666663</v>
      </c>
      <c r="M3797" t="s">
        <v>63</v>
      </c>
      <c r="N3797" s="3">
        <v>232</v>
      </c>
      <c r="O3797" t="s">
        <v>24</v>
      </c>
      <c r="P3797" t="s">
        <v>79</v>
      </c>
      <c r="R3797">
        <f>tblDailySchedule[[#This Row],[Capacity Approx]]*'[1]Load Factor Sheet June Acft  '!$B$5</f>
        <v>187.86727272727273</v>
      </c>
      <c r="S3797">
        <f>tblDailySchedule[[#This Row],[Capacity Approx]]*'[1]Load Factor Sheet June Acft  '!$D$5</f>
        <v>203.4218181818182</v>
      </c>
      <c r="T3797" s="22">
        <f>tblDailySchedule[[#This Row],[STD]]</f>
        <v>0.94791666666666663</v>
      </c>
    </row>
    <row r="3798" spans="1:20" hidden="1" x14ac:dyDescent="0.35">
      <c r="A3798" s="13">
        <v>46246</v>
      </c>
      <c r="B3798" s="7">
        <v>3</v>
      </c>
      <c r="C3798" s="14" t="s">
        <v>113</v>
      </c>
      <c r="D3798" s="14" t="s">
        <v>18</v>
      </c>
      <c r="E3798" s="7">
        <v>30</v>
      </c>
      <c r="F3798" s="14" t="s">
        <v>104</v>
      </c>
      <c r="G3798" s="14" t="s">
        <v>105</v>
      </c>
      <c r="H3798" s="14" t="s">
        <v>106</v>
      </c>
      <c r="I3798" s="15">
        <v>0.92708333333333337</v>
      </c>
      <c r="J3798" s="14" t="s">
        <v>107</v>
      </c>
      <c r="K3798" s="14" t="s">
        <v>106</v>
      </c>
      <c r="L3798" s="15">
        <v>0.95833333333333337</v>
      </c>
      <c r="M3798" s="14" t="s">
        <v>38</v>
      </c>
      <c r="N3798" s="7">
        <v>186</v>
      </c>
      <c r="O3798" s="14" t="s">
        <v>39</v>
      </c>
      <c r="P3798" s="14" t="s">
        <v>79</v>
      </c>
      <c r="Q3798" s="14" t="s">
        <v>39</v>
      </c>
      <c r="R3798">
        <f>tblDailySchedule[[#This Row],[Capacity Approx]]*'[1]Load Factor Sheet June Acft  '!$B$5</f>
        <v>150.61772727272728</v>
      </c>
      <c r="S3798">
        <f>tblDailySchedule[[#This Row],[Capacity Approx]]*'[1]Load Factor Sheet June Acft  '!$D$5</f>
        <v>163.08818181818182</v>
      </c>
      <c r="T3798" s="22">
        <f>tblDailySchedule[[#This Row],[STD]]</f>
        <v>0.95833333333333337</v>
      </c>
    </row>
    <row r="3799" spans="1:20" hidden="1" x14ac:dyDescent="0.35">
      <c r="A3799" s="11">
        <v>46247</v>
      </c>
      <c r="B3799" s="3">
        <v>4</v>
      </c>
      <c r="C3799" t="s">
        <v>114</v>
      </c>
      <c r="D3799" t="s">
        <v>18</v>
      </c>
      <c r="E3799" s="3">
        <v>1</v>
      </c>
      <c r="F3799" t="s">
        <v>101</v>
      </c>
      <c r="G3799" t="s">
        <v>102</v>
      </c>
      <c r="H3799" t="s">
        <v>61</v>
      </c>
      <c r="I3799" s="12">
        <v>0.3125</v>
      </c>
      <c r="J3799" t="s">
        <v>103</v>
      </c>
      <c r="K3799" t="s">
        <v>61</v>
      </c>
      <c r="L3799" s="12">
        <v>0.33333333333333331</v>
      </c>
      <c r="M3799" t="s">
        <v>33</v>
      </c>
      <c r="N3799" s="3">
        <v>189</v>
      </c>
      <c r="O3799" t="s">
        <v>24</v>
      </c>
      <c r="P3799" t="s">
        <v>25</v>
      </c>
      <c r="R3799">
        <f>tblDailySchedule[[#This Row],[Capacity Approx]]*'[1]Load Factor Sheet June Acft  '!$B$5</f>
        <v>153.04704545454547</v>
      </c>
      <c r="S3799">
        <f>tblDailySchedule[[#This Row],[Capacity Approx]]*'[1]Load Factor Sheet June Acft  '!$D$5</f>
        <v>165.71863636363636</v>
      </c>
      <c r="T3799" s="22">
        <f>tblDailySchedule[[#This Row],[STD]]</f>
        <v>0.33333333333333331</v>
      </c>
    </row>
    <row r="3800" spans="1:20" hidden="1" x14ac:dyDescent="0.35">
      <c r="A3800" s="11">
        <v>46247</v>
      </c>
      <c r="B3800" s="3">
        <v>4</v>
      </c>
      <c r="C3800" t="s">
        <v>114</v>
      </c>
      <c r="D3800" t="s">
        <v>18</v>
      </c>
      <c r="E3800" s="3">
        <v>2</v>
      </c>
      <c r="F3800" t="s">
        <v>19</v>
      </c>
      <c r="G3800" t="s">
        <v>20</v>
      </c>
      <c r="H3800" t="s">
        <v>21</v>
      </c>
      <c r="I3800" s="12">
        <v>0.31944444444444442</v>
      </c>
      <c r="J3800" t="s">
        <v>22</v>
      </c>
      <c r="K3800" t="s">
        <v>21</v>
      </c>
      <c r="L3800" s="12">
        <v>0.34722222222222221</v>
      </c>
      <c r="M3800" t="s">
        <v>23</v>
      </c>
      <c r="N3800" s="3">
        <v>186</v>
      </c>
      <c r="O3800" t="s">
        <v>24</v>
      </c>
      <c r="P3800" t="s">
        <v>25</v>
      </c>
      <c r="R3800">
        <f>tblDailySchedule[[#This Row],[Capacity Approx]]*'[1]Load Factor Sheet June Acft  '!$B$5</f>
        <v>150.61772727272728</v>
      </c>
      <c r="S3800">
        <f>tblDailySchedule[[#This Row],[Capacity Approx]]*'[1]Load Factor Sheet June Acft  '!$D$5</f>
        <v>163.08818181818182</v>
      </c>
      <c r="T3800" s="22">
        <f>tblDailySchedule[[#This Row],[STD]]</f>
        <v>0.34722222222222221</v>
      </c>
    </row>
    <row r="3801" spans="1:20" hidden="1" x14ac:dyDescent="0.35">
      <c r="A3801" s="11">
        <v>46247</v>
      </c>
      <c r="B3801" s="3">
        <v>4</v>
      </c>
      <c r="C3801" t="s">
        <v>114</v>
      </c>
      <c r="D3801" t="s">
        <v>18</v>
      </c>
      <c r="E3801" s="3">
        <v>3</v>
      </c>
      <c r="F3801" t="s">
        <v>19</v>
      </c>
      <c r="G3801" t="s">
        <v>26</v>
      </c>
      <c r="H3801" t="s">
        <v>27</v>
      </c>
      <c r="I3801" s="12">
        <v>0.3263888888888889</v>
      </c>
      <c r="J3801" t="s">
        <v>28</v>
      </c>
      <c r="K3801" t="s">
        <v>27</v>
      </c>
      <c r="L3801" s="12">
        <v>0.35416666666666669</v>
      </c>
      <c r="M3801" t="s">
        <v>29</v>
      </c>
      <c r="N3801" s="3">
        <v>186</v>
      </c>
      <c r="O3801" t="s">
        <v>24</v>
      </c>
      <c r="P3801" t="s">
        <v>25</v>
      </c>
      <c r="R3801">
        <f>tblDailySchedule[[#This Row],[Capacity Approx]]*'[1]Load Factor Sheet June Acft  '!$B$5</f>
        <v>150.61772727272728</v>
      </c>
      <c r="S3801">
        <f>tblDailySchedule[[#This Row],[Capacity Approx]]*'[1]Load Factor Sheet June Acft  '!$D$5</f>
        <v>163.08818181818182</v>
      </c>
      <c r="T3801" s="22">
        <f>tblDailySchedule[[#This Row],[STD]]</f>
        <v>0.35416666666666669</v>
      </c>
    </row>
    <row r="3802" spans="1:20" hidden="1" x14ac:dyDescent="0.35">
      <c r="A3802" s="11">
        <v>46247</v>
      </c>
      <c r="B3802" s="3">
        <v>4</v>
      </c>
      <c r="C3802" t="s">
        <v>114</v>
      </c>
      <c r="D3802" t="s">
        <v>18</v>
      </c>
      <c r="E3802" s="3">
        <v>4</v>
      </c>
      <c r="F3802" t="s">
        <v>19</v>
      </c>
      <c r="G3802" t="s">
        <v>30</v>
      </c>
      <c r="H3802" t="s">
        <v>31</v>
      </c>
      <c r="I3802" s="12">
        <v>0.34722222222222221</v>
      </c>
      <c r="J3802" t="s">
        <v>32</v>
      </c>
      <c r="K3802" t="s">
        <v>31</v>
      </c>
      <c r="L3802" s="12">
        <v>0.36805555555555558</v>
      </c>
      <c r="M3802" t="s">
        <v>33</v>
      </c>
      <c r="N3802" s="3">
        <v>189</v>
      </c>
      <c r="O3802" t="s">
        <v>24</v>
      </c>
      <c r="P3802" t="s">
        <v>25</v>
      </c>
      <c r="R3802">
        <f>tblDailySchedule[[#This Row],[Capacity Approx]]*'[1]Load Factor Sheet June Acft  '!$B$5</f>
        <v>153.04704545454547</v>
      </c>
      <c r="S3802">
        <f>tblDailySchedule[[#This Row],[Capacity Approx]]*'[1]Load Factor Sheet June Acft  '!$D$5</f>
        <v>165.71863636363636</v>
      </c>
      <c r="T3802" s="22">
        <f>tblDailySchedule[[#This Row],[STD]]</f>
        <v>0.36805555555555558</v>
      </c>
    </row>
    <row r="3803" spans="1:20" hidden="1" x14ac:dyDescent="0.35">
      <c r="A3803" s="11">
        <v>46247</v>
      </c>
      <c r="B3803" s="3">
        <v>4</v>
      </c>
      <c r="C3803" t="s">
        <v>114</v>
      </c>
      <c r="D3803" t="s">
        <v>18</v>
      </c>
      <c r="E3803" s="3">
        <v>5</v>
      </c>
      <c r="F3803" t="s">
        <v>19</v>
      </c>
      <c r="G3803" t="s">
        <v>40</v>
      </c>
      <c r="H3803" t="s">
        <v>31</v>
      </c>
      <c r="I3803" s="12">
        <v>0.35069444444444442</v>
      </c>
      <c r="J3803" t="s">
        <v>41</v>
      </c>
      <c r="K3803" t="s">
        <v>31</v>
      </c>
      <c r="L3803" s="12">
        <v>0.37152777777777779</v>
      </c>
      <c r="M3803" t="s">
        <v>23</v>
      </c>
      <c r="N3803" s="3">
        <v>186</v>
      </c>
      <c r="O3803" t="s">
        <v>24</v>
      </c>
      <c r="P3803" t="s">
        <v>25</v>
      </c>
      <c r="R3803">
        <f>tblDailySchedule[[#This Row],[Capacity Approx]]*'[1]Load Factor Sheet June Acft  '!$B$5</f>
        <v>150.61772727272728</v>
      </c>
      <c r="S3803">
        <f>tblDailySchedule[[#This Row],[Capacity Approx]]*'[1]Load Factor Sheet June Acft  '!$D$5</f>
        <v>163.08818181818182</v>
      </c>
      <c r="T3803" s="22">
        <f>tblDailySchedule[[#This Row],[STD]]</f>
        <v>0.37152777777777779</v>
      </c>
    </row>
    <row r="3804" spans="1:20" hidden="1" x14ac:dyDescent="0.35">
      <c r="A3804" s="11">
        <v>46247</v>
      </c>
      <c r="B3804" s="3">
        <v>4</v>
      </c>
      <c r="C3804" t="s">
        <v>114</v>
      </c>
      <c r="D3804" t="s">
        <v>18</v>
      </c>
      <c r="E3804" s="3">
        <v>7</v>
      </c>
      <c r="F3804" t="s">
        <v>19</v>
      </c>
      <c r="G3804" t="s">
        <v>42</v>
      </c>
      <c r="H3804" t="s">
        <v>43</v>
      </c>
      <c r="I3804" s="12">
        <v>0.3923611111111111</v>
      </c>
      <c r="J3804" t="s">
        <v>44</v>
      </c>
      <c r="K3804" t="s">
        <v>43</v>
      </c>
      <c r="L3804" s="12">
        <v>0.40277777777777779</v>
      </c>
      <c r="M3804" t="s">
        <v>45</v>
      </c>
      <c r="N3804" s="3">
        <v>9</v>
      </c>
      <c r="O3804" t="s">
        <v>24</v>
      </c>
      <c r="P3804" t="s">
        <v>25</v>
      </c>
      <c r="R3804">
        <f>tblDailySchedule[[#This Row],[Capacity Approx]]*'[1]Load Factor Sheet June Acft  '!$B$5</f>
        <v>7.2879545454545456</v>
      </c>
      <c r="S3804">
        <f>tblDailySchedule[[#This Row],[Capacity Approx]]*'[1]Load Factor Sheet June Acft  '!$D$5</f>
        <v>7.8913636363636366</v>
      </c>
      <c r="T3804" s="22">
        <f>tblDailySchedule[[#This Row],[STD]]</f>
        <v>0.40277777777777779</v>
      </c>
    </row>
    <row r="3805" spans="1:20" hidden="1" x14ac:dyDescent="0.35">
      <c r="A3805" s="11">
        <v>46247</v>
      </c>
      <c r="B3805" s="3">
        <v>4</v>
      </c>
      <c r="C3805" t="s">
        <v>114</v>
      </c>
      <c r="D3805" t="s">
        <v>18</v>
      </c>
      <c r="E3805" s="3">
        <v>8</v>
      </c>
      <c r="F3805" t="s">
        <v>19</v>
      </c>
      <c r="G3805" t="s">
        <v>46</v>
      </c>
      <c r="H3805" t="s">
        <v>31</v>
      </c>
      <c r="I3805" s="12">
        <v>0.4201388888888889</v>
      </c>
      <c r="J3805" t="s">
        <v>47</v>
      </c>
      <c r="K3805" t="s">
        <v>31</v>
      </c>
      <c r="L3805" s="12">
        <v>0.44444444444444442</v>
      </c>
      <c r="M3805" t="s">
        <v>29</v>
      </c>
      <c r="N3805" s="3">
        <v>186</v>
      </c>
      <c r="O3805" t="s">
        <v>24</v>
      </c>
      <c r="P3805" t="s">
        <v>25</v>
      </c>
      <c r="R3805">
        <f>tblDailySchedule[[#This Row],[Capacity Approx]]*'[1]Load Factor Sheet June Acft  '!$B$5</f>
        <v>150.61772727272728</v>
      </c>
      <c r="S3805">
        <f>tblDailySchedule[[#This Row],[Capacity Approx]]*'[1]Load Factor Sheet June Acft  '!$D$5</f>
        <v>163.08818181818182</v>
      </c>
      <c r="T3805" s="22">
        <f>tblDailySchedule[[#This Row],[STD]]</f>
        <v>0.44444444444444442</v>
      </c>
    </row>
    <row r="3806" spans="1:20" hidden="1" x14ac:dyDescent="0.35">
      <c r="A3806" s="11">
        <v>46247</v>
      </c>
      <c r="B3806" s="3">
        <v>4</v>
      </c>
      <c r="C3806" t="s">
        <v>114</v>
      </c>
      <c r="D3806" t="s">
        <v>18</v>
      </c>
      <c r="E3806" s="3">
        <v>9</v>
      </c>
      <c r="F3806" t="s">
        <v>19</v>
      </c>
      <c r="G3806" t="s">
        <v>48</v>
      </c>
      <c r="H3806" t="s">
        <v>49</v>
      </c>
      <c r="I3806" s="12">
        <v>0.4375</v>
      </c>
      <c r="J3806" t="s">
        <v>50</v>
      </c>
      <c r="K3806" t="s">
        <v>49</v>
      </c>
      <c r="L3806" s="12">
        <v>0.45833333333333331</v>
      </c>
      <c r="M3806" t="s">
        <v>51</v>
      </c>
      <c r="N3806" s="3">
        <v>78</v>
      </c>
      <c r="O3806" t="s">
        <v>24</v>
      </c>
      <c r="P3806" t="s">
        <v>25</v>
      </c>
      <c r="R3806">
        <f>tblDailySchedule[[#This Row],[Capacity Approx]]*'[1]Load Factor Sheet June Acft  '!$B$5</f>
        <v>63.162272727272729</v>
      </c>
      <c r="S3806">
        <f>tblDailySchedule[[#This Row],[Capacity Approx]]*'[1]Load Factor Sheet June Acft  '!$D$5</f>
        <v>68.391818181818181</v>
      </c>
      <c r="T3806" s="22">
        <f>tblDailySchedule[[#This Row],[STD]]</f>
        <v>0.45833333333333331</v>
      </c>
    </row>
    <row r="3807" spans="1:20" hidden="1" x14ac:dyDescent="0.35">
      <c r="A3807" s="11">
        <v>46247</v>
      </c>
      <c r="B3807" s="3">
        <v>4</v>
      </c>
      <c r="C3807" t="s">
        <v>114</v>
      </c>
      <c r="D3807" t="s">
        <v>18</v>
      </c>
      <c r="E3807" s="3">
        <v>10</v>
      </c>
      <c r="F3807" t="s">
        <v>19</v>
      </c>
      <c r="G3807" t="s">
        <v>52</v>
      </c>
      <c r="H3807" t="s">
        <v>27</v>
      </c>
      <c r="I3807" s="12">
        <v>0.4826388888888889</v>
      </c>
      <c r="J3807" t="s">
        <v>53</v>
      </c>
      <c r="K3807" t="s">
        <v>27</v>
      </c>
      <c r="L3807" s="12">
        <v>0.51041666666666663</v>
      </c>
      <c r="M3807" t="s">
        <v>23</v>
      </c>
      <c r="N3807" s="3">
        <v>186</v>
      </c>
      <c r="O3807" t="s">
        <v>24</v>
      </c>
      <c r="P3807" t="s">
        <v>25</v>
      </c>
      <c r="R3807">
        <f>tblDailySchedule[[#This Row],[Capacity Approx]]*'[1]Load Factor Sheet June Acft  '!$B$5</f>
        <v>150.61772727272728</v>
      </c>
      <c r="S3807">
        <f>tblDailySchedule[[#This Row],[Capacity Approx]]*'[1]Load Factor Sheet June Acft  '!$D$5</f>
        <v>163.08818181818182</v>
      </c>
      <c r="T3807" s="22">
        <f>tblDailySchedule[[#This Row],[STD]]</f>
        <v>0.51041666666666663</v>
      </c>
    </row>
    <row r="3808" spans="1:20" hidden="1" x14ac:dyDescent="0.35">
      <c r="A3808" s="11">
        <v>46247</v>
      </c>
      <c r="B3808" s="3">
        <v>4</v>
      </c>
      <c r="C3808" t="s">
        <v>114</v>
      </c>
      <c r="D3808" t="s">
        <v>18</v>
      </c>
      <c r="E3808" s="3">
        <v>11</v>
      </c>
      <c r="F3808" t="s">
        <v>19</v>
      </c>
      <c r="G3808" t="s">
        <v>54</v>
      </c>
      <c r="H3808" t="s">
        <v>31</v>
      </c>
      <c r="I3808" s="12">
        <v>0.51388888888888884</v>
      </c>
      <c r="J3808" t="s">
        <v>55</v>
      </c>
      <c r="K3808" t="s">
        <v>31</v>
      </c>
      <c r="L3808" s="12">
        <v>0.54166666666666663</v>
      </c>
      <c r="M3808" t="s">
        <v>23</v>
      </c>
      <c r="N3808" s="3">
        <v>186</v>
      </c>
      <c r="O3808" t="s">
        <v>24</v>
      </c>
      <c r="P3808" t="s">
        <v>56</v>
      </c>
      <c r="R3808">
        <f>tblDailySchedule[[#This Row],[Capacity Approx]]*'[1]Load Factor Sheet June Acft  '!$B$5</f>
        <v>150.61772727272728</v>
      </c>
      <c r="S3808">
        <f>tblDailySchedule[[#This Row],[Capacity Approx]]*'[1]Load Factor Sheet June Acft  '!$D$5</f>
        <v>163.08818181818182</v>
      </c>
      <c r="T3808" s="22">
        <f>tblDailySchedule[[#This Row],[STD]]</f>
        <v>0.54166666666666663</v>
      </c>
    </row>
    <row r="3809" spans="1:20" hidden="1" x14ac:dyDescent="0.35">
      <c r="A3809" s="11">
        <v>46247</v>
      </c>
      <c r="B3809" s="3">
        <v>4</v>
      </c>
      <c r="C3809" t="s">
        <v>114</v>
      </c>
      <c r="D3809" t="s">
        <v>18</v>
      </c>
      <c r="E3809" s="3">
        <v>12</v>
      </c>
      <c r="F3809" t="s">
        <v>109</v>
      </c>
      <c r="G3809" t="s">
        <v>110</v>
      </c>
      <c r="H3809" t="s">
        <v>111</v>
      </c>
      <c r="I3809" s="12">
        <v>0.55555555555555558</v>
      </c>
      <c r="J3809" t="s">
        <v>112</v>
      </c>
      <c r="K3809" t="s">
        <v>111</v>
      </c>
      <c r="L3809" s="12">
        <v>0.56944444444444442</v>
      </c>
      <c r="M3809" t="s">
        <v>51</v>
      </c>
      <c r="N3809" s="3">
        <v>78</v>
      </c>
      <c r="O3809" t="s">
        <v>24</v>
      </c>
      <c r="P3809" t="s">
        <v>56</v>
      </c>
      <c r="R3809">
        <f>tblDailySchedule[[#This Row],[Capacity Approx]]*'[1]Load Factor Sheet June Acft  '!$B$5</f>
        <v>63.162272727272729</v>
      </c>
      <c r="S3809">
        <f>tblDailySchedule[[#This Row],[Capacity Approx]]*'[1]Load Factor Sheet June Acft  '!$D$5</f>
        <v>68.391818181818181</v>
      </c>
      <c r="T3809" s="22">
        <f>tblDailySchedule[[#This Row],[STD]]</f>
        <v>0.56944444444444442</v>
      </c>
    </row>
    <row r="3810" spans="1:20" hidden="1" x14ac:dyDescent="0.35">
      <c r="A3810" s="11">
        <v>46247</v>
      </c>
      <c r="B3810" s="3">
        <v>4</v>
      </c>
      <c r="C3810" t="s">
        <v>114</v>
      </c>
      <c r="D3810" t="s">
        <v>18</v>
      </c>
      <c r="E3810" s="3">
        <v>13</v>
      </c>
      <c r="F3810" t="s">
        <v>19</v>
      </c>
      <c r="G3810" t="s">
        <v>57</v>
      </c>
      <c r="H3810" t="s">
        <v>58</v>
      </c>
      <c r="I3810" s="12">
        <v>0.55902777777777779</v>
      </c>
      <c r="J3810" t="s">
        <v>59</v>
      </c>
      <c r="K3810" t="s">
        <v>58</v>
      </c>
      <c r="L3810" s="12">
        <v>0.57638888888888884</v>
      </c>
      <c r="M3810" t="s">
        <v>51</v>
      </c>
      <c r="N3810" s="3">
        <v>78</v>
      </c>
      <c r="O3810" t="s">
        <v>24</v>
      </c>
      <c r="P3810" t="s">
        <v>56</v>
      </c>
      <c r="R3810">
        <f>tblDailySchedule[[#This Row],[Capacity Approx]]*'[1]Load Factor Sheet June Acft  '!$B$5</f>
        <v>63.162272727272729</v>
      </c>
      <c r="S3810">
        <f>tblDailySchedule[[#This Row],[Capacity Approx]]*'[1]Load Factor Sheet June Acft  '!$D$5</f>
        <v>68.391818181818181</v>
      </c>
      <c r="T3810" s="22">
        <f>tblDailySchedule[[#This Row],[STD]]</f>
        <v>0.57638888888888884</v>
      </c>
    </row>
    <row r="3811" spans="1:20" hidden="1" x14ac:dyDescent="0.35">
      <c r="A3811" s="11">
        <v>46247</v>
      </c>
      <c r="B3811" s="3">
        <v>4</v>
      </c>
      <c r="C3811" t="s">
        <v>114</v>
      </c>
      <c r="D3811" t="s">
        <v>18</v>
      </c>
      <c r="E3811" s="3">
        <v>14</v>
      </c>
      <c r="F3811" t="s">
        <v>19</v>
      </c>
      <c r="G3811" t="s">
        <v>60</v>
      </c>
      <c r="H3811" t="s">
        <v>61</v>
      </c>
      <c r="I3811" s="12">
        <v>0.59027777777777779</v>
      </c>
      <c r="J3811" t="s">
        <v>62</v>
      </c>
      <c r="K3811" t="s">
        <v>61</v>
      </c>
      <c r="L3811" s="12">
        <v>0.62152777777777779</v>
      </c>
      <c r="M3811" t="s">
        <v>63</v>
      </c>
      <c r="N3811" s="3">
        <v>232</v>
      </c>
      <c r="O3811" t="s">
        <v>24</v>
      </c>
      <c r="P3811" t="s">
        <v>56</v>
      </c>
      <c r="R3811">
        <f>tblDailySchedule[[#This Row],[Capacity Approx]]*'[1]Load Factor Sheet June Acft  '!$B$5</f>
        <v>187.86727272727273</v>
      </c>
      <c r="S3811">
        <f>tblDailySchedule[[#This Row],[Capacity Approx]]*'[1]Load Factor Sheet June Acft  '!$D$5</f>
        <v>203.4218181818182</v>
      </c>
      <c r="T3811" s="22">
        <f>tblDailySchedule[[#This Row],[STD]]</f>
        <v>0.62152777777777779</v>
      </c>
    </row>
    <row r="3812" spans="1:20" hidden="1" x14ac:dyDescent="0.35">
      <c r="A3812" s="11">
        <v>46247</v>
      </c>
      <c r="B3812" s="3">
        <v>4</v>
      </c>
      <c r="C3812" t="s">
        <v>114</v>
      </c>
      <c r="D3812" t="s">
        <v>18</v>
      </c>
      <c r="E3812" s="3">
        <v>15</v>
      </c>
      <c r="F3812" t="s">
        <v>19</v>
      </c>
      <c r="G3812" t="s">
        <v>64</v>
      </c>
      <c r="H3812" t="s">
        <v>31</v>
      </c>
      <c r="I3812" s="12">
        <v>0.60069444444444442</v>
      </c>
      <c r="J3812" t="s">
        <v>65</v>
      </c>
      <c r="K3812" t="s">
        <v>66</v>
      </c>
      <c r="L3812" s="12">
        <v>0.62847222222222221</v>
      </c>
      <c r="M3812" t="s">
        <v>63</v>
      </c>
      <c r="N3812" s="3">
        <v>232</v>
      </c>
      <c r="O3812" t="s">
        <v>24</v>
      </c>
      <c r="P3812" t="s">
        <v>56</v>
      </c>
      <c r="R3812">
        <f>tblDailySchedule[[#This Row],[Capacity Approx]]*'[1]Load Factor Sheet June Acft  '!$B$5</f>
        <v>187.86727272727273</v>
      </c>
      <c r="S3812">
        <f>tblDailySchedule[[#This Row],[Capacity Approx]]*'[1]Load Factor Sheet June Acft  '!$D$5</f>
        <v>203.4218181818182</v>
      </c>
      <c r="T3812" s="22">
        <f>tblDailySchedule[[#This Row],[STD]]</f>
        <v>0.62847222222222221</v>
      </c>
    </row>
    <row r="3813" spans="1:20" hidden="1" x14ac:dyDescent="0.35">
      <c r="A3813" s="11">
        <v>46247</v>
      </c>
      <c r="B3813" s="3">
        <v>4</v>
      </c>
      <c r="C3813" t="s">
        <v>114</v>
      </c>
      <c r="D3813" t="s">
        <v>18</v>
      </c>
      <c r="E3813" s="3">
        <v>16</v>
      </c>
      <c r="F3813" t="s">
        <v>19</v>
      </c>
      <c r="G3813" t="s">
        <v>67</v>
      </c>
      <c r="H3813" t="s">
        <v>31</v>
      </c>
      <c r="I3813" s="12">
        <v>0.65625</v>
      </c>
      <c r="J3813" t="s">
        <v>68</v>
      </c>
      <c r="K3813" t="s">
        <v>31</v>
      </c>
      <c r="L3813" s="12">
        <v>0.68402777777777779</v>
      </c>
      <c r="M3813" t="s">
        <v>63</v>
      </c>
      <c r="N3813" s="3">
        <v>232</v>
      </c>
      <c r="O3813" t="s">
        <v>24</v>
      </c>
      <c r="P3813" t="s">
        <v>56</v>
      </c>
      <c r="R3813">
        <f>tblDailySchedule[[#This Row],[Capacity Approx]]*'[1]Load Factor Sheet June Acft  '!$B$5</f>
        <v>187.86727272727273</v>
      </c>
      <c r="S3813">
        <f>tblDailySchedule[[#This Row],[Capacity Approx]]*'[1]Load Factor Sheet June Acft  '!$D$5</f>
        <v>203.4218181818182</v>
      </c>
      <c r="T3813" s="22">
        <f>tblDailySchedule[[#This Row],[STD]]</f>
        <v>0.68402777777777779</v>
      </c>
    </row>
    <row r="3814" spans="1:20" hidden="1" x14ac:dyDescent="0.35">
      <c r="A3814" s="11">
        <v>46247</v>
      </c>
      <c r="B3814" s="3">
        <v>4</v>
      </c>
      <c r="C3814" t="s">
        <v>114</v>
      </c>
      <c r="D3814" t="s">
        <v>18</v>
      </c>
      <c r="E3814" s="3">
        <v>17</v>
      </c>
      <c r="F3814" t="s">
        <v>19</v>
      </c>
      <c r="G3814" t="s">
        <v>69</v>
      </c>
      <c r="H3814" t="s">
        <v>31</v>
      </c>
      <c r="I3814" s="12">
        <v>0.66319444444444442</v>
      </c>
      <c r="J3814" t="s">
        <v>70</v>
      </c>
      <c r="K3814" t="s">
        <v>31</v>
      </c>
      <c r="L3814" s="12">
        <v>0.69097222222222221</v>
      </c>
      <c r="M3814" t="s">
        <v>33</v>
      </c>
      <c r="N3814" s="3">
        <v>189</v>
      </c>
      <c r="O3814" t="s">
        <v>24</v>
      </c>
      <c r="P3814" t="s">
        <v>56</v>
      </c>
      <c r="R3814">
        <f>tblDailySchedule[[#This Row],[Capacity Approx]]*'[1]Load Factor Sheet June Acft  '!$B$5</f>
        <v>153.04704545454547</v>
      </c>
      <c r="S3814">
        <f>tblDailySchedule[[#This Row],[Capacity Approx]]*'[1]Load Factor Sheet June Acft  '!$D$5</f>
        <v>165.71863636363636</v>
      </c>
      <c r="T3814" s="22">
        <f>tblDailySchedule[[#This Row],[STD]]</f>
        <v>0.69097222222222221</v>
      </c>
    </row>
    <row r="3815" spans="1:20" hidden="1" x14ac:dyDescent="0.35">
      <c r="A3815" s="11">
        <v>46247</v>
      </c>
      <c r="B3815" s="3">
        <v>4</v>
      </c>
      <c r="C3815" t="s">
        <v>114</v>
      </c>
      <c r="D3815" t="s">
        <v>18</v>
      </c>
      <c r="E3815" s="3">
        <v>18</v>
      </c>
      <c r="F3815" t="s">
        <v>19</v>
      </c>
      <c r="G3815" t="s">
        <v>71</v>
      </c>
      <c r="H3815" t="s">
        <v>21</v>
      </c>
      <c r="I3815" s="12">
        <v>0.67013888888888884</v>
      </c>
      <c r="J3815" t="s">
        <v>72</v>
      </c>
      <c r="K3815" t="s">
        <v>21</v>
      </c>
      <c r="L3815" s="12">
        <v>0.69791666666666663</v>
      </c>
      <c r="M3815" t="s">
        <v>63</v>
      </c>
      <c r="N3815" s="3">
        <v>232</v>
      </c>
      <c r="O3815" t="s">
        <v>24</v>
      </c>
      <c r="P3815" t="s">
        <v>56</v>
      </c>
      <c r="R3815">
        <f>tblDailySchedule[[#This Row],[Capacity Approx]]*'[1]Load Factor Sheet June Acft  '!$B$5</f>
        <v>187.86727272727273</v>
      </c>
      <c r="S3815">
        <f>tblDailySchedule[[#This Row],[Capacity Approx]]*'[1]Load Factor Sheet June Acft  '!$D$5</f>
        <v>203.4218181818182</v>
      </c>
      <c r="T3815" s="22">
        <f>tblDailySchedule[[#This Row],[STD]]</f>
        <v>0.69791666666666663</v>
      </c>
    </row>
    <row r="3816" spans="1:20" hidden="1" x14ac:dyDescent="0.35">
      <c r="A3816" s="11">
        <v>46247</v>
      </c>
      <c r="B3816" s="3">
        <v>4</v>
      </c>
      <c r="C3816" t="s">
        <v>114</v>
      </c>
      <c r="D3816" t="s">
        <v>18</v>
      </c>
      <c r="E3816" s="3">
        <v>19</v>
      </c>
      <c r="F3816" t="s">
        <v>19</v>
      </c>
      <c r="G3816" t="s">
        <v>73</v>
      </c>
      <c r="H3816" t="s">
        <v>27</v>
      </c>
      <c r="I3816" s="12">
        <v>0.74652777777777779</v>
      </c>
      <c r="J3816" t="s">
        <v>74</v>
      </c>
      <c r="K3816" t="s">
        <v>27</v>
      </c>
      <c r="L3816" s="12">
        <v>0.77430555555555558</v>
      </c>
      <c r="M3816" t="s">
        <v>63</v>
      </c>
      <c r="N3816" s="3">
        <v>232</v>
      </c>
      <c r="O3816" t="s">
        <v>24</v>
      </c>
      <c r="P3816" t="s">
        <v>56</v>
      </c>
      <c r="R3816">
        <f>tblDailySchedule[[#This Row],[Capacity Approx]]*'[1]Load Factor Sheet June Acft  '!$B$5</f>
        <v>187.86727272727273</v>
      </c>
      <c r="S3816">
        <f>tblDailySchedule[[#This Row],[Capacity Approx]]*'[1]Load Factor Sheet June Acft  '!$D$5</f>
        <v>203.4218181818182</v>
      </c>
      <c r="T3816" s="22">
        <f>tblDailySchedule[[#This Row],[STD]]</f>
        <v>0.77430555555555558</v>
      </c>
    </row>
    <row r="3817" spans="1:20" hidden="1" x14ac:dyDescent="0.35">
      <c r="A3817" s="11">
        <v>46247</v>
      </c>
      <c r="B3817" s="3">
        <v>4</v>
      </c>
      <c r="C3817" t="s">
        <v>114</v>
      </c>
      <c r="D3817" t="s">
        <v>18</v>
      </c>
      <c r="E3817" s="3">
        <v>21</v>
      </c>
      <c r="F3817" t="s">
        <v>19</v>
      </c>
      <c r="G3817" t="s">
        <v>81</v>
      </c>
      <c r="H3817" t="s">
        <v>61</v>
      </c>
      <c r="I3817" s="12">
        <v>0.77083333333333337</v>
      </c>
      <c r="J3817" t="s">
        <v>82</v>
      </c>
      <c r="K3817" t="s">
        <v>49</v>
      </c>
      <c r="L3817" s="12">
        <v>0.79166666666666663</v>
      </c>
      <c r="M3817" t="s">
        <v>33</v>
      </c>
      <c r="N3817" s="3">
        <v>189</v>
      </c>
      <c r="O3817" t="s">
        <v>24</v>
      </c>
      <c r="P3817" t="s">
        <v>79</v>
      </c>
      <c r="R3817">
        <f>tblDailySchedule[[#This Row],[Capacity Approx]]*'[1]Load Factor Sheet June Acft  '!$B$5</f>
        <v>153.04704545454547</v>
      </c>
      <c r="S3817">
        <f>tblDailySchedule[[#This Row],[Capacity Approx]]*'[1]Load Factor Sheet June Acft  '!$D$5</f>
        <v>165.71863636363636</v>
      </c>
      <c r="T3817" s="22">
        <f>tblDailySchedule[[#This Row],[STD]]</f>
        <v>0.79166666666666663</v>
      </c>
    </row>
    <row r="3818" spans="1:20" hidden="1" x14ac:dyDescent="0.35">
      <c r="A3818" s="11">
        <v>46247</v>
      </c>
      <c r="B3818" s="3">
        <v>4</v>
      </c>
      <c r="C3818" t="s">
        <v>114</v>
      </c>
      <c r="D3818" t="s">
        <v>18</v>
      </c>
      <c r="E3818" s="3">
        <v>22</v>
      </c>
      <c r="F3818" t="s">
        <v>19</v>
      </c>
      <c r="G3818" t="s">
        <v>83</v>
      </c>
      <c r="H3818" t="s">
        <v>31</v>
      </c>
      <c r="I3818" s="12">
        <v>0.77777777777777779</v>
      </c>
      <c r="J3818" t="s">
        <v>84</v>
      </c>
      <c r="K3818" t="s">
        <v>31</v>
      </c>
      <c r="L3818" s="12">
        <v>0.80555555555555558</v>
      </c>
      <c r="M3818" t="s">
        <v>63</v>
      </c>
      <c r="N3818" s="3">
        <v>232</v>
      </c>
      <c r="O3818" t="s">
        <v>24</v>
      </c>
      <c r="P3818" t="s">
        <v>79</v>
      </c>
      <c r="R3818">
        <f>tblDailySchedule[[#This Row],[Capacity Approx]]*'[1]Load Factor Sheet June Acft  '!$B$5</f>
        <v>187.86727272727273</v>
      </c>
      <c r="S3818">
        <f>tblDailySchedule[[#This Row],[Capacity Approx]]*'[1]Load Factor Sheet June Acft  '!$D$5</f>
        <v>203.4218181818182</v>
      </c>
      <c r="T3818" s="22">
        <f>tblDailySchedule[[#This Row],[STD]]</f>
        <v>0.80555555555555558</v>
      </c>
    </row>
    <row r="3819" spans="1:20" hidden="1" x14ac:dyDescent="0.35">
      <c r="A3819" s="11">
        <v>46247</v>
      </c>
      <c r="B3819" s="3">
        <v>4</v>
      </c>
      <c r="C3819" t="s">
        <v>114</v>
      </c>
      <c r="D3819" t="s">
        <v>18</v>
      </c>
      <c r="E3819" s="3">
        <v>23</v>
      </c>
      <c r="F3819" t="s">
        <v>19</v>
      </c>
      <c r="G3819" t="s">
        <v>85</v>
      </c>
      <c r="H3819" t="s">
        <v>86</v>
      </c>
      <c r="I3819" s="12">
        <v>0.79861111111111116</v>
      </c>
      <c r="J3819" t="s">
        <v>87</v>
      </c>
      <c r="K3819" t="s">
        <v>86</v>
      </c>
      <c r="L3819" s="12">
        <v>0.82638888888888884</v>
      </c>
      <c r="M3819" t="s">
        <v>63</v>
      </c>
      <c r="N3819" s="3">
        <v>232</v>
      </c>
      <c r="O3819" t="s">
        <v>24</v>
      </c>
      <c r="P3819" t="s">
        <v>79</v>
      </c>
      <c r="R3819">
        <f>tblDailySchedule[[#This Row],[Capacity Approx]]*'[1]Load Factor Sheet June Acft  '!$B$5</f>
        <v>187.86727272727273</v>
      </c>
      <c r="S3819">
        <f>tblDailySchedule[[#This Row],[Capacity Approx]]*'[1]Load Factor Sheet June Acft  '!$D$5</f>
        <v>203.4218181818182</v>
      </c>
      <c r="T3819" s="22">
        <f>tblDailySchedule[[#This Row],[STD]]</f>
        <v>0.82638888888888884</v>
      </c>
    </row>
    <row r="3820" spans="1:20" hidden="1" x14ac:dyDescent="0.35">
      <c r="A3820" s="11">
        <v>46247</v>
      </c>
      <c r="B3820" s="3">
        <v>4</v>
      </c>
      <c r="C3820" t="s">
        <v>114</v>
      </c>
      <c r="D3820" t="s">
        <v>18</v>
      </c>
      <c r="E3820" s="3">
        <v>24</v>
      </c>
      <c r="F3820" t="s">
        <v>19</v>
      </c>
      <c r="G3820" t="s">
        <v>88</v>
      </c>
      <c r="H3820" t="s">
        <v>89</v>
      </c>
      <c r="I3820" s="12">
        <v>0.83333333333333337</v>
      </c>
      <c r="J3820" t="s">
        <v>90</v>
      </c>
      <c r="K3820" t="s">
        <v>31</v>
      </c>
      <c r="L3820" s="12">
        <v>0.86111111111111116</v>
      </c>
      <c r="M3820" t="s">
        <v>63</v>
      </c>
      <c r="N3820" s="3">
        <v>232</v>
      </c>
      <c r="O3820" t="s">
        <v>24</v>
      </c>
      <c r="P3820" t="s">
        <v>79</v>
      </c>
      <c r="R3820">
        <f>tblDailySchedule[[#This Row],[Capacity Approx]]*'[1]Load Factor Sheet June Acft  '!$B$5</f>
        <v>187.86727272727273</v>
      </c>
      <c r="S3820">
        <f>tblDailySchedule[[#This Row],[Capacity Approx]]*'[1]Load Factor Sheet June Acft  '!$D$5</f>
        <v>203.4218181818182</v>
      </c>
      <c r="T3820" s="22">
        <f>tblDailySchedule[[#This Row],[STD]]</f>
        <v>0.86111111111111116</v>
      </c>
    </row>
    <row r="3821" spans="1:20" hidden="1" x14ac:dyDescent="0.35">
      <c r="A3821" s="11">
        <v>46247</v>
      </c>
      <c r="B3821" s="3">
        <v>4</v>
      </c>
      <c r="C3821" t="s">
        <v>114</v>
      </c>
      <c r="D3821" t="s">
        <v>18</v>
      </c>
      <c r="E3821" s="3">
        <v>25</v>
      </c>
      <c r="F3821" t="s">
        <v>19</v>
      </c>
      <c r="G3821" t="s">
        <v>91</v>
      </c>
      <c r="H3821" t="s">
        <v>61</v>
      </c>
      <c r="I3821" s="12">
        <v>0.85416666666666663</v>
      </c>
      <c r="J3821" t="s">
        <v>92</v>
      </c>
      <c r="K3821" t="s">
        <v>61</v>
      </c>
      <c r="L3821" s="12">
        <v>0.88194444444444442</v>
      </c>
      <c r="M3821" t="s">
        <v>63</v>
      </c>
      <c r="N3821" s="3">
        <v>232</v>
      </c>
      <c r="O3821" t="s">
        <v>24</v>
      </c>
      <c r="P3821" t="s">
        <v>79</v>
      </c>
      <c r="R3821">
        <f>tblDailySchedule[[#This Row],[Capacity Approx]]*'[1]Load Factor Sheet June Acft  '!$B$5</f>
        <v>187.86727272727273</v>
      </c>
      <c r="S3821">
        <f>tblDailySchedule[[#This Row],[Capacity Approx]]*'[1]Load Factor Sheet June Acft  '!$D$5</f>
        <v>203.4218181818182</v>
      </c>
      <c r="T3821" s="22">
        <f>tblDailySchedule[[#This Row],[STD]]</f>
        <v>0.88194444444444442</v>
      </c>
    </row>
    <row r="3822" spans="1:20" hidden="1" x14ac:dyDescent="0.35">
      <c r="A3822" s="11">
        <v>46247</v>
      </c>
      <c r="B3822" s="3">
        <v>4</v>
      </c>
      <c r="C3822" t="s">
        <v>114</v>
      </c>
      <c r="D3822" t="s">
        <v>18</v>
      </c>
      <c r="E3822" s="3">
        <v>26</v>
      </c>
      <c r="F3822" t="s">
        <v>19</v>
      </c>
      <c r="G3822" t="s">
        <v>93</v>
      </c>
      <c r="H3822" t="s">
        <v>31</v>
      </c>
      <c r="I3822" s="12">
        <v>0.86111111111111116</v>
      </c>
      <c r="J3822" t="s">
        <v>94</v>
      </c>
      <c r="K3822" t="s">
        <v>31</v>
      </c>
      <c r="L3822" s="12">
        <v>0.88888888888888884</v>
      </c>
      <c r="M3822" t="s">
        <v>23</v>
      </c>
      <c r="N3822" s="3">
        <v>186</v>
      </c>
      <c r="O3822" t="s">
        <v>24</v>
      </c>
      <c r="P3822" t="s">
        <v>79</v>
      </c>
      <c r="R3822">
        <f>tblDailySchedule[[#This Row],[Capacity Approx]]*'[1]Load Factor Sheet June Acft  '!$B$5</f>
        <v>150.61772727272728</v>
      </c>
      <c r="S3822">
        <f>tblDailySchedule[[#This Row],[Capacity Approx]]*'[1]Load Factor Sheet June Acft  '!$D$5</f>
        <v>163.08818181818182</v>
      </c>
      <c r="T3822" s="22">
        <f>tblDailySchedule[[#This Row],[STD]]</f>
        <v>0.88888888888888884</v>
      </c>
    </row>
    <row r="3823" spans="1:20" hidden="1" x14ac:dyDescent="0.35">
      <c r="A3823" s="11">
        <v>46247</v>
      </c>
      <c r="B3823" s="3">
        <v>4</v>
      </c>
      <c r="C3823" t="s">
        <v>114</v>
      </c>
      <c r="D3823" t="s">
        <v>18</v>
      </c>
      <c r="E3823" s="3">
        <v>27</v>
      </c>
      <c r="F3823" t="s">
        <v>19</v>
      </c>
      <c r="G3823" t="s">
        <v>95</v>
      </c>
      <c r="H3823" t="s">
        <v>21</v>
      </c>
      <c r="I3823" s="12">
        <v>0.86805555555555558</v>
      </c>
      <c r="J3823" t="s">
        <v>96</v>
      </c>
      <c r="K3823" t="s">
        <v>21</v>
      </c>
      <c r="L3823" s="12">
        <v>0.89583333333333337</v>
      </c>
      <c r="M3823" t="s">
        <v>29</v>
      </c>
      <c r="N3823" s="3">
        <v>186</v>
      </c>
      <c r="O3823" t="s">
        <v>24</v>
      </c>
      <c r="P3823" t="s">
        <v>79</v>
      </c>
      <c r="R3823">
        <f>tblDailySchedule[[#This Row],[Capacity Approx]]*'[1]Load Factor Sheet June Acft  '!$B$5</f>
        <v>150.61772727272728</v>
      </c>
      <c r="S3823">
        <f>tblDailySchedule[[#This Row],[Capacity Approx]]*'[1]Load Factor Sheet June Acft  '!$D$5</f>
        <v>163.08818181818182</v>
      </c>
      <c r="T3823" s="22">
        <f>tblDailySchedule[[#This Row],[STD]]</f>
        <v>0.89583333333333337</v>
      </c>
    </row>
    <row r="3824" spans="1:20" hidden="1" x14ac:dyDescent="0.35">
      <c r="A3824" s="11">
        <v>46247</v>
      </c>
      <c r="B3824" s="3">
        <v>4</v>
      </c>
      <c r="C3824" t="s">
        <v>114</v>
      </c>
      <c r="D3824" t="s">
        <v>18</v>
      </c>
      <c r="E3824" s="3">
        <v>28</v>
      </c>
      <c r="F3824" t="s">
        <v>19</v>
      </c>
      <c r="G3824" t="s">
        <v>97</v>
      </c>
      <c r="H3824" t="s">
        <v>49</v>
      </c>
      <c r="I3824" s="12">
        <v>0.90277777777777779</v>
      </c>
      <c r="J3824" t="s">
        <v>97</v>
      </c>
      <c r="K3824" t="s">
        <v>61</v>
      </c>
      <c r="L3824" s="12">
        <v>0.92361111111111116</v>
      </c>
      <c r="M3824" t="s">
        <v>33</v>
      </c>
      <c r="N3824" s="3">
        <v>189</v>
      </c>
      <c r="O3824" t="s">
        <v>24</v>
      </c>
      <c r="P3824" t="s">
        <v>79</v>
      </c>
      <c r="R3824">
        <f>tblDailySchedule[[#This Row],[Capacity Approx]]*'[1]Load Factor Sheet June Acft  '!$B$5</f>
        <v>153.04704545454547</v>
      </c>
      <c r="S3824">
        <f>tblDailySchedule[[#This Row],[Capacity Approx]]*'[1]Load Factor Sheet June Acft  '!$D$5</f>
        <v>165.71863636363636</v>
      </c>
      <c r="T3824" s="22">
        <f>tblDailySchedule[[#This Row],[STD]]</f>
        <v>0.92361111111111116</v>
      </c>
    </row>
    <row r="3825" spans="1:20" hidden="1" x14ac:dyDescent="0.35">
      <c r="A3825" s="11">
        <v>46247</v>
      </c>
      <c r="B3825" s="3">
        <v>4</v>
      </c>
      <c r="C3825" t="s">
        <v>114</v>
      </c>
      <c r="D3825" t="s">
        <v>18</v>
      </c>
      <c r="E3825" s="3">
        <v>29</v>
      </c>
      <c r="F3825" t="s">
        <v>19</v>
      </c>
      <c r="G3825" t="s">
        <v>98</v>
      </c>
      <c r="H3825" t="s">
        <v>21</v>
      </c>
      <c r="I3825" s="12">
        <v>0.92013888888888884</v>
      </c>
      <c r="J3825" t="s">
        <v>99</v>
      </c>
      <c r="K3825" t="s">
        <v>21</v>
      </c>
      <c r="L3825" s="12">
        <v>0.94791666666666663</v>
      </c>
      <c r="M3825" t="s">
        <v>63</v>
      </c>
      <c r="N3825" s="3">
        <v>232</v>
      </c>
      <c r="O3825" t="s">
        <v>24</v>
      </c>
      <c r="P3825" t="s">
        <v>79</v>
      </c>
      <c r="R3825">
        <f>tblDailySchedule[[#This Row],[Capacity Approx]]*'[1]Load Factor Sheet June Acft  '!$B$5</f>
        <v>187.86727272727273</v>
      </c>
      <c r="S3825">
        <f>tblDailySchedule[[#This Row],[Capacity Approx]]*'[1]Load Factor Sheet June Acft  '!$D$5</f>
        <v>203.4218181818182</v>
      </c>
      <c r="T3825" s="22">
        <f>tblDailySchedule[[#This Row],[STD]]</f>
        <v>0.94791666666666663</v>
      </c>
    </row>
    <row r="3826" spans="1:20" hidden="1" x14ac:dyDescent="0.35">
      <c r="A3826" s="11">
        <v>46248</v>
      </c>
      <c r="B3826" s="3">
        <v>5</v>
      </c>
      <c r="C3826" t="s">
        <v>115</v>
      </c>
      <c r="D3826" t="s">
        <v>18</v>
      </c>
      <c r="E3826" s="3">
        <v>2</v>
      </c>
      <c r="F3826" t="s">
        <v>19</v>
      </c>
      <c r="G3826" t="s">
        <v>20</v>
      </c>
      <c r="H3826" t="s">
        <v>21</v>
      </c>
      <c r="I3826" s="12">
        <v>0.31944444444444442</v>
      </c>
      <c r="J3826" t="s">
        <v>22</v>
      </c>
      <c r="K3826" t="s">
        <v>21</v>
      </c>
      <c r="L3826" s="12">
        <v>0.34722222222222221</v>
      </c>
      <c r="M3826" t="s">
        <v>23</v>
      </c>
      <c r="N3826" s="3">
        <v>186</v>
      </c>
      <c r="O3826" t="s">
        <v>24</v>
      </c>
      <c r="P3826" t="s">
        <v>25</v>
      </c>
      <c r="R3826">
        <f>tblDailySchedule[[#This Row],[Capacity Approx]]*'[1]Load Factor Sheet June Acft  '!$B$5</f>
        <v>150.61772727272728</v>
      </c>
      <c r="S3826">
        <f>tblDailySchedule[[#This Row],[Capacity Approx]]*'[1]Load Factor Sheet June Acft  '!$D$5</f>
        <v>163.08818181818182</v>
      </c>
      <c r="T3826" s="22">
        <f>tblDailySchedule[[#This Row],[STD]]</f>
        <v>0.34722222222222221</v>
      </c>
    </row>
    <row r="3827" spans="1:20" hidden="1" x14ac:dyDescent="0.35">
      <c r="A3827" s="11">
        <v>46248</v>
      </c>
      <c r="B3827" s="3">
        <v>5</v>
      </c>
      <c r="C3827" t="s">
        <v>115</v>
      </c>
      <c r="D3827" t="s">
        <v>18</v>
      </c>
      <c r="E3827" s="3">
        <v>3</v>
      </c>
      <c r="F3827" t="s">
        <v>19</v>
      </c>
      <c r="G3827" t="s">
        <v>26</v>
      </c>
      <c r="H3827" t="s">
        <v>27</v>
      </c>
      <c r="I3827" s="12">
        <v>0.3263888888888889</v>
      </c>
      <c r="J3827" t="s">
        <v>28</v>
      </c>
      <c r="K3827" t="s">
        <v>27</v>
      </c>
      <c r="L3827" s="12">
        <v>0.35416666666666669</v>
      </c>
      <c r="M3827" t="s">
        <v>29</v>
      </c>
      <c r="N3827" s="3">
        <v>186</v>
      </c>
      <c r="O3827" t="s">
        <v>24</v>
      </c>
      <c r="P3827" t="s">
        <v>25</v>
      </c>
      <c r="R3827">
        <f>tblDailySchedule[[#This Row],[Capacity Approx]]*'[1]Load Factor Sheet June Acft  '!$B$5</f>
        <v>150.61772727272728</v>
      </c>
      <c r="S3827">
        <f>tblDailySchedule[[#This Row],[Capacity Approx]]*'[1]Load Factor Sheet June Acft  '!$D$5</f>
        <v>163.08818181818182</v>
      </c>
      <c r="T3827" s="22">
        <f>tblDailySchedule[[#This Row],[STD]]</f>
        <v>0.35416666666666669</v>
      </c>
    </row>
    <row r="3828" spans="1:20" hidden="1" x14ac:dyDescent="0.35">
      <c r="A3828" s="11">
        <v>46248</v>
      </c>
      <c r="B3828" s="3">
        <v>5</v>
      </c>
      <c r="C3828" t="s">
        <v>115</v>
      </c>
      <c r="D3828" t="s">
        <v>18</v>
      </c>
      <c r="E3828" s="3">
        <v>4</v>
      </c>
      <c r="F3828" t="s">
        <v>19</v>
      </c>
      <c r="G3828" t="s">
        <v>30</v>
      </c>
      <c r="H3828" t="s">
        <v>31</v>
      </c>
      <c r="I3828" s="12">
        <v>0.34722222222222221</v>
      </c>
      <c r="J3828" t="s">
        <v>32</v>
      </c>
      <c r="K3828" t="s">
        <v>31</v>
      </c>
      <c r="L3828" s="12">
        <v>0.36805555555555558</v>
      </c>
      <c r="M3828" t="s">
        <v>33</v>
      </c>
      <c r="N3828" s="3">
        <v>189</v>
      </c>
      <c r="O3828" t="s">
        <v>24</v>
      </c>
      <c r="P3828" t="s">
        <v>25</v>
      </c>
      <c r="R3828">
        <f>tblDailySchedule[[#This Row],[Capacity Approx]]*'[1]Load Factor Sheet June Acft  '!$B$5</f>
        <v>153.04704545454547</v>
      </c>
      <c r="S3828">
        <f>tblDailySchedule[[#This Row],[Capacity Approx]]*'[1]Load Factor Sheet June Acft  '!$D$5</f>
        <v>165.71863636363636</v>
      </c>
      <c r="T3828" s="22">
        <f>tblDailySchedule[[#This Row],[STD]]</f>
        <v>0.36805555555555558</v>
      </c>
    </row>
    <row r="3829" spans="1:20" hidden="1" x14ac:dyDescent="0.35">
      <c r="A3829" s="13">
        <v>46248</v>
      </c>
      <c r="B3829" s="7">
        <v>5</v>
      </c>
      <c r="C3829" s="14" t="s">
        <v>115</v>
      </c>
      <c r="D3829" s="14" t="s">
        <v>18</v>
      </c>
      <c r="E3829" s="7">
        <v>6</v>
      </c>
      <c r="F3829" s="14" t="s">
        <v>34</v>
      </c>
      <c r="G3829" s="14" t="s">
        <v>35</v>
      </c>
      <c r="H3829" s="14" t="s">
        <v>36</v>
      </c>
      <c r="I3829" s="15">
        <v>0.34722222222222221</v>
      </c>
      <c r="J3829" s="14" t="s">
        <v>37</v>
      </c>
      <c r="K3829" s="14" t="s">
        <v>36</v>
      </c>
      <c r="L3829" s="15">
        <v>0.40972222222222221</v>
      </c>
      <c r="M3829" s="14" t="s">
        <v>38</v>
      </c>
      <c r="N3829" s="7">
        <v>186</v>
      </c>
      <c r="O3829" s="14" t="s">
        <v>39</v>
      </c>
      <c r="P3829" s="14" t="s">
        <v>25</v>
      </c>
      <c r="Q3829" s="14" t="s">
        <v>39</v>
      </c>
      <c r="R3829">
        <f>tblDailySchedule[[#This Row],[Capacity Approx]]*'[1]Load Factor Sheet June Acft  '!$B$5</f>
        <v>150.61772727272728</v>
      </c>
      <c r="S3829">
        <f>tblDailySchedule[[#This Row],[Capacity Approx]]*'[1]Load Factor Sheet June Acft  '!$D$5</f>
        <v>163.08818181818182</v>
      </c>
      <c r="T3829" s="22">
        <f>tblDailySchedule[[#This Row],[STD]]</f>
        <v>0.40972222222222221</v>
      </c>
    </row>
    <row r="3830" spans="1:20" hidden="1" x14ac:dyDescent="0.35">
      <c r="A3830" s="11">
        <v>46248</v>
      </c>
      <c r="B3830" s="3">
        <v>5</v>
      </c>
      <c r="C3830" t="s">
        <v>115</v>
      </c>
      <c r="D3830" t="s">
        <v>18</v>
      </c>
      <c r="E3830" s="3">
        <v>5</v>
      </c>
      <c r="F3830" t="s">
        <v>19</v>
      </c>
      <c r="G3830" t="s">
        <v>40</v>
      </c>
      <c r="H3830" t="s">
        <v>31</v>
      </c>
      <c r="I3830" s="12">
        <v>0.35069444444444442</v>
      </c>
      <c r="J3830" t="s">
        <v>41</v>
      </c>
      <c r="K3830" t="s">
        <v>31</v>
      </c>
      <c r="L3830" s="12">
        <v>0.37152777777777779</v>
      </c>
      <c r="M3830" t="s">
        <v>23</v>
      </c>
      <c r="N3830" s="3">
        <v>186</v>
      </c>
      <c r="O3830" t="s">
        <v>24</v>
      </c>
      <c r="P3830" t="s">
        <v>25</v>
      </c>
      <c r="R3830">
        <f>tblDailySchedule[[#This Row],[Capacity Approx]]*'[1]Load Factor Sheet June Acft  '!$B$5</f>
        <v>150.61772727272728</v>
      </c>
      <c r="S3830">
        <f>tblDailySchedule[[#This Row],[Capacity Approx]]*'[1]Load Factor Sheet June Acft  '!$D$5</f>
        <v>163.08818181818182</v>
      </c>
      <c r="T3830" s="22">
        <f>tblDailySchedule[[#This Row],[STD]]</f>
        <v>0.37152777777777779</v>
      </c>
    </row>
    <row r="3831" spans="1:20" hidden="1" x14ac:dyDescent="0.35">
      <c r="A3831" s="11">
        <v>46248</v>
      </c>
      <c r="B3831" s="3">
        <v>5</v>
      </c>
      <c r="C3831" t="s">
        <v>115</v>
      </c>
      <c r="D3831" t="s">
        <v>18</v>
      </c>
      <c r="E3831" s="3">
        <v>7</v>
      </c>
      <c r="F3831" t="s">
        <v>19</v>
      </c>
      <c r="G3831" t="s">
        <v>42</v>
      </c>
      <c r="H3831" t="s">
        <v>43</v>
      </c>
      <c r="I3831" s="12">
        <v>0.3923611111111111</v>
      </c>
      <c r="J3831" t="s">
        <v>44</v>
      </c>
      <c r="K3831" t="s">
        <v>43</v>
      </c>
      <c r="L3831" s="12">
        <v>0.40277777777777779</v>
      </c>
      <c r="M3831" t="s">
        <v>45</v>
      </c>
      <c r="N3831" s="3">
        <v>9</v>
      </c>
      <c r="O3831" t="s">
        <v>24</v>
      </c>
      <c r="P3831" t="s">
        <v>25</v>
      </c>
      <c r="R3831">
        <f>tblDailySchedule[[#This Row],[Capacity Approx]]*'[1]Load Factor Sheet June Acft  '!$B$5</f>
        <v>7.2879545454545456</v>
      </c>
      <c r="S3831">
        <f>tblDailySchedule[[#This Row],[Capacity Approx]]*'[1]Load Factor Sheet June Acft  '!$D$5</f>
        <v>7.8913636363636366</v>
      </c>
      <c r="T3831" s="22">
        <f>tblDailySchedule[[#This Row],[STD]]</f>
        <v>0.40277777777777779</v>
      </c>
    </row>
    <row r="3832" spans="1:20" hidden="1" x14ac:dyDescent="0.35">
      <c r="A3832" s="11">
        <v>46248</v>
      </c>
      <c r="B3832" s="3">
        <v>5</v>
      </c>
      <c r="C3832" t="s">
        <v>115</v>
      </c>
      <c r="D3832" t="s">
        <v>18</v>
      </c>
      <c r="E3832" s="3">
        <v>8</v>
      </c>
      <c r="F3832" t="s">
        <v>19</v>
      </c>
      <c r="G3832" t="s">
        <v>46</v>
      </c>
      <c r="H3832" t="s">
        <v>31</v>
      </c>
      <c r="I3832" s="12">
        <v>0.4201388888888889</v>
      </c>
      <c r="J3832" t="s">
        <v>47</v>
      </c>
      <c r="K3832" t="s">
        <v>31</v>
      </c>
      <c r="L3832" s="12">
        <v>0.44444444444444442</v>
      </c>
      <c r="M3832" t="s">
        <v>29</v>
      </c>
      <c r="N3832" s="3">
        <v>186</v>
      </c>
      <c r="O3832" t="s">
        <v>24</v>
      </c>
      <c r="P3832" t="s">
        <v>25</v>
      </c>
      <c r="R3832">
        <f>tblDailySchedule[[#This Row],[Capacity Approx]]*'[1]Load Factor Sheet June Acft  '!$B$5</f>
        <v>150.61772727272728</v>
      </c>
      <c r="S3832">
        <f>tblDailySchedule[[#This Row],[Capacity Approx]]*'[1]Load Factor Sheet June Acft  '!$D$5</f>
        <v>163.08818181818182</v>
      </c>
      <c r="T3832" s="22">
        <f>tblDailySchedule[[#This Row],[STD]]</f>
        <v>0.44444444444444442</v>
      </c>
    </row>
    <row r="3833" spans="1:20" hidden="1" x14ac:dyDescent="0.35">
      <c r="A3833" s="11">
        <v>46248</v>
      </c>
      <c r="B3833" s="3">
        <v>5</v>
      </c>
      <c r="C3833" t="s">
        <v>115</v>
      </c>
      <c r="D3833" t="s">
        <v>18</v>
      </c>
      <c r="E3833" s="3">
        <v>9</v>
      </c>
      <c r="F3833" t="s">
        <v>19</v>
      </c>
      <c r="G3833" t="s">
        <v>48</v>
      </c>
      <c r="H3833" t="s">
        <v>49</v>
      </c>
      <c r="I3833" s="12">
        <v>0.4375</v>
      </c>
      <c r="J3833" t="s">
        <v>50</v>
      </c>
      <c r="K3833" t="s">
        <v>49</v>
      </c>
      <c r="L3833" s="12">
        <v>0.45833333333333331</v>
      </c>
      <c r="M3833" t="s">
        <v>51</v>
      </c>
      <c r="N3833" s="3">
        <v>78</v>
      </c>
      <c r="O3833" t="s">
        <v>24</v>
      </c>
      <c r="P3833" t="s">
        <v>25</v>
      </c>
      <c r="R3833">
        <f>tblDailySchedule[[#This Row],[Capacity Approx]]*'[1]Load Factor Sheet June Acft  '!$B$5</f>
        <v>63.162272727272729</v>
      </c>
      <c r="S3833">
        <f>tblDailySchedule[[#This Row],[Capacity Approx]]*'[1]Load Factor Sheet June Acft  '!$D$5</f>
        <v>68.391818181818181</v>
      </c>
      <c r="T3833" s="22">
        <f>tblDailySchedule[[#This Row],[STD]]</f>
        <v>0.45833333333333331</v>
      </c>
    </row>
    <row r="3834" spans="1:20" hidden="1" x14ac:dyDescent="0.35">
      <c r="A3834" s="11">
        <v>46248</v>
      </c>
      <c r="B3834" s="3">
        <v>5</v>
      </c>
      <c r="C3834" t="s">
        <v>115</v>
      </c>
      <c r="D3834" t="s">
        <v>18</v>
      </c>
      <c r="E3834" s="3">
        <v>10</v>
      </c>
      <c r="F3834" t="s">
        <v>19</v>
      </c>
      <c r="G3834" t="s">
        <v>52</v>
      </c>
      <c r="H3834" t="s">
        <v>27</v>
      </c>
      <c r="I3834" s="12">
        <v>0.4826388888888889</v>
      </c>
      <c r="J3834" t="s">
        <v>53</v>
      </c>
      <c r="K3834" t="s">
        <v>27</v>
      </c>
      <c r="L3834" s="12">
        <v>0.51041666666666663</v>
      </c>
      <c r="M3834" t="s">
        <v>23</v>
      </c>
      <c r="N3834" s="3">
        <v>186</v>
      </c>
      <c r="O3834" t="s">
        <v>24</v>
      </c>
      <c r="P3834" t="s">
        <v>25</v>
      </c>
      <c r="R3834">
        <f>tblDailySchedule[[#This Row],[Capacity Approx]]*'[1]Load Factor Sheet June Acft  '!$B$5</f>
        <v>150.61772727272728</v>
      </c>
      <c r="S3834">
        <f>tblDailySchedule[[#This Row],[Capacity Approx]]*'[1]Load Factor Sheet June Acft  '!$D$5</f>
        <v>163.08818181818182</v>
      </c>
      <c r="T3834" s="22">
        <f>tblDailySchedule[[#This Row],[STD]]</f>
        <v>0.51041666666666663</v>
      </c>
    </row>
    <row r="3835" spans="1:20" hidden="1" x14ac:dyDescent="0.35">
      <c r="A3835" s="11">
        <v>46248</v>
      </c>
      <c r="B3835" s="3">
        <v>5</v>
      </c>
      <c r="C3835" t="s">
        <v>115</v>
      </c>
      <c r="D3835" t="s">
        <v>18</v>
      </c>
      <c r="E3835" s="3">
        <v>11</v>
      </c>
      <c r="F3835" t="s">
        <v>19</v>
      </c>
      <c r="G3835" t="s">
        <v>54</v>
      </c>
      <c r="H3835" t="s">
        <v>31</v>
      </c>
      <c r="I3835" s="12">
        <v>0.51388888888888884</v>
      </c>
      <c r="J3835" t="s">
        <v>55</v>
      </c>
      <c r="K3835" t="s">
        <v>31</v>
      </c>
      <c r="L3835" s="12">
        <v>0.54166666666666663</v>
      </c>
      <c r="M3835" t="s">
        <v>23</v>
      </c>
      <c r="N3835" s="3">
        <v>186</v>
      </c>
      <c r="O3835" t="s">
        <v>24</v>
      </c>
      <c r="P3835" t="s">
        <v>56</v>
      </c>
      <c r="R3835">
        <f>tblDailySchedule[[#This Row],[Capacity Approx]]*'[1]Load Factor Sheet June Acft  '!$B$5</f>
        <v>150.61772727272728</v>
      </c>
      <c r="S3835">
        <f>tblDailySchedule[[#This Row],[Capacity Approx]]*'[1]Load Factor Sheet June Acft  '!$D$5</f>
        <v>163.08818181818182</v>
      </c>
      <c r="T3835" s="22">
        <f>tblDailySchedule[[#This Row],[STD]]</f>
        <v>0.54166666666666663</v>
      </c>
    </row>
    <row r="3836" spans="1:20" hidden="1" x14ac:dyDescent="0.35">
      <c r="A3836" s="11">
        <v>46248</v>
      </c>
      <c r="B3836" s="3">
        <v>5</v>
      </c>
      <c r="C3836" t="s">
        <v>115</v>
      </c>
      <c r="D3836" t="s">
        <v>18</v>
      </c>
      <c r="E3836" s="3">
        <v>13</v>
      </c>
      <c r="F3836" t="s">
        <v>19</v>
      </c>
      <c r="G3836" t="s">
        <v>57</v>
      </c>
      <c r="H3836" t="s">
        <v>58</v>
      </c>
      <c r="I3836" s="12">
        <v>0.55902777777777779</v>
      </c>
      <c r="J3836" t="s">
        <v>59</v>
      </c>
      <c r="K3836" t="s">
        <v>58</v>
      </c>
      <c r="L3836" s="12">
        <v>0.57638888888888884</v>
      </c>
      <c r="M3836" t="s">
        <v>51</v>
      </c>
      <c r="N3836" s="3">
        <v>78</v>
      </c>
      <c r="O3836" t="s">
        <v>24</v>
      </c>
      <c r="P3836" t="s">
        <v>56</v>
      </c>
      <c r="R3836">
        <f>tblDailySchedule[[#This Row],[Capacity Approx]]*'[1]Load Factor Sheet June Acft  '!$B$5</f>
        <v>63.162272727272729</v>
      </c>
      <c r="S3836">
        <f>tblDailySchedule[[#This Row],[Capacity Approx]]*'[1]Load Factor Sheet June Acft  '!$D$5</f>
        <v>68.391818181818181</v>
      </c>
      <c r="T3836" s="22">
        <f>tblDailySchedule[[#This Row],[STD]]</f>
        <v>0.57638888888888884</v>
      </c>
    </row>
    <row r="3837" spans="1:20" hidden="1" x14ac:dyDescent="0.35">
      <c r="A3837" s="11">
        <v>46248</v>
      </c>
      <c r="B3837" s="3">
        <v>5</v>
      </c>
      <c r="C3837" t="s">
        <v>115</v>
      </c>
      <c r="D3837" t="s">
        <v>18</v>
      </c>
      <c r="E3837" s="3">
        <v>14</v>
      </c>
      <c r="F3837" t="s">
        <v>19</v>
      </c>
      <c r="G3837" t="s">
        <v>60</v>
      </c>
      <c r="H3837" t="s">
        <v>61</v>
      </c>
      <c r="I3837" s="12">
        <v>0.59027777777777779</v>
      </c>
      <c r="J3837" t="s">
        <v>62</v>
      </c>
      <c r="K3837" t="s">
        <v>61</v>
      </c>
      <c r="L3837" s="12">
        <v>0.62152777777777779</v>
      </c>
      <c r="M3837" t="s">
        <v>63</v>
      </c>
      <c r="N3837" s="3">
        <v>232</v>
      </c>
      <c r="O3837" t="s">
        <v>24</v>
      </c>
      <c r="P3837" t="s">
        <v>56</v>
      </c>
      <c r="R3837">
        <f>tblDailySchedule[[#This Row],[Capacity Approx]]*'[1]Load Factor Sheet June Acft  '!$B$5</f>
        <v>187.86727272727273</v>
      </c>
      <c r="S3837">
        <f>tblDailySchedule[[#This Row],[Capacity Approx]]*'[1]Load Factor Sheet June Acft  '!$D$5</f>
        <v>203.4218181818182</v>
      </c>
      <c r="T3837" s="22">
        <f>tblDailySchedule[[#This Row],[STD]]</f>
        <v>0.62152777777777779</v>
      </c>
    </row>
    <row r="3838" spans="1:20" hidden="1" x14ac:dyDescent="0.35">
      <c r="A3838" s="11">
        <v>46248</v>
      </c>
      <c r="B3838" s="3">
        <v>5</v>
      </c>
      <c r="C3838" t="s">
        <v>115</v>
      </c>
      <c r="D3838" t="s">
        <v>18</v>
      </c>
      <c r="E3838" s="3">
        <v>15</v>
      </c>
      <c r="F3838" t="s">
        <v>19</v>
      </c>
      <c r="G3838" t="s">
        <v>64</v>
      </c>
      <c r="H3838" t="s">
        <v>31</v>
      </c>
      <c r="I3838" s="12">
        <v>0.60069444444444442</v>
      </c>
      <c r="J3838" t="s">
        <v>65</v>
      </c>
      <c r="K3838" t="s">
        <v>66</v>
      </c>
      <c r="L3838" s="12">
        <v>0.62847222222222221</v>
      </c>
      <c r="M3838" t="s">
        <v>63</v>
      </c>
      <c r="N3838" s="3">
        <v>232</v>
      </c>
      <c r="O3838" t="s">
        <v>24</v>
      </c>
      <c r="P3838" t="s">
        <v>56</v>
      </c>
      <c r="R3838">
        <f>tblDailySchedule[[#This Row],[Capacity Approx]]*'[1]Load Factor Sheet June Acft  '!$B$5</f>
        <v>187.86727272727273</v>
      </c>
      <c r="S3838">
        <f>tblDailySchedule[[#This Row],[Capacity Approx]]*'[1]Load Factor Sheet June Acft  '!$D$5</f>
        <v>203.4218181818182</v>
      </c>
      <c r="T3838" s="22">
        <f>tblDailySchedule[[#This Row],[STD]]</f>
        <v>0.62847222222222221</v>
      </c>
    </row>
    <row r="3839" spans="1:20" hidden="1" x14ac:dyDescent="0.35">
      <c r="A3839" s="11">
        <v>46248</v>
      </c>
      <c r="B3839" s="3">
        <v>5</v>
      </c>
      <c r="C3839" t="s">
        <v>115</v>
      </c>
      <c r="D3839" t="s">
        <v>18</v>
      </c>
      <c r="E3839" s="3">
        <v>16</v>
      </c>
      <c r="F3839" t="s">
        <v>19</v>
      </c>
      <c r="G3839" t="s">
        <v>67</v>
      </c>
      <c r="H3839" t="s">
        <v>31</v>
      </c>
      <c r="I3839" s="12">
        <v>0.65625</v>
      </c>
      <c r="J3839" t="s">
        <v>68</v>
      </c>
      <c r="K3839" t="s">
        <v>31</v>
      </c>
      <c r="L3839" s="12">
        <v>0.68402777777777779</v>
      </c>
      <c r="M3839" t="s">
        <v>63</v>
      </c>
      <c r="N3839" s="3">
        <v>232</v>
      </c>
      <c r="O3839" t="s">
        <v>24</v>
      </c>
      <c r="P3839" t="s">
        <v>56</v>
      </c>
      <c r="R3839">
        <f>tblDailySchedule[[#This Row],[Capacity Approx]]*'[1]Load Factor Sheet June Acft  '!$B$5</f>
        <v>187.86727272727273</v>
      </c>
      <c r="S3839">
        <f>tblDailySchedule[[#This Row],[Capacity Approx]]*'[1]Load Factor Sheet June Acft  '!$D$5</f>
        <v>203.4218181818182</v>
      </c>
      <c r="T3839" s="22">
        <f>tblDailySchedule[[#This Row],[STD]]</f>
        <v>0.68402777777777779</v>
      </c>
    </row>
    <row r="3840" spans="1:20" hidden="1" x14ac:dyDescent="0.35">
      <c r="A3840" s="11">
        <v>46248</v>
      </c>
      <c r="B3840" s="3">
        <v>5</v>
      </c>
      <c r="C3840" t="s">
        <v>115</v>
      </c>
      <c r="D3840" t="s">
        <v>18</v>
      </c>
      <c r="E3840" s="3">
        <v>17</v>
      </c>
      <c r="F3840" t="s">
        <v>19</v>
      </c>
      <c r="G3840" t="s">
        <v>69</v>
      </c>
      <c r="H3840" t="s">
        <v>31</v>
      </c>
      <c r="I3840" s="12">
        <v>0.66319444444444442</v>
      </c>
      <c r="J3840" t="s">
        <v>70</v>
      </c>
      <c r="K3840" t="s">
        <v>31</v>
      </c>
      <c r="L3840" s="12">
        <v>0.69097222222222221</v>
      </c>
      <c r="M3840" t="s">
        <v>33</v>
      </c>
      <c r="N3840" s="3">
        <v>189</v>
      </c>
      <c r="O3840" t="s">
        <v>24</v>
      </c>
      <c r="P3840" t="s">
        <v>56</v>
      </c>
      <c r="R3840">
        <f>tblDailySchedule[[#This Row],[Capacity Approx]]*'[1]Load Factor Sheet June Acft  '!$B$5</f>
        <v>153.04704545454547</v>
      </c>
      <c r="S3840">
        <f>tblDailySchedule[[#This Row],[Capacity Approx]]*'[1]Load Factor Sheet June Acft  '!$D$5</f>
        <v>165.71863636363636</v>
      </c>
      <c r="T3840" s="22">
        <f>tblDailySchedule[[#This Row],[STD]]</f>
        <v>0.69097222222222221</v>
      </c>
    </row>
    <row r="3841" spans="1:20" hidden="1" x14ac:dyDescent="0.35">
      <c r="A3841" s="11">
        <v>46248</v>
      </c>
      <c r="B3841" s="3">
        <v>5</v>
      </c>
      <c r="C3841" t="s">
        <v>115</v>
      </c>
      <c r="D3841" t="s">
        <v>18</v>
      </c>
      <c r="E3841" s="3">
        <v>18</v>
      </c>
      <c r="F3841" t="s">
        <v>19</v>
      </c>
      <c r="G3841" t="s">
        <v>71</v>
      </c>
      <c r="H3841" t="s">
        <v>21</v>
      </c>
      <c r="I3841" s="12">
        <v>0.67013888888888884</v>
      </c>
      <c r="J3841" t="s">
        <v>72</v>
      </c>
      <c r="K3841" t="s">
        <v>21</v>
      </c>
      <c r="L3841" s="12">
        <v>0.69791666666666663</v>
      </c>
      <c r="M3841" t="s">
        <v>63</v>
      </c>
      <c r="N3841" s="3">
        <v>232</v>
      </c>
      <c r="O3841" t="s">
        <v>24</v>
      </c>
      <c r="P3841" t="s">
        <v>56</v>
      </c>
      <c r="R3841">
        <f>tblDailySchedule[[#This Row],[Capacity Approx]]*'[1]Load Factor Sheet June Acft  '!$B$5</f>
        <v>187.86727272727273</v>
      </c>
      <c r="S3841">
        <f>tblDailySchedule[[#This Row],[Capacity Approx]]*'[1]Load Factor Sheet June Acft  '!$D$5</f>
        <v>203.4218181818182</v>
      </c>
      <c r="T3841" s="22">
        <f>tblDailySchedule[[#This Row],[STD]]</f>
        <v>0.69791666666666663</v>
      </c>
    </row>
    <row r="3842" spans="1:20" hidden="1" x14ac:dyDescent="0.35">
      <c r="A3842" s="11">
        <v>46248</v>
      </c>
      <c r="B3842" s="3">
        <v>5</v>
      </c>
      <c r="C3842" t="s">
        <v>115</v>
      </c>
      <c r="D3842" t="s">
        <v>18</v>
      </c>
      <c r="E3842" s="3">
        <v>19</v>
      </c>
      <c r="F3842" t="s">
        <v>19</v>
      </c>
      <c r="G3842" t="s">
        <v>73</v>
      </c>
      <c r="H3842" t="s">
        <v>27</v>
      </c>
      <c r="I3842" s="12">
        <v>0.74652777777777779</v>
      </c>
      <c r="J3842" t="s">
        <v>74</v>
      </c>
      <c r="K3842" t="s">
        <v>27</v>
      </c>
      <c r="L3842" s="12">
        <v>0.77430555555555558</v>
      </c>
      <c r="M3842" t="s">
        <v>63</v>
      </c>
      <c r="N3842" s="3">
        <v>232</v>
      </c>
      <c r="O3842" t="s">
        <v>24</v>
      </c>
      <c r="P3842" t="s">
        <v>56</v>
      </c>
      <c r="R3842">
        <f>tblDailySchedule[[#This Row],[Capacity Approx]]*'[1]Load Factor Sheet June Acft  '!$B$5</f>
        <v>187.86727272727273</v>
      </c>
      <c r="S3842">
        <f>tblDailySchedule[[#This Row],[Capacity Approx]]*'[1]Load Factor Sheet June Acft  '!$D$5</f>
        <v>203.4218181818182</v>
      </c>
      <c r="T3842" s="22">
        <f>tblDailySchedule[[#This Row],[STD]]</f>
        <v>0.77430555555555558</v>
      </c>
    </row>
    <row r="3843" spans="1:20" hidden="1" x14ac:dyDescent="0.35">
      <c r="A3843" s="11">
        <v>46248</v>
      </c>
      <c r="B3843" s="3">
        <v>5</v>
      </c>
      <c r="C3843" t="s">
        <v>115</v>
      </c>
      <c r="D3843" t="s">
        <v>18</v>
      </c>
      <c r="E3843" s="3">
        <v>20</v>
      </c>
      <c r="F3843" t="s">
        <v>34</v>
      </c>
      <c r="G3843" t="s">
        <v>75</v>
      </c>
      <c r="H3843" t="s">
        <v>76</v>
      </c>
      <c r="I3843" s="12">
        <v>0.76388888888888884</v>
      </c>
      <c r="J3843" t="s">
        <v>77</v>
      </c>
      <c r="K3843" t="s">
        <v>78</v>
      </c>
      <c r="L3843" s="12">
        <v>0.78472222222222221</v>
      </c>
      <c r="M3843" t="s">
        <v>51</v>
      </c>
      <c r="N3843" s="3">
        <v>78</v>
      </c>
      <c r="O3843" t="s">
        <v>24</v>
      </c>
      <c r="P3843" t="s">
        <v>79</v>
      </c>
      <c r="Q3843" s="16" t="s">
        <v>80</v>
      </c>
      <c r="R3843">
        <f>tblDailySchedule[[#This Row],[Capacity Approx]]*'[1]Load Factor Sheet June Acft  '!$B$5</f>
        <v>63.162272727272729</v>
      </c>
      <c r="S3843">
        <f>tblDailySchedule[[#This Row],[Capacity Approx]]*'[1]Load Factor Sheet June Acft  '!$D$5</f>
        <v>68.391818181818181</v>
      </c>
      <c r="T3843" s="22">
        <f>tblDailySchedule[[#This Row],[STD]]</f>
        <v>0.78472222222222221</v>
      </c>
    </row>
    <row r="3844" spans="1:20" hidden="1" x14ac:dyDescent="0.35">
      <c r="A3844" s="11">
        <v>46248</v>
      </c>
      <c r="B3844" s="3">
        <v>5</v>
      </c>
      <c r="C3844" t="s">
        <v>115</v>
      </c>
      <c r="D3844" t="s">
        <v>18</v>
      </c>
      <c r="E3844" s="3">
        <v>21</v>
      </c>
      <c r="F3844" t="s">
        <v>19</v>
      </c>
      <c r="G3844" t="s">
        <v>81</v>
      </c>
      <c r="H3844" t="s">
        <v>61</v>
      </c>
      <c r="I3844" s="12">
        <v>0.77083333333333337</v>
      </c>
      <c r="J3844" t="s">
        <v>82</v>
      </c>
      <c r="K3844" t="s">
        <v>49</v>
      </c>
      <c r="L3844" s="12">
        <v>0.79166666666666663</v>
      </c>
      <c r="M3844" t="s">
        <v>33</v>
      </c>
      <c r="N3844" s="3">
        <v>189</v>
      </c>
      <c r="O3844" t="s">
        <v>24</v>
      </c>
      <c r="P3844" t="s">
        <v>79</v>
      </c>
      <c r="R3844">
        <f>tblDailySchedule[[#This Row],[Capacity Approx]]*'[1]Load Factor Sheet June Acft  '!$B$5</f>
        <v>153.04704545454547</v>
      </c>
      <c r="S3844">
        <f>tblDailySchedule[[#This Row],[Capacity Approx]]*'[1]Load Factor Sheet June Acft  '!$D$5</f>
        <v>165.71863636363636</v>
      </c>
      <c r="T3844" s="22">
        <f>tblDailySchedule[[#This Row],[STD]]</f>
        <v>0.79166666666666663</v>
      </c>
    </row>
    <row r="3845" spans="1:20" hidden="1" x14ac:dyDescent="0.35">
      <c r="A3845" s="11">
        <v>46248</v>
      </c>
      <c r="B3845" s="3">
        <v>5</v>
      </c>
      <c r="C3845" t="s">
        <v>115</v>
      </c>
      <c r="D3845" t="s">
        <v>18</v>
      </c>
      <c r="E3845" s="3">
        <v>22</v>
      </c>
      <c r="F3845" t="s">
        <v>19</v>
      </c>
      <c r="G3845" t="s">
        <v>83</v>
      </c>
      <c r="H3845" t="s">
        <v>31</v>
      </c>
      <c r="I3845" s="12">
        <v>0.77777777777777779</v>
      </c>
      <c r="J3845" t="s">
        <v>84</v>
      </c>
      <c r="K3845" t="s">
        <v>31</v>
      </c>
      <c r="L3845" s="12">
        <v>0.80555555555555558</v>
      </c>
      <c r="M3845" t="s">
        <v>63</v>
      </c>
      <c r="N3845" s="3">
        <v>232</v>
      </c>
      <c r="O3845" t="s">
        <v>24</v>
      </c>
      <c r="P3845" t="s">
        <v>79</v>
      </c>
      <c r="R3845">
        <f>tblDailySchedule[[#This Row],[Capacity Approx]]*'[1]Load Factor Sheet June Acft  '!$B$5</f>
        <v>187.86727272727273</v>
      </c>
      <c r="S3845">
        <f>tblDailySchedule[[#This Row],[Capacity Approx]]*'[1]Load Factor Sheet June Acft  '!$D$5</f>
        <v>203.4218181818182</v>
      </c>
      <c r="T3845" s="22">
        <f>tblDailySchedule[[#This Row],[STD]]</f>
        <v>0.80555555555555558</v>
      </c>
    </row>
    <row r="3846" spans="1:20" hidden="1" x14ac:dyDescent="0.35">
      <c r="A3846" s="11">
        <v>46248</v>
      </c>
      <c r="B3846" s="3">
        <v>5</v>
      </c>
      <c r="C3846" t="s">
        <v>115</v>
      </c>
      <c r="D3846" t="s">
        <v>18</v>
      </c>
      <c r="E3846" s="3">
        <v>23</v>
      </c>
      <c r="F3846" t="s">
        <v>19</v>
      </c>
      <c r="G3846" t="s">
        <v>85</v>
      </c>
      <c r="H3846" t="s">
        <v>86</v>
      </c>
      <c r="I3846" s="12">
        <v>0.79861111111111116</v>
      </c>
      <c r="J3846" t="s">
        <v>87</v>
      </c>
      <c r="K3846" t="s">
        <v>86</v>
      </c>
      <c r="L3846" s="12">
        <v>0.82638888888888884</v>
      </c>
      <c r="M3846" t="s">
        <v>63</v>
      </c>
      <c r="N3846" s="3">
        <v>232</v>
      </c>
      <c r="O3846" t="s">
        <v>24</v>
      </c>
      <c r="P3846" t="s">
        <v>79</v>
      </c>
      <c r="R3846">
        <f>tblDailySchedule[[#This Row],[Capacity Approx]]*'[1]Load Factor Sheet June Acft  '!$B$5</f>
        <v>187.86727272727273</v>
      </c>
      <c r="S3846">
        <f>tblDailySchedule[[#This Row],[Capacity Approx]]*'[1]Load Factor Sheet June Acft  '!$D$5</f>
        <v>203.4218181818182</v>
      </c>
      <c r="T3846" s="22">
        <f>tblDailySchedule[[#This Row],[STD]]</f>
        <v>0.82638888888888884</v>
      </c>
    </row>
    <row r="3847" spans="1:20" hidden="1" x14ac:dyDescent="0.35">
      <c r="A3847" s="11">
        <v>46248</v>
      </c>
      <c r="B3847" s="3">
        <v>5</v>
      </c>
      <c r="C3847" t="s">
        <v>115</v>
      </c>
      <c r="D3847" t="s">
        <v>18</v>
      </c>
      <c r="E3847" s="3">
        <v>24</v>
      </c>
      <c r="F3847" t="s">
        <v>19</v>
      </c>
      <c r="G3847" t="s">
        <v>88</v>
      </c>
      <c r="H3847" t="s">
        <v>89</v>
      </c>
      <c r="I3847" s="12">
        <v>0.83333333333333337</v>
      </c>
      <c r="J3847" t="s">
        <v>90</v>
      </c>
      <c r="K3847" t="s">
        <v>31</v>
      </c>
      <c r="L3847" s="12">
        <v>0.86111111111111116</v>
      </c>
      <c r="M3847" t="s">
        <v>63</v>
      </c>
      <c r="N3847" s="3">
        <v>232</v>
      </c>
      <c r="O3847" t="s">
        <v>24</v>
      </c>
      <c r="P3847" t="s">
        <v>79</v>
      </c>
      <c r="R3847">
        <f>tblDailySchedule[[#This Row],[Capacity Approx]]*'[1]Load Factor Sheet June Acft  '!$B$5</f>
        <v>187.86727272727273</v>
      </c>
      <c r="S3847">
        <f>tblDailySchedule[[#This Row],[Capacity Approx]]*'[1]Load Factor Sheet June Acft  '!$D$5</f>
        <v>203.4218181818182</v>
      </c>
      <c r="T3847" s="22">
        <f>tblDailySchedule[[#This Row],[STD]]</f>
        <v>0.86111111111111116</v>
      </c>
    </row>
    <row r="3848" spans="1:20" hidden="1" x14ac:dyDescent="0.35">
      <c r="A3848" s="11">
        <v>46248</v>
      </c>
      <c r="B3848" s="3">
        <v>5</v>
      </c>
      <c r="C3848" t="s">
        <v>115</v>
      </c>
      <c r="D3848" t="s">
        <v>18</v>
      </c>
      <c r="E3848" s="3">
        <v>25</v>
      </c>
      <c r="F3848" t="s">
        <v>19</v>
      </c>
      <c r="G3848" t="s">
        <v>91</v>
      </c>
      <c r="H3848" t="s">
        <v>61</v>
      </c>
      <c r="I3848" s="12">
        <v>0.85416666666666663</v>
      </c>
      <c r="J3848" t="s">
        <v>92</v>
      </c>
      <c r="K3848" t="s">
        <v>61</v>
      </c>
      <c r="L3848" s="12">
        <v>0.88194444444444442</v>
      </c>
      <c r="M3848" t="s">
        <v>63</v>
      </c>
      <c r="N3848" s="3">
        <v>232</v>
      </c>
      <c r="O3848" t="s">
        <v>24</v>
      </c>
      <c r="P3848" t="s">
        <v>79</v>
      </c>
      <c r="R3848">
        <f>tblDailySchedule[[#This Row],[Capacity Approx]]*'[1]Load Factor Sheet June Acft  '!$B$5</f>
        <v>187.86727272727273</v>
      </c>
      <c r="S3848">
        <f>tblDailySchedule[[#This Row],[Capacity Approx]]*'[1]Load Factor Sheet June Acft  '!$D$5</f>
        <v>203.4218181818182</v>
      </c>
      <c r="T3848" s="22">
        <f>tblDailySchedule[[#This Row],[STD]]</f>
        <v>0.88194444444444442</v>
      </c>
    </row>
    <row r="3849" spans="1:20" hidden="1" x14ac:dyDescent="0.35">
      <c r="A3849" s="11">
        <v>46248</v>
      </c>
      <c r="B3849" s="3">
        <v>5</v>
      </c>
      <c r="C3849" t="s">
        <v>115</v>
      </c>
      <c r="D3849" t="s">
        <v>18</v>
      </c>
      <c r="E3849" s="3">
        <v>26</v>
      </c>
      <c r="F3849" t="s">
        <v>19</v>
      </c>
      <c r="G3849" t="s">
        <v>93</v>
      </c>
      <c r="H3849" t="s">
        <v>31</v>
      </c>
      <c r="I3849" s="12">
        <v>0.86111111111111116</v>
      </c>
      <c r="J3849" t="s">
        <v>94</v>
      </c>
      <c r="K3849" t="s">
        <v>31</v>
      </c>
      <c r="L3849" s="12">
        <v>0.88888888888888884</v>
      </c>
      <c r="M3849" t="s">
        <v>23</v>
      </c>
      <c r="N3849" s="3">
        <v>186</v>
      </c>
      <c r="O3849" t="s">
        <v>24</v>
      </c>
      <c r="P3849" t="s">
        <v>79</v>
      </c>
      <c r="R3849">
        <f>tblDailySchedule[[#This Row],[Capacity Approx]]*'[1]Load Factor Sheet June Acft  '!$B$5</f>
        <v>150.61772727272728</v>
      </c>
      <c r="S3849">
        <f>tblDailySchedule[[#This Row],[Capacity Approx]]*'[1]Load Factor Sheet June Acft  '!$D$5</f>
        <v>163.08818181818182</v>
      </c>
      <c r="T3849" s="22">
        <f>tblDailySchedule[[#This Row],[STD]]</f>
        <v>0.88888888888888884</v>
      </c>
    </row>
    <row r="3850" spans="1:20" hidden="1" x14ac:dyDescent="0.35">
      <c r="A3850" s="11">
        <v>46248</v>
      </c>
      <c r="B3850" s="3">
        <v>5</v>
      </c>
      <c r="C3850" t="s">
        <v>115</v>
      </c>
      <c r="D3850" t="s">
        <v>18</v>
      </c>
      <c r="E3850" s="3">
        <v>27</v>
      </c>
      <c r="F3850" t="s">
        <v>19</v>
      </c>
      <c r="G3850" t="s">
        <v>95</v>
      </c>
      <c r="H3850" t="s">
        <v>21</v>
      </c>
      <c r="I3850" s="12">
        <v>0.86805555555555558</v>
      </c>
      <c r="J3850" t="s">
        <v>96</v>
      </c>
      <c r="K3850" t="s">
        <v>21</v>
      </c>
      <c r="L3850" s="12">
        <v>0.89583333333333337</v>
      </c>
      <c r="M3850" t="s">
        <v>29</v>
      </c>
      <c r="N3850" s="3">
        <v>186</v>
      </c>
      <c r="O3850" t="s">
        <v>24</v>
      </c>
      <c r="P3850" t="s">
        <v>79</v>
      </c>
      <c r="R3850">
        <f>tblDailySchedule[[#This Row],[Capacity Approx]]*'[1]Load Factor Sheet June Acft  '!$B$5</f>
        <v>150.61772727272728</v>
      </c>
      <c r="S3850">
        <f>tblDailySchedule[[#This Row],[Capacity Approx]]*'[1]Load Factor Sheet June Acft  '!$D$5</f>
        <v>163.08818181818182</v>
      </c>
      <c r="T3850" s="22">
        <f>tblDailySchedule[[#This Row],[STD]]</f>
        <v>0.89583333333333337</v>
      </c>
    </row>
    <row r="3851" spans="1:20" hidden="1" x14ac:dyDescent="0.35">
      <c r="A3851" s="11">
        <v>46248</v>
      </c>
      <c r="B3851" s="3">
        <v>5</v>
      </c>
      <c r="C3851" t="s">
        <v>115</v>
      </c>
      <c r="D3851" t="s">
        <v>18</v>
      </c>
      <c r="E3851" s="3">
        <v>28</v>
      </c>
      <c r="F3851" t="s">
        <v>19</v>
      </c>
      <c r="G3851" t="s">
        <v>97</v>
      </c>
      <c r="H3851" t="s">
        <v>49</v>
      </c>
      <c r="I3851" s="12">
        <v>0.90277777777777779</v>
      </c>
      <c r="J3851" t="s">
        <v>97</v>
      </c>
      <c r="K3851" t="s">
        <v>61</v>
      </c>
      <c r="L3851" s="12">
        <v>0.92361111111111116</v>
      </c>
      <c r="M3851" t="s">
        <v>33</v>
      </c>
      <c r="N3851" s="3">
        <v>189</v>
      </c>
      <c r="O3851" t="s">
        <v>24</v>
      </c>
      <c r="P3851" t="s">
        <v>79</v>
      </c>
      <c r="R3851">
        <f>tblDailySchedule[[#This Row],[Capacity Approx]]*'[1]Load Factor Sheet June Acft  '!$B$5</f>
        <v>153.04704545454547</v>
      </c>
      <c r="S3851">
        <f>tblDailySchedule[[#This Row],[Capacity Approx]]*'[1]Load Factor Sheet June Acft  '!$D$5</f>
        <v>165.71863636363636</v>
      </c>
      <c r="T3851" s="22">
        <f>tblDailySchedule[[#This Row],[STD]]</f>
        <v>0.92361111111111116</v>
      </c>
    </row>
    <row r="3852" spans="1:20" hidden="1" x14ac:dyDescent="0.35">
      <c r="A3852" s="11">
        <v>46248</v>
      </c>
      <c r="B3852" s="3">
        <v>5</v>
      </c>
      <c r="C3852" t="s">
        <v>115</v>
      </c>
      <c r="D3852" t="s">
        <v>18</v>
      </c>
      <c r="E3852" s="3">
        <v>29</v>
      </c>
      <c r="F3852" t="s">
        <v>19</v>
      </c>
      <c r="G3852" t="s">
        <v>98</v>
      </c>
      <c r="H3852" t="s">
        <v>21</v>
      </c>
      <c r="I3852" s="12">
        <v>0.92013888888888884</v>
      </c>
      <c r="J3852" t="s">
        <v>99</v>
      </c>
      <c r="K3852" t="s">
        <v>21</v>
      </c>
      <c r="L3852" s="12">
        <v>0.94791666666666663</v>
      </c>
      <c r="M3852" t="s">
        <v>63</v>
      </c>
      <c r="N3852" s="3">
        <v>232</v>
      </c>
      <c r="O3852" t="s">
        <v>24</v>
      </c>
      <c r="P3852" t="s">
        <v>79</v>
      </c>
      <c r="R3852">
        <f>tblDailySchedule[[#This Row],[Capacity Approx]]*'[1]Load Factor Sheet June Acft  '!$B$5</f>
        <v>187.86727272727273</v>
      </c>
      <c r="S3852">
        <f>tblDailySchedule[[#This Row],[Capacity Approx]]*'[1]Load Factor Sheet June Acft  '!$D$5</f>
        <v>203.4218181818182</v>
      </c>
      <c r="T3852" s="22">
        <f>tblDailySchedule[[#This Row],[STD]]</f>
        <v>0.94791666666666663</v>
      </c>
    </row>
    <row r="3853" spans="1:20" hidden="1" x14ac:dyDescent="0.35">
      <c r="A3853" s="13">
        <v>46248</v>
      </c>
      <c r="B3853" s="7">
        <v>5</v>
      </c>
      <c r="C3853" s="14" t="s">
        <v>115</v>
      </c>
      <c r="D3853" s="14" t="s">
        <v>18</v>
      </c>
      <c r="E3853" s="7">
        <v>30</v>
      </c>
      <c r="F3853" s="14" t="s">
        <v>104</v>
      </c>
      <c r="G3853" s="14" t="s">
        <v>105</v>
      </c>
      <c r="H3853" s="14" t="s">
        <v>106</v>
      </c>
      <c r="I3853" s="15">
        <v>0.92708333333333337</v>
      </c>
      <c r="J3853" s="14" t="s">
        <v>107</v>
      </c>
      <c r="K3853" s="14" t="s">
        <v>106</v>
      </c>
      <c r="L3853" s="15">
        <v>0.95833333333333337</v>
      </c>
      <c r="M3853" s="14" t="s">
        <v>38</v>
      </c>
      <c r="N3853" s="7">
        <v>186</v>
      </c>
      <c r="O3853" s="14" t="s">
        <v>39</v>
      </c>
      <c r="P3853" s="14" t="s">
        <v>79</v>
      </c>
      <c r="Q3853" s="14" t="s">
        <v>39</v>
      </c>
      <c r="R3853">
        <f>tblDailySchedule[[#This Row],[Capacity Approx]]*'[1]Load Factor Sheet June Acft  '!$B$5</f>
        <v>150.61772727272728</v>
      </c>
      <c r="S3853">
        <f>tblDailySchedule[[#This Row],[Capacity Approx]]*'[1]Load Factor Sheet June Acft  '!$D$5</f>
        <v>163.08818181818182</v>
      </c>
      <c r="T3853" s="22">
        <f>tblDailySchedule[[#This Row],[STD]]</f>
        <v>0.95833333333333337</v>
      </c>
    </row>
    <row r="3854" spans="1:20" hidden="1" x14ac:dyDescent="0.35">
      <c r="A3854" s="11">
        <v>46249</v>
      </c>
      <c r="B3854" s="3">
        <v>6</v>
      </c>
      <c r="C3854" t="s">
        <v>116</v>
      </c>
      <c r="D3854" t="s">
        <v>18</v>
      </c>
      <c r="E3854" s="3">
        <v>1</v>
      </c>
      <c r="F3854" t="s">
        <v>101</v>
      </c>
      <c r="G3854" t="s">
        <v>102</v>
      </c>
      <c r="H3854" t="s">
        <v>61</v>
      </c>
      <c r="I3854" s="12">
        <v>0.3125</v>
      </c>
      <c r="J3854" t="s">
        <v>103</v>
      </c>
      <c r="K3854" t="s">
        <v>61</v>
      </c>
      <c r="L3854" s="12">
        <v>0.33333333333333331</v>
      </c>
      <c r="M3854" t="s">
        <v>33</v>
      </c>
      <c r="N3854" s="3">
        <v>189</v>
      </c>
      <c r="O3854" t="s">
        <v>24</v>
      </c>
      <c r="P3854" t="s">
        <v>25</v>
      </c>
      <c r="R3854">
        <f>tblDailySchedule[[#This Row],[Capacity Approx]]*'[1]Load Factor Sheet June Acft  '!$B$5</f>
        <v>153.04704545454547</v>
      </c>
      <c r="S3854">
        <f>tblDailySchedule[[#This Row],[Capacity Approx]]*'[1]Load Factor Sheet June Acft  '!$D$5</f>
        <v>165.71863636363636</v>
      </c>
      <c r="T3854" s="22">
        <f>tblDailySchedule[[#This Row],[STD]]</f>
        <v>0.33333333333333331</v>
      </c>
    </row>
    <row r="3855" spans="1:20" hidden="1" x14ac:dyDescent="0.35">
      <c r="A3855" s="11">
        <v>46249</v>
      </c>
      <c r="B3855" s="3">
        <v>6</v>
      </c>
      <c r="C3855" t="s">
        <v>116</v>
      </c>
      <c r="D3855" t="s">
        <v>18</v>
      </c>
      <c r="E3855" s="3">
        <v>2</v>
      </c>
      <c r="F3855" t="s">
        <v>19</v>
      </c>
      <c r="G3855" t="s">
        <v>20</v>
      </c>
      <c r="H3855" t="s">
        <v>21</v>
      </c>
      <c r="I3855" s="12">
        <v>0.31944444444444442</v>
      </c>
      <c r="J3855" t="s">
        <v>22</v>
      </c>
      <c r="K3855" t="s">
        <v>21</v>
      </c>
      <c r="L3855" s="12">
        <v>0.34722222222222221</v>
      </c>
      <c r="M3855" t="s">
        <v>23</v>
      </c>
      <c r="N3855" s="3">
        <v>186</v>
      </c>
      <c r="O3855" t="s">
        <v>24</v>
      </c>
      <c r="P3855" t="s">
        <v>25</v>
      </c>
      <c r="R3855">
        <f>tblDailySchedule[[#This Row],[Capacity Approx]]*'[1]Load Factor Sheet June Acft  '!$B$5</f>
        <v>150.61772727272728</v>
      </c>
      <c r="S3855">
        <f>tblDailySchedule[[#This Row],[Capacity Approx]]*'[1]Load Factor Sheet June Acft  '!$D$5</f>
        <v>163.08818181818182</v>
      </c>
      <c r="T3855" s="22">
        <f>tblDailySchedule[[#This Row],[STD]]</f>
        <v>0.34722222222222221</v>
      </c>
    </row>
    <row r="3856" spans="1:20" hidden="1" x14ac:dyDescent="0.35">
      <c r="A3856" s="11">
        <v>46249</v>
      </c>
      <c r="B3856" s="3">
        <v>6</v>
      </c>
      <c r="C3856" t="s">
        <v>116</v>
      </c>
      <c r="D3856" t="s">
        <v>18</v>
      </c>
      <c r="E3856" s="3">
        <v>3</v>
      </c>
      <c r="F3856" t="s">
        <v>19</v>
      </c>
      <c r="G3856" t="s">
        <v>26</v>
      </c>
      <c r="H3856" t="s">
        <v>27</v>
      </c>
      <c r="I3856" s="12">
        <v>0.3263888888888889</v>
      </c>
      <c r="J3856" t="s">
        <v>28</v>
      </c>
      <c r="K3856" t="s">
        <v>27</v>
      </c>
      <c r="L3856" s="12">
        <v>0.35416666666666669</v>
      </c>
      <c r="M3856" t="s">
        <v>29</v>
      </c>
      <c r="N3856" s="3">
        <v>186</v>
      </c>
      <c r="O3856" t="s">
        <v>24</v>
      </c>
      <c r="P3856" t="s">
        <v>25</v>
      </c>
      <c r="R3856">
        <f>tblDailySchedule[[#This Row],[Capacity Approx]]*'[1]Load Factor Sheet June Acft  '!$B$5</f>
        <v>150.61772727272728</v>
      </c>
      <c r="S3856">
        <f>tblDailySchedule[[#This Row],[Capacity Approx]]*'[1]Load Factor Sheet June Acft  '!$D$5</f>
        <v>163.08818181818182</v>
      </c>
      <c r="T3856" s="22">
        <f>tblDailySchedule[[#This Row],[STD]]</f>
        <v>0.35416666666666669</v>
      </c>
    </row>
    <row r="3857" spans="1:20" hidden="1" x14ac:dyDescent="0.35">
      <c r="A3857" s="11">
        <v>46249</v>
      </c>
      <c r="B3857" s="3">
        <v>6</v>
      </c>
      <c r="C3857" t="s">
        <v>116</v>
      </c>
      <c r="D3857" t="s">
        <v>18</v>
      </c>
      <c r="E3857" s="3">
        <v>4</v>
      </c>
      <c r="F3857" t="s">
        <v>19</v>
      </c>
      <c r="G3857" t="s">
        <v>30</v>
      </c>
      <c r="H3857" t="s">
        <v>31</v>
      </c>
      <c r="I3857" s="12">
        <v>0.34722222222222221</v>
      </c>
      <c r="J3857" t="s">
        <v>32</v>
      </c>
      <c r="K3857" t="s">
        <v>31</v>
      </c>
      <c r="L3857" s="12">
        <v>0.36805555555555558</v>
      </c>
      <c r="M3857" t="s">
        <v>33</v>
      </c>
      <c r="N3857" s="3">
        <v>189</v>
      </c>
      <c r="O3857" t="s">
        <v>24</v>
      </c>
      <c r="P3857" t="s">
        <v>25</v>
      </c>
      <c r="R3857">
        <f>tblDailySchedule[[#This Row],[Capacity Approx]]*'[1]Load Factor Sheet June Acft  '!$B$5</f>
        <v>153.04704545454547</v>
      </c>
      <c r="S3857">
        <f>tblDailySchedule[[#This Row],[Capacity Approx]]*'[1]Load Factor Sheet June Acft  '!$D$5</f>
        <v>165.71863636363636</v>
      </c>
      <c r="T3857" s="22">
        <f>tblDailySchedule[[#This Row],[STD]]</f>
        <v>0.36805555555555558</v>
      </c>
    </row>
    <row r="3858" spans="1:20" hidden="1" x14ac:dyDescent="0.35">
      <c r="A3858" s="11">
        <v>46249</v>
      </c>
      <c r="B3858" s="3">
        <v>6</v>
      </c>
      <c r="C3858" t="s">
        <v>116</v>
      </c>
      <c r="D3858" t="s">
        <v>18</v>
      </c>
      <c r="E3858" s="3">
        <v>5</v>
      </c>
      <c r="F3858" t="s">
        <v>19</v>
      </c>
      <c r="G3858" t="s">
        <v>40</v>
      </c>
      <c r="H3858" t="s">
        <v>31</v>
      </c>
      <c r="I3858" s="12">
        <v>0.35069444444444442</v>
      </c>
      <c r="J3858" t="s">
        <v>41</v>
      </c>
      <c r="K3858" t="s">
        <v>31</v>
      </c>
      <c r="L3858" s="12">
        <v>0.37152777777777779</v>
      </c>
      <c r="M3858" t="s">
        <v>23</v>
      </c>
      <c r="N3858" s="3">
        <v>186</v>
      </c>
      <c r="O3858" t="s">
        <v>24</v>
      </c>
      <c r="P3858" t="s">
        <v>25</v>
      </c>
      <c r="R3858">
        <f>tblDailySchedule[[#This Row],[Capacity Approx]]*'[1]Load Factor Sheet June Acft  '!$B$5</f>
        <v>150.61772727272728</v>
      </c>
      <c r="S3858">
        <f>tblDailySchedule[[#This Row],[Capacity Approx]]*'[1]Load Factor Sheet June Acft  '!$D$5</f>
        <v>163.08818181818182</v>
      </c>
      <c r="T3858" s="22">
        <f>tblDailySchedule[[#This Row],[STD]]</f>
        <v>0.37152777777777779</v>
      </c>
    </row>
    <row r="3859" spans="1:20" hidden="1" x14ac:dyDescent="0.35">
      <c r="A3859" s="11">
        <v>46249</v>
      </c>
      <c r="B3859" s="3">
        <v>6</v>
      </c>
      <c r="C3859" t="s">
        <v>116</v>
      </c>
      <c r="D3859" t="s">
        <v>18</v>
      </c>
      <c r="E3859" s="3">
        <v>7</v>
      </c>
      <c r="F3859" t="s">
        <v>19</v>
      </c>
      <c r="G3859" t="s">
        <v>42</v>
      </c>
      <c r="H3859" t="s">
        <v>43</v>
      </c>
      <c r="I3859" s="12">
        <v>0.3923611111111111</v>
      </c>
      <c r="J3859" t="s">
        <v>44</v>
      </c>
      <c r="K3859" t="s">
        <v>43</v>
      </c>
      <c r="L3859" s="12">
        <v>0.40277777777777779</v>
      </c>
      <c r="M3859" t="s">
        <v>45</v>
      </c>
      <c r="N3859" s="3">
        <v>9</v>
      </c>
      <c r="O3859" t="s">
        <v>24</v>
      </c>
      <c r="P3859" t="s">
        <v>25</v>
      </c>
      <c r="R3859">
        <f>tblDailySchedule[[#This Row],[Capacity Approx]]*'[1]Load Factor Sheet June Acft  '!$B$5</f>
        <v>7.2879545454545456</v>
      </c>
      <c r="S3859">
        <f>tblDailySchedule[[#This Row],[Capacity Approx]]*'[1]Load Factor Sheet June Acft  '!$D$5</f>
        <v>7.8913636363636366</v>
      </c>
      <c r="T3859" s="22">
        <f>tblDailySchedule[[#This Row],[STD]]</f>
        <v>0.40277777777777779</v>
      </c>
    </row>
    <row r="3860" spans="1:20" hidden="1" x14ac:dyDescent="0.35">
      <c r="A3860" s="11">
        <v>46249</v>
      </c>
      <c r="B3860" s="3">
        <v>6</v>
      </c>
      <c r="C3860" t="s">
        <v>116</v>
      </c>
      <c r="D3860" t="s">
        <v>18</v>
      </c>
      <c r="E3860" s="3">
        <v>8</v>
      </c>
      <c r="F3860" t="s">
        <v>19</v>
      </c>
      <c r="G3860" t="s">
        <v>46</v>
      </c>
      <c r="H3860" t="s">
        <v>31</v>
      </c>
      <c r="I3860" s="12">
        <v>0.4201388888888889</v>
      </c>
      <c r="J3860" t="s">
        <v>47</v>
      </c>
      <c r="K3860" t="s">
        <v>31</v>
      </c>
      <c r="L3860" s="12">
        <v>0.44444444444444442</v>
      </c>
      <c r="M3860" t="s">
        <v>29</v>
      </c>
      <c r="N3860" s="3">
        <v>186</v>
      </c>
      <c r="O3860" t="s">
        <v>24</v>
      </c>
      <c r="P3860" t="s">
        <v>25</v>
      </c>
      <c r="R3860">
        <f>tblDailySchedule[[#This Row],[Capacity Approx]]*'[1]Load Factor Sheet June Acft  '!$B$5</f>
        <v>150.61772727272728</v>
      </c>
      <c r="S3860">
        <f>tblDailySchedule[[#This Row],[Capacity Approx]]*'[1]Load Factor Sheet June Acft  '!$D$5</f>
        <v>163.08818181818182</v>
      </c>
      <c r="T3860" s="22">
        <f>tblDailySchedule[[#This Row],[STD]]</f>
        <v>0.44444444444444442</v>
      </c>
    </row>
    <row r="3861" spans="1:20" hidden="1" x14ac:dyDescent="0.35">
      <c r="A3861" s="11">
        <v>46249</v>
      </c>
      <c r="B3861" s="3">
        <v>6</v>
      </c>
      <c r="C3861" t="s">
        <v>116</v>
      </c>
      <c r="D3861" t="s">
        <v>18</v>
      </c>
      <c r="E3861" s="3">
        <v>9</v>
      </c>
      <c r="F3861" t="s">
        <v>19</v>
      </c>
      <c r="G3861" t="s">
        <v>48</v>
      </c>
      <c r="H3861" t="s">
        <v>49</v>
      </c>
      <c r="I3861" s="12">
        <v>0.4375</v>
      </c>
      <c r="J3861" t="s">
        <v>50</v>
      </c>
      <c r="K3861" t="s">
        <v>49</v>
      </c>
      <c r="L3861" s="12">
        <v>0.45833333333333331</v>
      </c>
      <c r="M3861" t="s">
        <v>51</v>
      </c>
      <c r="N3861" s="3">
        <v>78</v>
      </c>
      <c r="O3861" t="s">
        <v>24</v>
      </c>
      <c r="P3861" t="s">
        <v>25</v>
      </c>
      <c r="R3861">
        <f>tblDailySchedule[[#This Row],[Capacity Approx]]*'[1]Load Factor Sheet June Acft  '!$B$5</f>
        <v>63.162272727272729</v>
      </c>
      <c r="S3861">
        <f>tblDailySchedule[[#This Row],[Capacity Approx]]*'[1]Load Factor Sheet June Acft  '!$D$5</f>
        <v>68.391818181818181</v>
      </c>
      <c r="T3861" s="22">
        <f>tblDailySchedule[[#This Row],[STD]]</f>
        <v>0.45833333333333331</v>
      </c>
    </row>
    <row r="3862" spans="1:20" hidden="1" x14ac:dyDescent="0.35">
      <c r="A3862" s="11">
        <v>46249</v>
      </c>
      <c r="B3862" s="3">
        <v>6</v>
      </c>
      <c r="C3862" t="s">
        <v>116</v>
      </c>
      <c r="D3862" t="s">
        <v>18</v>
      </c>
      <c r="E3862" s="3">
        <v>10</v>
      </c>
      <c r="F3862" t="s">
        <v>19</v>
      </c>
      <c r="G3862" t="s">
        <v>52</v>
      </c>
      <c r="H3862" t="s">
        <v>27</v>
      </c>
      <c r="I3862" s="12">
        <v>0.4826388888888889</v>
      </c>
      <c r="J3862" t="s">
        <v>53</v>
      </c>
      <c r="K3862" t="s">
        <v>27</v>
      </c>
      <c r="L3862" s="12">
        <v>0.51041666666666663</v>
      </c>
      <c r="M3862" t="s">
        <v>23</v>
      </c>
      <c r="N3862" s="3">
        <v>186</v>
      </c>
      <c r="O3862" t="s">
        <v>24</v>
      </c>
      <c r="P3862" t="s">
        <v>25</v>
      </c>
      <c r="R3862">
        <f>tblDailySchedule[[#This Row],[Capacity Approx]]*'[1]Load Factor Sheet June Acft  '!$B$5</f>
        <v>150.61772727272728</v>
      </c>
      <c r="S3862">
        <f>tblDailySchedule[[#This Row],[Capacity Approx]]*'[1]Load Factor Sheet June Acft  '!$D$5</f>
        <v>163.08818181818182</v>
      </c>
      <c r="T3862" s="22">
        <f>tblDailySchedule[[#This Row],[STD]]</f>
        <v>0.51041666666666663</v>
      </c>
    </row>
    <row r="3863" spans="1:20" hidden="1" x14ac:dyDescent="0.35">
      <c r="A3863" s="11">
        <v>46249</v>
      </c>
      <c r="B3863" s="3">
        <v>6</v>
      </c>
      <c r="C3863" t="s">
        <v>116</v>
      </c>
      <c r="D3863" t="s">
        <v>18</v>
      </c>
      <c r="E3863" s="3">
        <v>11</v>
      </c>
      <c r="F3863" t="s">
        <v>19</v>
      </c>
      <c r="G3863" t="s">
        <v>54</v>
      </c>
      <c r="H3863" t="s">
        <v>31</v>
      </c>
      <c r="I3863" s="12">
        <v>0.51388888888888884</v>
      </c>
      <c r="J3863" t="s">
        <v>55</v>
      </c>
      <c r="K3863" t="s">
        <v>31</v>
      </c>
      <c r="L3863" s="12">
        <v>0.54166666666666663</v>
      </c>
      <c r="M3863" t="s">
        <v>23</v>
      </c>
      <c r="N3863" s="3">
        <v>186</v>
      </c>
      <c r="O3863" t="s">
        <v>24</v>
      </c>
      <c r="P3863" t="s">
        <v>56</v>
      </c>
      <c r="R3863">
        <f>tblDailySchedule[[#This Row],[Capacity Approx]]*'[1]Load Factor Sheet June Acft  '!$B$5</f>
        <v>150.61772727272728</v>
      </c>
      <c r="S3863">
        <f>tblDailySchedule[[#This Row],[Capacity Approx]]*'[1]Load Factor Sheet June Acft  '!$D$5</f>
        <v>163.08818181818182</v>
      </c>
      <c r="T3863" s="22">
        <f>tblDailySchedule[[#This Row],[STD]]</f>
        <v>0.54166666666666663</v>
      </c>
    </row>
    <row r="3864" spans="1:20" hidden="1" x14ac:dyDescent="0.35">
      <c r="A3864" s="11">
        <v>46249</v>
      </c>
      <c r="B3864" s="3">
        <v>6</v>
      </c>
      <c r="C3864" t="s">
        <v>116</v>
      </c>
      <c r="D3864" t="s">
        <v>18</v>
      </c>
      <c r="E3864" s="3">
        <v>12</v>
      </c>
      <c r="F3864" t="s">
        <v>109</v>
      </c>
      <c r="G3864" t="s">
        <v>110</v>
      </c>
      <c r="H3864" t="s">
        <v>111</v>
      </c>
      <c r="I3864" s="12">
        <v>0.55555555555555558</v>
      </c>
      <c r="J3864" t="s">
        <v>112</v>
      </c>
      <c r="K3864" t="s">
        <v>111</v>
      </c>
      <c r="L3864" s="12">
        <v>0.56944444444444442</v>
      </c>
      <c r="M3864" t="s">
        <v>51</v>
      </c>
      <c r="N3864" s="3">
        <v>78</v>
      </c>
      <c r="O3864" t="s">
        <v>24</v>
      </c>
      <c r="P3864" t="s">
        <v>56</v>
      </c>
      <c r="R3864">
        <f>tblDailySchedule[[#This Row],[Capacity Approx]]*'[1]Load Factor Sheet June Acft  '!$B$5</f>
        <v>63.162272727272729</v>
      </c>
      <c r="S3864">
        <f>tblDailySchedule[[#This Row],[Capacity Approx]]*'[1]Load Factor Sheet June Acft  '!$D$5</f>
        <v>68.391818181818181</v>
      </c>
      <c r="T3864" s="22">
        <f>tblDailySchedule[[#This Row],[STD]]</f>
        <v>0.56944444444444442</v>
      </c>
    </row>
    <row r="3865" spans="1:20" hidden="1" x14ac:dyDescent="0.35">
      <c r="A3865" s="11">
        <v>46249</v>
      </c>
      <c r="B3865" s="3">
        <v>6</v>
      </c>
      <c r="C3865" t="s">
        <v>116</v>
      </c>
      <c r="D3865" t="s">
        <v>18</v>
      </c>
      <c r="E3865" s="3">
        <v>13</v>
      </c>
      <c r="F3865" t="s">
        <v>19</v>
      </c>
      <c r="G3865" t="s">
        <v>57</v>
      </c>
      <c r="H3865" t="s">
        <v>58</v>
      </c>
      <c r="I3865" s="12">
        <v>0.55902777777777779</v>
      </c>
      <c r="J3865" t="s">
        <v>59</v>
      </c>
      <c r="K3865" t="s">
        <v>58</v>
      </c>
      <c r="L3865" s="12">
        <v>0.57638888888888884</v>
      </c>
      <c r="M3865" t="s">
        <v>51</v>
      </c>
      <c r="N3865" s="3">
        <v>78</v>
      </c>
      <c r="O3865" t="s">
        <v>24</v>
      </c>
      <c r="P3865" t="s">
        <v>56</v>
      </c>
      <c r="R3865">
        <f>tblDailySchedule[[#This Row],[Capacity Approx]]*'[1]Load Factor Sheet June Acft  '!$B$5</f>
        <v>63.162272727272729</v>
      </c>
      <c r="S3865">
        <f>tblDailySchedule[[#This Row],[Capacity Approx]]*'[1]Load Factor Sheet June Acft  '!$D$5</f>
        <v>68.391818181818181</v>
      </c>
      <c r="T3865" s="22">
        <f>tblDailySchedule[[#This Row],[STD]]</f>
        <v>0.57638888888888884</v>
      </c>
    </row>
    <row r="3866" spans="1:20" hidden="1" x14ac:dyDescent="0.35">
      <c r="A3866" s="11">
        <v>46249</v>
      </c>
      <c r="B3866" s="3">
        <v>6</v>
      </c>
      <c r="C3866" t="s">
        <v>116</v>
      </c>
      <c r="D3866" t="s">
        <v>18</v>
      </c>
      <c r="E3866" s="3">
        <v>14</v>
      </c>
      <c r="F3866" t="s">
        <v>19</v>
      </c>
      <c r="G3866" t="s">
        <v>60</v>
      </c>
      <c r="H3866" t="s">
        <v>61</v>
      </c>
      <c r="I3866" s="12">
        <v>0.59027777777777779</v>
      </c>
      <c r="J3866" t="s">
        <v>62</v>
      </c>
      <c r="K3866" t="s">
        <v>61</v>
      </c>
      <c r="L3866" s="12">
        <v>0.62152777777777779</v>
      </c>
      <c r="M3866" t="s">
        <v>63</v>
      </c>
      <c r="N3866" s="3">
        <v>232</v>
      </c>
      <c r="O3866" t="s">
        <v>24</v>
      </c>
      <c r="P3866" t="s">
        <v>56</v>
      </c>
      <c r="R3866">
        <f>tblDailySchedule[[#This Row],[Capacity Approx]]*'[1]Load Factor Sheet June Acft  '!$B$5</f>
        <v>187.86727272727273</v>
      </c>
      <c r="S3866">
        <f>tblDailySchedule[[#This Row],[Capacity Approx]]*'[1]Load Factor Sheet June Acft  '!$D$5</f>
        <v>203.4218181818182</v>
      </c>
      <c r="T3866" s="22">
        <f>tblDailySchedule[[#This Row],[STD]]</f>
        <v>0.62152777777777779</v>
      </c>
    </row>
    <row r="3867" spans="1:20" hidden="1" x14ac:dyDescent="0.35">
      <c r="A3867" s="11">
        <v>46249</v>
      </c>
      <c r="B3867" s="3">
        <v>6</v>
      </c>
      <c r="C3867" t="s">
        <v>116</v>
      </c>
      <c r="D3867" t="s">
        <v>18</v>
      </c>
      <c r="E3867" s="3">
        <v>15</v>
      </c>
      <c r="F3867" t="s">
        <v>19</v>
      </c>
      <c r="G3867" t="s">
        <v>64</v>
      </c>
      <c r="H3867" t="s">
        <v>31</v>
      </c>
      <c r="I3867" s="12">
        <v>0.60069444444444442</v>
      </c>
      <c r="J3867" t="s">
        <v>65</v>
      </c>
      <c r="K3867" t="s">
        <v>66</v>
      </c>
      <c r="L3867" s="12">
        <v>0.62847222222222221</v>
      </c>
      <c r="M3867" t="s">
        <v>63</v>
      </c>
      <c r="N3867" s="3">
        <v>232</v>
      </c>
      <c r="O3867" t="s">
        <v>24</v>
      </c>
      <c r="P3867" t="s">
        <v>56</v>
      </c>
      <c r="R3867">
        <f>tblDailySchedule[[#This Row],[Capacity Approx]]*'[1]Load Factor Sheet June Acft  '!$B$5</f>
        <v>187.86727272727273</v>
      </c>
      <c r="S3867">
        <f>tblDailySchedule[[#This Row],[Capacity Approx]]*'[1]Load Factor Sheet June Acft  '!$D$5</f>
        <v>203.4218181818182</v>
      </c>
      <c r="T3867" s="22">
        <f>tblDailySchedule[[#This Row],[STD]]</f>
        <v>0.62847222222222221</v>
      </c>
    </row>
    <row r="3868" spans="1:20" hidden="1" x14ac:dyDescent="0.35">
      <c r="A3868" s="11">
        <v>46249</v>
      </c>
      <c r="B3868" s="3">
        <v>6</v>
      </c>
      <c r="C3868" t="s">
        <v>116</v>
      </c>
      <c r="D3868" t="s">
        <v>18</v>
      </c>
      <c r="E3868" s="3">
        <v>16</v>
      </c>
      <c r="F3868" t="s">
        <v>19</v>
      </c>
      <c r="G3868" t="s">
        <v>67</v>
      </c>
      <c r="H3868" t="s">
        <v>31</v>
      </c>
      <c r="I3868" s="12">
        <v>0.65625</v>
      </c>
      <c r="J3868" t="s">
        <v>68</v>
      </c>
      <c r="K3868" t="s">
        <v>31</v>
      </c>
      <c r="L3868" s="12">
        <v>0.68402777777777779</v>
      </c>
      <c r="M3868" t="s">
        <v>63</v>
      </c>
      <c r="N3868" s="3">
        <v>232</v>
      </c>
      <c r="O3868" t="s">
        <v>24</v>
      </c>
      <c r="P3868" t="s">
        <v>56</v>
      </c>
      <c r="R3868">
        <f>tblDailySchedule[[#This Row],[Capacity Approx]]*'[1]Load Factor Sheet June Acft  '!$B$5</f>
        <v>187.86727272727273</v>
      </c>
      <c r="S3868">
        <f>tblDailySchedule[[#This Row],[Capacity Approx]]*'[1]Load Factor Sheet June Acft  '!$D$5</f>
        <v>203.4218181818182</v>
      </c>
      <c r="T3868" s="22">
        <f>tblDailySchedule[[#This Row],[STD]]</f>
        <v>0.68402777777777779</v>
      </c>
    </row>
    <row r="3869" spans="1:20" hidden="1" x14ac:dyDescent="0.35">
      <c r="A3869" s="11">
        <v>46249</v>
      </c>
      <c r="B3869" s="3">
        <v>6</v>
      </c>
      <c r="C3869" t="s">
        <v>116</v>
      </c>
      <c r="D3869" t="s">
        <v>18</v>
      </c>
      <c r="E3869" s="3">
        <v>17</v>
      </c>
      <c r="F3869" t="s">
        <v>19</v>
      </c>
      <c r="G3869" t="s">
        <v>69</v>
      </c>
      <c r="H3869" t="s">
        <v>31</v>
      </c>
      <c r="I3869" s="12">
        <v>0.66319444444444442</v>
      </c>
      <c r="J3869" t="s">
        <v>70</v>
      </c>
      <c r="K3869" t="s">
        <v>31</v>
      </c>
      <c r="L3869" s="12">
        <v>0.69097222222222221</v>
      </c>
      <c r="M3869" t="s">
        <v>33</v>
      </c>
      <c r="N3869" s="3">
        <v>189</v>
      </c>
      <c r="O3869" t="s">
        <v>24</v>
      </c>
      <c r="P3869" t="s">
        <v>56</v>
      </c>
      <c r="R3869">
        <f>tblDailySchedule[[#This Row],[Capacity Approx]]*'[1]Load Factor Sheet June Acft  '!$B$5</f>
        <v>153.04704545454547</v>
      </c>
      <c r="S3869">
        <f>tblDailySchedule[[#This Row],[Capacity Approx]]*'[1]Load Factor Sheet June Acft  '!$D$5</f>
        <v>165.71863636363636</v>
      </c>
      <c r="T3869" s="22">
        <f>tblDailySchedule[[#This Row],[STD]]</f>
        <v>0.69097222222222221</v>
      </c>
    </row>
    <row r="3870" spans="1:20" hidden="1" x14ac:dyDescent="0.35">
      <c r="A3870" s="11">
        <v>46249</v>
      </c>
      <c r="B3870" s="3">
        <v>6</v>
      </c>
      <c r="C3870" t="s">
        <v>116</v>
      </c>
      <c r="D3870" t="s">
        <v>18</v>
      </c>
      <c r="E3870" s="3">
        <v>18</v>
      </c>
      <c r="F3870" t="s">
        <v>19</v>
      </c>
      <c r="G3870" t="s">
        <v>71</v>
      </c>
      <c r="H3870" t="s">
        <v>21</v>
      </c>
      <c r="I3870" s="12">
        <v>0.67013888888888884</v>
      </c>
      <c r="J3870" t="s">
        <v>72</v>
      </c>
      <c r="K3870" t="s">
        <v>21</v>
      </c>
      <c r="L3870" s="12">
        <v>0.69791666666666663</v>
      </c>
      <c r="M3870" t="s">
        <v>63</v>
      </c>
      <c r="N3870" s="3">
        <v>232</v>
      </c>
      <c r="O3870" t="s">
        <v>24</v>
      </c>
      <c r="P3870" t="s">
        <v>56</v>
      </c>
      <c r="R3870">
        <f>tblDailySchedule[[#This Row],[Capacity Approx]]*'[1]Load Factor Sheet June Acft  '!$B$5</f>
        <v>187.86727272727273</v>
      </c>
      <c r="S3870">
        <f>tblDailySchedule[[#This Row],[Capacity Approx]]*'[1]Load Factor Sheet June Acft  '!$D$5</f>
        <v>203.4218181818182</v>
      </c>
      <c r="T3870" s="22">
        <f>tblDailySchedule[[#This Row],[STD]]</f>
        <v>0.69791666666666663</v>
      </c>
    </row>
    <row r="3871" spans="1:20" hidden="1" x14ac:dyDescent="0.35">
      <c r="A3871" s="11">
        <v>46249</v>
      </c>
      <c r="B3871" s="3">
        <v>6</v>
      </c>
      <c r="C3871" t="s">
        <v>116</v>
      </c>
      <c r="D3871" t="s">
        <v>18</v>
      </c>
      <c r="E3871" s="3">
        <v>19</v>
      </c>
      <c r="F3871" t="s">
        <v>19</v>
      </c>
      <c r="G3871" t="s">
        <v>73</v>
      </c>
      <c r="H3871" t="s">
        <v>27</v>
      </c>
      <c r="I3871" s="12">
        <v>0.74652777777777779</v>
      </c>
      <c r="J3871" t="s">
        <v>74</v>
      </c>
      <c r="K3871" t="s">
        <v>27</v>
      </c>
      <c r="L3871" s="12">
        <v>0.77430555555555558</v>
      </c>
      <c r="M3871" t="s">
        <v>63</v>
      </c>
      <c r="N3871" s="3">
        <v>232</v>
      </c>
      <c r="O3871" t="s">
        <v>24</v>
      </c>
      <c r="P3871" t="s">
        <v>56</v>
      </c>
      <c r="R3871">
        <f>tblDailySchedule[[#This Row],[Capacity Approx]]*'[1]Load Factor Sheet June Acft  '!$B$5</f>
        <v>187.86727272727273</v>
      </c>
      <c r="S3871">
        <f>tblDailySchedule[[#This Row],[Capacity Approx]]*'[1]Load Factor Sheet June Acft  '!$D$5</f>
        <v>203.4218181818182</v>
      </c>
      <c r="T3871" s="22">
        <f>tblDailySchedule[[#This Row],[STD]]</f>
        <v>0.77430555555555558</v>
      </c>
    </row>
    <row r="3872" spans="1:20" hidden="1" x14ac:dyDescent="0.35">
      <c r="A3872" s="11">
        <v>46249</v>
      </c>
      <c r="B3872" s="3">
        <v>6</v>
      </c>
      <c r="C3872" t="s">
        <v>116</v>
      </c>
      <c r="D3872" t="s">
        <v>18</v>
      </c>
      <c r="E3872" s="3">
        <v>21</v>
      </c>
      <c r="F3872" t="s">
        <v>19</v>
      </c>
      <c r="G3872" t="s">
        <v>81</v>
      </c>
      <c r="H3872" t="s">
        <v>61</v>
      </c>
      <c r="I3872" s="12">
        <v>0.77083333333333337</v>
      </c>
      <c r="J3872" t="s">
        <v>82</v>
      </c>
      <c r="K3872" t="s">
        <v>49</v>
      </c>
      <c r="L3872" s="12">
        <v>0.79166666666666663</v>
      </c>
      <c r="M3872" t="s">
        <v>33</v>
      </c>
      <c r="N3872" s="3">
        <v>189</v>
      </c>
      <c r="O3872" t="s">
        <v>24</v>
      </c>
      <c r="P3872" t="s">
        <v>79</v>
      </c>
      <c r="R3872">
        <f>tblDailySchedule[[#This Row],[Capacity Approx]]*'[1]Load Factor Sheet June Acft  '!$B$5</f>
        <v>153.04704545454547</v>
      </c>
      <c r="S3872">
        <f>tblDailySchedule[[#This Row],[Capacity Approx]]*'[1]Load Factor Sheet June Acft  '!$D$5</f>
        <v>165.71863636363636</v>
      </c>
      <c r="T3872" s="22">
        <f>tblDailySchedule[[#This Row],[STD]]</f>
        <v>0.79166666666666663</v>
      </c>
    </row>
    <row r="3873" spans="1:20" hidden="1" x14ac:dyDescent="0.35">
      <c r="A3873" s="11">
        <v>46249</v>
      </c>
      <c r="B3873" s="3">
        <v>6</v>
      </c>
      <c r="C3873" t="s">
        <v>116</v>
      </c>
      <c r="D3873" t="s">
        <v>18</v>
      </c>
      <c r="E3873" s="3">
        <v>22</v>
      </c>
      <c r="F3873" t="s">
        <v>19</v>
      </c>
      <c r="G3873" t="s">
        <v>83</v>
      </c>
      <c r="H3873" t="s">
        <v>31</v>
      </c>
      <c r="I3873" s="12">
        <v>0.77777777777777779</v>
      </c>
      <c r="J3873" t="s">
        <v>84</v>
      </c>
      <c r="K3873" t="s">
        <v>31</v>
      </c>
      <c r="L3873" s="12">
        <v>0.80555555555555558</v>
      </c>
      <c r="M3873" t="s">
        <v>63</v>
      </c>
      <c r="N3873" s="3">
        <v>232</v>
      </c>
      <c r="O3873" t="s">
        <v>24</v>
      </c>
      <c r="P3873" t="s">
        <v>79</v>
      </c>
      <c r="R3873">
        <f>tblDailySchedule[[#This Row],[Capacity Approx]]*'[1]Load Factor Sheet June Acft  '!$B$5</f>
        <v>187.86727272727273</v>
      </c>
      <c r="S3873">
        <f>tblDailySchedule[[#This Row],[Capacity Approx]]*'[1]Load Factor Sheet June Acft  '!$D$5</f>
        <v>203.4218181818182</v>
      </c>
      <c r="T3873" s="22">
        <f>tblDailySchedule[[#This Row],[STD]]</f>
        <v>0.80555555555555558</v>
      </c>
    </row>
    <row r="3874" spans="1:20" hidden="1" x14ac:dyDescent="0.35">
      <c r="A3874" s="11">
        <v>46249</v>
      </c>
      <c r="B3874" s="3">
        <v>6</v>
      </c>
      <c r="C3874" t="s">
        <v>116</v>
      </c>
      <c r="D3874" t="s">
        <v>18</v>
      </c>
      <c r="E3874" s="3">
        <v>23</v>
      </c>
      <c r="F3874" t="s">
        <v>19</v>
      </c>
      <c r="G3874" t="s">
        <v>85</v>
      </c>
      <c r="H3874" t="s">
        <v>86</v>
      </c>
      <c r="I3874" s="12">
        <v>0.79861111111111116</v>
      </c>
      <c r="J3874" t="s">
        <v>87</v>
      </c>
      <c r="K3874" t="s">
        <v>86</v>
      </c>
      <c r="L3874" s="12">
        <v>0.82638888888888884</v>
      </c>
      <c r="M3874" t="s">
        <v>63</v>
      </c>
      <c r="N3874" s="3">
        <v>232</v>
      </c>
      <c r="O3874" t="s">
        <v>24</v>
      </c>
      <c r="P3874" t="s">
        <v>79</v>
      </c>
      <c r="R3874">
        <f>tblDailySchedule[[#This Row],[Capacity Approx]]*'[1]Load Factor Sheet June Acft  '!$B$5</f>
        <v>187.86727272727273</v>
      </c>
      <c r="S3874">
        <f>tblDailySchedule[[#This Row],[Capacity Approx]]*'[1]Load Factor Sheet June Acft  '!$D$5</f>
        <v>203.4218181818182</v>
      </c>
      <c r="T3874" s="22">
        <f>tblDailySchedule[[#This Row],[STD]]</f>
        <v>0.82638888888888884</v>
      </c>
    </row>
    <row r="3875" spans="1:20" hidden="1" x14ac:dyDescent="0.35">
      <c r="A3875" s="11">
        <v>46249</v>
      </c>
      <c r="B3875" s="3">
        <v>6</v>
      </c>
      <c r="C3875" t="s">
        <v>116</v>
      </c>
      <c r="D3875" t="s">
        <v>18</v>
      </c>
      <c r="E3875" s="3">
        <v>24</v>
      </c>
      <c r="F3875" t="s">
        <v>19</v>
      </c>
      <c r="G3875" t="s">
        <v>88</v>
      </c>
      <c r="H3875" t="s">
        <v>89</v>
      </c>
      <c r="I3875" s="12">
        <v>0.83333333333333337</v>
      </c>
      <c r="J3875" t="s">
        <v>90</v>
      </c>
      <c r="K3875" t="s">
        <v>31</v>
      </c>
      <c r="L3875" s="12">
        <v>0.86111111111111116</v>
      </c>
      <c r="M3875" t="s">
        <v>63</v>
      </c>
      <c r="N3875" s="3">
        <v>232</v>
      </c>
      <c r="O3875" t="s">
        <v>24</v>
      </c>
      <c r="P3875" t="s">
        <v>79</v>
      </c>
      <c r="R3875">
        <f>tblDailySchedule[[#This Row],[Capacity Approx]]*'[1]Load Factor Sheet June Acft  '!$B$5</f>
        <v>187.86727272727273</v>
      </c>
      <c r="S3875">
        <f>tblDailySchedule[[#This Row],[Capacity Approx]]*'[1]Load Factor Sheet June Acft  '!$D$5</f>
        <v>203.4218181818182</v>
      </c>
      <c r="T3875" s="22">
        <f>tblDailySchedule[[#This Row],[STD]]</f>
        <v>0.86111111111111116</v>
      </c>
    </row>
    <row r="3876" spans="1:20" hidden="1" x14ac:dyDescent="0.35">
      <c r="A3876" s="11">
        <v>46249</v>
      </c>
      <c r="B3876" s="3">
        <v>6</v>
      </c>
      <c r="C3876" t="s">
        <v>116</v>
      </c>
      <c r="D3876" t="s">
        <v>18</v>
      </c>
      <c r="E3876" s="3">
        <v>25</v>
      </c>
      <c r="F3876" t="s">
        <v>19</v>
      </c>
      <c r="G3876" t="s">
        <v>91</v>
      </c>
      <c r="H3876" t="s">
        <v>61</v>
      </c>
      <c r="I3876" s="12">
        <v>0.85416666666666663</v>
      </c>
      <c r="J3876" t="s">
        <v>92</v>
      </c>
      <c r="K3876" t="s">
        <v>61</v>
      </c>
      <c r="L3876" s="12">
        <v>0.88194444444444442</v>
      </c>
      <c r="M3876" t="s">
        <v>63</v>
      </c>
      <c r="N3876" s="3">
        <v>232</v>
      </c>
      <c r="O3876" t="s">
        <v>24</v>
      </c>
      <c r="P3876" t="s">
        <v>79</v>
      </c>
      <c r="R3876">
        <f>tblDailySchedule[[#This Row],[Capacity Approx]]*'[1]Load Factor Sheet June Acft  '!$B$5</f>
        <v>187.86727272727273</v>
      </c>
      <c r="S3876">
        <f>tblDailySchedule[[#This Row],[Capacity Approx]]*'[1]Load Factor Sheet June Acft  '!$D$5</f>
        <v>203.4218181818182</v>
      </c>
      <c r="T3876" s="22">
        <f>tblDailySchedule[[#This Row],[STD]]</f>
        <v>0.88194444444444442</v>
      </c>
    </row>
    <row r="3877" spans="1:20" hidden="1" x14ac:dyDescent="0.35">
      <c r="A3877" s="11">
        <v>46249</v>
      </c>
      <c r="B3877" s="3">
        <v>6</v>
      </c>
      <c r="C3877" t="s">
        <v>116</v>
      </c>
      <c r="D3877" t="s">
        <v>18</v>
      </c>
      <c r="E3877" s="3">
        <v>26</v>
      </c>
      <c r="F3877" t="s">
        <v>19</v>
      </c>
      <c r="G3877" t="s">
        <v>93</v>
      </c>
      <c r="H3877" t="s">
        <v>31</v>
      </c>
      <c r="I3877" s="12">
        <v>0.86111111111111116</v>
      </c>
      <c r="J3877" t="s">
        <v>94</v>
      </c>
      <c r="K3877" t="s">
        <v>31</v>
      </c>
      <c r="L3877" s="12">
        <v>0.88888888888888884</v>
      </c>
      <c r="M3877" t="s">
        <v>23</v>
      </c>
      <c r="N3877" s="3">
        <v>186</v>
      </c>
      <c r="O3877" t="s">
        <v>24</v>
      </c>
      <c r="P3877" t="s">
        <v>79</v>
      </c>
      <c r="R3877">
        <f>tblDailySchedule[[#This Row],[Capacity Approx]]*'[1]Load Factor Sheet June Acft  '!$B$5</f>
        <v>150.61772727272728</v>
      </c>
      <c r="S3877">
        <f>tblDailySchedule[[#This Row],[Capacity Approx]]*'[1]Load Factor Sheet June Acft  '!$D$5</f>
        <v>163.08818181818182</v>
      </c>
      <c r="T3877" s="22">
        <f>tblDailySchedule[[#This Row],[STD]]</f>
        <v>0.88888888888888884</v>
      </c>
    </row>
    <row r="3878" spans="1:20" hidden="1" x14ac:dyDescent="0.35">
      <c r="A3878" s="11">
        <v>46249</v>
      </c>
      <c r="B3878" s="3">
        <v>6</v>
      </c>
      <c r="C3878" t="s">
        <v>116</v>
      </c>
      <c r="D3878" t="s">
        <v>18</v>
      </c>
      <c r="E3878" s="3">
        <v>27</v>
      </c>
      <c r="F3878" t="s">
        <v>19</v>
      </c>
      <c r="G3878" t="s">
        <v>95</v>
      </c>
      <c r="H3878" t="s">
        <v>21</v>
      </c>
      <c r="I3878" s="12">
        <v>0.86805555555555558</v>
      </c>
      <c r="J3878" t="s">
        <v>96</v>
      </c>
      <c r="K3878" t="s">
        <v>21</v>
      </c>
      <c r="L3878" s="12">
        <v>0.89583333333333337</v>
      </c>
      <c r="M3878" t="s">
        <v>29</v>
      </c>
      <c r="N3878" s="3">
        <v>186</v>
      </c>
      <c r="O3878" t="s">
        <v>24</v>
      </c>
      <c r="P3878" t="s">
        <v>79</v>
      </c>
      <c r="R3878">
        <f>tblDailySchedule[[#This Row],[Capacity Approx]]*'[1]Load Factor Sheet June Acft  '!$B$5</f>
        <v>150.61772727272728</v>
      </c>
      <c r="S3878">
        <f>tblDailySchedule[[#This Row],[Capacity Approx]]*'[1]Load Factor Sheet June Acft  '!$D$5</f>
        <v>163.08818181818182</v>
      </c>
      <c r="T3878" s="22">
        <f>tblDailySchedule[[#This Row],[STD]]</f>
        <v>0.89583333333333337</v>
      </c>
    </row>
    <row r="3879" spans="1:20" hidden="1" x14ac:dyDescent="0.35">
      <c r="A3879" s="11">
        <v>46249</v>
      </c>
      <c r="B3879" s="3">
        <v>6</v>
      </c>
      <c r="C3879" t="s">
        <v>116</v>
      </c>
      <c r="D3879" t="s">
        <v>18</v>
      </c>
      <c r="E3879" s="3">
        <v>28</v>
      </c>
      <c r="F3879" t="s">
        <v>19</v>
      </c>
      <c r="G3879" t="s">
        <v>97</v>
      </c>
      <c r="H3879" t="s">
        <v>49</v>
      </c>
      <c r="I3879" s="12">
        <v>0.90277777777777779</v>
      </c>
      <c r="J3879" t="s">
        <v>97</v>
      </c>
      <c r="K3879" t="s">
        <v>61</v>
      </c>
      <c r="L3879" s="12">
        <v>0.92361111111111116</v>
      </c>
      <c r="M3879" t="s">
        <v>33</v>
      </c>
      <c r="N3879" s="3">
        <v>189</v>
      </c>
      <c r="O3879" t="s">
        <v>24</v>
      </c>
      <c r="P3879" t="s">
        <v>79</v>
      </c>
      <c r="R3879">
        <f>tblDailySchedule[[#This Row],[Capacity Approx]]*'[1]Load Factor Sheet June Acft  '!$B$5</f>
        <v>153.04704545454547</v>
      </c>
      <c r="S3879">
        <f>tblDailySchedule[[#This Row],[Capacity Approx]]*'[1]Load Factor Sheet June Acft  '!$D$5</f>
        <v>165.71863636363636</v>
      </c>
      <c r="T3879" s="22">
        <f>tblDailySchedule[[#This Row],[STD]]</f>
        <v>0.92361111111111116</v>
      </c>
    </row>
    <row r="3880" spans="1:20" hidden="1" x14ac:dyDescent="0.35">
      <c r="A3880" s="11">
        <v>46249</v>
      </c>
      <c r="B3880" s="3">
        <v>6</v>
      </c>
      <c r="C3880" t="s">
        <v>116</v>
      </c>
      <c r="D3880" t="s">
        <v>18</v>
      </c>
      <c r="E3880" s="3">
        <v>29</v>
      </c>
      <c r="F3880" t="s">
        <v>19</v>
      </c>
      <c r="G3880" t="s">
        <v>98</v>
      </c>
      <c r="H3880" t="s">
        <v>21</v>
      </c>
      <c r="I3880" s="12">
        <v>0.92013888888888884</v>
      </c>
      <c r="J3880" t="s">
        <v>99</v>
      </c>
      <c r="K3880" t="s">
        <v>21</v>
      </c>
      <c r="L3880" s="12">
        <v>0.94791666666666663</v>
      </c>
      <c r="M3880" t="s">
        <v>63</v>
      </c>
      <c r="N3880" s="3">
        <v>232</v>
      </c>
      <c r="O3880" t="s">
        <v>24</v>
      </c>
      <c r="P3880" t="s">
        <v>79</v>
      </c>
      <c r="R3880">
        <f>tblDailySchedule[[#This Row],[Capacity Approx]]*'[1]Load Factor Sheet June Acft  '!$B$5</f>
        <v>187.86727272727273</v>
      </c>
      <c r="S3880">
        <f>tblDailySchedule[[#This Row],[Capacity Approx]]*'[1]Load Factor Sheet June Acft  '!$D$5</f>
        <v>203.4218181818182</v>
      </c>
      <c r="T3880" s="22">
        <f>tblDailySchedule[[#This Row],[STD]]</f>
        <v>0.94791666666666663</v>
      </c>
    </row>
    <row r="3881" spans="1:20" hidden="1" x14ac:dyDescent="0.35">
      <c r="A3881" s="13">
        <v>46249</v>
      </c>
      <c r="B3881" s="7">
        <v>6</v>
      </c>
      <c r="C3881" s="14" t="s">
        <v>116</v>
      </c>
      <c r="D3881" s="14" t="s">
        <v>18</v>
      </c>
      <c r="E3881" s="7">
        <v>30</v>
      </c>
      <c r="F3881" s="14" t="s">
        <v>104</v>
      </c>
      <c r="G3881" s="14" t="s">
        <v>105</v>
      </c>
      <c r="H3881" s="14" t="s">
        <v>106</v>
      </c>
      <c r="I3881" s="15">
        <v>0.92708333333333337</v>
      </c>
      <c r="J3881" s="14" t="s">
        <v>107</v>
      </c>
      <c r="K3881" s="14" t="s">
        <v>106</v>
      </c>
      <c r="L3881" s="15">
        <v>0.95833333333333337</v>
      </c>
      <c r="M3881" s="14" t="s">
        <v>38</v>
      </c>
      <c r="N3881" s="7">
        <v>186</v>
      </c>
      <c r="O3881" s="14" t="s">
        <v>39</v>
      </c>
      <c r="P3881" s="14" t="s">
        <v>79</v>
      </c>
      <c r="Q3881" s="14" t="s">
        <v>39</v>
      </c>
      <c r="R3881">
        <f>tblDailySchedule[[#This Row],[Capacity Approx]]*'[1]Load Factor Sheet June Acft  '!$B$5</f>
        <v>150.61772727272728</v>
      </c>
      <c r="S3881">
        <f>tblDailySchedule[[#This Row],[Capacity Approx]]*'[1]Load Factor Sheet June Acft  '!$D$5</f>
        <v>163.08818181818182</v>
      </c>
      <c r="T3881" s="22">
        <f>tblDailySchedule[[#This Row],[STD]]</f>
        <v>0.95833333333333337</v>
      </c>
    </row>
    <row r="3882" spans="1:20" hidden="1" x14ac:dyDescent="0.35">
      <c r="A3882" s="11">
        <v>46250</v>
      </c>
      <c r="B3882" s="3">
        <v>7</v>
      </c>
      <c r="C3882" t="s">
        <v>17</v>
      </c>
      <c r="D3882" t="s">
        <v>18</v>
      </c>
      <c r="E3882" s="3">
        <v>2</v>
      </c>
      <c r="F3882" t="s">
        <v>19</v>
      </c>
      <c r="G3882" t="s">
        <v>20</v>
      </c>
      <c r="H3882" t="s">
        <v>21</v>
      </c>
      <c r="I3882" s="12">
        <v>0.31944444444444442</v>
      </c>
      <c r="J3882" t="s">
        <v>22</v>
      </c>
      <c r="K3882" t="s">
        <v>21</v>
      </c>
      <c r="L3882" s="12">
        <v>0.34722222222222221</v>
      </c>
      <c r="M3882" t="s">
        <v>23</v>
      </c>
      <c r="N3882" s="3">
        <v>186</v>
      </c>
      <c r="O3882" t="s">
        <v>24</v>
      </c>
      <c r="P3882" t="s">
        <v>25</v>
      </c>
      <c r="R3882">
        <f>tblDailySchedule[[#This Row],[Capacity Approx]]*'[1]Load Factor Sheet June Acft  '!$B$5</f>
        <v>150.61772727272728</v>
      </c>
      <c r="S3882">
        <f>tblDailySchedule[[#This Row],[Capacity Approx]]*'[1]Load Factor Sheet June Acft  '!$D$5</f>
        <v>163.08818181818182</v>
      </c>
      <c r="T3882" s="22">
        <f>tblDailySchedule[[#This Row],[STD]]</f>
        <v>0.34722222222222221</v>
      </c>
    </row>
    <row r="3883" spans="1:20" hidden="1" x14ac:dyDescent="0.35">
      <c r="A3883" s="11">
        <v>46250</v>
      </c>
      <c r="B3883" s="3">
        <v>7</v>
      </c>
      <c r="C3883" t="s">
        <v>17</v>
      </c>
      <c r="D3883" t="s">
        <v>18</v>
      </c>
      <c r="E3883" s="3">
        <v>3</v>
      </c>
      <c r="F3883" t="s">
        <v>19</v>
      </c>
      <c r="G3883" t="s">
        <v>26</v>
      </c>
      <c r="H3883" t="s">
        <v>27</v>
      </c>
      <c r="I3883" s="12">
        <v>0.3263888888888889</v>
      </c>
      <c r="J3883" t="s">
        <v>28</v>
      </c>
      <c r="K3883" t="s">
        <v>27</v>
      </c>
      <c r="L3883" s="12">
        <v>0.35416666666666669</v>
      </c>
      <c r="M3883" t="s">
        <v>29</v>
      </c>
      <c r="N3883" s="3">
        <v>186</v>
      </c>
      <c r="O3883" t="s">
        <v>24</v>
      </c>
      <c r="P3883" t="s">
        <v>25</v>
      </c>
      <c r="R3883">
        <f>tblDailySchedule[[#This Row],[Capacity Approx]]*'[1]Load Factor Sheet June Acft  '!$B$5</f>
        <v>150.61772727272728</v>
      </c>
      <c r="S3883">
        <f>tblDailySchedule[[#This Row],[Capacity Approx]]*'[1]Load Factor Sheet June Acft  '!$D$5</f>
        <v>163.08818181818182</v>
      </c>
      <c r="T3883" s="22">
        <f>tblDailySchedule[[#This Row],[STD]]</f>
        <v>0.35416666666666669</v>
      </c>
    </row>
    <row r="3884" spans="1:20" hidden="1" x14ac:dyDescent="0.35">
      <c r="A3884" s="11">
        <v>46250</v>
      </c>
      <c r="B3884" s="3">
        <v>7</v>
      </c>
      <c r="C3884" t="s">
        <v>17</v>
      </c>
      <c r="D3884" t="s">
        <v>18</v>
      </c>
      <c r="E3884" s="3">
        <v>4</v>
      </c>
      <c r="F3884" t="s">
        <v>19</v>
      </c>
      <c r="G3884" t="s">
        <v>30</v>
      </c>
      <c r="H3884" t="s">
        <v>31</v>
      </c>
      <c r="I3884" s="12">
        <v>0.34722222222222221</v>
      </c>
      <c r="J3884" t="s">
        <v>32</v>
      </c>
      <c r="K3884" t="s">
        <v>31</v>
      </c>
      <c r="L3884" s="12">
        <v>0.36805555555555558</v>
      </c>
      <c r="M3884" t="s">
        <v>33</v>
      </c>
      <c r="N3884" s="3">
        <v>189</v>
      </c>
      <c r="O3884" t="s">
        <v>24</v>
      </c>
      <c r="P3884" t="s">
        <v>25</v>
      </c>
      <c r="R3884">
        <f>tblDailySchedule[[#This Row],[Capacity Approx]]*'[1]Load Factor Sheet June Acft  '!$B$5</f>
        <v>153.04704545454547</v>
      </c>
      <c r="S3884">
        <f>tblDailySchedule[[#This Row],[Capacity Approx]]*'[1]Load Factor Sheet June Acft  '!$D$5</f>
        <v>165.71863636363636</v>
      </c>
      <c r="T3884" s="22">
        <f>tblDailySchedule[[#This Row],[STD]]</f>
        <v>0.36805555555555558</v>
      </c>
    </row>
    <row r="3885" spans="1:20" hidden="1" x14ac:dyDescent="0.35">
      <c r="A3885" s="13">
        <v>46250</v>
      </c>
      <c r="B3885" s="7">
        <v>7</v>
      </c>
      <c r="C3885" s="14" t="s">
        <v>17</v>
      </c>
      <c r="D3885" s="14" t="s">
        <v>18</v>
      </c>
      <c r="E3885" s="7">
        <v>6</v>
      </c>
      <c r="F3885" s="14" t="s">
        <v>34</v>
      </c>
      <c r="G3885" s="14" t="s">
        <v>35</v>
      </c>
      <c r="H3885" s="14" t="s">
        <v>36</v>
      </c>
      <c r="I3885" s="15">
        <v>0.34722222222222221</v>
      </c>
      <c r="J3885" s="14" t="s">
        <v>37</v>
      </c>
      <c r="K3885" s="14" t="s">
        <v>36</v>
      </c>
      <c r="L3885" s="15">
        <v>0.40972222222222221</v>
      </c>
      <c r="M3885" s="14" t="s">
        <v>38</v>
      </c>
      <c r="N3885" s="7">
        <v>186</v>
      </c>
      <c r="O3885" s="14" t="s">
        <v>39</v>
      </c>
      <c r="P3885" s="14" t="s">
        <v>25</v>
      </c>
      <c r="Q3885" s="14" t="s">
        <v>39</v>
      </c>
      <c r="R3885">
        <f>tblDailySchedule[[#This Row],[Capacity Approx]]*'[1]Load Factor Sheet June Acft  '!$B$5</f>
        <v>150.61772727272728</v>
      </c>
      <c r="S3885">
        <f>tblDailySchedule[[#This Row],[Capacity Approx]]*'[1]Load Factor Sheet June Acft  '!$D$5</f>
        <v>163.08818181818182</v>
      </c>
      <c r="T3885" s="22">
        <f>tblDailySchedule[[#This Row],[STD]]</f>
        <v>0.40972222222222221</v>
      </c>
    </row>
    <row r="3886" spans="1:20" hidden="1" x14ac:dyDescent="0.35">
      <c r="A3886" s="11">
        <v>46250</v>
      </c>
      <c r="B3886" s="3">
        <v>7</v>
      </c>
      <c r="C3886" t="s">
        <v>17</v>
      </c>
      <c r="D3886" t="s">
        <v>18</v>
      </c>
      <c r="E3886" s="3">
        <v>5</v>
      </c>
      <c r="F3886" t="s">
        <v>19</v>
      </c>
      <c r="G3886" t="s">
        <v>40</v>
      </c>
      <c r="H3886" t="s">
        <v>31</v>
      </c>
      <c r="I3886" s="12">
        <v>0.35069444444444442</v>
      </c>
      <c r="J3886" t="s">
        <v>41</v>
      </c>
      <c r="K3886" t="s">
        <v>31</v>
      </c>
      <c r="L3886" s="12">
        <v>0.37152777777777779</v>
      </c>
      <c r="M3886" t="s">
        <v>23</v>
      </c>
      <c r="N3886" s="3">
        <v>186</v>
      </c>
      <c r="O3886" t="s">
        <v>24</v>
      </c>
      <c r="P3886" t="s">
        <v>25</v>
      </c>
      <c r="R3886">
        <f>tblDailySchedule[[#This Row],[Capacity Approx]]*'[1]Load Factor Sheet June Acft  '!$B$5</f>
        <v>150.61772727272728</v>
      </c>
      <c r="S3886">
        <f>tblDailySchedule[[#This Row],[Capacity Approx]]*'[1]Load Factor Sheet June Acft  '!$D$5</f>
        <v>163.08818181818182</v>
      </c>
      <c r="T3886" s="22">
        <f>tblDailySchedule[[#This Row],[STD]]</f>
        <v>0.37152777777777779</v>
      </c>
    </row>
    <row r="3887" spans="1:20" hidden="1" x14ac:dyDescent="0.35">
      <c r="A3887" s="11">
        <v>46250</v>
      </c>
      <c r="B3887" s="3">
        <v>7</v>
      </c>
      <c r="C3887" t="s">
        <v>17</v>
      </c>
      <c r="D3887" t="s">
        <v>18</v>
      </c>
      <c r="E3887" s="3">
        <v>7</v>
      </c>
      <c r="F3887" t="s">
        <v>19</v>
      </c>
      <c r="G3887" t="s">
        <v>42</v>
      </c>
      <c r="H3887" t="s">
        <v>43</v>
      </c>
      <c r="I3887" s="12">
        <v>0.3923611111111111</v>
      </c>
      <c r="J3887" t="s">
        <v>44</v>
      </c>
      <c r="K3887" t="s">
        <v>43</v>
      </c>
      <c r="L3887" s="12">
        <v>0.40277777777777779</v>
      </c>
      <c r="M3887" t="s">
        <v>45</v>
      </c>
      <c r="N3887" s="3">
        <v>9</v>
      </c>
      <c r="O3887" t="s">
        <v>24</v>
      </c>
      <c r="P3887" t="s">
        <v>25</v>
      </c>
      <c r="R3887">
        <f>tblDailySchedule[[#This Row],[Capacity Approx]]*'[1]Load Factor Sheet June Acft  '!$B$5</f>
        <v>7.2879545454545456</v>
      </c>
      <c r="S3887">
        <f>tblDailySchedule[[#This Row],[Capacity Approx]]*'[1]Load Factor Sheet June Acft  '!$D$5</f>
        <v>7.8913636363636366</v>
      </c>
      <c r="T3887" s="22">
        <f>tblDailySchedule[[#This Row],[STD]]</f>
        <v>0.40277777777777779</v>
      </c>
    </row>
    <row r="3888" spans="1:20" hidden="1" x14ac:dyDescent="0.35">
      <c r="A3888" s="11">
        <v>46250</v>
      </c>
      <c r="B3888" s="3">
        <v>7</v>
      </c>
      <c r="C3888" t="s">
        <v>17</v>
      </c>
      <c r="D3888" t="s">
        <v>18</v>
      </c>
      <c r="E3888" s="3">
        <v>8</v>
      </c>
      <c r="F3888" t="s">
        <v>19</v>
      </c>
      <c r="G3888" t="s">
        <v>46</v>
      </c>
      <c r="H3888" t="s">
        <v>31</v>
      </c>
      <c r="I3888" s="12">
        <v>0.4201388888888889</v>
      </c>
      <c r="J3888" t="s">
        <v>47</v>
      </c>
      <c r="K3888" t="s">
        <v>31</v>
      </c>
      <c r="L3888" s="12">
        <v>0.44444444444444442</v>
      </c>
      <c r="M3888" t="s">
        <v>29</v>
      </c>
      <c r="N3888" s="3">
        <v>186</v>
      </c>
      <c r="O3888" t="s">
        <v>24</v>
      </c>
      <c r="P3888" t="s">
        <v>25</v>
      </c>
      <c r="R3888">
        <f>tblDailySchedule[[#This Row],[Capacity Approx]]*'[1]Load Factor Sheet June Acft  '!$B$5</f>
        <v>150.61772727272728</v>
      </c>
      <c r="S3888">
        <f>tblDailySchedule[[#This Row],[Capacity Approx]]*'[1]Load Factor Sheet June Acft  '!$D$5</f>
        <v>163.08818181818182</v>
      </c>
      <c r="T3888" s="22">
        <f>tblDailySchedule[[#This Row],[STD]]</f>
        <v>0.44444444444444442</v>
      </c>
    </row>
    <row r="3889" spans="1:20" hidden="1" x14ac:dyDescent="0.35">
      <c r="A3889" s="11">
        <v>46250</v>
      </c>
      <c r="B3889" s="3">
        <v>7</v>
      </c>
      <c r="C3889" t="s">
        <v>17</v>
      </c>
      <c r="D3889" t="s">
        <v>18</v>
      </c>
      <c r="E3889" s="3">
        <v>9</v>
      </c>
      <c r="F3889" t="s">
        <v>19</v>
      </c>
      <c r="G3889" t="s">
        <v>48</v>
      </c>
      <c r="H3889" t="s">
        <v>49</v>
      </c>
      <c r="I3889" s="12">
        <v>0.4375</v>
      </c>
      <c r="J3889" t="s">
        <v>50</v>
      </c>
      <c r="K3889" t="s">
        <v>49</v>
      </c>
      <c r="L3889" s="12">
        <v>0.45833333333333331</v>
      </c>
      <c r="M3889" t="s">
        <v>51</v>
      </c>
      <c r="N3889" s="3">
        <v>78</v>
      </c>
      <c r="O3889" t="s">
        <v>24</v>
      </c>
      <c r="P3889" t="s">
        <v>25</v>
      </c>
      <c r="R3889">
        <f>tblDailySchedule[[#This Row],[Capacity Approx]]*'[1]Load Factor Sheet June Acft  '!$B$5</f>
        <v>63.162272727272729</v>
      </c>
      <c r="S3889">
        <f>tblDailySchedule[[#This Row],[Capacity Approx]]*'[1]Load Factor Sheet June Acft  '!$D$5</f>
        <v>68.391818181818181</v>
      </c>
      <c r="T3889" s="22">
        <f>tblDailySchedule[[#This Row],[STD]]</f>
        <v>0.45833333333333331</v>
      </c>
    </row>
    <row r="3890" spans="1:20" hidden="1" x14ac:dyDescent="0.35">
      <c r="A3890" s="11">
        <v>46250</v>
      </c>
      <c r="B3890" s="3">
        <v>7</v>
      </c>
      <c r="C3890" t="s">
        <v>17</v>
      </c>
      <c r="D3890" t="s">
        <v>18</v>
      </c>
      <c r="E3890" s="3">
        <v>10</v>
      </c>
      <c r="F3890" t="s">
        <v>19</v>
      </c>
      <c r="G3890" t="s">
        <v>52</v>
      </c>
      <c r="H3890" t="s">
        <v>27</v>
      </c>
      <c r="I3890" s="12">
        <v>0.4826388888888889</v>
      </c>
      <c r="J3890" t="s">
        <v>53</v>
      </c>
      <c r="K3890" t="s">
        <v>27</v>
      </c>
      <c r="L3890" s="12">
        <v>0.51041666666666663</v>
      </c>
      <c r="M3890" t="s">
        <v>23</v>
      </c>
      <c r="N3890" s="3">
        <v>186</v>
      </c>
      <c r="O3890" t="s">
        <v>24</v>
      </c>
      <c r="P3890" t="s">
        <v>25</v>
      </c>
      <c r="R3890">
        <f>tblDailySchedule[[#This Row],[Capacity Approx]]*'[1]Load Factor Sheet June Acft  '!$B$5</f>
        <v>150.61772727272728</v>
      </c>
      <c r="S3890">
        <f>tblDailySchedule[[#This Row],[Capacity Approx]]*'[1]Load Factor Sheet June Acft  '!$D$5</f>
        <v>163.08818181818182</v>
      </c>
      <c r="T3890" s="22">
        <f>tblDailySchedule[[#This Row],[STD]]</f>
        <v>0.51041666666666663</v>
      </c>
    </row>
    <row r="3891" spans="1:20" hidden="1" x14ac:dyDescent="0.35">
      <c r="A3891" s="11">
        <v>46250</v>
      </c>
      <c r="B3891" s="3">
        <v>7</v>
      </c>
      <c r="C3891" t="s">
        <v>17</v>
      </c>
      <c r="D3891" t="s">
        <v>18</v>
      </c>
      <c r="E3891" s="3">
        <v>11</v>
      </c>
      <c r="F3891" t="s">
        <v>19</v>
      </c>
      <c r="G3891" t="s">
        <v>54</v>
      </c>
      <c r="H3891" t="s">
        <v>31</v>
      </c>
      <c r="I3891" s="12">
        <v>0.51388888888888884</v>
      </c>
      <c r="J3891" t="s">
        <v>55</v>
      </c>
      <c r="K3891" t="s">
        <v>31</v>
      </c>
      <c r="L3891" s="12">
        <v>0.54166666666666663</v>
      </c>
      <c r="M3891" t="s">
        <v>23</v>
      </c>
      <c r="N3891" s="3">
        <v>186</v>
      </c>
      <c r="O3891" t="s">
        <v>24</v>
      </c>
      <c r="P3891" t="s">
        <v>56</v>
      </c>
      <c r="R3891">
        <f>tblDailySchedule[[#This Row],[Capacity Approx]]*'[1]Load Factor Sheet June Acft  '!$B$5</f>
        <v>150.61772727272728</v>
      </c>
      <c r="S3891">
        <f>tblDailySchedule[[#This Row],[Capacity Approx]]*'[1]Load Factor Sheet June Acft  '!$D$5</f>
        <v>163.08818181818182</v>
      </c>
      <c r="T3891" s="22">
        <f>tblDailySchedule[[#This Row],[STD]]</f>
        <v>0.54166666666666663</v>
      </c>
    </row>
    <row r="3892" spans="1:20" hidden="1" x14ac:dyDescent="0.35">
      <c r="A3892" s="11">
        <v>46250</v>
      </c>
      <c r="B3892" s="3">
        <v>7</v>
      </c>
      <c r="C3892" t="s">
        <v>17</v>
      </c>
      <c r="D3892" t="s">
        <v>18</v>
      </c>
      <c r="E3892" s="3">
        <v>13</v>
      </c>
      <c r="F3892" t="s">
        <v>19</v>
      </c>
      <c r="G3892" t="s">
        <v>57</v>
      </c>
      <c r="H3892" t="s">
        <v>58</v>
      </c>
      <c r="I3892" s="12">
        <v>0.55902777777777779</v>
      </c>
      <c r="J3892" t="s">
        <v>59</v>
      </c>
      <c r="K3892" t="s">
        <v>58</v>
      </c>
      <c r="L3892" s="12">
        <v>0.57638888888888884</v>
      </c>
      <c r="M3892" t="s">
        <v>51</v>
      </c>
      <c r="N3892" s="3">
        <v>78</v>
      </c>
      <c r="O3892" t="s">
        <v>24</v>
      </c>
      <c r="P3892" t="s">
        <v>56</v>
      </c>
      <c r="R3892">
        <f>tblDailySchedule[[#This Row],[Capacity Approx]]*'[1]Load Factor Sheet June Acft  '!$B$5</f>
        <v>63.162272727272729</v>
      </c>
      <c r="S3892">
        <f>tblDailySchedule[[#This Row],[Capacity Approx]]*'[1]Load Factor Sheet June Acft  '!$D$5</f>
        <v>68.391818181818181</v>
      </c>
      <c r="T3892" s="22">
        <f>tblDailySchedule[[#This Row],[STD]]</f>
        <v>0.57638888888888884</v>
      </c>
    </row>
    <row r="3893" spans="1:20" hidden="1" x14ac:dyDescent="0.35">
      <c r="A3893" s="11">
        <v>46250</v>
      </c>
      <c r="B3893" s="3">
        <v>7</v>
      </c>
      <c r="C3893" t="s">
        <v>17</v>
      </c>
      <c r="D3893" t="s">
        <v>18</v>
      </c>
      <c r="E3893" s="3">
        <v>14</v>
      </c>
      <c r="F3893" t="s">
        <v>19</v>
      </c>
      <c r="G3893" t="s">
        <v>60</v>
      </c>
      <c r="H3893" t="s">
        <v>61</v>
      </c>
      <c r="I3893" s="12">
        <v>0.59027777777777779</v>
      </c>
      <c r="J3893" t="s">
        <v>62</v>
      </c>
      <c r="K3893" t="s">
        <v>61</v>
      </c>
      <c r="L3893" s="12">
        <v>0.62152777777777779</v>
      </c>
      <c r="M3893" t="s">
        <v>63</v>
      </c>
      <c r="N3893" s="3">
        <v>232</v>
      </c>
      <c r="O3893" t="s">
        <v>24</v>
      </c>
      <c r="P3893" t="s">
        <v>56</v>
      </c>
      <c r="R3893">
        <f>tblDailySchedule[[#This Row],[Capacity Approx]]*'[1]Load Factor Sheet June Acft  '!$B$5</f>
        <v>187.86727272727273</v>
      </c>
      <c r="S3893">
        <f>tblDailySchedule[[#This Row],[Capacity Approx]]*'[1]Load Factor Sheet June Acft  '!$D$5</f>
        <v>203.4218181818182</v>
      </c>
      <c r="T3893" s="22">
        <f>tblDailySchedule[[#This Row],[STD]]</f>
        <v>0.62152777777777779</v>
      </c>
    </row>
    <row r="3894" spans="1:20" hidden="1" x14ac:dyDescent="0.35">
      <c r="A3894" s="11">
        <v>46250</v>
      </c>
      <c r="B3894" s="3">
        <v>7</v>
      </c>
      <c r="C3894" t="s">
        <v>17</v>
      </c>
      <c r="D3894" t="s">
        <v>18</v>
      </c>
      <c r="E3894" s="3">
        <v>15</v>
      </c>
      <c r="F3894" t="s">
        <v>19</v>
      </c>
      <c r="G3894" t="s">
        <v>64</v>
      </c>
      <c r="H3894" t="s">
        <v>31</v>
      </c>
      <c r="I3894" s="12">
        <v>0.60069444444444442</v>
      </c>
      <c r="J3894" t="s">
        <v>65</v>
      </c>
      <c r="K3894" t="s">
        <v>66</v>
      </c>
      <c r="L3894" s="12">
        <v>0.62847222222222221</v>
      </c>
      <c r="M3894" t="s">
        <v>63</v>
      </c>
      <c r="N3894" s="3">
        <v>232</v>
      </c>
      <c r="O3894" t="s">
        <v>24</v>
      </c>
      <c r="P3894" t="s">
        <v>56</v>
      </c>
      <c r="R3894">
        <f>tblDailySchedule[[#This Row],[Capacity Approx]]*'[1]Load Factor Sheet June Acft  '!$B$5</f>
        <v>187.86727272727273</v>
      </c>
      <c r="S3894">
        <f>tblDailySchedule[[#This Row],[Capacity Approx]]*'[1]Load Factor Sheet June Acft  '!$D$5</f>
        <v>203.4218181818182</v>
      </c>
      <c r="T3894" s="22">
        <f>tblDailySchedule[[#This Row],[STD]]</f>
        <v>0.62847222222222221</v>
      </c>
    </row>
    <row r="3895" spans="1:20" hidden="1" x14ac:dyDescent="0.35">
      <c r="A3895" s="11">
        <v>46250</v>
      </c>
      <c r="B3895" s="3">
        <v>7</v>
      </c>
      <c r="C3895" t="s">
        <v>17</v>
      </c>
      <c r="D3895" t="s">
        <v>18</v>
      </c>
      <c r="E3895" s="3">
        <v>16</v>
      </c>
      <c r="F3895" t="s">
        <v>19</v>
      </c>
      <c r="G3895" t="s">
        <v>67</v>
      </c>
      <c r="H3895" t="s">
        <v>31</v>
      </c>
      <c r="I3895" s="12">
        <v>0.65625</v>
      </c>
      <c r="J3895" t="s">
        <v>68</v>
      </c>
      <c r="K3895" t="s">
        <v>31</v>
      </c>
      <c r="L3895" s="12">
        <v>0.68402777777777779</v>
      </c>
      <c r="M3895" t="s">
        <v>63</v>
      </c>
      <c r="N3895" s="3">
        <v>232</v>
      </c>
      <c r="O3895" t="s">
        <v>24</v>
      </c>
      <c r="P3895" t="s">
        <v>56</v>
      </c>
      <c r="R3895">
        <f>tblDailySchedule[[#This Row],[Capacity Approx]]*'[1]Load Factor Sheet June Acft  '!$B$5</f>
        <v>187.86727272727273</v>
      </c>
      <c r="S3895">
        <f>tblDailySchedule[[#This Row],[Capacity Approx]]*'[1]Load Factor Sheet June Acft  '!$D$5</f>
        <v>203.4218181818182</v>
      </c>
      <c r="T3895" s="22">
        <f>tblDailySchedule[[#This Row],[STD]]</f>
        <v>0.68402777777777779</v>
      </c>
    </row>
    <row r="3896" spans="1:20" hidden="1" x14ac:dyDescent="0.35">
      <c r="A3896" s="11">
        <v>46250</v>
      </c>
      <c r="B3896" s="3">
        <v>7</v>
      </c>
      <c r="C3896" t="s">
        <v>17</v>
      </c>
      <c r="D3896" t="s">
        <v>18</v>
      </c>
      <c r="E3896" s="3">
        <v>17</v>
      </c>
      <c r="F3896" t="s">
        <v>19</v>
      </c>
      <c r="G3896" t="s">
        <v>69</v>
      </c>
      <c r="H3896" t="s">
        <v>31</v>
      </c>
      <c r="I3896" s="12">
        <v>0.66319444444444442</v>
      </c>
      <c r="J3896" t="s">
        <v>70</v>
      </c>
      <c r="K3896" t="s">
        <v>31</v>
      </c>
      <c r="L3896" s="12">
        <v>0.69097222222222221</v>
      </c>
      <c r="M3896" t="s">
        <v>33</v>
      </c>
      <c r="N3896" s="3">
        <v>189</v>
      </c>
      <c r="O3896" t="s">
        <v>24</v>
      </c>
      <c r="P3896" t="s">
        <v>56</v>
      </c>
      <c r="R3896">
        <f>tblDailySchedule[[#This Row],[Capacity Approx]]*'[1]Load Factor Sheet June Acft  '!$B$5</f>
        <v>153.04704545454547</v>
      </c>
      <c r="S3896">
        <f>tblDailySchedule[[#This Row],[Capacity Approx]]*'[1]Load Factor Sheet June Acft  '!$D$5</f>
        <v>165.71863636363636</v>
      </c>
      <c r="T3896" s="22">
        <f>tblDailySchedule[[#This Row],[STD]]</f>
        <v>0.69097222222222221</v>
      </c>
    </row>
    <row r="3897" spans="1:20" hidden="1" x14ac:dyDescent="0.35">
      <c r="A3897" s="11">
        <v>46250</v>
      </c>
      <c r="B3897" s="3">
        <v>7</v>
      </c>
      <c r="C3897" t="s">
        <v>17</v>
      </c>
      <c r="D3897" t="s">
        <v>18</v>
      </c>
      <c r="E3897" s="3">
        <v>18</v>
      </c>
      <c r="F3897" t="s">
        <v>19</v>
      </c>
      <c r="G3897" t="s">
        <v>71</v>
      </c>
      <c r="H3897" t="s">
        <v>21</v>
      </c>
      <c r="I3897" s="12">
        <v>0.67013888888888884</v>
      </c>
      <c r="J3897" t="s">
        <v>72</v>
      </c>
      <c r="K3897" t="s">
        <v>21</v>
      </c>
      <c r="L3897" s="12">
        <v>0.69791666666666663</v>
      </c>
      <c r="M3897" t="s">
        <v>63</v>
      </c>
      <c r="N3897" s="3">
        <v>232</v>
      </c>
      <c r="O3897" t="s">
        <v>24</v>
      </c>
      <c r="P3897" t="s">
        <v>56</v>
      </c>
      <c r="R3897">
        <f>tblDailySchedule[[#This Row],[Capacity Approx]]*'[1]Load Factor Sheet June Acft  '!$B$5</f>
        <v>187.86727272727273</v>
      </c>
      <c r="S3897">
        <f>tblDailySchedule[[#This Row],[Capacity Approx]]*'[1]Load Factor Sheet June Acft  '!$D$5</f>
        <v>203.4218181818182</v>
      </c>
      <c r="T3897" s="22">
        <f>tblDailySchedule[[#This Row],[STD]]</f>
        <v>0.69791666666666663</v>
      </c>
    </row>
    <row r="3898" spans="1:20" hidden="1" x14ac:dyDescent="0.35">
      <c r="A3898" s="11">
        <v>46250</v>
      </c>
      <c r="B3898" s="3">
        <v>7</v>
      </c>
      <c r="C3898" t="s">
        <v>17</v>
      </c>
      <c r="D3898" t="s">
        <v>18</v>
      </c>
      <c r="E3898" s="3">
        <v>19</v>
      </c>
      <c r="F3898" t="s">
        <v>19</v>
      </c>
      <c r="G3898" t="s">
        <v>73</v>
      </c>
      <c r="H3898" t="s">
        <v>27</v>
      </c>
      <c r="I3898" s="12">
        <v>0.74652777777777779</v>
      </c>
      <c r="J3898" t="s">
        <v>74</v>
      </c>
      <c r="K3898" t="s">
        <v>27</v>
      </c>
      <c r="L3898" s="12">
        <v>0.77430555555555558</v>
      </c>
      <c r="M3898" t="s">
        <v>63</v>
      </c>
      <c r="N3898" s="3">
        <v>232</v>
      </c>
      <c r="O3898" t="s">
        <v>24</v>
      </c>
      <c r="P3898" t="s">
        <v>56</v>
      </c>
      <c r="R3898">
        <f>tblDailySchedule[[#This Row],[Capacity Approx]]*'[1]Load Factor Sheet June Acft  '!$B$5</f>
        <v>187.86727272727273</v>
      </c>
      <c r="S3898">
        <f>tblDailySchedule[[#This Row],[Capacity Approx]]*'[1]Load Factor Sheet June Acft  '!$D$5</f>
        <v>203.4218181818182</v>
      </c>
      <c r="T3898" s="22">
        <f>tblDailySchedule[[#This Row],[STD]]</f>
        <v>0.77430555555555558</v>
      </c>
    </row>
    <row r="3899" spans="1:20" hidden="1" x14ac:dyDescent="0.35">
      <c r="A3899" s="11">
        <v>46250</v>
      </c>
      <c r="B3899" s="3">
        <v>7</v>
      </c>
      <c r="C3899" t="s">
        <v>17</v>
      </c>
      <c r="D3899" t="s">
        <v>18</v>
      </c>
      <c r="E3899" s="3">
        <v>20</v>
      </c>
      <c r="F3899" t="s">
        <v>34</v>
      </c>
      <c r="G3899" t="s">
        <v>75</v>
      </c>
      <c r="H3899" t="s">
        <v>76</v>
      </c>
      <c r="I3899" s="12">
        <v>0.76388888888888884</v>
      </c>
      <c r="J3899" t="s">
        <v>77</v>
      </c>
      <c r="K3899" t="s">
        <v>78</v>
      </c>
      <c r="L3899" s="12">
        <v>0.78472222222222221</v>
      </c>
      <c r="M3899" t="s">
        <v>51</v>
      </c>
      <c r="N3899" s="3">
        <v>78</v>
      </c>
      <c r="O3899" t="s">
        <v>24</v>
      </c>
      <c r="P3899" t="s">
        <v>79</v>
      </c>
      <c r="Q3899" s="16" t="s">
        <v>80</v>
      </c>
      <c r="R3899">
        <f>tblDailySchedule[[#This Row],[Capacity Approx]]*'[1]Load Factor Sheet June Acft  '!$B$5</f>
        <v>63.162272727272729</v>
      </c>
      <c r="S3899">
        <f>tblDailySchedule[[#This Row],[Capacity Approx]]*'[1]Load Factor Sheet June Acft  '!$D$5</f>
        <v>68.391818181818181</v>
      </c>
      <c r="T3899" s="22">
        <f>tblDailySchedule[[#This Row],[STD]]</f>
        <v>0.78472222222222221</v>
      </c>
    </row>
    <row r="3900" spans="1:20" hidden="1" x14ac:dyDescent="0.35">
      <c r="A3900" s="11">
        <v>46250</v>
      </c>
      <c r="B3900" s="3">
        <v>7</v>
      </c>
      <c r="C3900" t="s">
        <v>17</v>
      </c>
      <c r="D3900" t="s">
        <v>18</v>
      </c>
      <c r="E3900" s="3">
        <v>21</v>
      </c>
      <c r="F3900" t="s">
        <v>19</v>
      </c>
      <c r="G3900" t="s">
        <v>81</v>
      </c>
      <c r="H3900" t="s">
        <v>61</v>
      </c>
      <c r="I3900" s="12">
        <v>0.77083333333333337</v>
      </c>
      <c r="J3900" t="s">
        <v>82</v>
      </c>
      <c r="K3900" t="s">
        <v>49</v>
      </c>
      <c r="L3900" s="12">
        <v>0.79166666666666663</v>
      </c>
      <c r="M3900" t="s">
        <v>33</v>
      </c>
      <c r="N3900" s="3">
        <v>189</v>
      </c>
      <c r="O3900" t="s">
        <v>24</v>
      </c>
      <c r="P3900" t="s">
        <v>79</v>
      </c>
      <c r="R3900">
        <f>tblDailySchedule[[#This Row],[Capacity Approx]]*'[1]Load Factor Sheet June Acft  '!$B$5</f>
        <v>153.04704545454547</v>
      </c>
      <c r="S3900">
        <f>tblDailySchedule[[#This Row],[Capacity Approx]]*'[1]Load Factor Sheet June Acft  '!$D$5</f>
        <v>165.71863636363636</v>
      </c>
      <c r="T3900" s="22">
        <f>tblDailySchedule[[#This Row],[STD]]</f>
        <v>0.79166666666666663</v>
      </c>
    </row>
    <row r="3901" spans="1:20" hidden="1" x14ac:dyDescent="0.35">
      <c r="A3901" s="11">
        <v>46250</v>
      </c>
      <c r="B3901" s="3">
        <v>7</v>
      </c>
      <c r="C3901" t="s">
        <v>17</v>
      </c>
      <c r="D3901" t="s">
        <v>18</v>
      </c>
      <c r="E3901" s="3">
        <v>22</v>
      </c>
      <c r="F3901" t="s">
        <v>19</v>
      </c>
      <c r="G3901" t="s">
        <v>83</v>
      </c>
      <c r="H3901" t="s">
        <v>31</v>
      </c>
      <c r="I3901" s="12">
        <v>0.77777777777777779</v>
      </c>
      <c r="J3901" t="s">
        <v>84</v>
      </c>
      <c r="K3901" t="s">
        <v>31</v>
      </c>
      <c r="L3901" s="12">
        <v>0.80555555555555558</v>
      </c>
      <c r="M3901" t="s">
        <v>63</v>
      </c>
      <c r="N3901" s="3">
        <v>232</v>
      </c>
      <c r="O3901" t="s">
        <v>24</v>
      </c>
      <c r="P3901" t="s">
        <v>79</v>
      </c>
      <c r="R3901">
        <f>tblDailySchedule[[#This Row],[Capacity Approx]]*'[1]Load Factor Sheet June Acft  '!$B$5</f>
        <v>187.86727272727273</v>
      </c>
      <c r="S3901">
        <f>tblDailySchedule[[#This Row],[Capacity Approx]]*'[1]Load Factor Sheet June Acft  '!$D$5</f>
        <v>203.4218181818182</v>
      </c>
      <c r="T3901" s="22">
        <f>tblDailySchedule[[#This Row],[STD]]</f>
        <v>0.80555555555555558</v>
      </c>
    </row>
    <row r="3902" spans="1:20" hidden="1" x14ac:dyDescent="0.35">
      <c r="A3902" s="11">
        <v>46250</v>
      </c>
      <c r="B3902" s="3">
        <v>7</v>
      </c>
      <c r="C3902" t="s">
        <v>17</v>
      </c>
      <c r="D3902" t="s">
        <v>18</v>
      </c>
      <c r="E3902" s="3">
        <v>23</v>
      </c>
      <c r="F3902" t="s">
        <v>19</v>
      </c>
      <c r="G3902" t="s">
        <v>85</v>
      </c>
      <c r="H3902" t="s">
        <v>86</v>
      </c>
      <c r="I3902" s="12">
        <v>0.79861111111111116</v>
      </c>
      <c r="J3902" t="s">
        <v>87</v>
      </c>
      <c r="K3902" t="s">
        <v>86</v>
      </c>
      <c r="L3902" s="12">
        <v>0.82638888888888884</v>
      </c>
      <c r="M3902" t="s">
        <v>63</v>
      </c>
      <c r="N3902" s="3">
        <v>232</v>
      </c>
      <c r="O3902" t="s">
        <v>24</v>
      </c>
      <c r="P3902" t="s">
        <v>79</v>
      </c>
      <c r="R3902">
        <f>tblDailySchedule[[#This Row],[Capacity Approx]]*'[1]Load Factor Sheet June Acft  '!$B$5</f>
        <v>187.86727272727273</v>
      </c>
      <c r="S3902">
        <f>tblDailySchedule[[#This Row],[Capacity Approx]]*'[1]Load Factor Sheet June Acft  '!$D$5</f>
        <v>203.4218181818182</v>
      </c>
      <c r="T3902" s="22">
        <f>tblDailySchedule[[#This Row],[STD]]</f>
        <v>0.82638888888888884</v>
      </c>
    </row>
    <row r="3903" spans="1:20" hidden="1" x14ac:dyDescent="0.35">
      <c r="A3903" s="11">
        <v>46250</v>
      </c>
      <c r="B3903" s="3">
        <v>7</v>
      </c>
      <c r="C3903" t="s">
        <v>17</v>
      </c>
      <c r="D3903" t="s">
        <v>18</v>
      </c>
      <c r="E3903" s="3">
        <v>24</v>
      </c>
      <c r="F3903" t="s">
        <v>19</v>
      </c>
      <c r="G3903" t="s">
        <v>88</v>
      </c>
      <c r="H3903" t="s">
        <v>89</v>
      </c>
      <c r="I3903" s="12">
        <v>0.83333333333333337</v>
      </c>
      <c r="J3903" t="s">
        <v>90</v>
      </c>
      <c r="K3903" t="s">
        <v>31</v>
      </c>
      <c r="L3903" s="12">
        <v>0.86111111111111116</v>
      </c>
      <c r="M3903" t="s">
        <v>63</v>
      </c>
      <c r="N3903" s="3">
        <v>232</v>
      </c>
      <c r="O3903" t="s">
        <v>24</v>
      </c>
      <c r="P3903" t="s">
        <v>79</v>
      </c>
      <c r="R3903">
        <f>tblDailySchedule[[#This Row],[Capacity Approx]]*'[1]Load Factor Sheet June Acft  '!$B$5</f>
        <v>187.86727272727273</v>
      </c>
      <c r="S3903">
        <f>tblDailySchedule[[#This Row],[Capacity Approx]]*'[1]Load Factor Sheet June Acft  '!$D$5</f>
        <v>203.4218181818182</v>
      </c>
      <c r="T3903" s="22">
        <f>tblDailySchedule[[#This Row],[STD]]</f>
        <v>0.86111111111111116</v>
      </c>
    </row>
    <row r="3904" spans="1:20" hidden="1" x14ac:dyDescent="0.35">
      <c r="A3904" s="11">
        <v>46250</v>
      </c>
      <c r="B3904" s="3">
        <v>7</v>
      </c>
      <c r="C3904" t="s">
        <v>17</v>
      </c>
      <c r="D3904" t="s">
        <v>18</v>
      </c>
      <c r="E3904" s="3">
        <v>25</v>
      </c>
      <c r="F3904" t="s">
        <v>19</v>
      </c>
      <c r="G3904" t="s">
        <v>91</v>
      </c>
      <c r="H3904" t="s">
        <v>61</v>
      </c>
      <c r="I3904" s="12">
        <v>0.85416666666666663</v>
      </c>
      <c r="J3904" t="s">
        <v>92</v>
      </c>
      <c r="K3904" t="s">
        <v>61</v>
      </c>
      <c r="L3904" s="12">
        <v>0.88194444444444442</v>
      </c>
      <c r="M3904" t="s">
        <v>63</v>
      </c>
      <c r="N3904" s="3">
        <v>232</v>
      </c>
      <c r="O3904" t="s">
        <v>24</v>
      </c>
      <c r="P3904" t="s">
        <v>79</v>
      </c>
      <c r="R3904">
        <f>tblDailySchedule[[#This Row],[Capacity Approx]]*'[1]Load Factor Sheet June Acft  '!$B$5</f>
        <v>187.86727272727273</v>
      </c>
      <c r="S3904">
        <f>tblDailySchedule[[#This Row],[Capacity Approx]]*'[1]Load Factor Sheet June Acft  '!$D$5</f>
        <v>203.4218181818182</v>
      </c>
      <c r="T3904" s="22">
        <f>tblDailySchedule[[#This Row],[STD]]</f>
        <v>0.88194444444444442</v>
      </c>
    </row>
    <row r="3905" spans="1:20" hidden="1" x14ac:dyDescent="0.35">
      <c r="A3905" s="11">
        <v>46250</v>
      </c>
      <c r="B3905" s="3">
        <v>7</v>
      </c>
      <c r="C3905" t="s">
        <v>17</v>
      </c>
      <c r="D3905" t="s">
        <v>18</v>
      </c>
      <c r="E3905" s="3">
        <v>26</v>
      </c>
      <c r="F3905" t="s">
        <v>19</v>
      </c>
      <c r="G3905" t="s">
        <v>93</v>
      </c>
      <c r="H3905" t="s">
        <v>31</v>
      </c>
      <c r="I3905" s="12">
        <v>0.86111111111111116</v>
      </c>
      <c r="J3905" t="s">
        <v>94</v>
      </c>
      <c r="K3905" t="s">
        <v>31</v>
      </c>
      <c r="L3905" s="12">
        <v>0.88888888888888884</v>
      </c>
      <c r="M3905" t="s">
        <v>23</v>
      </c>
      <c r="N3905" s="3">
        <v>186</v>
      </c>
      <c r="O3905" t="s">
        <v>24</v>
      </c>
      <c r="P3905" t="s">
        <v>79</v>
      </c>
      <c r="R3905">
        <f>tblDailySchedule[[#This Row],[Capacity Approx]]*'[1]Load Factor Sheet June Acft  '!$B$5</f>
        <v>150.61772727272728</v>
      </c>
      <c r="S3905">
        <f>tblDailySchedule[[#This Row],[Capacity Approx]]*'[1]Load Factor Sheet June Acft  '!$D$5</f>
        <v>163.08818181818182</v>
      </c>
      <c r="T3905" s="22">
        <f>tblDailySchedule[[#This Row],[STD]]</f>
        <v>0.88888888888888884</v>
      </c>
    </row>
    <row r="3906" spans="1:20" hidden="1" x14ac:dyDescent="0.35">
      <c r="A3906" s="11">
        <v>46250</v>
      </c>
      <c r="B3906" s="3">
        <v>7</v>
      </c>
      <c r="C3906" t="s">
        <v>17</v>
      </c>
      <c r="D3906" t="s">
        <v>18</v>
      </c>
      <c r="E3906" s="3">
        <v>27</v>
      </c>
      <c r="F3906" t="s">
        <v>19</v>
      </c>
      <c r="G3906" t="s">
        <v>95</v>
      </c>
      <c r="H3906" t="s">
        <v>21</v>
      </c>
      <c r="I3906" s="12">
        <v>0.86805555555555558</v>
      </c>
      <c r="J3906" t="s">
        <v>96</v>
      </c>
      <c r="K3906" t="s">
        <v>21</v>
      </c>
      <c r="L3906" s="12">
        <v>0.89583333333333337</v>
      </c>
      <c r="M3906" t="s">
        <v>29</v>
      </c>
      <c r="N3906" s="3">
        <v>186</v>
      </c>
      <c r="O3906" t="s">
        <v>24</v>
      </c>
      <c r="P3906" t="s">
        <v>79</v>
      </c>
      <c r="R3906">
        <f>tblDailySchedule[[#This Row],[Capacity Approx]]*'[1]Load Factor Sheet June Acft  '!$B$5</f>
        <v>150.61772727272728</v>
      </c>
      <c r="S3906">
        <f>tblDailySchedule[[#This Row],[Capacity Approx]]*'[1]Load Factor Sheet June Acft  '!$D$5</f>
        <v>163.08818181818182</v>
      </c>
      <c r="T3906" s="22">
        <f>tblDailySchedule[[#This Row],[STD]]</f>
        <v>0.89583333333333337</v>
      </c>
    </row>
    <row r="3907" spans="1:20" hidden="1" x14ac:dyDescent="0.35">
      <c r="A3907" s="11">
        <v>46250</v>
      </c>
      <c r="B3907" s="3">
        <v>7</v>
      </c>
      <c r="C3907" t="s">
        <v>17</v>
      </c>
      <c r="D3907" t="s">
        <v>18</v>
      </c>
      <c r="E3907" s="3">
        <v>28</v>
      </c>
      <c r="F3907" t="s">
        <v>19</v>
      </c>
      <c r="G3907" t="s">
        <v>97</v>
      </c>
      <c r="H3907" t="s">
        <v>49</v>
      </c>
      <c r="I3907" s="12">
        <v>0.90277777777777779</v>
      </c>
      <c r="J3907" t="s">
        <v>97</v>
      </c>
      <c r="K3907" t="s">
        <v>61</v>
      </c>
      <c r="L3907" s="12">
        <v>0.92361111111111116</v>
      </c>
      <c r="M3907" t="s">
        <v>33</v>
      </c>
      <c r="N3907" s="3">
        <v>189</v>
      </c>
      <c r="O3907" t="s">
        <v>24</v>
      </c>
      <c r="P3907" t="s">
        <v>79</v>
      </c>
      <c r="R3907">
        <f>tblDailySchedule[[#This Row],[Capacity Approx]]*'[1]Load Factor Sheet June Acft  '!$B$5</f>
        <v>153.04704545454547</v>
      </c>
      <c r="S3907">
        <f>tblDailySchedule[[#This Row],[Capacity Approx]]*'[1]Load Factor Sheet June Acft  '!$D$5</f>
        <v>165.71863636363636</v>
      </c>
      <c r="T3907" s="22">
        <f>tblDailySchedule[[#This Row],[STD]]</f>
        <v>0.92361111111111116</v>
      </c>
    </row>
    <row r="3908" spans="1:20" hidden="1" x14ac:dyDescent="0.35">
      <c r="A3908" s="11">
        <v>46250</v>
      </c>
      <c r="B3908" s="3">
        <v>7</v>
      </c>
      <c r="C3908" t="s">
        <v>17</v>
      </c>
      <c r="D3908" t="s">
        <v>18</v>
      </c>
      <c r="E3908" s="3">
        <v>29</v>
      </c>
      <c r="F3908" t="s">
        <v>19</v>
      </c>
      <c r="G3908" t="s">
        <v>98</v>
      </c>
      <c r="H3908" t="s">
        <v>21</v>
      </c>
      <c r="I3908" s="12">
        <v>0.92013888888888884</v>
      </c>
      <c r="J3908" t="s">
        <v>99</v>
      </c>
      <c r="K3908" t="s">
        <v>21</v>
      </c>
      <c r="L3908" s="12">
        <v>0.94791666666666663</v>
      </c>
      <c r="M3908" t="s">
        <v>63</v>
      </c>
      <c r="N3908" s="3">
        <v>232</v>
      </c>
      <c r="O3908" t="s">
        <v>24</v>
      </c>
      <c r="P3908" t="s">
        <v>79</v>
      </c>
      <c r="R3908">
        <f>tblDailySchedule[[#This Row],[Capacity Approx]]*'[1]Load Factor Sheet June Acft  '!$B$5</f>
        <v>187.86727272727273</v>
      </c>
      <c r="S3908">
        <f>tblDailySchedule[[#This Row],[Capacity Approx]]*'[1]Load Factor Sheet June Acft  '!$D$5</f>
        <v>203.4218181818182</v>
      </c>
      <c r="T3908" s="22">
        <f>tblDailySchedule[[#This Row],[STD]]</f>
        <v>0.94791666666666663</v>
      </c>
    </row>
    <row r="3909" spans="1:20" hidden="1" x14ac:dyDescent="0.35">
      <c r="A3909" s="11">
        <v>46251</v>
      </c>
      <c r="B3909" s="3">
        <v>1</v>
      </c>
      <c r="C3909" t="s">
        <v>100</v>
      </c>
      <c r="D3909" t="s">
        <v>18</v>
      </c>
      <c r="E3909" s="3">
        <v>1</v>
      </c>
      <c r="F3909" t="s">
        <v>101</v>
      </c>
      <c r="G3909" t="s">
        <v>102</v>
      </c>
      <c r="H3909" t="s">
        <v>61</v>
      </c>
      <c r="I3909" s="12">
        <v>0.3125</v>
      </c>
      <c r="J3909" t="s">
        <v>103</v>
      </c>
      <c r="K3909" t="s">
        <v>61</v>
      </c>
      <c r="L3909" s="12">
        <v>0.33333333333333331</v>
      </c>
      <c r="M3909" t="s">
        <v>33</v>
      </c>
      <c r="N3909" s="3">
        <v>189</v>
      </c>
      <c r="O3909" t="s">
        <v>24</v>
      </c>
      <c r="P3909" t="s">
        <v>25</v>
      </c>
      <c r="R3909">
        <f>tblDailySchedule[[#This Row],[Capacity Approx]]*'[1]Load Factor Sheet June Acft  '!$B$5</f>
        <v>153.04704545454547</v>
      </c>
      <c r="S3909">
        <f>tblDailySchedule[[#This Row],[Capacity Approx]]*'[1]Load Factor Sheet June Acft  '!$D$5</f>
        <v>165.71863636363636</v>
      </c>
      <c r="T3909" s="22">
        <f>tblDailySchedule[[#This Row],[STD]]</f>
        <v>0.33333333333333331</v>
      </c>
    </row>
    <row r="3910" spans="1:20" hidden="1" x14ac:dyDescent="0.35">
      <c r="A3910" s="11">
        <v>46251</v>
      </c>
      <c r="B3910" s="3">
        <v>1</v>
      </c>
      <c r="C3910" t="s">
        <v>100</v>
      </c>
      <c r="D3910" t="s">
        <v>18</v>
      </c>
      <c r="E3910" s="3">
        <v>2</v>
      </c>
      <c r="F3910" t="s">
        <v>19</v>
      </c>
      <c r="G3910" t="s">
        <v>20</v>
      </c>
      <c r="H3910" t="s">
        <v>21</v>
      </c>
      <c r="I3910" s="12">
        <v>0.31944444444444442</v>
      </c>
      <c r="J3910" t="s">
        <v>22</v>
      </c>
      <c r="K3910" t="s">
        <v>21</v>
      </c>
      <c r="L3910" s="12">
        <v>0.34722222222222221</v>
      </c>
      <c r="M3910" t="s">
        <v>23</v>
      </c>
      <c r="N3910" s="3">
        <v>186</v>
      </c>
      <c r="O3910" t="s">
        <v>24</v>
      </c>
      <c r="P3910" t="s">
        <v>25</v>
      </c>
      <c r="R3910">
        <f>tblDailySchedule[[#This Row],[Capacity Approx]]*'[1]Load Factor Sheet June Acft  '!$B$5</f>
        <v>150.61772727272728</v>
      </c>
      <c r="S3910">
        <f>tblDailySchedule[[#This Row],[Capacity Approx]]*'[1]Load Factor Sheet June Acft  '!$D$5</f>
        <v>163.08818181818182</v>
      </c>
      <c r="T3910" s="22">
        <f>tblDailySchedule[[#This Row],[STD]]</f>
        <v>0.34722222222222221</v>
      </c>
    </row>
    <row r="3911" spans="1:20" hidden="1" x14ac:dyDescent="0.35">
      <c r="A3911" s="11">
        <v>46251</v>
      </c>
      <c r="B3911" s="3">
        <v>1</v>
      </c>
      <c r="C3911" t="s">
        <v>100</v>
      </c>
      <c r="D3911" t="s">
        <v>18</v>
      </c>
      <c r="E3911" s="3">
        <v>3</v>
      </c>
      <c r="F3911" t="s">
        <v>19</v>
      </c>
      <c r="G3911" t="s">
        <v>26</v>
      </c>
      <c r="H3911" t="s">
        <v>27</v>
      </c>
      <c r="I3911" s="12">
        <v>0.3263888888888889</v>
      </c>
      <c r="J3911" t="s">
        <v>28</v>
      </c>
      <c r="K3911" t="s">
        <v>27</v>
      </c>
      <c r="L3911" s="12">
        <v>0.35416666666666669</v>
      </c>
      <c r="M3911" t="s">
        <v>29</v>
      </c>
      <c r="N3911" s="3">
        <v>186</v>
      </c>
      <c r="O3911" t="s">
        <v>24</v>
      </c>
      <c r="P3911" t="s">
        <v>25</v>
      </c>
      <c r="R3911">
        <f>tblDailySchedule[[#This Row],[Capacity Approx]]*'[1]Load Factor Sheet June Acft  '!$B$5</f>
        <v>150.61772727272728</v>
      </c>
      <c r="S3911">
        <f>tblDailySchedule[[#This Row],[Capacity Approx]]*'[1]Load Factor Sheet June Acft  '!$D$5</f>
        <v>163.08818181818182</v>
      </c>
      <c r="T3911" s="22">
        <f>tblDailySchedule[[#This Row],[STD]]</f>
        <v>0.35416666666666669</v>
      </c>
    </row>
    <row r="3912" spans="1:20" hidden="1" x14ac:dyDescent="0.35">
      <c r="A3912" s="11">
        <v>46251</v>
      </c>
      <c r="B3912" s="3">
        <v>1</v>
      </c>
      <c r="C3912" t="s">
        <v>100</v>
      </c>
      <c r="D3912" t="s">
        <v>18</v>
      </c>
      <c r="E3912" s="3">
        <v>4</v>
      </c>
      <c r="F3912" t="s">
        <v>19</v>
      </c>
      <c r="G3912" t="s">
        <v>30</v>
      </c>
      <c r="H3912" t="s">
        <v>31</v>
      </c>
      <c r="I3912" s="12">
        <v>0.34722222222222221</v>
      </c>
      <c r="J3912" t="s">
        <v>32</v>
      </c>
      <c r="K3912" t="s">
        <v>31</v>
      </c>
      <c r="L3912" s="12">
        <v>0.36805555555555558</v>
      </c>
      <c r="M3912" t="s">
        <v>33</v>
      </c>
      <c r="N3912" s="3">
        <v>189</v>
      </c>
      <c r="O3912" t="s">
        <v>24</v>
      </c>
      <c r="P3912" t="s">
        <v>25</v>
      </c>
      <c r="R3912">
        <f>tblDailySchedule[[#This Row],[Capacity Approx]]*'[1]Load Factor Sheet June Acft  '!$B$5</f>
        <v>153.04704545454547</v>
      </c>
      <c r="S3912">
        <f>tblDailySchedule[[#This Row],[Capacity Approx]]*'[1]Load Factor Sheet June Acft  '!$D$5</f>
        <v>165.71863636363636</v>
      </c>
      <c r="T3912" s="22">
        <f>tblDailySchedule[[#This Row],[STD]]</f>
        <v>0.36805555555555558</v>
      </c>
    </row>
    <row r="3913" spans="1:20" hidden="1" x14ac:dyDescent="0.35">
      <c r="A3913" s="13">
        <v>46251</v>
      </c>
      <c r="B3913" s="7">
        <v>1</v>
      </c>
      <c r="C3913" s="14" t="s">
        <v>100</v>
      </c>
      <c r="D3913" s="14" t="s">
        <v>18</v>
      </c>
      <c r="E3913" s="7">
        <v>6</v>
      </c>
      <c r="F3913" s="14" t="s">
        <v>34</v>
      </c>
      <c r="G3913" s="14" t="s">
        <v>35</v>
      </c>
      <c r="H3913" s="14" t="s">
        <v>36</v>
      </c>
      <c r="I3913" s="15">
        <v>0.34722222222222221</v>
      </c>
      <c r="J3913" s="14" t="s">
        <v>37</v>
      </c>
      <c r="K3913" s="14" t="s">
        <v>36</v>
      </c>
      <c r="L3913" s="15">
        <v>0.40972222222222221</v>
      </c>
      <c r="M3913" s="14" t="s">
        <v>38</v>
      </c>
      <c r="N3913" s="7">
        <v>186</v>
      </c>
      <c r="O3913" s="14" t="s">
        <v>39</v>
      </c>
      <c r="P3913" s="14" t="s">
        <v>25</v>
      </c>
      <c r="Q3913" s="14" t="s">
        <v>39</v>
      </c>
      <c r="R3913">
        <f>tblDailySchedule[[#This Row],[Capacity Approx]]*'[1]Load Factor Sheet June Acft  '!$B$5</f>
        <v>150.61772727272728</v>
      </c>
      <c r="S3913">
        <f>tblDailySchedule[[#This Row],[Capacity Approx]]*'[1]Load Factor Sheet June Acft  '!$D$5</f>
        <v>163.08818181818182</v>
      </c>
      <c r="T3913" s="22">
        <f>tblDailySchedule[[#This Row],[STD]]</f>
        <v>0.40972222222222221</v>
      </c>
    </row>
    <row r="3914" spans="1:20" hidden="1" x14ac:dyDescent="0.35">
      <c r="A3914" s="11">
        <v>46251</v>
      </c>
      <c r="B3914" s="3">
        <v>1</v>
      </c>
      <c r="C3914" t="s">
        <v>100</v>
      </c>
      <c r="D3914" t="s">
        <v>18</v>
      </c>
      <c r="E3914" s="3">
        <v>5</v>
      </c>
      <c r="F3914" t="s">
        <v>19</v>
      </c>
      <c r="G3914" t="s">
        <v>40</v>
      </c>
      <c r="H3914" t="s">
        <v>31</v>
      </c>
      <c r="I3914" s="12">
        <v>0.35069444444444442</v>
      </c>
      <c r="J3914" t="s">
        <v>41</v>
      </c>
      <c r="K3914" t="s">
        <v>31</v>
      </c>
      <c r="L3914" s="12">
        <v>0.37152777777777779</v>
      </c>
      <c r="M3914" t="s">
        <v>23</v>
      </c>
      <c r="N3914" s="3">
        <v>186</v>
      </c>
      <c r="O3914" t="s">
        <v>24</v>
      </c>
      <c r="P3914" t="s">
        <v>25</v>
      </c>
      <c r="R3914">
        <f>tblDailySchedule[[#This Row],[Capacity Approx]]*'[1]Load Factor Sheet June Acft  '!$B$5</f>
        <v>150.61772727272728</v>
      </c>
      <c r="S3914">
        <f>tblDailySchedule[[#This Row],[Capacity Approx]]*'[1]Load Factor Sheet June Acft  '!$D$5</f>
        <v>163.08818181818182</v>
      </c>
      <c r="T3914" s="22">
        <f>tblDailySchedule[[#This Row],[STD]]</f>
        <v>0.37152777777777779</v>
      </c>
    </row>
    <row r="3915" spans="1:20" hidden="1" x14ac:dyDescent="0.35">
      <c r="A3915" s="11">
        <v>46251</v>
      </c>
      <c r="B3915" s="3">
        <v>1</v>
      </c>
      <c r="C3915" t="s">
        <v>100</v>
      </c>
      <c r="D3915" t="s">
        <v>18</v>
      </c>
      <c r="E3915" s="3">
        <v>7</v>
      </c>
      <c r="F3915" t="s">
        <v>19</v>
      </c>
      <c r="G3915" t="s">
        <v>42</v>
      </c>
      <c r="H3915" t="s">
        <v>43</v>
      </c>
      <c r="I3915" s="12">
        <v>0.3923611111111111</v>
      </c>
      <c r="J3915" t="s">
        <v>44</v>
      </c>
      <c r="K3915" t="s">
        <v>43</v>
      </c>
      <c r="L3915" s="12">
        <v>0.40277777777777779</v>
      </c>
      <c r="M3915" t="s">
        <v>45</v>
      </c>
      <c r="N3915" s="3">
        <v>9</v>
      </c>
      <c r="O3915" t="s">
        <v>24</v>
      </c>
      <c r="P3915" t="s">
        <v>25</v>
      </c>
      <c r="R3915">
        <f>tblDailySchedule[[#This Row],[Capacity Approx]]*'[1]Load Factor Sheet June Acft  '!$B$5</f>
        <v>7.2879545454545456</v>
      </c>
      <c r="S3915">
        <f>tblDailySchedule[[#This Row],[Capacity Approx]]*'[1]Load Factor Sheet June Acft  '!$D$5</f>
        <v>7.8913636363636366</v>
      </c>
      <c r="T3915" s="22">
        <f>tblDailySchedule[[#This Row],[STD]]</f>
        <v>0.40277777777777779</v>
      </c>
    </row>
    <row r="3916" spans="1:20" hidden="1" x14ac:dyDescent="0.35">
      <c r="A3916" s="11">
        <v>46251</v>
      </c>
      <c r="B3916" s="3">
        <v>1</v>
      </c>
      <c r="C3916" t="s">
        <v>100</v>
      </c>
      <c r="D3916" t="s">
        <v>18</v>
      </c>
      <c r="E3916" s="3">
        <v>8</v>
      </c>
      <c r="F3916" t="s">
        <v>19</v>
      </c>
      <c r="G3916" t="s">
        <v>46</v>
      </c>
      <c r="H3916" t="s">
        <v>31</v>
      </c>
      <c r="I3916" s="12">
        <v>0.4201388888888889</v>
      </c>
      <c r="J3916" t="s">
        <v>47</v>
      </c>
      <c r="K3916" t="s">
        <v>31</v>
      </c>
      <c r="L3916" s="12">
        <v>0.44444444444444442</v>
      </c>
      <c r="M3916" t="s">
        <v>29</v>
      </c>
      <c r="N3916" s="3">
        <v>186</v>
      </c>
      <c r="O3916" t="s">
        <v>24</v>
      </c>
      <c r="P3916" t="s">
        <v>25</v>
      </c>
      <c r="R3916">
        <f>tblDailySchedule[[#This Row],[Capacity Approx]]*'[1]Load Factor Sheet June Acft  '!$B$5</f>
        <v>150.61772727272728</v>
      </c>
      <c r="S3916">
        <f>tblDailySchedule[[#This Row],[Capacity Approx]]*'[1]Load Factor Sheet June Acft  '!$D$5</f>
        <v>163.08818181818182</v>
      </c>
      <c r="T3916" s="22">
        <f>tblDailySchedule[[#This Row],[STD]]</f>
        <v>0.44444444444444442</v>
      </c>
    </row>
    <row r="3917" spans="1:20" hidden="1" x14ac:dyDescent="0.35">
      <c r="A3917" s="11">
        <v>46251</v>
      </c>
      <c r="B3917" s="3">
        <v>1</v>
      </c>
      <c r="C3917" t="s">
        <v>100</v>
      </c>
      <c r="D3917" t="s">
        <v>18</v>
      </c>
      <c r="E3917" s="3">
        <v>9</v>
      </c>
      <c r="F3917" t="s">
        <v>19</v>
      </c>
      <c r="G3917" t="s">
        <v>48</v>
      </c>
      <c r="H3917" t="s">
        <v>49</v>
      </c>
      <c r="I3917" s="12">
        <v>0.4375</v>
      </c>
      <c r="J3917" t="s">
        <v>50</v>
      </c>
      <c r="K3917" t="s">
        <v>49</v>
      </c>
      <c r="L3917" s="12">
        <v>0.45833333333333331</v>
      </c>
      <c r="M3917" t="s">
        <v>51</v>
      </c>
      <c r="N3917" s="3">
        <v>78</v>
      </c>
      <c r="O3917" t="s">
        <v>24</v>
      </c>
      <c r="P3917" t="s">
        <v>25</v>
      </c>
      <c r="R3917">
        <f>tblDailySchedule[[#This Row],[Capacity Approx]]*'[1]Load Factor Sheet June Acft  '!$B$5</f>
        <v>63.162272727272729</v>
      </c>
      <c r="S3917">
        <f>tblDailySchedule[[#This Row],[Capacity Approx]]*'[1]Load Factor Sheet June Acft  '!$D$5</f>
        <v>68.391818181818181</v>
      </c>
      <c r="T3917" s="22">
        <f>tblDailySchedule[[#This Row],[STD]]</f>
        <v>0.45833333333333331</v>
      </c>
    </row>
    <row r="3918" spans="1:20" hidden="1" x14ac:dyDescent="0.35">
      <c r="A3918" s="11">
        <v>46251</v>
      </c>
      <c r="B3918" s="3">
        <v>1</v>
      </c>
      <c r="C3918" t="s">
        <v>100</v>
      </c>
      <c r="D3918" t="s">
        <v>18</v>
      </c>
      <c r="E3918" s="3">
        <v>10</v>
      </c>
      <c r="F3918" t="s">
        <v>19</v>
      </c>
      <c r="G3918" t="s">
        <v>52</v>
      </c>
      <c r="H3918" t="s">
        <v>27</v>
      </c>
      <c r="I3918" s="12">
        <v>0.4826388888888889</v>
      </c>
      <c r="J3918" t="s">
        <v>53</v>
      </c>
      <c r="K3918" t="s">
        <v>27</v>
      </c>
      <c r="L3918" s="12">
        <v>0.51041666666666663</v>
      </c>
      <c r="M3918" t="s">
        <v>23</v>
      </c>
      <c r="N3918" s="3">
        <v>186</v>
      </c>
      <c r="O3918" t="s">
        <v>24</v>
      </c>
      <c r="P3918" t="s">
        <v>25</v>
      </c>
      <c r="R3918">
        <f>tblDailySchedule[[#This Row],[Capacity Approx]]*'[1]Load Factor Sheet June Acft  '!$B$5</f>
        <v>150.61772727272728</v>
      </c>
      <c r="S3918">
        <f>tblDailySchedule[[#This Row],[Capacity Approx]]*'[1]Load Factor Sheet June Acft  '!$D$5</f>
        <v>163.08818181818182</v>
      </c>
      <c r="T3918" s="22">
        <f>tblDailySchedule[[#This Row],[STD]]</f>
        <v>0.51041666666666663</v>
      </c>
    </row>
    <row r="3919" spans="1:20" hidden="1" x14ac:dyDescent="0.35">
      <c r="A3919" s="11">
        <v>46251</v>
      </c>
      <c r="B3919" s="3">
        <v>1</v>
      </c>
      <c r="C3919" t="s">
        <v>100</v>
      </c>
      <c r="D3919" t="s">
        <v>18</v>
      </c>
      <c r="E3919" s="3">
        <v>11</v>
      </c>
      <c r="F3919" t="s">
        <v>19</v>
      </c>
      <c r="G3919" t="s">
        <v>54</v>
      </c>
      <c r="H3919" t="s">
        <v>31</v>
      </c>
      <c r="I3919" s="12">
        <v>0.51388888888888884</v>
      </c>
      <c r="J3919" t="s">
        <v>55</v>
      </c>
      <c r="K3919" t="s">
        <v>31</v>
      </c>
      <c r="L3919" s="12">
        <v>0.54166666666666663</v>
      </c>
      <c r="M3919" t="s">
        <v>23</v>
      </c>
      <c r="N3919" s="3">
        <v>186</v>
      </c>
      <c r="O3919" t="s">
        <v>24</v>
      </c>
      <c r="P3919" t="s">
        <v>56</v>
      </c>
      <c r="R3919">
        <f>tblDailySchedule[[#This Row],[Capacity Approx]]*'[1]Load Factor Sheet June Acft  '!$B$5</f>
        <v>150.61772727272728</v>
      </c>
      <c r="S3919">
        <f>tblDailySchedule[[#This Row],[Capacity Approx]]*'[1]Load Factor Sheet June Acft  '!$D$5</f>
        <v>163.08818181818182</v>
      </c>
      <c r="T3919" s="22">
        <f>tblDailySchedule[[#This Row],[STD]]</f>
        <v>0.54166666666666663</v>
      </c>
    </row>
    <row r="3920" spans="1:20" hidden="1" x14ac:dyDescent="0.35">
      <c r="A3920" s="11">
        <v>46251</v>
      </c>
      <c r="B3920" s="3">
        <v>1</v>
      </c>
      <c r="C3920" t="s">
        <v>100</v>
      </c>
      <c r="D3920" t="s">
        <v>18</v>
      </c>
      <c r="E3920" s="3">
        <v>13</v>
      </c>
      <c r="F3920" t="s">
        <v>19</v>
      </c>
      <c r="G3920" t="s">
        <v>57</v>
      </c>
      <c r="H3920" t="s">
        <v>58</v>
      </c>
      <c r="I3920" s="12">
        <v>0.55902777777777779</v>
      </c>
      <c r="J3920" t="s">
        <v>59</v>
      </c>
      <c r="K3920" t="s">
        <v>58</v>
      </c>
      <c r="L3920" s="12">
        <v>0.57638888888888884</v>
      </c>
      <c r="M3920" t="s">
        <v>51</v>
      </c>
      <c r="N3920" s="3">
        <v>78</v>
      </c>
      <c r="O3920" t="s">
        <v>24</v>
      </c>
      <c r="P3920" t="s">
        <v>56</v>
      </c>
      <c r="R3920">
        <f>tblDailySchedule[[#This Row],[Capacity Approx]]*'[1]Load Factor Sheet June Acft  '!$B$5</f>
        <v>63.162272727272729</v>
      </c>
      <c r="S3920">
        <f>tblDailySchedule[[#This Row],[Capacity Approx]]*'[1]Load Factor Sheet June Acft  '!$D$5</f>
        <v>68.391818181818181</v>
      </c>
      <c r="T3920" s="22">
        <f>tblDailySchedule[[#This Row],[STD]]</f>
        <v>0.57638888888888884</v>
      </c>
    </row>
    <row r="3921" spans="1:20" hidden="1" x14ac:dyDescent="0.35">
      <c r="A3921" s="11">
        <v>46251</v>
      </c>
      <c r="B3921" s="3">
        <v>1</v>
      </c>
      <c r="C3921" t="s">
        <v>100</v>
      </c>
      <c r="D3921" t="s">
        <v>18</v>
      </c>
      <c r="E3921" s="3">
        <v>14</v>
      </c>
      <c r="F3921" t="s">
        <v>19</v>
      </c>
      <c r="G3921" t="s">
        <v>60</v>
      </c>
      <c r="H3921" t="s">
        <v>61</v>
      </c>
      <c r="I3921" s="12">
        <v>0.59027777777777779</v>
      </c>
      <c r="J3921" t="s">
        <v>62</v>
      </c>
      <c r="K3921" t="s">
        <v>61</v>
      </c>
      <c r="L3921" s="12">
        <v>0.62152777777777779</v>
      </c>
      <c r="M3921" t="s">
        <v>63</v>
      </c>
      <c r="N3921" s="3">
        <v>232</v>
      </c>
      <c r="O3921" t="s">
        <v>24</v>
      </c>
      <c r="P3921" t="s">
        <v>56</v>
      </c>
      <c r="R3921">
        <f>tblDailySchedule[[#This Row],[Capacity Approx]]*'[1]Load Factor Sheet June Acft  '!$B$5</f>
        <v>187.86727272727273</v>
      </c>
      <c r="S3921">
        <f>tblDailySchedule[[#This Row],[Capacity Approx]]*'[1]Load Factor Sheet June Acft  '!$D$5</f>
        <v>203.4218181818182</v>
      </c>
      <c r="T3921" s="22">
        <f>tblDailySchedule[[#This Row],[STD]]</f>
        <v>0.62152777777777779</v>
      </c>
    </row>
    <row r="3922" spans="1:20" hidden="1" x14ac:dyDescent="0.35">
      <c r="A3922" s="11">
        <v>46251</v>
      </c>
      <c r="B3922" s="3">
        <v>1</v>
      </c>
      <c r="C3922" t="s">
        <v>100</v>
      </c>
      <c r="D3922" t="s">
        <v>18</v>
      </c>
      <c r="E3922" s="3">
        <v>15</v>
      </c>
      <c r="F3922" t="s">
        <v>19</v>
      </c>
      <c r="G3922" t="s">
        <v>64</v>
      </c>
      <c r="H3922" t="s">
        <v>31</v>
      </c>
      <c r="I3922" s="12">
        <v>0.60069444444444442</v>
      </c>
      <c r="J3922" t="s">
        <v>65</v>
      </c>
      <c r="K3922" t="s">
        <v>66</v>
      </c>
      <c r="L3922" s="12">
        <v>0.62847222222222221</v>
      </c>
      <c r="M3922" t="s">
        <v>63</v>
      </c>
      <c r="N3922" s="3">
        <v>232</v>
      </c>
      <c r="O3922" t="s">
        <v>24</v>
      </c>
      <c r="P3922" t="s">
        <v>56</v>
      </c>
      <c r="R3922">
        <f>tblDailySchedule[[#This Row],[Capacity Approx]]*'[1]Load Factor Sheet June Acft  '!$B$5</f>
        <v>187.86727272727273</v>
      </c>
      <c r="S3922">
        <f>tblDailySchedule[[#This Row],[Capacity Approx]]*'[1]Load Factor Sheet June Acft  '!$D$5</f>
        <v>203.4218181818182</v>
      </c>
      <c r="T3922" s="22">
        <f>tblDailySchedule[[#This Row],[STD]]</f>
        <v>0.62847222222222221</v>
      </c>
    </row>
    <row r="3923" spans="1:20" hidden="1" x14ac:dyDescent="0.35">
      <c r="A3923" s="11">
        <v>46251</v>
      </c>
      <c r="B3923" s="3">
        <v>1</v>
      </c>
      <c r="C3923" t="s">
        <v>100</v>
      </c>
      <c r="D3923" t="s">
        <v>18</v>
      </c>
      <c r="E3923" s="3">
        <v>16</v>
      </c>
      <c r="F3923" t="s">
        <v>19</v>
      </c>
      <c r="G3923" t="s">
        <v>67</v>
      </c>
      <c r="H3923" t="s">
        <v>31</v>
      </c>
      <c r="I3923" s="12">
        <v>0.65625</v>
      </c>
      <c r="J3923" t="s">
        <v>68</v>
      </c>
      <c r="K3923" t="s">
        <v>31</v>
      </c>
      <c r="L3923" s="12">
        <v>0.68402777777777779</v>
      </c>
      <c r="M3923" t="s">
        <v>63</v>
      </c>
      <c r="N3923" s="3">
        <v>232</v>
      </c>
      <c r="O3923" t="s">
        <v>24</v>
      </c>
      <c r="P3923" t="s">
        <v>56</v>
      </c>
      <c r="R3923">
        <f>tblDailySchedule[[#This Row],[Capacity Approx]]*'[1]Load Factor Sheet June Acft  '!$B$5</f>
        <v>187.86727272727273</v>
      </c>
      <c r="S3923">
        <f>tblDailySchedule[[#This Row],[Capacity Approx]]*'[1]Load Factor Sheet June Acft  '!$D$5</f>
        <v>203.4218181818182</v>
      </c>
      <c r="T3923" s="22">
        <f>tblDailySchedule[[#This Row],[STD]]</f>
        <v>0.68402777777777779</v>
      </c>
    </row>
    <row r="3924" spans="1:20" hidden="1" x14ac:dyDescent="0.35">
      <c r="A3924" s="11">
        <v>46251</v>
      </c>
      <c r="B3924" s="3">
        <v>1</v>
      </c>
      <c r="C3924" t="s">
        <v>100</v>
      </c>
      <c r="D3924" t="s">
        <v>18</v>
      </c>
      <c r="E3924" s="3">
        <v>17</v>
      </c>
      <c r="F3924" t="s">
        <v>19</v>
      </c>
      <c r="G3924" t="s">
        <v>69</v>
      </c>
      <c r="H3924" t="s">
        <v>31</v>
      </c>
      <c r="I3924" s="12">
        <v>0.66319444444444442</v>
      </c>
      <c r="J3924" t="s">
        <v>70</v>
      </c>
      <c r="K3924" t="s">
        <v>31</v>
      </c>
      <c r="L3924" s="12">
        <v>0.69097222222222221</v>
      </c>
      <c r="M3924" t="s">
        <v>33</v>
      </c>
      <c r="N3924" s="3">
        <v>189</v>
      </c>
      <c r="O3924" t="s">
        <v>24</v>
      </c>
      <c r="P3924" t="s">
        <v>56</v>
      </c>
      <c r="R3924">
        <f>tblDailySchedule[[#This Row],[Capacity Approx]]*'[1]Load Factor Sheet June Acft  '!$B$5</f>
        <v>153.04704545454547</v>
      </c>
      <c r="S3924">
        <f>tblDailySchedule[[#This Row],[Capacity Approx]]*'[1]Load Factor Sheet June Acft  '!$D$5</f>
        <v>165.71863636363636</v>
      </c>
      <c r="T3924" s="22">
        <f>tblDailySchedule[[#This Row],[STD]]</f>
        <v>0.69097222222222221</v>
      </c>
    </row>
    <row r="3925" spans="1:20" hidden="1" x14ac:dyDescent="0.35">
      <c r="A3925" s="11">
        <v>46251</v>
      </c>
      <c r="B3925" s="3">
        <v>1</v>
      </c>
      <c r="C3925" t="s">
        <v>100</v>
      </c>
      <c r="D3925" t="s">
        <v>18</v>
      </c>
      <c r="E3925" s="3">
        <v>18</v>
      </c>
      <c r="F3925" t="s">
        <v>19</v>
      </c>
      <c r="G3925" t="s">
        <v>71</v>
      </c>
      <c r="H3925" t="s">
        <v>21</v>
      </c>
      <c r="I3925" s="12">
        <v>0.67013888888888884</v>
      </c>
      <c r="J3925" t="s">
        <v>72</v>
      </c>
      <c r="K3925" t="s">
        <v>21</v>
      </c>
      <c r="L3925" s="12">
        <v>0.69791666666666663</v>
      </c>
      <c r="M3925" t="s">
        <v>63</v>
      </c>
      <c r="N3925" s="3">
        <v>232</v>
      </c>
      <c r="O3925" t="s">
        <v>24</v>
      </c>
      <c r="P3925" t="s">
        <v>56</v>
      </c>
      <c r="R3925">
        <f>tblDailySchedule[[#This Row],[Capacity Approx]]*'[1]Load Factor Sheet June Acft  '!$B$5</f>
        <v>187.86727272727273</v>
      </c>
      <c r="S3925">
        <f>tblDailySchedule[[#This Row],[Capacity Approx]]*'[1]Load Factor Sheet June Acft  '!$D$5</f>
        <v>203.4218181818182</v>
      </c>
      <c r="T3925" s="22">
        <f>tblDailySchedule[[#This Row],[STD]]</f>
        <v>0.69791666666666663</v>
      </c>
    </row>
    <row r="3926" spans="1:20" hidden="1" x14ac:dyDescent="0.35">
      <c r="A3926" s="11">
        <v>46251</v>
      </c>
      <c r="B3926" s="3">
        <v>1</v>
      </c>
      <c r="C3926" t="s">
        <v>100</v>
      </c>
      <c r="D3926" t="s">
        <v>18</v>
      </c>
      <c r="E3926" s="3">
        <v>19</v>
      </c>
      <c r="F3926" t="s">
        <v>19</v>
      </c>
      <c r="G3926" t="s">
        <v>73</v>
      </c>
      <c r="H3926" t="s">
        <v>27</v>
      </c>
      <c r="I3926" s="12">
        <v>0.74652777777777779</v>
      </c>
      <c r="J3926" t="s">
        <v>74</v>
      </c>
      <c r="K3926" t="s">
        <v>27</v>
      </c>
      <c r="L3926" s="12">
        <v>0.77430555555555558</v>
      </c>
      <c r="M3926" t="s">
        <v>63</v>
      </c>
      <c r="N3926" s="3">
        <v>232</v>
      </c>
      <c r="O3926" t="s">
        <v>24</v>
      </c>
      <c r="P3926" t="s">
        <v>56</v>
      </c>
      <c r="R3926">
        <f>tblDailySchedule[[#This Row],[Capacity Approx]]*'[1]Load Factor Sheet June Acft  '!$B$5</f>
        <v>187.86727272727273</v>
      </c>
      <c r="S3926">
        <f>tblDailySchedule[[#This Row],[Capacity Approx]]*'[1]Load Factor Sheet June Acft  '!$D$5</f>
        <v>203.4218181818182</v>
      </c>
      <c r="T3926" s="22">
        <f>tblDailySchedule[[#This Row],[STD]]</f>
        <v>0.77430555555555558</v>
      </c>
    </row>
    <row r="3927" spans="1:20" hidden="1" x14ac:dyDescent="0.35">
      <c r="A3927" s="11">
        <v>46251</v>
      </c>
      <c r="B3927" s="3">
        <v>1</v>
      </c>
      <c r="C3927" t="s">
        <v>100</v>
      </c>
      <c r="D3927" t="s">
        <v>18</v>
      </c>
      <c r="E3927" s="3">
        <v>20</v>
      </c>
      <c r="F3927" t="s">
        <v>34</v>
      </c>
      <c r="G3927" t="s">
        <v>75</v>
      </c>
      <c r="H3927" t="s">
        <v>76</v>
      </c>
      <c r="I3927" s="12">
        <v>0.76388888888888884</v>
      </c>
      <c r="J3927" t="s">
        <v>77</v>
      </c>
      <c r="K3927" t="s">
        <v>78</v>
      </c>
      <c r="L3927" s="12">
        <v>0.78472222222222221</v>
      </c>
      <c r="M3927" t="s">
        <v>51</v>
      </c>
      <c r="N3927" s="3">
        <v>78</v>
      </c>
      <c r="O3927" t="s">
        <v>24</v>
      </c>
      <c r="P3927" t="s">
        <v>79</v>
      </c>
      <c r="Q3927" s="16" t="s">
        <v>80</v>
      </c>
      <c r="R3927">
        <f>tblDailySchedule[[#This Row],[Capacity Approx]]*'[1]Load Factor Sheet June Acft  '!$B$5</f>
        <v>63.162272727272729</v>
      </c>
      <c r="S3927">
        <f>tblDailySchedule[[#This Row],[Capacity Approx]]*'[1]Load Factor Sheet June Acft  '!$D$5</f>
        <v>68.391818181818181</v>
      </c>
      <c r="T3927" s="22">
        <f>tblDailySchedule[[#This Row],[STD]]</f>
        <v>0.78472222222222221</v>
      </c>
    </row>
    <row r="3928" spans="1:20" hidden="1" x14ac:dyDescent="0.35">
      <c r="A3928" s="11">
        <v>46251</v>
      </c>
      <c r="B3928" s="3">
        <v>1</v>
      </c>
      <c r="C3928" t="s">
        <v>100</v>
      </c>
      <c r="D3928" t="s">
        <v>18</v>
      </c>
      <c r="E3928" s="3">
        <v>21</v>
      </c>
      <c r="F3928" t="s">
        <v>19</v>
      </c>
      <c r="G3928" t="s">
        <v>81</v>
      </c>
      <c r="H3928" t="s">
        <v>61</v>
      </c>
      <c r="I3928" s="12">
        <v>0.77083333333333337</v>
      </c>
      <c r="J3928" t="s">
        <v>82</v>
      </c>
      <c r="K3928" t="s">
        <v>49</v>
      </c>
      <c r="L3928" s="12">
        <v>0.79166666666666663</v>
      </c>
      <c r="M3928" t="s">
        <v>33</v>
      </c>
      <c r="N3928" s="3">
        <v>189</v>
      </c>
      <c r="O3928" t="s">
        <v>24</v>
      </c>
      <c r="P3928" t="s">
        <v>79</v>
      </c>
      <c r="R3928">
        <f>tblDailySchedule[[#This Row],[Capacity Approx]]*'[1]Load Factor Sheet June Acft  '!$B$5</f>
        <v>153.04704545454547</v>
      </c>
      <c r="S3928">
        <f>tblDailySchedule[[#This Row],[Capacity Approx]]*'[1]Load Factor Sheet June Acft  '!$D$5</f>
        <v>165.71863636363636</v>
      </c>
      <c r="T3928" s="22">
        <f>tblDailySchedule[[#This Row],[STD]]</f>
        <v>0.79166666666666663</v>
      </c>
    </row>
    <row r="3929" spans="1:20" hidden="1" x14ac:dyDescent="0.35">
      <c r="A3929" s="11">
        <v>46251</v>
      </c>
      <c r="B3929" s="3">
        <v>1</v>
      </c>
      <c r="C3929" t="s">
        <v>100</v>
      </c>
      <c r="D3929" t="s">
        <v>18</v>
      </c>
      <c r="E3929" s="3">
        <v>22</v>
      </c>
      <c r="F3929" t="s">
        <v>19</v>
      </c>
      <c r="G3929" t="s">
        <v>83</v>
      </c>
      <c r="H3929" t="s">
        <v>31</v>
      </c>
      <c r="I3929" s="12">
        <v>0.77777777777777779</v>
      </c>
      <c r="J3929" t="s">
        <v>84</v>
      </c>
      <c r="K3929" t="s">
        <v>31</v>
      </c>
      <c r="L3929" s="12">
        <v>0.80555555555555558</v>
      </c>
      <c r="M3929" t="s">
        <v>63</v>
      </c>
      <c r="N3929" s="3">
        <v>232</v>
      </c>
      <c r="O3929" t="s">
        <v>24</v>
      </c>
      <c r="P3929" t="s">
        <v>79</v>
      </c>
      <c r="R3929">
        <f>tblDailySchedule[[#This Row],[Capacity Approx]]*'[1]Load Factor Sheet June Acft  '!$B$5</f>
        <v>187.86727272727273</v>
      </c>
      <c r="S3929">
        <f>tblDailySchedule[[#This Row],[Capacity Approx]]*'[1]Load Factor Sheet June Acft  '!$D$5</f>
        <v>203.4218181818182</v>
      </c>
      <c r="T3929" s="22">
        <f>tblDailySchedule[[#This Row],[STD]]</f>
        <v>0.80555555555555558</v>
      </c>
    </row>
    <row r="3930" spans="1:20" hidden="1" x14ac:dyDescent="0.35">
      <c r="A3930" s="11">
        <v>46251</v>
      </c>
      <c r="B3930" s="3">
        <v>1</v>
      </c>
      <c r="C3930" t="s">
        <v>100</v>
      </c>
      <c r="D3930" t="s">
        <v>18</v>
      </c>
      <c r="E3930" s="3">
        <v>23</v>
      </c>
      <c r="F3930" t="s">
        <v>19</v>
      </c>
      <c r="G3930" t="s">
        <v>85</v>
      </c>
      <c r="H3930" t="s">
        <v>86</v>
      </c>
      <c r="I3930" s="12">
        <v>0.79861111111111116</v>
      </c>
      <c r="J3930" t="s">
        <v>87</v>
      </c>
      <c r="K3930" t="s">
        <v>86</v>
      </c>
      <c r="L3930" s="12">
        <v>0.82638888888888884</v>
      </c>
      <c r="M3930" t="s">
        <v>63</v>
      </c>
      <c r="N3930" s="3">
        <v>232</v>
      </c>
      <c r="O3930" t="s">
        <v>24</v>
      </c>
      <c r="P3930" t="s">
        <v>79</v>
      </c>
      <c r="R3930">
        <f>tblDailySchedule[[#This Row],[Capacity Approx]]*'[1]Load Factor Sheet June Acft  '!$B$5</f>
        <v>187.86727272727273</v>
      </c>
      <c r="S3930">
        <f>tblDailySchedule[[#This Row],[Capacity Approx]]*'[1]Load Factor Sheet June Acft  '!$D$5</f>
        <v>203.4218181818182</v>
      </c>
      <c r="T3930" s="22">
        <f>tblDailySchedule[[#This Row],[STD]]</f>
        <v>0.82638888888888884</v>
      </c>
    </row>
    <row r="3931" spans="1:20" hidden="1" x14ac:dyDescent="0.35">
      <c r="A3931" s="11">
        <v>46251</v>
      </c>
      <c r="B3931" s="3">
        <v>1</v>
      </c>
      <c r="C3931" t="s">
        <v>100</v>
      </c>
      <c r="D3931" t="s">
        <v>18</v>
      </c>
      <c r="E3931" s="3">
        <v>24</v>
      </c>
      <c r="F3931" t="s">
        <v>19</v>
      </c>
      <c r="G3931" t="s">
        <v>88</v>
      </c>
      <c r="H3931" t="s">
        <v>89</v>
      </c>
      <c r="I3931" s="12">
        <v>0.83333333333333337</v>
      </c>
      <c r="J3931" t="s">
        <v>90</v>
      </c>
      <c r="K3931" t="s">
        <v>31</v>
      </c>
      <c r="L3931" s="12">
        <v>0.86111111111111116</v>
      </c>
      <c r="M3931" t="s">
        <v>63</v>
      </c>
      <c r="N3931" s="3">
        <v>232</v>
      </c>
      <c r="O3931" t="s">
        <v>24</v>
      </c>
      <c r="P3931" t="s">
        <v>79</v>
      </c>
      <c r="R3931">
        <f>tblDailySchedule[[#This Row],[Capacity Approx]]*'[1]Load Factor Sheet June Acft  '!$B$5</f>
        <v>187.86727272727273</v>
      </c>
      <c r="S3931">
        <f>tblDailySchedule[[#This Row],[Capacity Approx]]*'[1]Load Factor Sheet June Acft  '!$D$5</f>
        <v>203.4218181818182</v>
      </c>
      <c r="T3931" s="22">
        <f>tblDailySchedule[[#This Row],[STD]]</f>
        <v>0.86111111111111116</v>
      </c>
    </row>
    <row r="3932" spans="1:20" hidden="1" x14ac:dyDescent="0.35">
      <c r="A3932" s="11">
        <v>46251</v>
      </c>
      <c r="B3932" s="3">
        <v>1</v>
      </c>
      <c r="C3932" t="s">
        <v>100</v>
      </c>
      <c r="D3932" t="s">
        <v>18</v>
      </c>
      <c r="E3932" s="3">
        <v>25</v>
      </c>
      <c r="F3932" t="s">
        <v>19</v>
      </c>
      <c r="G3932" t="s">
        <v>91</v>
      </c>
      <c r="H3932" t="s">
        <v>61</v>
      </c>
      <c r="I3932" s="12">
        <v>0.85416666666666663</v>
      </c>
      <c r="J3932" t="s">
        <v>92</v>
      </c>
      <c r="K3932" t="s">
        <v>61</v>
      </c>
      <c r="L3932" s="12">
        <v>0.88194444444444442</v>
      </c>
      <c r="M3932" t="s">
        <v>63</v>
      </c>
      <c r="N3932" s="3">
        <v>232</v>
      </c>
      <c r="O3932" t="s">
        <v>24</v>
      </c>
      <c r="P3932" t="s">
        <v>79</v>
      </c>
      <c r="R3932">
        <f>tblDailySchedule[[#This Row],[Capacity Approx]]*'[1]Load Factor Sheet June Acft  '!$B$5</f>
        <v>187.86727272727273</v>
      </c>
      <c r="S3932">
        <f>tblDailySchedule[[#This Row],[Capacity Approx]]*'[1]Load Factor Sheet June Acft  '!$D$5</f>
        <v>203.4218181818182</v>
      </c>
      <c r="T3932" s="22">
        <f>tblDailySchedule[[#This Row],[STD]]</f>
        <v>0.88194444444444442</v>
      </c>
    </row>
    <row r="3933" spans="1:20" hidden="1" x14ac:dyDescent="0.35">
      <c r="A3933" s="11">
        <v>46251</v>
      </c>
      <c r="B3933" s="3">
        <v>1</v>
      </c>
      <c r="C3933" t="s">
        <v>100</v>
      </c>
      <c r="D3933" t="s">
        <v>18</v>
      </c>
      <c r="E3933" s="3">
        <v>26</v>
      </c>
      <c r="F3933" t="s">
        <v>19</v>
      </c>
      <c r="G3933" t="s">
        <v>93</v>
      </c>
      <c r="H3933" t="s">
        <v>31</v>
      </c>
      <c r="I3933" s="12">
        <v>0.86111111111111116</v>
      </c>
      <c r="J3933" t="s">
        <v>94</v>
      </c>
      <c r="K3933" t="s">
        <v>31</v>
      </c>
      <c r="L3933" s="12">
        <v>0.88888888888888884</v>
      </c>
      <c r="M3933" t="s">
        <v>23</v>
      </c>
      <c r="N3933" s="3">
        <v>186</v>
      </c>
      <c r="O3933" t="s">
        <v>24</v>
      </c>
      <c r="P3933" t="s">
        <v>79</v>
      </c>
      <c r="R3933">
        <f>tblDailySchedule[[#This Row],[Capacity Approx]]*'[1]Load Factor Sheet June Acft  '!$B$5</f>
        <v>150.61772727272728</v>
      </c>
      <c r="S3933">
        <f>tblDailySchedule[[#This Row],[Capacity Approx]]*'[1]Load Factor Sheet June Acft  '!$D$5</f>
        <v>163.08818181818182</v>
      </c>
      <c r="T3933" s="22">
        <f>tblDailySchedule[[#This Row],[STD]]</f>
        <v>0.88888888888888884</v>
      </c>
    </row>
    <row r="3934" spans="1:20" hidden="1" x14ac:dyDescent="0.35">
      <c r="A3934" s="11">
        <v>46251</v>
      </c>
      <c r="B3934" s="3">
        <v>1</v>
      </c>
      <c r="C3934" t="s">
        <v>100</v>
      </c>
      <c r="D3934" t="s">
        <v>18</v>
      </c>
      <c r="E3934" s="3">
        <v>27</v>
      </c>
      <c r="F3934" t="s">
        <v>19</v>
      </c>
      <c r="G3934" t="s">
        <v>95</v>
      </c>
      <c r="H3934" t="s">
        <v>21</v>
      </c>
      <c r="I3934" s="12">
        <v>0.86805555555555558</v>
      </c>
      <c r="J3934" t="s">
        <v>96</v>
      </c>
      <c r="K3934" t="s">
        <v>21</v>
      </c>
      <c r="L3934" s="12">
        <v>0.89583333333333337</v>
      </c>
      <c r="M3934" t="s">
        <v>29</v>
      </c>
      <c r="N3934" s="3">
        <v>186</v>
      </c>
      <c r="O3934" t="s">
        <v>24</v>
      </c>
      <c r="P3934" t="s">
        <v>79</v>
      </c>
      <c r="R3934">
        <f>tblDailySchedule[[#This Row],[Capacity Approx]]*'[1]Load Factor Sheet June Acft  '!$B$5</f>
        <v>150.61772727272728</v>
      </c>
      <c r="S3934">
        <f>tblDailySchedule[[#This Row],[Capacity Approx]]*'[1]Load Factor Sheet June Acft  '!$D$5</f>
        <v>163.08818181818182</v>
      </c>
      <c r="T3934" s="22">
        <f>tblDailySchedule[[#This Row],[STD]]</f>
        <v>0.89583333333333337</v>
      </c>
    </row>
    <row r="3935" spans="1:20" hidden="1" x14ac:dyDescent="0.35">
      <c r="A3935" s="11">
        <v>46251</v>
      </c>
      <c r="B3935" s="3">
        <v>1</v>
      </c>
      <c r="C3935" t="s">
        <v>100</v>
      </c>
      <c r="D3935" t="s">
        <v>18</v>
      </c>
      <c r="E3935" s="3">
        <v>28</v>
      </c>
      <c r="F3935" t="s">
        <v>19</v>
      </c>
      <c r="G3935" t="s">
        <v>97</v>
      </c>
      <c r="H3935" t="s">
        <v>49</v>
      </c>
      <c r="I3935" s="12">
        <v>0.90277777777777779</v>
      </c>
      <c r="J3935" t="s">
        <v>97</v>
      </c>
      <c r="K3935" t="s">
        <v>61</v>
      </c>
      <c r="L3935" s="12">
        <v>0.92361111111111116</v>
      </c>
      <c r="M3935" t="s">
        <v>33</v>
      </c>
      <c r="N3935" s="3">
        <v>189</v>
      </c>
      <c r="O3935" t="s">
        <v>24</v>
      </c>
      <c r="P3935" t="s">
        <v>79</v>
      </c>
      <c r="R3935">
        <f>tblDailySchedule[[#This Row],[Capacity Approx]]*'[1]Load Factor Sheet June Acft  '!$B$5</f>
        <v>153.04704545454547</v>
      </c>
      <c r="S3935">
        <f>tblDailySchedule[[#This Row],[Capacity Approx]]*'[1]Load Factor Sheet June Acft  '!$D$5</f>
        <v>165.71863636363636</v>
      </c>
      <c r="T3935" s="22">
        <f>tblDailySchedule[[#This Row],[STD]]</f>
        <v>0.92361111111111116</v>
      </c>
    </row>
    <row r="3936" spans="1:20" hidden="1" x14ac:dyDescent="0.35">
      <c r="A3936" s="11">
        <v>46251</v>
      </c>
      <c r="B3936" s="3">
        <v>1</v>
      </c>
      <c r="C3936" t="s">
        <v>100</v>
      </c>
      <c r="D3936" t="s">
        <v>18</v>
      </c>
      <c r="E3936" s="3">
        <v>29</v>
      </c>
      <c r="F3936" t="s">
        <v>19</v>
      </c>
      <c r="G3936" t="s">
        <v>98</v>
      </c>
      <c r="H3936" t="s">
        <v>21</v>
      </c>
      <c r="I3936" s="12">
        <v>0.92013888888888884</v>
      </c>
      <c r="J3936" t="s">
        <v>99</v>
      </c>
      <c r="K3936" t="s">
        <v>21</v>
      </c>
      <c r="L3936" s="12">
        <v>0.94791666666666663</v>
      </c>
      <c r="M3936" t="s">
        <v>63</v>
      </c>
      <c r="N3936" s="3">
        <v>232</v>
      </c>
      <c r="O3936" t="s">
        <v>24</v>
      </c>
      <c r="P3936" t="s">
        <v>79</v>
      </c>
      <c r="R3936">
        <f>tblDailySchedule[[#This Row],[Capacity Approx]]*'[1]Load Factor Sheet June Acft  '!$B$5</f>
        <v>187.86727272727273</v>
      </c>
      <c r="S3936">
        <f>tblDailySchedule[[#This Row],[Capacity Approx]]*'[1]Load Factor Sheet June Acft  '!$D$5</f>
        <v>203.4218181818182</v>
      </c>
      <c r="T3936" s="22">
        <f>tblDailySchedule[[#This Row],[STD]]</f>
        <v>0.94791666666666663</v>
      </c>
    </row>
    <row r="3937" spans="1:20" hidden="1" x14ac:dyDescent="0.35">
      <c r="A3937" s="13">
        <v>46251</v>
      </c>
      <c r="B3937" s="7">
        <v>1</v>
      </c>
      <c r="C3937" s="14" t="s">
        <v>100</v>
      </c>
      <c r="D3937" s="14" t="s">
        <v>18</v>
      </c>
      <c r="E3937" s="7">
        <v>30</v>
      </c>
      <c r="F3937" s="14" t="s">
        <v>104</v>
      </c>
      <c r="G3937" s="14" t="s">
        <v>105</v>
      </c>
      <c r="H3937" s="14" t="s">
        <v>106</v>
      </c>
      <c r="I3937" s="15">
        <v>0.92708333333333337</v>
      </c>
      <c r="J3937" s="14" t="s">
        <v>107</v>
      </c>
      <c r="K3937" s="14" t="s">
        <v>106</v>
      </c>
      <c r="L3937" s="15">
        <v>0.95833333333333337</v>
      </c>
      <c r="M3937" s="14" t="s">
        <v>38</v>
      </c>
      <c r="N3937" s="7">
        <v>186</v>
      </c>
      <c r="O3937" s="14" t="s">
        <v>39</v>
      </c>
      <c r="P3937" s="14" t="s">
        <v>79</v>
      </c>
      <c r="Q3937" s="14" t="s">
        <v>39</v>
      </c>
      <c r="R3937">
        <f>tblDailySchedule[[#This Row],[Capacity Approx]]*'[1]Load Factor Sheet June Acft  '!$B$5</f>
        <v>150.61772727272728</v>
      </c>
      <c r="S3937">
        <f>tblDailySchedule[[#This Row],[Capacity Approx]]*'[1]Load Factor Sheet June Acft  '!$D$5</f>
        <v>163.08818181818182</v>
      </c>
      <c r="T3937" s="22">
        <f>tblDailySchedule[[#This Row],[STD]]</f>
        <v>0.95833333333333337</v>
      </c>
    </row>
    <row r="3938" spans="1:20" hidden="1" x14ac:dyDescent="0.35">
      <c r="A3938" s="11">
        <v>46252</v>
      </c>
      <c r="B3938" s="3">
        <v>2</v>
      </c>
      <c r="C3938" t="s">
        <v>108</v>
      </c>
      <c r="D3938" t="s">
        <v>18</v>
      </c>
      <c r="E3938" s="3">
        <v>1</v>
      </c>
      <c r="F3938" t="s">
        <v>101</v>
      </c>
      <c r="G3938" t="s">
        <v>102</v>
      </c>
      <c r="H3938" t="s">
        <v>61</v>
      </c>
      <c r="I3938" s="12">
        <v>0.3125</v>
      </c>
      <c r="J3938" t="s">
        <v>103</v>
      </c>
      <c r="K3938" t="s">
        <v>61</v>
      </c>
      <c r="L3938" s="12">
        <v>0.33333333333333331</v>
      </c>
      <c r="M3938" t="s">
        <v>33</v>
      </c>
      <c r="N3938" s="3">
        <v>189</v>
      </c>
      <c r="O3938" t="s">
        <v>24</v>
      </c>
      <c r="P3938" t="s">
        <v>25</v>
      </c>
      <c r="R3938">
        <f>tblDailySchedule[[#This Row],[Capacity Approx]]*'[1]Load Factor Sheet June Acft  '!$B$5</f>
        <v>153.04704545454547</v>
      </c>
      <c r="S3938">
        <f>tblDailySchedule[[#This Row],[Capacity Approx]]*'[1]Load Factor Sheet June Acft  '!$D$5</f>
        <v>165.71863636363636</v>
      </c>
      <c r="T3938" s="22">
        <f>tblDailySchedule[[#This Row],[STD]]</f>
        <v>0.33333333333333331</v>
      </c>
    </row>
    <row r="3939" spans="1:20" hidden="1" x14ac:dyDescent="0.35">
      <c r="A3939" s="11">
        <v>46252</v>
      </c>
      <c r="B3939" s="3">
        <v>2</v>
      </c>
      <c r="C3939" t="s">
        <v>108</v>
      </c>
      <c r="D3939" t="s">
        <v>18</v>
      </c>
      <c r="E3939" s="3">
        <v>2</v>
      </c>
      <c r="F3939" t="s">
        <v>19</v>
      </c>
      <c r="G3939" t="s">
        <v>20</v>
      </c>
      <c r="H3939" t="s">
        <v>21</v>
      </c>
      <c r="I3939" s="12">
        <v>0.31944444444444442</v>
      </c>
      <c r="J3939" t="s">
        <v>22</v>
      </c>
      <c r="K3939" t="s">
        <v>21</v>
      </c>
      <c r="L3939" s="12">
        <v>0.34722222222222221</v>
      </c>
      <c r="M3939" t="s">
        <v>23</v>
      </c>
      <c r="N3939" s="3">
        <v>186</v>
      </c>
      <c r="O3939" t="s">
        <v>24</v>
      </c>
      <c r="P3939" t="s">
        <v>25</v>
      </c>
      <c r="R3939">
        <f>tblDailySchedule[[#This Row],[Capacity Approx]]*'[1]Load Factor Sheet June Acft  '!$B$5</f>
        <v>150.61772727272728</v>
      </c>
      <c r="S3939">
        <f>tblDailySchedule[[#This Row],[Capacity Approx]]*'[1]Load Factor Sheet June Acft  '!$D$5</f>
        <v>163.08818181818182</v>
      </c>
      <c r="T3939" s="22">
        <f>tblDailySchedule[[#This Row],[STD]]</f>
        <v>0.34722222222222221</v>
      </c>
    </row>
    <row r="3940" spans="1:20" hidden="1" x14ac:dyDescent="0.35">
      <c r="A3940" s="11">
        <v>46252</v>
      </c>
      <c r="B3940" s="3">
        <v>2</v>
      </c>
      <c r="C3940" t="s">
        <v>108</v>
      </c>
      <c r="D3940" t="s">
        <v>18</v>
      </c>
      <c r="E3940" s="3">
        <v>3</v>
      </c>
      <c r="F3940" t="s">
        <v>19</v>
      </c>
      <c r="G3940" t="s">
        <v>26</v>
      </c>
      <c r="H3940" t="s">
        <v>27</v>
      </c>
      <c r="I3940" s="12">
        <v>0.3263888888888889</v>
      </c>
      <c r="J3940" t="s">
        <v>28</v>
      </c>
      <c r="K3940" t="s">
        <v>27</v>
      </c>
      <c r="L3940" s="12">
        <v>0.35416666666666669</v>
      </c>
      <c r="M3940" t="s">
        <v>29</v>
      </c>
      <c r="N3940" s="3">
        <v>186</v>
      </c>
      <c r="O3940" t="s">
        <v>24</v>
      </c>
      <c r="P3940" t="s">
        <v>25</v>
      </c>
      <c r="R3940">
        <f>tblDailySchedule[[#This Row],[Capacity Approx]]*'[1]Load Factor Sheet June Acft  '!$B$5</f>
        <v>150.61772727272728</v>
      </c>
      <c r="S3940">
        <f>tblDailySchedule[[#This Row],[Capacity Approx]]*'[1]Load Factor Sheet June Acft  '!$D$5</f>
        <v>163.08818181818182</v>
      </c>
      <c r="T3940" s="22">
        <f>tblDailySchedule[[#This Row],[STD]]</f>
        <v>0.35416666666666669</v>
      </c>
    </row>
    <row r="3941" spans="1:20" hidden="1" x14ac:dyDescent="0.35">
      <c r="A3941" s="11">
        <v>46252</v>
      </c>
      <c r="B3941" s="3">
        <v>2</v>
      </c>
      <c r="C3941" t="s">
        <v>108</v>
      </c>
      <c r="D3941" t="s">
        <v>18</v>
      </c>
      <c r="E3941" s="3">
        <v>4</v>
      </c>
      <c r="F3941" t="s">
        <v>19</v>
      </c>
      <c r="G3941" t="s">
        <v>30</v>
      </c>
      <c r="H3941" t="s">
        <v>31</v>
      </c>
      <c r="I3941" s="12">
        <v>0.34722222222222221</v>
      </c>
      <c r="J3941" t="s">
        <v>32</v>
      </c>
      <c r="K3941" t="s">
        <v>31</v>
      </c>
      <c r="L3941" s="12">
        <v>0.36805555555555558</v>
      </c>
      <c r="M3941" t="s">
        <v>33</v>
      </c>
      <c r="N3941" s="3">
        <v>189</v>
      </c>
      <c r="O3941" t="s">
        <v>24</v>
      </c>
      <c r="P3941" t="s">
        <v>25</v>
      </c>
      <c r="R3941">
        <f>tblDailySchedule[[#This Row],[Capacity Approx]]*'[1]Load Factor Sheet June Acft  '!$B$5</f>
        <v>153.04704545454547</v>
      </c>
      <c r="S3941">
        <f>tblDailySchedule[[#This Row],[Capacity Approx]]*'[1]Load Factor Sheet June Acft  '!$D$5</f>
        <v>165.71863636363636</v>
      </c>
      <c r="T3941" s="22">
        <f>tblDailySchedule[[#This Row],[STD]]</f>
        <v>0.36805555555555558</v>
      </c>
    </row>
    <row r="3942" spans="1:20" hidden="1" x14ac:dyDescent="0.35">
      <c r="A3942" s="11">
        <v>46252</v>
      </c>
      <c r="B3942" s="3">
        <v>2</v>
      </c>
      <c r="C3942" t="s">
        <v>108</v>
      </c>
      <c r="D3942" t="s">
        <v>18</v>
      </c>
      <c r="E3942" s="3">
        <v>5</v>
      </c>
      <c r="F3942" t="s">
        <v>19</v>
      </c>
      <c r="G3942" t="s">
        <v>40</v>
      </c>
      <c r="H3942" t="s">
        <v>31</v>
      </c>
      <c r="I3942" s="12">
        <v>0.35069444444444442</v>
      </c>
      <c r="J3942" t="s">
        <v>41</v>
      </c>
      <c r="K3942" t="s">
        <v>31</v>
      </c>
      <c r="L3942" s="12">
        <v>0.37152777777777779</v>
      </c>
      <c r="M3942" t="s">
        <v>23</v>
      </c>
      <c r="N3942" s="3">
        <v>186</v>
      </c>
      <c r="O3942" t="s">
        <v>24</v>
      </c>
      <c r="P3942" t="s">
        <v>25</v>
      </c>
      <c r="R3942">
        <f>tblDailySchedule[[#This Row],[Capacity Approx]]*'[1]Load Factor Sheet June Acft  '!$B$5</f>
        <v>150.61772727272728</v>
      </c>
      <c r="S3942">
        <f>tblDailySchedule[[#This Row],[Capacity Approx]]*'[1]Load Factor Sheet June Acft  '!$D$5</f>
        <v>163.08818181818182</v>
      </c>
      <c r="T3942" s="22">
        <f>tblDailySchedule[[#This Row],[STD]]</f>
        <v>0.37152777777777779</v>
      </c>
    </row>
    <row r="3943" spans="1:20" hidden="1" x14ac:dyDescent="0.35">
      <c r="A3943" s="11">
        <v>46252</v>
      </c>
      <c r="B3943" s="3">
        <v>2</v>
      </c>
      <c r="C3943" t="s">
        <v>108</v>
      </c>
      <c r="D3943" t="s">
        <v>18</v>
      </c>
      <c r="E3943" s="3">
        <v>7</v>
      </c>
      <c r="F3943" t="s">
        <v>19</v>
      </c>
      <c r="G3943" t="s">
        <v>42</v>
      </c>
      <c r="H3943" t="s">
        <v>43</v>
      </c>
      <c r="I3943" s="12">
        <v>0.3923611111111111</v>
      </c>
      <c r="J3943" t="s">
        <v>44</v>
      </c>
      <c r="K3943" t="s">
        <v>43</v>
      </c>
      <c r="L3943" s="12">
        <v>0.40277777777777779</v>
      </c>
      <c r="M3943" t="s">
        <v>45</v>
      </c>
      <c r="N3943" s="3">
        <v>9</v>
      </c>
      <c r="O3943" t="s">
        <v>24</v>
      </c>
      <c r="P3943" t="s">
        <v>25</v>
      </c>
      <c r="R3943">
        <f>tblDailySchedule[[#This Row],[Capacity Approx]]*'[1]Load Factor Sheet June Acft  '!$B$5</f>
        <v>7.2879545454545456</v>
      </c>
      <c r="S3943">
        <f>tblDailySchedule[[#This Row],[Capacity Approx]]*'[1]Load Factor Sheet June Acft  '!$D$5</f>
        <v>7.8913636363636366</v>
      </c>
      <c r="T3943" s="22">
        <f>tblDailySchedule[[#This Row],[STD]]</f>
        <v>0.40277777777777779</v>
      </c>
    </row>
    <row r="3944" spans="1:20" hidden="1" x14ac:dyDescent="0.35">
      <c r="A3944" s="11">
        <v>46252</v>
      </c>
      <c r="B3944" s="3">
        <v>2</v>
      </c>
      <c r="C3944" t="s">
        <v>108</v>
      </c>
      <c r="D3944" t="s">
        <v>18</v>
      </c>
      <c r="E3944" s="3">
        <v>8</v>
      </c>
      <c r="F3944" t="s">
        <v>19</v>
      </c>
      <c r="G3944" t="s">
        <v>46</v>
      </c>
      <c r="H3944" t="s">
        <v>31</v>
      </c>
      <c r="I3944" s="12">
        <v>0.4201388888888889</v>
      </c>
      <c r="J3944" t="s">
        <v>47</v>
      </c>
      <c r="K3944" t="s">
        <v>31</v>
      </c>
      <c r="L3944" s="12">
        <v>0.44444444444444442</v>
      </c>
      <c r="M3944" t="s">
        <v>29</v>
      </c>
      <c r="N3944" s="3">
        <v>186</v>
      </c>
      <c r="O3944" t="s">
        <v>24</v>
      </c>
      <c r="P3944" t="s">
        <v>25</v>
      </c>
      <c r="R3944">
        <f>tblDailySchedule[[#This Row],[Capacity Approx]]*'[1]Load Factor Sheet June Acft  '!$B$5</f>
        <v>150.61772727272728</v>
      </c>
      <c r="S3944">
        <f>tblDailySchedule[[#This Row],[Capacity Approx]]*'[1]Load Factor Sheet June Acft  '!$D$5</f>
        <v>163.08818181818182</v>
      </c>
      <c r="T3944" s="22">
        <f>tblDailySchedule[[#This Row],[STD]]</f>
        <v>0.44444444444444442</v>
      </c>
    </row>
    <row r="3945" spans="1:20" hidden="1" x14ac:dyDescent="0.35">
      <c r="A3945" s="11">
        <v>46252</v>
      </c>
      <c r="B3945" s="3">
        <v>2</v>
      </c>
      <c r="C3945" t="s">
        <v>108</v>
      </c>
      <c r="D3945" t="s">
        <v>18</v>
      </c>
      <c r="E3945" s="3">
        <v>9</v>
      </c>
      <c r="F3945" t="s">
        <v>19</v>
      </c>
      <c r="G3945" t="s">
        <v>48</v>
      </c>
      <c r="H3945" t="s">
        <v>49</v>
      </c>
      <c r="I3945" s="12">
        <v>0.4375</v>
      </c>
      <c r="J3945" t="s">
        <v>50</v>
      </c>
      <c r="K3945" t="s">
        <v>49</v>
      </c>
      <c r="L3945" s="12">
        <v>0.45833333333333331</v>
      </c>
      <c r="M3945" t="s">
        <v>51</v>
      </c>
      <c r="N3945" s="3">
        <v>78</v>
      </c>
      <c r="O3945" t="s">
        <v>24</v>
      </c>
      <c r="P3945" t="s">
        <v>25</v>
      </c>
      <c r="R3945">
        <f>tblDailySchedule[[#This Row],[Capacity Approx]]*'[1]Load Factor Sheet June Acft  '!$B$5</f>
        <v>63.162272727272729</v>
      </c>
      <c r="S3945">
        <f>tblDailySchedule[[#This Row],[Capacity Approx]]*'[1]Load Factor Sheet June Acft  '!$D$5</f>
        <v>68.391818181818181</v>
      </c>
      <c r="T3945" s="22">
        <f>tblDailySchedule[[#This Row],[STD]]</f>
        <v>0.45833333333333331</v>
      </c>
    </row>
    <row r="3946" spans="1:20" hidden="1" x14ac:dyDescent="0.35">
      <c r="A3946" s="11">
        <v>46252</v>
      </c>
      <c r="B3946" s="3">
        <v>2</v>
      </c>
      <c r="C3946" t="s">
        <v>108</v>
      </c>
      <c r="D3946" t="s">
        <v>18</v>
      </c>
      <c r="E3946" s="3">
        <v>10</v>
      </c>
      <c r="F3946" t="s">
        <v>19</v>
      </c>
      <c r="G3946" t="s">
        <v>52</v>
      </c>
      <c r="H3946" t="s">
        <v>27</v>
      </c>
      <c r="I3946" s="12">
        <v>0.4826388888888889</v>
      </c>
      <c r="J3946" t="s">
        <v>53</v>
      </c>
      <c r="K3946" t="s">
        <v>27</v>
      </c>
      <c r="L3946" s="12">
        <v>0.51041666666666663</v>
      </c>
      <c r="M3946" t="s">
        <v>23</v>
      </c>
      <c r="N3946" s="3">
        <v>186</v>
      </c>
      <c r="O3946" t="s">
        <v>24</v>
      </c>
      <c r="P3946" t="s">
        <v>25</v>
      </c>
      <c r="R3946">
        <f>tblDailySchedule[[#This Row],[Capacity Approx]]*'[1]Load Factor Sheet June Acft  '!$B$5</f>
        <v>150.61772727272728</v>
      </c>
      <c r="S3946">
        <f>tblDailySchedule[[#This Row],[Capacity Approx]]*'[1]Load Factor Sheet June Acft  '!$D$5</f>
        <v>163.08818181818182</v>
      </c>
      <c r="T3946" s="22">
        <f>tblDailySchedule[[#This Row],[STD]]</f>
        <v>0.51041666666666663</v>
      </c>
    </row>
    <row r="3947" spans="1:20" hidden="1" x14ac:dyDescent="0.35">
      <c r="A3947" s="11">
        <v>46252</v>
      </c>
      <c r="B3947" s="3">
        <v>2</v>
      </c>
      <c r="C3947" t="s">
        <v>108</v>
      </c>
      <c r="D3947" t="s">
        <v>18</v>
      </c>
      <c r="E3947" s="3">
        <v>11</v>
      </c>
      <c r="F3947" t="s">
        <v>19</v>
      </c>
      <c r="G3947" t="s">
        <v>54</v>
      </c>
      <c r="H3947" t="s">
        <v>31</v>
      </c>
      <c r="I3947" s="12">
        <v>0.51388888888888884</v>
      </c>
      <c r="J3947" t="s">
        <v>55</v>
      </c>
      <c r="K3947" t="s">
        <v>31</v>
      </c>
      <c r="L3947" s="12">
        <v>0.54166666666666663</v>
      </c>
      <c r="M3947" t="s">
        <v>23</v>
      </c>
      <c r="N3947" s="3">
        <v>186</v>
      </c>
      <c r="O3947" t="s">
        <v>24</v>
      </c>
      <c r="P3947" t="s">
        <v>56</v>
      </c>
      <c r="R3947">
        <f>tblDailySchedule[[#This Row],[Capacity Approx]]*'[1]Load Factor Sheet June Acft  '!$B$5</f>
        <v>150.61772727272728</v>
      </c>
      <c r="S3947">
        <f>tblDailySchedule[[#This Row],[Capacity Approx]]*'[1]Load Factor Sheet June Acft  '!$D$5</f>
        <v>163.08818181818182</v>
      </c>
      <c r="T3947" s="22">
        <f>tblDailySchedule[[#This Row],[STD]]</f>
        <v>0.54166666666666663</v>
      </c>
    </row>
    <row r="3948" spans="1:20" hidden="1" x14ac:dyDescent="0.35">
      <c r="A3948" s="11">
        <v>46252</v>
      </c>
      <c r="B3948" s="3">
        <v>2</v>
      </c>
      <c r="C3948" t="s">
        <v>108</v>
      </c>
      <c r="D3948" t="s">
        <v>18</v>
      </c>
      <c r="E3948" s="3">
        <v>12</v>
      </c>
      <c r="F3948" t="s">
        <v>109</v>
      </c>
      <c r="G3948" t="s">
        <v>110</v>
      </c>
      <c r="H3948" t="s">
        <v>111</v>
      </c>
      <c r="I3948" s="12">
        <v>0.55555555555555558</v>
      </c>
      <c r="J3948" t="s">
        <v>112</v>
      </c>
      <c r="K3948" t="s">
        <v>111</v>
      </c>
      <c r="L3948" s="12">
        <v>0.56944444444444442</v>
      </c>
      <c r="M3948" t="s">
        <v>51</v>
      </c>
      <c r="N3948" s="3">
        <v>78</v>
      </c>
      <c r="O3948" t="s">
        <v>24</v>
      </c>
      <c r="P3948" t="s">
        <v>56</v>
      </c>
      <c r="R3948">
        <f>tblDailySchedule[[#This Row],[Capacity Approx]]*'[1]Load Factor Sheet June Acft  '!$B$5</f>
        <v>63.162272727272729</v>
      </c>
      <c r="S3948">
        <f>tblDailySchedule[[#This Row],[Capacity Approx]]*'[1]Load Factor Sheet June Acft  '!$D$5</f>
        <v>68.391818181818181</v>
      </c>
      <c r="T3948" s="22">
        <f>tblDailySchedule[[#This Row],[STD]]</f>
        <v>0.56944444444444442</v>
      </c>
    </row>
    <row r="3949" spans="1:20" hidden="1" x14ac:dyDescent="0.35">
      <c r="A3949" s="11">
        <v>46252</v>
      </c>
      <c r="B3949" s="3">
        <v>2</v>
      </c>
      <c r="C3949" t="s">
        <v>108</v>
      </c>
      <c r="D3949" t="s">
        <v>18</v>
      </c>
      <c r="E3949" s="3">
        <v>13</v>
      </c>
      <c r="F3949" t="s">
        <v>19</v>
      </c>
      <c r="G3949" t="s">
        <v>57</v>
      </c>
      <c r="H3949" t="s">
        <v>58</v>
      </c>
      <c r="I3949" s="12">
        <v>0.55902777777777779</v>
      </c>
      <c r="J3949" t="s">
        <v>59</v>
      </c>
      <c r="K3949" t="s">
        <v>58</v>
      </c>
      <c r="L3949" s="12">
        <v>0.57638888888888884</v>
      </c>
      <c r="M3949" t="s">
        <v>51</v>
      </c>
      <c r="N3949" s="3">
        <v>78</v>
      </c>
      <c r="O3949" t="s">
        <v>24</v>
      </c>
      <c r="P3949" t="s">
        <v>56</v>
      </c>
      <c r="R3949">
        <f>tblDailySchedule[[#This Row],[Capacity Approx]]*'[1]Load Factor Sheet June Acft  '!$B$5</f>
        <v>63.162272727272729</v>
      </c>
      <c r="S3949">
        <f>tblDailySchedule[[#This Row],[Capacity Approx]]*'[1]Load Factor Sheet June Acft  '!$D$5</f>
        <v>68.391818181818181</v>
      </c>
      <c r="T3949" s="22">
        <f>tblDailySchedule[[#This Row],[STD]]</f>
        <v>0.57638888888888884</v>
      </c>
    </row>
    <row r="3950" spans="1:20" hidden="1" x14ac:dyDescent="0.35">
      <c r="A3950" s="11">
        <v>46252</v>
      </c>
      <c r="B3950" s="3">
        <v>2</v>
      </c>
      <c r="C3950" t="s">
        <v>108</v>
      </c>
      <c r="D3950" t="s">
        <v>18</v>
      </c>
      <c r="E3950" s="3">
        <v>14</v>
      </c>
      <c r="F3950" t="s">
        <v>19</v>
      </c>
      <c r="G3950" t="s">
        <v>60</v>
      </c>
      <c r="H3950" t="s">
        <v>61</v>
      </c>
      <c r="I3950" s="12">
        <v>0.59027777777777779</v>
      </c>
      <c r="J3950" t="s">
        <v>62</v>
      </c>
      <c r="K3950" t="s">
        <v>61</v>
      </c>
      <c r="L3950" s="12">
        <v>0.62152777777777779</v>
      </c>
      <c r="M3950" t="s">
        <v>63</v>
      </c>
      <c r="N3950" s="3">
        <v>232</v>
      </c>
      <c r="O3950" t="s">
        <v>24</v>
      </c>
      <c r="P3950" t="s">
        <v>56</v>
      </c>
      <c r="R3950">
        <f>tblDailySchedule[[#This Row],[Capacity Approx]]*'[1]Load Factor Sheet June Acft  '!$B$5</f>
        <v>187.86727272727273</v>
      </c>
      <c r="S3950">
        <f>tblDailySchedule[[#This Row],[Capacity Approx]]*'[1]Load Factor Sheet June Acft  '!$D$5</f>
        <v>203.4218181818182</v>
      </c>
      <c r="T3950" s="22">
        <f>tblDailySchedule[[#This Row],[STD]]</f>
        <v>0.62152777777777779</v>
      </c>
    </row>
    <row r="3951" spans="1:20" hidden="1" x14ac:dyDescent="0.35">
      <c r="A3951" s="11">
        <v>46252</v>
      </c>
      <c r="B3951" s="3">
        <v>2</v>
      </c>
      <c r="C3951" t="s">
        <v>108</v>
      </c>
      <c r="D3951" t="s">
        <v>18</v>
      </c>
      <c r="E3951" s="3">
        <v>15</v>
      </c>
      <c r="F3951" t="s">
        <v>19</v>
      </c>
      <c r="G3951" t="s">
        <v>64</v>
      </c>
      <c r="H3951" t="s">
        <v>31</v>
      </c>
      <c r="I3951" s="12">
        <v>0.60069444444444442</v>
      </c>
      <c r="J3951" t="s">
        <v>65</v>
      </c>
      <c r="K3951" t="s">
        <v>66</v>
      </c>
      <c r="L3951" s="12">
        <v>0.62847222222222221</v>
      </c>
      <c r="M3951" t="s">
        <v>63</v>
      </c>
      <c r="N3951" s="3">
        <v>232</v>
      </c>
      <c r="O3951" t="s">
        <v>24</v>
      </c>
      <c r="P3951" t="s">
        <v>56</v>
      </c>
      <c r="R3951">
        <f>tblDailySchedule[[#This Row],[Capacity Approx]]*'[1]Load Factor Sheet June Acft  '!$B$5</f>
        <v>187.86727272727273</v>
      </c>
      <c r="S3951">
        <f>tblDailySchedule[[#This Row],[Capacity Approx]]*'[1]Load Factor Sheet June Acft  '!$D$5</f>
        <v>203.4218181818182</v>
      </c>
      <c r="T3951" s="22">
        <f>tblDailySchedule[[#This Row],[STD]]</f>
        <v>0.62847222222222221</v>
      </c>
    </row>
    <row r="3952" spans="1:20" hidden="1" x14ac:dyDescent="0.35">
      <c r="A3952" s="11">
        <v>46252</v>
      </c>
      <c r="B3952" s="3">
        <v>2</v>
      </c>
      <c r="C3952" t="s">
        <v>108</v>
      </c>
      <c r="D3952" t="s">
        <v>18</v>
      </c>
      <c r="E3952" s="3">
        <v>16</v>
      </c>
      <c r="F3952" t="s">
        <v>19</v>
      </c>
      <c r="G3952" t="s">
        <v>67</v>
      </c>
      <c r="H3952" t="s">
        <v>31</v>
      </c>
      <c r="I3952" s="12">
        <v>0.65625</v>
      </c>
      <c r="J3952" t="s">
        <v>68</v>
      </c>
      <c r="K3952" t="s">
        <v>31</v>
      </c>
      <c r="L3952" s="12">
        <v>0.68402777777777779</v>
      </c>
      <c r="M3952" t="s">
        <v>63</v>
      </c>
      <c r="N3952" s="3">
        <v>232</v>
      </c>
      <c r="O3952" t="s">
        <v>24</v>
      </c>
      <c r="P3952" t="s">
        <v>56</v>
      </c>
      <c r="R3952">
        <f>tblDailySchedule[[#This Row],[Capacity Approx]]*'[1]Load Factor Sheet June Acft  '!$B$5</f>
        <v>187.86727272727273</v>
      </c>
      <c r="S3952">
        <f>tblDailySchedule[[#This Row],[Capacity Approx]]*'[1]Load Factor Sheet June Acft  '!$D$5</f>
        <v>203.4218181818182</v>
      </c>
      <c r="T3952" s="22">
        <f>tblDailySchedule[[#This Row],[STD]]</f>
        <v>0.68402777777777779</v>
      </c>
    </row>
    <row r="3953" spans="1:20" hidden="1" x14ac:dyDescent="0.35">
      <c r="A3953" s="11">
        <v>46252</v>
      </c>
      <c r="B3953" s="3">
        <v>2</v>
      </c>
      <c r="C3953" t="s">
        <v>108</v>
      </c>
      <c r="D3953" t="s">
        <v>18</v>
      </c>
      <c r="E3953" s="3">
        <v>17</v>
      </c>
      <c r="F3953" t="s">
        <v>19</v>
      </c>
      <c r="G3953" t="s">
        <v>69</v>
      </c>
      <c r="H3953" t="s">
        <v>31</v>
      </c>
      <c r="I3953" s="12">
        <v>0.66319444444444442</v>
      </c>
      <c r="J3953" t="s">
        <v>70</v>
      </c>
      <c r="K3953" t="s">
        <v>31</v>
      </c>
      <c r="L3953" s="12">
        <v>0.69097222222222221</v>
      </c>
      <c r="M3953" t="s">
        <v>33</v>
      </c>
      <c r="N3953" s="3">
        <v>189</v>
      </c>
      <c r="O3953" t="s">
        <v>24</v>
      </c>
      <c r="P3953" t="s">
        <v>56</v>
      </c>
      <c r="R3953">
        <f>tblDailySchedule[[#This Row],[Capacity Approx]]*'[1]Load Factor Sheet June Acft  '!$B$5</f>
        <v>153.04704545454547</v>
      </c>
      <c r="S3953">
        <f>tblDailySchedule[[#This Row],[Capacity Approx]]*'[1]Load Factor Sheet June Acft  '!$D$5</f>
        <v>165.71863636363636</v>
      </c>
      <c r="T3953" s="22">
        <f>tblDailySchedule[[#This Row],[STD]]</f>
        <v>0.69097222222222221</v>
      </c>
    </row>
    <row r="3954" spans="1:20" hidden="1" x14ac:dyDescent="0.35">
      <c r="A3954" s="11">
        <v>46252</v>
      </c>
      <c r="B3954" s="3">
        <v>2</v>
      </c>
      <c r="C3954" t="s">
        <v>108</v>
      </c>
      <c r="D3954" t="s">
        <v>18</v>
      </c>
      <c r="E3954" s="3">
        <v>18</v>
      </c>
      <c r="F3954" t="s">
        <v>19</v>
      </c>
      <c r="G3954" t="s">
        <v>71</v>
      </c>
      <c r="H3954" t="s">
        <v>21</v>
      </c>
      <c r="I3954" s="12">
        <v>0.67013888888888884</v>
      </c>
      <c r="J3954" t="s">
        <v>72</v>
      </c>
      <c r="K3954" t="s">
        <v>21</v>
      </c>
      <c r="L3954" s="12">
        <v>0.69791666666666663</v>
      </c>
      <c r="M3954" t="s">
        <v>63</v>
      </c>
      <c r="N3954" s="3">
        <v>232</v>
      </c>
      <c r="O3954" t="s">
        <v>24</v>
      </c>
      <c r="P3954" t="s">
        <v>56</v>
      </c>
      <c r="R3954">
        <f>tblDailySchedule[[#This Row],[Capacity Approx]]*'[1]Load Factor Sheet June Acft  '!$B$5</f>
        <v>187.86727272727273</v>
      </c>
      <c r="S3954">
        <f>tblDailySchedule[[#This Row],[Capacity Approx]]*'[1]Load Factor Sheet June Acft  '!$D$5</f>
        <v>203.4218181818182</v>
      </c>
      <c r="T3954" s="22">
        <f>tblDailySchedule[[#This Row],[STD]]</f>
        <v>0.69791666666666663</v>
      </c>
    </row>
    <row r="3955" spans="1:20" hidden="1" x14ac:dyDescent="0.35">
      <c r="A3955" s="11">
        <v>46252</v>
      </c>
      <c r="B3955" s="3">
        <v>2</v>
      </c>
      <c r="C3955" t="s">
        <v>108</v>
      </c>
      <c r="D3955" t="s">
        <v>18</v>
      </c>
      <c r="E3955" s="3">
        <v>19</v>
      </c>
      <c r="F3955" t="s">
        <v>19</v>
      </c>
      <c r="G3955" t="s">
        <v>73</v>
      </c>
      <c r="H3955" t="s">
        <v>27</v>
      </c>
      <c r="I3955" s="12">
        <v>0.74652777777777779</v>
      </c>
      <c r="J3955" t="s">
        <v>74</v>
      </c>
      <c r="K3955" t="s">
        <v>27</v>
      </c>
      <c r="L3955" s="12">
        <v>0.77430555555555558</v>
      </c>
      <c r="M3955" t="s">
        <v>63</v>
      </c>
      <c r="N3955" s="3">
        <v>232</v>
      </c>
      <c r="O3955" t="s">
        <v>24</v>
      </c>
      <c r="P3955" t="s">
        <v>56</v>
      </c>
      <c r="R3955">
        <f>tblDailySchedule[[#This Row],[Capacity Approx]]*'[1]Load Factor Sheet June Acft  '!$B$5</f>
        <v>187.86727272727273</v>
      </c>
      <c r="S3955">
        <f>tblDailySchedule[[#This Row],[Capacity Approx]]*'[1]Load Factor Sheet June Acft  '!$D$5</f>
        <v>203.4218181818182</v>
      </c>
      <c r="T3955" s="22">
        <f>tblDailySchedule[[#This Row],[STD]]</f>
        <v>0.77430555555555558</v>
      </c>
    </row>
    <row r="3956" spans="1:20" hidden="1" x14ac:dyDescent="0.35">
      <c r="A3956" s="11">
        <v>46252</v>
      </c>
      <c r="B3956" s="3">
        <v>2</v>
      </c>
      <c r="C3956" t="s">
        <v>108</v>
      </c>
      <c r="D3956" t="s">
        <v>18</v>
      </c>
      <c r="E3956" s="3">
        <v>21</v>
      </c>
      <c r="F3956" t="s">
        <v>19</v>
      </c>
      <c r="G3956" t="s">
        <v>81</v>
      </c>
      <c r="H3956" t="s">
        <v>61</v>
      </c>
      <c r="I3956" s="12">
        <v>0.77083333333333337</v>
      </c>
      <c r="J3956" t="s">
        <v>82</v>
      </c>
      <c r="K3956" t="s">
        <v>49</v>
      </c>
      <c r="L3956" s="12">
        <v>0.79166666666666663</v>
      </c>
      <c r="M3956" t="s">
        <v>33</v>
      </c>
      <c r="N3956" s="3">
        <v>189</v>
      </c>
      <c r="O3956" t="s">
        <v>24</v>
      </c>
      <c r="P3956" t="s">
        <v>79</v>
      </c>
      <c r="R3956">
        <f>tblDailySchedule[[#This Row],[Capacity Approx]]*'[1]Load Factor Sheet June Acft  '!$B$5</f>
        <v>153.04704545454547</v>
      </c>
      <c r="S3956">
        <f>tblDailySchedule[[#This Row],[Capacity Approx]]*'[1]Load Factor Sheet June Acft  '!$D$5</f>
        <v>165.71863636363636</v>
      </c>
      <c r="T3956" s="22">
        <f>tblDailySchedule[[#This Row],[STD]]</f>
        <v>0.79166666666666663</v>
      </c>
    </row>
    <row r="3957" spans="1:20" hidden="1" x14ac:dyDescent="0.35">
      <c r="A3957" s="11">
        <v>46252</v>
      </c>
      <c r="B3957" s="3">
        <v>2</v>
      </c>
      <c r="C3957" t="s">
        <v>108</v>
      </c>
      <c r="D3957" t="s">
        <v>18</v>
      </c>
      <c r="E3957" s="3">
        <v>22</v>
      </c>
      <c r="F3957" t="s">
        <v>19</v>
      </c>
      <c r="G3957" t="s">
        <v>83</v>
      </c>
      <c r="H3957" t="s">
        <v>31</v>
      </c>
      <c r="I3957" s="12">
        <v>0.77777777777777779</v>
      </c>
      <c r="J3957" t="s">
        <v>84</v>
      </c>
      <c r="K3957" t="s">
        <v>31</v>
      </c>
      <c r="L3957" s="12">
        <v>0.80555555555555558</v>
      </c>
      <c r="M3957" t="s">
        <v>63</v>
      </c>
      <c r="N3957" s="3">
        <v>232</v>
      </c>
      <c r="O3957" t="s">
        <v>24</v>
      </c>
      <c r="P3957" t="s">
        <v>79</v>
      </c>
      <c r="R3957">
        <f>tblDailySchedule[[#This Row],[Capacity Approx]]*'[1]Load Factor Sheet June Acft  '!$B$5</f>
        <v>187.86727272727273</v>
      </c>
      <c r="S3957">
        <f>tblDailySchedule[[#This Row],[Capacity Approx]]*'[1]Load Factor Sheet June Acft  '!$D$5</f>
        <v>203.4218181818182</v>
      </c>
      <c r="T3957" s="22">
        <f>tblDailySchedule[[#This Row],[STD]]</f>
        <v>0.80555555555555558</v>
      </c>
    </row>
    <row r="3958" spans="1:20" hidden="1" x14ac:dyDescent="0.35">
      <c r="A3958" s="11">
        <v>46252</v>
      </c>
      <c r="B3958" s="3">
        <v>2</v>
      </c>
      <c r="C3958" t="s">
        <v>108</v>
      </c>
      <c r="D3958" t="s">
        <v>18</v>
      </c>
      <c r="E3958" s="3">
        <v>23</v>
      </c>
      <c r="F3958" t="s">
        <v>19</v>
      </c>
      <c r="G3958" t="s">
        <v>85</v>
      </c>
      <c r="H3958" t="s">
        <v>86</v>
      </c>
      <c r="I3958" s="12">
        <v>0.79861111111111116</v>
      </c>
      <c r="J3958" t="s">
        <v>87</v>
      </c>
      <c r="K3958" t="s">
        <v>86</v>
      </c>
      <c r="L3958" s="12">
        <v>0.82638888888888884</v>
      </c>
      <c r="M3958" t="s">
        <v>63</v>
      </c>
      <c r="N3958" s="3">
        <v>232</v>
      </c>
      <c r="O3958" t="s">
        <v>24</v>
      </c>
      <c r="P3958" t="s">
        <v>79</v>
      </c>
      <c r="R3958">
        <f>tblDailySchedule[[#This Row],[Capacity Approx]]*'[1]Load Factor Sheet June Acft  '!$B$5</f>
        <v>187.86727272727273</v>
      </c>
      <c r="S3958">
        <f>tblDailySchedule[[#This Row],[Capacity Approx]]*'[1]Load Factor Sheet June Acft  '!$D$5</f>
        <v>203.4218181818182</v>
      </c>
      <c r="T3958" s="22">
        <f>tblDailySchedule[[#This Row],[STD]]</f>
        <v>0.82638888888888884</v>
      </c>
    </row>
    <row r="3959" spans="1:20" hidden="1" x14ac:dyDescent="0.35">
      <c r="A3959" s="11">
        <v>46252</v>
      </c>
      <c r="B3959" s="3">
        <v>2</v>
      </c>
      <c r="C3959" t="s">
        <v>108</v>
      </c>
      <c r="D3959" t="s">
        <v>18</v>
      </c>
      <c r="E3959" s="3">
        <v>24</v>
      </c>
      <c r="F3959" t="s">
        <v>19</v>
      </c>
      <c r="G3959" t="s">
        <v>88</v>
      </c>
      <c r="H3959" t="s">
        <v>89</v>
      </c>
      <c r="I3959" s="12">
        <v>0.83333333333333337</v>
      </c>
      <c r="J3959" t="s">
        <v>90</v>
      </c>
      <c r="K3959" t="s">
        <v>31</v>
      </c>
      <c r="L3959" s="12">
        <v>0.86111111111111116</v>
      </c>
      <c r="M3959" t="s">
        <v>63</v>
      </c>
      <c r="N3959" s="3">
        <v>232</v>
      </c>
      <c r="O3959" t="s">
        <v>24</v>
      </c>
      <c r="P3959" t="s">
        <v>79</v>
      </c>
      <c r="R3959">
        <f>tblDailySchedule[[#This Row],[Capacity Approx]]*'[1]Load Factor Sheet June Acft  '!$B$5</f>
        <v>187.86727272727273</v>
      </c>
      <c r="S3959">
        <f>tblDailySchedule[[#This Row],[Capacity Approx]]*'[1]Load Factor Sheet June Acft  '!$D$5</f>
        <v>203.4218181818182</v>
      </c>
      <c r="T3959" s="22">
        <f>tblDailySchedule[[#This Row],[STD]]</f>
        <v>0.86111111111111116</v>
      </c>
    </row>
    <row r="3960" spans="1:20" hidden="1" x14ac:dyDescent="0.35">
      <c r="A3960" s="11">
        <v>46252</v>
      </c>
      <c r="B3960" s="3">
        <v>2</v>
      </c>
      <c r="C3960" t="s">
        <v>108</v>
      </c>
      <c r="D3960" t="s">
        <v>18</v>
      </c>
      <c r="E3960" s="3">
        <v>25</v>
      </c>
      <c r="F3960" t="s">
        <v>19</v>
      </c>
      <c r="G3960" t="s">
        <v>91</v>
      </c>
      <c r="H3960" t="s">
        <v>61</v>
      </c>
      <c r="I3960" s="12">
        <v>0.85416666666666663</v>
      </c>
      <c r="J3960" t="s">
        <v>92</v>
      </c>
      <c r="K3960" t="s">
        <v>61</v>
      </c>
      <c r="L3960" s="12">
        <v>0.88194444444444442</v>
      </c>
      <c r="M3960" t="s">
        <v>63</v>
      </c>
      <c r="N3960" s="3">
        <v>232</v>
      </c>
      <c r="O3960" t="s">
        <v>24</v>
      </c>
      <c r="P3960" t="s">
        <v>79</v>
      </c>
      <c r="R3960">
        <f>tblDailySchedule[[#This Row],[Capacity Approx]]*'[1]Load Factor Sheet June Acft  '!$B$5</f>
        <v>187.86727272727273</v>
      </c>
      <c r="S3960">
        <f>tblDailySchedule[[#This Row],[Capacity Approx]]*'[1]Load Factor Sheet June Acft  '!$D$5</f>
        <v>203.4218181818182</v>
      </c>
      <c r="T3960" s="22">
        <f>tblDailySchedule[[#This Row],[STD]]</f>
        <v>0.88194444444444442</v>
      </c>
    </row>
    <row r="3961" spans="1:20" hidden="1" x14ac:dyDescent="0.35">
      <c r="A3961" s="11">
        <v>46252</v>
      </c>
      <c r="B3961" s="3">
        <v>2</v>
      </c>
      <c r="C3961" t="s">
        <v>108</v>
      </c>
      <c r="D3961" t="s">
        <v>18</v>
      </c>
      <c r="E3961" s="3">
        <v>26</v>
      </c>
      <c r="F3961" t="s">
        <v>19</v>
      </c>
      <c r="G3961" t="s">
        <v>93</v>
      </c>
      <c r="H3961" t="s">
        <v>31</v>
      </c>
      <c r="I3961" s="12">
        <v>0.86111111111111116</v>
      </c>
      <c r="J3961" t="s">
        <v>94</v>
      </c>
      <c r="K3961" t="s">
        <v>31</v>
      </c>
      <c r="L3961" s="12">
        <v>0.88888888888888884</v>
      </c>
      <c r="M3961" t="s">
        <v>23</v>
      </c>
      <c r="N3961" s="3">
        <v>186</v>
      </c>
      <c r="O3961" t="s">
        <v>24</v>
      </c>
      <c r="P3961" t="s">
        <v>79</v>
      </c>
      <c r="R3961">
        <f>tblDailySchedule[[#This Row],[Capacity Approx]]*'[1]Load Factor Sheet June Acft  '!$B$5</f>
        <v>150.61772727272728</v>
      </c>
      <c r="S3961">
        <f>tblDailySchedule[[#This Row],[Capacity Approx]]*'[1]Load Factor Sheet June Acft  '!$D$5</f>
        <v>163.08818181818182</v>
      </c>
      <c r="T3961" s="22">
        <f>tblDailySchedule[[#This Row],[STD]]</f>
        <v>0.88888888888888884</v>
      </c>
    </row>
    <row r="3962" spans="1:20" hidden="1" x14ac:dyDescent="0.35">
      <c r="A3962" s="11">
        <v>46252</v>
      </c>
      <c r="B3962" s="3">
        <v>2</v>
      </c>
      <c r="C3962" t="s">
        <v>108</v>
      </c>
      <c r="D3962" t="s">
        <v>18</v>
      </c>
      <c r="E3962" s="3">
        <v>27</v>
      </c>
      <c r="F3962" t="s">
        <v>19</v>
      </c>
      <c r="G3962" t="s">
        <v>95</v>
      </c>
      <c r="H3962" t="s">
        <v>21</v>
      </c>
      <c r="I3962" s="12">
        <v>0.86805555555555558</v>
      </c>
      <c r="J3962" t="s">
        <v>96</v>
      </c>
      <c r="K3962" t="s">
        <v>21</v>
      </c>
      <c r="L3962" s="12">
        <v>0.89583333333333337</v>
      </c>
      <c r="M3962" t="s">
        <v>29</v>
      </c>
      <c r="N3962" s="3">
        <v>186</v>
      </c>
      <c r="O3962" t="s">
        <v>24</v>
      </c>
      <c r="P3962" t="s">
        <v>79</v>
      </c>
      <c r="R3962">
        <f>tblDailySchedule[[#This Row],[Capacity Approx]]*'[1]Load Factor Sheet June Acft  '!$B$5</f>
        <v>150.61772727272728</v>
      </c>
      <c r="S3962">
        <f>tblDailySchedule[[#This Row],[Capacity Approx]]*'[1]Load Factor Sheet June Acft  '!$D$5</f>
        <v>163.08818181818182</v>
      </c>
      <c r="T3962" s="22">
        <f>tblDailySchedule[[#This Row],[STD]]</f>
        <v>0.89583333333333337</v>
      </c>
    </row>
    <row r="3963" spans="1:20" hidden="1" x14ac:dyDescent="0.35">
      <c r="A3963" s="11">
        <v>46252</v>
      </c>
      <c r="B3963" s="3">
        <v>2</v>
      </c>
      <c r="C3963" t="s">
        <v>108</v>
      </c>
      <c r="D3963" t="s">
        <v>18</v>
      </c>
      <c r="E3963" s="3">
        <v>28</v>
      </c>
      <c r="F3963" t="s">
        <v>19</v>
      </c>
      <c r="G3963" t="s">
        <v>97</v>
      </c>
      <c r="H3963" t="s">
        <v>49</v>
      </c>
      <c r="I3963" s="12">
        <v>0.90277777777777779</v>
      </c>
      <c r="J3963" t="s">
        <v>97</v>
      </c>
      <c r="K3963" t="s">
        <v>61</v>
      </c>
      <c r="L3963" s="12">
        <v>0.92361111111111116</v>
      </c>
      <c r="M3963" t="s">
        <v>33</v>
      </c>
      <c r="N3963" s="3">
        <v>189</v>
      </c>
      <c r="O3963" t="s">
        <v>24</v>
      </c>
      <c r="P3963" t="s">
        <v>79</v>
      </c>
      <c r="R3963">
        <f>tblDailySchedule[[#This Row],[Capacity Approx]]*'[1]Load Factor Sheet June Acft  '!$B$5</f>
        <v>153.04704545454547</v>
      </c>
      <c r="S3963">
        <f>tblDailySchedule[[#This Row],[Capacity Approx]]*'[1]Load Factor Sheet June Acft  '!$D$5</f>
        <v>165.71863636363636</v>
      </c>
      <c r="T3963" s="22">
        <f>tblDailySchedule[[#This Row],[STD]]</f>
        <v>0.92361111111111116</v>
      </c>
    </row>
    <row r="3964" spans="1:20" hidden="1" x14ac:dyDescent="0.35">
      <c r="A3964" s="11">
        <v>46252</v>
      </c>
      <c r="B3964" s="3">
        <v>2</v>
      </c>
      <c r="C3964" t="s">
        <v>108</v>
      </c>
      <c r="D3964" t="s">
        <v>18</v>
      </c>
      <c r="E3964" s="3">
        <v>29</v>
      </c>
      <c r="F3964" t="s">
        <v>19</v>
      </c>
      <c r="G3964" t="s">
        <v>98</v>
      </c>
      <c r="H3964" t="s">
        <v>21</v>
      </c>
      <c r="I3964" s="12">
        <v>0.92013888888888884</v>
      </c>
      <c r="J3964" t="s">
        <v>99</v>
      </c>
      <c r="K3964" t="s">
        <v>21</v>
      </c>
      <c r="L3964" s="12">
        <v>0.94791666666666663</v>
      </c>
      <c r="M3964" t="s">
        <v>63</v>
      </c>
      <c r="N3964" s="3">
        <v>232</v>
      </c>
      <c r="O3964" t="s">
        <v>24</v>
      </c>
      <c r="P3964" t="s">
        <v>79</v>
      </c>
      <c r="R3964">
        <f>tblDailySchedule[[#This Row],[Capacity Approx]]*'[1]Load Factor Sheet June Acft  '!$B$5</f>
        <v>187.86727272727273</v>
      </c>
      <c r="S3964">
        <f>tblDailySchedule[[#This Row],[Capacity Approx]]*'[1]Load Factor Sheet June Acft  '!$D$5</f>
        <v>203.4218181818182</v>
      </c>
      <c r="T3964" s="22">
        <f>tblDailySchedule[[#This Row],[STD]]</f>
        <v>0.94791666666666663</v>
      </c>
    </row>
    <row r="3965" spans="1:20" hidden="1" x14ac:dyDescent="0.35">
      <c r="A3965" s="11">
        <v>46253</v>
      </c>
      <c r="B3965" s="3">
        <v>3</v>
      </c>
      <c r="C3965" t="s">
        <v>113</v>
      </c>
      <c r="D3965" t="s">
        <v>18</v>
      </c>
      <c r="E3965" s="3">
        <v>2</v>
      </c>
      <c r="F3965" t="s">
        <v>19</v>
      </c>
      <c r="G3965" t="s">
        <v>20</v>
      </c>
      <c r="H3965" t="s">
        <v>21</v>
      </c>
      <c r="I3965" s="12">
        <v>0.31944444444444442</v>
      </c>
      <c r="J3965" t="s">
        <v>22</v>
      </c>
      <c r="K3965" t="s">
        <v>21</v>
      </c>
      <c r="L3965" s="12">
        <v>0.34722222222222221</v>
      </c>
      <c r="M3965" t="s">
        <v>23</v>
      </c>
      <c r="N3965" s="3">
        <v>186</v>
      </c>
      <c r="O3965" t="s">
        <v>24</v>
      </c>
      <c r="P3965" t="s">
        <v>25</v>
      </c>
      <c r="R3965">
        <f>tblDailySchedule[[#This Row],[Capacity Approx]]*'[1]Load Factor Sheet June Acft  '!$B$5</f>
        <v>150.61772727272728</v>
      </c>
      <c r="S3965">
        <f>tblDailySchedule[[#This Row],[Capacity Approx]]*'[1]Load Factor Sheet June Acft  '!$D$5</f>
        <v>163.08818181818182</v>
      </c>
      <c r="T3965" s="22">
        <f>tblDailySchedule[[#This Row],[STD]]</f>
        <v>0.34722222222222221</v>
      </c>
    </row>
    <row r="3966" spans="1:20" hidden="1" x14ac:dyDescent="0.35">
      <c r="A3966" s="11">
        <v>46253</v>
      </c>
      <c r="B3966" s="3">
        <v>3</v>
      </c>
      <c r="C3966" t="s">
        <v>113</v>
      </c>
      <c r="D3966" t="s">
        <v>18</v>
      </c>
      <c r="E3966" s="3">
        <v>3</v>
      </c>
      <c r="F3966" t="s">
        <v>19</v>
      </c>
      <c r="G3966" t="s">
        <v>26</v>
      </c>
      <c r="H3966" t="s">
        <v>27</v>
      </c>
      <c r="I3966" s="12">
        <v>0.3263888888888889</v>
      </c>
      <c r="J3966" t="s">
        <v>28</v>
      </c>
      <c r="K3966" t="s">
        <v>27</v>
      </c>
      <c r="L3966" s="12">
        <v>0.35416666666666669</v>
      </c>
      <c r="M3966" t="s">
        <v>29</v>
      </c>
      <c r="N3966" s="3">
        <v>186</v>
      </c>
      <c r="O3966" t="s">
        <v>24</v>
      </c>
      <c r="P3966" t="s">
        <v>25</v>
      </c>
      <c r="R3966">
        <f>tblDailySchedule[[#This Row],[Capacity Approx]]*'[1]Load Factor Sheet June Acft  '!$B$5</f>
        <v>150.61772727272728</v>
      </c>
      <c r="S3966">
        <f>tblDailySchedule[[#This Row],[Capacity Approx]]*'[1]Load Factor Sheet June Acft  '!$D$5</f>
        <v>163.08818181818182</v>
      </c>
      <c r="T3966" s="22">
        <f>tblDailySchedule[[#This Row],[STD]]</f>
        <v>0.35416666666666669</v>
      </c>
    </row>
    <row r="3967" spans="1:20" hidden="1" x14ac:dyDescent="0.35">
      <c r="A3967" s="11">
        <v>46253</v>
      </c>
      <c r="B3967" s="3">
        <v>3</v>
      </c>
      <c r="C3967" t="s">
        <v>113</v>
      </c>
      <c r="D3967" t="s">
        <v>18</v>
      </c>
      <c r="E3967" s="3">
        <v>4</v>
      </c>
      <c r="F3967" t="s">
        <v>19</v>
      </c>
      <c r="G3967" t="s">
        <v>30</v>
      </c>
      <c r="H3967" t="s">
        <v>31</v>
      </c>
      <c r="I3967" s="12">
        <v>0.34722222222222221</v>
      </c>
      <c r="J3967" t="s">
        <v>32</v>
      </c>
      <c r="K3967" t="s">
        <v>31</v>
      </c>
      <c r="L3967" s="12">
        <v>0.36805555555555558</v>
      </c>
      <c r="M3967" t="s">
        <v>33</v>
      </c>
      <c r="N3967" s="3">
        <v>189</v>
      </c>
      <c r="O3967" t="s">
        <v>24</v>
      </c>
      <c r="P3967" t="s">
        <v>25</v>
      </c>
      <c r="R3967">
        <f>tblDailySchedule[[#This Row],[Capacity Approx]]*'[1]Load Factor Sheet June Acft  '!$B$5</f>
        <v>153.04704545454547</v>
      </c>
      <c r="S3967">
        <f>tblDailySchedule[[#This Row],[Capacity Approx]]*'[1]Load Factor Sheet June Acft  '!$D$5</f>
        <v>165.71863636363636</v>
      </c>
      <c r="T3967" s="22">
        <f>tblDailySchedule[[#This Row],[STD]]</f>
        <v>0.36805555555555558</v>
      </c>
    </row>
    <row r="3968" spans="1:20" hidden="1" x14ac:dyDescent="0.35">
      <c r="A3968" s="13">
        <v>46253</v>
      </c>
      <c r="B3968" s="7">
        <v>3</v>
      </c>
      <c r="C3968" s="14" t="s">
        <v>113</v>
      </c>
      <c r="D3968" s="14" t="s">
        <v>18</v>
      </c>
      <c r="E3968" s="7">
        <v>6</v>
      </c>
      <c r="F3968" s="14" t="s">
        <v>34</v>
      </c>
      <c r="G3968" s="14" t="s">
        <v>35</v>
      </c>
      <c r="H3968" s="14" t="s">
        <v>36</v>
      </c>
      <c r="I3968" s="15">
        <v>0.34722222222222221</v>
      </c>
      <c r="J3968" s="14" t="s">
        <v>37</v>
      </c>
      <c r="K3968" s="14" t="s">
        <v>36</v>
      </c>
      <c r="L3968" s="15">
        <v>0.40972222222222221</v>
      </c>
      <c r="M3968" s="14" t="s">
        <v>38</v>
      </c>
      <c r="N3968" s="7">
        <v>186</v>
      </c>
      <c r="O3968" s="14" t="s">
        <v>39</v>
      </c>
      <c r="P3968" s="14" t="s">
        <v>25</v>
      </c>
      <c r="Q3968" s="14" t="s">
        <v>39</v>
      </c>
      <c r="R3968">
        <f>tblDailySchedule[[#This Row],[Capacity Approx]]*'[1]Load Factor Sheet June Acft  '!$B$5</f>
        <v>150.61772727272728</v>
      </c>
      <c r="S3968">
        <f>tblDailySchedule[[#This Row],[Capacity Approx]]*'[1]Load Factor Sheet June Acft  '!$D$5</f>
        <v>163.08818181818182</v>
      </c>
      <c r="T3968" s="22">
        <f>tblDailySchedule[[#This Row],[STD]]</f>
        <v>0.40972222222222221</v>
      </c>
    </row>
    <row r="3969" spans="1:20" hidden="1" x14ac:dyDescent="0.35">
      <c r="A3969" s="11">
        <v>46253</v>
      </c>
      <c r="B3969" s="3">
        <v>3</v>
      </c>
      <c r="C3969" t="s">
        <v>113</v>
      </c>
      <c r="D3969" t="s">
        <v>18</v>
      </c>
      <c r="E3969" s="3">
        <v>5</v>
      </c>
      <c r="F3969" t="s">
        <v>19</v>
      </c>
      <c r="G3969" t="s">
        <v>40</v>
      </c>
      <c r="H3969" t="s">
        <v>31</v>
      </c>
      <c r="I3969" s="12">
        <v>0.35069444444444442</v>
      </c>
      <c r="J3969" t="s">
        <v>41</v>
      </c>
      <c r="K3969" t="s">
        <v>31</v>
      </c>
      <c r="L3969" s="12">
        <v>0.37152777777777779</v>
      </c>
      <c r="M3969" t="s">
        <v>23</v>
      </c>
      <c r="N3969" s="3">
        <v>186</v>
      </c>
      <c r="O3969" t="s">
        <v>24</v>
      </c>
      <c r="P3969" t="s">
        <v>25</v>
      </c>
      <c r="R3969">
        <f>tblDailySchedule[[#This Row],[Capacity Approx]]*'[1]Load Factor Sheet June Acft  '!$B$5</f>
        <v>150.61772727272728</v>
      </c>
      <c r="S3969">
        <f>tblDailySchedule[[#This Row],[Capacity Approx]]*'[1]Load Factor Sheet June Acft  '!$D$5</f>
        <v>163.08818181818182</v>
      </c>
      <c r="T3969" s="22">
        <f>tblDailySchedule[[#This Row],[STD]]</f>
        <v>0.37152777777777779</v>
      </c>
    </row>
    <row r="3970" spans="1:20" hidden="1" x14ac:dyDescent="0.35">
      <c r="A3970" s="11">
        <v>46253</v>
      </c>
      <c r="B3970" s="3">
        <v>3</v>
      </c>
      <c r="C3970" t="s">
        <v>113</v>
      </c>
      <c r="D3970" t="s">
        <v>18</v>
      </c>
      <c r="E3970" s="3">
        <v>7</v>
      </c>
      <c r="F3970" t="s">
        <v>19</v>
      </c>
      <c r="G3970" t="s">
        <v>42</v>
      </c>
      <c r="H3970" t="s">
        <v>43</v>
      </c>
      <c r="I3970" s="12">
        <v>0.3923611111111111</v>
      </c>
      <c r="J3970" t="s">
        <v>44</v>
      </c>
      <c r="K3970" t="s">
        <v>43</v>
      </c>
      <c r="L3970" s="12">
        <v>0.40277777777777779</v>
      </c>
      <c r="M3970" t="s">
        <v>45</v>
      </c>
      <c r="N3970" s="3">
        <v>9</v>
      </c>
      <c r="O3970" t="s">
        <v>24</v>
      </c>
      <c r="P3970" t="s">
        <v>25</v>
      </c>
      <c r="R3970">
        <f>tblDailySchedule[[#This Row],[Capacity Approx]]*'[1]Load Factor Sheet June Acft  '!$B$5</f>
        <v>7.2879545454545456</v>
      </c>
      <c r="S3970">
        <f>tblDailySchedule[[#This Row],[Capacity Approx]]*'[1]Load Factor Sheet June Acft  '!$D$5</f>
        <v>7.8913636363636366</v>
      </c>
      <c r="T3970" s="22">
        <f>tblDailySchedule[[#This Row],[STD]]</f>
        <v>0.40277777777777779</v>
      </c>
    </row>
    <row r="3971" spans="1:20" hidden="1" x14ac:dyDescent="0.35">
      <c r="A3971" s="11">
        <v>46253</v>
      </c>
      <c r="B3971" s="3">
        <v>3</v>
      </c>
      <c r="C3971" t="s">
        <v>113</v>
      </c>
      <c r="D3971" t="s">
        <v>18</v>
      </c>
      <c r="E3971" s="3">
        <v>8</v>
      </c>
      <c r="F3971" t="s">
        <v>19</v>
      </c>
      <c r="G3971" t="s">
        <v>46</v>
      </c>
      <c r="H3971" t="s">
        <v>31</v>
      </c>
      <c r="I3971" s="12">
        <v>0.4201388888888889</v>
      </c>
      <c r="J3971" t="s">
        <v>47</v>
      </c>
      <c r="K3971" t="s">
        <v>31</v>
      </c>
      <c r="L3971" s="12">
        <v>0.44444444444444442</v>
      </c>
      <c r="M3971" t="s">
        <v>29</v>
      </c>
      <c r="N3971" s="3">
        <v>186</v>
      </c>
      <c r="O3971" t="s">
        <v>24</v>
      </c>
      <c r="P3971" t="s">
        <v>25</v>
      </c>
      <c r="R3971">
        <f>tblDailySchedule[[#This Row],[Capacity Approx]]*'[1]Load Factor Sheet June Acft  '!$B$5</f>
        <v>150.61772727272728</v>
      </c>
      <c r="S3971">
        <f>tblDailySchedule[[#This Row],[Capacity Approx]]*'[1]Load Factor Sheet June Acft  '!$D$5</f>
        <v>163.08818181818182</v>
      </c>
      <c r="T3971" s="22">
        <f>tblDailySchedule[[#This Row],[STD]]</f>
        <v>0.44444444444444442</v>
      </c>
    </row>
    <row r="3972" spans="1:20" hidden="1" x14ac:dyDescent="0.35">
      <c r="A3972" s="11">
        <v>46253</v>
      </c>
      <c r="B3972" s="3">
        <v>3</v>
      </c>
      <c r="C3972" t="s">
        <v>113</v>
      </c>
      <c r="D3972" t="s">
        <v>18</v>
      </c>
      <c r="E3972" s="3">
        <v>9</v>
      </c>
      <c r="F3972" t="s">
        <v>19</v>
      </c>
      <c r="G3972" t="s">
        <v>48</v>
      </c>
      <c r="H3972" t="s">
        <v>49</v>
      </c>
      <c r="I3972" s="12">
        <v>0.4375</v>
      </c>
      <c r="J3972" t="s">
        <v>50</v>
      </c>
      <c r="K3972" t="s">
        <v>49</v>
      </c>
      <c r="L3972" s="12">
        <v>0.45833333333333331</v>
      </c>
      <c r="M3972" t="s">
        <v>51</v>
      </c>
      <c r="N3972" s="3">
        <v>78</v>
      </c>
      <c r="O3972" t="s">
        <v>24</v>
      </c>
      <c r="P3972" t="s">
        <v>25</v>
      </c>
      <c r="R3972">
        <f>tblDailySchedule[[#This Row],[Capacity Approx]]*'[1]Load Factor Sheet June Acft  '!$B$5</f>
        <v>63.162272727272729</v>
      </c>
      <c r="S3972">
        <f>tblDailySchedule[[#This Row],[Capacity Approx]]*'[1]Load Factor Sheet June Acft  '!$D$5</f>
        <v>68.391818181818181</v>
      </c>
      <c r="T3972" s="22">
        <f>tblDailySchedule[[#This Row],[STD]]</f>
        <v>0.45833333333333331</v>
      </c>
    </row>
    <row r="3973" spans="1:20" hidden="1" x14ac:dyDescent="0.35">
      <c r="A3973" s="11">
        <v>46253</v>
      </c>
      <c r="B3973" s="3">
        <v>3</v>
      </c>
      <c r="C3973" t="s">
        <v>113</v>
      </c>
      <c r="D3973" t="s">
        <v>18</v>
      </c>
      <c r="E3973" s="3">
        <v>10</v>
      </c>
      <c r="F3973" t="s">
        <v>19</v>
      </c>
      <c r="G3973" t="s">
        <v>52</v>
      </c>
      <c r="H3973" t="s">
        <v>27</v>
      </c>
      <c r="I3973" s="12">
        <v>0.4826388888888889</v>
      </c>
      <c r="J3973" t="s">
        <v>53</v>
      </c>
      <c r="K3973" t="s">
        <v>27</v>
      </c>
      <c r="L3973" s="12">
        <v>0.51041666666666663</v>
      </c>
      <c r="M3973" t="s">
        <v>23</v>
      </c>
      <c r="N3973" s="3">
        <v>186</v>
      </c>
      <c r="O3973" t="s">
        <v>24</v>
      </c>
      <c r="P3973" t="s">
        <v>25</v>
      </c>
      <c r="R3973">
        <f>tblDailySchedule[[#This Row],[Capacity Approx]]*'[1]Load Factor Sheet June Acft  '!$B$5</f>
        <v>150.61772727272728</v>
      </c>
      <c r="S3973">
        <f>tblDailySchedule[[#This Row],[Capacity Approx]]*'[1]Load Factor Sheet June Acft  '!$D$5</f>
        <v>163.08818181818182</v>
      </c>
      <c r="T3973" s="22">
        <f>tblDailySchedule[[#This Row],[STD]]</f>
        <v>0.51041666666666663</v>
      </c>
    </row>
    <row r="3974" spans="1:20" hidden="1" x14ac:dyDescent="0.35">
      <c r="A3974" s="11">
        <v>46253</v>
      </c>
      <c r="B3974" s="3">
        <v>3</v>
      </c>
      <c r="C3974" t="s">
        <v>113</v>
      </c>
      <c r="D3974" t="s">
        <v>18</v>
      </c>
      <c r="E3974" s="3">
        <v>11</v>
      </c>
      <c r="F3974" t="s">
        <v>19</v>
      </c>
      <c r="G3974" t="s">
        <v>54</v>
      </c>
      <c r="H3974" t="s">
        <v>31</v>
      </c>
      <c r="I3974" s="12">
        <v>0.51388888888888884</v>
      </c>
      <c r="J3974" t="s">
        <v>55</v>
      </c>
      <c r="K3974" t="s">
        <v>31</v>
      </c>
      <c r="L3974" s="12">
        <v>0.54166666666666663</v>
      </c>
      <c r="M3974" t="s">
        <v>23</v>
      </c>
      <c r="N3974" s="3">
        <v>186</v>
      </c>
      <c r="O3974" t="s">
        <v>24</v>
      </c>
      <c r="P3974" t="s">
        <v>56</v>
      </c>
      <c r="R3974">
        <f>tblDailySchedule[[#This Row],[Capacity Approx]]*'[1]Load Factor Sheet June Acft  '!$B$5</f>
        <v>150.61772727272728</v>
      </c>
      <c r="S3974">
        <f>tblDailySchedule[[#This Row],[Capacity Approx]]*'[1]Load Factor Sheet June Acft  '!$D$5</f>
        <v>163.08818181818182</v>
      </c>
      <c r="T3974" s="22">
        <f>tblDailySchedule[[#This Row],[STD]]</f>
        <v>0.54166666666666663</v>
      </c>
    </row>
    <row r="3975" spans="1:20" hidden="1" x14ac:dyDescent="0.35">
      <c r="A3975" s="11">
        <v>46253</v>
      </c>
      <c r="B3975" s="3">
        <v>3</v>
      </c>
      <c r="C3975" t="s">
        <v>113</v>
      </c>
      <c r="D3975" t="s">
        <v>18</v>
      </c>
      <c r="E3975" s="3">
        <v>13</v>
      </c>
      <c r="F3975" t="s">
        <v>19</v>
      </c>
      <c r="G3975" t="s">
        <v>57</v>
      </c>
      <c r="H3975" t="s">
        <v>58</v>
      </c>
      <c r="I3975" s="12">
        <v>0.55902777777777779</v>
      </c>
      <c r="J3975" t="s">
        <v>59</v>
      </c>
      <c r="K3975" t="s">
        <v>58</v>
      </c>
      <c r="L3975" s="12">
        <v>0.57638888888888884</v>
      </c>
      <c r="M3975" t="s">
        <v>51</v>
      </c>
      <c r="N3975" s="3">
        <v>78</v>
      </c>
      <c r="O3975" t="s">
        <v>24</v>
      </c>
      <c r="P3975" t="s">
        <v>56</v>
      </c>
      <c r="R3975">
        <f>tblDailySchedule[[#This Row],[Capacity Approx]]*'[1]Load Factor Sheet June Acft  '!$B$5</f>
        <v>63.162272727272729</v>
      </c>
      <c r="S3975">
        <f>tblDailySchedule[[#This Row],[Capacity Approx]]*'[1]Load Factor Sheet June Acft  '!$D$5</f>
        <v>68.391818181818181</v>
      </c>
      <c r="T3975" s="22">
        <f>tblDailySchedule[[#This Row],[STD]]</f>
        <v>0.57638888888888884</v>
      </c>
    </row>
    <row r="3976" spans="1:20" hidden="1" x14ac:dyDescent="0.35">
      <c r="A3976" s="11">
        <v>46253</v>
      </c>
      <c r="B3976" s="3">
        <v>3</v>
      </c>
      <c r="C3976" t="s">
        <v>113</v>
      </c>
      <c r="D3976" t="s">
        <v>18</v>
      </c>
      <c r="E3976" s="3">
        <v>14</v>
      </c>
      <c r="F3976" t="s">
        <v>19</v>
      </c>
      <c r="G3976" t="s">
        <v>60</v>
      </c>
      <c r="H3976" t="s">
        <v>61</v>
      </c>
      <c r="I3976" s="12">
        <v>0.59027777777777779</v>
      </c>
      <c r="J3976" t="s">
        <v>62</v>
      </c>
      <c r="K3976" t="s">
        <v>61</v>
      </c>
      <c r="L3976" s="12">
        <v>0.62152777777777779</v>
      </c>
      <c r="M3976" t="s">
        <v>63</v>
      </c>
      <c r="N3976" s="3">
        <v>232</v>
      </c>
      <c r="O3976" t="s">
        <v>24</v>
      </c>
      <c r="P3976" t="s">
        <v>56</v>
      </c>
      <c r="R3976">
        <f>tblDailySchedule[[#This Row],[Capacity Approx]]*'[1]Load Factor Sheet June Acft  '!$B$5</f>
        <v>187.86727272727273</v>
      </c>
      <c r="S3976">
        <f>tblDailySchedule[[#This Row],[Capacity Approx]]*'[1]Load Factor Sheet June Acft  '!$D$5</f>
        <v>203.4218181818182</v>
      </c>
      <c r="T3976" s="22">
        <f>tblDailySchedule[[#This Row],[STD]]</f>
        <v>0.62152777777777779</v>
      </c>
    </row>
    <row r="3977" spans="1:20" hidden="1" x14ac:dyDescent="0.35">
      <c r="A3977" s="11">
        <v>46253</v>
      </c>
      <c r="B3977" s="3">
        <v>3</v>
      </c>
      <c r="C3977" t="s">
        <v>113</v>
      </c>
      <c r="D3977" t="s">
        <v>18</v>
      </c>
      <c r="E3977" s="3">
        <v>15</v>
      </c>
      <c r="F3977" t="s">
        <v>19</v>
      </c>
      <c r="G3977" t="s">
        <v>64</v>
      </c>
      <c r="H3977" t="s">
        <v>31</v>
      </c>
      <c r="I3977" s="12">
        <v>0.60069444444444442</v>
      </c>
      <c r="J3977" t="s">
        <v>65</v>
      </c>
      <c r="K3977" t="s">
        <v>66</v>
      </c>
      <c r="L3977" s="12">
        <v>0.62847222222222221</v>
      </c>
      <c r="M3977" t="s">
        <v>63</v>
      </c>
      <c r="N3977" s="3">
        <v>232</v>
      </c>
      <c r="O3977" t="s">
        <v>24</v>
      </c>
      <c r="P3977" t="s">
        <v>56</v>
      </c>
      <c r="R3977">
        <f>tblDailySchedule[[#This Row],[Capacity Approx]]*'[1]Load Factor Sheet June Acft  '!$B$5</f>
        <v>187.86727272727273</v>
      </c>
      <c r="S3977">
        <f>tblDailySchedule[[#This Row],[Capacity Approx]]*'[1]Load Factor Sheet June Acft  '!$D$5</f>
        <v>203.4218181818182</v>
      </c>
      <c r="T3977" s="22">
        <f>tblDailySchedule[[#This Row],[STD]]</f>
        <v>0.62847222222222221</v>
      </c>
    </row>
    <row r="3978" spans="1:20" hidden="1" x14ac:dyDescent="0.35">
      <c r="A3978" s="11">
        <v>46253</v>
      </c>
      <c r="B3978" s="3">
        <v>3</v>
      </c>
      <c r="C3978" t="s">
        <v>113</v>
      </c>
      <c r="D3978" t="s">
        <v>18</v>
      </c>
      <c r="E3978" s="3">
        <v>16</v>
      </c>
      <c r="F3978" t="s">
        <v>19</v>
      </c>
      <c r="G3978" t="s">
        <v>67</v>
      </c>
      <c r="H3978" t="s">
        <v>31</v>
      </c>
      <c r="I3978" s="12">
        <v>0.65625</v>
      </c>
      <c r="J3978" t="s">
        <v>68</v>
      </c>
      <c r="K3978" t="s">
        <v>31</v>
      </c>
      <c r="L3978" s="12">
        <v>0.68402777777777779</v>
      </c>
      <c r="M3978" t="s">
        <v>63</v>
      </c>
      <c r="N3978" s="3">
        <v>232</v>
      </c>
      <c r="O3978" t="s">
        <v>24</v>
      </c>
      <c r="P3978" t="s">
        <v>56</v>
      </c>
      <c r="R3978">
        <f>tblDailySchedule[[#This Row],[Capacity Approx]]*'[1]Load Factor Sheet June Acft  '!$B$5</f>
        <v>187.86727272727273</v>
      </c>
      <c r="S3978">
        <f>tblDailySchedule[[#This Row],[Capacity Approx]]*'[1]Load Factor Sheet June Acft  '!$D$5</f>
        <v>203.4218181818182</v>
      </c>
      <c r="T3978" s="22">
        <f>tblDailySchedule[[#This Row],[STD]]</f>
        <v>0.68402777777777779</v>
      </c>
    </row>
    <row r="3979" spans="1:20" hidden="1" x14ac:dyDescent="0.35">
      <c r="A3979" s="11">
        <v>46253</v>
      </c>
      <c r="B3979" s="3">
        <v>3</v>
      </c>
      <c r="C3979" t="s">
        <v>113</v>
      </c>
      <c r="D3979" t="s">
        <v>18</v>
      </c>
      <c r="E3979" s="3">
        <v>17</v>
      </c>
      <c r="F3979" t="s">
        <v>19</v>
      </c>
      <c r="G3979" t="s">
        <v>69</v>
      </c>
      <c r="H3979" t="s">
        <v>31</v>
      </c>
      <c r="I3979" s="12">
        <v>0.66319444444444442</v>
      </c>
      <c r="J3979" t="s">
        <v>70</v>
      </c>
      <c r="K3979" t="s">
        <v>31</v>
      </c>
      <c r="L3979" s="12">
        <v>0.69097222222222221</v>
      </c>
      <c r="M3979" t="s">
        <v>33</v>
      </c>
      <c r="N3979" s="3">
        <v>189</v>
      </c>
      <c r="O3979" t="s">
        <v>24</v>
      </c>
      <c r="P3979" t="s">
        <v>56</v>
      </c>
      <c r="R3979">
        <f>tblDailySchedule[[#This Row],[Capacity Approx]]*'[1]Load Factor Sheet June Acft  '!$B$5</f>
        <v>153.04704545454547</v>
      </c>
      <c r="S3979">
        <f>tblDailySchedule[[#This Row],[Capacity Approx]]*'[1]Load Factor Sheet June Acft  '!$D$5</f>
        <v>165.71863636363636</v>
      </c>
      <c r="T3979" s="22">
        <f>tblDailySchedule[[#This Row],[STD]]</f>
        <v>0.69097222222222221</v>
      </c>
    </row>
    <row r="3980" spans="1:20" hidden="1" x14ac:dyDescent="0.35">
      <c r="A3980" s="11">
        <v>46253</v>
      </c>
      <c r="B3980" s="3">
        <v>3</v>
      </c>
      <c r="C3980" t="s">
        <v>113</v>
      </c>
      <c r="D3980" t="s">
        <v>18</v>
      </c>
      <c r="E3980" s="3">
        <v>18</v>
      </c>
      <c r="F3980" t="s">
        <v>19</v>
      </c>
      <c r="G3980" t="s">
        <v>71</v>
      </c>
      <c r="H3980" t="s">
        <v>21</v>
      </c>
      <c r="I3980" s="12">
        <v>0.67013888888888884</v>
      </c>
      <c r="J3980" t="s">
        <v>72</v>
      </c>
      <c r="K3980" t="s">
        <v>21</v>
      </c>
      <c r="L3980" s="12">
        <v>0.69791666666666663</v>
      </c>
      <c r="M3980" t="s">
        <v>63</v>
      </c>
      <c r="N3980" s="3">
        <v>232</v>
      </c>
      <c r="O3980" t="s">
        <v>24</v>
      </c>
      <c r="P3980" t="s">
        <v>56</v>
      </c>
      <c r="R3980">
        <f>tblDailySchedule[[#This Row],[Capacity Approx]]*'[1]Load Factor Sheet June Acft  '!$B$5</f>
        <v>187.86727272727273</v>
      </c>
      <c r="S3980">
        <f>tblDailySchedule[[#This Row],[Capacity Approx]]*'[1]Load Factor Sheet June Acft  '!$D$5</f>
        <v>203.4218181818182</v>
      </c>
      <c r="T3980" s="22">
        <f>tblDailySchedule[[#This Row],[STD]]</f>
        <v>0.69791666666666663</v>
      </c>
    </row>
    <row r="3981" spans="1:20" hidden="1" x14ac:dyDescent="0.35">
      <c r="A3981" s="11">
        <v>46253</v>
      </c>
      <c r="B3981" s="3">
        <v>3</v>
      </c>
      <c r="C3981" t="s">
        <v>113</v>
      </c>
      <c r="D3981" t="s">
        <v>18</v>
      </c>
      <c r="E3981" s="3">
        <v>19</v>
      </c>
      <c r="F3981" t="s">
        <v>19</v>
      </c>
      <c r="G3981" t="s">
        <v>73</v>
      </c>
      <c r="H3981" t="s">
        <v>27</v>
      </c>
      <c r="I3981" s="12">
        <v>0.74652777777777779</v>
      </c>
      <c r="J3981" t="s">
        <v>74</v>
      </c>
      <c r="K3981" t="s">
        <v>27</v>
      </c>
      <c r="L3981" s="12">
        <v>0.77430555555555558</v>
      </c>
      <c r="M3981" t="s">
        <v>63</v>
      </c>
      <c r="N3981" s="3">
        <v>232</v>
      </c>
      <c r="O3981" t="s">
        <v>24</v>
      </c>
      <c r="P3981" t="s">
        <v>56</v>
      </c>
      <c r="R3981">
        <f>tblDailySchedule[[#This Row],[Capacity Approx]]*'[1]Load Factor Sheet June Acft  '!$B$5</f>
        <v>187.86727272727273</v>
      </c>
      <c r="S3981">
        <f>tblDailySchedule[[#This Row],[Capacity Approx]]*'[1]Load Factor Sheet June Acft  '!$D$5</f>
        <v>203.4218181818182</v>
      </c>
      <c r="T3981" s="22">
        <f>tblDailySchedule[[#This Row],[STD]]</f>
        <v>0.77430555555555558</v>
      </c>
    </row>
    <row r="3982" spans="1:20" hidden="1" x14ac:dyDescent="0.35">
      <c r="A3982" s="11">
        <v>46253</v>
      </c>
      <c r="B3982" s="3">
        <v>3</v>
      </c>
      <c r="C3982" t="s">
        <v>113</v>
      </c>
      <c r="D3982" t="s">
        <v>18</v>
      </c>
      <c r="E3982" s="3">
        <v>20</v>
      </c>
      <c r="F3982" t="s">
        <v>34</v>
      </c>
      <c r="G3982" t="s">
        <v>75</v>
      </c>
      <c r="H3982" t="s">
        <v>76</v>
      </c>
      <c r="I3982" s="12">
        <v>0.76388888888888884</v>
      </c>
      <c r="J3982" t="s">
        <v>77</v>
      </c>
      <c r="K3982" t="s">
        <v>78</v>
      </c>
      <c r="L3982" s="12">
        <v>0.78472222222222221</v>
      </c>
      <c r="M3982" t="s">
        <v>51</v>
      </c>
      <c r="N3982" s="3">
        <v>78</v>
      </c>
      <c r="O3982" t="s">
        <v>24</v>
      </c>
      <c r="P3982" t="s">
        <v>79</v>
      </c>
      <c r="Q3982" s="16" t="s">
        <v>80</v>
      </c>
      <c r="R3982">
        <f>tblDailySchedule[[#This Row],[Capacity Approx]]*'[1]Load Factor Sheet June Acft  '!$B$5</f>
        <v>63.162272727272729</v>
      </c>
      <c r="S3982">
        <f>tblDailySchedule[[#This Row],[Capacity Approx]]*'[1]Load Factor Sheet June Acft  '!$D$5</f>
        <v>68.391818181818181</v>
      </c>
      <c r="T3982" s="22">
        <f>tblDailySchedule[[#This Row],[STD]]</f>
        <v>0.78472222222222221</v>
      </c>
    </row>
    <row r="3983" spans="1:20" hidden="1" x14ac:dyDescent="0.35">
      <c r="A3983" s="11">
        <v>46253</v>
      </c>
      <c r="B3983" s="3">
        <v>3</v>
      </c>
      <c r="C3983" t="s">
        <v>113</v>
      </c>
      <c r="D3983" t="s">
        <v>18</v>
      </c>
      <c r="E3983" s="3">
        <v>21</v>
      </c>
      <c r="F3983" t="s">
        <v>19</v>
      </c>
      <c r="G3983" t="s">
        <v>81</v>
      </c>
      <c r="H3983" t="s">
        <v>61</v>
      </c>
      <c r="I3983" s="12">
        <v>0.77083333333333337</v>
      </c>
      <c r="J3983" t="s">
        <v>82</v>
      </c>
      <c r="K3983" t="s">
        <v>49</v>
      </c>
      <c r="L3983" s="12">
        <v>0.79166666666666663</v>
      </c>
      <c r="M3983" t="s">
        <v>33</v>
      </c>
      <c r="N3983" s="3">
        <v>189</v>
      </c>
      <c r="O3983" t="s">
        <v>24</v>
      </c>
      <c r="P3983" t="s">
        <v>79</v>
      </c>
      <c r="R3983">
        <f>tblDailySchedule[[#This Row],[Capacity Approx]]*'[1]Load Factor Sheet June Acft  '!$B$5</f>
        <v>153.04704545454547</v>
      </c>
      <c r="S3983">
        <f>tblDailySchedule[[#This Row],[Capacity Approx]]*'[1]Load Factor Sheet June Acft  '!$D$5</f>
        <v>165.71863636363636</v>
      </c>
      <c r="T3983" s="22">
        <f>tblDailySchedule[[#This Row],[STD]]</f>
        <v>0.79166666666666663</v>
      </c>
    </row>
    <row r="3984" spans="1:20" hidden="1" x14ac:dyDescent="0.35">
      <c r="A3984" s="11">
        <v>46253</v>
      </c>
      <c r="B3984" s="3">
        <v>3</v>
      </c>
      <c r="C3984" t="s">
        <v>113</v>
      </c>
      <c r="D3984" t="s">
        <v>18</v>
      </c>
      <c r="E3984" s="3">
        <v>22</v>
      </c>
      <c r="F3984" t="s">
        <v>19</v>
      </c>
      <c r="G3984" t="s">
        <v>83</v>
      </c>
      <c r="H3984" t="s">
        <v>31</v>
      </c>
      <c r="I3984" s="12">
        <v>0.77777777777777779</v>
      </c>
      <c r="J3984" t="s">
        <v>84</v>
      </c>
      <c r="K3984" t="s">
        <v>31</v>
      </c>
      <c r="L3984" s="12">
        <v>0.80555555555555558</v>
      </c>
      <c r="M3984" t="s">
        <v>63</v>
      </c>
      <c r="N3984" s="3">
        <v>232</v>
      </c>
      <c r="O3984" t="s">
        <v>24</v>
      </c>
      <c r="P3984" t="s">
        <v>79</v>
      </c>
      <c r="R3984">
        <f>tblDailySchedule[[#This Row],[Capacity Approx]]*'[1]Load Factor Sheet June Acft  '!$B$5</f>
        <v>187.86727272727273</v>
      </c>
      <c r="S3984">
        <f>tblDailySchedule[[#This Row],[Capacity Approx]]*'[1]Load Factor Sheet June Acft  '!$D$5</f>
        <v>203.4218181818182</v>
      </c>
      <c r="T3984" s="22">
        <f>tblDailySchedule[[#This Row],[STD]]</f>
        <v>0.80555555555555558</v>
      </c>
    </row>
    <row r="3985" spans="1:20" hidden="1" x14ac:dyDescent="0.35">
      <c r="A3985" s="11">
        <v>46253</v>
      </c>
      <c r="B3985" s="3">
        <v>3</v>
      </c>
      <c r="C3985" t="s">
        <v>113</v>
      </c>
      <c r="D3985" t="s">
        <v>18</v>
      </c>
      <c r="E3985" s="3">
        <v>23</v>
      </c>
      <c r="F3985" t="s">
        <v>19</v>
      </c>
      <c r="G3985" t="s">
        <v>85</v>
      </c>
      <c r="H3985" t="s">
        <v>86</v>
      </c>
      <c r="I3985" s="12">
        <v>0.79861111111111116</v>
      </c>
      <c r="J3985" t="s">
        <v>87</v>
      </c>
      <c r="K3985" t="s">
        <v>86</v>
      </c>
      <c r="L3985" s="12">
        <v>0.82638888888888884</v>
      </c>
      <c r="M3985" t="s">
        <v>63</v>
      </c>
      <c r="N3985" s="3">
        <v>232</v>
      </c>
      <c r="O3985" t="s">
        <v>24</v>
      </c>
      <c r="P3985" t="s">
        <v>79</v>
      </c>
      <c r="R3985">
        <f>tblDailySchedule[[#This Row],[Capacity Approx]]*'[1]Load Factor Sheet June Acft  '!$B$5</f>
        <v>187.86727272727273</v>
      </c>
      <c r="S3985">
        <f>tblDailySchedule[[#This Row],[Capacity Approx]]*'[1]Load Factor Sheet June Acft  '!$D$5</f>
        <v>203.4218181818182</v>
      </c>
      <c r="T3985" s="22">
        <f>tblDailySchedule[[#This Row],[STD]]</f>
        <v>0.82638888888888884</v>
      </c>
    </row>
    <row r="3986" spans="1:20" hidden="1" x14ac:dyDescent="0.35">
      <c r="A3986" s="11">
        <v>46253</v>
      </c>
      <c r="B3986" s="3">
        <v>3</v>
      </c>
      <c r="C3986" t="s">
        <v>113</v>
      </c>
      <c r="D3986" t="s">
        <v>18</v>
      </c>
      <c r="E3986" s="3">
        <v>24</v>
      </c>
      <c r="F3986" t="s">
        <v>19</v>
      </c>
      <c r="G3986" t="s">
        <v>88</v>
      </c>
      <c r="H3986" t="s">
        <v>89</v>
      </c>
      <c r="I3986" s="12">
        <v>0.83333333333333337</v>
      </c>
      <c r="J3986" t="s">
        <v>90</v>
      </c>
      <c r="K3986" t="s">
        <v>31</v>
      </c>
      <c r="L3986" s="12">
        <v>0.86111111111111116</v>
      </c>
      <c r="M3986" t="s">
        <v>63</v>
      </c>
      <c r="N3986" s="3">
        <v>232</v>
      </c>
      <c r="O3986" t="s">
        <v>24</v>
      </c>
      <c r="P3986" t="s">
        <v>79</v>
      </c>
      <c r="R3986">
        <f>tblDailySchedule[[#This Row],[Capacity Approx]]*'[1]Load Factor Sheet June Acft  '!$B$5</f>
        <v>187.86727272727273</v>
      </c>
      <c r="S3986">
        <f>tblDailySchedule[[#This Row],[Capacity Approx]]*'[1]Load Factor Sheet June Acft  '!$D$5</f>
        <v>203.4218181818182</v>
      </c>
      <c r="T3986" s="22">
        <f>tblDailySchedule[[#This Row],[STD]]</f>
        <v>0.86111111111111116</v>
      </c>
    </row>
    <row r="3987" spans="1:20" hidden="1" x14ac:dyDescent="0.35">
      <c r="A3987" s="11">
        <v>46253</v>
      </c>
      <c r="B3987" s="3">
        <v>3</v>
      </c>
      <c r="C3987" t="s">
        <v>113</v>
      </c>
      <c r="D3987" t="s">
        <v>18</v>
      </c>
      <c r="E3987" s="3">
        <v>25</v>
      </c>
      <c r="F3987" t="s">
        <v>19</v>
      </c>
      <c r="G3987" t="s">
        <v>91</v>
      </c>
      <c r="H3987" t="s">
        <v>61</v>
      </c>
      <c r="I3987" s="12">
        <v>0.85416666666666663</v>
      </c>
      <c r="J3987" t="s">
        <v>92</v>
      </c>
      <c r="K3987" t="s">
        <v>61</v>
      </c>
      <c r="L3987" s="12">
        <v>0.88194444444444442</v>
      </c>
      <c r="M3987" t="s">
        <v>63</v>
      </c>
      <c r="N3987" s="3">
        <v>232</v>
      </c>
      <c r="O3987" t="s">
        <v>24</v>
      </c>
      <c r="P3987" t="s">
        <v>79</v>
      </c>
      <c r="R3987">
        <f>tblDailySchedule[[#This Row],[Capacity Approx]]*'[1]Load Factor Sheet June Acft  '!$B$5</f>
        <v>187.86727272727273</v>
      </c>
      <c r="S3987">
        <f>tblDailySchedule[[#This Row],[Capacity Approx]]*'[1]Load Factor Sheet June Acft  '!$D$5</f>
        <v>203.4218181818182</v>
      </c>
      <c r="T3987" s="22">
        <f>tblDailySchedule[[#This Row],[STD]]</f>
        <v>0.88194444444444442</v>
      </c>
    </row>
    <row r="3988" spans="1:20" hidden="1" x14ac:dyDescent="0.35">
      <c r="A3988" s="11">
        <v>46253</v>
      </c>
      <c r="B3988" s="3">
        <v>3</v>
      </c>
      <c r="C3988" t="s">
        <v>113</v>
      </c>
      <c r="D3988" t="s">
        <v>18</v>
      </c>
      <c r="E3988" s="3">
        <v>26</v>
      </c>
      <c r="F3988" t="s">
        <v>19</v>
      </c>
      <c r="G3988" t="s">
        <v>93</v>
      </c>
      <c r="H3988" t="s">
        <v>31</v>
      </c>
      <c r="I3988" s="12">
        <v>0.86111111111111116</v>
      </c>
      <c r="J3988" t="s">
        <v>94</v>
      </c>
      <c r="K3988" t="s">
        <v>31</v>
      </c>
      <c r="L3988" s="12">
        <v>0.88888888888888884</v>
      </c>
      <c r="M3988" t="s">
        <v>23</v>
      </c>
      <c r="N3988" s="3">
        <v>186</v>
      </c>
      <c r="O3988" t="s">
        <v>24</v>
      </c>
      <c r="P3988" t="s">
        <v>79</v>
      </c>
      <c r="R3988">
        <f>tblDailySchedule[[#This Row],[Capacity Approx]]*'[1]Load Factor Sheet June Acft  '!$B$5</f>
        <v>150.61772727272728</v>
      </c>
      <c r="S3988">
        <f>tblDailySchedule[[#This Row],[Capacity Approx]]*'[1]Load Factor Sheet June Acft  '!$D$5</f>
        <v>163.08818181818182</v>
      </c>
      <c r="T3988" s="22">
        <f>tblDailySchedule[[#This Row],[STD]]</f>
        <v>0.88888888888888884</v>
      </c>
    </row>
    <row r="3989" spans="1:20" hidden="1" x14ac:dyDescent="0.35">
      <c r="A3989" s="11">
        <v>46253</v>
      </c>
      <c r="B3989" s="3">
        <v>3</v>
      </c>
      <c r="C3989" t="s">
        <v>113</v>
      </c>
      <c r="D3989" t="s">
        <v>18</v>
      </c>
      <c r="E3989" s="3">
        <v>27</v>
      </c>
      <c r="F3989" t="s">
        <v>19</v>
      </c>
      <c r="G3989" t="s">
        <v>95</v>
      </c>
      <c r="H3989" t="s">
        <v>21</v>
      </c>
      <c r="I3989" s="12">
        <v>0.86805555555555558</v>
      </c>
      <c r="J3989" t="s">
        <v>96</v>
      </c>
      <c r="K3989" t="s">
        <v>21</v>
      </c>
      <c r="L3989" s="12">
        <v>0.89583333333333337</v>
      </c>
      <c r="M3989" t="s">
        <v>29</v>
      </c>
      <c r="N3989" s="3">
        <v>186</v>
      </c>
      <c r="O3989" t="s">
        <v>24</v>
      </c>
      <c r="P3989" t="s">
        <v>79</v>
      </c>
      <c r="R3989">
        <f>tblDailySchedule[[#This Row],[Capacity Approx]]*'[1]Load Factor Sheet June Acft  '!$B$5</f>
        <v>150.61772727272728</v>
      </c>
      <c r="S3989">
        <f>tblDailySchedule[[#This Row],[Capacity Approx]]*'[1]Load Factor Sheet June Acft  '!$D$5</f>
        <v>163.08818181818182</v>
      </c>
      <c r="T3989" s="22">
        <f>tblDailySchedule[[#This Row],[STD]]</f>
        <v>0.89583333333333337</v>
      </c>
    </row>
    <row r="3990" spans="1:20" hidden="1" x14ac:dyDescent="0.35">
      <c r="A3990" s="11">
        <v>46253</v>
      </c>
      <c r="B3990" s="3">
        <v>3</v>
      </c>
      <c r="C3990" t="s">
        <v>113</v>
      </c>
      <c r="D3990" t="s">
        <v>18</v>
      </c>
      <c r="E3990" s="3">
        <v>28</v>
      </c>
      <c r="F3990" t="s">
        <v>19</v>
      </c>
      <c r="G3990" t="s">
        <v>97</v>
      </c>
      <c r="H3990" t="s">
        <v>49</v>
      </c>
      <c r="I3990" s="12">
        <v>0.90277777777777779</v>
      </c>
      <c r="J3990" t="s">
        <v>97</v>
      </c>
      <c r="K3990" t="s">
        <v>61</v>
      </c>
      <c r="L3990" s="12">
        <v>0.92361111111111116</v>
      </c>
      <c r="M3990" t="s">
        <v>33</v>
      </c>
      <c r="N3990" s="3">
        <v>189</v>
      </c>
      <c r="O3990" t="s">
        <v>24</v>
      </c>
      <c r="P3990" t="s">
        <v>79</v>
      </c>
      <c r="R3990">
        <f>tblDailySchedule[[#This Row],[Capacity Approx]]*'[1]Load Factor Sheet June Acft  '!$B$5</f>
        <v>153.04704545454547</v>
      </c>
      <c r="S3990">
        <f>tblDailySchedule[[#This Row],[Capacity Approx]]*'[1]Load Factor Sheet June Acft  '!$D$5</f>
        <v>165.71863636363636</v>
      </c>
      <c r="T3990" s="22">
        <f>tblDailySchedule[[#This Row],[STD]]</f>
        <v>0.92361111111111116</v>
      </c>
    </row>
    <row r="3991" spans="1:20" hidden="1" x14ac:dyDescent="0.35">
      <c r="A3991" s="11">
        <v>46253</v>
      </c>
      <c r="B3991" s="3">
        <v>3</v>
      </c>
      <c r="C3991" t="s">
        <v>113</v>
      </c>
      <c r="D3991" t="s">
        <v>18</v>
      </c>
      <c r="E3991" s="3">
        <v>29</v>
      </c>
      <c r="F3991" t="s">
        <v>19</v>
      </c>
      <c r="G3991" t="s">
        <v>98</v>
      </c>
      <c r="H3991" t="s">
        <v>21</v>
      </c>
      <c r="I3991" s="12">
        <v>0.92013888888888884</v>
      </c>
      <c r="J3991" t="s">
        <v>99</v>
      </c>
      <c r="K3991" t="s">
        <v>21</v>
      </c>
      <c r="L3991" s="12">
        <v>0.94791666666666663</v>
      </c>
      <c r="M3991" t="s">
        <v>63</v>
      </c>
      <c r="N3991" s="3">
        <v>232</v>
      </c>
      <c r="O3991" t="s">
        <v>24</v>
      </c>
      <c r="P3991" t="s">
        <v>79</v>
      </c>
      <c r="R3991">
        <f>tblDailySchedule[[#This Row],[Capacity Approx]]*'[1]Load Factor Sheet June Acft  '!$B$5</f>
        <v>187.86727272727273</v>
      </c>
      <c r="S3991">
        <f>tblDailySchedule[[#This Row],[Capacity Approx]]*'[1]Load Factor Sheet June Acft  '!$D$5</f>
        <v>203.4218181818182</v>
      </c>
      <c r="T3991" s="22">
        <f>tblDailySchedule[[#This Row],[STD]]</f>
        <v>0.94791666666666663</v>
      </c>
    </row>
    <row r="3992" spans="1:20" hidden="1" x14ac:dyDescent="0.35">
      <c r="A3992" s="13">
        <v>46253</v>
      </c>
      <c r="B3992" s="7">
        <v>3</v>
      </c>
      <c r="C3992" s="14" t="s">
        <v>113</v>
      </c>
      <c r="D3992" s="14" t="s">
        <v>18</v>
      </c>
      <c r="E3992" s="7">
        <v>30</v>
      </c>
      <c r="F3992" s="14" t="s">
        <v>104</v>
      </c>
      <c r="G3992" s="14" t="s">
        <v>105</v>
      </c>
      <c r="H3992" s="14" t="s">
        <v>106</v>
      </c>
      <c r="I3992" s="15">
        <v>0.92708333333333337</v>
      </c>
      <c r="J3992" s="14" t="s">
        <v>107</v>
      </c>
      <c r="K3992" s="14" t="s">
        <v>106</v>
      </c>
      <c r="L3992" s="15">
        <v>0.95833333333333337</v>
      </c>
      <c r="M3992" s="14" t="s">
        <v>38</v>
      </c>
      <c r="N3992" s="7">
        <v>186</v>
      </c>
      <c r="O3992" s="14" t="s">
        <v>39</v>
      </c>
      <c r="P3992" s="14" t="s">
        <v>79</v>
      </c>
      <c r="Q3992" s="14" t="s">
        <v>39</v>
      </c>
      <c r="R3992">
        <f>tblDailySchedule[[#This Row],[Capacity Approx]]*'[1]Load Factor Sheet June Acft  '!$B$5</f>
        <v>150.61772727272728</v>
      </c>
      <c r="S3992">
        <f>tblDailySchedule[[#This Row],[Capacity Approx]]*'[1]Load Factor Sheet June Acft  '!$D$5</f>
        <v>163.08818181818182</v>
      </c>
      <c r="T3992" s="22">
        <f>tblDailySchedule[[#This Row],[STD]]</f>
        <v>0.95833333333333337</v>
      </c>
    </row>
    <row r="3993" spans="1:20" hidden="1" x14ac:dyDescent="0.35">
      <c r="A3993" s="11">
        <v>46254</v>
      </c>
      <c r="B3993" s="3">
        <v>4</v>
      </c>
      <c r="C3993" t="s">
        <v>114</v>
      </c>
      <c r="D3993" t="s">
        <v>18</v>
      </c>
      <c r="E3993" s="3">
        <v>1</v>
      </c>
      <c r="F3993" t="s">
        <v>101</v>
      </c>
      <c r="G3993" t="s">
        <v>102</v>
      </c>
      <c r="H3993" t="s">
        <v>61</v>
      </c>
      <c r="I3993" s="12">
        <v>0.3125</v>
      </c>
      <c r="J3993" t="s">
        <v>103</v>
      </c>
      <c r="K3993" t="s">
        <v>61</v>
      </c>
      <c r="L3993" s="12">
        <v>0.33333333333333331</v>
      </c>
      <c r="M3993" t="s">
        <v>33</v>
      </c>
      <c r="N3993" s="3">
        <v>189</v>
      </c>
      <c r="O3993" t="s">
        <v>24</v>
      </c>
      <c r="P3993" t="s">
        <v>25</v>
      </c>
      <c r="R3993">
        <f>tblDailySchedule[[#This Row],[Capacity Approx]]*'[1]Load Factor Sheet June Acft  '!$B$5</f>
        <v>153.04704545454547</v>
      </c>
      <c r="S3993">
        <f>tblDailySchedule[[#This Row],[Capacity Approx]]*'[1]Load Factor Sheet June Acft  '!$D$5</f>
        <v>165.71863636363636</v>
      </c>
      <c r="T3993" s="22">
        <f>tblDailySchedule[[#This Row],[STD]]</f>
        <v>0.33333333333333331</v>
      </c>
    </row>
    <row r="3994" spans="1:20" hidden="1" x14ac:dyDescent="0.35">
      <c r="A3994" s="11">
        <v>46254</v>
      </c>
      <c r="B3994" s="3">
        <v>4</v>
      </c>
      <c r="C3994" t="s">
        <v>114</v>
      </c>
      <c r="D3994" t="s">
        <v>18</v>
      </c>
      <c r="E3994" s="3">
        <v>2</v>
      </c>
      <c r="F3994" t="s">
        <v>19</v>
      </c>
      <c r="G3994" t="s">
        <v>20</v>
      </c>
      <c r="H3994" t="s">
        <v>21</v>
      </c>
      <c r="I3994" s="12">
        <v>0.31944444444444442</v>
      </c>
      <c r="J3994" t="s">
        <v>22</v>
      </c>
      <c r="K3994" t="s">
        <v>21</v>
      </c>
      <c r="L3994" s="12">
        <v>0.34722222222222221</v>
      </c>
      <c r="M3994" t="s">
        <v>23</v>
      </c>
      <c r="N3994" s="3">
        <v>186</v>
      </c>
      <c r="O3994" t="s">
        <v>24</v>
      </c>
      <c r="P3994" t="s">
        <v>25</v>
      </c>
      <c r="R3994">
        <f>tblDailySchedule[[#This Row],[Capacity Approx]]*'[1]Load Factor Sheet June Acft  '!$B$5</f>
        <v>150.61772727272728</v>
      </c>
      <c r="S3994">
        <f>tblDailySchedule[[#This Row],[Capacity Approx]]*'[1]Load Factor Sheet June Acft  '!$D$5</f>
        <v>163.08818181818182</v>
      </c>
      <c r="T3994" s="22">
        <f>tblDailySchedule[[#This Row],[STD]]</f>
        <v>0.34722222222222221</v>
      </c>
    </row>
    <row r="3995" spans="1:20" hidden="1" x14ac:dyDescent="0.35">
      <c r="A3995" s="11">
        <v>46254</v>
      </c>
      <c r="B3995" s="3">
        <v>4</v>
      </c>
      <c r="C3995" t="s">
        <v>114</v>
      </c>
      <c r="D3995" t="s">
        <v>18</v>
      </c>
      <c r="E3995" s="3">
        <v>3</v>
      </c>
      <c r="F3995" t="s">
        <v>19</v>
      </c>
      <c r="G3995" t="s">
        <v>26</v>
      </c>
      <c r="H3995" t="s">
        <v>27</v>
      </c>
      <c r="I3995" s="12">
        <v>0.3263888888888889</v>
      </c>
      <c r="J3995" t="s">
        <v>28</v>
      </c>
      <c r="K3995" t="s">
        <v>27</v>
      </c>
      <c r="L3995" s="12">
        <v>0.35416666666666669</v>
      </c>
      <c r="M3995" t="s">
        <v>29</v>
      </c>
      <c r="N3995" s="3">
        <v>186</v>
      </c>
      <c r="O3995" t="s">
        <v>24</v>
      </c>
      <c r="P3995" t="s">
        <v>25</v>
      </c>
      <c r="R3995">
        <f>tblDailySchedule[[#This Row],[Capacity Approx]]*'[1]Load Factor Sheet June Acft  '!$B$5</f>
        <v>150.61772727272728</v>
      </c>
      <c r="S3995">
        <f>tblDailySchedule[[#This Row],[Capacity Approx]]*'[1]Load Factor Sheet June Acft  '!$D$5</f>
        <v>163.08818181818182</v>
      </c>
      <c r="T3995" s="22">
        <f>tblDailySchedule[[#This Row],[STD]]</f>
        <v>0.35416666666666669</v>
      </c>
    </row>
    <row r="3996" spans="1:20" hidden="1" x14ac:dyDescent="0.35">
      <c r="A3996" s="11">
        <v>46254</v>
      </c>
      <c r="B3996" s="3">
        <v>4</v>
      </c>
      <c r="C3996" t="s">
        <v>114</v>
      </c>
      <c r="D3996" t="s">
        <v>18</v>
      </c>
      <c r="E3996" s="3">
        <v>4</v>
      </c>
      <c r="F3996" t="s">
        <v>19</v>
      </c>
      <c r="G3996" t="s">
        <v>30</v>
      </c>
      <c r="H3996" t="s">
        <v>31</v>
      </c>
      <c r="I3996" s="12">
        <v>0.34722222222222221</v>
      </c>
      <c r="J3996" t="s">
        <v>32</v>
      </c>
      <c r="K3996" t="s">
        <v>31</v>
      </c>
      <c r="L3996" s="12">
        <v>0.36805555555555558</v>
      </c>
      <c r="M3996" t="s">
        <v>33</v>
      </c>
      <c r="N3996" s="3">
        <v>189</v>
      </c>
      <c r="O3996" t="s">
        <v>24</v>
      </c>
      <c r="P3996" t="s">
        <v>25</v>
      </c>
      <c r="R3996">
        <f>tblDailySchedule[[#This Row],[Capacity Approx]]*'[1]Load Factor Sheet June Acft  '!$B$5</f>
        <v>153.04704545454547</v>
      </c>
      <c r="S3996">
        <f>tblDailySchedule[[#This Row],[Capacity Approx]]*'[1]Load Factor Sheet June Acft  '!$D$5</f>
        <v>165.71863636363636</v>
      </c>
      <c r="T3996" s="22">
        <f>tblDailySchedule[[#This Row],[STD]]</f>
        <v>0.36805555555555558</v>
      </c>
    </row>
    <row r="3997" spans="1:20" hidden="1" x14ac:dyDescent="0.35">
      <c r="A3997" s="11">
        <v>46254</v>
      </c>
      <c r="B3997" s="3">
        <v>4</v>
      </c>
      <c r="C3997" t="s">
        <v>114</v>
      </c>
      <c r="D3997" t="s">
        <v>18</v>
      </c>
      <c r="E3997" s="3">
        <v>5</v>
      </c>
      <c r="F3997" t="s">
        <v>19</v>
      </c>
      <c r="G3997" t="s">
        <v>40</v>
      </c>
      <c r="H3997" t="s">
        <v>31</v>
      </c>
      <c r="I3997" s="12">
        <v>0.35069444444444442</v>
      </c>
      <c r="J3997" t="s">
        <v>41</v>
      </c>
      <c r="K3997" t="s">
        <v>31</v>
      </c>
      <c r="L3997" s="12">
        <v>0.37152777777777779</v>
      </c>
      <c r="M3997" t="s">
        <v>23</v>
      </c>
      <c r="N3997" s="3">
        <v>186</v>
      </c>
      <c r="O3997" t="s">
        <v>24</v>
      </c>
      <c r="P3997" t="s">
        <v>25</v>
      </c>
      <c r="R3997">
        <f>tblDailySchedule[[#This Row],[Capacity Approx]]*'[1]Load Factor Sheet June Acft  '!$B$5</f>
        <v>150.61772727272728</v>
      </c>
      <c r="S3997">
        <f>tblDailySchedule[[#This Row],[Capacity Approx]]*'[1]Load Factor Sheet June Acft  '!$D$5</f>
        <v>163.08818181818182</v>
      </c>
      <c r="T3997" s="22">
        <f>tblDailySchedule[[#This Row],[STD]]</f>
        <v>0.37152777777777779</v>
      </c>
    </row>
    <row r="3998" spans="1:20" hidden="1" x14ac:dyDescent="0.35">
      <c r="A3998" s="11">
        <v>46254</v>
      </c>
      <c r="B3998" s="3">
        <v>4</v>
      </c>
      <c r="C3998" t="s">
        <v>114</v>
      </c>
      <c r="D3998" t="s">
        <v>18</v>
      </c>
      <c r="E3998" s="3">
        <v>7</v>
      </c>
      <c r="F3998" t="s">
        <v>19</v>
      </c>
      <c r="G3998" t="s">
        <v>42</v>
      </c>
      <c r="H3998" t="s">
        <v>43</v>
      </c>
      <c r="I3998" s="12">
        <v>0.3923611111111111</v>
      </c>
      <c r="J3998" t="s">
        <v>44</v>
      </c>
      <c r="K3998" t="s">
        <v>43</v>
      </c>
      <c r="L3998" s="12">
        <v>0.40277777777777779</v>
      </c>
      <c r="M3998" t="s">
        <v>45</v>
      </c>
      <c r="N3998" s="3">
        <v>9</v>
      </c>
      <c r="O3998" t="s">
        <v>24</v>
      </c>
      <c r="P3998" t="s">
        <v>25</v>
      </c>
      <c r="R3998">
        <f>tblDailySchedule[[#This Row],[Capacity Approx]]*'[1]Load Factor Sheet June Acft  '!$B$5</f>
        <v>7.2879545454545456</v>
      </c>
      <c r="S3998">
        <f>tblDailySchedule[[#This Row],[Capacity Approx]]*'[1]Load Factor Sheet June Acft  '!$D$5</f>
        <v>7.8913636363636366</v>
      </c>
      <c r="T3998" s="22">
        <f>tblDailySchedule[[#This Row],[STD]]</f>
        <v>0.40277777777777779</v>
      </c>
    </row>
    <row r="3999" spans="1:20" hidden="1" x14ac:dyDescent="0.35">
      <c r="A3999" s="11">
        <v>46254</v>
      </c>
      <c r="B3999" s="3">
        <v>4</v>
      </c>
      <c r="C3999" t="s">
        <v>114</v>
      </c>
      <c r="D3999" t="s">
        <v>18</v>
      </c>
      <c r="E3999" s="3">
        <v>8</v>
      </c>
      <c r="F3999" t="s">
        <v>19</v>
      </c>
      <c r="G3999" t="s">
        <v>46</v>
      </c>
      <c r="H3999" t="s">
        <v>31</v>
      </c>
      <c r="I3999" s="12">
        <v>0.4201388888888889</v>
      </c>
      <c r="J3999" t="s">
        <v>47</v>
      </c>
      <c r="K3999" t="s">
        <v>31</v>
      </c>
      <c r="L3999" s="12">
        <v>0.44444444444444442</v>
      </c>
      <c r="M3999" t="s">
        <v>29</v>
      </c>
      <c r="N3999" s="3">
        <v>186</v>
      </c>
      <c r="O3999" t="s">
        <v>24</v>
      </c>
      <c r="P3999" t="s">
        <v>25</v>
      </c>
      <c r="R3999">
        <f>tblDailySchedule[[#This Row],[Capacity Approx]]*'[1]Load Factor Sheet June Acft  '!$B$5</f>
        <v>150.61772727272728</v>
      </c>
      <c r="S3999">
        <f>tblDailySchedule[[#This Row],[Capacity Approx]]*'[1]Load Factor Sheet June Acft  '!$D$5</f>
        <v>163.08818181818182</v>
      </c>
      <c r="T3999" s="22">
        <f>tblDailySchedule[[#This Row],[STD]]</f>
        <v>0.44444444444444442</v>
      </c>
    </row>
    <row r="4000" spans="1:20" hidden="1" x14ac:dyDescent="0.35">
      <c r="A4000" s="11">
        <v>46254</v>
      </c>
      <c r="B4000" s="3">
        <v>4</v>
      </c>
      <c r="C4000" t="s">
        <v>114</v>
      </c>
      <c r="D4000" t="s">
        <v>18</v>
      </c>
      <c r="E4000" s="3">
        <v>9</v>
      </c>
      <c r="F4000" t="s">
        <v>19</v>
      </c>
      <c r="G4000" t="s">
        <v>48</v>
      </c>
      <c r="H4000" t="s">
        <v>49</v>
      </c>
      <c r="I4000" s="12">
        <v>0.4375</v>
      </c>
      <c r="J4000" t="s">
        <v>50</v>
      </c>
      <c r="K4000" t="s">
        <v>49</v>
      </c>
      <c r="L4000" s="12">
        <v>0.45833333333333331</v>
      </c>
      <c r="M4000" t="s">
        <v>51</v>
      </c>
      <c r="N4000" s="3">
        <v>78</v>
      </c>
      <c r="O4000" t="s">
        <v>24</v>
      </c>
      <c r="P4000" t="s">
        <v>25</v>
      </c>
      <c r="R4000">
        <f>tblDailySchedule[[#This Row],[Capacity Approx]]*'[1]Load Factor Sheet June Acft  '!$B$5</f>
        <v>63.162272727272729</v>
      </c>
      <c r="S4000">
        <f>tblDailySchedule[[#This Row],[Capacity Approx]]*'[1]Load Factor Sheet June Acft  '!$D$5</f>
        <v>68.391818181818181</v>
      </c>
      <c r="T4000" s="22">
        <f>tblDailySchedule[[#This Row],[STD]]</f>
        <v>0.45833333333333331</v>
      </c>
    </row>
    <row r="4001" spans="1:20" hidden="1" x14ac:dyDescent="0.35">
      <c r="A4001" s="11">
        <v>46254</v>
      </c>
      <c r="B4001" s="3">
        <v>4</v>
      </c>
      <c r="C4001" t="s">
        <v>114</v>
      </c>
      <c r="D4001" t="s">
        <v>18</v>
      </c>
      <c r="E4001" s="3">
        <v>10</v>
      </c>
      <c r="F4001" t="s">
        <v>19</v>
      </c>
      <c r="G4001" t="s">
        <v>52</v>
      </c>
      <c r="H4001" t="s">
        <v>27</v>
      </c>
      <c r="I4001" s="12">
        <v>0.4826388888888889</v>
      </c>
      <c r="J4001" t="s">
        <v>53</v>
      </c>
      <c r="K4001" t="s">
        <v>27</v>
      </c>
      <c r="L4001" s="12">
        <v>0.51041666666666663</v>
      </c>
      <c r="M4001" t="s">
        <v>23</v>
      </c>
      <c r="N4001" s="3">
        <v>186</v>
      </c>
      <c r="O4001" t="s">
        <v>24</v>
      </c>
      <c r="P4001" t="s">
        <v>25</v>
      </c>
      <c r="R4001">
        <f>tblDailySchedule[[#This Row],[Capacity Approx]]*'[1]Load Factor Sheet June Acft  '!$B$5</f>
        <v>150.61772727272728</v>
      </c>
      <c r="S4001">
        <f>tblDailySchedule[[#This Row],[Capacity Approx]]*'[1]Load Factor Sheet June Acft  '!$D$5</f>
        <v>163.08818181818182</v>
      </c>
      <c r="T4001" s="22">
        <f>tblDailySchedule[[#This Row],[STD]]</f>
        <v>0.51041666666666663</v>
      </c>
    </row>
    <row r="4002" spans="1:20" hidden="1" x14ac:dyDescent="0.35">
      <c r="A4002" s="11">
        <v>46254</v>
      </c>
      <c r="B4002" s="3">
        <v>4</v>
      </c>
      <c r="C4002" t="s">
        <v>114</v>
      </c>
      <c r="D4002" t="s">
        <v>18</v>
      </c>
      <c r="E4002" s="3">
        <v>11</v>
      </c>
      <c r="F4002" t="s">
        <v>19</v>
      </c>
      <c r="G4002" t="s">
        <v>54</v>
      </c>
      <c r="H4002" t="s">
        <v>31</v>
      </c>
      <c r="I4002" s="12">
        <v>0.51388888888888884</v>
      </c>
      <c r="J4002" t="s">
        <v>55</v>
      </c>
      <c r="K4002" t="s">
        <v>31</v>
      </c>
      <c r="L4002" s="12">
        <v>0.54166666666666663</v>
      </c>
      <c r="M4002" t="s">
        <v>23</v>
      </c>
      <c r="N4002" s="3">
        <v>186</v>
      </c>
      <c r="O4002" t="s">
        <v>24</v>
      </c>
      <c r="P4002" t="s">
        <v>56</v>
      </c>
      <c r="R4002">
        <f>tblDailySchedule[[#This Row],[Capacity Approx]]*'[1]Load Factor Sheet June Acft  '!$B$5</f>
        <v>150.61772727272728</v>
      </c>
      <c r="S4002">
        <f>tblDailySchedule[[#This Row],[Capacity Approx]]*'[1]Load Factor Sheet June Acft  '!$D$5</f>
        <v>163.08818181818182</v>
      </c>
      <c r="T4002" s="22">
        <f>tblDailySchedule[[#This Row],[STD]]</f>
        <v>0.54166666666666663</v>
      </c>
    </row>
    <row r="4003" spans="1:20" hidden="1" x14ac:dyDescent="0.35">
      <c r="A4003" s="11">
        <v>46254</v>
      </c>
      <c r="B4003" s="3">
        <v>4</v>
      </c>
      <c r="C4003" t="s">
        <v>114</v>
      </c>
      <c r="D4003" t="s">
        <v>18</v>
      </c>
      <c r="E4003" s="3">
        <v>12</v>
      </c>
      <c r="F4003" t="s">
        <v>109</v>
      </c>
      <c r="G4003" t="s">
        <v>110</v>
      </c>
      <c r="H4003" t="s">
        <v>111</v>
      </c>
      <c r="I4003" s="12">
        <v>0.55555555555555558</v>
      </c>
      <c r="J4003" t="s">
        <v>112</v>
      </c>
      <c r="K4003" t="s">
        <v>111</v>
      </c>
      <c r="L4003" s="12">
        <v>0.56944444444444442</v>
      </c>
      <c r="M4003" t="s">
        <v>51</v>
      </c>
      <c r="N4003" s="3">
        <v>78</v>
      </c>
      <c r="O4003" t="s">
        <v>24</v>
      </c>
      <c r="P4003" t="s">
        <v>56</v>
      </c>
      <c r="R4003">
        <f>tblDailySchedule[[#This Row],[Capacity Approx]]*'[1]Load Factor Sheet June Acft  '!$B$5</f>
        <v>63.162272727272729</v>
      </c>
      <c r="S4003">
        <f>tblDailySchedule[[#This Row],[Capacity Approx]]*'[1]Load Factor Sheet June Acft  '!$D$5</f>
        <v>68.391818181818181</v>
      </c>
      <c r="T4003" s="22">
        <f>tblDailySchedule[[#This Row],[STD]]</f>
        <v>0.56944444444444442</v>
      </c>
    </row>
    <row r="4004" spans="1:20" hidden="1" x14ac:dyDescent="0.35">
      <c r="A4004" s="11">
        <v>46254</v>
      </c>
      <c r="B4004" s="3">
        <v>4</v>
      </c>
      <c r="C4004" t="s">
        <v>114</v>
      </c>
      <c r="D4004" t="s">
        <v>18</v>
      </c>
      <c r="E4004" s="3">
        <v>13</v>
      </c>
      <c r="F4004" t="s">
        <v>19</v>
      </c>
      <c r="G4004" t="s">
        <v>57</v>
      </c>
      <c r="H4004" t="s">
        <v>58</v>
      </c>
      <c r="I4004" s="12">
        <v>0.55902777777777779</v>
      </c>
      <c r="J4004" t="s">
        <v>59</v>
      </c>
      <c r="K4004" t="s">
        <v>58</v>
      </c>
      <c r="L4004" s="12">
        <v>0.57638888888888884</v>
      </c>
      <c r="M4004" t="s">
        <v>51</v>
      </c>
      <c r="N4004" s="3">
        <v>78</v>
      </c>
      <c r="O4004" t="s">
        <v>24</v>
      </c>
      <c r="P4004" t="s">
        <v>56</v>
      </c>
      <c r="R4004">
        <f>tblDailySchedule[[#This Row],[Capacity Approx]]*'[1]Load Factor Sheet June Acft  '!$B$5</f>
        <v>63.162272727272729</v>
      </c>
      <c r="S4004">
        <f>tblDailySchedule[[#This Row],[Capacity Approx]]*'[1]Load Factor Sheet June Acft  '!$D$5</f>
        <v>68.391818181818181</v>
      </c>
      <c r="T4004" s="22">
        <f>tblDailySchedule[[#This Row],[STD]]</f>
        <v>0.57638888888888884</v>
      </c>
    </row>
    <row r="4005" spans="1:20" hidden="1" x14ac:dyDescent="0.35">
      <c r="A4005" s="11">
        <v>46254</v>
      </c>
      <c r="B4005" s="3">
        <v>4</v>
      </c>
      <c r="C4005" t="s">
        <v>114</v>
      </c>
      <c r="D4005" t="s">
        <v>18</v>
      </c>
      <c r="E4005" s="3">
        <v>14</v>
      </c>
      <c r="F4005" t="s">
        <v>19</v>
      </c>
      <c r="G4005" t="s">
        <v>60</v>
      </c>
      <c r="H4005" t="s">
        <v>61</v>
      </c>
      <c r="I4005" s="12">
        <v>0.59027777777777779</v>
      </c>
      <c r="J4005" t="s">
        <v>62</v>
      </c>
      <c r="K4005" t="s">
        <v>61</v>
      </c>
      <c r="L4005" s="12">
        <v>0.62152777777777779</v>
      </c>
      <c r="M4005" t="s">
        <v>63</v>
      </c>
      <c r="N4005" s="3">
        <v>232</v>
      </c>
      <c r="O4005" t="s">
        <v>24</v>
      </c>
      <c r="P4005" t="s">
        <v>56</v>
      </c>
      <c r="R4005">
        <f>tblDailySchedule[[#This Row],[Capacity Approx]]*'[1]Load Factor Sheet June Acft  '!$B$5</f>
        <v>187.86727272727273</v>
      </c>
      <c r="S4005">
        <f>tblDailySchedule[[#This Row],[Capacity Approx]]*'[1]Load Factor Sheet June Acft  '!$D$5</f>
        <v>203.4218181818182</v>
      </c>
      <c r="T4005" s="22">
        <f>tblDailySchedule[[#This Row],[STD]]</f>
        <v>0.62152777777777779</v>
      </c>
    </row>
    <row r="4006" spans="1:20" hidden="1" x14ac:dyDescent="0.35">
      <c r="A4006" s="11">
        <v>46254</v>
      </c>
      <c r="B4006" s="3">
        <v>4</v>
      </c>
      <c r="C4006" t="s">
        <v>114</v>
      </c>
      <c r="D4006" t="s">
        <v>18</v>
      </c>
      <c r="E4006" s="3">
        <v>15</v>
      </c>
      <c r="F4006" t="s">
        <v>19</v>
      </c>
      <c r="G4006" t="s">
        <v>64</v>
      </c>
      <c r="H4006" t="s">
        <v>31</v>
      </c>
      <c r="I4006" s="12">
        <v>0.60069444444444442</v>
      </c>
      <c r="J4006" t="s">
        <v>65</v>
      </c>
      <c r="K4006" t="s">
        <v>66</v>
      </c>
      <c r="L4006" s="12">
        <v>0.62847222222222221</v>
      </c>
      <c r="M4006" t="s">
        <v>63</v>
      </c>
      <c r="N4006" s="3">
        <v>232</v>
      </c>
      <c r="O4006" t="s">
        <v>24</v>
      </c>
      <c r="P4006" t="s">
        <v>56</v>
      </c>
      <c r="R4006">
        <f>tblDailySchedule[[#This Row],[Capacity Approx]]*'[1]Load Factor Sheet June Acft  '!$B$5</f>
        <v>187.86727272727273</v>
      </c>
      <c r="S4006">
        <f>tblDailySchedule[[#This Row],[Capacity Approx]]*'[1]Load Factor Sheet June Acft  '!$D$5</f>
        <v>203.4218181818182</v>
      </c>
      <c r="T4006" s="22">
        <f>tblDailySchedule[[#This Row],[STD]]</f>
        <v>0.62847222222222221</v>
      </c>
    </row>
    <row r="4007" spans="1:20" hidden="1" x14ac:dyDescent="0.35">
      <c r="A4007" s="11">
        <v>46254</v>
      </c>
      <c r="B4007" s="3">
        <v>4</v>
      </c>
      <c r="C4007" t="s">
        <v>114</v>
      </c>
      <c r="D4007" t="s">
        <v>18</v>
      </c>
      <c r="E4007" s="3">
        <v>16</v>
      </c>
      <c r="F4007" t="s">
        <v>19</v>
      </c>
      <c r="G4007" t="s">
        <v>67</v>
      </c>
      <c r="H4007" t="s">
        <v>31</v>
      </c>
      <c r="I4007" s="12">
        <v>0.65625</v>
      </c>
      <c r="J4007" t="s">
        <v>68</v>
      </c>
      <c r="K4007" t="s">
        <v>31</v>
      </c>
      <c r="L4007" s="12">
        <v>0.68402777777777779</v>
      </c>
      <c r="M4007" t="s">
        <v>63</v>
      </c>
      <c r="N4007" s="3">
        <v>232</v>
      </c>
      <c r="O4007" t="s">
        <v>24</v>
      </c>
      <c r="P4007" t="s">
        <v>56</v>
      </c>
      <c r="R4007">
        <f>tblDailySchedule[[#This Row],[Capacity Approx]]*'[1]Load Factor Sheet June Acft  '!$B$5</f>
        <v>187.86727272727273</v>
      </c>
      <c r="S4007">
        <f>tblDailySchedule[[#This Row],[Capacity Approx]]*'[1]Load Factor Sheet June Acft  '!$D$5</f>
        <v>203.4218181818182</v>
      </c>
      <c r="T4007" s="22">
        <f>tblDailySchedule[[#This Row],[STD]]</f>
        <v>0.68402777777777779</v>
      </c>
    </row>
    <row r="4008" spans="1:20" hidden="1" x14ac:dyDescent="0.35">
      <c r="A4008" s="11">
        <v>46254</v>
      </c>
      <c r="B4008" s="3">
        <v>4</v>
      </c>
      <c r="C4008" t="s">
        <v>114</v>
      </c>
      <c r="D4008" t="s">
        <v>18</v>
      </c>
      <c r="E4008" s="3">
        <v>17</v>
      </c>
      <c r="F4008" t="s">
        <v>19</v>
      </c>
      <c r="G4008" t="s">
        <v>69</v>
      </c>
      <c r="H4008" t="s">
        <v>31</v>
      </c>
      <c r="I4008" s="12">
        <v>0.66319444444444442</v>
      </c>
      <c r="J4008" t="s">
        <v>70</v>
      </c>
      <c r="K4008" t="s">
        <v>31</v>
      </c>
      <c r="L4008" s="12">
        <v>0.69097222222222221</v>
      </c>
      <c r="M4008" t="s">
        <v>33</v>
      </c>
      <c r="N4008" s="3">
        <v>189</v>
      </c>
      <c r="O4008" t="s">
        <v>24</v>
      </c>
      <c r="P4008" t="s">
        <v>56</v>
      </c>
      <c r="R4008">
        <f>tblDailySchedule[[#This Row],[Capacity Approx]]*'[1]Load Factor Sheet June Acft  '!$B$5</f>
        <v>153.04704545454547</v>
      </c>
      <c r="S4008">
        <f>tblDailySchedule[[#This Row],[Capacity Approx]]*'[1]Load Factor Sheet June Acft  '!$D$5</f>
        <v>165.71863636363636</v>
      </c>
      <c r="T4008" s="22">
        <f>tblDailySchedule[[#This Row],[STD]]</f>
        <v>0.69097222222222221</v>
      </c>
    </row>
    <row r="4009" spans="1:20" hidden="1" x14ac:dyDescent="0.35">
      <c r="A4009" s="11">
        <v>46254</v>
      </c>
      <c r="B4009" s="3">
        <v>4</v>
      </c>
      <c r="C4009" t="s">
        <v>114</v>
      </c>
      <c r="D4009" t="s">
        <v>18</v>
      </c>
      <c r="E4009" s="3">
        <v>18</v>
      </c>
      <c r="F4009" t="s">
        <v>19</v>
      </c>
      <c r="G4009" t="s">
        <v>71</v>
      </c>
      <c r="H4009" t="s">
        <v>21</v>
      </c>
      <c r="I4009" s="12">
        <v>0.67013888888888884</v>
      </c>
      <c r="J4009" t="s">
        <v>72</v>
      </c>
      <c r="K4009" t="s">
        <v>21</v>
      </c>
      <c r="L4009" s="12">
        <v>0.69791666666666663</v>
      </c>
      <c r="M4009" t="s">
        <v>63</v>
      </c>
      <c r="N4009" s="3">
        <v>232</v>
      </c>
      <c r="O4009" t="s">
        <v>24</v>
      </c>
      <c r="P4009" t="s">
        <v>56</v>
      </c>
      <c r="R4009">
        <f>tblDailySchedule[[#This Row],[Capacity Approx]]*'[1]Load Factor Sheet June Acft  '!$B$5</f>
        <v>187.86727272727273</v>
      </c>
      <c r="S4009">
        <f>tblDailySchedule[[#This Row],[Capacity Approx]]*'[1]Load Factor Sheet June Acft  '!$D$5</f>
        <v>203.4218181818182</v>
      </c>
      <c r="T4009" s="22">
        <f>tblDailySchedule[[#This Row],[STD]]</f>
        <v>0.69791666666666663</v>
      </c>
    </row>
    <row r="4010" spans="1:20" hidden="1" x14ac:dyDescent="0.35">
      <c r="A4010" s="11">
        <v>46254</v>
      </c>
      <c r="B4010" s="3">
        <v>4</v>
      </c>
      <c r="C4010" t="s">
        <v>114</v>
      </c>
      <c r="D4010" t="s">
        <v>18</v>
      </c>
      <c r="E4010" s="3">
        <v>19</v>
      </c>
      <c r="F4010" t="s">
        <v>19</v>
      </c>
      <c r="G4010" t="s">
        <v>73</v>
      </c>
      <c r="H4010" t="s">
        <v>27</v>
      </c>
      <c r="I4010" s="12">
        <v>0.74652777777777779</v>
      </c>
      <c r="J4010" t="s">
        <v>74</v>
      </c>
      <c r="K4010" t="s">
        <v>27</v>
      </c>
      <c r="L4010" s="12">
        <v>0.77430555555555558</v>
      </c>
      <c r="M4010" t="s">
        <v>63</v>
      </c>
      <c r="N4010" s="3">
        <v>232</v>
      </c>
      <c r="O4010" t="s">
        <v>24</v>
      </c>
      <c r="P4010" t="s">
        <v>56</v>
      </c>
      <c r="R4010">
        <f>tblDailySchedule[[#This Row],[Capacity Approx]]*'[1]Load Factor Sheet June Acft  '!$B$5</f>
        <v>187.86727272727273</v>
      </c>
      <c r="S4010">
        <f>tblDailySchedule[[#This Row],[Capacity Approx]]*'[1]Load Factor Sheet June Acft  '!$D$5</f>
        <v>203.4218181818182</v>
      </c>
      <c r="T4010" s="22">
        <f>tblDailySchedule[[#This Row],[STD]]</f>
        <v>0.77430555555555558</v>
      </c>
    </row>
    <row r="4011" spans="1:20" hidden="1" x14ac:dyDescent="0.35">
      <c r="A4011" s="11">
        <v>46254</v>
      </c>
      <c r="B4011" s="3">
        <v>4</v>
      </c>
      <c r="C4011" t="s">
        <v>114</v>
      </c>
      <c r="D4011" t="s">
        <v>18</v>
      </c>
      <c r="E4011" s="3">
        <v>21</v>
      </c>
      <c r="F4011" t="s">
        <v>19</v>
      </c>
      <c r="G4011" t="s">
        <v>81</v>
      </c>
      <c r="H4011" t="s">
        <v>61</v>
      </c>
      <c r="I4011" s="12">
        <v>0.77083333333333337</v>
      </c>
      <c r="J4011" t="s">
        <v>82</v>
      </c>
      <c r="K4011" t="s">
        <v>49</v>
      </c>
      <c r="L4011" s="12">
        <v>0.79166666666666663</v>
      </c>
      <c r="M4011" t="s">
        <v>33</v>
      </c>
      <c r="N4011" s="3">
        <v>189</v>
      </c>
      <c r="O4011" t="s">
        <v>24</v>
      </c>
      <c r="P4011" t="s">
        <v>79</v>
      </c>
      <c r="R4011">
        <f>tblDailySchedule[[#This Row],[Capacity Approx]]*'[1]Load Factor Sheet June Acft  '!$B$5</f>
        <v>153.04704545454547</v>
      </c>
      <c r="S4011">
        <f>tblDailySchedule[[#This Row],[Capacity Approx]]*'[1]Load Factor Sheet June Acft  '!$D$5</f>
        <v>165.71863636363636</v>
      </c>
      <c r="T4011" s="22">
        <f>tblDailySchedule[[#This Row],[STD]]</f>
        <v>0.79166666666666663</v>
      </c>
    </row>
    <row r="4012" spans="1:20" hidden="1" x14ac:dyDescent="0.35">
      <c r="A4012" s="11">
        <v>46254</v>
      </c>
      <c r="B4012" s="3">
        <v>4</v>
      </c>
      <c r="C4012" t="s">
        <v>114</v>
      </c>
      <c r="D4012" t="s">
        <v>18</v>
      </c>
      <c r="E4012" s="3">
        <v>22</v>
      </c>
      <c r="F4012" t="s">
        <v>19</v>
      </c>
      <c r="G4012" t="s">
        <v>83</v>
      </c>
      <c r="H4012" t="s">
        <v>31</v>
      </c>
      <c r="I4012" s="12">
        <v>0.77777777777777779</v>
      </c>
      <c r="J4012" t="s">
        <v>84</v>
      </c>
      <c r="K4012" t="s">
        <v>31</v>
      </c>
      <c r="L4012" s="12">
        <v>0.80555555555555558</v>
      </c>
      <c r="M4012" t="s">
        <v>63</v>
      </c>
      <c r="N4012" s="3">
        <v>232</v>
      </c>
      <c r="O4012" t="s">
        <v>24</v>
      </c>
      <c r="P4012" t="s">
        <v>79</v>
      </c>
      <c r="R4012">
        <f>tblDailySchedule[[#This Row],[Capacity Approx]]*'[1]Load Factor Sheet June Acft  '!$B$5</f>
        <v>187.86727272727273</v>
      </c>
      <c r="S4012">
        <f>tblDailySchedule[[#This Row],[Capacity Approx]]*'[1]Load Factor Sheet June Acft  '!$D$5</f>
        <v>203.4218181818182</v>
      </c>
      <c r="T4012" s="22">
        <f>tblDailySchedule[[#This Row],[STD]]</f>
        <v>0.80555555555555558</v>
      </c>
    </row>
    <row r="4013" spans="1:20" hidden="1" x14ac:dyDescent="0.35">
      <c r="A4013" s="11">
        <v>46254</v>
      </c>
      <c r="B4013" s="3">
        <v>4</v>
      </c>
      <c r="C4013" t="s">
        <v>114</v>
      </c>
      <c r="D4013" t="s">
        <v>18</v>
      </c>
      <c r="E4013" s="3">
        <v>23</v>
      </c>
      <c r="F4013" t="s">
        <v>19</v>
      </c>
      <c r="G4013" t="s">
        <v>85</v>
      </c>
      <c r="H4013" t="s">
        <v>86</v>
      </c>
      <c r="I4013" s="12">
        <v>0.79861111111111116</v>
      </c>
      <c r="J4013" t="s">
        <v>87</v>
      </c>
      <c r="K4013" t="s">
        <v>86</v>
      </c>
      <c r="L4013" s="12">
        <v>0.82638888888888884</v>
      </c>
      <c r="M4013" t="s">
        <v>63</v>
      </c>
      <c r="N4013" s="3">
        <v>232</v>
      </c>
      <c r="O4013" t="s">
        <v>24</v>
      </c>
      <c r="P4013" t="s">
        <v>79</v>
      </c>
      <c r="R4013">
        <f>tblDailySchedule[[#This Row],[Capacity Approx]]*'[1]Load Factor Sheet June Acft  '!$B$5</f>
        <v>187.86727272727273</v>
      </c>
      <c r="S4013">
        <f>tblDailySchedule[[#This Row],[Capacity Approx]]*'[1]Load Factor Sheet June Acft  '!$D$5</f>
        <v>203.4218181818182</v>
      </c>
      <c r="T4013" s="22">
        <f>tblDailySchedule[[#This Row],[STD]]</f>
        <v>0.82638888888888884</v>
      </c>
    </row>
    <row r="4014" spans="1:20" hidden="1" x14ac:dyDescent="0.35">
      <c r="A4014" s="11">
        <v>46254</v>
      </c>
      <c r="B4014" s="3">
        <v>4</v>
      </c>
      <c r="C4014" t="s">
        <v>114</v>
      </c>
      <c r="D4014" t="s">
        <v>18</v>
      </c>
      <c r="E4014" s="3">
        <v>24</v>
      </c>
      <c r="F4014" t="s">
        <v>19</v>
      </c>
      <c r="G4014" t="s">
        <v>88</v>
      </c>
      <c r="H4014" t="s">
        <v>89</v>
      </c>
      <c r="I4014" s="12">
        <v>0.83333333333333337</v>
      </c>
      <c r="J4014" t="s">
        <v>90</v>
      </c>
      <c r="K4014" t="s">
        <v>31</v>
      </c>
      <c r="L4014" s="12">
        <v>0.86111111111111116</v>
      </c>
      <c r="M4014" t="s">
        <v>63</v>
      </c>
      <c r="N4014" s="3">
        <v>232</v>
      </c>
      <c r="O4014" t="s">
        <v>24</v>
      </c>
      <c r="P4014" t="s">
        <v>79</v>
      </c>
      <c r="R4014">
        <f>tblDailySchedule[[#This Row],[Capacity Approx]]*'[1]Load Factor Sheet June Acft  '!$B$5</f>
        <v>187.86727272727273</v>
      </c>
      <c r="S4014">
        <f>tblDailySchedule[[#This Row],[Capacity Approx]]*'[1]Load Factor Sheet June Acft  '!$D$5</f>
        <v>203.4218181818182</v>
      </c>
      <c r="T4014" s="22">
        <f>tblDailySchedule[[#This Row],[STD]]</f>
        <v>0.86111111111111116</v>
      </c>
    </row>
    <row r="4015" spans="1:20" hidden="1" x14ac:dyDescent="0.35">
      <c r="A4015" s="11">
        <v>46254</v>
      </c>
      <c r="B4015" s="3">
        <v>4</v>
      </c>
      <c r="C4015" t="s">
        <v>114</v>
      </c>
      <c r="D4015" t="s">
        <v>18</v>
      </c>
      <c r="E4015" s="3">
        <v>25</v>
      </c>
      <c r="F4015" t="s">
        <v>19</v>
      </c>
      <c r="G4015" t="s">
        <v>91</v>
      </c>
      <c r="H4015" t="s">
        <v>61</v>
      </c>
      <c r="I4015" s="12">
        <v>0.85416666666666663</v>
      </c>
      <c r="J4015" t="s">
        <v>92</v>
      </c>
      <c r="K4015" t="s">
        <v>61</v>
      </c>
      <c r="L4015" s="12">
        <v>0.88194444444444442</v>
      </c>
      <c r="M4015" t="s">
        <v>63</v>
      </c>
      <c r="N4015" s="3">
        <v>232</v>
      </c>
      <c r="O4015" t="s">
        <v>24</v>
      </c>
      <c r="P4015" t="s">
        <v>79</v>
      </c>
      <c r="R4015">
        <f>tblDailySchedule[[#This Row],[Capacity Approx]]*'[1]Load Factor Sheet June Acft  '!$B$5</f>
        <v>187.86727272727273</v>
      </c>
      <c r="S4015">
        <f>tblDailySchedule[[#This Row],[Capacity Approx]]*'[1]Load Factor Sheet June Acft  '!$D$5</f>
        <v>203.4218181818182</v>
      </c>
      <c r="T4015" s="22">
        <f>tblDailySchedule[[#This Row],[STD]]</f>
        <v>0.88194444444444442</v>
      </c>
    </row>
    <row r="4016" spans="1:20" hidden="1" x14ac:dyDescent="0.35">
      <c r="A4016" s="11">
        <v>46254</v>
      </c>
      <c r="B4016" s="3">
        <v>4</v>
      </c>
      <c r="C4016" t="s">
        <v>114</v>
      </c>
      <c r="D4016" t="s">
        <v>18</v>
      </c>
      <c r="E4016" s="3">
        <v>26</v>
      </c>
      <c r="F4016" t="s">
        <v>19</v>
      </c>
      <c r="G4016" t="s">
        <v>93</v>
      </c>
      <c r="H4016" t="s">
        <v>31</v>
      </c>
      <c r="I4016" s="12">
        <v>0.86111111111111116</v>
      </c>
      <c r="J4016" t="s">
        <v>94</v>
      </c>
      <c r="K4016" t="s">
        <v>31</v>
      </c>
      <c r="L4016" s="12">
        <v>0.88888888888888884</v>
      </c>
      <c r="M4016" t="s">
        <v>23</v>
      </c>
      <c r="N4016" s="3">
        <v>186</v>
      </c>
      <c r="O4016" t="s">
        <v>24</v>
      </c>
      <c r="P4016" t="s">
        <v>79</v>
      </c>
      <c r="R4016">
        <f>tblDailySchedule[[#This Row],[Capacity Approx]]*'[1]Load Factor Sheet June Acft  '!$B$5</f>
        <v>150.61772727272728</v>
      </c>
      <c r="S4016">
        <f>tblDailySchedule[[#This Row],[Capacity Approx]]*'[1]Load Factor Sheet June Acft  '!$D$5</f>
        <v>163.08818181818182</v>
      </c>
      <c r="T4016" s="22">
        <f>tblDailySchedule[[#This Row],[STD]]</f>
        <v>0.88888888888888884</v>
      </c>
    </row>
    <row r="4017" spans="1:20" hidden="1" x14ac:dyDescent="0.35">
      <c r="A4017" s="11">
        <v>46254</v>
      </c>
      <c r="B4017" s="3">
        <v>4</v>
      </c>
      <c r="C4017" t="s">
        <v>114</v>
      </c>
      <c r="D4017" t="s">
        <v>18</v>
      </c>
      <c r="E4017" s="3">
        <v>27</v>
      </c>
      <c r="F4017" t="s">
        <v>19</v>
      </c>
      <c r="G4017" t="s">
        <v>95</v>
      </c>
      <c r="H4017" t="s">
        <v>21</v>
      </c>
      <c r="I4017" s="12">
        <v>0.86805555555555558</v>
      </c>
      <c r="J4017" t="s">
        <v>96</v>
      </c>
      <c r="K4017" t="s">
        <v>21</v>
      </c>
      <c r="L4017" s="12">
        <v>0.89583333333333337</v>
      </c>
      <c r="M4017" t="s">
        <v>29</v>
      </c>
      <c r="N4017" s="3">
        <v>186</v>
      </c>
      <c r="O4017" t="s">
        <v>24</v>
      </c>
      <c r="P4017" t="s">
        <v>79</v>
      </c>
      <c r="R4017">
        <f>tblDailySchedule[[#This Row],[Capacity Approx]]*'[1]Load Factor Sheet June Acft  '!$B$5</f>
        <v>150.61772727272728</v>
      </c>
      <c r="S4017">
        <f>tblDailySchedule[[#This Row],[Capacity Approx]]*'[1]Load Factor Sheet June Acft  '!$D$5</f>
        <v>163.08818181818182</v>
      </c>
      <c r="T4017" s="22">
        <f>tblDailySchedule[[#This Row],[STD]]</f>
        <v>0.89583333333333337</v>
      </c>
    </row>
    <row r="4018" spans="1:20" hidden="1" x14ac:dyDescent="0.35">
      <c r="A4018" s="11">
        <v>46254</v>
      </c>
      <c r="B4018" s="3">
        <v>4</v>
      </c>
      <c r="C4018" t="s">
        <v>114</v>
      </c>
      <c r="D4018" t="s">
        <v>18</v>
      </c>
      <c r="E4018" s="3">
        <v>28</v>
      </c>
      <c r="F4018" t="s">
        <v>19</v>
      </c>
      <c r="G4018" t="s">
        <v>97</v>
      </c>
      <c r="H4018" t="s">
        <v>49</v>
      </c>
      <c r="I4018" s="12">
        <v>0.90277777777777779</v>
      </c>
      <c r="J4018" t="s">
        <v>97</v>
      </c>
      <c r="K4018" t="s">
        <v>61</v>
      </c>
      <c r="L4018" s="12">
        <v>0.92361111111111116</v>
      </c>
      <c r="M4018" t="s">
        <v>33</v>
      </c>
      <c r="N4018" s="3">
        <v>189</v>
      </c>
      <c r="O4018" t="s">
        <v>24</v>
      </c>
      <c r="P4018" t="s">
        <v>79</v>
      </c>
      <c r="R4018">
        <f>tblDailySchedule[[#This Row],[Capacity Approx]]*'[1]Load Factor Sheet June Acft  '!$B$5</f>
        <v>153.04704545454547</v>
      </c>
      <c r="S4018">
        <f>tblDailySchedule[[#This Row],[Capacity Approx]]*'[1]Load Factor Sheet June Acft  '!$D$5</f>
        <v>165.71863636363636</v>
      </c>
      <c r="T4018" s="22">
        <f>tblDailySchedule[[#This Row],[STD]]</f>
        <v>0.92361111111111116</v>
      </c>
    </row>
    <row r="4019" spans="1:20" hidden="1" x14ac:dyDescent="0.35">
      <c r="A4019" s="11">
        <v>46254</v>
      </c>
      <c r="B4019" s="3">
        <v>4</v>
      </c>
      <c r="C4019" t="s">
        <v>114</v>
      </c>
      <c r="D4019" t="s">
        <v>18</v>
      </c>
      <c r="E4019" s="3">
        <v>29</v>
      </c>
      <c r="F4019" t="s">
        <v>19</v>
      </c>
      <c r="G4019" t="s">
        <v>98</v>
      </c>
      <c r="H4019" t="s">
        <v>21</v>
      </c>
      <c r="I4019" s="12">
        <v>0.92013888888888884</v>
      </c>
      <c r="J4019" t="s">
        <v>99</v>
      </c>
      <c r="K4019" t="s">
        <v>21</v>
      </c>
      <c r="L4019" s="12">
        <v>0.94791666666666663</v>
      </c>
      <c r="M4019" t="s">
        <v>63</v>
      </c>
      <c r="N4019" s="3">
        <v>232</v>
      </c>
      <c r="O4019" t="s">
        <v>24</v>
      </c>
      <c r="P4019" t="s">
        <v>79</v>
      </c>
      <c r="R4019">
        <f>tblDailySchedule[[#This Row],[Capacity Approx]]*'[1]Load Factor Sheet June Acft  '!$B$5</f>
        <v>187.86727272727273</v>
      </c>
      <c r="S4019">
        <f>tblDailySchedule[[#This Row],[Capacity Approx]]*'[1]Load Factor Sheet June Acft  '!$D$5</f>
        <v>203.4218181818182</v>
      </c>
      <c r="T4019" s="22">
        <f>tblDailySchedule[[#This Row],[STD]]</f>
        <v>0.94791666666666663</v>
      </c>
    </row>
    <row r="4020" spans="1:20" hidden="1" x14ac:dyDescent="0.35">
      <c r="A4020" s="11">
        <v>46255</v>
      </c>
      <c r="B4020" s="3">
        <v>5</v>
      </c>
      <c r="C4020" t="s">
        <v>115</v>
      </c>
      <c r="D4020" t="s">
        <v>18</v>
      </c>
      <c r="E4020" s="3">
        <v>2</v>
      </c>
      <c r="F4020" t="s">
        <v>19</v>
      </c>
      <c r="G4020" t="s">
        <v>20</v>
      </c>
      <c r="H4020" t="s">
        <v>21</v>
      </c>
      <c r="I4020" s="12">
        <v>0.31944444444444442</v>
      </c>
      <c r="J4020" t="s">
        <v>22</v>
      </c>
      <c r="K4020" t="s">
        <v>21</v>
      </c>
      <c r="L4020" s="12">
        <v>0.34722222222222221</v>
      </c>
      <c r="M4020" t="s">
        <v>23</v>
      </c>
      <c r="N4020" s="3">
        <v>186</v>
      </c>
      <c r="O4020" t="s">
        <v>24</v>
      </c>
      <c r="P4020" t="s">
        <v>25</v>
      </c>
      <c r="R4020">
        <f>tblDailySchedule[[#This Row],[Capacity Approx]]*'[1]Load Factor Sheet June Acft  '!$B$5</f>
        <v>150.61772727272728</v>
      </c>
      <c r="S4020">
        <f>tblDailySchedule[[#This Row],[Capacity Approx]]*'[1]Load Factor Sheet June Acft  '!$D$5</f>
        <v>163.08818181818182</v>
      </c>
      <c r="T4020" s="22">
        <f>tblDailySchedule[[#This Row],[STD]]</f>
        <v>0.34722222222222221</v>
      </c>
    </row>
    <row r="4021" spans="1:20" hidden="1" x14ac:dyDescent="0.35">
      <c r="A4021" s="11">
        <v>46255</v>
      </c>
      <c r="B4021" s="3">
        <v>5</v>
      </c>
      <c r="C4021" t="s">
        <v>115</v>
      </c>
      <c r="D4021" t="s">
        <v>18</v>
      </c>
      <c r="E4021" s="3">
        <v>3</v>
      </c>
      <c r="F4021" t="s">
        <v>19</v>
      </c>
      <c r="G4021" t="s">
        <v>26</v>
      </c>
      <c r="H4021" t="s">
        <v>27</v>
      </c>
      <c r="I4021" s="12">
        <v>0.3263888888888889</v>
      </c>
      <c r="J4021" t="s">
        <v>28</v>
      </c>
      <c r="K4021" t="s">
        <v>27</v>
      </c>
      <c r="L4021" s="12">
        <v>0.35416666666666669</v>
      </c>
      <c r="M4021" t="s">
        <v>29</v>
      </c>
      <c r="N4021" s="3">
        <v>186</v>
      </c>
      <c r="O4021" t="s">
        <v>24</v>
      </c>
      <c r="P4021" t="s">
        <v>25</v>
      </c>
      <c r="R4021">
        <f>tblDailySchedule[[#This Row],[Capacity Approx]]*'[1]Load Factor Sheet June Acft  '!$B$5</f>
        <v>150.61772727272728</v>
      </c>
      <c r="S4021">
        <f>tblDailySchedule[[#This Row],[Capacity Approx]]*'[1]Load Factor Sheet June Acft  '!$D$5</f>
        <v>163.08818181818182</v>
      </c>
      <c r="T4021" s="22">
        <f>tblDailySchedule[[#This Row],[STD]]</f>
        <v>0.35416666666666669</v>
      </c>
    </row>
    <row r="4022" spans="1:20" hidden="1" x14ac:dyDescent="0.35">
      <c r="A4022" s="11">
        <v>46255</v>
      </c>
      <c r="B4022" s="3">
        <v>5</v>
      </c>
      <c r="C4022" t="s">
        <v>115</v>
      </c>
      <c r="D4022" t="s">
        <v>18</v>
      </c>
      <c r="E4022" s="3">
        <v>4</v>
      </c>
      <c r="F4022" t="s">
        <v>19</v>
      </c>
      <c r="G4022" t="s">
        <v>30</v>
      </c>
      <c r="H4022" t="s">
        <v>31</v>
      </c>
      <c r="I4022" s="12">
        <v>0.34722222222222221</v>
      </c>
      <c r="J4022" t="s">
        <v>32</v>
      </c>
      <c r="K4022" t="s">
        <v>31</v>
      </c>
      <c r="L4022" s="12">
        <v>0.36805555555555558</v>
      </c>
      <c r="M4022" t="s">
        <v>33</v>
      </c>
      <c r="N4022" s="3">
        <v>189</v>
      </c>
      <c r="O4022" t="s">
        <v>24</v>
      </c>
      <c r="P4022" t="s">
        <v>25</v>
      </c>
      <c r="R4022">
        <f>tblDailySchedule[[#This Row],[Capacity Approx]]*'[1]Load Factor Sheet June Acft  '!$B$5</f>
        <v>153.04704545454547</v>
      </c>
      <c r="S4022">
        <f>tblDailySchedule[[#This Row],[Capacity Approx]]*'[1]Load Factor Sheet June Acft  '!$D$5</f>
        <v>165.71863636363636</v>
      </c>
      <c r="T4022" s="22">
        <f>tblDailySchedule[[#This Row],[STD]]</f>
        <v>0.36805555555555558</v>
      </c>
    </row>
    <row r="4023" spans="1:20" hidden="1" x14ac:dyDescent="0.35">
      <c r="A4023" s="13">
        <v>46255</v>
      </c>
      <c r="B4023" s="7">
        <v>5</v>
      </c>
      <c r="C4023" s="14" t="s">
        <v>115</v>
      </c>
      <c r="D4023" s="14" t="s">
        <v>18</v>
      </c>
      <c r="E4023" s="7">
        <v>6</v>
      </c>
      <c r="F4023" s="14" t="s">
        <v>34</v>
      </c>
      <c r="G4023" s="14" t="s">
        <v>35</v>
      </c>
      <c r="H4023" s="14" t="s">
        <v>36</v>
      </c>
      <c r="I4023" s="15">
        <v>0.34722222222222221</v>
      </c>
      <c r="J4023" s="14" t="s">
        <v>37</v>
      </c>
      <c r="K4023" s="14" t="s">
        <v>36</v>
      </c>
      <c r="L4023" s="15">
        <v>0.40972222222222221</v>
      </c>
      <c r="M4023" s="14" t="s">
        <v>38</v>
      </c>
      <c r="N4023" s="7">
        <v>186</v>
      </c>
      <c r="O4023" s="14" t="s">
        <v>39</v>
      </c>
      <c r="P4023" s="14" t="s">
        <v>25</v>
      </c>
      <c r="Q4023" s="14" t="s">
        <v>39</v>
      </c>
      <c r="R4023">
        <f>tblDailySchedule[[#This Row],[Capacity Approx]]*'[1]Load Factor Sheet June Acft  '!$B$5</f>
        <v>150.61772727272728</v>
      </c>
      <c r="S4023">
        <f>tblDailySchedule[[#This Row],[Capacity Approx]]*'[1]Load Factor Sheet June Acft  '!$D$5</f>
        <v>163.08818181818182</v>
      </c>
      <c r="T4023" s="22">
        <f>tblDailySchedule[[#This Row],[STD]]</f>
        <v>0.40972222222222221</v>
      </c>
    </row>
    <row r="4024" spans="1:20" hidden="1" x14ac:dyDescent="0.35">
      <c r="A4024" s="11">
        <v>46255</v>
      </c>
      <c r="B4024" s="3">
        <v>5</v>
      </c>
      <c r="C4024" t="s">
        <v>115</v>
      </c>
      <c r="D4024" t="s">
        <v>18</v>
      </c>
      <c r="E4024" s="3">
        <v>5</v>
      </c>
      <c r="F4024" t="s">
        <v>19</v>
      </c>
      <c r="G4024" t="s">
        <v>40</v>
      </c>
      <c r="H4024" t="s">
        <v>31</v>
      </c>
      <c r="I4024" s="12">
        <v>0.35069444444444442</v>
      </c>
      <c r="J4024" t="s">
        <v>41</v>
      </c>
      <c r="K4024" t="s">
        <v>31</v>
      </c>
      <c r="L4024" s="12">
        <v>0.37152777777777779</v>
      </c>
      <c r="M4024" t="s">
        <v>23</v>
      </c>
      <c r="N4024" s="3">
        <v>186</v>
      </c>
      <c r="O4024" t="s">
        <v>24</v>
      </c>
      <c r="P4024" t="s">
        <v>25</v>
      </c>
      <c r="R4024">
        <f>tblDailySchedule[[#This Row],[Capacity Approx]]*'[1]Load Factor Sheet June Acft  '!$B$5</f>
        <v>150.61772727272728</v>
      </c>
      <c r="S4024">
        <f>tblDailySchedule[[#This Row],[Capacity Approx]]*'[1]Load Factor Sheet June Acft  '!$D$5</f>
        <v>163.08818181818182</v>
      </c>
      <c r="T4024" s="22">
        <f>tblDailySchedule[[#This Row],[STD]]</f>
        <v>0.37152777777777779</v>
      </c>
    </row>
    <row r="4025" spans="1:20" hidden="1" x14ac:dyDescent="0.35">
      <c r="A4025" s="11">
        <v>46255</v>
      </c>
      <c r="B4025" s="3">
        <v>5</v>
      </c>
      <c r="C4025" t="s">
        <v>115</v>
      </c>
      <c r="D4025" t="s">
        <v>18</v>
      </c>
      <c r="E4025" s="3">
        <v>7</v>
      </c>
      <c r="F4025" t="s">
        <v>19</v>
      </c>
      <c r="G4025" t="s">
        <v>42</v>
      </c>
      <c r="H4025" t="s">
        <v>43</v>
      </c>
      <c r="I4025" s="12">
        <v>0.3923611111111111</v>
      </c>
      <c r="J4025" t="s">
        <v>44</v>
      </c>
      <c r="K4025" t="s">
        <v>43</v>
      </c>
      <c r="L4025" s="12">
        <v>0.40277777777777779</v>
      </c>
      <c r="M4025" t="s">
        <v>45</v>
      </c>
      <c r="N4025" s="3">
        <v>9</v>
      </c>
      <c r="O4025" t="s">
        <v>24</v>
      </c>
      <c r="P4025" t="s">
        <v>25</v>
      </c>
      <c r="R4025">
        <f>tblDailySchedule[[#This Row],[Capacity Approx]]*'[1]Load Factor Sheet June Acft  '!$B$5</f>
        <v>7.2879545454545456</v>
      </c>
      <c r="S4025">
        <f>tblDailySchedule[[#This Row],[Capacity Approx]]*'[1]Load Factor Sheet June Acft  '!$D$5</f>
        <v>7.8913636363636366</v>
      </c>
      <c r="T4025" s="22">
        <f>tblDailySchedule[[#This Row],[STD]]</f>
        <v>0.40277777777777779</v>
      </c>
    </row>
    <row r="4026" spans="1:20" hidden="1" x14ac:dyDescent="0.35">
      <c r="A4026" s="11">
        <v>46255</v>
      </c>
      <c r="B4026" s="3">
        <v>5</v>
      </c>
      <c r="C4026" t="s">
        <v>115</v>
      </c>
      <c r="D4026" t="s">
        <v>18</v>
      </c>
      <c r="E4026" s="3">
        <v>8</v>
      </c>
      <c r="F4026" t="s">
        <v>19</v>
      </c>
      <c r="G4026" t="s">
        <v>46</v>
      </c>
      <c r="H4026" t="s">
        <v>31</v>
      </c>
      <c r="I4026" s="12">
        <v>0.4201388888888889</v>
      </c>
      <c r="J4026" t="s">
        <v>47</v>
      </c>
      <c r="K4026" t="s">
        <v>31</v>
      </c>
      <c r="L4026" s="12">
        <v>0.44444444444444442</v>
      </c>
      <c r="M4026" t="s">
        <v>29</v>
      </c>
      <c r="N4026" s="3">
        <v>186</v>
      </c>
      <c r="O4026" t="s">
        <v>24</v>
      </c>
      <c r="P4026" t="s">
        <v>25</v>
      </c>
      <c r="R4026">
        <f>tblDailySchedule[[#This Row],[Capacity Approx]]*'[1]Load Factor Sheet June Acft  '!$B$5</f>
        <v>150.61772727272728</v>
      </c>
      <c r="S4026">
        <f>tblDailySchedule[[#This Row],[Capacity Approx]]*'[1]Load Factor Sheet June Acft  '!$D$5</f>
        <v>163.08818181818182</v>
      </c>
      <c r="T4026" s="22">
        <f>tblDailySchedule[[#This Row],[STD]]</f>
        <v>0.44444444444444442</v>
      </c>
    </row>
    <row r="4027" spans="1:20" hidden="1" x14ac:dyDescent="0.35">
      <c r="A4027" s="11">
        <v>46255</v>
      </c>
      <c r="B4027" s="3">
        <v>5</v>
      </c>
      <c r="C4027" t="s">
        <v>115</v>
      </c>
      <c r="D4027" t="s">
        <v>18</v>
      </c>
      <c r="E4027" s="3">
        <v>9</v>
      </c>
      <c r="F4027" t="s">
        <v>19</v>
      </c>
      <c r="G4027" t="s">
        <v>48</v>
      </c>
      <c r="H4027" t="s">
        <v>49</v>
      </c>
      <c r="I4027" s="12">
        <v>0.4375</v>
      </c>
      <c r="J4027" t="s">
        <v>50</v>
      </c>
      <c r="K4027" t="s">
        <v>49</v>
      </c>
      <c r="L4027" s="12">
        <v>0.45833333333333331</v>
      </c>
      <c r="M4027" t="s">
        <v>51</v>
      </c>
      <c r="N4027" s="3">
        <v>78</v>
      </c>
      <c r="O4027" t="s">
        <v>24</v>
      </c>
      <c r="P4027" t="s">
        <v>25</v>
      </c>
      <c r="R4027">
        <f>tblDailySchedule[[#This Row],[Capacity Approx]]*'[1]Load Factor Sheet June Acft  '!$B$5</f>
        <v>63.162272727272729</v>
      </c>
      <c r="S4027">
        <f>tblDailySchedule[[#This Row],[Capacity Approx]]*'[1]Load Factor Sheet June Acft  '!$D$5</f>
        <v>68.391818181818181</v>
      </c>
      <c r="T4027" s="22">
        <f>tblDailySchedule[[#This Row],[STD]]</f>
        <v>0.45833333333333331</v>
      </c>
    </row>
    <row r="4028" spans="1:20" hidden="1" x14ac:dyDescent="0.35">
      <c r="A4028" s="11">
        <v>46255</v>
      </c>
      <c r="B4028" s="3">
        <v>5</v>
      </c>
      <c r="C4028" t="s">
        <v>115</v>
      </c>
      <c r="D4028" t="s">
        <v>18</v>
      </c>
      <c r="E4028" s="3">
        <v>10</v>
      </c>
      <c r="F4028" t="s">
        <v>19</v>
      </c>
      <c r="G4028" t="s">
        <v>52</v>
      </c>
      <c r="H4028" t="s">
        <v>27</v>
      </c>
      <c r="I4028" s="12">
        <v>0.4826388888888889</v>
      </c>
      <c r="J4028" t="s">
        <v>53</v>
      </c>
      <c r="K4028" t="s">
        <v>27</v>
      </c>
      <c r="L4028" s="12">
        <v>0.51041666666666663</v>
      </c>
      <c r="M4028" t="s">
        <v>23</v>
      </c>
      <c r="N4028" s="3">
        <v>186</v>
      </c>
      <c r="O4028" t="s">
        <v>24</v>
      </c>
      <c r="P4028" t="s">
        <v>25</v>
      </c>
      <c r="R4028">
        <f>tblDailySchedule[[#This Row],[Capacity Approx]]*'[1]Load Factor Sheet June Acft  '!$B$5</f>
        <v>150.61772727272728</v>
      </c>
      <c r="S4028">
        <f>tblDailySchedule[[#This Row],[Capacity Approx]]*'[1]Load Factor Sheet June Acft  '!$D$5</f>
        <v>163.08818181818182</v>
      </c>
      <c r="T4028" s="22">
        <f>tblDailySchedule[[#This Row],[STD]]</f>
        <v>0.51041666666666663</v>
      </c>
    </row>
    <row r="4029" spans="1:20" hidden="1" x14ac:dyDescent="0.35">
      <c r="A4029" s="11">
        <v>46255</v>
      </c>
      <c r="B4029" s="3">
        <v>5</v>
      </c>
      <c r="C4029" t="s">
        <v>115</v>
      </c>
      <c r="D4029" t="s">
        <v>18</v>
      </c>
      <c r="E4029" s="3">
        <v>11</v>
      </c>
      <c r="F4029" t="s">
        <v>19</v>
      </c>
      <c r="G4029" t="s">
        <v>54</v>
      </c>
      <c r="H4029" t="s">
        <v>31</v>
      </c>
      <c r="I4029" s="12">
        <v>0.51388888888888884</v>
      </c>
      <c r="J4029" t="s">
        <v>55</v>
      </c>
      <c r="K4029" t="s">
        <v>31</v>
      </c>
      <c r="L4029" s="12">
        <v>0.54166666666666663</v>
      </c>
      <c r="M4029" t="s">
        <v>23</v>
      </c>
      <c r="N4029" s="3">
        <v>186</v>
      </c>
      <c r="O4029" t="s">
        <v>24</v>
      </c>
      <c r="P4029" t="s">
        <v>56</v>
      </c>
      <c r="R4029">
        <f>tblDailySchedule[[#This Row],[Capacity Approx]]*'[1]Load Factor Sheet June Acft  '!$B$5</f>
        <v>150.61772727272728</v>
      </c>
      <c r="S4029">
        <f>tblDailySchedule[[#This Row],[Capacity Approx]]*'[1]Load Factor Sheet June Acft  '!$D$5</f>
        <v>163.08818181818182</v>
      </c>
      <c r="T4029" s="22">
        <f>tblDailySchedule[[#This Row],[STD]]</f>
        <v>0.54166666666666663</v>
      </c>
    </row>
    <row r="4030" spans="1:20" hidden="1" x14ac:dyDescent="0.35">
      <c r="A4030" s="11">
        <v>46255</v>
      </c>
      <c r="B4030" s="3">
        <v>5</v>
      </c>
      <c r="C4030" t="s">
        <v>115</v>
      </c>
      <c r="D4030" t="s">
        <v>18</v>
      </c>
      <c r="E4030" s="3">
        <v>13</v>
      </c>
      <c r="F4030" t="s">
        <v>19</v>
      </c>
      <c r="G4030" t="s">
        <v>57</v>
      </c>
      <c r="H4030" t="s">
        <v>58</v>
      </c>
      <c r="I4030" s="12">
        <v>0.55902777777777779</v>
      </c>
      <c r="J4030" t="s">
        <v>59</v>
      </c>
      <c r="K4030" t="s">
        <v>58</v>
      </c>
      <c r="L4030" s="12">
        <v>0.57638888888888884</v>
      </c>
      <c r="M4030" t="s">
        <v>51</v>
      </c>
      <c r="N4030" s="3">
        <v>78</v>
      </c>
      <c r="O4030" t="s">
        <v>24</v>
      </c>
      <c r="P4030" t="s">
        <v>56</v>
      </c>
      <c r="R4030">
        <f>tblDailySchedule[[#This Row],[Capacity Approx]]*'[1]Load Factor Sheet June Acft  '!$B$5</f>
        <v>63.162272727272729</v>
      </c>
      <c r="S4030">
        <f>tblDailySchedule[[#This Row],[Capacity Approx]]*'[1]Load Factor Sheet June Acft  '!$D$5</f>
        <v>68.391818181818181</v>
      </c>
      <c r="T4030" s="22">
        <f>tblDailySchedule[[#This Row],[STD]]</f>
        <v>0.57638888888888884</v>
      </c>
    </row>
    <row r="4031" spans="1:20" hidden="1" x14ac:dyDescent="0.35">
      <c r="A4031" s="11">
        <v>46255</v>
      </c>
      <c r="B4031" s="3">
        <v>5</v>
      </c>
      <c r="C4031" t="s">
        <v>115</v>
      </c>
      <c r="D4031" t="s">
        <v>18</v>
      </c>
      <c r="E4031" s="3">
        <v>14</v>
      </c>
      <c r="F4031" t="s">
        <v>19</v>
      </c>
      <c r="G4031" t="s">
        <v>60</v>
      </c>
      <c r="H4031" t="s">
        <v>61</v>
      </c>
      <c r="I4031" s="12">
        <v>0.59027777777777779</v>
      </c>
      <c r="J4031" t="s">
        <v>62</v>
      </c>
      <c r="K4031" t="s">
        <v>61</v>
      </c>
      <c r="L4031" s="12">
        <v>0.62152777777777779</v>
      </c>
      <c r="M4031" t="s">
        <v>63</v>
      </c>
      <c r="N4031" s="3">
        <v>232</v>
      </c>
      <c r="O4031" t="s">
        <v>24</v>
      </c>
      <c r="P4031" t="s">
        <v>56</v>
      </c>
      <c r="R4031">
        <f>tblDailySchedule[[#This Row],[Capacity Approx]]*'[1]Load Factor Sheet June Acft  '!$B$5</f>
        <v>187.86727272727273</v>
      </c>
      <c r="S4031">
        <f>tblDailySchedule[[#This Row],[Capacity Approx]]*'[1]Load Factor Sheet June Acft  '!$D$5</f>
        <v>203.4218181818182</v>
      </c>
      <c r="T4031" s="22">
        <f>tblDailySchedule[[#This Row],[STD]]</f>
        <v>0.62152777777777779</v>
      </c>
    </row>
    <row r="4032" spans="1:20" hidden="1" x14ac:dyDescent="0.35">
      <c r="A4032" s="11">
        <v>46255</v>
      </c>
      <c r="B4032" s="3">
        <v>5</v>
      </c>
      <c r="C4032" t="s">
        <v>115</v>
      </c>
      <c r="D4032" t="s">
        <v>18</v>
      </c>
      <c r="E4032" s="3">
        <v>15</v>
      </c>
      <c r="F4032" t="s">
        <v>19</v>
      </c>
      <c r="G4032" t="s">
        <v>64</v>
      </c>
      <c r="H4032" t="s">
        <v>31</v>
      </c>
      <c r="I4032" s="12">
        <v>0.60069444444444442</v>
      </c>
      <c r="J4032" t="s">
        <v>65</v>
      </c>
      <c r="K4032" t="s">
        <v>66</v>
      </c>
      <c r="L4032" s="12">
        <v>0.62847222222222221</v>
      </c>
      <c r="M4032" t="s">
        <v>63</v>
      </c>
      <c r="N4032" s="3">
        <v>232</v>
      </c>
      <c r="O4032" t="s">
        <v>24</v>
      </c>
      <c r="P4032" t="s">
        <v>56</v>
      </c>
      <c r="R4032">
        <f>tblDailySchedule[[#This Row],[Capacity Approx]]*'[1]Load Factor Sheet June Acft  '!$B$5</f>
        <v>187.86727272727273</v>
      </c>
      <c r="S4032">
        <f>tblDailySchedule[[#This Row],[Capacity Approx]]*'[1]Load Factor Sheet June Acft  '!$D$5</f>
        <v>203.4218181818182</v>
      </c>
      <c r="T4032" s="22">
        <f>tblDailySchedule[[#This Row],[STD]]</f>
        <v>0.62847222222222221</v>
      </c>
    </row>
    <row r="4033" spans="1:20" hidden="1" x14ac:dyDescent="0.35">
      <c r="A4033" s="11">
        <v>46255</v>
      </c>
      <c r="B4033" s="3">
        <v>5</v>
      </c>
      <c r="C4033" t="s">
        <v>115</v>
      </c>
      <c r="D4033" t="s">
        <v>18</v>
      </c>
      <c r="E4033" s="3">
        <v>16</v>
      </c>
      <c r="F4033" t="s">
        <v>19</v>
      </c>
      <c r="G4033" t="s">
        <v>67</v>
      </c>
      <c r="H4033" t="s">
        <v>31</v>
      </c>
      <c r="I4033" s="12">
        <v>0.65625</v>
      </c>
      <c r="J4033" t="s">
        <v>68</v>
      </c>
      <c r="K4033" t="s">
        <v>31</v>
      </c>
      <c r="L4033" s="12">
        <v>0.68402777777777779</v>
      </c>
      <c r="M4033" t="s">
        <v>63</v>
      </c>
      <c r="N4033" s="3">
        <v>232</v>
      </c>
      <c r="O4033" t="s">
        <v>24</v>
      </c>
      <c r="P4033" t="s">
        <v>56</v>
      </c>
      <c r="R4033">
        <f>tblDailySchedule[[#This Row],[Capacity Approx]]*'[1]Load Factor Sheet June Acft  '!$B$5</f>
        <v>187.86727272727273</v>
      </c>
      <c r="S4033">
        <f>tblDailySchedule[[#This Row],[Capacity Approx]]*'[1]Load Factor Sheet June Acft  '!$D$5</f>
        <v>203.4218181818182</v>
      </c>
      <c r="T4033" s="22">
        <f>tblDailySchedule[[#This Row],[STD]]</f>
        <v>0.68402777777777779</v>
      </c>
    </row>
    <row r="4034" spans="1:20" hidden="1" x14ac:dyDescent="0.35">
      <c r="A4034" s="11">
        <v>46255</v>
      </c>
      <c r="B4034" s="3">
        <v>5</v>
      </c>
      <c r="C4034" t="s">
        <v>115</v>
      </c>
      <c r="D4034" t="s">
        <v>18</v>
      </c>
      <c r="E4034" s="3">
        <v>17</v>
      </c>
      <c r="F4034" t="s">
        <v>19</v>
      </c>
      <c r="G4034" t="s">
        <v>69</v>
      </c>
      <c r="H4034" t="s">
        <v>31</v>
      </c>
      <c r="I4034" s="12">
        <v>0.66319444444444442</v>
      </c>
      <c r="J4034" t="s">
        <v>70</v>
      </c>
      <c r="K4034" t="s">
        <v>31</v>
      </c>
      <c r="L4034" s="12">
        <v>0.69097222222222221</v>
      </c>
      <c r="M4034" t="s">
        <v>33</v>
      </c>
      <c r="N4034" s="3">
        <v>189</v>
      </c>
      <c r="O4034" t="s">
        <v>24</v>
      </c>
      <c r="P4034" t="s">
        <v>56</v>
      </c>
      <c r="R4034">
        <f>tblDailySchedule[[#This Row],[Capacity Approx]]*'[1]Load Factor Sheet June Acft  '!$B$5</f>
        <v>153.04704545454547</v>
      </c>
      <c r="S4034">
        <f>tblDailySchedule[[#This Row],[Capacity Approx]]*'[1]Load Factor Sheet June Acft  '!$D$5</f>
        <v>165.71863636363636</v>
      </c>
      <c r="T4034" s="22">
        <f>tblDailySchedule[[#This Row],[STD]]</f>
        <v>0.69097222222222221</v>
      </c>
    </row>
    <row r="4035" spans="1:20" hidden="1" x14ac:dyDescent="0.35">
      <c r="A4035" s="11">
        <v>46255</v>
      </c>
      <c r="B4035" s="3">
        <v>5</v>
      </c>
      <c r="C4035" t="s">
        <v>115</v>
      </c>
      <c r="D4035" t="s">
        <v>18</v>
      </c>
      <c r="E4035" s="3">
        <v>18</v>
      </c>
      <c r="F4035" t="s">
        <v>19</v>
      </c>
      <c r="G4035" t="s">
        <v>71</v>
      </c>
      <c r="H4035" t="s">
        <v>21</v>
      </c>
      <c r="I4035" s="12">
        <v>0.67013888888888884</v>
      </c>
      <c r="J4035" t="s">
        <v>72</v>
      </c>
      <c r="K4035" t="s">
        <v>21</v>
      </c>
      <c r="L4035" s="12">
        <v>0.69791666666666663</v>
      </c>
      <c r="M4035" t="s">
        <v>63</v>
      </c>
      <c r="N4035" s="3">
        <v>232</v>
      </c>
      <c r="O4035" t="s">
        <v>24</v>
      </c>
      <c r="P4035" t="s">
        <v>56</v>
      </c>
      <c r="R4035">
        <f>tblDailySchedule[[#This Row],[Capacity Approx]]*'[1]Load Factor Sheet June Acft  '!$B$5</f>
        <v>187.86727272727273</v>
      </c>
      <c r="S4035">
        <f>tblDailySchedule[[#This Row],[Capacity Approx]]*'[1]Load Factor Sheet June Acft  '!$D$5</f>
        <v>203.4218181818182</v>
      </c>
      <c r="T4035" s="22">
        <f>tblDailySchedule[[#This Row],[STD]]</f>
        <v>0.69791666666666663</v>
      </c>
    </row>
    <row r="4036" spans="1:20" hidden="1" x14ac:dyDescent="0.35">
      <c r="A4036" s="11">
        <v>46255</v>
      </c>
      <c r="B4036" s="3">
        <v>5</v>
      </c>
      <c r="C4036" t="s">
        <v>115</v>
      </c>
      <c r="D4036" t="s">
        <v>18</v>
      </c>
      <c r="E4036" s="3">
        <v>19</v>
      </c>
      <c r="F4036" t="s">
        <v>19</v>
      </c>
      <c r="G4036" t="s">
        <v>73</v>
      </c>
      <c r="H4036" t="s">
        <v>27</v>
      </c>
      <c r="I4036" s="12">
        <v>0.74652777777777779</v>
      </c>
      <c r="J4036" t="s">
        <v>74</v>
      </c>
      <c r="K4036" t="s">
        <v>27</v>
      </c>
      <c r="L4036" s="12">
        <v>0.77430555555555558</v>
      </c>
      <c r="M4036" t="s">
        <v>63</v>
      </c>
      <c r="N4036" s="3">
        <v>232</v>
      </c>
      <c r="O4036" t="s">
        <v>24</v>
      </c>
      <c r="P4036" t="s">
        <v>56</v>
      </c>
      <c r="R4036">
        <f>tblDailySchedule[[#This Row],[Capacity Approx]]*'[1]Load Factor Sheet June Acft  '!$B$5</f>
        <v>187.86727272727273</v>
      </c>
      <c r="S4036">
        <f>tblDailySchedule[[#This Row],[Capacity Approx]]*'[1]Load Factor Sheet June Acft  '!$D$5</f>
        <v>203.4218181818182</v>
      </c>
      <c r="T4036" s="22">
        <f>tblDailySchedule[[#This Row],[STD]]</f>
        <v>0.77430555555555558</v>
      </c>
    </row>
    <row r="4037" spans="1:20" hidden="1" x14ac:dyDescent="0.35">
      <c r="A4037" s="11">
        <v>46255</v>
      </c>
      <c r="B4037" s="3">
        <v>5</v>
      </c>
      <c r="C4037" t="s">
        <v>115</v>
      </c>
      <c r="D4037" t="s">
        <v>18</v>
      </c>
      <c r="E4037" s="3">
        <v>20</v>
      </c>
      <c r="F4037" t="s">
        <v>34</v>
      </c>
      <c r="G4037" t="s">
        <v>75</v>
      </c>
      <c r="H4037" t="s">
        <v>76</v>
      </c>
      <c r="I4037" s="12">
        <v>0.76388888888888884</v>
      </c>
      <c r="J4037" t="s">
        <v>77</v>
      </c>
      <c r="K4037" t="s">
        <v>78</v>
      </c>
      <c r="L4037" s="12">
        <v>0.78472222222222221</v>
      </c>
      <c r="M4037" t="s">
        <v>51</v>
      </c>
      <c r="N4037" s="3">
        <v>78</v>
      </c>
      <c r="O4037" t="s">
        <v>24</v>
      </c>
      <c r="P4037" t="s">
        <v>79</v>
      </c>
      <c r="Q4037" s="16" t="s">
        <v>80</v>
      </c>
      <c r="R4037">
        <f>tblDailySchedule[[#This Row],[Capacity Approx]]*'[1]Load Factor Sheet June Acft  '!$B$5</f>
        <v>63.162272727272729</v>
      </c>
      <c r="S4037">
        <f>tblDailySchedule[[#This Row],[Capacity Approx]]*'[1]Load Factor Sheet June Acft  '!$D$5</f>
        <v>68.391818181818181</v>
      </c>
      <c r="T4037" s="22">
        <f>tblDailySchedule[[#This Row],[STD]]</f>
        <v>0.78472222222222221</v>
      </c>
    </row>
    <row r="4038" spans="1:20" hidden="1" x14ac:dyDescent="0.35">
      <c r="A4038" s="11">
        <v>46255</v>
      </c>
      <c r="B4038" s="3">
        <v>5</v>
      </c>
      <c r="C4038" t="s">
        <v>115</v>
      </c>
      <c r="D4038" t="s">
        <v>18</v>
      </c>
      <c r="E4038" s="3">
        <v>21</v>
      </c>
      <c r="F4038" t="s">
        <v>19</v>
      </c>
      <c r="G4038" t="s">
        <v>81</v>
      </c>
      <c r="H4038" t="s">
        <v>61</v>
      </c>
      <c r="I4038" s="12">
        <v>0.77083333333333337</v>
      </c>
      <c r="J4038" t="s">
        <v>82</v>
      </c>
      <c r="K4038" t="s">
        <v>49</v>
      </c>
      <c r="L4038" s="12">
        <v>0.79166666666666663</v>
      </c>
      <c r="M4038" t="s">
        <v>33</v>
      </c>
      <c r="N4038" s="3">
        <v>189</v>
      </c>
      <c r="O4038" t="s">
        <v>24</v>
      </c>
      <c r="P4038" t="s">
        <v>79</v>
      </c>
      <c r="R4038">
        <f>tblDailySchedule[[#This Row],[Capacity Approx]]*'[1]Load Factor Sheet June Acft  '!$B$5</f>
        <v>153.04704545454547</v>
      </c>
      <c r="S4038">
        <f>tblDailySchedule[[#This Row],[Capacity Approx]]*'[1]Load Factor Sheet June Acft  '!$D$5</f>
        <v>165.71863636363636</v>
      </c>
      <c r="T4038" s="22">
        <f>tblDailySchedule[[#This Row],[STD]]</f>
        <v>0.79166666666666663</v>
      </c>
    </row>
    <row r="4039" spans="1:20" hidden="1" x14ac:dyDescent="0.35">
      <c r="A4039" s="11">
        <v>46255</v>
      </c>
      <c r="B4039" s="3">
        <v>5</v>
      </c>
      <c r="C4039" t="s">
        <v>115</v>
      </c>
      <c r="D4039" t="s">
        <v>18</v>
      </c>
      <c r="E4039" s="3">
        <v>22</v>
      </c>
      <c r="F4039" t="s">
        <v>19</v>
      </c>
      <c r="G4039" t="s">
        <v>83</v>
      </c>
      <c r="H4039" t="s">
        <v>31</v>
      </c>
      <c r="I4039" s="12">
        <v>0.77777777777777779</v>
      </c>
      <c r="J4039" t="s">
        <v>84</v>
      </c>
      <c r="K4039" t="s">
        <v>31</v>
      </c>
      <c r="L4039" s="12">
        <v>0.80555555555555558</v>
      </c>
      <c r="M4039" t="s">
        <v>63</v>
      </c>
      <c r="N4039" s="3">
        <v>232</v>
      </c>
      <c r="O4039" t="s">
        <v>24</v>
      </c>
      <c r="P4039" t="s">
        <v>79</v>
      </c>
      <c r="R4039">
        <f>tblDailySchedule[[#This Row],[Capacity Approx]]*'[1]Load Factor Sheet June Acft  '!$B$5</f>
        <v>187.86727272727273</v>
      </c>
      <c r="S4039">
        <f>tblDailySchedule[[#This Row],[Capacity Approx]]*'[1]Load Factor Sheet June Acft  '!$D$5</f>
        <v>203.4218181818182</v>
      </c>
      <c r="T4039" s="22">
        <f>tblDailySchedule[[#This Row],[STD]]</f>
        <v>0.80555555555555558</v>
      </c>
    </row>
    <row r="4040" spans="1:20" hidden="1" x14ac:dyDescent="0.35">
      <c r="A4040" s="11">
        <v>46255</v>
      </c>
      <c r="B4040" s="3">
        <v>5</v>
      </c>
      <c r="C4040" t="s">
        <v>115</v>
      </c>
      <c r="D4040" t="s">
        <v>18</v>
      </c>
      <c r="E4040" s="3">
        <v>23</v>
      </c>
      <c r="F4040" t="s">
        <v>19</v>
      </c>
      <c r="G4040" t="s">
        <v>85</v>
      </c>
      <c r="H4040" t="s">
        <v>86</v>
      </c>
      <c r="I4040" s="12">
        <v>0.79861111111111116</v>
      </c>
      <c r="J4040" t="s">
        <v>87</v>
      </c>
      <c r="K4040" t="s">
        <v>86</v>
      </c>
      <c r="L4040" s="12">
        <v>0.82638888888888884</v>
      </c>
      <c r="M4040" t="s">
        <v>63</v>
      </c>
      <c r="N4040" s="3">
        <v>232</v>
      </c>
      <c r="O4040" t="s">
        <v>24</v>
      </c>
      <c r="P4040" t="s">
        <v>79</v>
      </c>
      <c r="R4040">
        <f>tblDailySchedule[[#This Row],[Capacity Approx]]*'[1]Load Factor Sheet June Acft  '!$B$5</f>
        <v>187.86727272727273</v>
      </c>
      <c r="S4040">
        <f>tblDailySchedule[[#This Row],[Capacity Approx]]*'[1]Load Factor Sheet June Acft  '!$D$5</f>
        <v>203.4218181818182</v>
      </c>
      <c r="T4040" s="22">
        <f>tblDailySchedule[[#This Row],[STD]]</f>
        <v>0.82638888888888884</v>
      </c>
    </row>
    <row r="4041" spans="1:20" hidden="1" x14ac:dyDescent="0.35">
      <c r="A4041" s="11">
        <v>46255</v>
      </c>
      <c r="B4041" s="3">
        <v>5</v>
      </c>
      <c r="C4041" t="s">
        <v>115</v>
      </c>
      <c r="D4041" t="s">
        <v>18</v>
      </c>
      <c r="E4041" s="3">
        <v>24</v>
      </c>
      <c r="F4041" t="s">
        <v>19</v>
      </c>
      <c r="G4041" t="s">
        <v>88</v>
      </c>
      <c r="H4041" t="s">
        <v>89</v>
      </c>
      <c r="I4041" s="12">
        <v>0.83333333333333337</v>
      </c>
      <c r="J4041" t="s">
        <v>90</v>
      </c>
      <c r="K4041" t="s">
        <v>31</v>
      </c>
      <c r="L4041" s="12">
        <v>0.86111111111111116</v>
      </c>
      <c r="M4041" t="s">
        <v>63</v>
      </c>
      <c r="N4041" s="3">
        <v>232</v>
      </c>
      <c r="O4041" t="s">
        <v>24</v>
      </c>
      <c r="P4041" t="s">
        <v>79</v>
      </c>
      <c r="R4041">
        <f>tblDailySchedule[[#This Row],[Capacity Approx]]*'[1]Load Factor Sheet June Acft  '!$B$5</f>
        <v>187.86727272727273</v>
      </c>
      <c r="S4041">
        <f>tblDailySchedule[[#This Row],[Capacity Approx]]*'[1]Load Factor Sheet June Acft  '!$D$5</f>
        <v>203.4218181818182</v>
      </c>
      <c r="T4041" s="22">
        <f>tblDailySchedule[[#This Row],[STD]]</f>
        <v>0.86111111111111116</v>
      </c>
    </row>
    <row r="4042" spans="1:20" hidden="1" x14ac:dyDescent="0.35">
      <c r="A4042" s="11">
        <v>46255</v>
      </c>
      <c r="B4042" s="3">
        <v>5</v>
      </c>
      <c r="C4042" t="s">
        <v>115</v>
      </c>
      <c r="D4042" t="s">
        <v>18</v>
      </c>
      <c r="E4042" s="3">
        <v>25</v>
      </c>
      <c r="F4042" t="s">
        <v>19</v>
      </c>
      <c r="G4042" t="s">
        <v>91</v>
      </c>
      <c r="H4042" t="s">
        <v>61</v>
      </c>
      <c r="I4042" s="12">
        <v>0.85416666666666663</v>
      </c>
      <c r="J4042" t="s">
        <v>92</v>
      </c>
      <c r="K4042" t="s">
        <v>61</v>
      </c>
      <c r="L4042" s="12">
        <v>0.88194444444444442</v>
      </c>
      <c r="M4042" t="s">
        <v>63</v>
      </c>
      <c r="N4042" s="3">
        <v>232</v>
      </c>
      <c r="O4042" t="s">
        <v>24</v>
      </c>
      <c r="P4042" t="s">
        <v>79</v>
      </c>
      <c r="R4042">
        <f>tblDailySchedule[[#This Row],[Capacity Approx]]*'[1]Load Factor Sheet June Acft  '!$B$5</f>
        <v>187.86727272727273</v>
      </c>
      <c r="S4042">
        <f>tblDailySchedule[[#This Row],[Capacity Approx]]*'[1]Load Factor Sheet June Acft  '!$D$5</f>
        <v>203.4218181818182</v>
      </c>
      <c r="T4042" s="22">
        <f>tblDailySchedule[[#This Row],[STD]]</f>
        <v>0.88194444444444442</v>
      </c>
    </row>
    <row r="4043" spans="1:20" hidden="1" x14ac:dyDescent="0.35">
      <c r="A4043" s="11">
        <v>46255</v>
      </c>
      <c r="B4043" s="3">
        <v>5</v>
      </c>
      <c r="C4043" t="s">
        <v>115</v>
      </c>
      <c r="D4043" t="s">
        <v>18</v>
      </c>
      <c r="E4043" s="3">
        <v>26</v>
      </c>
      <c r="F4043" t="s">
        <v>19</v>
      </c>
      <c r="G4043" t="s">
        <v>93</v>
      </c>
      <c r="H4043" t="s">
        <v>31</v>
      </c>
      <c r="I4043" s="12">
        <v>0.86111111111111116</v>
      </c>
      <c r="J4043" t="s">
        <v>94</v>
      </c>
      <c r="K4043" t="s">
        <v>31</v>
      </c>
      <c r="L4043" s="12">
        <v>0.88888888888888884</v>
      </c>
      <c r="M4043" t="s">
        <v>23</v>
      </c>
      <c r="N4043" s="3">
        <v>186</v>
      </c>
      <c r="O4043" t="s">
        <v>24</v>
      </c>
      <c r="P4043" t="s">
        <v>79</v>
      </c>
      <c r="R4043">
        <f>tblDailySchedule[[#This Row],[Capacity Approx]]*'[1]Load Factor Sheet June Acft  '!$B$5</f>
        <v>150.61772727272728</v>
      </c>
      <c r="S4043">
        <f>tblDailySchedule[[#This Row],[Capacity Approx]]*'[1]Load Factor Sheet June Acft  '!$D$5</f>
        <v>163.08818181818182</v>
      </c>
      <c r="T4043" s="22">
        <f>tblDailySchedule[[#This Row],[STD]]</f>
        <v>0.88888888888888884</v>
      </c>
    </row>
    <row r="4044" spans="1:20" hidden="1" x14ac:dyDescent="0.35">
      <c r="A4044" s="11">
        <v>46255</v>
      </c>
      <c r="B4044" s="3">
        <v>5</v>
      </c>
      <c r="C4044" t="s">
        <v>115</v>
      </c>
      <c r="D4044" t="s">
        <v>18</v>
      </c>
      <c r="E4044" s="3">
        <v>27</v>
      </c>
      <c r="F4044" t="s">
        <v>19</v>
      </c>
      <c r="G4044" t="s">
        <v>95</v>
      </c>
      <c r="H4044" t="s">
        <v>21</v>
      </c>
      <c r="I4044" s="12">
        <v>0.86805555555555558</v>
      </c>
      <c r="J4044" t="s">
        <v>96</v>
      </c>
      <c r="K4044" t="s">
        <v>21</v>
      </c>
      <c r="L4044" s="12">
        <v>0.89583333333333337</v>
      </c>
      <c r="M4044" t="s">
        <v>29</v>
      </c>
      <c r="N4044" s="3">
        <v>186</v>
      </c>
      <c r="O4044" t="s">
        <v>24</v>
      </c>
      <c r="P4044" t="s">
        <v>79</v>
      </c>
      <c r="R4044">
        <f>tblDailySchedule[[#This Row],[Capacity Approx]]*'[1]Load Factor Sheet June Acft  '!$B$5</f>
        <v>150.61772727272728</v>
      </c>
      <c r="S4044">
        <f>tblDailySchedule[[#This Row],[Capacity Approx]]*'[1]Load Factor Sheet June Acft  '!$D$5</f>
        <v>163.08818181818182</v>
      </c>
      <c r="T4044" s="22">
        <f>tblDailySchedule[[#This Row],[STD]]</f>
        <v>0.89583333333333337</v>
      </c>
    </row>
    <row r="4045" spans="1:20" hidden="1" x14ac:dyDescent="0.35">
      <c r="A4045" s="11">
        <v>46255</v>
      </c>
      <c r="B4045" s="3">
        <v>5</v>
      </c>
      <c r="C4045" t="s">
        <v>115</v>
      </c>
      <c r="D4045" t="s">
        <v>18</v>
      </c>
      <c r="E4045" s="3">
        <v>28</v>
      </c>
      <c r="F4045" t="s">
        <v>19</v>
      </c>
      <c r="G4045" t="s">
        <v>97</v>
      </c>
      <c r="H4045" t="s">
        <v>49</v>
      </c>
      <c r="I4045" s="12">
        <v>0.90277777777777779</v>
      </c>
      <c r="J4045" t="s">
        <v>97</v>
      </c>
      <c r="K4045" t="s">
        <v>61</v>
      </c>
      <c r="L4045" s="12">
        <v>0.92361111111111116</v>
      </c>
      <c r="M4045" t="s">
        <v>33</v>
      </c>
      <c r="N4045" s="3">
        <v>189</v>
      </c>
      <c r="O4045" t="s">
        <v>24</v>
      </c>
      <c r="P4045" t="s">
        <v>79</v>
      </c>
      <c r="R4045">
        <f>tblDailySchedule[[#This Row],[Capacity Approx]]*'[1]Load Factor Sheet June Acft  '!$B$5</f>
        <v>153.04704545454547</v>
      </c>
      <c r="S4045">
        <f>tblDailySchedule[[#This Row],[Capacity Approx]]*'[1]Load Factor Sheet June Acft  '!$D$5</f>
        <v>165.71863636363636</v>
      </c>
      <c r="T4045" s="22">
        <f>tblDailySchedule[[#This Row],[STD]]</f>
        <v>0.92361111111111116</v>
      </c>
    </row>
    <row r="4046" spans="1:20" hidden="1" x14ac:dyDescent="0.35">
      <c r="A4046" s="11">
        <v>46255</v>
      </c>
      <c r="B4046" s="3">
        <v>5</v>
      </c>
      <c r="C4046" t="s">
        <v>115</v>
      </c>
      <c r="D4046" t="s">
        <v>18</v>
      </c>
      <c r="E4046" s="3">
        <v>29</v>
      </c>
      <c r="F4046" t="s">
        <v>19</v>
      </c>
      <c r="G4046" t="s">
        <v>98</v>
      </c>
      <c r="H4046" t="s">
        <v>21</v>
      </c>
      <c r="I4046" s="12">
        <v>0.92013888888888884</v>
      </c>
      <c r="J4046" t="s">
        <v>99</v>
      </c>
      <c r="K4046" t="s">
        <v>21</v>
      </c>
      <c r="L4046" s="12">
        <v>0.94791666666666663</v>
      </c>
      <c r="M4046" t="s">
        <v>63</v>
      </c>
      <c r="N4046" s="3">
        <v>232</v>
      </c>
      <c r="O4046" t="s">
        <v>24</v>
      </c>
      <c r="P4046" t="s">
        <v>79</v>
      </c>
      <c r="R4046">
        <f>tblDailySchedule[[#This Row],[Capacity Approx]]*'[1]Load Factor Sheet June Acft  '!$B$5</f>
        <v>187.86727272727273</v>
      </c>
      <c r="S4046">
        <f>tblDailySchedule[[#This Row],[Capacity Approx]]*'[1]Load Factor Sheet June Acft  '!$D$5</f>
        <v>203.4218181818182</v>
      </c>
      <c r="T4046" s="22">
        <f>tblDailySchedule[[#This Row],[STD]]</f>
        <v>0.94791666666666663</v>
      </c>
    </row>
    <row r="4047" spans="1:20" hidden="1" x14ac:dyDescent="0.35">
      <c r="A4047" s="13">
        <v>46255</v>
      </c>
      <c r="B4047" s="7">
        <v>5</v>
      </c>
      <c r="C4047" s="14" t="s">
        <v>115</v>
      </c>
      <c r="D4047" s="14" t="s">
        <v>18</v>
      </c>
      <c r="E4047" s="7">
        <v>30</v>
      </c>
      <c r="F4047" s="14" t="s">
        <v>104</v>
      </c>
      <c r="G4047" s="14" t="s">
        <v>105</v>
      </c>
      <c r="H4047" s="14" t="s">
        <v>106</v>
      </c>
      <c r="I4047" s="15">
        <v>0.92708333333333337</v>
      </c>
      <c r="J4047" s="14" t="s">
        <v>107</v>
      </c>
      <c r="K4047" s="14" t="s">
        <v>106</v>
      </c>
      <c r="L4047" s="15">
        <v>0.95833333333333337</v>
      </c>
      <c r="M4047" s="14" t="s">
        <v>38</v>
      </c>
      <c r="N4047" s="7">
        <v>186</v>
      </c>
      <c r="O4047" s="14" t="s">
        <v>39</v>
      </c>
      <c r="P4047" s="14" t="s">
        <v>79</v>
      </c>
      <c r="Q4047" s="14" t="s">
        <v>39</v>
      </c>
      <c r="R4047">
        <f>tblDailySchedule[[#This Row],[Capacity Approx]]*'[1]Load Factor Sheet June Acft  '!$B$5</f>
        <v>150.61772727272728</v>
      </c>
      <c r="S4047">
        <f>tblDailySchedule[[#This Row],[Capacity Approx]]*'[1]Load Factor Sheet June Acft  '!$D$5</f>
        <v>163.08818181818182</v>
      </c>
      <c r="T4047" s="22">
        <f>tblDailySchedule[[#This Row],[STD]]</f>
        <v>0.95833333333333337</v>
      </c>
    </row>
    <row r="4048" spans="1:20" hidden="1" x14ac:dyDescent="0.35">
      <c r="A4048" s="11">
        <v>46256</v>
      </c>
      <c r="B4048" s="3">
        <v>6</v>
      </c>
      <c r="C4048" t="s">
        <v>116</v>
      </c>
      <c r="D4048" t="s">
        <v>18</v>
      </c>
      <c r="E4048" s="3">
        <v>1</v>
      </c>
      <c r="F4048" t="s">
        <v>101</v>
      </c>
      <c r="G4048" t="s">
        <v>102</v>
      </c>
      <c r="H4048" t="s">
        <v>61</v>
      </c>
      <c r="I4048" s="12">
        <v>0.3125</v>
      </c>
      <c r="J4048" t="s">
        <v>103</v>
      </c>
      <c r="K4048" t="s">
        <v>61</v>
      </c>
      <c r="L4048" s="12">
        <v>0.33333333333333331</v>
      </c>
      <c r="M4048" t="s">
        <v>33</v>
      </c>
      <c r="N4048" s="3">
        <v>189</v>
      </c>
      <c r="O4048" t="s">
        <v>24</v>
      </c>
      <c r="P4048" t="s">
        <v>25</v>
      </c>
      <c r="R4048">
        <f>tblDailySchedule[[#This Row],[Capacity Approx]]*'[1]Load Factor Sheet June Acft  '!$B$5</f>
        <v>153.04704545454547</v>
      </c>
      <c r="S4048">
        <f>tblDailySchedule[[#This Row],[Capacity Approx]]*'[1]Load Factor Sheet June Acft  '!$D$5</f>
        <v>165.71863636363636</v>
      </c>
      <c r="T4048" s="22">
        <f>tblDailySchedule[[#This Row],[STD]]</f>
        <v>0.33333333333333331</v>
      </c>
    </row>
    <row r="4049" spans="1:20" hidden="1" x14ac:dyDescent="0.35">
      <c r="A4049" s="11">
        <v>46256</v>
      </c>
      <c r="B4049" s="3">
        <v>6</v>
      </c>
      <c r="C4049" t="s">
        <v>116</v>
      </c>
      <c r="D4049" t="s">
        <v>18</v>
      </c>
      <c r="E4049" s="3">
        <v>2</v>
      </c>
      <c r="F4049" t="s">
        <v>19</v>
      </c>
      <c r="G4049" t="s">
        <v>20</v>
      </c>
      <c r="H4049" t="s">
        <v>21</v>
      </c>
      <c r="I4049" s="12">
        <v>0.31944444444444442</v>
      </c>
      <c r="J4049" t="s">
        <v>22</v>
      </c>
      <c r="K4049" t="s">
        <v>21</v>
      </c>
      <c r="L4049" s="12">
        <v>0.34722222222222221</v>
      </c>
      <c r="M4049" t="s">
        <v>23</v>
      </c>
      <c r="N4049" s="3">
        <v>186</v>
      </c>
      <c r="O4049" t="s">
        <v>24</v>
      </c>
      <c r="P4049" t="s">
        <v>25</v>
      </c>
      <c r="R4049">
        <f>tblDailySchedule[[#This Row],[Capacity Approx]]*'[1]Load Factor Sheet June Acft  '!$B$5</f>
        <v>150.61772727272728</v>
      </c>
      <c r="S4049">
        <f>tblDailySchedule[[#This Row],[Capacity Approx]]*'[1]Load Factor Sheet June Acft  '!$D$5</f>
        <v>163.08818181818182</v>
      </c>
      <c r="T4049" s="22">
        <f>tblDailySchedule[[#This Row],[STD]]</f>
        <v>0.34722222222222221</v>
      </c>
    </row>
    <row r="4050" spans="1:20" hidden="1" x14ac:dyDescent="0.35">
      <c r="A4050" s="11">
        <v>46256</v>
      </c>
      <c r="B4050" s="3">
        <v>6</v>
      </c>
      <c r="C4050" t="s">
        <v>116</v>
      </c>
      <c r="D4050" t="s">
        <v>18</v>
      </c>
      <c r="E4050" s="3">
        <v>3</v>
      </c>
      <c r="F4050" t="s">
        <v>19</v>
      </c>
      <c r="G4050" t="s">
        <v>26</v>
      </c>
      <c r="H4050" t="s">
        <v>27</v>
      </c>
      <c r="I4050" s="12">
        <v>0.3263888888888889</v>
      </c>
      <c r="J4050" t="s">
        <v>28</v>
      </c>
      <c r="K4050" t="s">
        <v>27</v>
      </c>
      <c r="L4050" s="12">
        <v>0.35416666666666669</v>
      </c>
      <c r="M4050" t="s">
        <v>29</v>
      </c>
      <c r="N4050" s="3">
        <v>186</v>
      </c>
      <c r="O4050" t="s">
        <v>24</v>
      </c>
      <c r="P4050" t="s">
        <v>25</v>
      </c>
      <c r="R4050">
        <f>tblDailySchedule[[#This Row],[Capacity Approx]]*'[1]Load Factor Sheet June Acft  '!$B$5</f>
        <v>150.61772727272728</v>
      </c>
      <c r="S4050">
        <f>tblDailySchedule[[#This Row],[Capacity Approx]]*'[1]Load Factor Sheet June Acft  '!$D$5</f>
        <v>163.08818181818182</v>
      </c>
      <c r="T4050" s="22">
        <f>tblDailySchedule[[#This Row],[STD]]</f>
        <v>0.35416666666666669</v>
      </c>
    </row>
    <row r="4051" spans="1:20" hidden="1" x14ac:dyDescent="0.35">
      <c r="A4051" s="11">
        <v>46256</v>
      </c>
      <c r="B4051" s="3">
        <v>6</v>
      </c>
      <c r="C4051" t="s">
        <v>116</v>
      </c>
      <c r="D4051" t="s">
        <v>18</v>
      </c>
      <c r="E4051" s="3">
        <v>4</v>
      </c>
      <c r="F4051" t="s">
        <v>19</v>
      </c>
      <c r="G4051" t="s">
        <v>30</v>
      </c>
      <c r="H4051" t="s">
        <v>31</v>
      </c>
      <c r="I4051" s="12">
        <v>0.34722222222222221</v>
      </c>
      <c r="J4051" t="s">
        <v>32</v>
      </c>
      <c r="K4051" t="s">
        <v>31</v>
      </c>
      <c r="L4051" s="12">
        <v>0.36805555555555558</v>
      </c>
      <c r="M4051" t="s">
        <v>33</v>
      </c>
      <c r="N4051" s="3">
        <v>189</v>
      </c>
      <c r="O4051" t="s">
        <v>24</v>
      </c>
      <c r="P4051" t="s">
        <v>25</v>
      </c>
      <c r="R4051">
        <f>tblDailySchedule[[#This Row],[Capacity Approx]]*'[1]Load Factor Sheet June Acft  '!$B$5</f>
        <v>153.04704545454547</v>
      </c>
      <c r="S4051">
        <f>tblDailySchedule[[#This Row],[Capacity Approx]]*'[1]Load Factor Sheet June Acft  '!$D$5</f>
        <v>165.71863636363636</v>
      </c>
      <c r="T4051" s="22">
        <f>tblDailySchedule[[#This Row],[STD]]</f>
        <v>0.36805555555555558</v>
      </c>
    </row>
    <row r="4052" spans="1:20" hidden="1" x14ac:dyDescent="0.35">
      <c r="A4052" s="11">
        <v>46256</v>
      </c>
      <c r="B4052" s="3">
        <v>6</v>
      </c>
      <c r="C4052" t="s">
        <v>116</v>
      </c>
      <c r="D4052" t="s">
        <v>18</v>
      </c>
      <c r="E4052" s="3">
        <v>5</v>
      </c>
      <c r="F4052" t="s">
        <v>19</v>
      </c>
      <c r="G4052" t="s">
        <v>40</v>
      </c>
      <c r="H4052" t="s">
        <v>31</v>
      </c>
      <c r="I4052" s="12">
        <v>0.35069444444444442</v>
      </c>
      <c r="J4052" t="s">
        <v>41</v>
      </c>
      <c r="K4052" t="s">
        <v>31</v>
      </c>
      <c r="L4052" s="12">
        <v>0.37152777777777779</v>
      </c>
      <c r="M4052" t="s">
        <v>23</v>
      </c>
      <c r="N4052" s="3">
        <v>186</v>
      </c>
      <c r="O4052" t="s">
        <v>24</v>
      </c>
      <c r="P4052" t="s">
        <v>25</v>
      </c>
      <c r="R4052">
        <f>tblDailySchedule[[#This Row],[Capacity Approx]]*'[1]Load Factor Sheet June Acft  '!$B$5</f>
        <v>150.61772727272728</v>
      </c>
      <c r="S4052">
        <f>tblDailySchedule[[#This Row],[Capacity Approx]]*'[1]Load Factor Sheet June Acft  '!$D$5</f>
        <v>163.08818181818182</v>
      </c>
      <c r="T4052" s="22">
        <f>tblDailySchedule[[#This Row],[STD]]</f>
        <v>0.37152777777777779</v>
      </c>
    </row>
    <row r="4053" spans="1:20" hidden="1" x14ac:dyDescent="0.35">
      <c r="A4053" s="11">
        <v>46256</v>
      </c>
      <c r="B4053" s="3">
        <v>6</v>
      </c>
      <c r="C4053" t="s">
        <v>116</v>
      </c>
      <c r="D4053" t="s">
        <v>18</v>
      </c>
      <c r="E4053" s="3">
        <v>7</v>
      </c>
      <c r="F4053" t="s">
        <v>19</v>
      </c>
      <c r="G4053" t="s">
        <v>42</v>
      </c>
      <c r="H4053" t="s">
        <v>43</v>
      </c>
      <c r="I4053" s="12">
        <v>0.3923611111111111</v>
      </c>
      <c r="J4053" t="s">
        <v>44</v>
      </c>
      <c r="K4053" t="s">
        <v>43</v>
      </c>
      <c r="L4053" s="12">
        <v>0.40277777777777779</v>
      </c>
      <c r="M4053" t="s">
        <v>45</v>
      </c>
      <c r="N4053" s="3">
        <v>9</v>
      </c>
      <c r="O4053" t="s">
        <v>24</v>
      </c>
      <c r="P4053" t="s">
        <v>25</v>
      </c>
      <c r="R4053">
        <f>tblDailySchedule[[#This Row],[Capacity Approx]]*'[1]Load Factor Sheet June Acft  '!$B$5</f>
        <v>7.2879545454545456</v>
      </c>
      <c r="S4053">
        <f>tblDailySchedule[[#This Row],[Capacity Approx]]*'[1]Load Factor Sheet June Acft  '!$D$5</f>
        <v>7.8913636363636366</v>
      </c>
      <c r="T4053" s="22">
        <f>tblDailySchedule[[#This Row],[STD]]</f>
        <v>0.40277777777777779</v>
      </c>
    </row>
    <row r="4054" spans="1:20" hidden="1" x14ac:dyDescent="0.35">
      <c r="A4054" s="11">
        <v>46256</v>
      </c>
      <c r="B4054" s="3">
        <v>6</v>
      </c>
      <c r="C4054" t="s">
        <v>116</v>
      </c>
      <c r="D4054" t="s">
        <v>18</v>
      </c>
      <c r="E4054" s="3">
        <v>8</v>
      </c>
      <c r="F4054" t="s">
        <v>19</v>
      </c>
      <c r="G4054" t="s">
        <v>46</v>
      </c>
      <c r="H4054" t="s">
        <v>31</v>
      </c>
      <c r="I4054" s="12">
        <v>0.4201388888888889</v>
      </c>
      <c r="J4054" t="s">
        <v>47</v>
      </c>
      <c r="K4054" t="s">
        <v>31</v>
      </c>
      <c r="L4054" s="12">
        <v>0.44444444444444442</v>
      </c>
      <c r="M4054" t="s">
        <v>29</v>
      </c>
      <c r="N4054" s="3">
        <v>186</v>
      </c>
      <c r="O4054" t="s">
        <v>24</v>
      </c>
      <c r="P4054" t="s">
        <v>25</v>
      </c>
      <c r="R4054">
        <f>tblDailySchedule[[#This Row],[Capacity Approx]]*'[1]Load Factor Sheet June Acft  '!$B$5</f>
        <v>150.61772727272728</v>
      </c>
      <c r="S4054">
        <f>tblDailySchedule[[#This Row],[Capacity Approx]]*'[1]Load Factor Sheet June Acft  '!$D$5</f>
        <v>163.08818181818182</v>
      </c>
      <c r="T4054" s="22">
        <f>tblDailySchedule[[#This Row],[STD]]</f>
        <v>0.44444444444444442</v>
      </c>
    </row>
    <row r="4055" spans="1:20" hidden="1" x14ac:dyDescent="0.35">
      <c r="A4055" s="11">
        <v>46256</v>
      </c>
      <c r="B4055" s="3">
        <v>6</v>
      </c>
      <c r="C4055" t="s">
        <v>116</v>
      </c>
      <c r="D4055" t="s">
        <v>18</v>
      </c>
      <c r="E4055" s="3">
        <v>9</v>
      </c>
      <c r="F4055" t="s">
        <v>19</v>
      </c>
      <c r="G4055" t="s">
        <v>48</v>
      </c>
      <c r="H4055" t="s">
        <v>49</v>
      </c>
      <c r="I4055" s="12">
        <v>0.4375</v>
      </c>
      <c r="J4055" t="s">
        <v>50</v>
      </c>
      <c r="K4055" t="s">
        <v>49</v>
      </c>
      <c r="L4055" s="12">
        <v>0.45833333333333331</v>
      </c>
      <c r="M4055" t="s">
        <v>51</v>
      </c>
      <c r="N4055" s="3">
        <v>78</v>
      </c>
      <c r="O4055" t="s">
        <v>24</v>
      </c>
      <c r="P4055" t="s">
        <v>25</v>
      </c>
      <c r="R4055">
        <f>tblDailySchedule[[#This Row],[Capacity Approx]]*'[1]Load Factor Sheet June Acft  '!$B$5</f>
        <v>63.162272727272729</v>
      </c>
      <c r="S4055">
        <f>tblDailySchedule[[#This Row],[Capacity Approx]]*'[1]Load Factor Sheet June Acft  '!$D$5</f>
        <v>68.391818181818181</v>
      </c>
      <c r="T4055" s="22">
        <f>tblDailySchedule[[#This Row],[STD]]</f>
        <v>0.45833333333333331</v>
      </c>
    </row>
    <row r="4056" spans="1:20" hidden="1" x14ac:dyDescent="0.35">
      <c r="A4056" s="11">
        <v>46256</v>
      </c>
      <c r="B4056" s="3">
        <v>6</v>
      </c>
      <c r="C4056" t="s">
        <v>116</v>
      </c>
      <c r="D4056" t="s">
        <v>18</v>
      </c>
      <c r="E4056" s="3">
        <v>10</v>
      </c>
      <c r="F4056" t="s">
        <v>19</v>
      </c>
      <c r="G4056" t="s">
        <v>52</v>
      </c>
      <c r="H4056" t="s">
        <v>27</v>
      </c>
      <c r="I4056" s="12">
        <v>0.4826388888888889</v>
      </c>
      <c r="J4056" t="s">
        <v>53</v>
      </c>
      <c r="K4056" t="s">
        <v>27</v>
      </c>
      <c r="L4056" s="12">
        <v>0.51041666666666663</v>
      </c>
      <c r="M4056" t="s">
        <v>23</v>
      </c>
      <c r="N4056" s="3">
        <v>186</v>
      </c>
      <c r="O4056" t="s">
        <v>24</v>
      </c>
      <c r="P4056" t="s">
        <v>25</v>
      </c>
      <c r="R4056">
        <f>tblDailySchedule[[#This Row],[Capacity Approx]]*'[1]Load Factor Sheet June Acft  '!$B$5</f>
        <v>150.61772727272728</v>
      </c>
      <c r="S4056">
        <f>tblDailySchedule[[#This Row],[Capacity Approx]]*'[1]Load Factor Sheet June Acft  '!$D$5</f>
        <v>163.08818181818182</v>
      </c>
      <c r="T4056" s="22">
        <f>tblDailySchedule[[#This Row],[STD]]</f>
        <v>0.51041666666666663</v>
      </c>
    </row>
    <row r="4057" spans="1:20" hidden="1" x14ac:dyDescent="0.35">
      <c r="A4057" s="11">
        <v>46256</v>
      </c>
      <c r="B4057" s="3">
        <v>6</v>
      </c>
      <c r="C4057" t="s">
        <v>116</v>
      </c>
      <c r="D4057" t="s">
        <v>18</v>
      </c>
      <c r="E4057" s="3">
        <v>11</v>
      </c>
      <c r="F4057" t="s">
        <v>19</v>
      </c>
      <c r="G4057" t="s">
        <v>54</v>
      </c>
      <c r="H4057" t="s">
        <v>31</v>
      </c>
      <c r="I4057" s="12">
        <v>0.51388888888888884</v>
      </c>
      <c r="J4057" t="s">
        <v>55</v>
      </c>
      <c r="K4057" t="s">
        <v>31</v>
      </c>
      <c r="L4057" s="12">
        <v>0.54166666666666663</v>
      </c>
      <c r="M4057" t="s">
        <v>23</v>
      </c>
      <c r="N4057" s="3">
        <v>186</v>
      </c>
      <c r="O4057" t="s">
        <v>24</v>
      </c>
      <c r="P4057" t="s">
        <v>56</v>
      </c>
      <c r="R4057">
        <f>tblDailySchedule[[#This Row],[Capacity Approx]]*'[1]Load Factor Sheet June Acft  '!$B$5</f>
        <v>150.61772727272728</v>
      </c>
      <c r="S4057">
        <f>tblDailySchedule[[#This Row],[Capacity Approx]]*'[1]Load Factor Sheet June Acft  '!$D$5</f>
        <v>163.08818181818182</v>
      </c>
      <c r="T4057" s="22">
        <f>tblDailySchedule[[#This Row],[STD]]</f>
        <v>0.54166666666666663</v>
      </c>
    </row>
    <row r="4058" spans="1:20" hidden="1" x14ac:dyDescent="0.35">
      <c r="A4058" s="11">
        <v>46256</v>
      </c>
      <c r="B4058" s="3">
        <v>6</v>
      </c>
      <c r="C4058" t="s">
        <v>116</v>
      </c>
      <c r="D4058" t="s">
        <v>18</v>
      </c>
      <c r="E4058" s="3">
        <v>12</v>
      </c>
      <c r="F4058" t="s">
        <v>109</v>
      </c>
      <c r="G4058" t="s">
        <v>110</v>
      </c>
      <c r="H4058" t="s">
        <v>111</v>
      </c>
      <c r="I4058" s="12">
        <v>0.55555555555555558</v>
      </c>
      <c r="J4058" t="s">
        <v>112</v>
      </c>
      <c r="K4058" t="s">
        <v>111</v>
      </c>
      <c r="L4058" s="12">
        <v>0.56944444444444442</v>
      </c>
      <c r="M4058" t="s">
        <v>51</v>
      </c>
      <c r="N4058" s="3">
        <v>78</v>
      </c>
      <c r="O4058" t="s">
        <v>24</v>
      </c>
      <c r="P4058" t="s">
        <v>56</v>
      </c>
      <c r="R4058">
        <f>tblDailySchedule[[#This Row],[Capacity Approx]]*'[1]Load Factor Sheet June Acft  '!$B$5</f>
        <v>63.162272727272729</v>
      </c>
      <c r="S4058">
        <f>tblDailySchedule[[#This Row],[Capacity Approx]]*'[1]Load Factor Sheet June Acft  '!$D$5</f>
        <v>68.391818181818181</v>
      </c>
      <c r="T4058" s="22">
        <f>tblDailySchedule[[#This Row],[STD]]</f>
        <v>0.56944444444444442</v>
      </c>
    </row>
    <row r="4059" spans="1:20" hidden="1" x14ac:dyDescent="0.35">
      <c r="A4059" s="11">
        <v>46256</v>
      </c>
      <c r="B4059" s="3">
        <v>6</v>
      </c>
      <c r="C4059" t="s">
        <v>116</v>
      </c>
      <c r="D4059" t="s">
        <v>18</v>
      </c>
      <c r="E4059" s="3">
        <v>13</v>
      </c>
      <c r="F4059" t="s">
        <v>19</v>
      </c>
      <c r="G4059" t="s">
        <v>57</v>
      </c>
      <c r="H4059" t="s">
        <v>58</v>
      </c>
      <c r="I4059" s="12">
        <v>0.55902777777777779</v>
      </c>
      <c r="J4059" t="s">
        <v>59</v>
      </c>
      <c r="K4059" t="s">
        <v>58</v>
      </c>
      <c r="L4059" s="12">
        <v>0.57638888888888884</v>
      </c>
      <c r="M4059" t="s">
        <v>51</v>
      </c>
      <c r="N4059" s="3">
        <v>78</v>
      </c>
      <c r="O4059" t="s">
        <v>24</v>
      </c>
      <c r="P4059" t="s">
        <v>56</v>
      </c>
      <c r="R4059">
        <f>tblDailySchedule[[#This Row],[Capacity Approx]]*'[1]Load Factor Sheet June Acft  '!$B$5</f>
        <v>63.162272727272729</v>
      </c>
      <c r="S4059">
        <f>tblDailySchedule[[#This Row],[Capacity Approx]]*'[1]Load Factor Sheet June Acft  '!$D$5</f>
        <v>68.391818181818181</v>
      </c>
      <c r="T4059" s="22">
        <f>tblDailySchedule[[#This Row],[STD]]</f>
        <v>0.57638888888888884</v>
      </c>
    </row>
    <row r="4060" spans="1:20" hidden="1" x14ac:dyDescent="0.35">
      <c r="A4060" s="11">
        <v>46256</v>
      </c>
      <c r="B4060" s="3">
        <v>6</v>
      </c>
      <c r="C4060" t="s">
        <v>116</v>
      </c>
      <c r="D4060" t="s">
        <v>18</v>
      </c>
      <c r="E4060" s="3">
        <v>14</v>
      </c>
      <c r="F4060" t="s">
        <v>19</v>
      </c>
      <c r="G4060" t="s">
        <v>60</v>
      </c>
      <c r="H4060" t="s">
        <v>61</v>
      </c>
      <c r="I4060" s="12">
        <v>0.59027777777777779</v>
      </c>
      <c r="J4060" t="s">
        <v>62</v>
      </c>
      <c r="K4060" t="s">
        <v>61</v>
      </c>
      <c r="L4060" s="12">
        <v>0.62152777777777779</v>
      </c>
      <c r="M4060" t="s">
        <v>63</v>
      </c>
      <c r="N4060" s="3">
        <v>232</v>
      </c>
      <c r="O4060" t="s">
        <v>24</v>
      </c>
      <c r="P4060" t="s">
        <v>56</v>
      </c>
      <c r="R4060">
        <f>tblDailySchedule[[#This Row],[Capacity Approx]]*'[1]Load Factor Sheet June Acft  '!$B$5</f>
        <v>187.86727272727273</v>
      </c>
      <c r="S4060">
        <f>tblDailySchedule[[#This Row],[Capacity Approx]]*'[1]Load Factor Sheet June Acft  '!$D$5</f>
        <v>203.4218181818182</v>
      </c>
      <c r="T4060" s="22">
        <f>tblDailySchedule[[#This Row],[STD]]</f>
        <v>0.62152777777777779</v>
      </c>
    </row>
    <row r="4061" spans="1:20" hidden="1" x14ac:dyDescent="0.35">
      <c r="A4061" s="11">
        <v>46256</v>
      </c>
      <c r="B4061" s="3">
        <v>6</v>
      </c>
      <c r="C4061" t="s">
        <v>116</v>
      </c>
      <c r="D4061" t="s">
        <v>18</v>
      </c>
      <c r="E4061" s="3">
        <v>15</v>
      </c>
      <c r="F4061" t="s">
        <v>19</v>
      </c>
      <c r="G4061" t="s">
        <v>64</v>
      </c>
      <c r="H4061" t="s">
        <v>31</v>
      </c>
      <c r="I4061" s="12">
        <v>0.60069444444444442</v>
      </c>
      <c r="J4061" t="s">
        <v>65</v>
      </c>
      <c r="K4061" t="s">
        <v>66</v>
      </c>
      <c r="L4061" s="12">
        <v>0.62847222222222221</v>
      </c>
      <c r="M4061" t="s">
        <v>63</v>
      </c>
      <c r="N4061" s="3">
        <v>232</v>
      </c>
      <c r="O4061" t="s">
        <v>24</v>
      </c>
      <c r="P4061" t="s">
        <v>56</v>
      </c>
      <c r="R4061">
        <f>tblDailySchedule[[#This Row],[Capacity Approx]]*'[1]Load Factor Sheet June Acft  '!$B$5</f>
        <v>187.86727272727273</v>
      </c>
      <c r="S4061">
        <f>tblDailySchedule[[#This Row],[Capacity Approx]]*'[1]Load Factor Sheet June Acft  '!$D$5</f>
        <v>203.4218181818182</v>
      </c>
      <c r="T4061" s="22">
        <f>tblDailySchedule[[#This Row],[STD]]</f>
        <v>0.62847222222222221</v>
      </c>
    </row>
    <row r="4062" spans="1:20" hidden="1" x14ac:dyDescent="0.35">
      <c r="A4062" s="11">
        <v>46256</v>
      </c>
      <c r="B4062" s="3">
        <v>6</v>
      </c>
      <c r="C4062" t="s">
        <v>116</v>
      </c>
      <c r="D4062" t="s">
        <v>18</v>
      </c>
      <c r="E4062" s="3">
        <v>16</v>
      </c>
      <c r="F4062" t="s">
        <v>19</v>
      </c>
      <c r="G4062" t="s">
        <v>67</v>
      </c>
      <c r="H4062" t="s">
        <v>31</v>
      </c>
      <c r="I4062" s="12">
        <v>0.65625</v>
      </c>
      <c r="J4062" t="s">
        <v>68</v>
      </c>
      <c r="K4062" t="s">
        <v>31</v>
      </c>
      <c r="L4062" s="12">
        <v>0.68402777777777779</v>
      </c>
      <c r="M4062" t="s">
        <v>63</v>
      </c>
      <c r="N4062" s="3">
        <v>232</v>
      </c>
      <c r="O4062" t="s">
        <v>24</v>
      </c>
      <c r="P4062" t="s">
        <v>56</v>
      </c>
      <c r="R4062">
        <f>tblDailySchedule[[#This Row],[Capacity Approx]]*'[1]Load Factor Sheet June Acft  '!$B$5</f>
        <v>187.86727272727273</v>
      </c>
      <c r="S4062">
        <f>tblDailySchedule[[#This Row],[Capacity Approx]]*'[1]Load Factor Sheet June Acft  '!$D$5</f>
        <v>203.4218181818182</v>
      </c>
      <c r="T4062" s="22">
        <f>tblDailySchedule[[#This Row],[STD]]</f>
        <v>0.68402777777777779</v>
      </c>
    </row>
    <row r="4063" spans="1:20" hidden="1" x14ac:dyDescent="0.35">
      <c r="A4063" s="11">
        <v>46256</v>
      </c>
      <c r="B4063" s="3">
        <v>6</v>
      </c>
      <c r="C4063" t="s">
        <v>116</v>
      </c>
      <c r="D4063" t="s">
        <v>18</v>
      </c>
      <c r="E4063" s="3">
        <v>17</v>
      </c>
      <c r="F4063" t="s">
        <v>19</v>
      </c>
      <c r="G4063" t="s">
        <v>69</v>
      </c>
      <c r="H4063" t="s">
        <v>31</v>
      </c>
      <c r="I4063" s="12">
        <v>0.66319444444444442</v>
      </c>
      <c r="J4063" t="s">
        <v>70</v>
      </c>
      <c r="K4063" t="s">
        <v>31</v>
      </c>
      <c r="L4063" s="12">
        <v>0.69097222222222221</v>
      </c>
      <c r="M4063" t="s">
        <v>33</v>
      </c>
      <c r="N4063" s="3">
        <v>189</v>
      </c>
      <c r="O4063" t="s">
        <v>24</v>
      </c>
      <c r="P4063" t="s">
        <v>56</v>
      </c>
      <c r="R4063">
        <f>tblDailySchedule[[#This Row],[Capacity Approx]]*'[1]Load Factor Sheet June Acft  '!$B$5</f>
        <v>153.04704545454547</v>
      </c>
      <c r="S4063">
        <f>tblDailySchedule[[#This Row],[Capacity Approx]]*'[1]Load Factor Sheet June Acft  '!$D$5</f>
        <v>165.71863636363636</v>
      </c>
      <c r="T4063" s="22">
        <f>tblDailySchedule[[#This Row],[STD]]</f>
        <v>0.69097222222222221</v>
      </c>
    </row>
    <row r="4064" spans="1:20" hidden="1" x14ac:dyDescent="0.35">
      <c r="A4064" s="11">
        <v>46256</v>
      </c>
      <c r="B4064" s="3">
        <v>6</v>
      </c>
      <c r="C4064" t="s">
        <v>116</v>
      </c>
      <c r="D4064" t="s">
        <v>18</v>
      </c>
      <c r="E4064" s="3">
        <v>18</v>
      </c>
      <c r="F4064" t="s">
        <v>19</v>
      </c>
      <c r="G4064" t="s">
        <v>71</v>
      </c>
      <c r="H4064" t="s">
        <v>21</v>
      </c>
      <c r="I4064" s="12">
        <v>0.67013888888888884</v>
      </c>
      <c r="J4064" t="s">
        <v>72</v>
      </c>
      <c r="K4064" t="s">
        <v>21</v>
      </c>
      <c r="L4064" s="12">
        <v>0.69791666666666663</v>
      </c>
      <c r="M4064" t="s">
        <v>63</v>
      </c>
      <c r="N4064" s="3">
        <v>232</v>
      </c>
      <c r="O4064" t="s">
        <v>24</v>
      </c>
      <c r="P4064" t="s">
        <v>56</v>
      </c>
      <c r="R4064">
        <f>tblDailySchedule[[#This Row],[Capacity Approx]]*'[1]Load Factor Sheet June Acft  '!$B$5</f>
        <v>187.86727272727273</v>
      </c>
      <c r="S4064">
        <f>tblDailySchedule[[#This Row],[Capacity Approx]]*'[1]Load Factor Sheet June Acft  '!$D$5</f>
        <v>203.4218181818182</v>
      </c>
      <c r="T4064" s="22">
        <f>tblDailySchedule[[#This Row],[STD]]</f>
        <v>0.69791666666666663</v>
      </c>
    </row>
    <row r="4065" spans="1:20" hidden="1" x14ac:dyDescent="0.35">
      <c r="A4065" s="11">
        <v>46256</v>
      </c>
      <c r="B4065" s="3">
        <v>6</v>
      </c>
      <c r="C4065" t="s">
        <v>116</v>
      </c>
      <c r="D4065" t="s">
        <v>18</v>
      </c>
      <c r="E4065" s="3">
        <v>19</v>
      </c>
      <c r="F4065" t="s">
        <v>19</v>
      </c>
      <c r="G4065" t="s">
        <v>73</v>
      </c>
      <c r="H4065" t="s">
        <v>27</v>
      </c>
      <c r="I4065" s="12">
        <v>0.74652777777777779</v>
      </c>
      <c r="J4065" t="s">
        <v>74</v>
      </c>
      <c r="K4065" t="s">
        <v>27</v>
      </c>
      <c r="L4065" s="12">
        <v>0.77430555555555558</v>
      </c>
      <c r="M4065" t="s">
        <v>63</v>
      </c>
      <c r="N4065" s="3">
        <v>232</v>
      </c>
      <c r="O4065" t="s">
        <v>24</v>
      </c>
      <c r="P4065" t="s">
        <v>56</v>
      </c>
      <c r="R4065">
        <f>tblDailySchedule[[#This Row],[Capacity Approx]]*'[1]Load Factor Sheet June Acft  '!$B$5</f>
        <v>187.86727272727273</v>
      </c>
      <c r="S4065">
        <f>tblDailySchedule[[#This Row],[Capacity Approx]]*'[1]Load Factor Sheet June Acft  '!$D$5</f>
        <v>203.4218181818182</v>
      </c>
      <c r="T4065" s="22">
        <f>tblDailySchedule[[#This Row],[STD]]</f>
        <v>0.77430555555555558</v>
      </c>
    </row>
    <row r="4066" spans="1:20" hidden="1" x14ac:dyDescent="0.35">
      <c r="A4066" s="11">
        <v>46256</v>
      </c>
      <c r="B4066" s="3">
        <v>6</v>
      </c>
      <c r="C4066" t="s">
        <v>116</v>
      </c>
      <c r="D4066" t="s">
        <v>18</v>
      </c>
      <c r="E4066" s="3">
        <v>21</v>
      </c>
      <c r="F4066" t="s">
        <v>19</v>
      </c>
      <c r="G4066" t="s">
        <v>81</v>
      </c>
      <c r="H4066" t="s">
        <v>61</v>
      </c>
      <c r="I4066" s="12">
        <v>0.77083333333333337</v>
      </c>
      <c r="J4066" t="s">
        <v>82</v>
      </c>
      <c r="K4066" t="s">
        <v>49</v>
      </c>
      <c r="L4066" s="12">
        <v>0.79166666666666663</v>
      </c>
      <c r="M4066" t="s">
        <v>33</v>
      </c>
      <c r="N4066" s="3">
        <v>189</v>
      </c>
      <c r="O4066" t="s">
        <v>24</v>
      </c>
      <c r="P4066" t="s">
        <v>79</v>
      </c>
      <c r="R4066">
        <f>tblDailySchedule[[#This Row],[Capacity Approx]]*'[1]Load Factor Sheet June Acft  '!$B$5</f>
        <v>153.04704545454547</v>
      </c>
      <c r="S4066">
        <f>tblDailySchedule[[#This Row],[Capacity Approx]]*'[1]Load Factor Sheet June Acft  '!$D$5</f>
        <v>165.71863636363636</v>
      </c>
      <c r="T4066" s="22">
        <f>tblDailySchedule[[#This Row],[STD]]</f>
        <v>0.79166666666666663</v>
      </c>
    </row>
    <row r="4067" spans="1:20" hidden="1" x14ac:dyDescent="0.35">
      <c r="A4067" s="11">
        <v>46256</v>
      </c>
      <c r="B4067" s="3">
        <v>6</v>
      </c>
      <c r="C4067" t="s">
        <v>116</v>
      </c>
      <c r="D4067" t="s">
        <v>18</v>
      </c>
      <c r="E4067" s="3">
        <v>22</v>
      </c>
      <c r="F4067" t="s">
        <v>19</v>
      </c>
      <c r="G4067" t="s">
        <v>83</v>
      </c>
      <c r="H4067" t="s">
        <v>31</v>
      </c>
      <c r="I4067" s="12">
        <v>0.77777777777777779</v>
      </c>
      <c r="J4067" t="s">
        <v>84</v>
      </c>
      <c r="K4067" t="s">
        <v>31</v>
      </c>
      <c r="L4067" s="12">
        <v>0.80555555555555558</v>
      </c>
      <c r="M4067" t="s">
        <v>63</v>
      </c>
      <c r="N4067" s="3">
        <v>232</v>
      </c>
      <c r="O4067" t="s">
        <v>24</v>
      </c>
      <c r="P4067" t="s">
        <v>79</v>
      </c>
      <c r="R4067">
        <f>tblDailySchedule[[#This Row],[Capacity Approx]]*'[1]Load Factor Sheet June Acft  '!$B$5</f>
        <v>187.86727272727273</v>
      </c>
      <c r="S4067">
        <f>tblDailySchedule[[#This Row],[Capacity Approx]]*'[1]Load Factor Sheet June Acft  '!$D$5</f>
        <v>203.4218181818182</v>
      </c>
      <c r="T4067" s="22">
        <f>tblDailySchedule[[#This Row],[STD]]</f>
        <v>0.80555555555555558</v>
      </c>
    </row>
    <row r="4068" spans="1:20" hidden="1" x14ac:dyDescent="0.35">
      <c r="A4068" s="11">
        <v>46256</v>
      </c>
      <c r="B4068" s="3">
        <v>6</v>
      </c>
      <c r="C4068" t="s">
        <v>116</v>
      </c>
      <c r="D4068" t="s">
        <v>18</v>
      </c>
      <c r="E4068" s="3">
        <v>23</v>
      </c>
      <c r="F4068" t="s">
        <v>19</v>
      </c>
      <c r="G4068" t="s">
        <v>85</v>
      </c>
      <c r="H4068" t="s">
        <v>86</v>
      </c>
      <c r="I4068" s="12">
        <v>0.79861111111111116</v>
      </c>
      <c r="J4068" t="s">
        <v>87</v>
      </c>
      <c r="K4068" t="s">
        <v>86</v>
      </c>
      <c r="L4068" s="12">
        <v>0.82638888888888884</v>
      </c>
      <c r="M4068" t="s">
        <v>63</v>
      </c>
      <c r="N4068" s="3">
        <v>232</v>
      </c>
      <c r="O4068" t="s">
        <v>24</v>
      </c>
      <c r="P4068" t="s">
        <v>79</v>
      </c>
      <c r="R4068">
        <f>tblDailySchedule[[#This Row],[Capacity Approx]]*'[1]Load Factor Sheet June Acft  '!$B$5</f>
        <v>187.86727272727273</v>
      </c>
      <c r="S4068">
        <f>tblDailySchedule[[#This Row],[Capacity Approx]]*'[1]Load Factor Sheet June Acft  '!$D$5</f>
        <v>203.4218181818182</v>
      </c>
      <c r="T4068" s="22">
        <f>tblDailySchedule[[#This Row],[STD]]</f>
        <v>0.82638888888888884</v>
      </c>
    </row>
    <row r="4069" spans="1:20" hidden="1" x14ac:dyDescent="0.35">
      <c r="A4069" s="11">
        <v>46256</v>
      </c>
      <c r="B4069" s="3">
        <v>6</v>
      </c>
      <c r="C4069" t="s">
        <v>116</v>
      </c>
      <c r="D4069" t="s">
        <v>18</v>
      </c>
      <c r="E4069" s="3">
        <v>24</v>
      </c>
      <c r="F4069" t="s">
        <v>19</v>
      </c>
      <c r="G4069" t="s">
        <v>88</v>
      </c>
      <c r="H4069" t="s">
        <v>89</v>
      </c>
      <c r="I4069" s="12">
        <v>0.83333333333333337</v>
      </c>
      <c r="J4069" t="s">
        <v>90</v>
      </c>
      <c r="K4069" t="s">
        <v>31</v>
      </c>
      <c r="L4069" s="12">
        <v>0.86111111111111116</v>
      </c>
      <c r="M4069" t="s">
        <v>63</v>
      </c>
      <c r="N4069" s="3">
        <v>232</v>
      </c>
      <c r="O4069" t="s">
        <v>24</v>
      </c>
      <c r="P4069" t="s">
        <v>79</v>
      </c>
      <c r="R4069">
        <f>tblDailySchedule[[#This Row],[Capacity Approx]]*'[1]Load Factor Sheet June Acft  '!$B$5</f>
        <v>187.86727272727273</v>
      </c>
      <c r="S4069">
        <f>tblDailySchedule[[#This Row],[Capacity Approx]]*'[1]Load Factor Sheet June Acft  '!$D$5</f>
        <v>203.4218181818182</v>
      </c>
      <c r="T4069" s="22">
        <f>tblDailySchedule[[#This Row],[STD]]</f>
        <v>0.86111111111111116</v>
      </c>
    </row>
    <row r="4070" spans="1:20" hidden="1" x14ac:dyDescent="0.35">
      <c r="A4070" s="11">
        <v>46256</v>
      </c>
      <c r="B4070" s="3">
        <v>6</v>
      </c>
      <c r="C4070" t="s">
        <v>116</v>
      </c>
      <c r="D4070" t="s">
        <v>18</v>
      </c>
      <c r="E4070" s="3">
        <v>25</v>
      </c>
      <c r="F4070" t="s">
        <v>19</v>
      </c>
      <c r="G4070" t="s">
        <v>91</v>
      </c>
      <c r="H4070" t="s">
        <v>61</v>
      </c>
      <c r="I4070" s="12">
        <v>0.85416666666666663</v>
      </c>
      <c r="J4070" t="s">
        <v>92</v>
      </c>
      <c r="K4070" t="s">
        <v>61</v>
      </c>
      <c r="L4070" s="12">
        <v>0.88194444444444442</v>
      </c>
      <c r="M4070" t="s">
        <v>63</v>
      </c>
      <c r="N4070" s="3">
        <v>232</v>
      </c>
      <c r="O4070" t="s">
        <v>24</v>
      </c>
      <c r="P4070" t="s">
        <v>79</v>
      </c>
      <c r="R4070">
        <f>tblDailySchedule[[#This Row],[Capacity Approx]]*'[1]Load Factor Sheet June Acft  '!$B$5</f>
        <v>187.86727272727273</v>
      </c>
      <c r="S4070">
        <f>tblDailySchedule[[#This Row],[Capacity Approx]]*'[1]Load Factor Sheet June Acft  '!$D$5</f>
        <v>203.4218181818182</v>
      </c>
      <c r="T4070" s="22">
        <f>tblDailySchedule[[#This Row],[STD]]</f>
        <v>0.88194444444444442</v>
      </c>
    </row>
    <row r="4071" spans="1:20" hidden="1" x14ac:dyDescent="0.35">
      <c r="A4071" s="11">
        <v>46256</v>
      </c>
      <c r="B4071" s="3">
        <v>6</v>
      </c>
      <c r="C4071" t="s">
        <v>116</v>
      </c>
      <c r="D4071" t="s">
        <v>18</v>
      </c>
      <c r="E4071" s="3">
        <v>26</v>
      </c>
      <c r="F4071" t="s">
        <v>19</v>
      </c>
      <c r="G4071" t="s">
        <v>93</v>
      </c>
      <c r="H4071" t="s">
        <v>31</v>
      </c>
      <c r="I4071" s="12">
        <v>0.86111111111111116</v>
      </c>
      <c r="J4071" t="s">
        <v>94</v>
      </c>
      <c r="K4071" t="s">
        <v>31</v>
      </c>
      <c r="L4071" s="12">
        <v>0.88888888888888884</v>
      </c>
      <c r="M4071" t="s">
        <v>23</v>
      </c>
      <c r="N4071" s="3">
        <v>186</v>
      </c>
      <c r="O4071" t="s">
        <v>24</v>
      </c>
      <c r="P4071" t="s">
        <v>79</v>
      </c>
      <c r="R4071">
        <f>tblDailySchedule[[#This Row],[Capacity Approx]]*'[1]Load Factor Sheet June Acft  '!$B$5</f>
        <v>150.61772727272728</v>
      </c>
      <c r="S4071">
        <f>tblDailySchedule[[#This Row],[Capacity Approx]]*'[1]Load Factor Sheet June Acft  '!$D$5</f>
        <v>163.08818181818182</v>
      </c>
      <c r="T4071" s="22">
        <f>tblDailySchedule[[#This Row],[STD]]</f>
        <v>0.88888888888888884</v>
      </c>
    </row>
    <row r="4072" spans="1:20" hidden="1" x14ac:dyDescent="0.35">
      <c r="A4072" s="11">
        <v>46256</v>
      </c>
      <c r="B4072" s="3">
        <v>6</v>
      </c>
      <c r="C4072" t="s">
        <v>116</v>
      </c>
      <c r="D4072" t="s">
        <v>18</v>
      </c>
      <c r="E4072" s="3">
        <v>27</v>
      </c>
      <c r="F4072" t="s">
        <v>19</v>
      </c>
      <c r="G4072" t="s">
        <v>95</v>
      </c>
      <c r="H4072" t="s">
        <v>21</v>
      </c>
      <c r="I4072" s="12">
        <v>0.86805555555555558</v>
      </c>
      <c r="J4072" t="s">
        <v>96</v>
      </c>
      <c r="K4072" t="s">
        <v>21</v>
      </c>
      <c r="L4072" s="12">
        <v>0.89583333333333337</v>
      </c>
      <c r="M4072" t="s">
        <v>29</v>
      </c>
      <c r="N4072" s="3">
        <v>186</v>
      </c>
      <c r="O4072" t="s">
        <v>24</v>
      </c>
      <c r="P4072" t="s">
        <v>79</v>
      </c>
      <c r="R4072">
        <f>tblDailySchedule[[#This Row],[Capacity Approx]]*'[1]Load Factor Sheet June Acft  '!$B$5</f>
        <v>150.61772727272728</v>
      </c>
      <c r="S4072">
        <f>tblDailySchedule[[#This Row],[Capacity Approx]]*'[1]Load Factor Sheet June Acft  '!$D$5</f>
        <v>163.08818181818182</v>
      </c>
      <c r="T4072" s="22">
        <f>tblDailySchedule[[#This Row],[STD]]</f>
        <v>0.89583333333333337</v>
      </c>
    </row>
    <row r="4073" spans="1:20" hidden="1" x14ac:dyDescent="0.35">
      <c r="A4073" s="11">
        <v>46256</v>
      </c>
      <c r="B4073" s="3">
        <v>6</v>
      </c>
      <c r="C4073" t="s">
        <v>116</v>
      </c>
      <c r="D4073" t="s">
        <v>18</v>
      </c>
      <c r="E4073" s="3">
        <v>28</v>
      </c>
      <c r="F4073" t="s">
        <v>19</v>
      </c>
      <c r="G4073" t="s">
        <v>97</v>
      </c>
      <c r="H4073" t="s">
        <v>49</v>
      </c>
      <c r="I4073" s="12">
        <v>0.90277777777777779</v>
      </c>
      <c r="J4073" t="s">
        <v>97</v>
      </c>
      <c r="K4073" t="s">
        <v>61</v>
      </c>
      <c r="L4073" s="12">
        <v>0.92361111111111116</v>
      </c>
      <c r="M4073" t="s">
        <v>33</v>
      </c>
      <c r="N4073" s="3">
        <v>189</v>
      </c>
      <c r="O4073" t="s">
        <v>24</v>
      </c>
      <c r="P4073" t="s">
        <v>79</v>
      </c>
      <c r="R4073">
        <f>tblDailySchedule[[#This Row],[Capacity Approx]]*'[1]Load Factor Sheet June Acft  '!$B$5</f>
        <v>153.04704545454547</v>
      </c>
      <c r="S4073">
        <f>tblDailySchedule[[#This Row],[Capacity Approx]]*'[1]Load Factor Sheet June Acft  '!$D$5</f>
        <v>165.71863636363636</v>
      </c>
      <c r="T4073" s="22">
        <f>tblDailySchedule[[#This Row],[STD]]</f>
        <v>0.92361111111111116</v>
      </c>
    </row>
    <row r="4074" spans="1:20" hidden="1" x14ac:dyDescent="0.35">
      <c r="A4074" s="11">
        <v>46256</v>
      </c>
      <c r="B4074" s="3">
        <v>6</v>
      </c>
      <c r="C4074" t="s">
        <v>116</v>
      </c>
      <c r="D4074" t="s">
        <v>18</v>
      </c>
      <c r="E4074" s="3">
        <v>29</v>
      </c>
      <c r="F4074" t="s">
        <v>19</v>
      </c>
      <c r="G4074" t="s">
        <v>98</v>
      </c>
      <c r="H4074" t="s">
        <v>21</v>
      </c>
      <c r="I4074" s="12">
        <v>0.92013888888888884</v>
      </c>
      <c r="J4074" t="s">
        <v>99</v>
      </c>
      <c r="K4074" t="s">
        <v>21</v>
      </c>
      <c r="L4074" s="12">
        <v>0.94791666666666663</v>
      </c>
      <c r="M4074" t="s">
        <v>63</v>
      </c>
      <c r="N4074" s="3">
        <v>232</v>
      </c>
      <c r="O4074" t="s">
        <v>24</v>
      </c>
      <c r="P4074" t="s">
        <v>79</v>
      </c>
      <c r="R4074">
        <f>tblDailySchedule[[#This Row],[Capacity Approx]]*'[1]Load Factor Sheet June Acft  '!$B$5</f>
        <v>187.86727272727273</v>
      </c>
      <c r="S4074">
        <f>tblDailySchedule[[#This Row],[Capacity Approx]]*'[1]Load Factor Sheet June Acft  '!$D$5</f>
        <v>203.4218181818182</v>
      </c>
      <c r="T4074" s="22">
        <f>tblDailySchedule[[#This Row],[STD]]</f>
        <v>0.94791666666666663</v>
      </c>
    </row>
    <row r="4075" spans="1:20" hidden="1" x14ac:dyDescent="0.35">
      <c r="A4075" s="13">
        <v>46256</v>
      </c>
      <c r="B4075" s="7">
        <v>6</v>
      </c>
      <c r="C4075" s="14" t="s">
        <v>116</v>
      </c>
      <c r="D4075" s="14" t="s">
        <v>18</v>
      </c>
      <c r="E4075" s="7">
        <v>30</v>
      </c>
      <c r="F4075" s="14" t="s">
        <v>104</v>
      </c>
      <c r="G4075" s="14" t="s">
        <v>105</v>
      </c>
      <c r="H4075" s="14" t="s">
        <v>106</v>
      </c>
      <c r="I4075" s="15">
        <v>0.92708333333333337</v>
      </c>
      <c r="J4075" s="14" t="s">
        <v>107</v>
      </c>
      <c r="K4075" s="14" t="s">
        <v>106</v>
      </c>
      <c r="L4075" s="15">
        <v>0.95833333333333337</v>
      </c>
      <c r="M4075" s="14" t="s">
        <v>38</v>
      </c>
      <c r="N4075" s="7">
        <v>186</v>
      </c>
      <c r="O4075" s="14" t="s">
        <v>39</v>
      </c>
      <c r="P4075" s="14" t="s">
        <v>79</v>
      </c>
      <c r="Q4075" s="14" t="s">
        <v>39</v>
      </c>
      <c r="R4075">
        <f>tblDailySchedule[[#This Row],[Capacity Approx]]*'[1]Load Factor Sheet June Acft  '!$B$5</f>
        <v>150.61772727272728</v>
      </c>
      <c r="S4075">
        <f>tblDailySchedule[[#This Row],[Capacity Approx]]*'[1]Load Factor Sheet June Acft  '!$D$5</f>
        <v>163.08818181818182</v>
      </c>
      <c r="T4075" s="22">
        <f>tblDailySchedule[[#This Row],[STD]]</f>
        <v>0.95833333333333337</v>
      </c>
    </row>
    <row r="4076" spans="1:20" hidden="1" x14ac:dyDescent="0.35">
      <c r="A4076" s="11">
        <v>46257</v>
      </c>
      <c r="B4076" s="3">
        <v>7</v>
      </c>
      <c r="C4076" t="s">
        <v>17</v>
      </c>
      <c r="D4076" t="s">
        <v>18</v>
      </c>
      <c r="E4076" s="3">
        <v>2</v>
      </c>
      <c r="F4076" t="s">
        <v>19</v>
      </c>
      <c r="G4076" t="s">
        <v>20</v>
      </c>
      <c r="H4076" t="s">
        <v>21</v>
      </c>
      <c r="I4076" s="12">
        <v>0.31944444444444442</v>
      </c>
      <c r="J4076" t="s">
        <v>22</v>
      </c>
      <c r="K4076" t="s">
        <v>21</v>
      </c>
      <c r="L4076" s="12">
        <v>0.34722222222222221</v>
      </c>
      <c r="M4076" t="s">
        <v>23</v>
      </c>
      <c r="N4076" s="3">
        <v>186</v>
      </c>
      <c r="O4076" t="s">
        <v>24</v>
      </c>
      <c r="P4076" t="s">
        <v>25</v>
      </c>
      <c r="R4076">
        <f>tblDailySchedule[[#This Row],[Capacity Approx]]*'[1]Load Factor Sheet June Acft  '!$B$5</f>
        <v>150.61772727272728</v>
      </c>
      <c r="S4076">
        <f>tblDailySchedule[[#This Row],[Capacity Approx]]*'[1]Load Factor Sheet June Acft  '!$D$5</f>
        <v>163.08818181818182</v>
      </c>
      <c r="T4076" s="22">
        <f>tblDailySchedule[[#This Row],[STD]]</f>
        <v>0.34722222222222221</v>
      </c>
    </row>
    <row r="4077" spans="1:20" hidden="1" x14ac:dyDescent="0.35">
      <c r="A4077" s="11">
        <v>46257</v>
      </c>
      <c r="B4077" s="3">
        <v>7</v>
      </c>
      <c r="C4077" t="s">
        <v>17</v>
      </c>
      <c r="D4077" t="s">
        <v>18</v>
      </c>
      <c r="E4077" s="3">
        <v>3</v>
      </c>
      <c r="F4077" t="s">
        <v>19</v>
      </c>
      <c r="G4077" t="s">
        <v>26</v>
      </c>
      <c r="H4077" t="s">
        <v>27</v>
      </c>
      <c r="I4077" s="12">
        <v>0.3263888888888889</v>
      </c>
      <c r="J4077" t="s">
        <v>28</v>
      </c>
      <c r="K4077" t="s">
        <v>27</v>
      </c>
      <c r="L4077" s="12">
        <v>0.35416666666666669</v>
      </c>
      <c r="M4077" t="s">
        <v>29</v>
      </c>
      <c r="N4077" s="3">
        <v>186</v>
      </c>
      <c r="O4077" t="s">
        <v>24</v>
      </c>
      <c r="P4077" t="s">
        <v>25</v>
      </c>
      <c r="R4077">
        <f>tblDailySchedule[[#This Row],[Capacity Approx]]*'[1]Load Factor Sheet June Acft  '!$B$5</f>
        <v>150.61772727272728</v>
      </c>
      <c r="S4077">
        <f>tblDailySchedule[[#This Row],[Capacity Approx]]*'[1]Load Factor Sheet June Acft  '!$D$5</f>
        <v>163.08818181818182</v>
      </c>
      <c r="T4077" s="22">
        <f>tblDailySchedule[[#This Row],[STD]]</f>
        <v>0.35416666666666669</v>
      </c>
    </row>
    <row r="4078" spans="1:20" hidden="1" x14ac:dyDescent="0.35">
      <c r="A4078" s="11">
        <v>46257</v>
      </c>
      <c r="B4078" s="3">
        <v>7</v>
      </c>
      <c r="C4078" t="s">
        <v>17</v>
      </c>
      <c r="D4078" t="s">
        <v>18</v>
      </c>
      <c r="E4078" s="3">
        <v>4</v>
      </c>
      <c r="F4078" t="s">
        <v>19</v>
      </c>
      <c r="G4078" t="s">
        <v>30</v>
      </c>
      <c r="H4078" t="s">
        <v>31</v>
      </c>
      <c r="I4078" s="12">
        <v>0.34722222222222221</v>
      </c>
      <c r="J4078" t="s">
        <v>32</v>
      </c>
      <c r="K4078" t="s">
        <v>31</v>
      </c>
      <c r="L4078" s="12">
        <v>0.36805555555555558</v>
      </c>
      <c r="M4078" t="s">
        <v>33</v>
      </c>
      <c r="N4078" s="3">
        <v>189</v>
      </c>
      <c r="O4078" t="s">
        <v>24</v>
      </c>
      <c r="P4078" t="s">
        <v>25</v>
      </c>
      <c r="R4078">
        <f>tblDailySchedule[[#This Row],[Capacity Approx]]*'[1]Load Factor Sheet June Acft  '!$B$5</f>
        <v>153.04704545454547</v>
      </c>
      <c r="S4078">
        <f>tblDailySchedule[[#This Row],[Capacity Approx]]*'[1]Load Factor Sheet June Acft  '!$D$5</f>
        <v>165.71863636363636</v>
      </c>
      <c r="T4078" s="22">
        <f>tblDailySchedule[[#This Row],[STD]]</f>
        <v>0.36805555555555558</v>
      </c>
    </row>
    <row r="4079" spans="1:20" hidden="1" x14ac:dyDescent="0.35">
      <c r="A4079" s="13">
        <v>46257</v>
      </c>
      <c r="B4079" s="7">
        <v>7</v>
      </c>
      <c r="C4079" s="14" t="s">
        <v>17</v>
      </c>
      <c r="D4079" s="14" t="s">
        <v>18</v>
      </c>
      <c r="E4079" s="7">
        <v>6</v>
      </c>
      <c r="F4079" s="14" t="s">
        <v>34</v>
      </c>
      <c r="G4079" s="14" t="s">
        <v>35</v>
      </c>
      <c r="H4079" s="14" t="s">
        <v>36</v>
      </c>
      <c r="I4079" s="15">
        <v>0.34722222222222221</v>
      </c>
      <c r="J4079" s="14" t="s">
        <v>37</v>
      </c>
      <c r="K4079" s="14" t="s">
        <v>36</v>
      </c>
      <c r="L4079" s="15">
        <v>0.40972222222222221</v>
      </c>
      <c r="M4079" s="14" t="s">
        <v>38</v>
      </c>
      <c r="N4079" s="7">
        <v>186</v>
      </c>
      <c r="O4079" s="14" t="s">
        <v>39</v>
      </c>
      <c r="P4079" s="14" t="s">
        <v>25</v>
      </c>
      <c r="Q4079" s="14" t="s">
        <v>39</v>
      </c>
      <c r="R4079">
        <f>tblDailySchedule[[#This Row],[Capacity Approx]]*'[1]Load Factor Sheet June Acft  '!$B$5</f>
        <v>150.61772727272728</v>
      </c>
      <c r="S4079">
        <f>tblDailySchedule[[#This Row],[Capacity Approx]]*'[1]Load Factor Sheet June Acft  '!$D$5</f>
        <v>163.08818181818182</v>
      </c>
      <c r="T4079" s="22">
        <f>tblDailySchedule[[#This Row],[STD]]</f>
        <v>0.40972222222222221</v>
      </c>
    </row>
    <row r="4080" spans="1:20" hidden="1" x14ac:dyDescent="0.35">
      <c r="A4080" s="11">
        <v>46257</v>
      </c>
      <c r="B4080" s="3">
        <v>7</v>
      </c>
      <c r="C4080" t="s">
        <v>17</v>
      </c>
      <c r="D4080" t="s">
        <v>18</v>
      </c>
      <c r="E4080" s="3">
        <v>5</v>
      </c>
      <c r="F4080" t="s">
        <v>19</v>
      </c>
      <c r="G4080" t="s">
        <v>40</v>
      </c>
      <c r="H4080" t="s">
        <v>31</v>
      </c>
      <c r="I4080" s="12">
        <v>0.35069444444444442</v>
      </c>
      <c r="J4080" t="s">
        <v>41</v>
      </c>
      <c r="K4080" t="s">
        <v>31</v>
      </c>
      <c r="L4080" s="12">
        <v>0.37152777777777779</v>
      </c>
      <c r="M4080" t="s">
        <v>23</v>
      </c>
      <c r="N4080" s="3">
        <v>186</v>
      </c>
      <c r="O4080" t="s">
        <v>24</v>
      </c>
      <c r="P4080" t="s">
        <v>25</v>
      </c>
      <c r="R4080">
        <f>tblDailySchedule[[#This Row],[Capacity Approx]]*'[1]Load Factor Sheet June Acft  '!$B$5</f>
        <v>150.61772727272728</v>
      </c>
      <c r="S4080">
        <f>tblDailySchedule[[#This Row],[Capacity Approx]]*'[1]Load Factor Sheet June Acft  '!$D$5</f>
        <v>163.08818181818182</v>
      </c>
      <c r="T4080" s="22">
        <f>tblDailySchedule[[#This Row],[STD]]</f>
        <v>0.37152777777777779</v>
      </c>
    </row>
    <row r="4081" spans="1:20" hidden="1" x14ac:dyDescent="0.35">
      <c r="A4081" s="11">
        <v>46257</v>
      </c>
      <c r="B4081" s="3">
        <v>7</v>
      </c>
      <c r="C4081" t="s">
        <v>17</v>
      </c>
      <c r="D4081" t="s">
        <v>18</v>
      </c>
      <c r="E4081" s="3">
        <v>7</v>
      </c>
      <c r="F4081" t="s">
        <v>19</v>
      </c>
      <c r="G4081" t="s">
        <v>42</v>
      </c>
      <c r="H4081" t="s">
        <v>43</v>
      </c>
      <c r="I4081" s="12">
        <v>0.3923611111111111</v>
      </c>
      <c r="J4081" t="s">
        <v>44</v>
      </c>
      <c r="K4081" t="s">
        <v>43</v>
      </c>
      <c r="L4081" s="12">
        <v>0.40277777777777779</v>
      </c>
      <c r="M4081" t="s">
        <v>45</v>
      </c>
      <c r="N4081" s="3">
        <v>9</v>
      </c>
      <c r="O4081" t="s">
        <v>24</v>
      </c>
      <c r="P4081" t="s">
        <v>25</v>
      </c>
      <c r="R4081">
        <f>tblDailySchedule[[#This Row],[Capacity Approx]]*'[1]Load Factor Sheet June Acft  '!$B$5</f>
        <v>7.2879545454545456</v>
      </c>
      <c r="S4081">
        <f>tblDailySchedule[[#This Row],[Capacity Approx]]*'[1]Load Factor Sheet June Acft  '!$D$5</f>
        <v>7.8913636363636366</v>
      </c>
      <c r="T4081" s="22">
        <f>tblDailySchedule[[#This Row],[STD]]</f>
        <v>0.40277777777777779</v>
      </c>
    </row>
    <row r="4082" spans="1:20" hidden="1" x14ac:dyDescent="0.35">
      <c r="A4082" s="11">
        <v>46257</v>
      </c>
      <c r="B4082" s="3">
        <v>7</v>
      </c>
      <c r="C4082" t="s">
        <v>17</v>
      </c>
      <c r="D4082" t="s">
        <v>18</v>
      </c>
      <c r="E4082" s="3">
        <v>8</v>
      </c>
      <c r="F4082" t="s">
        <v>19</v>
      </c>
      <c r="G4082" t="s">
        <v>46</v>
      </c>
      <c r="H4082" t="s">
        <v>31</v>
      </c>
      <c r="I4082" s="12">
        <v>0.4201388888888889</v>
      </c>
      <c r="J4082" t="s">
        <v>47</v>
      </c>
      <c r="K4082" t="s">
        <v>31</v>
      </c>
      <c r="L4082" s="12">
        <v>0.44444444444444442</v>
      </c>
      <c r="M4082" t="s">
        <v>29</v>
      </c>
      <c r="N4082" s="3">
        <v>186</v>
      </c>
      <c r="O4082" t="s">
        <v>24</v>
      </c>
      <c r="P4082" t="s">
        <v>25</v>
      </c>
      <c r="R4082">
        <f>tblDailySchedule[[#This Row],[Capacity Approx]]*'[1]Load Factor Sheet June Acft  '!$B$5</f>
        <v>150.61772727272728</v>
      </c>
      <c r="S4082">
        <f>tblDailySchedule[[#This Row],[Capacity Approx]]*'[1]Load Factor Sheet June Acft  '!$D$5</f>
        <v>163.08818181818182</v>
      </c>
      <c r="T4082" s="22">
        <f>tblDailySchedule[[#This Row],[STD]]</f>
        <v>0.44444444444444442</v>
      </c>
    </row>
    <row r="4083" spans="1:20" hidden="1" x14ac:dyDescent="0.35">
      <c r="A4083" s="11">
        <v>46257</v>
      </c>
      <c r="B4083" s="3">
        <v>7</v>
      </c>
      <c r="C4083" t="s">
        <v>17</v>
      </c>
      <c r="D4083" t="s">
        <v>18</v>
      </c>
      <c r="E4083" s="3">
        <v>9</v>
      </c>
      <c r="F4083" t="s">
        <v>19</v>
      </c>
      <c r="G4083" t="s">
        <v>48</v>
      </c>
      <c r="H4083" t="s">
        <v>49</v>
      </c>
      <c r="I4083" s="12">
        <v>0.4375</v>
      </c>
      <c r="J4083" t="s">
        <v>50</v>
      </c>
      <c r="K4083" t="s">
        <v>49</v>
      </c>
      <c r="L4083" s="12">
        <v>0.45833333333333331</v>
      </c>
      <c r="M4083" t="s">
        <v>51</v>
      </c>
      <c r="N4083" s="3">
        <v>78</v>
      </c>
      <c r="O4083" t="s">
        <v>24</v>
      </c>
      <c r="P4083" t="s">
        <v>25</v>
      </c>
      <c r="R4083">
        <f>tblDailySchedule[[#This Row],[Capacity Approx]]*'[1]Load Factor Sheet June Acft  '!$B$5</f>
        <v>63.162272727272729</v>
      </c>
      <c r="S4083">
        <f>tblDailySchedule[[#This Row],[Capacity Approx]]*'[1]Load Factor Sheet June Acft  '!$D$5</f>
        <v>68.391818181818181</v>
      </c>
      <c r="T4083" s="22">
        <f>tblDailySchedule[[#This Row],[STD]]</f>
        <v>0.45833333333333331</v>
      </c>
    </row>
    <row r="4084" spans="1:20" hidden="1" x14ac:dyDescent="0.35">
      <c r="A4084" s="11">
        <v>46257</v>
      </c>
      <c r="B4084" s="3">
        <v>7</v>
      </c>
      <c r="C4084" t="s">
        <v>17</v>
      </c>
      <c r="D4084" t="s">
        <v>18</v>
      </c>
      <c r="E4084" s="3">
        <v>10</v>
      </c>
      <c r="F4084" t="s">
        <v>19</v>
      </c>
      <c r="G4084" t="s">
        <v>52</v>
      </c>
      <c r="H4084" t="s">
        <v>27</v>
      </c>
      <c r="I4084" s="12">
        <v>0.4826388888888889</v>
      </c>
      <c r="J4084" t="s">
        <v>53</v>
      </c>
      <c r="K4084" t="s">
        <v>27</v>
      </c>
      <c r="L4084" s="12">
        <v>0.51041666666666663</v>
      </c>
      <c r="M4084" t="s">
        <v>23</v>
      </c>
      <c r="N4084" s="3">
        <v>186</v>
      </c>
      <c r="O4084" t="s">
        <v>24</v>
      </c>
      <c r="P4084" t="s">
        <v>25</v>
      </c>
      <c r="R4084">
        <f>tblDailySchedule[[#This Row],[Capacity Approx]]*'[1]Load Factor Sheet June Acft  '!$B$5</f>
        <v>150.61772727272728</v>
      </c>
      <c r="S4084">
        <f>tblDailySchedule[[#This Row],[Capacity Approx]]*'[1]Load Factor Sheet June Acft  '!$D$5</f>
        <v>163.08818181818182</v>
      </c>
      <c r="T4084" s="22">
        <f>tblDailySchedule[[#This Row],[STD]]</f>
        <v>0.51041666666666663</v>
      </c>
    </row>
    <row r="4085" spans="1:20" hidden="1" x14ac:dyDescent="0.35">
      <c r="A4085" s="11">
        <v>46257</v>
      </c>
      <c r="B4085" s="3">
        <v>7</v>
      </c>
      <c r="C4085" t="s">
        <v>17</v>
      </c>
      <c r="D4085" t="s">
        <v>18</v>
      </c>
      <c r="E4085" s="3">
        <v>11</v>
      </c>
      <c r="F4085" t="s">
        <v>19</v>
      </c>
      <c r="G4085" t="s">
        <v>54</v>
      </c>
      <c r="H4085" t="s">
        <v>31</v>
      </c>
      <c r="I4085" s="12">
        <v>0.51388888888888884</v>
      </c>
      <c r="J4085" t="s">
        <v>55</v>
      </c>
      <c r="K4085" t="s">
        <v>31</v>
      </c>
      <c r="L4085" s="12">
        <v>0.54166666666666663</v>
      </c>
      <c r="M4085" t="s">
        <v>23</v>
      </c>
      <c r="N4085" s="3">
        <v>186</v>
      </c>
      <c r="O4085" t="s">
        <v>24</v>
      </c>
      <c r="P4085" t="s">
        <v>56</v>
      </c>
      <c r="R4085">
        <f>tblDailySchedule[[#This Row],[Capacity Approx]]*'[1]Load Factor Sheet June Acft  '!$B$5</f>
        <v>150.61772727272728</v>
      </c>
      <c r="S4085">
        <f>tblDailySchedule[[#This Row],[Capacity Approx]]*'[1]Load Factor Sheet June Acft  '!$D$5</f>
        <v>163.08818181818182</v>
      </c>
      <c r="T4085" s="22">
        <f>tblDailySchedule[[#This Row],[STD]]</f>
        <v>0.54166666666666663</v>
      </c>
    </row>
    <row r="4086" spans="1:20" hidden="1" x14ac:dyDescent="0.35">
      <c r="A4086" s="11">
        <v>46257</v>
      </c>
      <c r="B4086" s="3">
        <v>7</v>
      </c>
      <c r="C4086" t="s">
        <v>17</v>
      </c>
      <c r="D4086" t="s">
        <v>18</v>
      </c>
      <c r="E4086" s="3">
        <v>13</v>
      </c>
      <c r="F4086" t="s">
        <v>19</v>
      </c>
      <c r="G4086" t="s">
        <v>57</v>
      </c>
      <c r="H4086" t="s">
        <v>58</v>
      </c>
      <c r="I4086" s="12">
        <v>0.55902777777777779</v>
      </c>
      <c r="J4086" t="s">
        <v>59</v>
      </c>
      <c r="K4086" t="s">
        <v>58</v>
      </c>
      <c r="L4086" s="12">
        <v>0.57638888888888884</v>
      </c>
      <c r="M4086" t="s">
        <v>51</v>
      </c>
      <c r="N4086" s="3">
        <v>78</v>
      </c>
      <c r="O4086" t="s">
        <v>24</v>
      </c>
      <c r="P4086" t="s">
        <v>56</v>
      </c>
      <c r="R4086">
        <f>tblDailySchedule[[#This Row],[Capacity Approx]]*'[1]Load Factor Sheet June Acft  '!$B$5</f>
        <v>63.162272727272729</v>
      </c>
      <c r="S4086">
        <f>tblDailySchedule[[#This Row],[Capacity Approx]]*'[1]Load Factor Sheet June Acft  '!$D$5</f>
        <v>68.391818181818181</v>
      </c>
      <c r="T4086" s="22">
        <f>tblDailySchedule[[#This Row],[STD]]</f>
        <v>0.57638888888888884</v>
      </c>
    </row>
    <row r="4087" spans="1:20" hidden="1" x14ac:dyDescent="0.35">
      <c r="A4087" s="11">
        <v>46257</v>
      </c>
      <c r="B4087" s="3">
        <v>7</v>
      </c>
      <c r="C4087" t="s">
        <v>17</v>
      </c>
      <c r="D4087" t="s">
        <v>18</v>
      </c>
      <c r="E4087" s="3">
        <v>14</v>
      </c>
      <c r="F4087" t="s">
        <v>19</v>
      </c>
      <c r="G4087" t="s">
        <v>60</v>
      </c>
      <c r="H4087" t="s">
        <v>61</v>
      </c>
      <c r="I4087" s="12">
        <v>0.59027777777777779</v>
      </c>
      <c r="J4087" t="s">
        <v>62</v>
      </c>
      <c r="K4087" t="s">
        <v>61</v>
      </c>
      <c r="L4087" s="12">
        <v>0.62152777777777779</v>
      </c>
      <c r="M4087" t="s">
        <v>63</v>
      </c>
      <c r="N4087" s="3">
        <v>232</v>
      </c>
      <c r="O4087" t="s">
        <v>24</v>
      </c>
      <c r="P4087" t="s">
        <v>56</v>
      </c>
      <c r="R4087">
        <f>tblDailySchedule[[#This Row],[Capacity Approx]]*'[1]Load Factor Sheet June Acft  '!$B$5</f>
        <v>187.86727272727273</v>
      </c>
      <c r="S4087">
        <f>tblDailySchedule[[#This Row],[Capacity Approx]]*'[1]Load Factor Sheet June Acft  '!$D$5</f>
        <v>203.4218181818182</v>
      </c>
      <c r="T4087" s="22">
        <f>tblDailySchedule[[#This Row],[STD]]</f>
        <v>0.62152777777777779</v>
      </c>
    </row>
    <row r="4088" spans="1:20" hidden="1" x14ac:dyDescent="0.35">
      <c r="A4088" s="11">
        <v>46257</v>
      </c>
      <c r="B4088" s="3">
        <v>7</v>
      </c>
      <c r="C4088" t="s">
        <v>17</v>
      </c>
      <c r="D4088" t="s">
        <v>18</v>
      </c>
      <c r="E4088" s="3">
        <v>15</v>
      </c>
      <c r="F4088" t="s">
        <v>19</v>
      </c>
      <c r="G4088" t="s">
        <v>64</v>
      </c>
      <c r="H4088" t="s">
        <v>31</v>
      </c>
      <c r="I4088" s="12">
        <v>0.60069444444444442</v>
      </c>
      <c r="J4088" t="s">
        <v>65</v>
      </c>
      <c r="K4088" t="s">
        <v>66</v>
      </c>
      <c r="L4088" s="12">
        <v>0.62847222222222221</v>
      </c>
      <c r="M4088" t="s">
        <v>63</v>
      </c>
      <c r="N4088" s="3">
        <v>232</v>
      </c>
      <c r="O4088" t="s">
        <v>24</v>
      </c>
      <c r="P4088" t="s">
        <v>56</v>
      </c>
      <c r="R4088">
        <f>tblDailySchedule[[#This Row],[Capacity Approx]]*'[1]Load Factor Sheet June Acft  '!$B$5</f>
        <v>187.86727272727273</v>
      </c>
      <c r="S4088">
        <f>tblDailySchedule[[#This Row],[Capacity Approx]]*'[1]Load Factor Sheet June Acft  '!$D$5</f>
        <v>203.4218181818182</v>
      </c>
      <c r="T4088" s="22">
        <f>tblDailySchedule[[#This Row],[STD]]</f>
        <v>0.62847222222222221</v>
      </c>
    </row>
    <row r="4089" spans="1:20" hidden="1" x14ac:dyDescent="0.35">
      <c r="A4089" s="11">
        <v>46257</v>
      </c>
      <c r="B4089" s="3">
        <v>7</v>
      </c>
      <c r="C4089" t="s">
        <v>17</v>
      </c>
      <c r="D4089" t="s">
        <v>18</v>
      </c>
      <c r="E4089" s="3">
        <v>16</v>
      </c>
      <c r="F4089" t="s">
        <v>19</v>
      </c>
      <c r="G4089" t="s">
        <v>67</v>
      </c>
      <c r="H4089" t="s">
        <v>31</v>
      </c>
      <c r="I4089" s="12">
        <v>0.65625</v>
      </c>
      <c r="J4089" t="s">
        <v>68</v>
      </c>
      <c r="K4089" t="s">
        <v>31</v>
      </c>
      <c r="L4089" s="12">
        <v>0.68402777777777779</v>
      </c>
      <c r="M4089" t="s">
        <v>63</v>
      </c>
      <c r="N4089" s="3">
        <v>232</v>
      </c>
      <c r="O4089" t="s">
        <v>24</v>
      </c>
      <c r="P4089" t="s">
        <v>56</v>
      </c>
      <c r="R4089">
        <f>tblDailySchedule[[#This Row],[Capacity Approx]]*'[1]Load Factor Sheet June Acft  '!$B$5</f>
        <v>187.86727272727273</v>
      </c>
      <c r="S4089">
        <f>tblDailySchedule[[#This Row],[Capacity Approx]]*'[1]Load Factor Sheet June Acft  '!$D$5</f>
        <v>203.4218181818182</v>
      </c>
      <c r="T4089" s="22">
        <f>tblDailySchedule[[#This Row],[STD]]</f>
        <v>0.68402777777777779</v>
      </c>
    </row>
    <row r="4090" spans="1:20" hidden="1" x14ac:dyDescent="0.35">
      <c r="A4090" s="11">
        <v>46257</v>
      </c>
      <c r="B4090" s="3">
        <v>7</v>
      </c>
      <c r="C4090" t="s">
        <v>17</v>
      </c>
      <c r="D4090" t="s">
        <v>18</v>
      </c>
      <c r="E4090" s="3">
        <v>17</v>
      </c>
      <c r="F4090" t="s">
        <v>19</v>
      </c>
      <c r="G4090" t="s">
        <v>69</v>
      </c>
      <c r="H4090" t="s">
        <v>31</v>
      </c>
      <c r="I4090" s="12">
        <v>0.66319444444444442</v>
      </c>
      <c r="J4090" t="s">
        <v>70</v>
      </c>
      <c r="K4090" t="s">
        <v>31</v>
      </c>
      <c r="L4090" s="12">
        <v>0.69097222222222221</v>
      </c>
      <c r="M4090" t="s">
        <v>33</v>
      </c>
      <c r="N4090" s="3">
        <v>189</v>
      </c>
      <c r="O4090" t="s">
        <v>24</v>
      </c>
      <c r="P4090" t="s">
        <v>56</v>
      </c>
      <c r="R4090">
        <f>tblDailySchedule[[#This Row],[Capacity Approx]]*'[1]Load Factor Sheet June Acft  '!$B$5</f>
        <v>153.04704545454547</v>
      </c>
      <c r="S4090">
        <f>tblDailySchedule[[#This Row],[Capacity Approx]]*'[1]Load Factor Sheet June Acft  '!$D$5</f>
        <v>165.71863636363636</v>
      </c>
      <c r="T4090" s="22">
        <f>tblDailySchedule[[#This Row],[STD]]</f>
        <v>0.69097222222222221</v>
      </c>
    </row>
    <row r="4091" spans="1:20" hidden="1" x14ac:dyDescent="0.35">
      <c r="A4091" s="11">
        <v>46257</v>
      </c>
      <c r="B4091" s="3">
        <v>7</v>
      </c>
      <c r="C4091" t="s">
        <v>17</v>
      </c>
      <c r="D4091" t="s">
        <v>18</v>
      </c>
      <c r="E4091" s="3">
        <v>18</v>
      </c>
      <c r="F4091" t="s">
        <v>19</v>
      </c>
      <c r="G4091" t="s">
        <v>71</v>
      </c>
      <c r="H4091" t="s">
        <v>21</v>
      </c>
      <c r="I4091" s="12">
        <v>0.67013888888888884</v>
      </c>
      <c r="J4091" t="s">
        <v>72</v>
      </c>
      <c r="K4091" t="s">
        <v>21</v>
      </c>
      <c r="L4091" s="12">
        <v>0.69791666666666663</v>
      </c>
      <c r="M4091" t="s">
        <v>63</v>
      </c>
      <c r="N4091" s="3">
        <v>232</v>
      </c>
      <c r="O4091" t="s">
        <v>24</v>
      </c>
      <c r="P4091" t="s">
        <v>56</v>
      </c>
      <c r="R4091">
        <f>tblDailySchedule[[#This Row],[Capacity Approx]]*'[1]Load Factor Sheet June Acft  '!$B$5</f>
        <v>187.86727272727273</v>
      </c>
      <c r="S4091">
        <f>tblDailySchedule[[#This Row],[Capacity Approx]]*'[1]Load Factor Sheet June Acft  '!$D$5</f>
        <v>203.4218181818182</v>
      </c>
      <c r="T4091" s="22">
        <f>tblDailySchedule[[#This Row],[STD]]</f>
        <v>0.69791666666666663</v>
      </c>
    </row>
    <row r="4092" spans="1:20" hidden="1" x14ac:dyDescent="0.35">
      <c r="A4092" s="11">
        <v>46257</v>
      </c>
      <c r="B4092" s="3">
        <v>7</v>
      </c>
      <c r="C4092" t="s">
        <v>17</v>
      </c>
      <c r="D4092" t="s">
        <v>18</v>
      </c>
      <c r="E4092" s="3">
        <v>19</v>
      </c>
      <c r="F4092" t="s">
        <v>19</v>
      </c>
      <c r="G4092" t="s">
        <v>73</v>
      </c>
      <c r="H4092" t="s">
        <v>27</v>
      </c>
      <c r="I4092" s="12">
        <v>0.74652777777777779</v>
      </c>
      <c r="J4092" t="s">
        <v>74</v>
      </c>
      <c r="K4092" t="s">
        <v>27</v>
      </c>
      <c r="L4092" s="12">
        <v>0.77430555555555558</v>
      </c>
      <c r="M4092" t="s">
        <v>63</v>
      </c>
      <c r="N4092" s="3">
        <v>232</v>
      </c>
      <c r="O4092" t="s">
        <v>24</v>
      </c>
      <c r="P4092" t="s">
        <v>56</v>
      </c>
      <c r="R4092">
        <f>tblDailySchedule[[#This Row],[Capacity Approx]]*'[1]Load Factor Sheet June Acft  '!$B$5</f>
        <v>187.86727272727273</v>
      </c>
      <c r="S4092">
        <f>tblDailySchedule[[#This Row],[Capacity Approx]]*'[1]Load Factor Sheet June Acft  '!$D$5</f>
        <v>203.4218181818182</v>
      </c>
      <c r="T4092" s="22">
        <f>tblDailySchedule[[#This Row],[STD]]</f>
        <v>0.77430555555555558</v>
      </c>
    </row>
    <row r="4093" spans="1:20" hidden="1" x14ac:dyDescent="0.35">
      <c r="A4093" s="11">
        <v>46257</v>
      </c>
      <c r="B4093" s="3">
        <v>7</v>
      </c>
      <c r="C4093" t="s">
        <v>17</v>
      </c>
      <c r="D4093" t="s">
        <v>18</v>
      </c>
      <c r="E4093" s="3">
        <v>20</v>
      </c>
      <c r="F4093" t="s">
        <v>34</v>
      </c>
      <c r="G4093" t="s">
        <v>75</v>
      </c>
      <c r="H4093" t="s">
        <v>76</v>
      </c>
      <c r="I4093" s="12">
        <v>0.76388888888888884</v>
      </c>
      <c r="J4093" t="s">
        <v>77</v>
      </c>
      <c r="K4093" t="s">
        <v>78</v>
      </c>
      <c r="L4093" s="12">
        <v>0.78472222222222221</v>
      </c>
      <c r="M4093" t="s">
        <v>51</v>
      </c>
      <c r="N4093" s="3">
        <v>78</v>
      </c>
      <c r="O4093" t="s">
        <v>24</v>
      </c>
      <c r="P4093" t="s">
        <v>79</v>
      </c>
      <c r="Q4093" s="16" t="s">
        <v>80</v>
      </c>
      <c r="R4093">
        <f>tblDailySchedule[[#This Row],[Capacity Approx]]*'[1]Load Factor Sheet June Acft  '!$B$5</f>
        <v>63.162272727272729</v>
      </c>
      <c r="S4093">
        <f>tblDailySchedule[[#This Row],[Capacity Approx]]*'[1]Load Factor Sheet June Acft  '!$D$5</f>
        <v>68.391818181818181</v>
      </c>
      <c r="T4093" s="22">
        <f>tblDailySchedule[[#This Row],[STD]]</f>
        <v>0.78472222222222221</v>
      </c>
    </row>
    <row r="4094" spans="1:20" hidden="1" x14ac:dyDescent="0.35">
      <c r="A4094" s="11">
        <v>46257</v>
      </c>
      <c r="B4094" s="3">
        <v>7</v>
      </c>
      <c r="C4094" t="s">
        <v>17</v>
      </c>
      <c r="D4094" t="s">
        <v>18</v>
      </c>
      <c r="E4094" s="3">
        <v>21</v>
      </c>
      <c r="F4094" t="s">
        <v>19</v>
      </c>
      <c r="G4094" t="s">
        <v>81</v>
      </c>
      <c r="H4094" t="s">
        <v>61</v>
      </c>
      <c r="I4094" s="12">
        <v>0.77083333333333337</v>
      </c>
      <c r="J4094" t="s">
        <v>82</v>
      </c>
      <c r="K4094" t="s">
        <v>49</v>
      </c>
      <c r="L4094" s="12">
        <v>0.79166666666666663</v>
      </c>
      <c r="M4094" t="s">
        <v>33</v>
      </c>
      <c r="N4094" s="3">
        <v>189</v>
      </c>
      <c r="O4094" t="s">
        <v>24</v>
      </c>
      <c r="P4094" t="s">
        <v>79</v>
      </c>
      <c r="R4094">
        <f>tblDailySchedule[[#This Row],[Capacity Approx]]*'[1]Load Factor Sheet June Acft  '!$B$5</f>
        <v>153.04704545454547</v>
      </c>
      <c r="S4094">
        <f>tblDailySchedule[[#This Row],[Capacity Approx]]*'[1]Load Factor Sheet June Acft  '!$D$5</f>
        <v>165.71863636363636</v>
      </c>
      <c r="T4094" s="22">
        <f>tblDailySchedule[[#This Row],[STD]]</f>
        <v>0.79166666666666663</v>
      </c>
    </row>
    <row r="4095" spans="1:20" hidden="1" x14ac:dyDescent="0.35">
      <c r="A4095" s="11">
        <v>46257</v>
      </c>
      <c r="B4095" s="3">
        <v>7</v>
      </c>
      <c r="C4095" t="s">
        <v>17</v>
      </c>
      <c r="D4095" t="s">
        <v>18</v>
      </c>
      <c r="E4095" s="3">
        <v>22</v>
      </c>
      <c r="F4095" t="s">
        <v>19</v>
      </c>
      <c r="G4095" t="s">
        <v>83</v>
      </c>
      <c r="H4095" t="s">
        <v>31</v>
      </c>
      <c r="I4095" s="12">
        <v>0.77777777777777779</v>
      </c>
      <c r="J4095" t="s">
        <v>84</v>
      </c>
      <c r="K4095" t="s">
        <v>31</v>
      </c>
      <c r="L4095" s="12">
        <v>0.80555555555555558</v>
      </c>
      <c r="M4095" t="s">
        <v>63</v>
      </c>
      <c r="N4095" s="3">
        <v>232</v>
      </c>
      <c r="O4095" t="s">
        <v>24</v>
      </c>
      <c r="P4095" t="s">
        <v>79</v>
      </c>
      <c r="R4095">
        <f>tblDailySchedule[[#This Row],[Capacity Approx]]*'[1]Load Factor Sheet June Acft  '!$B$5</f>
        <v>187.86727272727273</v>
      </c>
      <c r="S4095">
        <f>tblDailySchedule[[#This Row],[Capacity Approx]]*'[1]Load Factor Sheet June Acft  '!$D$5</f>
        <v>203.4218181818182</v>
      </c>
      <c r="T4095" s="22">
        <f>tblDailySchedule[[#This Row],[STD]]</f>
        <v>0.80555555555555558</v>
      </c>
    </row>
    <row r="4096" spans="1:20" hidden="1" x14ac:dyDescent="0.35">
      <c r="A4096" s="11">
        <v>46257</v>
      </c>
      <c r="B4096" s="3">
        <v>7</v>
      </c>
      <c r="C4096" t="s">
        <v>17</v>
      </c>
      <c r="D4096" t="s">
        <v>18</v>
      </c>
      <c r="E4096" s="3">
        <v>23</v>
      </c>
      <c r="F4096" t="s">
        <v>19</v>
      </c>
      <c r="G4096" t="s">
        <v>85</v>
      </c>
      <c r="H4096" t="s">
        <v>86</v>
      </c>
      <c r="I4096" s="12">
        <v>0.79861111111111116</v>
      </c>
      <c r="J4096" t="s">
        <v>87</v>
      </c>
      <c r="K4096" t="s">
        <v>86</v>
      </c>
      <c r="L4096" s="12">
        <v>0.82638888888888884</v>
      </c>
      <c r="M4096" t="s">
        <v>63</v>
      </c>
      <c r="N4096" s="3">
        <v>232</v>
      </c>
      <c r="O4096" t="s">
        <v>24</v>
      </c>
      <c r="P4096" t="s">
        <v>79</v>
      </c>
      <c r="R4096">
        <f>tblDailySchedule[[#This Row],[Capacity Approx]]*'[1]Load Factor Sheet June Acft  '!$B$5</f>
        <v>187.86727272727273</v>
      </c>
      <c r="S4096">
        <f>tblDailySchedule[[#This Row],[Capacity Approx]]*'[1]Load Factor Sheet June Acft  '!$D$5</f>
        <v>203.4218181818182</v>
      </c>
      <c r="T4096" s="22">
        <f>tblDailySchedule[[#This Row],[STD]]</f>
        <v>0.82638888888888884</v>
      </c>
    </row>
    <row r="4097" spans="1:20" hidden="1" x14ac:dyDescent="0.35">
      <c r="A4097" s="11">
        <v>46257</v>
      </c>
      <c r="B4097" s="3">
        <v>7</v>
      </c>
      <c r="C4097" t="s">
        <v>17</v>
      </c>
      <c r="D4097" t="s">
        <v>18</v>
      </c>
      <c r="E4097" s="3">
        <v>24</v>
      </c>
      <c r="F4097" t="s">
        <v>19</v>
      </c>
      <c r="G4097" t="s">
        <v>88</v>
      </c>
      <c r="H4097" t="s">
        <v>89</v>
      </c>
      <c r="I4097" s="12">
        <v>0.83333333333333337</v>
      </c>
      <c r="J4097" t="s">
        <v>90</v>
      </c>
      <c r="K4097" t="s">
        <v>31</v>
      </c>
      <c r="L4097" s="12">
        <v>0.86111111111111116</v>
      </c>
      <c r="M4097" t="s">
        <v>63</v>
      </c>
      <c r="N4097" s="3">
        <v>232</v>
      </c>
      <c r="O4097" t="s">
        <v>24</v>
      </c>
      <c r="P4097" t="s">
        <v>79</v>
      </c>
      <c r="R4097">
        <f>tblDailySchedule[[#This Row],[Capacity Approx]]*'[1]Load Factor Sheet June Acft  '!$B$5</f>
        <v>187.86727272727273</v>
      </c>
      <c r="S4097">
        <f>tblDailySchedule[[#This Row],[Capacity Approx]]*'[1]Load Factor Sheet June Acft  '!$D$5</f>
        <v>203.4218181818182</v>
      </c>
      <c r="T4097" s="22">
        <f>tblDailySchedule[[#This Row],[STD]]</f>
        <v>0.86111111111111116</v>
      </c>
    </row>
    <row r="4098" spans="1:20" hidden="1" x14ac:dyDescent="0.35">
      <c r="A4098" s="11">
        <v>46257</v>
      </c>
      <c r="B4098" s="3">
        <v>7</v>
      </c>
      <c r="C4098" t="s">
        <v>17</v>
      </c>
      <c r="D4098" t="s">
        <v>18</v>
      </c>
      <c r="E4098" s="3">
        <v>25</v>
      </c>
      <c r="F4098" t="s">
        <v>19</v>
      </c>
      <c r="G4098" t="s">
        <v>91</v>
      </c>
      <c r="H4098" t="s">
        <v>61</v>
      </c>
      <c r="I4098" s="12">
        <v>0.85416666666666663</v>
      </c>
      <c r="J4098" t="s">
        <v>92</v>
      </c>
      <c r="K4098" t="s">
        <v>61</v>
      </c>
      <c r="L4098" s="12">
        <v>0.88194444444444442</v>
      </c>
      <c r="M4098" t="s">
        <v>63</v>
      </c>
      <c r="N4098" s="3">
        <v>232</v>
      </c>
      <c r="O4098" t="s">
        <v>24</v>
      </c>
      <c r="P4098" t="s">
        <v>79</v>
      </c>
      <c r="R4098">
        <f>tblDailySchedule[[#This Row],[Capacity Approx]]*'[1]Load Factor Sheet June Acft  '!$B$5</f>
        <v>187.86727272727273</v>
      </c>
      <c r="S4098">
        <f>tblDailySchedule[[#This Row],[Capacity Approx]]*'[1]Load Factor Sheet June Acft  '!$D$5</f>
        <v>203.4218181818182</v>
      </c>
      <c r="T4098" s="22">
        <f>tblDailySchedule[[#This Row],[STD]]</f>
        <v>0.88194444444444442</v>
      </c>
    </row>
    <row r="4099" spans="1:20" hidden="1" x14ac:dyDescent="0.35">
      <c r="A4099" s="11">
        <v>46257</v>
      </c>
      <c r="B4099" s="3">
        <v>7</v>
      </c>
      <c r="C4099" t="s">
        <v>17</v>
      </c>
      <c r="D4099" t="s">
        <v>18</v>
      </c>
      <c r="E4099" s="3">
        <v>26</v>
      </c>
      <c r="F4099" t="s">
        <v>19</v>
      </c>
      <c r="G4099" t="s">
        <v>93</v>
      </c>
      <c r="H4099" t="s">
        <v>31</v>
      </c>
      <c r="I4099" s="12">
        <v>0.86111111111111116</v>
      </c>
      <c r="J4099" t="s">
        <v>94</v>
      </c>
      <c r="K4099" t="s">
        <v>31</v>
      </c>
      <c r="L4099" s="12">
        <v>0.88888888888888884</v>
      </c>
      <c r="M4099" t="s">
        <v>23</v>
      </c>
      <c r="N4099" s="3">
        <v>186</v>
      </c>
      <c r="O4099" t="s">
        <v>24</v>
      </c>
      <c r="P4099" t="s">
        <v>79</v>
      </c>
      <c r="R4099">
        <f>tblDailySchedule[[#This Row],[Capacity Approx]]*'[1]Load Factor Sheet June Acft  '!$B$5</f>
        <v>150.61772727272728</v>
      </c>
      <c r="S4099">
        <f>tblDailySchedule[[#This Row],[Capacity Approx]]*'[1]Load Factor Sheet June Acft  '!$D$5</f>
        <v>163.08818181818182</v>
      </c>
      <c r="T4099" s="22">
        <f>tblDailySchedule[[#This Row],[STD]]</f>
        <v>0.88888888888888884</v>
      </c>
    </row>
    <row r="4100" spans="1:20" hidden="1" x14ac:dyDescent="0.35">
      <c r="A4100" s="11">
        <v>46257</v>
      </c>
      <c r="B4100" s="3">
        <v>7</v>
      </c>
      <c r="C4100" t="s">
        <v>17</v>
      </c>
      <c r="D4100" t="s">
        <v>18</v>
      </c>
      <c r="E4100" s="3">
        <v>27</v>
      </c>
      <c r="F4100" t="s">
        <v>19</v>
      </c>
      <c r="G4100" t="s">
        <v>95</v>
      </c>
      <c r="H4100" t="s">
        <v>21</v>
      </c>
      <c r="I4100" s="12">
        <v>0.86805555555555558</v>
      </c>
      <c r="J4100" t="s">
        <v>96</v>
      </c>
      <c r="K4100" t="s">
        <v>21</v>
      </c>
      <c r="L4100" s="12">
        <v>0.89583333333333337</v>
      </c>
      <c r="M4100" t="s">
        <v>29</v>
      </c>
      <c r="N4100" s="3">
        <v>186</v>
      </c>
      <c r="O4100" t="s">
        <v>24</v>
      </c>
      <c r="P4100" t="s">
        <v>79</v>
      </c>
      <c r="R4100">
        <f>tblDailySchedule[[#This Row],[Capacity Approx]]*'[1]Load Factor Sheet June Acft  '!$B$5</f>
        <v>150.61772727272728</v>
      </c>
      <c r="S4100">
        <f>tblDailySchedule[[#This Row],[Capacity Approx]]*'[1]Load Factor Sheet June Acft  '!$D$5</f>
        <v>163.08818181818182</v>
      </c>
      <c r="T4100" s="22">
        <f>tblDailySchedule[[#This Row],[STD]]</f>
        <v>0.89583333333333337</v>
      </c>
    </row>
    <row r="4101" spans="1:20" hidden="1" x14ac:dyDescent="0.35">
      <c r="A4101" s="11">
        <v>46257</v>
      </c>
      <c r="B4101" s="3">
        <v>7</v>
      </c>
      <c r="C4101" t="s">
        <v>17</v>
      </c>
      <c r="D4101" t="s">
        <v>18</v>
      </c>
      <c r="E4101" s="3">
        <v>28</v>
      </c>
      <c r="F4101" t="s">
        <v>19</v>
      </c>
      <c r="G4101" t="s">
        <v>97</v>
      </c>
      <c r="H4101" t="s">
        <v>49</v>
      </c>
      <c r="I4101" s="12">
        <v>0.90277777777777779</v>
      </c>
      <c r="J4101" t="s">
        <v>97</v>
      </c>
      <c r="K4101" t="s">
        <v>61</v>
      </c>
      <c r="L4101" s="12">
        <v>0.92361111111111116</v>
      </c>
      <c r="M4101" t="s">
        <v>33</v>
      </c>
      <c r="N4101" s="3">
        <v>189</v>
      </c>
      <c r="O4101" t="s">
        <v>24</v>
      </c>
      <c r="P4101" t="s">
        <v>79</v>
      </c>
      <c r="R4101">
        <f>tblDailySchedule[[#This Row],[Capacity Approx]]*'[1]Load Factor Sheet June Acft  '!$B$5</f>
        <v>153.04704545454547</v>
      </c>
      <c r="S4101">
        <f>tblDailySchedule[[#This Row],[Capacity Approx]]*'[1]Load Factor Sheet June Acft  '!$D$5</f>
        <v>165.71863636363636</v>
      </c>
      <c r="T4101" s="22">
        <f>tblDailySchedule[[#This Row],[STD]]</f>
        <v>0.92361111111111116</v>
      </c>
    </row>
    <row r="4102" spans="1:20" hidden="1" x14ac:dyDescent="0.35">
      <c r="A4102" s="11">
        <v>46257</v>
      </c>
      <c r="B4102" s="3">
        <v>7</v>
      </c>
      <c r="C4102" t="s">
        <v>17</v>
      </c>
      <c r="D4102" t="s">
        <v>18</v>
      </c>
      <c r="E4102" s="3">
        <v>29</v>
      </c>
      <c r="F4102" t="s">
        <v>19</v>
      </c>
      <c r="G4102" t="s">
        <v>98</v>
      </c>
      <c r="H4102" t="s">
        <v>21</v>
      </c>
      <c r="I4102" s="12">
        <v>0.92013888888888884</v>
      </c>
      <c r="J4102" t="s">
        <v>99</v>
      </c>
      <c r="K4102" t="s">
        <v>21</v>
      </c>
      <c r="L4102" s="12">
        <v>0.94791666666666663</v>
      </c>
      <c r="M4102" t="s">
        <v>63</v>
      </c>
      <c r="N4102" s="3">
        <v>232</v>
      </c>
      <c r="O4102" t="s">
        <v>24</v>
      </c>
      <c r="P4102" t="s">
        <v>79</v>
      </c>
      <c r="R4102">
        <f>tblDailySchedule[[#This Row],[Capacity Approx]]*'[1]Load Factor Sheet June Acft  '!$B$5</f>
        <v>187.86727272727273</v>
      </c>
      <c r="S4102">
        <f>tblDailySchedule[[#This Row],[Capacity Approx]]*'[1]Load Factor Sheet June Acft  '!$D$5</f>
        <v>203.4218181818182</v>
      </c>
      <c r="T4102" s="22">
        <f>tblDailySchedule[[#This Row],[STD]]</f>
        <v>0.94791666666666663</v>
      </c>
    </row>
    <row r="4103" spans="1:20" hidden="1" x14ac:dyDescent="0.35">
      <c r="A4103" s="11">
        <v>46258</v>
      </c>
      <c r="B4103" s="3">
        <v>1</v>
      </c>
      <c r="C4103" t="s">
        <v>100</v>
      </c>
      <c r="D4103" t="s">
        <v>18</v>
      </c>
      <c r="E4103" s="3">
        <v>1</v>
      </c>
      <c r="F4103" t="s">
        <v>101</v>
      </c>
      <c r="G4103" t="s">
        <v>102</v>
      </c>
      <c r="H4103" t="s">
        <v>61</v>
      </c>
      <c r="I4103" s="12">
        <v>0.3125</v>
      </c>
      <c r="J4103" t="s">
        <v>103</v>
      </c>
      <c r="K4103" t="s">
        <v>61</v>
      </c>
      <c r="L4103" s="12">
        <v>0.33333333333333331</v>
      </c>
      <c r="M4103" t="s">
        <v>33</v>
      </c>
      <c r="N4103" s="3">
        <v>189</v>
      </c>
      <c r="O4103" t="s">
        <v>24</v>
      </c>
      <c r="P4103" t="s">
        <v>25</v>
      </c>
      <c r="R4103">
        <f>tblDailySchedule[[#This Row],[Capacity Approx]]*'[1]Load Factor Sheet June Acft  '!$B$5</f>
        <v>153.04704545454547</v>
      </c>
      <c r="S4103">
        <f>tblDailySchedule[[#This Row],[Capacity Approx]]*'[1]Load Factor Sheet June Acft  '!$D$5</f>
        <v>165.71863636363636</v>
      </c>
      <c r="T4103" s="22">
        <f>tblDailySchedule[[#This Row],[STD]]</f>
        <v>0.33333333333333331</v>
      </c>
    </row>
    <row r="4104" spans="1:20" hidden="1" x14ac:dyDescent="0.35">
      <c r="A4104" s="11">
        <v>46258</v>
      </c>
      <c r="B4104" s="3">
        <v>1</v>
      </c>
      <c r="C4104" t="s">
        <v>100</v>
      </c>
      <c r="D4104" t="s">
        <v>18</v>
      </c>
      <c r="E4104" s="3">
        <v>2</v>
      </c>
      <c r="F4104" t="s">
        <v>19</v>
      </c>
      <c r="G4104" t="s">
        <v>20</v>
      </c>
      <c r="H4104" t="s">
        <v>21</v>
      </c>
      <c r="I4104" s="12">
        <v>0.31944444444444442</v>
      </c>
      <c r="J4104" t="s">
        <v>22</v>
      </c>
      <c r="K4104" t="s">
        <v>21</v>
      </c>
      <c r="L4104" s="12">
        <v>0.34722222222222221</v>
      </c>
      <c r="M4104" t="s">
        <v>23</v>
      </c>
      <c r="N4104" s="3">
        <v>186</v>
      </c>
      <c r="O4104" t="s">
        <v>24</v>
      </c>
      <c r="P4104" t="s">
        <v>25</v>
      </c>
      <c r="R4104">
        <f>tblDailySchedule[[#This Row],[Capacity Approx]]*'[1]Load Factor Sheet June Acft  '!$B$5</f>
        <v>150.61772727272728</v>
      </c>
      <c r="S4104">
        <f>tblDailySchedule[[#This Row],[Capacity Approx]]*'[1]Load Factor Sheet June Acft  '!$D$5</f>
        <v>163.08818181818182</v>
      </c>
      <c r="T4104" s="22">
        <f>tblDailySchedule[[#This Row],[STD]]</f>
        <v>0.34722222222222221</v>
      </c>
    </row>
    <row r="4105" spans="1:20" hidden="1" x14ac:dyDescent="0.35">
      <c r="A4105" s="11">
        <v>46258</v>
      </c>
      <c r="B4105" s="3">
        <v>1</v>
      </c>
      <c r="C4105" t="s">
        <v>100</v>
      </c>
      <c r="D4105" t="s">
        <v>18</v>
      </c>
      <c r="E4105" s="3">
        <v>3</v>
      </c>
      <c r="F4105" t="s">
        <v>19</v>
      </c>
      <c r="G4105" t="s">
        <v>26</v>
      </c>
      <c r="H4105" t="s">
        <v>27</v>
      </c>
      <c r="I4105" s="12">
        <v>0.3263888888888889</v>
      </c>
      <c r="J4105" t="s">
        <v>28</v>
      </c>
      <c r="K4105" t="s">
        <v>27</v>
      </c>
      <c r="L4105" s="12">
        <v>0.35416666666666669</v>
      </c>
      <c r="M4105" t="s">
        <v>29</v>
      </c>
      <c r="N4105" s="3">
        <v>186</v>
      </c>
      <c r="O4105" t="s">
        <v>24</v>
      </c>
      <c r="P4105" t="s">
        <v>25</v>
      </c>
      <c r="R4105">
        <f>tblDailySchedule[[#This Row],[Capacity Approx]]*'[1]Load Factor Sheet June Acft  '!$B$5</f>
        <v>150.61772727272728</v>
      </c>
      <c r="S4105">
        <f>tblDailySchedule[[#This Row],[Capacity Approx]]*'[1]Load Factor Sheet June Acft  '!$D$5</f>
        <v>163.08818181818182</v>
      </c>
      <c r="T4105" s="22">
        <f>tblDailySchedule[[#This Row],[STD]]</f>
        <v>0.35416666666666669</v>
      </c>
    </row>
    <row r="4106" spans="1:20" hidden="1" x14ac:dyDescent="0.35">
      <c r="A4106" s="11">
        <v>46258</v>
      </c>
      <c r="B4106" s="3">
        <v>1</v>
      </c>
      <c r="C4106" t="s">
        <v>100</v>
      </c>
      <c r="D4106" t="s">
        <v>18</v>
      </c>
      <c r="E4106" s="3">
        <v>4</v>
      </c>
      <c r="F4106" t="s">
        <v>19</v>
      </c>
      <c r="G4106" t="s">
        <v>30</v>
      </c>
      <c r="H4106" t="s">
        <v>31</v>
      </c>
      <c r="I4106" s="12">
        <v>0.34722222222222221</v>
      </c>
      <c r="J4106" t="s">
        <v>32</v>
      </c>
      <c r="K4106" t="s">
        <v>31</v>
      </c>
      <c r="L4106" s="12">
        <v>0.36805555555555558</v>
      </c>
      <c r="M4106" t="s">
        <v>33</v>
      </c>
      <c r="N4106" s="3">
        <v>189</v>
      </c>
      <c r="O4106" t="s">
        <v>24</v>
      </c>
      <c r="P4106" t="s">
        <v>25</v>
      </c>
      <c r="R4106">
        <f>tblDailySchedule[[#This Row],[Capacity Approx]]*'[1]Load Factor Sheet June Acft  '!$B$5</f>
        <v>153.04704545454547</v>
      </c>
      <c r="S4106">
        <f>tblDailySchedule[[#This Row],[Capacity Approx]]*'[1]Load Factor Sheet June Acft  '!$D$5</f>
        <v>165.71863636363636</v>
      </c>
      <c r="T4106" s="22">
        <f>tblDailySchedule[[#This Row],[STD]]</f>
        <v>0.36805555555555558</v>
      </c>
    </row>
    <row r="4107" spans="1:20" hidden="1" x14ac:dyDescent="0.35">
      <c r="A4107" s="13">
        <v>46258</v>
      </c>
      <c r="B4107" s="7">
        <v>1</v>
      </c>
      <c r="C4107" s="14" t="s">
        <v>100</v>
      </c>
      <c r="D4107" s="14" t="s">
        <v>18</v>
      </c>
      <c r="E4107" s="7">
        <v>6</v>
      </c>
      <c r="F4107" s="14" t="s">
        <v>34</v>
      </c>
      <c r="G4107" s="14" t="s">
        <v>35</v>
      </c>
      <c r="H4107" s="14" t="s">
        <v>36</v>
      </c>
      <c r="I4107" s="15">
        <v>0.34722222222222221</v>
      </c>
      <c r="J4107" s="14" t="s">
        <v>37</v>
      </c>
      <c r="K4107" s="14" t="s">
        <v>36</v>
      </c>
      <c r="L4107" s="15">
        <v>0.40972222222222221</v>
      </c>
      <c r="M4107" s="14" t="s">
        <v>38</v>
      </c>
      <c r="N4107" s="7">
        <v>186</v>
      </c>
      <c r="O4107" s="14" t="s">
        <v>39</v>
      </c>
      <c r="P4107" s="14" t="s">
        <v>25</v>
      </c>
      <c r="Q4107" s="14" t="s">
        <v>39</v>
      </c>
      <c r="R4107">
        <f>tblDailySchedule[[#This Row],[Capacity Approx]]*'[1]Load Factor Sheet June Acft  '!$B$5</f>
        <v>150.61772727272728</v>
      </c>
      <c r="S4107">
        <f>tblDailySchedule[[#This Row],[Capacity Approx]]*'[1]Load Factor Sheet June Acft  '!$D$5</f>
        <v>163.08818181818182</v>
      </c>
      <c r="T4107" s="22">
        <f>tblDailySchedule[[#This Row],[STD]]</f>
        <v>0.40972222222222221</v>
      </c>
    </row>
    <row r="4108" spans="1:20" hidden="1" x14ac:dyDescent="0.35">
      <c r="A4108" s="11">
        <v>46258</v>
      </c>
      <c r="B4108" s="3">
        <v>1</v>
      </c>
      <c r="C4108" t="s">
        <v>100</v>
      </c>
      <c r="D4108" t="s">
        <v>18</v>
      </c>
      <c r="E4108" s="3">
        <v>5</v>
      </c>
      <c r="F4108" t="s">
        <v>19</v>
      </c>
      <c r="G4108" t="s">
        <v>40</v>
      </c>
      <c r="H4108" t="s">
        <v>31</v>
      </c>
      <c r="I4108" s="12">
        <v>0.35069444444444442</v>
      </c>
      <c r="J4108" t="s">
        <v>41</v>
      </c>
      <c r="K4108" t="s">
        <v>31</v>
      </c>
      <c r="L4108" s="12">
        <v>0.37152777777777779</v>
      </c>
      <c r="M4108" t="s">
        <v>23</v>
      </c>
      <c r="N4108" s="3">
        <v>186</v>
      </c>
      <c r="O4108" t="s">
        <v>24</v>
      </c>
      <c r="P4108" t="s">
        <v>25</v>
      </c>
      <c r="R4108">
        <f>tblDailySchedule[[#This Row],[Capacity Approx]]*'[1]Load Factor Sheet June Acft  '!$B$5</f>
        <v>150.61772727272728</v>
      </c>
      <c r="S4108">
        <f>tblDailySchedule[[#This Row],[Capacity Approx]]*'[1]Load Factor Sheet June Acft  '!$D$5</f>
        <v>163.08818181818182</v>
      </c>
      <c r="T4108" s="22">
        <f>tblDailySchedule[[#This Row],[STD]]</f>
        <v>0.37152777777777779</v>
      </c>
    </row>
    <row r="4109" spans="1:20" hidden="1" x14ac:dyDescent="0.35">
      <c r="A4109" s="11">
        <v>46258</v>
      </c>
      <c r="B4109" s="3">
        <v>1</v>
      </c>
      <c r="C4109" t="s">
        <v>100</v>
      </c>
      <c r="D4109" t="s">
        <v>18</v>
      </c>
      <c r="E4109" s="3">
        <v>7</v>
      </c>
      <c r="F4109" t="s">
        <v>19</v>
      </c>
      <c r="G4109" t="s">
        <v>42</v>
      </c>
      <c r="H4109" t="s">
        <v>43</v>
      </c>
      <c r="I4109" s="12">
        <v>0.3923611111111111</v>
      </c>
      <c r="J4109" t="s">
        <v>44</v>
      </c>
      <c r="K4109" t="s">
        <v>43</v>
      </c>
      <c r="L4109" s="12">
        <v>0.40277777777777779</v>
      </c>
      <c r="M4109" t="s">
        <v>45</v>
      </c>
      <c r="N4109" s="3">
        <v>9</v>
      </c>
      <c r="O4109" t="s">
        <v>24</v>
      </c>
      <c r="P4109" t="s">
        <v>25</v>
      </c>
      <c r="R4109">
        <f>tblDailySchedule[[#This Row],[Capacity Approx]]*'[1]Load Factor Sheet June Acft  '!$B$5</f>
        <v>7.2879545454545456</v>
      </c>
      <c r="S4109">
        <f>tblDailySchedule[[#This Row],[Capacity Approx]]*'[1]Load Factor Sheet June Acft  '!$D$5</f>
        <v>7.8913636363636366</v>
      </c>
      <c r="T4109" s="22">
        <f>tblDailySchedule[[#This Row],[STD]]</f>
        <v>0.40277777777777779</v>
      </c>
    </row>
    <row r="4110" spans="1:20" hidden="1" x14ac:dyDescent="0.35">
      <c r="A4110" s="11">
        <v>46258</v>
      </c>
      <c r="B4110" s="3">
        <v>1</v>
      </c>
      <c r="C4110" t="s">
        <v>100</v>
      </c>
      <c r="D4110" t="s">
        <v>18</v>
      </c>
      <c r="E4110" s="3">
        <v>8</v>
      </c>
      <c r="F4110" t="s">
        <v>19</v>
      </c>
      <c r="G4110" t="s">
        <v>46</v>
      </c>
      <c r="H4110" t="s">
        <v>31</v>
      </c>
      <c r="I4110" s="12">
        <v>0.4201388888888889</v>
      </c>
      <c r="J4110" t="s">
        <v>47</v>
      </c>
      <c r="K4110" t="s">
        <v>31</v>
      </c>
      <c r="L4110" s="12">
        <v>0.44444444444444442</v>
      </c>
      <c r="M4110" t="s">
        <v>29</v>
      </c>
      <c r="N4110" s="3">
        <v>186</v>
      </c>
      <c r="O4110" t="s">
        <v>24</v>
      </c>
      <c r="P4110" t="s">
        <v>25</v>
      </c>
      <c r="R4110">
        <f>tblDailySchedule[[#This Row],[Capacity Approx]]*'[1]Load Factor Sheet June Acft  '!$B$5</f>
        <v>150.61772727272728</v>
      </c>
      <c r="S4110">
        <f>tblDailySchedule[[#This Row],[Capacity Approx]]*'[1]Load Factor Sheet June Acft  '!$D$5</f>
        <v>163.08818181818182</v>
      </c>
      <c r="T4110" s="22">
        <f>tblDailySchedule[[#This Row],[STD]]</f>
        <v>0.44444444444444442</v>
      </c>
    </row>
    <row r="4111" spans="1:20" hidden="1" x14ac:dyDescent="0.35">
      <c r="A4111" s="11">
        <v>46258</v>
      </c>
      <c r="B4111" s="3">
        <v>1</v>
      </c>
      <c r="C4111" t="s">
        <v>100</v>
      </c>
      <c r="D4111" t="s">
        <v>18</v>
      </c>
      <c r="E4111" s="3">
        <v>9</v>
      </c>
      <c r="F4111" t="s">
        <v>19</v>
      </c>
      <c r="G4111" t="s">
        <v>48</v>
      </c>
      <c r="H4111" t="s">
        <v>49</v>
      </c>
      <c r="I4111" s="12">
        <v>0.4375</v>
      </c>
      <c r="J4111" t="s">
        <v>50</v>
      </c>
      <c r="K4111" t="s">
        <v>49</v>
      </c>
      <c r="L4111" s="12">
        <v>0.45833333333333331</v>
      </c>
      <c r="M4111" t="s">
        <v>51</v>
      </c>
      <c r="N4111" s="3">
        <v>78</v>
      </c>
      <c r="O4111" t="s">
        <v>24</v>
      </c>
      <c r="P4111" t="s">
        <v>25</v>
      </c>
      <c r="R4111">
        <f>tblDailySchedule[[#This Row],[Capacity Approx]]*'[1]Load Factor Sheet June Acft  '!$B$5</f>
        <v>63.162272727272729</v>
      </c>
      <c r="S4111">
        <f>tblDailySchedule[[#This Row],[Capacity Approx]]*'[1]Load Factor Sheet June Acft  '!$D$5</f>
        <v>68.391818181818181</v>
      </c>
      <c r="T4111" s="22">
        <f>tblDailySchedule[[#This Row],[STD]]</f>
        <v>0.45833333333333331</v>
      </c>
    </row>
    <row r="4112" spans="1:20" hidden="1" x14ac:dyDescent="0.35">
      <c r="A4112" s="11">
        <v>46258</v>
      </c>
      <c r="B4112" s="3">
        <v>1</v>
      </c>
      <c r="C4112" t="s">
        <v>100</v>
      </c>
      <c r="D4112" t="s">
        <v>18</v>
      </c>
      <c r="E4112" s="3">
        <v>10</v>
      </c>
      <c r="F4112" t="s">
        <v>19</v>
      </c>
      <c r="G4112" t="s">
        <v>52</v>
      </c>
      <c r="H4112" t="s">
        <v>27</v>
      </c>
      <c r="I4112" s="12">
        <v>0.4826388888888889</v>
      </c>
      <c r="J4112" t="s">
        <v>53</v>
      </c>
      <c r="K4112" t="s">
        <v>27</v>
      </c>
      <c r="L4112" s="12">
        <v>0.51041666666666663</v>
      </c>
      <c r="M4112" t="s">
        <v>23</v>
      </c>
      <c r="N4112" s="3">
        <v>186</v>
      </c>
      <c r="O4112" t="s">
        <v>24</v>
      </c>
      <c r="P4112" t="s">
        <v>25</v>
      </c>
      <c r="R4112">
        <f>tblDailySchedule[[#This Row],[Capacity Approx]]*'[1]Load Factor Sheet June Acft  '!$B$5</f>
        <v>150.61772727272728</v>
      </c>
      <c r="S4112">
        <f>tblDailySchedule[[#This Row],[Capacity Approx]]*'[1]Load Factor Sheet June Acft  '!$D$5</f>
        <v>163.08818181818182</v>
      </c>
      <c r="T4112" s="22">
        <f>tblDailySchedule[[#This Row],[STD]]</f>
        <v>0.51041666666666663</v>
      </c>
    </row>
    <row r="4113" spans="1:20" hidden="1" x14ac:dyDescent="0.35">
      <c r="A4113" s="11">
        <v>46258</v>
      </c>
      <c r="B4113" s="3">
        <v>1</v>
      </c>
      <c r="C4113" t="s">
        <v>100</v>
      </c>
      <c r="D4113" t="s">
        <v>18</v>
      </c>
      <c r="E4113" s="3">
        <v>11</v>
      </c>
      <c r="F4113" t="s">
        <v>19</v>
      </c>
      <c r="G4113" t="s">
        <v>54</v>
      </c>
      <c r="H4113" t="s">
        <v>31</v>
      </c>
      <c r="I4113" s="12">
        <v>0.51388888888888884</v>
      </c>
      <c r="J4113" t="s">
        <v>55</v>
      </c>
      <c r="K4113" t="s">
        <v>31</v>
      </c>
      <c r="L4113" s="12">
        <v>0.54166666666666663</v>
      </c>
      <c r="M4113" t="s">
        <v>23</v>
      </c>
      <c r="N4113" s="3">
        <v>186</v>
      </c>
      <c r="O4113" t="s">
        <v>24</v>
      </c>
      <c r="P4113" t="s">
        <v>56</v>
      </c>
      <c r="R4113">
        <f>tblDailySchedule[[#This Row],[Capacity Approx]]*'[1]Load Factor Sheet June Acft  '!$B$5</f>
        <v>150.61772727272728</v>
      </c>
      <c r="S4113">
        <f>tblDailySchedule[[#This Row],[Capacity Approx]]*'[1]Load Factor Sheet June Acft  '!$D$5</f>
        <v>163.08818181818182</v>
      </c>
      <c r="T4113" s="22">
        <f>tblDailySchedule[[#This Row],[STD]]</f>
        <v>0.54166666666666663</v>
      </c>
    </row>
    <row r="4114" spans="1:20" hidden="1" x14ac:dyDescent="0.35">
      <c r="A4114" s="11">
        <v>46258</v>
      </c>
      <c r="B4114" s="3">
        <v>1</v>
      </c>
      <c r="C4114" t="s">
        <v>100</v>
      </c>
      <c r="D4114" t="s">
        <v>18</v>
      </c>
      <c r="E4114" s="3">
        <v>13</v>
      </c>
      <c r="F4114" t="s">
        <v>19</v>
      </c>
      <c r="G4114" t="s">
        <v>57</v>
      </c>
      <c r="H4114" t="s">
        <v>58</v>
      </c>
      <c r="I4114" s="12">
        <v>0.55902777777777779</v>
      </c>
      <c r="J4114" t="s">
        <v>59</v>
      </c>
      <c r="K4114" t="s">
        <v>58</v>
      </c>
      <c r="L4114" s="12">
        <v>0.57638888888888884</v>
      </c>
      <c r="M4114" t="s">
        <v>51</v>
      </c>
      <c r="N4114" s="3">
        <v>78</v>
      </c>
      <c r="O4114" t="s">
        <v>24</v>
      </c>
      <c r="P4114" t="s">
        <v>56</v>
      </c>
      <c r="R4114">
        <f>tblDailySchedule[[#This Row],[Capacity Approx]]*'[1]Load Factor Sheet June Acft  '!$B$5</f>
        <v>63.162272727272729</v>
      </c>
      <c r="S4114">
        <f>tblDailySchedule[[#This Row],[Capacity Approx]]*'[1]Load Factor Sheet June Acft  '!$D$5</f>
        <v>68.391818181818181</v>
      </c>
      <c r="T4114" s="22">
        <f>tblDailySchedule[[#This Row],[STD]]</f>
        <v>0.57638888888888884</v>
      </c>
    </row>
    <row r="4115" spans="1:20" hidden="1" x14ac:dyDescent="0.35">
      <c r="A4115" s="11">
        <v>46258</v>
      </c>
      <c r="B4115" s="3">
        <v>1</v>
      </c>
      <c r="C4115" t="s">
        <v>100</v>
      </c>
      <c r="D4115" t="s">
        <v>18</v>
      </c>
      <c r="E4115" s="3">
        <v>14</v>
      </c>
      <c r="F4115" t="s">
        <v>19</v>
      </c>
      <c r="G4115" t="s">
        <v>60</v>
      </c>
      <c r="H4115" t="s">
        <v>61</v>
      </c>
      <c r="I4115" s="12">
        <v>0.59027777777777779</v>
      </c>
      <c r="J4115" t="s">
        <v>62</v>
      </c>
      <c r="K4115" t="s">
        <v>61</v>
      </c>
      <c r="L4115" s="12">
        <v>0.62152777777777779</v>
      </c>
      <c r="M4115" t="s">
        <v>63</v>
      </c>
      <c r="N4115" s="3">
        <v>232</v>
      </c>
      <c r="O4115" t="s">
        <v>24</v>
      </c>
      <c r="P4115" t="s">
        <v>56</v>
      </c>
      <c r="R4115">
        <f>tblDailySchedule[[#This Row],[Capacity Approx]]*'[1]Load Factor Sheet June Acft  '!$B$5</f>
        <v>187.86727272727273</v>
      </c>
      <c r="S4115">
        <f>tblDailySchedule[[#This Row],[Capacity Approx]]*'[1]Load Factor Sheet June Acft  '!$D$5</f>
        <v>203.4218181818182</v>
      </c>
      <c r="T4115" s="22">
        <f>tblDailySchedule[[#This Row],[STD]]</f>
        <v>0.62152777777777779</v>
      </c>
    </row>
    <row r="4116" spans="1:20" hidden="1" x14ac:dyDescent="0.35">
      <c r="A4116" s="11">
        <v>46258</v>
      </c>
      <c r="B4116" s="3">
        <v>1</v>
      </c>
      <c r="C4116" t="s">
        <v>100</v>
      </c>
      <c r="D4116" t="s">
        <v>18</v>
      </c>
      <c r="E4116" s="3">
        <v>15</v>
      </c>
      <c r="F4116" t="s">
        <v>19</v>
      </c>
      <c r="G4116" t="s">
        <v>64</v>
      </c>
      <c r="H4116" t="s">
        <v>31</v>
      </c>
      <c r="I4116" s="12">
        <v>0.60069444444444442</v>
      </c>
      <c r="J4116" t="s">
        <v>65</v>
      </c>
      <c r="K4116" t="s">
        <v>66</v>
      </c>
      <c r="L4116" s="12">
        <v>0.62847222222222221</v>
      </c>
      <c r="M4116" t="s">
        <v>63</v>
      </c>
      <c r="N4116" s="3">
        <v>232</v>
      </c>
      <c r="O4116" t="s">
        <v>24</v>
      </c>
      <c r="P4116" t="s">
        <v>56</v>
      </c>
      <c r="R4116">
        <f>tblDailySchedule[[#This Row],[Capacity Approx]]*'[1]Load Factor Sheet June Acft  '!$B$5</f>
        <v>187.86727272727273</v>
      </c>
      <c r="S4116">
        <f>tblDailySchedule[[#This Row],[Capacity Approx]]*'[1]Load Factor Sheet June Acft  '!$D$5</f>
        <v>203.4218181818182</v>
      </c>
      <c r="T4116" s="22">
        <f>tblDailySchedule[[#This Row],[STD]]</f>
        <v>0.62847222222222221</v>
      </c>
    </row>
    <row r="4117" spans="1:20" hidden="1" x14ac:dyDescent="0.35">
      <c r="A4117" s="11">
        <v>46258</v>
      </c>
      <c r="B4117" s="3">
        <v>1</v>
      </c>
      <c r="C4117" t="s">
        <v>100</v>
      </c>
      <c r="D4117" t="s">
        <v>18</v>
      </c>
      <c r="E4117" s="3">
        <v>16</v>
      </c>
      <c r="F4117" t="s">
        <v>19</v>
      </c>
      <c r="G4117" t="s">
        <v>67</v>
      </c>
      <c r="H4117" t="s">
        <v>31</v>
      </c>
      <c r="I4117" s="12">
        <v>0.65625</v>
      </c>
      <c r="J4117" t="s">
        <v>68</v>
      </c>
      <c r="K4117" t="s">
        <v>31</v>
      </c>
      <c r="L4117" s="12">
        <v>0.68402777777777779</v>
      </c>
      <c r="M4117" t="s">
        <v>63</v>
      </c>
      <c r="N4117" s="3">
        <v>232</v>
      </c>
      <c r="O4117" t="s">
        <v>24</v>
      </c>
      <c r="P4117" t="s">
        <v>56</v>
      </c>
      <c r="R4117">
        <f>tblDailySchedule[[#This Row],[Capacity Approx]]*'[1]Load Factor Sheet June Acft  '!$B$5</f>
        <v>187.86727272727273</v>
      </c>
      <c r="S4117">
        <f>tblDailySchedule[[#This Row],[Capacity Approx]]*'[1]Load Factor Sheet June Acft  '!$D$5</f>
        <v>203.4218181818182</v>
      </c>
      <c r="T4117" s="22">
        <f>tblDailySchedule[[#This Row],[STD]]</f>
        <v>0.68402777777777779</v>
      </c>
    </row>
    <row r="4118" spans="1:20" hidden="1" x14ac:dyDescent="0.35">
      <c r="A4118" s="11">
        <v>46258</v>
      </c>
      <c r="B4118" s="3">
        <v>1</v>
      </c>
      <c r="C4118" t="s">
        <v>100</v>
      </c>
      <c r="D4118" t="s">
        <v>18</v>
      </c>
      <c r="E4118" s="3">
        <v>17</v>
      </c>
      <c r="F4118" t="s">
        <v>19</v>
      </c>
      <c r="G4118" t="s">
        <v>69</v>
      </c>
      <c r="H4118" t="s">
        <v>31</v>
      </c>
      <c r="I4118" s="12">
        <v>0.66319444444444442</v>
      </c>
      <c r="J4118" t="s">
        <v>70</v>
      </c>
      <c r="K4118" t="s">
        <v>31</v>
      </c>
      <c r="L4118" s="12">
        <v>0.69097222222222221</v>
      </c>
      <c r="M4118" t="s">
        <v>33</v>
      </c>
      <c r="N4118" s="3">
        <v>189</v>
      </c>
      <c r="O4118" t="s">
        <v>24</v>
      </c>
      <c r="P4118" t="s">
        <v>56</v>
      </c>
      <c r="R4118">
        <f>tblDailySchedule[[#This Row],[Capacity Approx]]*'[1]Load Factor Sheet June Acft  '!$B$5</f>
        <v>153.04704545454547</v>
      </c>
      <c r="S4118">
        <f>tblDailySchedule[[#This Row],[Capacity Approx]]*'[1]Load Factor Sheet June Acft  '!$D$5</f>
        <v>165.71863636363636</v>
      </c>
      <c r="T4118" s="22">
        <f>tblDailySchedule[[#This Row],[STD]]</f>
        <v>0.69097222222222221</v>
      </c>
    </row>
    <row r="4119" spans="1:20" hidden="1" x14ac:dyDescent="0.35">
      <c r="A4119" s="11">
        <v>46258</v>
      </c>
      <c r="B4119" s="3">
        <v>1</v>
      </c>
      <c r="C4119" t="s">
        <v>100</v>
      </c>
      <c r="D4119" t="s">
        <v>18</v>
      </c>
      <c r="E4119" s="3">
        <v>18</v>
      </c>
      <c r="F4119" t="s">
        <v>19</v>
      </c>
      <c r="G4119" t="s">
        <v>71</v>
      </c>
      <c r="H4119" t="s">
        <v>21</v>
      </c>
      <c r="I4119" s="12">
        <v>0.67013888888888884</v>
      </c>
      <c r="J4119" t="s">
        <v>72</v>
      </c>
      <c r="K4119" t="s">
        <v>21</v>
      </c>
      <c r="L4119" s="12">
        <v>0.69791666666666663</v>
      </c>
      <c r="M4119" t="s">
        <v>63</v>
      </c>
      <c r="N4119" s="3">
        <v>232</v>
      </c>
      <c r="O4119" t="s">
        <v>24</v>
      </c>
      <c r="P4119" t="s">
        <v>56</v>
      </c>
      <c r="R4119">
        <f>tblDailySchedule[[#This Row],[Capacity Approx]]*'[1]Load Factor Sheet June Acft  '!$B$5</f>
        <v>187.86727272727273</v>
      </c>
      <c r="S4119">
        <f>tblDailySchedule[[#This Row],[Capacity Approx]]*'[1]Load Factor Sheet June Acft  '!$D$5</f>
        <v>203.4218181818182</v>
      </c>
      <c r="T4119" s="22">
        <f>tblDailySchedule[[#This Row],[STD]]</f>
        <v>0.69791666666666663</v>
      </c>
    </row>
    <row r="4120" spans="1:20" hidden="1" x14ac:dyDescent="0.35">
      <c r="A4120" s="11">
        <v>46258</v>
      </c>
      <c r="B4120" s="3">
        <v>1</v>
      </c>
      <c r="C4120" t="s">
        <v>100</v>
      </c>
      <c r="D4120" t="s">
        <v>18</v>
      </c>
      <c r="E4120" s="3">
        <v>19</v>
      </c>
      <c r="F4120" t="s">
        <v>19</v>
      </c>
      <c r="G4120" t="s">
        <v>73</v>
      </c>
      <c r="H4120" t="s">
        <v>27</v>
      </c>
      <c r="I4120" s="12">
        <v>0.74652777777777779</v>
      </c>
      <c r="J4120" t="s">
        <v>74</v>
      </c>
      <c r="K4120" t="s">
        <v>27</v>
      </c>
      <c r="L4120" s="12">
        <v>0.77430555555555558</v>
      </c>
      <c r="M4120" t="s">
        <v>63</v>
      </c>
      <c r="N4120" s="3">
        <v>232</v>
      </c>
      <c r="O4120" t="s">
        <v>24</v>
      </c>
      <c r="P4120" t="s">
        <v>56</v>
      </c>
      <c r="R4120">
        <f>tblDailySchedule[[#This Row],[Capacity Approx]]*'[1]Load Factor Sheet June Acft  '!$B$5</f>
        <v>187.86727272727273</v>
      </c>
      <c r="S4120">
        <f>tblDailySchedule[[#This Row],[Capacity Approx]]*'[1]Load Factor Sheet June Acft  '!$D$5</f>
        <v>203.4218181818182</v>
      </c>
      <c r="T4120" s="22">
        <f>tblDailySchedule[[#This Row],[STD]]</f>
        <v>0.77430555555555558</v>
      </c>
    </row>
    <row r="4121" spans="1:20" hidden="1" x14ac:dyDescent="0.35">
      <c r="A4121" s="11">
        <v>46258</v>
      </c>
      <c r="B4121" s="3">
        <v>1</v>
      </c>
      <c r="C4121" t="s">
        <v>100</v>
      </c>
      <c r="D4121" t="s">
        <v>18</v>
      </c>
      <c r="E4121" s="3">
        <v>20</v>
      </c>
      <c r="F4121" t="s">
        <v>34</v>
      </c>
      <c r="G4121" t="s">
        <v>75</v>
      </c>
      <c r="H4121" t="s">
        <v>76</v>
      </c>
      <c r="I4121" s="12">
        <v>0.76388888888888884</v>
      </c>
      <c r="J4121" t="s">
        <v>77</v>
      </c>
      <c r="K4121" t="s">
        <v>78</v>
      </c>
      <c r="L4121" s="12">
        <v>0.78472222222222221</v>
      </c>
      <c r="M4121" t="s">
        <v>51</v>
      </c>
      <c r="N4121" s="3">
        <v>78</v>
      </c>
      <c r="O4121" t="s">
        <v>24</v>
      </c>
      <c r="P4121" t="s">
        <v>79</v>
      </c>
      <c r="Q4121" s="16" t="s">
        <v>80</v>
      </c>
      <c r="R4121">
        <f>tblDailySchedule[[#This Row],[Capacity Approx]]*'[1]Load Factor Sheet June Acft  '!$B$5</f>
        <v>63.162272727272729</v>
      </c>
      <c r="S4121">
        <f>tblDailySchedule[[#This Row],[Capacity Approx]]*'[1]Load Factor Sheet June Acft  '!$D$5</f>
        <v>68.391818181818181</v>
      </c>
      <c r="T4121" s="22">
        <f>tblDailySchedule[[#This Row],[STD]]</f>
        <v>0.78472222222222221</v>
      </c>
    </row>
    <row r="4122" spans="1:20" hidden="1" x14ac:dyDescent="0.35">
      <c r="A4122" s="11">
        <v>46258</v>
      </c>
      <c r="B4122" s="3">
        <v>1</v>
      </c>
      <c r="C4122" t="s">
        <v>100</v>
      </c>
      <c r="D4122" t="s">
        <v>18</v>
      </c>
      <c r="E4122" s="3">
        <v>21</v>
      </c>
      <c r="F4122" t="s">
        <v>19</v>
      </c>
      <c r="G4122" t="s">
        <v>81</v>
      </c>
      <c r="H4122" t="s">
        <v>61</v>
      </c>
      <c r="I4122" s="12">
        <v>0.77083333333333337</v>
      </c>
      <c r="J4122" t="s">
        <v>82</v>
      </c>
      <c r="K4122" t="s">
        <v>49</v>
      </c>
      <c r="L4122" s="12">
        <v>0.79166666666666663</v>
      </c>
      <c r="M4122" t="s">
        <v>33</v>
      </c>
      <c r="N4122" s="3">
        <v>189</v>
      </c>
      <c r="O4122" t="s">
        <v>24</v>
      </c>
      <c r="P4122" t="s">
        <v>79</v>
      </c>
      <c r="R4122">
        <f>tblDailySchedule[[#This Row],[Capacity Approx]]*'[1]Load Factor Sheet June Acft  '!$B$5</f>
        <v>153.04704545454547</v>
      </c>
      <c r="S4122">
        <f>tblDailySchedule[[#This Row],[Capacity Approx]]*'[1]Load Factor Sheet June Acft  '!$D$5</f>
        <v>165.71863636363636</v>
      </c>
      <c r="T4122" s="22">
        <f>tblDailySchedule[[#This Row],[STD]]</f>
        <v>0.79166666666666663</v>
      </c>
    </row>
    <row r="4123" spans="1:20" hidden="1" x14ac:dyDescent="0.35">
      <c r="A4123" s="11">
        <v>46258</v>
      </c>
      <c r="B4123" s="3">
        <v>1</v>
      </c>
      <c r="C4123" t="s">
        <v>100</v>
      </c>
      <c r="D4123" t="s">
        <v>18</v>
      </c>
      <c r="E4123" s="3">
        <v>22</v>
      </c>
      <c r="F4123" t="s">
        <v>19</v>
      </c>
      <c r="G4123" t="s">
        <v>83</v>
      </c>
      <c r="H4123" t="s">
        <v>31</v>
      </c>
      <c r="I4123" s="12">
        <v>0.77777777777777779</v>
      </c>
      <c r="J4123" t="s">
        <v>84</v>
      </c>
      <c r="K4123" t="s">
        <v>31</v>
      </c>
      <c r="L4123" s="12">
        <v>0.80555555555555558</v>
      </c>
      <c r="M4123" t="s">
        <v>63</v>
      </c>
      <c r="N4123" s="3">
        <v>232</v>
      </c>
      <c r="O4123" t="s">
        <v>24</v>
      </c>
      <c r="P4123" t="s">
        <v>79</v>
      </c>
      <c r="R4123">
        <f>tblDailySchedule[[#This Row],[Capacity Approx]]*'[1]Load Factor Sheet June Acft  '!$B$5</f>
        <v>187.86727272727273</v>
      </c>
      <c r="S4123">
        <f>tblDailySchedule[[#This Row],[Capacity Approx]]*'[1]Load Factor Sheet June Acft  '!$D$5</f>
        <v>203.4218181818182</v>
      </c>
      <c r="T4123" s="22">
        <f>tblDailySchedule[[#This Row],[STD]]</f>
        <v>0.80555555555555558</v>
      </c>
    </row>
    <row r="4124" spans="1:20" hidden="1" x14ac:dyDescent="0.35">
      <c r="A4124" s="11">
        <v>46258</v>
      </c>
      <c r="B4124" s="3">
        <v>1</v>
      </c>
      <c r="C4124" t="s">
        <v>100</v>
      </c>
      <c r="D4124" t="s">
        <v>18</v>
      </c>
      <c r="E4124" s="3">
        <v>23</v>
      </c>
      <c r="F4124" t="s">
        <v>19</v>
      </c>
      <c r="G4124" t="s">
        <v>85</v>
      </c>
      <c r="H4124" t="s">
        <v>86</v>
      </c>
      <c r="I4124" s="12">
        <v>0.79861111111111116</v>
      </c>
      <c r="J4124" t="s">
        <v>87</v>
      </c>
      <c r="K4124" t="s">
        <v>86</v>
      </c>
      <c r="L4124" s="12">
        <v>0.82638888888888884</v>
      </c>
      <c r="M4124" t="s">
        <v>63</v>
      </c>
      <c r="N4124" s="3">
        <v>232</v>
      </c>
      <c r="O4124" t="s">
        <v>24</v>
      </c>
      <c r="P4124" t="s">
        <v>79</v>
      </c>
      <c r="R4124">
        <f>tblDailySchedule[[#This Row],[Capacity Approx]]*'[1]Load Factor Sheet June Acft  '!$B$5</f>
        <v>187.86727272727273</v>
      </c>
      <c r="S4124">
        <f>tblDailySchedule[[#This Row],[Capacity Approx]]*'[1]Load Factor Sheet June Acft  '!$D$5</f>
        <v>203.4218181818182</v>
      </c>
      <c r="T4124" s="22">
        <f>tblDailySchedule[[#This Row],[STD]]</f>
        <v>0.82638888888888884</v>
      </c>
    </row>
    <row r="4125" spans="1:20" hidden="1" x14ac:dyDescent="0.35">
      <c r="A4125" s="11">
        <v>46258</v>
      </c>
      <c r="B4125" s="3">
        <v>1</v>
      </c>
      <c r="C4125" t="s">
        <v>100</v>
      </c>
      <c r="D4125" t="s">
        <v>18</v>
      </c>
      <c r="E4125" s="3">
        <v>24</v>
      </c>
      <c r="F4125" t="s">
        <v>19</v>
      </c>
      <c r="G4125" t="s">
        <v>88</v>
      </c>
      <c r="H4125" t="s">
        <v>89</v>
      </c>
      <c r="I4125" s="12">
        <v>0.83333333333333337</v>
      </c>
      <c r="J4125" t="s">
        <v>90</v>
      </c>
      <c r="K4125" t="s">
        <v>31</v>
      </c>
      <c r="L4125" s="12">
        <v>0.86111111111111116</v>
      </c>
      <c r="M4125" t="s">
        <v>63</v>
      </c>
      <c r="N4125" s="3">
        <v>232</v>
      </c>
      <c r="O4125" t="s">
        <v>24</v>
      </c>
      <c r="P4125" t="s">
        <v>79</v>
      </c>
      <c r="R4125">
        <f>tblDailySchedule[[#This Row],[Capacity Approx]]*'[1]Load Factor Sheet June Acft  '!$B$5</f>
        <v>187.86727272727273</v>
      </c>
      <c r="S4125">
        <f>tblDailySchedule[[#This Row],[Capacity Approx]]*'[1]Load Factor Sheet June Acft  '!$D$5</f>
        <v>203.4218181818182</v>
      </c>
      <c r="T4125" s="22">
        <f>tblDailySchedule[[#This Row],[STD]]</f>
        <v>0.86111111111111116</v>
      </c>
    </row>
    <row r="4126" spans="1:20" hidden="1" x14ac:dyDescent="0.35">
      <c r="A4126" s="11">
        <v>46258</v>
      </c>
      <c r="B4126" s="3">
        <v>1</v>
      </c>
      <c r="C4126" t="s">
        <v>100</v>
      </c>
      <c r="D4126" t="s">
        <v>18</v>
      </c>
      <c r="E4126" s="3">
        <v>25</v>
      </c>
      <c r="F4126" t="s">
        <v>19</v>
      </c>
      <c r="G4126" t="s">
        <v>91</v>
      </c>
      <c r="H4126" t="s">
        <v>61</v>
      </c>
      <c r="I4126" s="12">
        <v>0.85416666666666663</v>
      </c>
      <c r="J4126" t="s">
        <v>92</v>
      </c>
      <c r="K4126" t="s">
        <v>61</v>
      </c>
      <c r="L4126" s="12">
        <v>0.88194444444444442</v>
      </c>
      <c r="M4126" t="s">
        <v>63</v>
      </c>
      <c r="N4126" s="3">
        <v>232</v>
      </c>
      <c r="O4126" t="s">
        <v>24</v>
      </c>
      <c r="P4126" t="s">
        <v>79</v>
      </c>
      <c r="R4126">
        <f>tblDailySchedule[[#This Row],[Capacity Approx]]*'[1]Load Factor Sheet June Acft  '!$B$5</f>
        <v>187.86727272727273</v>
      </c>
      <c r="S4126">
        <f>tblDailySchedule[[#This Row],[Capacity Approx]]*'[1]Load Factor Sheet June Acft  '!$D$5</f>
        <v>203.4218181818182</v>
      </c>
      <c r="T4126" s="22">
        <f>tblDailySchedule[[#This Row],[STD]]</f>
        <v>0.88194444444444442</v>
      </c>
    </row>
    <row r="4127" spans="1:20" hidden="1" x14ac:dyDescent="0.35">
      <c r="A4127" s="11">
        <v>46258</v>
      </c>
      <c r="B4127" s="3">
        <v>1</v>
      </c>
      <c r="C4127" t="s">
        <v>100</v>
      </c>
      <c r="D4127" t="s">
        <v>18</v>
      </c>
      <c r="E4127" s="3">
        <v>26</v>
      </c>
      <c r="F4127" t="s">
        <v>19</v>
      </c>
      <c r="G4127" t="s">
        <v>93</v>
      </c>
      <c r="H4127" t="s">
        <v>31</v>
      </c>
      <c r="I4127" s="12">
        <v>0.86111111111111116</v>
      </c>
      <c r="J4127" t="s">
        <v>94</v>
      </c>
      <c r="K4127" t="s">
        <v>31</v>
      </c>
      <c r="L4127" s="12">
        <v>0.88888888888888884</v>
      </c>
      <c r="M4127" t="s">
        <v>23</v>
      </c>
      <c r="N4127" s="3">
        <v>186</v>
      </c>
      <c r="O4127" t="s">
        <v>24</v>
      </c>
      <c r="P4127" t="s">
        <v>79</v>
      </c>
      <c r="R4127">
        <f>tblDailySchedule[[#This Row],[Capacity Approx]]*'[1]Load Factor Sheet June Acft  '!$B$5</f>
        <v>150.61772727272728</v>
      </c>
      <c r="S4127">
        <f>tblDailySchedule[[#This Row],[Capacity Approx]]*'[1]Load Factor Sheet June Acft  '!$D$5</f>
        <v>163.08818181818182</v>
      </c>
      <c r="T4127" s="22">
        <f>tblDailySchedule[[#This Row],[STD]]</f>
        <v>0.88888888888888884</v>
      </c>
    </row>
    <row r="4128" spans="1:20" hidden="1" x14ac:dyDescent="0.35">
      <c r="A4128" s="11">
        <v>46258</v>
      </c>
      <c r="B4128" s="3">
        <v>1</v>
      </c>
      <c r="C4128" t="s">
        <v>100</v>
      </c>
      <c r="D4128" t="s">
        <v>18</v>
      </c>
      <c r="E4128" s="3">
        <v>27</v>
      </c>
      <c r="F4128" t="s">
        <v>19</v>
      </c>
      <c r="G4128" t="s">
        <v>95</v>
      </c>
      <c r="H4128" t="s">
        <v>21</v>
      </c>
      <c r="I4128" s="12">
        <v>0.86805555555555558</v>
      </c>
      <c r="J4128" t="s">
        <v>96</v>
      </c>
      <c r="K4128" t="s">
        <v>21</v>
      </c>
      <c r="L4128" s="12">
        <v>0.89583333333333337</v>
      </c>
      <c r="M4128" t="s">
        <v>29</v>
      </c>
      <c r="N4128" s="3">
        <v>186</v>
      </c>
      <c r="O4128" t="s">
        <v>24</v>
      </c>
      <c r="P4128" t="s">
        <v>79</v>
      </c>
      <c r="R4128">
        <f>tblDailySchedule[[#This Row],[Capacity Approx]]*'[1]Load Factor Sheet June Acft  '!$B$5</f>
        <v>150.61772727272728</v>
      </c>
      <c r="S4128">
        <f>tblDailySchedule[[#This Row],[Capacity Approx]]*'[1]Load Factor Sheet June Acft  '!$D$5</f>
        <v>163.08818181818182</v>
      </c>
      <c r="T4128" s="22">
        <f>tblDailySchedule[[#This Row],[STD]]</f>
        <v>0.89583333333333337</v>
      </c>
    </row>
    <row r="4129" spans="1:20" hidden="1" x14ac:dyDescent="0.35">
      <c r="A4129" s="11">
        <v>46258</v>
      </c>
      <c r="B4129" s="3">
        <v>1</v>
      </c>
      <c r="C4129" t="s">
        <v>100</v>
      </c>
      <c r="D4129" t="s">
        <v>18</v>
      </c>
      <c r="E4129" s="3">
        <v>28</v>
      </c>
      <c r="F4129" t="s">
        <v>19</v>
      </c>
      <c r="G4129" t="s">
        <v>97</v>
      </c>
      <c r="H4129" t="s">
        <v>49</v>
      </c>
      <c r="I4129" s="12">
        <v>0.90277777777777779</v>
      </c>
      <c r="J4129" t="s">
        <v>97</v>
      </c>
      <c r="K4129" t="s">
        <v>61</v>
      </c>
      <c r="L4129" s="12">
        <v>0.92361111111111116</v>
      </c>
      <c r="M4129" t="s">
        <v>33</v>
      </c>
      <c r="N4129" s="3">
        <v>189</v>
      </c>
      <c r="O4129" t="s">
        <v>24</v>
      </c>
      <c r="P4129" t="s">
        <v>79</v>
      </c>
      <c r="R4129">
        <f>tblDailySchedule[[#This Row],[Capacity Approx]]*'[1]Load Factor Sheet June Acft  '!$B$5</f>
        <v>153.04704545454547</v>
      </c>
      <c r="S4129">
        <f>tblDailySchedule[[#This Row],[Capacity Approx]]*'[1]Load Factor Sheet June Acft  '!$D$5</f>
        <v>165.71863636363636</v>
      </c>
      <c r="T4129" s="22">
        <f>tblDailySchedule[[#This Row],[STD]]</f>
        <v>0.92361111111111116</v>
      </c>
    </row>
    <row r="4130" spans="1:20" hidden="1" x14ac:dyDescent="0.35">
      <c r="A4130" s="11">
        <v>46258</v>
      </c>
      <c r="B4130" s="3">
        <v>1</v>
      </c>
      <c r="C4130" t="s">
        <v>100</v>
      </c>
      <c r="D4130" t="s">
        <v>18</v>
      </c>
      <c r="E4130" s="3">
        <v>29</v>
      </c>
      <c r="F4130" t="s">
        <v>19</v>
      </c>
      <c r="G4130" t="s">
        <v>98</v>
      </c>
      <c r="H4130" t="s">
        <v>21</v>
      </c>
      <c r="I4130" s="12">
        <v>0.92013888888888884</v>
      </c>
      <c r="J4130" t="s">
        <v>99</v>
      </c>
      <c r="K4130" t="s">
        <v>21</v>
      </c>
      <c r="L4130" s="12">
        <v>0.94791666666666663</v>
      </c>
      <c r="M4130" t="s">
        <v>63</v>
      </c>
      <c r="N4130" s="3">
        <v>232</v>
      </c>
      <c r="O4130" t="s">
        <v>24</v>
      </c>
      <c r="P4130" t="s">
        <v>79</v>
      </c>
      <c r="R4130">
        <f>tblDailySchedule[[#This Row],[Capacity Approx]]*'[1]Load Factor Sheet June Acft  '!$B$5</f>
        <v>187.86727272727273</v>
      </c>
      <c r="S4130">
        <f>tblDailySchedule[[#This Row],[Capacity Approx]]*'[1]Load Factor Sheet June Acft  '!$D$5</f>
        <v>203.4218181818182</v>
      </c>
      <c r="T4130" s="22">
        <f>tblDailySchedule[[#This Row],[STD]]</f>
        <v>0.94791666666666663</v>
      </c>
    </row>
    <row r="4131" spans="1:20" hidden="1" x14ac:dyDescent="0.35">
      <c r="A4131" s="13">
        <v>46258</v>
      </c>
      <c r="B4131" s="7">
        <v>1</v>
      </c>
      <c r="C4131" s="14" t="s">
        <v>100</v>
      </c>
      <c r="D4131" s="14" t="s">
        <v>18</v>
      </c>
      <c r="E4131" s="7">
        <v>30</v>
      </c>
      <c r="F4131" s="14" t="s">
        <v>104</v>
      </c>
      <c r="G4131" s="14" t="s">
        <v>105</v>
      </c>
      <c r="H4131" s="14" t="s">
        <v>106</v>
      </c>
      <c r="I4131" s="15">
        <v>0.92708333333333337</v>
      </c>
      <c r="J4131" s="14" t="s">
        <v>107</v>
      </c>
      <c r="K4131" s="14" t="s">
        <v>106</v>
      </c>
      <c r="L4131" s="15">
        <v>0.95833333333333337</v>
      </c>
      <c r="M4131" s="14" t="s">
        <v>38</v>
      </c>
      <c r="N4131" s="7">
        <v>186</v>
      </c>
      <c r="O4131" s="14" t="s">
        <v>39</v>
      </c>
      <c r="P4131" s="14" t="s">
        <v>79</v>
      </c>
      <c r="Q4131" s="14" t="s">
        <v>39</v>
      </c>
      <c r="R4131">
        <f>tblDailySchedule[[#This Row],[Capacity Approx]]*'[1]Load Factor Sheet June Acft  '!$B$5</f>
        <v>150.61772727272728</v>
      </c>
      <c r="S4131">
        <f>tblDailySchedule[[#This Row],[Capacity Approx]]*'[1]Load Factor Sheet June Acft  '!$D$5</f>
        <v>163.08818181818182</v>
      </c>
      <c r="T4131" s="22">
        <f>tblDailySchedule[[#This Row],[STD]]</f>
        <v>0.95833333333333337</v>
      </c>
    </row>
    <row r="4132" spans="1:20" hidden="1" x14ac:dyDescent="0.35">
      <c r="A4132" s="11">
        <v>46259</v>
      </c>
      <c r="B4132" s="3">
        <v>2</v>
      </c>
      <c r="C4132" t="s">
        <v>108</v>
      </c>
      <c r="D4132" t="s">
        <v>18</v>
      </c>
      <c r="E4132" s="3">
        <v>1</v>
      </c>
      <c r="F4132" t="s">
        <v>101</v>
      </c>
      <c r="G4132" t="s">
        <v>102</v>
      </c>
      <c r="H4132" t="s">
        <v>61</v>
      </c>
      <c r="I4132" s="12">
        <v>0.3125</v>
      </c>
      <c r="J4132" t="s">
        <v>103</v>
      </c>
      <c r="K4132" t="s">
        <v>61</v>
      </c>
      <c r="L4132" s="12">
        <v>0.33333333333333331</v>
      </c>
      <c r="M4132" t="s">
        <v>33</v>
      </c>
      <c r="N4132" s="3">
        <v>189</v>
      </c>
      <c r="O4132" t="s">
        <v>24</v>
      </c>
      <c r="P4132" t="s">
        <v>25</v>
      </c>
      <c r="R4132">
        <f>tblDailySchedule[[#This Row],[Capacity Approx]]*'[1]Load Factor Sheet June Acft  '!$B$5</f>
        <v>153.04704545454547</v>
      </c>
      <c r="S4132">
        <f>tblDailySchedule[[#This Row],[Capacity Approx]]*'[1]Load Factor Sheet June Acft  '!$D$5</f>
        <v>165.71863636363636</v>
      </c>
      <c r="T4132" s="22">
        <f>tblDailySchedule[[#This Row],[STD]]</f>
        <v>0.33333333333333331</v>
      </c>
    </row>
    <row r="4133" spans="1:20" hidden="1" x14ac:dyDescent="0.35">
      <c r="A4133" s="11">
        <v>46259</v>
      </c>
      <c r="B4133" s="3">
        <v>2</v>
      </c>
      <c r="C4133" t="s">
        <v>108</v>
      </c>
      <c r="D4133" t="s">
        <v>18</v>
      </c>
      <c r="E4133" s="3">
        <v>2</v>
      </c>
      <c r="F4133" t="s">
        <v>19</v>
      </c>
      <c r="G4133" t="s">
        <v>20</v>
      </c>
      <c r="H4133" t="s">
        <v>21</v>
      </c>
      <c r="I4133" s="12">
        <v>0.31944444444444442</v>
      </c>
      <c r="J4133" t="s">
        <v>22</v>
      </c>
      <c r="K4133" t="s">
        <v>21</v>
      </c>
      <c r="L4133" s="12">
        <v>0.34722222222222221</v>
      </c>
      <c r="M4133" t="s">
        <v>23</v>
      </c>
      <c r="N4133" s="3">
        <v>186</v>
      </c>
      <c r="O4133" t="s">
        <v>24</v>
      </c>
      <c r="P4133" t="s">
        <v>25</v>
      </c>
      <c r="R4133">
        <f>tblDailySchedule[[#This Row],[Capacity Approx]]*'[1]Load Factor Sheet June Acft  '!$B$5</f>
        <v>150.61772727272728</v>
      </c>
      <c r="S4133">
        <f>tblDailySchedule[[#This Row],[Capacity Approx]]*'[1]Load Factor Sheet June Acft  '!$D$5</f>
        <v>163.08818181818182</v>
      </c>
      <c r="T4133" s="22">
        <f>tblDailySchedule[[#This Row],[STD]]</f>
        <v>0.34722222222222221</v>
      </c>
    </row>
    <row r="4134" spans="1:20" hidden="1" x14ac:dyDescent="0.35">
      <c r="A4134" s="11">
        <v>46259</v>
      </c>
      <c r="B4134" s="3">
        <v>2</v>
      </c>
      <c r="C4134" t="s">
        <v>108</v>
      </c>
      <c r="D4134" t="s">
        <v>18</v>
      </c>
      <c r="E4134" s="3">
        <v>3</v>
      </c>
      <c r="F4134" t="s">
        <v>19</v>
      </c>
      <c r="G4134" t="s">
        <v>26</v>
      </c>
      <c r="H4134" t="s">
        <v>27</v>
      </c>
      <c r="I4134" s="12">
        <v>0.3263888888888889</v>
      </c>
      <c r="J4134" t="s">
        <v>28</v>
      </c>
      <c r="K4134" t="s">
        <v>27</v>
      </c>
      <c r="L4134" s="12">
        <v>0.35416666666666669</v>
      </c>
      <c r="M4134" t="s">
        <v>29</v>
      </c>
      <c r="N4134" s="3">
        <v>186</v>
      </c>
      <c r="O4134" t="s">
        <v>24</v>
      </c>
      <c r="P4134" t="s">
        <v>25</v>
      </c>
      <c r="R4134">
        <f>tblDailySchedule[[#This Row],[Capacity Approx]]*'[1]Load Factor Sheet June Acft  '!$B$5</f>
        <v>150.61772727272728</v>
      </c>
      <c r="S4134">
        <f>tblDailySchedule[[#This Row],[Capacity Approx]]*'[1]Load Factor Sheet June Acft  '!$D$5</f>
        <v>163.08818181818182</v>
      </c>
      <c r="T4134" s="22">
        <f>tblDailySchedule[[#This Row],[STD]]</f>
        <v>0.35416666666666669</v>
      </c>
    </row>
    <row r="4135" spans="1:20" hidden="1" x14ac:dyDescent="0.35">
      <c r="A4135" s="11">
        <v>46259</v>
      </c>
      <c r="B4135" s="3">
        <v>2</v>
      </c>
      <c r="C4135" t="s">
        <v>108</v>
      </c>
      <c r="D4135" t="s">
        <v>18</v>
      </c>
      <c r="E4135" s="3">
        <v>4</v>
      </c>
      <c r="F4135" t="s">
        <v>19</v>
      </c>
      <c r="G4135" t="s">
        <v>30</v>
      </c>
      <c r="H4135" t="s">
        <v>31</v>
      </c>
      <c r="I4135" s="12">
        <v>0.34722222222222221</v>
      </c>
      <c r="J4135" t="s">
        <v>32</v>
      </c>
      <c r="K4135" t="s">
        <v>31</v>
      </c>
      <c r="L4135" s="12">
        <v>0.36805555555555558</v>
      </c>
      <c r="M4135" t="s">
        <v>33</v>
      </c>
      <c r="N4135" s="3">
        <v>189</v>
      </c>
      <c r="O4135" t="s">
        <v>24</v>
      </c>
      <c r="P4135" t="s">
        <v>25</v>
      </c>
      <c r="R4135">
        <f>tblDailySchedule[[#This Row],[Capacity Approx]]*'[1]Load Factor Sheet June Acft  '!$B$5</f>
        <v>153.04704545454547</v>
      </c>
      <c r="S4135">
        <f>tblDailySchedule[[#This Row],[Capacity Approx]]*'[1]Load Factor Sheet June Acft  '!$D$5</f>
        <v>165.71863636363636</v>
      </c>
      <c r="T4135" s="22">
        <f>tblDailySchedule[[#This Row],[STD]]</f>
        <v>0.36805555555555558</v>
      </c>
    </row>
    <row r="4136" spans="1:20" hidden="1" x14ac:dyDescent="0.35">
      <c r="A4136" s="11">
        <v>46259</v>
      </c>
      <c r="B4136" s="3">
        <v>2</v>
      </c>
      <c r="C4136" t="s">
        <v>108</v>
      </c>
      <c r="D4136" t="s">
        <v>18</v>
      </c>
      <c r="E4136" s="3">
        <v>5</v>
      </c>
      <c r="F4136" t="s">
        <v>19</v>
      </c>
      <c r="G4136" t="s">
        <v>40</v>
      </c>
      <c r="H4136" t="s">
        <v>31</v>
      </c>
      <c r="I4136" s="12">
        <v>0.35069444444444442</v>
      </c>
      <c r="J4136" t="s">
        <v>41</v>
      </c>
      <c r="K4136" t="s">
        <v>31</v>
      </c>
      <c r="L4136" s="12">
        <v>0.37152777777777779</v>
      </c>
      <c r="M4136" t="s">
        <v>23</v>
      </c>
      <c r="N4136" s="3">
        <v>186</v>
      </c>
      <c r="O4136" t="s">
        <v>24</v>
      </c>
      <c r="P4136" t="s">
        <v>25</v>
      </c>
      <c r="R4136">
        <f>tblDailySchedule[[#This Row],[Capacity Approx]]*'[1]Load Factor Sheet June Acft  '!$B$5</f>
        <v>150.61772727272728</v>
      </c>
      <c r="S4136">
        <f>tblDailySchedule[[#This Row],[Capacity Approx]]*'[1]Load Factor Sheet June Acft  '!$D$5</f>
        <v>163.08818181818182</v>
      </c>
      <c r="T4136" s="22">
        <f>tblDailySchedule[[#This Row],[STD]]</f>
        <v>0.37152777777777779</v>
      </c>
    </row>
    <row r="4137" spans="1:20" hidden="1" x14ac:dyDescent="0.35">
      <c r="A4137" s="11">
        <v>46259</v>
      </c>
      <c r="B4137" s="3">
        <v>2</v>
      </c>
      <c r="C4137" t="s">
        <v>108</v>
      </c>
      <c r="D4137" t="s">
        <v>18</v>
      </c>
      <c r="E4137" s="3">
        <v>7</v>
      </c>
      <c r="F4137" t="s">
        <v>19</v>
      </c>
      <c r="G4137" t="s">
        <v>42</v>
      </c>
      <c r="H4137" t="s">
        <v>43</v>
      </c>
      <c r="I4137" s="12">
        <v>0.3923611111111111</v>
      </c>
      <c r="J4137" t="s">
        <v>44</v>
      </c>
      <c r="K4137" t="s">
        <v>43</v>
      </c>
      <c r="L4137" s="12">
        <v>0.40277777777777779</v>
      </c>
      <c r="M4137" t="s">
        <v>45</v>
      </c>
      <c r="N4137" s="3">
        <v>9</v>
      </c>
      <c r="O4137" t="s">
        <v>24</v>
      </c>
      <c r="P4137" t="s">
        <v>25</v>
      </c>
      <c r="R4137">
        <f>tblDailySchedule[[#This Row],[Capacity Approx]]*'[1]Load Factor Sheet June Acft  '!$B$5</f>
        <v>7.2879545454545456</v>
      </c>
      <c r="S4137">
        <f>tblDailySchedule[[#This Row],[Capacity Approx]]*'[1]Load Factor Sheet June Acft  '!$D$5</f>
        <v>7.8913636363636366</v>
      </c>
      <c r="T4137" s="22">
        <f>tblDailySchedule[[#This Row],[STD]]</f>
        <v>0.40277777777777779</v>
      </c>
    </row>
    <row r="4138" spans="1:20" hidden="1" x14ac:dyDescent="0.35">
      <c r="A4138" s="11">
        <v>46259</v>
      </c>
      <c r="B4138" s="3">
        <v>2</v>
      </c>
      <c r="C4138" t="s">
        <v>108</v>
      </c>
      <c r="D4138" t="s">
        <v>18</v>
      </c>
      <c r="E4138" s="3">
        <v>8</v>
      </c>
      <c r="F4138" t="s">
        <v>19</v>
      </c>
      <c r="G4138" t="s">
        <v>46</v>
      </c>
      <c r="H4138" t="s">
        <v>31</v>
      </c>
      <c r="I4138" s="12">
        <v>0.4201388888888889</v>
      </c>
      <c r="J4138" t="s">
        <v>47</v>
      </c>
      <c r="K4138" t="s">
        <v>31</v>
      </c>
      <c r="L4138" s="12">
        <v>0.44444444444444442</v>
      </c>
      <c r="M4138" t="s">
        <v>29</v>
      </c>
      <c r="N4138" s="3">
        <v>186</v>
      </c>
      <c r="O4138" t="s">
        <v>24</v>
      </c>
      <c r="P4138" t="s">
        <v>25</v>
      </c>
      <c r="R4138">
        <f>tblDailySchedule[[#This Row],[Capacity Approx]]*'[1]Load Factor Sheet June Acft  '!$B$5</f>
        <v>150.61772727272728</v>
      </c>
      <c r="S4138">
        <f>tblDailySchedule[[#This Row],[Capacity Approx]]*'[1]Load Factor Sheet June Acft  '!$D$5</f>
        <v>163.08818181818182</v>
      </c>
      <c r="T4138" s="22">
        <f>tblDailySchedule[[#This Row],[STD]]</f>
        <v>0.44444444444444442</v>
      </c>
    </row>
    <row r="4139" spans="1:20" hidden="1" x14ac:dyDescent="0.35">
      <c r="A4139" s="11">
        <v>46259</v>
      </c>
      <c r="B4139" s="3">
        <v>2</v>
      </c>
      <c r="C4139" t="s">
        <v>108</v>
      </c>
      <c r="D4139" t="s">
        <v>18</v>
      </c>
      <c r="E4139" s="3">
        <v>9</v>
      </c>
      <c r="F4139" t="s">
        <v>19</v>
      </c>
      <c r="G4139" t="s">
        <v>48</v>
      </c>
      <c r="H4139" t="s">
        <v>49</v>
      </c>
      <c r="I4139" s="12">
        <v>0.4375</v>
      </c>
      <c r="J4139" t="s">
        <v>50</v>
      </c>
      <c r="K4139" t="s">
        <v>49</v>
      </c>
      <c r="L4139" s="12">
        <v>0.45833333333333331</v>
      </c>
      <c r="M4139" t="s">
        <v>51</v>
      </c>
      <c r="N4139" s="3">
        <v>78</v>
      </c>
      <c r="O4139" t="s">
        <v>24</v>
      </c>
      <c r="P4139" t="s">
        <v>25</v>
      </c>
      <c r="R4139">
        <f>tblDailySchedule[[#This Row],[Capacity Approx]]*'[1]Load Factor Sheet June Acft  '!$B$5</f>
        <v>63.162272727272729</v>
      </c>
      <c r="S4139">
        <f>tblDailySchedule[[#This Row],[Capacity Approx]]*'[1]Load Factor Sheet June Acft  '!$D$5</f>
        <v>68.391818181818181</v>
      </c>
      <c r="T4139" s="22">
        <f>tblDailySchedule[[#This Row],[STD]]</f>
        <v>0.45833333333333331</v>
      </c>
    </row>
    <row r="4140" spans="1:20" hidden="1" x14ac:dyDescent="0.35">
      <c r="A4140" s="11">
        <v>46259</v>
      </c>
      <c r="B4140" s="3">
        <v>2</v>
      </c>
      <c r="C4140" t="s">
        <v>108</v>
      </c>
      <c r="D4140" t="s">
        <v>18</v>
      </c>
      <c r="E4140" s="3">
        <v>10</v>
      </c>
      <c r="F4140" t="s">
        <v>19</v>
      </c>
      <c r="G4140" t="s">
        <v>52</v>
      </c>
      <c r="H4140" t="s">
        <v>27</v>
      </c>
      <c r="I4140" s="12">
        <v>0.4826388888888889</v>
      </c>
      <c r="J4140" t="s">
        <v>53</v>
      </c>
      <c r="K4140" t="s">
        <v>27</v>
      </c>
      <c r="L4140" s="12">
        <v>0.51041666666666663</v>
      </c>
      <c r="M4140" t="s">
        <v>23</v>
      </c>
      <c r="N4140" s="3">
        <v>186</v>
      </c>
      <c r="O4140" t="s">
        <v>24</v>
      </c>
      <c r="P4140" t="s">
        <v>25</v>
      </c>
      <c r="R4140">
        <f>tblDailySchedule[[#This Row],[Capacity Approx]]*'[1]Load Factor Sheet June Acft  '!$B$5</f>
        <v>150.61772727272728</v>
      </c>
      <c r="S4140">
        <f>tblDailySchedule[[#This Row],[Capacity Approx]]*'[1]Load Factor Sheet June Acft  '!$D$5</f>
        <v>163.08818181818182</v>
      </c>
      <c r="T4140" s="22">
        <f>tblDailySchedule[[#This Row],[STD]]</f>
        <v>0.51041666666666663</v>
      </c>
    </row>
    <row r="4141" spans="1:20" hidden="1" x14ac:dyDescent="0.35">
      <c r="A4141" s="11">
        <v>46259</v>
      </c>
      <c r="B4141" s="3">
        <v>2</v>
      </c>
      <c r="C4141" t="s">
        <v>108</v>
      </c>
      <c r="D4141" t="s">
        <v>18</v>
      </c>
      <c r="E4141" s="3">
        <v>11</v>
      </c>
      <c r="F4141" t="s">
        <v>19</v>
      </c>
      <c r="G4141" t="s">
        <v>54</v>
      </c>
      <c r="H4141" t="s">
        <v>31</v>
      </c>
      <c r="I4141" s="12">
        <v>0.51388888888888884</v>
      </c>
      <c r="J4141" t="s">
        <v>55</v>
      </c>
      <c r="K4141" t="s">
        <v>31</v>
      </c>
      <c r="L4141" s="12">
        <v>0.54166666666666663</v>
      </c>
      <c r="M4141" t="s">
        <v>23</v>
      </c>
      <c r="N4141" s="3">
        <v>186</v>
      </c>
      <c r="O4141" t="s">
        <v>24</v>
      </c>
      <c r="P4141" t="s">
        <v>56</v>
      </c>
      <c r="R4141">
        <f>tblDailySchedule[[#This Row],[Capacity Approx]]*'[1]Load Factor Sheet June Acft  '!$B$5</f>
        <v>150.61772727272728</v>
      </c>
      <c r="S4141">
        <f>tblDailySchedule[[#This Row],[Capacity Approx]]*'[1]Load Factor Sheet June Acft  '!$D$5</f>
        <v>163.08818181818182</v>
      </c>
      <c r="T4141" s="22">
        <f>tblDailySchedule[[#This Row],[STD]]</f>
        <v>0.54166666666666663</v>
      </c>
    </row>
    <row r="4142" spans="1:20" hidden="1" x14ac:dyDescent="0.35">
      <c r="A4142" s="11">
        <v>46259</v>
      </c>
      <c r="B4142" s="3">
        <v>2</v>
      </c>
      <c r="C4142" t="s">
        <v>108</v>
      </c>
      <c r="D4142" t="s">
        <v>18</v>
      </c>
      <c r="E4142" s="3">
        <v>12</v>
      </c>
      <c r="F4142" t="s">
        <v>109</v>
      </c>
      <c r="G4142" t="s">
        <v>110</v>
      </c>
      <c r="H4142" t="s">
        <v>111</v>
      </c>
      <c r="I4142" s="12">
        <v>0.55555555555555558</v>
      </c>
      <c r="J4142" t="s">
        <v>112</v>
      </c>
      <c r="K4142" t="s">
        <v>111</v>
      </c>
      <c r="L4142" s="12">
        <v>0.56944444444444442</v>
      </c>
      <c r="M4142" t="s">
        <v>51</v>
      </c>
      <c r="N4142" s="3">
        <v>78</v>
      </c>
      <c r="O4142" t="s">
        <v>24</v>
      </c>
      <c r="P4142" t="s">
        <v>56</v>
      </c>
      <c r="R4142">
        <f>tblDailySchedule[[#This Row],[Capacity Approx]]*'[1]Load Factor Sheet June Acft  '!$B$5</f>
        <v>63.162272727272729</v>
      </c>
      <c r="S4142">
        <f>tblDailySchedule[[#This Row],[Capacity Approx]]*'[1]Load Factor Sheet June Acft  '!$D$5</f>
        <v>68.391818181818181</v>
      </c>
      <c r="T4142" s="22">
        <f>tblDailySchedule[[#This Row],[STD]]</f>
        <v>0.56944444444444442</v>
      </c>
    </row>
    <row r="4143" spans="1:20" hidden="1" x14ac:dyDescent="0.35">
      <c r="A4143" s="11">
        <v>46259</v>
      </c>
      <c r="B4143" s="3">
        <v>2</v>
      </c>
      <c r="C4143" t="s">
        <v>108</v>
      </c>
      <c r="D4143" t="s">
        <v>18</v>
      </c>
      <c r="E4143" s="3">
        <v>13</v>
      </c>
      <c r="F4143" t="s">
        <v>19</v>
      </c>
      <c r="G4143" t="s">
        <v>57</v>
      </c>
      <c r="H4143" t="s">
        <v>58</v>
      </c>
      <c r="I4143" s="12">
        <v>0.55902777777777779</v>
      </c>
      <c r="J4143" t="s">
        <v>59</v>
      </c>
      <c r="K4143" t="s">
        <v>58</v>
      </c>
      <c r="L4143" s="12">
        <v>0.57638888888888884</v>
      </c>
      <c r="M4143" t="s">
        <v>51</v>
      </c>
      <c r="N4143" s="3">
        <v>78</v>
      </c>
      <c r="O4143" t="s">
        <v>24</v>
      </c>
      <c r="P4143" t="s">
        <v>56</v>
      </c>
      <c r="R4143">
        <f>tblDailySchedule[[#This Row],[Capacity Approx]]*'[1]Load Factor Sheet June Acft  '!$B$5</f>
        <v>63.162272727272729</v>
      </c>
      <c r="S4143">
        <f>tblDailySchedule[[#This Row],[Capacity Approx]]*'[1]Load Factor Sheet June Acft  '!$D$5</f>
        <v>68.391818181818181</v>
      </c>
      <c r="T4143" s="22">
        <f>tblDailySchedule[[#This Row],[STD]]</f>
        <v>0.57638888888888884</v>
      </c>
    </row>
    <row r="4144" spans="1:20" hidden="1" x14ac:dyDescent="0.35">
      <c r="A4144" s="11">
        <v>46259</v>
      </c>
      <c r="B4144" s="3">
        <v>2</v>
      </c>
      <c r="C4144" t="s">
        <v>108</v>
      </c>
      <c r="D4144" t="s">
        <v>18</v>
      </c>
      <c r="E4144" s="3">
        <v>14</v>
      </c>
      <c r="F4144" t="s">
        <v>19</v>
      </c>
      <c r="G4144" t="s">
        <v>60</v>
      </c>
      <c r="H4144" t="s">
        <v>61</v>
      </c>
      <c r="I4144" s="12">
        <v>0.59027777777777779</v>
      </c>
      <c r="J4144" t="s">
        <v>62</v>
      </c>
      <c r="K4144" t="s">
        <v>61</v>
      </c>
      <c r="L4144" s="12">
        <v>0.62152777777777779</v>
      </c>
      <c r="M4144" t="s">
        <v>63</v>
      </c>
      <c r="N4144" s="3">
        <v>232</v>
      </c>
      <c r="O4144" t="s">
        <v>24</v>
      </c>
      <c r="P4144" t="s">
        <v>56</v>
      </c>
      <c r="R4144">
        <f>tblDailySchedule[[#This Row],[Capacity Approx]]*'[1]Load Factor Sheet June Acft  '!$B$5</f>
        <v>187.86727272727273</v>
      </c>
      <c r="S4144">
        <f>tblDailySchedule[[#This Row],[Capacity Approx]]*'[1]Load Factor Sheet June Acft  '!$D$5</f>
        <v>203.4218181818182</v>
      </c>
      <c r="T4144" s="22">
        <f>tblDailySchedule[[#This Row],[STD]]</f>
        <v>0.62152777777777779</v>
      </c>
    </row>
    <row r="4145" spans="1:20" hidden="1" x14ac:dyDescent="0.35">
      <c r="A4145" s="11">
        <v>46259</v>
      </c>
      <c r="B4145" s="3">
        <v>2</v>
      </c>
      <c r="C4145" t="s">
        <v>108</v>
      </c>
      <c r="D4145" t="s">
        <v>18</v>
      </c>
      <c r="E4145" s="3">
        <v>15</v>
      </c>
      <c r="F4145" t="s">
        <v>19</v>
      </c>
      <c r="G4145" t="s">
        <v>64</v>
      </c>
      <c r="H4145" t="s">
        <v>31</v>
      </c>
      <c r="I4145" s="12">
        <v>0.60069444444444442</v>
      </c>
      <c r="J4145" t="s">
        <v>65</v>
      </c>
      <c r="K4145" t="s">
        <v>66</v>
      </c>
      <c r="L4145" s="12">
        <v>0.62847222222222221</v>
      </c>
      <c r="M4145" t="s">
        <v>63</v>
      </c>
      <c r="N4145" s="3">
        <v>232</v>
      </c>
      <c r="O4145" t="s">
        <v>24</v>
      </c>
      <c r="P4145" t="s">
        <v>56</v>
      </c>
      <c r="R4145">
        <f>tblDailySchedule[[#This Row],[Capacity Approx]]*'[1]Load Factor Sheet June Acft  '!$B$5</f>
        <v>187.86727272727273</v>
      </c>
      <c r="S4145">
        <f>tblDailySchedule[[#This Row],[Capacity Approx]]*'[1]Load Factor Sheet June Acft  '!$D$5</f>
        <v>203.4218181818182</v>
      </c>
      <c r="T4145" s="22">
        <f>tblDailySchedule[[#This Row],[STD]]</f>
        <v>0.62847222222222221</v>
      </c>
    </row>
    <row r="4146" spans="1:20" hidden="1" x14ac:dyDescent="0.35">
      <c r="A4146" s="11">
        <v>46259</v>
      </c>
      <c r="B4146" s="3">
        <v>2</v>
      </c>
      <c r="C4146" t="s">
        <v>108</v>
      </c>
      <c r="D4146" t="s">
        <v>18</v>
      </c>
      <c r="E4146" s="3">
        <v>16</v>
      </c>
      <c r="F4146" t="s">
        <v>19</v>
      </c>
      <c r="G4146" t="s">
        <v>67</v>
      </c>
      <c r="H4146" t="s">
        <v>31</v>
      </c>
      <c r="I4146" s="12">
        <v>0.65625</v>
      </c>
      <c r="J4146" t="s">
        <v>68</v>
      </c>
      <c r="K4146" t="s">
        <v>31</v>
      </c>
      <c r="L4146" s="12">
        <v>0.68402777777777779</v>
      </c>
      <c r="M4146" t="s">
        <v>63</v>
      </c>
      <c r="N4146" s="3">
        <v>232</v>
      </c>
      <c r="O4146" t="s">
        <v>24</v>
      </c>
      <c r="P4146" t="s">
        <v>56</v>
      </c>
      <c r="R4146">
        <f>tblDailySchedule[[#This Row],[Capacity Approx]]*'[1]Load Factor Sheet June Acft  '!$B$5</f>
        <v>187.86727272727273</v>
      </c>
      <c r="S4146">
        <f>tblDailySchedule[[#This Row],[Capacity Approx]]*'[1]Load Factor Sheet June Acft  '!$D$5</f>
        <v>203.4218181818182</v>
      </c>
      <c r="T4146" s="22">
        <f>tblDailySchedule[[#This Row],[STD]]</f>
        <v>0.68402777777777779</v>
      </c>
    </row>
    <row r="4147" spans="1:20" hidden="1" x14ac:dyDescent="0.35">
      <c r="A4147" s="11">
        <v>46259</v>
      </c>
      <c r="B4147" s="3">
        <v>2</v>
      </c>
      <c r="C4147" t="s">
        <v>108</v>
      </c>
      <c r="D4147" t="s">
        <v>18</v>
      </c>
      <c r="E4147" s="3">
        <v>17</v>
      </c>
      <c r="F4147" t="s">
        <v>19</v>
      </c>
      <c r="G4147" t="s">
        <v>69</v>
      </c>
      <c r="H4147" t="s">
        <v>31</v>
      </c>
      <c r="I4147" s="12">
        <v>0.66319444444444442</v>
      </c>
      <c r="J4147" t="s">
        <v>70</v>
      </c>
      <c r="K4147" t="s">
        <v>31</v>
      </c>
      <c r="L4147" s="12">
        <v>0.69097222222222221</v>
      </c>
      <c r="M4147" t="s">
        <v>33</v>
      </c>
      <c r="N4147" s="3">
        <v>189</v>
      </c>
      <c r="O4147" t="s">
        <v>24</v>
      </c>
      <c r="P4147" t="s">
        <v>56</v>
      </c>
      <c r="R4147">
        <f>tblDailySchedule[[#This Row],[Capacity Approx]]*'[1]Load Factor Sheet June Acft  '!$B$5</f>
        <v>153.04704545454547</v>
      </c>
      <c r="S4147">
        <f>tblDailySchedule[[#This Row],[Capacity Approx]]*'[1]Load Factor Sheet June Acft  '!$D$5</f>
        <v>165.71863636363636</v>
      </c>
      <c r="T4147" s="22">
        <f>tblDailySchedule[[#This Row],[STD]]</f>
        <v>0.69097222222222221</v>
      </c>
    </row>
    <row r="4148" spans="1:20" hidden="1" x14ac:dyDescent="0.35">
      <c r="A4148" s="11">
        <v>46259</v>
      </c>
      <c r="B4148" s="3">
        <v>2</v>
      </c>
      <c r="C4148" t="s">
        <v>108</v>
      </c>
      <c r="D4148" t="s">
        <v>18</v>
      </c>
      <c r="E4148" s="3">
        <v>18</v>
      </c>
      <c r="F4148" t="s">
        <v>19</v>
      </c>
      <c r="G4148" t="s">
        <v>71</v>
      </c>
      <c r="H4148" t="s">
        <v>21</v>
      </c>
      <c r="I4148" s="12">
        <v>0.67013888888888884</v>
      </c>
      <c r="J4148" t="s">
        <v>72</v>
      </c>
      <c r="K4148" t="s">
        <v>21</v>
      </c>
      <c r="L4148" s="12">
        <v>0.69791666666666663</v>
      </c>
      <c r="M4148" t="s">
        <v>63</v>
      </c>
      <c r="N4148" s="3">
        <v>232</v>
      </c>
      <c r="O4148" t="s">
        <v>24</v>
      </c>
      <c r="P4148" t="s">
        <v>56</v>
      </c>
      <c r="R4148">
        <f>tblDailySchedule[[#This Row],[Capacity Approx]]*'[1]Load Factor Sheet June Acft  '!$B$5</f>
        <v>187.86727272727273</v>
      </c>
      <c r="S4148">
        <f>tblDailySchedule[[#This Row],[Capacity Approx]]*'[1]Load Factor Sheet June Acft  '!$D$5</f>
        <v>203.4218181818182</v>
      </c>
      <c r="T4148" s="22">
        <f>tblDailySchedule[[#This Row],[STD]]</f>
        <v>0.69791666666666663</v>
      </c>
    </row>
    <row r="4149" spans="1:20" hidden="1" x14ac:dyDescent="0.35">
      <c r="A4149" s="11">
        <v>46259</v>
      </c>
      <c r="B4149" s="3">
        <v>2</v>
      </c>
      <c r="C4149" t="s">
        <v>108</v>
      </c>
      <c r="D4149" t="s">
        <v>18</v>
      </c>
      <c r="E4149" s="3">
        <v>19</v>
      </c>
      <c r="F4149" t="s">
        <v>19</v>
      </c>
      <c r="G4149" t="s">
        <v>73</v>
      </c>
      <c r="H4149" t="s">
        <v>27</v>
      </c>
      <c r="I4149" s="12">
        <v>0.74652777777777779</v>
      </c>
      <c r="J4149" t="s">
        <v>74</v>
      </c>
      <c r="K4149" t="s">
        <v>27</v>
      </c>
      <c r="L4149" s="12">
        <v>0.77430555555555558</v>
      </c>
      <c r="M4149" t="s">
        <v>63</v>
      </c>
      <c r="N4149" s="3">
        <v>232</v>
      </c>
      <c r="O4149" t="s">
        <v>24</v>
      </c>
      <c r="P4149" t="s">
        <v>56</v>
      </c>
      <c r="R4149">
        <f>tblDailySchedule[[#This Row],[Capacity Approx]]*'[1]Load Factor Sheet June Acft  '!$B$5</f>
        <v>187.86727272727273</v>
      </c>
      <c r="S4149">
        <f>tblDailySchedule[[#This Row],[Capacity Approx]]*'[1]Load Factor Sheet June Acft  '!$D$5</f>
        <v>203.4218181818182</v>
      </c>
      <c r="T4149" s="22">
        <f>tblDailySchedule[[#This Row],[STD]]</f>
        <v>0.77430555555555558</v>
      </c>
    </row>
    <row r="4150" spans="1:20" hidden="1" x14ac:dyDescent="0.35">
      <c r="A4150" s="11">
        <v>46259</v>
      </c>
      <c r="B4150" s="3">
        <v>2</v>
      </c>
      <c r="C4150" t="s">
        <v>108</v>
      </c>
      <c r="D4150" t="s">
        <v>18</v>
      </c>
      <c r="E4150" s="3">
        <v>21</v>
      </c>
      <c r="F4150" t="s">
        <v>19</v>
      </c>
      <c r="G4150" t="s">
        <v>81</v>
      </c>
      <c r="H4150" t="s">
        <v>61</v>
      </c>
      <c r="I4150" s="12">
        <v>0.77083333333333337</v>
      </c>
      <c r="J4150" t="s">
        <v>82</v>
      </c>
      <c r="K4150" t="s">
        <v>49</v>
      </c>
      <c r="L4150" s="12">
        <v>0.79166666666666663</v>
      </c>
      <c r="M4150" t="s">
        <v>33</v>
      </c>
      <c r="N4150" s="3">
        <v>189</v>
      </c>
      <c r="O4150" t="s">
        <v>24</v>
      </c>
      <c r="P4150" t="s">
        <v>79</v>
      </c>
      <c r="R4150">
        <f>tblDailySchedule[[#This Row],[Capacity Approx]]*'[1]Load Factor Sheet June Acft  '!$B$5</f>
        <v>153.04704545454547</v>
      </c>
      <c r="S4150">
        <f>tblDailySchedule[[#This Row],[Capacity Approx]]*'[1]Load Factor Sheet June Acft  '!$D$5</f>
        <v>165.71863636363636</v>
      </c>
      <c r="T4150" s="22">
        <f>tblDailySchedule[[#This Row],[STD]]</f>
        <v>0.79166666666666663</v>
      </c>
    </row>
    <row r="4151" spans="1:20" hidden="1" x14ac:dyDescent="0.35">
      <c r="A4151" s="11">
        <v>46259</v>
      </c>
      <c r="B4151" s="3">
        <v>2</v>
      </c>
      <c r="C4151" t="s">
        <v>108</v>
      </c>
      <c r="D4151" t="s">
        <v>18</v>
      </c>
      <c r="E4151" s="3">
        <v>22</v>
      </c>
      <c r="F4151" t="s">
        <v>19</v>
      </c>
      <c r="G4151" t="s">
        <v>83</v>
      </c>
      <c r="H4151" t="s">
        <v>31</v>
      </c>
      <c r="I4151" s="12">
        <v>0.77777777777777779</v>
      </c>
      <c r="J4151" t="s">
        <v>84</v>
      </c>
      <c r="K4151" t="s">
        <v>31</v>
      </c>
      <c r="L4151" s="12">
        <v>0.80555555555555558</v>
      </c>
      <c r="M4151" t="s">
        <v>63</v>
      </c>
      <c r="N4151" s="3">
        <v>232</v>
      </c>
      <c r="O4151" t="s">
        <v>24</v>
      </c>
      <c r="P4151" t="s">
        <v>79</v>
      </c>
      <c r="R4151">
        <f>tblDailySchedule[[#This Row],[Capacity Approx]]*'[1]Load Factor Sheet June Acft  '!$B$5</f>
        <v>187.86727272727273</v>
      </c>
      <c r="S4151">
        <f>tblDailySchedule[[#This Row],[Capacity Approx]]*'[1]Load Factor Sheet June Acft  '!$D$5</f>
        <v>203.4218181818182</v>
      </c>
      <c r="T4151" s="22">
        <f>tblDailySchedule[[#This Row],[STD]]</f>
        <v>0.80555555555555558</v>
      </c>
    </row>
    <row r="4152" spans="1:20" hidden="1" x14ac:dyDescent="0.35">
      <c r="A4152" s="11">
        <v>46259</v>
      </c>
      <c r="B4152" s="3">
        <v>2</v>
      </c>
      <c r="C4152" t="s">
        <v>108</v>
      </c>
      <c r="D4152" t="s">
        <v>18</v>
      </c>
      <c r="E4152" s="3">
        <v>23</v>
      </c>
      <c r="F4152" t="s">
        <v>19</v>
      </c>
      <c r="G4152" t="s">
        <v>85</v>
      </c>
      <c r="H4152" t="s">
        <v>86</v>
      </c>
      <c r="I4152" s="12">
        <v>0.79861111111111116</v>
      </c>
      <c r="J4152" t="s">
        <v>87</v>
      </c>
      <c r="K4152" t="s">
        <v>86</v>
      </c>
      <c r="L4152" s="12">
        <v>0.82638888888888884</v>
      </c>
      <c r="M4152" t="s">
        <v>63</v>
      </c>
      <c r="N4152" s="3">
        <v>232</v>
      </c>
      <c r="O4152" t="s">
        <v>24</v>
      </c>
      <c r="P4152" t="s">
        <v>79</v>
      </c>
      <c r="R4152">
        <f>tblDailySchedule[[#This Row],[Capacity Approx]]*'[1]Load Factor Sheet June Acft  '!$B$5</f>
        <v>187.86727272727273</v>
      </c>
      <c r="S4152">
        <f>tblDailySchedule[[#This Row],[Capacity Approx]]*'[1]Load Factor Sheet June Acft  '!$D$5</f>
        <v>203.4218181818182</v>
      </c>
      <c r="T4152" s="22">
        <f>tblDailySchedule[[#This Row],[STD]]</f>
        <v>0.82638888888888884</v>
      </c>
    </row>
    <row r="4153" spans="1:20" hidden="1" x14ac:dyDescent="0.35">
      <c r="A4153" s="11">
        <v>46259</v>
      </c>
      <c r="B4153" s="3">
        <v>2</v>
      </c>
      <c r="C4153" t="s">
        <v>108</v>
      </c>
      <c r="D4153" t="s">
        <v>18</v>
      </c>
      <c r="E4153" s="3">
        <v>24</v>
      </c>
      <c r="F4153" t="s">
        <v>19</v>
      </c>
      <c r="G4153" t="s">
        <v>88</v>
      </c>
      <c r="H4153" t="s">
        <v>89</v>
      </c>
      <c r="I4153" s="12">
        <v>0.83333333333333337</v>
      </c>
      <c r="J4153" t="s">
        <v>90</v>
      </c>
      <c r="K4153" t="s">
        <v>31</v>
      </c>
      <c r="L4153" s="12">
        <v>0.86111111111111116</v>
      </c>
      <c r="M4153" t="s">
        <v>63</v>
      </c>
      <c r="N4153" s="3">
        <v>232</v>
      </c>
      <c r="O4153" t="s">
        <v>24</v>
      </c>
      <c r="P4153" t="s">
        <v>79</v>
      </c>
      <c r="R4153">
        <f>tblDailySchedule[[#This Row],[Capacity Approx]]*'[1]Load Factor Sheet June Acft  '!$B$5</f>
        <v>187.86727272727273</v>
      </c>
      <c r="S4153">
        <f>tblDailySchedule[[#This Row],[Capacity Approx]]*'[1]Load Factor Sheet June Acft  '!$D$5</f>
        <v>203.4218181818182</v>
      </c>
      <c r="T4153" s="22">
        <f>tblDailySchedule[[#This Row],[STD]]</f>
        <v>0.86111111111111116</v>
      </c>
    </row>
    <row r="4154" spans="1:20" hidden="1" x14ac:dyDescent="0.35">
      <c r="A4154" s="11">
        <v>46259</v>
      </c>
      <c r="B4154" s="3">
        <v>2</v>
      </c>
      <c r="C4154" t="s">
        <v>108</v>
      </c>
      <c r="D4154" t="s">
        <v>18</v>
      </c>
      <c r="E4154" s="3">
        <v>25</v>
      </c>
      <c r="F4154" t="s">
        <v>19</v>
      </c>
      <c r="G4154" t="s">
        <v>91</v>
      </c>
      <c r="H4154" t="s">
        <v>61</v>
      </c>
      <c r="I4154" s="12">
        <v>0.85416666666666663</v>
      </c>
      <c r="J4154" t="s">
        <v>92</v>
      </c>
      <c r="K4154" t="s">
        <v>61</v>
      </c>
      <c r="L4154" s="12">
        <v>0.88194444444444442</v>
      </c>
      <c r="M4154" t="s">
        <v>63</v>
      </c>
      <c r="N4154" s="3">
        <v>232</v>
      </c>
      <c r="O4154" t="s">
        <v>24</v>
      </c>
      <c r="P4154" t="s">
        <v>79</v>
      </c>
      <c r="R4154">
        <f>tblDailySchedule[[#This Row],[Capacity Approx]]*'[1]Load Factor Sheet June Acft  '!$B$5</f>
        <v>187.86727272727273</v>
      </c>
      <c r="S4154">
        <f>tblDailySchedule[[#This Row],[Capacity Approx]]*'[1]Load Factor Sheet June Acft  '!$D$5</f>
        <v>203.4218181818182</v>
      </c>
      <c r="T4154" s="22">
        <f>tblDailySchedule[[#This Row],[STD]]</f>
        <v>0.88194444444444442</v>
      </c>
    </row>
    <row r="4155" spans="1:20" hidden="1" x14ac:dyDescent="0.35">
      <c r="A4155" s="11">
        <v>46259</v>
      </c>
      <c r="B4155" s="3">
        <v>2</v>
      </c>
      <c r="C4155" t="s">
        <v>108</v>
      </c>
      <c r="D4155" t="s">
        <v>18</v>
      </c>
      <c r="E4155" s="3">
        <v>26</v>
      </c>
      <c r="F4155" t="s">
        <v>19</v>
      </c>
      <c r="G4155" t="s">
        <v>93</v>
      </c>
      <c r="H4155" t="s">
        <v>31</v>
      </c>
      <c r="I4155" s="12">
        <v>0.86111111111111116</v>
      </c>
      <c r="J4155" t="s">
        <v>94</v>
      </c>
      <c r="K4155" t="s">
        <v>31</v>
      </c>
      <c r="L4155" s="12">
        <v>0.88888888888888884</v>
      </c>
      <c r="M4155" t="s">
        <v>23</v>
      </c>
      <c r="N4155" s="3">
        <v>186</v>
      </c>
      <c r="O4155" t="s">
        <v>24</v>
      </c>
      <c r="P4155" t="s">
        <v>79</v>
      </c>
      <c r="R4155">
        <f>tblDailySchedule[[#This Row],[Capacity Approx]]*'[1]Load Factor Sheet June Acft  '!$B$5</f>
        <v>150.61772727272728</v>
      </c>
      <c r="S4155">
        <f>tblDailySchedule[[#This Row],[Capacity Approx]]*'[1]Load Factor Sheet June Acft  '!$D$5</f>
        <v>163.08818181818182</v>
      </c>
      <c r="T4155" s="22">
        <f>tblDailySchedule[[#This Row],[STD]]</f>
        <v>0.88888888888888884</v>
      </c>
    </row>
    <row r="4156" spans="1:20" hidden="1" x14ac:dyDescent="0.35">
      <c r="A4156" s="11">
        <v>46259</v>
      </c>
      <c r="B4156" s="3">
        <v>2</v>
      </c>
      <c r="C4156" t="s">
        <v>108</v>
      </c>
      <c r="D4156" t="s">
        <v>18</v>
      </c>
      <c r="E4156" s="3">
        <v>27</v>
      </c>
      <c r="F4156" t="s">
        <v>19</v>
      </c>
      <c r="G4156" t="s">
        <v>95</v>
      </c>
      <c r="H4156" t="s">
        <v>21</v>
      </c>
      <c r="I4156" s="12">
        <v>0.86805555555555558</v>
      </c>
      <c r="J4156" t="s">
        <v>96</v>
      </c>
      <c r="K4156" t="s">
        <v>21</v>
      </c>
      <c r="L4156" s="12">
        <v>0.89583333333333337</v>
      </c>
      <c r="M4156" t="s">
        <v>29</v>
      </c>
      <c r="N4156" s="3">
        <v>186</v>
      </c>
      <c r="O4156" t="s">
        <v>24</v>
      </c>
      <c r="P4156" t="s">
        <v>79</v>
      </c>
      <c r="R4156">
        <f>tblDailySchedule[[#This Row],[Capacity Approx]]*'[1]Load Factor Sheet June Acft  '!$B$5</f>
        <v>150.61772727272728</v>
      </c>
      <c r="S4156">
        <f>tblDailySchedule[[#This Row],[Capacity Approx]]*'[1]Load Factor Sheet June Acft  '!$D$5</f>
        <v>163.08818181818182</v>
      </c>
      <c r="T4156" s="22">
        <f>tblDailySchedule[[#This Row],[STD]]</f>
        <v>0.89583333333333337</v>
      </c>
    </row>
    <row r="4157" spans="1:20" hidden="1" x14ac:dyDescent="0.35">
      <c r="A4157" s="11">
        <v>46259</v>
      </c>
      <c r="B4157" s="3">
        <v>2</v>
      </c>
      <c r="C4157" t="s">
        <v>108</v>
      </c>
      <c r="D4157" t="s">
        <v>18</v>
      </c>
      <c r="E4157" s="3">
        <v>28</v>
      </c>
      <c r="F4157" t="s">
        <v>19</v>
      </c>
      <c r="G4157" t="s">
        <v>97</v>
      </c>
      <c r="H4157" t="s">
        <v>49</v>
      </c>
      <c r="I4157" s="12">
        <v>0.90277777777777779</v>
      </c>
      <c r="J4157" t="s">
        <v>97</v>
      </c>
      <c r="K4157" t="s">
        <v>61</v>
      </c>
      <c r="L4157" s="12">
        <v>0.92361111111111116</v>
      </c>
      <c r="M4157" t="s">
        <v>33</v>
      </c>
      <c r="N4157" s="3">
        <v>189</v>
      </c>
      <c r="O4157" t="s">
        <v>24</v>
      </c>
      <c r="P4157" t="s">
        <v>79</v>
      </c>
      <c r="R4157">
        <f>tblDailySchedule[[#This Row],[Capacity Approx]]*'[1]Load Factor Sheet June Acft  '!$B$5</f>
        <v>153.04704545454547</v>
      </c>
      <c r="S4157">
        <f>tblDailySchedule[[#This Row],[Capacity Approx]]*'[1]Load Factor Sheet June Acft  '!$D$5</f>
        <v>165.71863636363636</v>
      </c>
      <c r="T4157" s="22">
        <f>tblDailySchedule[[#This Row],[STD]]</f>
        <v>0.92361111111111116</v>
      </c>
    </row>
    <row r="4158" spans="1:20" hidden="1" x14ac:dyDescent="0.35">
      <c r="A4158" s="11">
        <v>46259</v>
      </c>
      <c r="B4158" s="3">
        <v>2</v>
      </c>
      <c r="C4158" t="s">
        <v>108</v>
      </c>
      <c r="D4158" t="s">
        <v>18</v>
      </c>
      <c r="E4158" s="3">
        <v>29</v>
      </c>
      <c r="F4158" t="s">
        <v>19</v>
      </c>
      <c r="G4158" t="s">
        <v>98</v>
      </c>
      <c r="H4158" t="s">
        <v>21</v>
      </c>
      <c r="I4158" s="12">
        <v>0.92013888888888884</v>
      </c>
      <c r="J4158" t="s">
        <v>99</v>
      </c>
      <c r="K4158" t="s">
        <v>21</v>
      </c>
      <c r="L4158" s="12">
        <v>0.94791666666666663</v>
      </c>
      <c r="M4158" t="s">
        <v>63</v>
      </c>
      <c r="N4158" s="3">
        <v>232</v>
      </c>
      <c r="O4158" t="s">
        <v>24</v>
      </c>
      <c r="P4158" t="s">
        <v>79</v>
      </c>
      <c r="R4158">
        <f>tblDailySchedule[[#This Row],[Capacity Approx]]*'[1]Load Factor Sheet June Acft  '!$B$5</f>
        <v>187.86727272727273</v>
      </c>
      <c r="S4158">
        <f>tblDailySchedule[[#This Row],[Capacity Approx]]*'[1]Load Factor Sheet June Acft  '!$D$5</f>
        <v>203.4218181818182</v>
      </c>
      <c r="T4158" s="22">
        <f>tblDailySchedule[[#This Row],[STD]]</f>
        <v>0.94791666666666663</v>
      </c>
    </row>
    <row r="4159" spans="1:20" hidden="1" x14ac:dyDescent="0.35">
      <c r="A4159" s="11">
        <v>46260</v>
      </c>
      <c r="B4159" s="3">
        <v>3</v>
      </c>
      <c r="C4159" t="s">
        <v>113</v>
      </c>
      <c r="D4159" t="s">
        <v>18</v>
      </c>
      <c r="E4159" s="3">
        <v>2</v>
      </c>
      <c r="F4159" t="s">
        <v>19</v>
      </c>
      <c r="G4159" t="s">
        <v>20</v>
      </c>
      <c r="H4159" t="s">
        <v>21</v>
      </c>
      <c r="I4159" s="12">
        <v>0.31944444444444442</v>
      </c>
      <c r="J4159" t="s">
        <v>22</v>
      </c>
      <c r="K4159" t="s">
        <v>21</v>
      </c>
      <c r="L4159" s="12">
        <v>0.34722222222222221</v>
      </c>
      <c r="M4159" t="s">
        <v>23</v>
      </c>
      <c r="N4159" s="3">
        <v>186</v>
      </c>
      <c r="O4159" t="s">
        <v>24</v>
      </c>
      <c r="P4159" t="s">
        <v>25</v>
      </c>
      <c r="R4159">
        <f>tblDailySchedule[[#This Row],[Capacity Approx]]*'[1]Load Factor Sheet June Acft  '!$B$5</f>
        <v>150.61772727272728</v>
      </c>
      <c r="S4159">
        <f>tblDailySchedule[[#This Row],[Capacity Approx]]*'[1]Load Factor Sheet June Acft  '!$D$5</f>
        <v>163.08818181818182</v>
      </c>
      <c r="T4159" s="22">
        <f>tblDailySchedule[[#This Row],[STD]]</f>
        <v>0.34722222222222221</v>
      </c>
    </row>
    <row r="4160" spans="1:20" hidden="1" x14ac:dyDescent="0.35">
      <c r="A4160" s="11">
        <v>46260</v>
      </c>
      <c r="B4160" s="3">
        <v>3</v>
      </c>
      <c r="C4160" t="s">
        <v>113</v>
      </c>
      <c r="D4160" t="s">
        <v>18</v>
      </c>
      <c r="E4160" s="3">
        <v>3</v>
      </c>
      <c r="F4160" t="s">
        <v>19</v>
      </c>
      <c r="G4160" t="s">
        <v>26</v>
      </c>
      <c r="H4160" t="s">
        <v>27</v>
      </c>
      <c r="I4160" s="12">
        <v>0.3263888888888889</v>
      </c>
      <c r="J4160" t="s">
        <v>28</v>
      </c>
      <c r="K4160" t="s">
        <v>27</v>
      </c>
      <c r="L4160" s="12">
        <v>0.35416666666666669</v>
      </c>
      <c r="M4160" t="s">
        <v>29</v>
      </c>
      <c r="N4160" s="3">
        <v>186</v>
      </c>
      <c r="O4160" t="s">
        <v>24</v>
      </c>
      <c r="P4160" t="s">
        <v>25</v>
      </c>
      <c r="R4160">
        <f>tblDailySchedule[[#This Row],[Capacity Approx]]*'[1]Load Factor Sheet June Acft  '!$B$5</f>
        <v>150.61772727272728</v>
      </c>
      <c r="S4160">
        <f>tblDailySchedule[[#This Row],[Capacity Approx]]*'[1]Load Factor Sheet June Acft  '!$D$5</f>
        <v>163.08818181818182</v>
      </c>
      <c r="T4160" s="22">
        <f>tblDailySchedule[[#This Row],[STD]]</f>
        <v>0.35416666666666669</v>
      </c>
    </row>
    <row r="4161" spans="1:20" hidden="1" x14ac:dyDescent="0.35">
      <c r="A4161" s="11">
        <v>46260</v>
      </c>
      <c r="B4161" s="3">
        <v>3</v>
      </c>
      <c r="C4161" t="s">
        <v>113</v>
      </c>
      <c r="D4161" t="s">
        <v>18</v>
      </c>
      <c r="E4161" s="3">
        <v>4</v>
      </c>
      <c r="F4161" t="s">
        <v>19</v>
      </c>
      <c r="G4161" t="s">
        <v>30</v>
      </c>
      <c r="H4161" t="s">
        <v>31</v>
      </c>
      <c r="I4161" s="12">
        <v>0.34722222222222221</v>
      </c>
      <c r="J4161" t="s">
        <v>32</v>
      </c>
      <c r="K4161" t="s">
        <v>31</v>
      </c>
      <c r="L4161" s="12">
        <v>0.36805555555555558</v>
      </c>
      <c r="M4161" t="s">
        <v>33</v>
      </c>
      <c r="N4161" s="3">
        <v>189</v>
      </c>
      <c r="O4161" t="s">
        <v>24</v>
      </c>
      <c r="P4161" t="s">
        <v>25</v>
      </c>
      <c r="R4161">
        <f>tblDailySchedule[[#This Row],[Capacity Approx]]*'[1]Load Factor Sheet June Acft  '!$B$5</f>
        <v>153.04704545454547</v>
      </c>
      <c r="S4161">
        <f>tblDailySchedule[[#This Row],[Capacity Approx]]*'[1]Load Factor Sheet June Acft  '!$D$5</f>
        <v>165.71863636363636</v>
      </c>
      <c r="T4161" s="22">
        <f>tblDailySchedule[[#This Row],[STD]]</f>
        <v>0.36805555555555558</v>
      </c>
    </row>
    <row r="4162" spans="1:20" hidden="1" x14ac:dyDescent="0.35">
      <c r="A4162" s="13">
        <v>46260</v>
      </c>
      <c r="B4162" s="7">
        <v>3</v>
      </c>
      <c r="C4162" s="14" t="s">
        <v>113</v>
      </c>
      <c r="D4162" s="14" t="s">
        <v>18</v>
      </c>
      <c r="E4162" s="7">
        <v>6</v>
      </c>
      <c r="F4162" s="14" t="s">
        <v>34</v>
      </c>
      <c r="G4162" s="14" t="s">
        <v>35</v>
      </c>
      <c r="H4162" s="14" t="s">
        <v>36</v>
      </c>
      <c r="I4162" s="15">
        <v>0.34722222222222221</v>
      </c>
      <c r="J4162" s="14" t="s">
        <v>37</v>
      </c>
      <c r="K4162" s="14" t="s">
        <v>36</v>
      </c>
      <c r="L4162" s="15">
        <v>0.40972222222222221</v>
      </c>
      <c r="M4162" s="14" t="s">
        <v>38</v>
      </c>
      <c r="N4162" s="7">
        <v>186</v>
      </c>
      <c r="O4162" s="14" t="s">
        <v>39</v>
      </c>
      <c r="P4162" s="14" t="s">
        <v>25</v>
      </c>
      <c r="Q4162" s="14" t="s">
        <v>39</v>
      </c>
      <c r="R4162">
        <f>tblDailySchedule[[#This Row],[Capacity Approx]]*'[1]Load Factor Sheet June Acft  '!$B$5</f>
        <v>150.61772727272728</v>
      </c>
      <c r="S4162">
        <f>tblDailySchedule[[#This Row],[Capacity Approx]]*'[1]Load Factor Sheet June Acft  '!$D$5</f>
        <v>163.08818181818182</v>
      </c>
      <c r="T4162" s="22">
        <f>tblDailySchedule[[#This Row],[STD]]</f>
        <v>0.40972222222222221</v>
      </c>
    </row>
    <row r="4163" spans="1:20" hidden="1" x14ac:dyDescent="0.35">
      <c r="A4163" s="11">
        <v>46260</v>
      </c>
      <c r="B4163" s="3">
        <v>3</v>
      </c>
      <c r="C4163" t="s">
        <v>113</v>
      </c>
      <c r="D4163" t="s">
        <v>18</v>
      </c>
      <c r="E4163" s="3">
        <v>5</v>
      </c>
      <c r="F4163" t="s">
        <v>19</v>
      </c>
      <c r="G4163" t="s">
        <v>40</v>
      </c>
      <c r="H4163" t="s">
        <v>31</v>
      </c>
      <c r="I4163" s="12">
        <v>0.35069444444444442</v>
      </c>
      <c r="J4163" t="s">
        <v>41</v>
      </c>
      <c r="K4163" t="s">
        <v>31</v>
      </c>
      <c r="L4163" s="12">
        <v>0.37152777777777779</v>
      </c>
      <c r="M4163" t="s">
        <v>23</v>
      </c>
      <c r="N4163" s="3">
        <v>186</v>
      </c>
      <c r="O4163" t="s">
        <v>24</v>
      </c>
      <c r="P4163" t="s">
        <v>25</v>
      </c>
      <c r="R4163">
        <f>tblDailySchedule[[#This Row],[Capacity Approx]]*'[1]Load Factor Sheet June Acft  '!$B$5</f>
        <v>150.61772727272728</v>
      </c>
      <c r="S4163">
        <f>tblDailySchedule[[#This Row],[Capacity Approx]]*'[1]Load Factor Sheet June Acft  '!$D$5</f>
        <v>163.08818181818182</v>
      </c>
      <c r="T4163" s="22">
        <f>tblDailySchedule[[#This Row],[STD]]</f>
        <v>0.37152777777777779</v>
      </c>
    </row>
    <row r="4164" spans="1:20" hidden="1" x14ac:dyDescent="0.35">
      <c r="A4164" s="11">
        <v>46260</v>
      </c>
      <c r="B4164" s="3">
        <v>3</v>
      </c>
      <c r="C4164" t="s">
        <v>113</v>
      </c>
      <c r="D4164" t="s">
        <v>18</v>
      </c>
      <c r="E4164" s="3">
        <v>7</v>
      </c>
      <c r="F4164" t="s">
        <v>19</v>
      </c>
      <c r="G4164" t="s">
        <v>42</v>
      </c>
      <c r="H4164" t="s">
        <v>43</v>
      </c>
      <c r="I4164" s="12">
        <v>0.3923611111111111</v>
      </c>
      <c r="J4164" t="s">
        <v>44</v>
      </c>
      <c r="K4164" t="s">
        <v>43</v>
      </c>
      <c r="L4164" s="12">
        <v>0.40277777777777779</v>
      </c>
      <c r="M4164" t="s">
        <v>45</v>
      </c>
      <c r="N4164" s="3">
        <v>9</v>
      </c>
      <c r="O4164" t="s">
        <v>24</v>
      </c>
      <c r="P4164" t="s">
        <v>25</v>
      </c>
      <c r="R4164">
        <f>tblDailySchedule[[#This Row],[Capacity Approx]]*'[1]Load Factor Sheet June Acft  '!$B$5</f>
        <v>7.2879545454545456</v>
      </c>
      <c r="S4164">
        <f>tblDailySchedule[[#This Row],[Capacity Approx]]*'[1]Load Factor Sheet June Acft  '!$D$5</f>
        <v>7.8913636363636366</v>
      </c>
      <c r="T4164" s="22">
        <f>tblDailySchedule[[#This Row],[STD]]</f>
        <v>0.40277777777777779</v>
      </c>
    </row>
    <row r="4165" spans="1:20" hidden="1" x14ac:dyDescent="0.35">
      <c r="A4165" s="11">
        <v>46260</v>
      </c>
      <c r="B4165" s="3">
        <v>3</v>
      </c>
      <c r="C4165" t="s">
        <v>113</v>
      </c>
      <c r="D4165" t="s">
        <v>18</v>
      </c>
      <c r="E4165" s="3">
        <v>8</v>
      </c>
      <c r="F4165" t="s">
        <v>19</v>
      </c>
      <c r="G4165" t="s">
        <v>46</v>
      </c>
      <c r="H4165" t="s">
        <v>31</v>
      </c>
      <c r="I4165" s="12">
        <v>0.4201388888888889</v>
      </c>
      <c r="J4165" t="s">
        <v>47</v>
      </c>
      <c r="K4165" t="s">
        <v>31</v>
      </c>
      <c r="L4165" s="12">
        <v>0.44444444444444442</v>
      </c>
      <c r="M4165" t="s">
        <v>29</v>
      </c>
      <c r="N4165" s="3">
        <v>186</v>
      </c>
      <c r="O4165" t="s">
        <v>24</v>
      </c>
      <c r="P4165" t="s">
        <v>25</v>
      </c>
      <c r="R4165">
        <f>tblDailySchedule[[#This Row],[Capacity Approx]]*'[1]Load Factor Sheet June Acft  '!$B$5</f>
        <v>150.61772727272728</v>
      </c>
      <c r="S4165">
        <f>tblDailySchedule[[#This Row],[Capacity Approx]]*'[1]Load Factor Sheet June Acft  '!$D$5</f>
        <v>163.08818181818182</v>
      </c>
      <c r="T4165" s="22">
        <f>tblDailySchedule[[#This Row],[STD]]</f>
        <v>0.44444444444444442</v>
      </c>
    </row>
    <row r="4166" spans="1:20" hidden="1" x14ac:dyDescent="0.35">
      <c r="A4166" s="11">
        <v>46260</v>
      </c>
      <c r="B4166" s="3">
        <v>3</v>
      </c>
      <c r="C4166" t="s">
        <v>113</v>
      </c>
      <c r="D4166" t="s">
        <v>18</v>
      </c>
      <c r="E4166" s="3">
        <v>9</v>
      </c>
      <c r="F4166" t="s">
        <v>19</v>
      </c>
      <c r="G4166" t="s">
        <v>48</v>
      </c>
      <c r="H4166" t="s">
        <v>49</v>
      </c>
      <c r="I4166" s="12">
        <v>0.4375</v>
      </c>
      <c r="J4166" t="s">
        <v>50</v>
      </c>
      <c r="K4166" t="s">
        <v>49</v>
      </c>
      <c r="L4166" s="12">
        <v>0.45833333333333331</v>
      </c>
      <c r="M4166" t="s">
        <v>51</v>
      </c>
      <c r="N4166" s="3">
        <v>78</v>
      </c>
      <c r="O4166" t="s">
        <v>24</v>
      </c>
      <c r="P4166" t="s">
        <v>25</v>
      </c>
      <c r="R4166">
        <f>tblDailySchedule[[#This Row],[Capacity Approx]]*'[1]Load Factor Sheet June Acft  '!$B$5</f>
        <v>63.162272727272729</v>
      </c>
      <c r="S4166">
        <f>tblDailySchedule[[#This Row],[Capacity Approx]]*'[1]Load Factor Sheet June Acft  '!$D$5</f>
        <v>68.391818181818181</v>
      </c>
      <c r="T4166" s="22">
        <f>tblDailySchedule[[#This Row],[STD]]</f>
        <v>0.45833333333333331</v>
      </c>
    </row>
    <row r="4167" spans="1:20" hidden="1" x14ac:dyDescent="0.35">
      <c r="A4167" s="11">
        <v>46260</v>
      </c>
      <c r="B4167" s="3">
        <v>3</v>
      </c>
      <c r="C4167" t="s">
        <v>113</v>
      </c>
      <c r="D4167" t="s">
        <v>18</v>
      </c>
      <c r="E4167" s="3">
        <v>10</v>
      </c>
      <c r="F4167" t="s">
        <v>19</v>
      </c>
      <c r="G4167" t="s">
        <v>52</v>
      </c>
      <c r="H4167" t="s">
        <v>27</v>
      </c>
      <c r="I4167" s="12">
        <v>0.4826388888888889</v>
      </c>
      <c r="J4167" t="s">
        <v>53</v>
      </c>
      <c r="K4167" t="s">
        <v>27</v>
      </c>
      <c r="L4167" s="12">
        <v>0.51041666666666663</v>
      </c>
      <c r="M4167" t="s">
        <v>23</v>
      </c>
      <c r="N4167" s="3">
        <v>186</v>
      </c>
      <c r="O4167" t="s">
        <v>24</v>
      </c>
      <c r="P4167" t="s">
        <v>25</v>
      </c>
      <c r="R4167">
        <f>tblDailySchedule[[#This Row],[Capacity Approx]]*'[1]Load Factor Sheet June Acft  '!$B$5</f>
        <v>150.61772727272728</v>
      </c>
      <c r="S4167">
        <f>tblDailySchedule[[#This Row],[Capacity Approx]]*'[1]Load Factor Sheet June Acft  '!$D$5</f>
        <v>163.08818181818182</v>
      </c>
      <c r="T4167" s="22">
        <f>tblDailySchedule[[#This Row],[STD]]</f>
        <v>0.51041666666666663</v>
      </c>
    </row>
    <row r="4168" spans="1:20" hidden="1" x14ac:dyDescent="0.35">
      <c r="A4168" s="11">
        <v>46260</v>
      </c>
      <c r="B4168" s="3">
        <v>3</v>
      </c>
      <c r="C4168" t="s">
        <v>113</v>
      </c>
      <c r="D4168" t="s">
        <v>18</v>
      </c>
      <c r="E4168" s="3">
        <v>11</v>
      </c>
      <c r="F4168" t="s">
        <v>19</v>
      </c>
      <c r="G4168" t="s">
        <v>54</v>
      </c>
      <c r="H4168" t="s">
        <v>31</v>
      </c>
      <c r="I4168" s="12">
        <v>0.51388888888888884</v>
      </c>
      <c r="J4168" t="s">
        <v>55</v>
      </c>
      <c r="K4168" t="s">
        <v>31</v>
      </c>
      <c r="L4168" s="12">
        <v>0.54166666666666663</v>
      </c>
      <c r="M4168" t="s">
        <v>23</v>
      </c>
      <c r="N4168" s="3">
        <v>186</v>
      </c>
      <c r="O4168" t="s">
        <v>24</v>
      </c>
      <c r="P4168" t="s">
        <v>56</v>
      </c>
      <c r="R4168">
        <f>tblDailySchedule[[#This Row],[Capacity Approx]]*'[1]Load Factor Sheet June Acft  '!$B$5</f>
        <v>150.61772727272728</v>
      </c>
      <c r="S4168">
        <f>tblDailySchedule[[#This Row],[Capacity Approx]]*'[1]Load Factor Sheet June Acft  '!$D$5</f>
        <v>163.08818181818182</v>
      </c>
      <c r="T4168" s="22">
        <f>tblDailySchedule[[#This Row],[STD]]</f>
        <v>0.54166666666666663</v>
      </c>
    </row>
    <row r="4169" spans="1:20" hidden="1" x14ac:dyDescent="0.35">
      <c r="A4169" s="11">
        <v>46260</v>
      </c>
      <c r="B4169" s="3">
        <v>3</v>
      </c>
      <c r="C4169" t="s">
        <v>113</v>
      </c>
      <c r="D4169" t="s">
        <v>18</v>
      </c>
      <c r="E4169" s="3">
        <v>13</v>
      </c>
      <c r="F4169" t="s">
        <v>19</v>
      </c>
      <c r="G4169" t="s">
        <v>57</v>
      </c>
      <c r="H4169" t="s">
        <v>58</v>
      </c>
      <c r="I4169" s="12">
        <v>0.55902777777777779</v>
      </c>
      <c r="J4169" t="s">
        <v>59</v>
      </c>
      <c r="K4169" t="s">
        <v>58</v>
      </c>
      <c r="L4169" s="12">
        <v>0.57638888888888884</v>
      </c>
      <c r="M4169" t="s">
        <v>51</v>
      </c>
      <c r="N4169" s="3">
        <v>78</v>
      </c>
      <c r="O4169" t="s">
        <v>24</v>
      </c>
      <c r="P4169" t="s">
        <v>56</v>
      </c>
      <c r="R4169">
        <f>tblDailySchedule[[#This Row],[Capacity Approx]]*'[1]Load Factor Sheet June Acft  '!$B$5</f>
        <v>63.162272727272729</v>
      </c>
      <c r="S4169">
        <f>tblDailySchedule[[#This Row],[Capacity Approx]]*'[1]Load Factor Sheet June Acft  '!$D$5</f>
        <v>68.391818181818181</v>
      </c>
      <c r="T4169" s="22">
        <f>tblDailySchedule[[#This Row],[STD]]</f>
        <v>0.57638888888888884</v>
      </c>
    </row>
    <row r="4170" spans="1:20" hidden="1" x14ac:dyDescent="0.35">
      <c r="A4170" s="11">
        <v>46260</v>
      </c>
      <c r="B4170" s="3">
        <v>3</v>
      </c>
      <c r="C4170" t="s">
        <v>113</v>
      </c>
      <c r="D4170" t="s">
        <v>18</v>
      </c>
      <c r="E4170" s="3">
        <v>14</v>
      </c>
      <c r="F4170" t="s">
        <v>19</v>
      </c>
      <c r="G4170" t="s">
        <v>60</v>
      </c>
      <c r="H4170" t="s">
        <v>61</v>
      </c>
      <c r="I4170" s="12">
        <v>0.59027777777777779</v>
      </c>
      <c r="J4170" t="s">
        <v>62</v>
      </c>
      <c r="K4170" t="s">
        <v>61</v>
      </c>
      <c r="L4170" s="12">
        <v>0.62152777777777779</v>
      </c>
      <c r="M4170" t="s">
        <v>63</v>
      </c>
      <c r="N4170" s="3">
        <v>232</v>
      </c>
      <c r="O4170" t="s">
        <v>24</v>
      </c>
      <c r="P4170" t="s">
        <v>56</v>
      </c>
      <c r="R4170">
        <f>tblDailySchedule[[#This Row],[Capacity Approx]]*'[1]Load Factor Sheet June Acft  '!$B$5</f>
        <v>187.86727272727273</v>
      </c>
      <c r="S4170">
        <f>tblDailySchedule[[#This Row],[Capacity Approx]]*'[1]Load Factor Sheet June Acft  '!$D$5</f>
        <v>203.4218181818182</v>
      </c>
      <c r="T4170" s="22">
        <f>tblDailySchedule[[#This Row],[STD]]</f>
        <v>0.62152777777777779</v>
      </c>
    </row>
    <row r="4171" spans="1:20" hidden="1" x14ac:dyDescent="0.35">
      <c r="A4171" s="11">
        <v>46260</v>
      </c>
      <c r="B4171" s="3">
        <v>3</v>
      </c>
      <c r="C4171" t="s">
        <v>113</v>
      </c>
      <c r="D4171" t="s">
        <v>18</v>
      </c>
      <c r="E4171" s="3">
        <v>15</v>
      </c>
      <c r="F4171" t="s">
        <v>19</v>
      </c>
      <c r="G4171" t="s">
        <v>64</v>
      </c>
      <c r="H4171" t="s">
        <v>31</v>
      </c>
      <c r="I4171" s="12">
        <v>0.60069444444444442</v>
      </c>
      <c r="J4171" t="s">
        <v>65</v>
      </c>
      <c r="K4171" t="s">
        <v>66</v>
      </c>
      <c r="L4171" s="12">
        <v>0.62847222222222221</v>
      </c>
      <c r="M4171" t="s">
        <v>63</v>
      </c>
      <c r="N4171" s="3">
        <v>232</v>
      </c>
      <c r="O4171" t="s">
        <v>24</v>
      </c>
      <c r="P4171" t="s">
        <v>56</v>
      </c>
      <c r="R4171">
        <f>tblDailySchedule[[#This Row],[Capacity Approx]]*'[1]Load Factor Sheet June Acft  '!$B$5</f>
        <v>187.86727272727273</v>
      </c>
      <c r="S4171">
        <f>tblDailySchedule[[#This Row],[Capacity Approx]]*'[1]Load Factor Sheet June Acft  '!$D$5</f>
        <v>203.4218181818182</v>
      </c>
      <c r="T4171" s="22">
        <f>tblDailySchedule[[#This Row],[STD]]</f>
        <v>0.62847222222222221</v>
      </c>
    </row>
    <row r="4172" spans="1:20" hidden="1" x14ac:dyDescent="0.35">
      <c r="A4172" s="11">
        <v>46260</v>
      </c>
      <c r="B4172" s="3">
        <v>3</v>
      </c>
      <c r="C4172" t="s">
        <v>113</v>
      </c>
      <c r="D4172" t="s">
        <v>18</v>
      </c>
      <c r="E4172" s="3">
        <v>16</v>
      </c>
      <c r="F4172" t="s">
        <v>19</v>
      </c>
      <c r="G4172" t="s">
        <v>67</v>
      </c>
      <c r="H4172" t="s">
        <v>31</v>
      </c>
      <c r="I4172" s="12">
        <v>0.65625</v>
      </c>
      <c r="J4172" t="s">
        <v>68</v>
      </c>
      <c r="K4172" t="s">
        <v>31</v>
      </c>
      <c r="L4172" s="12">
        <v>0.68402777777777779</v>
      </c>
      <c r="M4172" t="s">
        <v>63</v>
      </c>
      <c r="N4172" s="3">
        <v>232</v>
      </c>
      <c r="O4172" t="s">
        <v>24</v>
      </c>
      <c r="P4172" t="s">
        <v>56</v>
      </c>
      <c r="R4172">
        <f>tblDailySchedule[[#This Row],[Capacity Approx]]*'[1]Load Factor Sheet June Acft  '!$B$5</f>
        <v>187.86727272727273</v>
      </c>
      <c r="S4172">
        <f>tblDailySchedule[[#This Row],[Capacity Approx]]*'[1]Load Factor Sheet June Acft  '!$D$5</f>
        <v>203.4218181818182</v>
      </c>
      <c r="T4172" s="22">
        <f>tblDailySchedule[[#This Row],[STD]]</f>
        <v>0.68402777777777779</v>
      </c>
    </row>
    <row r="4173" spans="1:20" hidden="1" x14ac:dyDescent="0.35">
      <c r="A4173" s="11">
        <v>46260</v>
      </c>
      <c r="B4173" s="3">
        <v>3</v>
      </c>
      <c r="C4173" t="s">
        <v>113</v>
      </c>
      <c r="D4173" t="s">
        <v>18</v>
      </c>
      <c r="E4173" s="3">
        <v>17</v>
      </c>
      <c r="F4173" t="s">
        <v>19</v>
      </c>
      <c r="G4173" t="s">
        <v>69</v>
      </c>
      <c r="H4173" t="s">
        <v>31</v>
      </c>
      <c r="I4173" s="12">
        <v>0.66319444444444442</v>
      </c>
      <c r="J4173" t="s">
        <v>70</v>
      </c>
      <c r="K4173" t="s">
        <v>31</v>
      </c>
      <c r="L4173" s="12">
        <v>0.69097222222222221</v>
      </c>
      <c r="M4173" t="s">
        <v>33</v>
      </c>
      <c r="N4173" s="3">
        <v>189</v>
      </c>
      <c r="O4173" t="s">
        <v>24</v>
      </c>
      <c r="P4173" t="s">
        <v>56</v>
      </c>
      <c r="R4173">
        <f>tblDailySchedule[[#This Row],[Capacity Approx]]*'[1]Load Factor Sheet June Acft  '!$B$5</f>
        <v>153.04704545454547</v>
      </c>
      <c r="S4173">
        <f>tblDailySchedule[[#This Row],[Capacity Approx]]*'[1]Load Factor Sheet June Acft  '!$D$5</f>
        <v>165.71863636363636</v>
      </c>
      <c r="T4173" s="22">
        <f>tblDailySchedule[[#This Row],[STD]]</f>
        <v>0.69097222222222221</v>
      </c>
    </row>
    <row r="4174" spans="1:20" hidden="1" x14ac:dyDescent="0.35">
      <c r="A4174" s="11">
        <v>46260</v>
      </c>
      <c r="B4174" s="3">
        <v>3</v>
      </c>
      <c r="C4174" t="s">
        <v>113</v>
      </c>
      <c r="D4174" t="s">
        <v>18</v>
      </c>
      <c r="E4174" s="3">
        <v>18</v>
      </c>
      <c r="F4174" t="s">
        <v>19</v>
      </c>
      <c r="G4174" t="s">
        <v>71</v>
      </c>
      <c r="H4174" t="s">
        <v>21</v>
      </c>
      <c r="I4174" s="12">
        <v>0.67013888888888884</v>
      </c>
      <c r="J4174" t="s">
        <v>72</v>
      </c>
      <c r="K4174" t="s">
        <v>21</v>
      </c>
      <c r="L4174" s="12">
        <v>0.69791666666666663</v>
      </c>
      <c r="M4174" t="s">
        <v>63</v>
      </c>
      <c r="N4174" s="3">
        <v>232</v>
      </c>
      <c r="O4174" t="s">
        <v>24</v>
      </c>
      <c r="P4174" t="s">
        <v>56</v>
      </c>
      <c r="R4174">
        <f>tblDailySchedule[[#This Row],[Capacity Approx]]*'[1]Load Factor Sheet June Acft  '!$B$5</f>
        <v>187.86727272727273</v>
      </c>
      <c r="S4174">
        <f>tblDailySchedule[[#This Row],[Capacity Approx]]*'[1]Load Factor Sheet June Acft  '!$D$5</f>
        <v>203.4218181818182</v>
      </c>
      <c r="T4174" s="22">
        <f>tblDailySchedule[[#This Row],[STD]]</f>
        <v>0.69791666666666663</v>
      </c>
    </row>
    <row r="4175" spans="1:20" hidden="1" x14ac:dyDescent="0.35">
      <c r="A4175" s="11">
        <v>46260</v>
      </c>
      <c r="B4175" s="3">
        <v>3</v>
      </c>
      <c r="C4175" t="s">
        <v>113</v>
      </c>
      <c r="D4175" t="s">
        <v>18</v>
      </c>
      <c r="E4175" s="3">
        <v>19</v>
      </c>
      <c r="F4175" t="s">
        <v>19</v>
      </c>
      <c r="G4175" t="s">
        <v>73</v>
      </c>
      <c r="H4175" t="s">
        <v>27</v>
      </c>
      <c r="I4175" s="12">
        <v>0.74652777777777779</v>
      </c>
      <c r="J4175" t="s">
        <v>74</v>
      </c>
      <c r="K4175" t="s">
        <v>27</v>
      </c>
      <c r="L4175" s="12">
        <v>0.77430555555555558</v>
      </c>
      <c r="M4175" t="s">
        <v>63</v>
      </c>
      <c r="N4175" s="3">
        <v>232</v>
      </c>
      <c r="O4175" t="s">
        <v>24</v>
      </c>
      <c r="P4175" t="s">
        <v>56</v>
      </c>
      <c r="R4175">
        <f>tblDailySchedule[[#This Row],[Capacity Approx]]*'[1]Load Factor Sheet June Acft  '!$B$5</f>
        <v>187.86727272727273</v>
      </c>
      <c r="S4175">
        <f>tblDailySchedule[[#This Row],[Capacity Approx]]*'[1]Load Factor Sheet June Acft  '!$D$5</f>
        <v>203.4218181818182</v>
      </c>
      <c r="T4175" s="22">
        <f>tblDailySchedule[[#This Row],[STD]]</f>
        <v>0.77430555555555558</v>
      </c>
    </row>
    <row r="4176" spans="1:20" hidden="1" x14ac:dyDescent="0.35">
      <c r="A4176" s="11">
        <v>46260</v>
      </c>
      <c r="B4176" s="3">
        <v>3</v>
      </c>
      <c r="C4176" t="s">
        <v>113</v>
      </c>
      <c r="D4176" t="s">
        <v>18</v>
      </c>
      <c r="E4176" s="3">
        <v>20</v>
      </c>
      <c r="F4176" t="s">
        <v>34</v>
      </c>
      <c r="G4176" t="s">
        <v>75</v>
      </c>
      <c r="H4176" t="s">
        <v>76</v>
      </c>
      <c r="I4176" s="12">
        <v>0.76388888888888884</v>
      </c>
      <c r="J4176" t="s">
        <v>77</v>
      </c>
      <c r="K4176" t="s">
        <v>78</v>
      </c>
      <c r="L4176" s="12">
        <v>0.78472222222222221</v>
      </c>
      <c r="M4176" t="s">
        <v>51</v>
      </c>
      <c r="N4176" s="3">
        <v>78</v>
      </c>
      <c r="O4176" t="s">
        <v>24</v>
      </c>
      <c r="P4176" t="s">
        <v>79</v>
      </c>
      <c r="Q4176" s="16" t="s">
        <v>80</v>
      </c>
      <c r="R4176">
        <f>tblDailySchedule[[#This Row],[Capacity Approx]]*'[1]Load Factor Sheet June Acft  '!$B$5</f>
        <v>63.162272727272729</v>
      </c>
      <c r="S4176">
        <f>tblDailySchedule[[#This Row],[Capacity Approx]]*'[1]Load Factor Sheet June Acft  '!$D$5</f>
        <v>68.391818181818181</v>
      </c>
      <c r="T4176" s="22">
        <f>tblDailySchedule[[#This Row],[STD]]</f>
        <v>0.78472222222222221</v>
      </c>
    </row>
    <row r="4177" spans="1:20" hidden="1" x14ac:dyDescent="0.35">
      <c r="A4177" s="11">
        <v>46260</v>
      </c>
      <c r="B4177" s="3">
        <v>3</v>
      </c>
      <c r="C4177" t="s">
        <v>113</v>
      </c>
      <c r="D4177" t="s">
        <v>18</v>
      </c>
      <c r="E4177" s="3">
        <v>21</v>
      </c>
      <c r="F4177" t="s">
        <v>19</v>
      </c>
      <c r="G4177" t="s">
        <v>81</v>
      </c>
      <c r="H4177" t="s">
        <v>61</v>
      </c>
      <c r="I4177" s="12">
        <v>0.77083333333333337</v>
      </c>
      <c r="J4177" t="s">
        <v>82</v>
      </c>
      <c r="K4177" t="s">
        <v>49</v>
      </c>
      <c r="L4177" s="12">
        <v>0.79166666666666663</v>
      </c>
      <c r="M4177" t="s">
        <v>33</v>
      </c>
      <c r="N4177" s="3">
        <v>189</v>
      </c>
      <c r="O4177" t="s">
        <v>24</v>
      </c>
      <c r="P4177" t="s">
        <v>79</v>
      </c>
      <c r="R4177">
        <f>tblDailySchedule[[#This Row],[Capacity Approx]]*'[1]Load Factor Sheet June Acft  '!$B$5</f>
        <v>153.04704545454547</v>
      </c>
      <c r="S4177">
        <f>tblDailySchedule[[#This Row],[Capacity Approx]]*'[1]Load Factor Sheet June Acft  '!$D$5</f>
        <v>165.71863636363636</v>
      </c>
      <c r="T4177" s="22">
        <f>tblDailySchedule[[#This Row],[STD]]</f>
        <v>0.79166666666666663</v>
      </c>
    </row>
    <row r="4178" spans="1:20" hidden="1" x14ac:dyDescent="0.35">
      <c r="A4178" s="11">
        <v>46260</v>
      </c>
      <c r="B4178" s="3">
        <v>3</v>
      </c>
      <c r="C4178" t="s">
        <v>113</v>
      </c>
      <c r="D4178" t="s">
        <v>18</v>
      </c>
      <c r="E4178" s="3">
        <v>22</v>
      </c>
      <c r="F4178" t="s">
        <v>19</v>
      </c>
      <c r="G4178" t="s">
        <v>83</v>
      </c>
      <c r="H4178" t="s">
        <v>31</v>
      </c>
      <c r="I4178" s="12">
        <v>0.77777777777777779</v>
      </c>
      <c r="J4178" t="s">
        <v>84</v>
      </c>
      <c r="K4178" t="s">
        <v>31</v>
      </c>
      <c r="L4178" s="12">
        <v>0.80555555555555558</v>
      </c>
      <c r="M4178" t="s">
        <v>63</v>
      </c>
      <c r="N4178" s="3">
        <v>232</v>
      </c>
      <c r="O4178" t="s">
        <v>24</v>
      </c>
      <c r="P4178" t="s">
        <v>79</v>
      </c>
      <c r="R4178">
        <f>tblDailySchedule[[#This Row],[Capacity Approx]]*'[1]Load Factor Sheet June Acft  '!$B$5</f>
        <v>187.86727272727273</v>
      </c>
      <c r="S4178">
        <f>tblDailySchedule[[#This Row],[Capacity Approx]]*'[1]Load Factor Sheet June Acft  '!$D$5</f>
        <v>203.4218181818182</v>
      </c>
      <c r="T4178" s="22">
        <f>tblDailySchedule[[#This Row],[STD]]</f>
        <v>0.80555555555555558</v>
      </c>
    </row>
    <row r="4179" spans="1:20" hidden="1" x14ac:dyDescent="0.35">
      <c r="A4179" s="11">
        <v>46260</v>
      </c>
      <c r="B4179" s="3">
        <v>3</v>
      </c>
      <c r="C4179" t="s">
        <v>113</v>
      </c>
      <c r="D4179" t="s">
        <v>18</v>
      </c>
      <c r="E4179" s="3">
        <v>23</v>
      </c>
      <c r="F4179" t="s">
        <v>19</v>
      </c>
      <c r="G4179" t="s">
        <v>85</v>
      </c>
      <c r="H4179" t="s">
        <v>86</v>
      </c>
      <c r="I4179" s="12">
        <v>0.79861111111111116</v>
      </c>
      <c r="J4179" t="s">
        <v>87</v>
      </c>
      <c r="K4179" t="s">
        <v>86</v>
      </c>
      <c r="L4179" s="12">
        <v>0.82638888888888884</v>
      </c>
      <c r="M4179" t="s">
        <v>63</v>
      </c>
      <c r="N4179" s="3">
        <v>232</v>
      </c>
      <c r="O4179" t="s">
        <v>24</v>
      </c>
      <c r="P4179" t="s">
        <v>79</v>
      </c>
      <c r="R4179">
        <f>tblDailySchedule[[#This Row],[Capacity Approx]]*'[1]Load Factor Sheet June Acft  '!$B$5</f>
        <v>187.86727272727273</v>
      </c>
      <c r="S4179">
        <f>tblDailySchedule[[#This Row],[Capacity Approx]]*'[1]Load Factor Sheet June Acft  '!$D$5</f>
        <v>203.4218181818182</v>
      </c>
      <c r="T4179" s="22">
        <f>tblDailySchedule[[#This Row],[STD]]</f>
        <v>0.82638888888888884</v>
      </c>
    </row>
    <row r="4180" spans="1:20" hidden="1" x14ac:dyDescent="0.35">
      <c r="A4180" s="11">
        <v>46260</v>
      </c>
      <c r="B4180" s="3">
        <v>3</v>
      </c>
      <c r="C4180" t="s">
        <v>113</v>
      </c>
      <c r="D4180" t="s">
        <v>18</v>
      </c>
      <c r="E4180" s="3">
        <v>24</v>
      </c>
      <c r="F4180" t="s">
        <v>19</v>
      </c>
      <c r="G4180" t="s">
        <v>88</v>
      </c>
      <c r="H4180" t="s">
        <v>89</v>
      </c>
      <c r="I4180" s="12">
        <v>0.83333333333333337</v>
      </c>
      <c r="J4180" t="s">
        <v>90</v>
      </c>
      <c r="K4180" t="s">
        <v>31</v>
      </c>
      <c r="L4180" s="12">
        <v>0.86111111111111116</v>
      </c>
      <c r="M4180" t="s">
        <v>63</v>
      </c>
      <c r="N4180" s="3">
        <v>232</v>
      </c>
      <c r="O4180" t="s">
        <v>24</v>
      </c>
      <c r="P4180" t="s">
        <v>79</v>
      </c>
      <c r="R4180">
        <f>tblDailySchedule[[#This Row],[Capacity Approx]]*'[1]Load Factor Sheet June Acft  '!$B$5</f>
        <v>187.86727272727273</v>
      </c>
      <c r="S4180">
        <f>tblDailySchedule[[#This Row],[Capacity Approx]]*'[1]Load Factor Sheet June Acft  '!$D$5</f>
        <v>203.4218181818182</v>
      </c>
      <c r="T4180" s="22">
        <f>tblDailySchedule[[#This Row],[STD]]</f>
        <v>0.86111111111111116</v>
      </c>
    </row>
    <row r="4181" spans="1:20" hidden="1" x14ac:dyDescent="0.35">
      <c r="A4181" s="11">
        <v>46260</v>
      </c>
      <c r="B4181" s="3">
        <v>3</v>
      </c>
      <c r="C4181" t="s">
        <v>113</v>
      </c>
      <c r="D4181" t="s">
        <v>18</v>
      </c>
      <c r="E4181" s="3">
        <v>25</v>
      </c>
      <c r="F4181" t="s">
        <v>19</v>
      </c>
      <c r="G4181" t="s">
        <v>91</v>
      </c>
      <c r="H4181" t="s">
        <v>61</v>
      </c>
      <c r="I4181" s="12">
        <v>0.85416666666666663</v>
      </c>
      <c r="J4181" t="s">
        <v>92</v>
      </c>
      <c r="K4181" t="s">
        <v>61</v>
      </c>
      <c r="L4181" s="12">
        <v>0.88194444444444442</v>
      </c>
      <c r="M4181" t="s">
        <v>63</v>
      </c>
      <c r="N4181" s="3">
        <v>232</v>
      </c>
      <c r="O4181" t="s">
        <v>24</v>
      </c>
      <c r="P4181" t="s">
        <v>79</v>
      </c>
      <c r="R4181">
        <f>tblDailySchedule[[#This Row],[Capacity Approx]]*'[1]Load Factor Sheet June Acft  '!$B$5</f>
        <v>187.86727272727273</v>
      </c>
      <c r="S4181">
        <f>tblDailySchedule[[#This Row],[Capacity Approx]]*'[1]Load Factor Sheet June Acft  '!$D$5</f>
        <v>203.4218181818182</v>
      </c>
      <c r="T4181" s="22">
        <f>tblDailySchedule[[#This Row],[STD]]</f>
        <v>0.88194444444444442</v>
      </c>
    </row>
    <row r="4182" spans="1:20" hidden="1" x14ac:dyDescent="0.35">
      <c r="A4182" s="11">
        <v>46260</v>
      </c>
      <c r="B4182" s="3">
        <v>3</v>
      </c>
      <c r="C4182" t="s">
        <v>113</v>
      </c>
      <c r="D4182" t="s">
        <v>18</v>
      </c>
      <c r="E4182" s="3">
        <v>26</v>
      </c>
      <c r="F4182" t="s">
        <v>19</v>
      </c>
      <c r="G4182" t="s">
        <v>93</v>
      </c>
      <c r="H4182" t="s">
        <v>31</v>
      </c>
      <c r="I4182" s="12">
        <v>0.86111111111111116</v>
      </c>
      <c r="J4182" t="s">
        <v>94</v>
      </c>
      <c r="K4182" t="s">
        <v>31</v>
      </c>
      <c r="L4182" s="12">
        <v>0.88888888888888884</v>
      </c>
      <c r="M4182" t="s">
        <v>23</v>
      </c>
      <c r="N4182" s="3">
        <v>186</v>
      </c>
      <c r="O4182" t="s">
        <v>24</v>
      </c>
      <c r="P4182" t="s">
        <v>79</v>
      </c>
      <c r="R4182">
        <f>tblDailySchedule[[#This Row],[Capacity Approx]]*'[1]Load Factor Sheet June Acft  '!$B$5</f>
        <v>150.61772727272728</v>
      </c>
      <c r="S4182">
        <f>tblDailySchedule[[#This Row],[Capacity Approx]]*'[1]Load Factor Sheet June Acft  '!$D$5</f>
        <v>163.08818181818182</v>
      </c>
      <c r="T4182" s="22">
        <f>tblDailySchedule[[#This Row],[STD]]</f>
        <v>0.88888888888888884</v>
      </c>
    </row>
    <row r="4183" spans="1:20" hidden="1" x14ac:dyDescent="0.35">
      <c r="A4183" s="11">
        <v>46260</v>
      </c>
      <c r="B4183" s="3">
        <v>3</v>
      </c>
      <c r="C4183" t="s">
        <v>113</v>
      </c>
      <c r="D4183" t="s">
        <v>18</v>
      </c>
      <c r="E4183" s="3">
        <v>27</v>
      </c>
      <c r="F4183" t="s">
        <v>19</v>
      </c>
      <c r="G4183" t="s">
        <v>95</v>
      </c>
      <c r="H4183" t="s">
        <v>21</v>
      </c>
      <c r="I4183" s="12">
        <v>0.86805555555555558</v>
      </c>
      <c r="J4183" t="s">
        <v>96</v>
      </c>
      <c r="K4183" t="s">
        <v>21</v>
      </c>
      <c r="L4183" s="12">
        <v>0.89583333333333337</v>
      </c>
      <c r="M4183" t="s">
        <v>29</v>
      </c>
      <c r="N4183" s="3">
        <v>186</v>
      </c>
      <c r="O4183" t="s">
        <v>24</v>
      </c>
      <c r="P4183" t="s">
        <v>79</v>
      </c>
      <c r="R4183">
        <f>tblDailySchedule[[#This Row],[Capacity Approx]]*'[1]Load Factor Sheet June Acft  '!$B$5</f>
        <v>150.61772727272728</v>
      </c>
      <c r="S4183">
        <f>tblDailySchedule[[#This Row],[Capacity Approx]]*'[1]Load Factor Sheet June Acft  '!$D$5</f>
        <v>163.08818181818182</v>
      </c>
      <c r="T4183" s="22">
        <f>tblDailySchedule[[#This Row],[STD]]</f>
        <v>0.89583333333333337</v>
      </c>
    </row>
    <row r="4184" spans="1:20" hidden="1" x14ac:dyDescent="0.35">
      <c r="A4184" s="11">
        <v>46260</v>
      </c>
      <c r="B4184" s="3">
        <v>3</v>
      </c>
      <c r="C4184" t="s">
        <v>113</v>
      </c>
      <c r="D4184" t="s">
        <v>18</v>
      </c>
      <c r="E4184" s="3">
        <v>28</v>
      </c>
      <c r="F4184" t="s">
        <v>19</v>
      </c>
      <c r="G4184" t="s">
        <v>97</v>
      </c>
      <c r="H4184" t="s">
        <v>49</v>
      </c>
      <c r="I4184" s="12">
        <v>0.90277777777777779</v>
      </c>
      <c r="J4184" t="s">
        <v>97</v>
      </c>
      <c r="K4184" t="s">
        <v>61</v>
      </c>
      <c r="L4184" s="12">
        <v>0.92361111111111116</v>
      </c>
      <c r="M4184" t="s">
        <v>33</v>
      </c>
      <c r="N4184" s="3">
        <v>189</v>
      </c>
      <c r="O4184" t="s">
        <v>24</v>
      </c>
      <c r="P4184" t="s">
        <v>79</v>
      </c>
      <c r="R4184">
        <f>tblDailySchedule[[#This Row],[Capacity Approx]]*'[1]Load Factor Sheet June Acft  '!$B$5</f>
        <v>153.04704545454547</v>
      </c>
      <c r="S4184">
        <f>tblDailySchedule[[#This Row],[Capacity Approx]]*'[1]Load Factor Sheet June Acft  '!$D$5</f>
        <v>165.71863636363636</v>
      </c>
      <c r="T4184" s="22">
        <f>tblDailySchedule[[#This Row],[STD]]</f>
        <v>0.92361111111111116</v>
      </c>
    </row>
    <row r="4185" spans="1:20" hidden="1" x14ac:dyDescent="0.35">
      <c r="A4185" s="11">
        <v>46260</v>
      </c>
      <c r="B4185" s="3">
        <v>3</v>
      </c>
      <c r="C4185" t="s">
        <v>113</v>
      </c>
      <c r="D4185" t="s">
        <v>18</v>
      </c>
      <c r="E4185" s="3">
        <v>29</v>
      </c>
      <c r="F4185" t="s">
        <v>19</v>
      </c>
      <c r="G4185" t="s">
        <v>98</v>
      </c>
      <c r="H4185" t="s">
        <v>21</v>
      </c>
      <c r="I4185" s="12">
        <v>0.92013888888888884</v>
      </c>
      <c r="J4185" t="s">
        <v>99</v>
      </c>
      <c r="K4185" t="s">
        <v>21</v>
      </c>
      <c r="L4185" s="12">
        <v>0.94791666666666663</v>
      </c>
      <c r="M4185" t="s">
        <v>63</v>
      </c>
      <c r="N4185" s="3">
        <v>232</v>
      </c>
      <c r="O4185" t="s">
        <v>24</v>
      </c>
      <c r="P4185" t="s">
        <v>79</v>
      </c>
      <c r="R4185">
        <f>tblDailySchedule[[#This Row],[Capacity Approx]]*'[1]Load Factor Sheet June Acft  '!$B$5</f>
        <v>187.86727272727273</v>
      </c>
      <c r="S4185">
        <f>tblDailySchedule[[#This Row],[Capacity Approx]]*'[1]Load Factor Sheet June Acft  '!$D$5</f>
        <v>203.4218181818182</v>
      </c>
      <c r="T4185" s="22">
        <f>tblDailySchedule[[#This Row],[STD]]</f>
        <v>0.94791666666666663</v>
      </c>
    </row>
    <row r="4186" spans="1:20" hidden="1" x14ac:dyDescent="0.35">
      <c r="A4186" s="13">
        <v>46260</v>
      </c>
      <c r="B4186" s="7">
        <v>3</v>
      </c>
      <c r="C4186" s="14" t="s">
        <v>113</v>
      </c>
      <c r="D4186" s="14" t="s">
        <v>18</v>
      </c>
      <c r="E4186" s="7">
        <v>30</v>
      </c>
      <c r="F4186" s="14" t="s">
        <v>104</v>
      </c>
      <c r="G4186" s="14" t="s">
        <v>105</v>
      </c>
      <c r="H4186" s="14" t="s">
        <v>106</v>
      </c>
      <c r="I4186" s="15">
        <v>0.92708333333333337</v>
      </c>
      <c r="J4186" s="14" t="s">
        <v>107</v>
      </c>
      <c r="K4186" s="14" t="s">
        <v>106</v>
      </c>
      <c r="L4186" s="15">
        <v>0.95833333333333337</v>
      </c>
      <c r="M4186" s="14" t="s">
        <v>38</v>
      </c>
      <c r="N4186" s="7">
        <v>186</v>
      </c>
      <c r="O4186" s="14" t="s">
        <v>39</v>
      </c>
      <c r="P4186" s="14" t="s">
        <v>79</v>
      </c>
      <c r="Q4186" s="14" t="s">
        <v>39</v>
      </c>
      <c r="R4186">
        <f>tblDailySchedule[[#This Row],[Capacity Approx]]*'[1]Load Factor Sheet June Acft  '!$B$5</f>
        <v>150.61772727272728</v>
      </c>
      <c r="S4186">
        <f>tblDailySchedule[[#This Row],[Capacity Approx]]*'[1]Load Factor Sheet June Acft  '!$D$5</f>
        <v>163.08818181818182</v>
      </c>
      <c r="T4186" s="22">
        <f>tblDailySchedule[[#This Row],[STD]]</f>
        <v>0.95833333333333337</v>
      </c>
    </row>
    <row r="4187" spans="1:20" hidden="1" x14ac:dyDescent="0.35">
      <c r="A4187" s="11">
        <v>46261</v>
      </c>
      <c r="B4187" s="3">
        <v>4</v>
      </c>
      <c r="C4187" t="s">
        <v>114</v>
      </c>
      <c r="D4187" t="s">
        <v>18</v>
      </c>
      <c r="E4187" s="3">
        <v>1</v>
      </c>
      <c r="F4187" t="s">
        <v>101</v>
      </c>
      <c r="G4187" t="s">
        <v>102</v>
      </c>
      <c r="H4187" t="s">
        <v>61</v>
      </c>
      <c r="I4187" s="12">
        <v>0.3125</v>
      </c>
      <c r="J4187" t="s">
        <v>103</v>
      </c>
      <c r="K4187" t="s">
        <v>61</v>
      </c>
      <c r="L4187" s="12">
        <v>0.33333333333333331</v>
      </c>
      <c r="M4187" t="s">
        <v>33</v>
      </c>
      <c r="N4187" s="3">
        <v>189</v>
      </c>
      <c r="O4187" t="s">
        <v>24</v>
      </c>
      <c r="P4187" t="s">
        <v>25</v>
      </c>
      <c r="R4187">
        <f>tblDailySchedule[[#This Row],[Capacity Approx]]*'[1]Load Factor Sheet June Acft  '!$B$5</f>
        <v>153.04704545454547</v>
      </c>
      <c r="S4187">
        <f>tblDailySchedule[[#This Row],[Capacity Approx]]*'[1]Load Factor Sheet June Acft  '!$D$5</f>
        <v>165.71863636363636</v>
      </c>
      <c r="T4187" s="22">
        <f>tblDailySchedule[[#This Row],[STD]]</f>
        <v>0.33333333333333331</v>
      </c>
    </row>
    <row r="4188" spans="1:20" hidden="1" x14ac:dyDescent="0.35">
      <c r="A4188" s="11">
        <v>46261</v>
      </c>
      <c r="B4188" s="3">
        <v>4</v>
      </c>
      <c r="C4188" t="s">
        <v>114</v>
      </c>
      <c r="D4188" t="s">
        <v>18</v>
      </c>
      <c r="E4188" s="3">
        <v>2</v>
      </c>
      <c r="F4188" t="s">
        <v>19</v>
      </c>
      <c r="G4188" t="s">
        <v>20</v>
      </c>
      <c r="H4188" t="s">
        <v>21</v>
      </c>
      <c r="I4188" s="12">
        <v>0.31944444444444442</v>
      </c>
      <c r="J4188" t="s">
        <v>22</v>
      </c>
      <c r="K4188" t="s">
        <v>21</v>
      </c>
      <c r="L4188" s="12">
        <v>0.34722222222222221</v>
      </c>
      <c r="M4188" t="s">
        <v>23</v>
      </c>
      <c r="N4188" s="3">
        <v>186</v>
      </c>
      <c r="O4188" t="s">
        <v>24</v>
      </c>
      <c r="P4188" t="s">
        <v>25</v>
      </c>
      <c r="R4188">
        <f>tblDailySchedule[[#This Row],[Capacity Approx]]*'[1]Load Factor Sheet June Acft  '!$B$5</f>
        <v>150.61772727272728</v>
      </c>
      <c r="S4188">
        <f>tblDailySchedule[[#This Row],[Capacity Approx]]*'[1]Load Factor Sheet June Acft  '!$D$5</f>
        <v>163.08818181818182</v>
      </c>
      <c r="T4188" s="22">
        <f>tblDailySchedule[[#This Row],[STD]]</f>
        <v>0.34722222222222221</v>
      </c>
    </row>
    <row r="4189" spans="1:20" hidden="1" x14ac:dyDescent="0.35">
      <c r="A4189" s="11">
        <v>46261</v>
      </c>
      <c r="B4189" s="3">
        <v>4</v>
      </c>
      <c r="C4189" t="s">
        <v>114</v>
      </c>
      <c r="D4189" t="s">
        <v>18</v>
      </c>
      <c r="E4189" s="3">
        <v>3</v>
      </c>
      <c r="F4189" t="s">
        <v>19</v>
      </c>
      <c r="G4189" t="s">
        <v>26</v>
      </c>
      <c r="H4189" t="s">
        <v>27</v>
      </c>
      <c r="I4189" s="12">
        <v>0.3263888888888889</v>
      </c>
      <c r="J4189" t="s">
        <v>28</v>
      </c>
      <c r="K4189" t="s">
        <v>27</v>
      </c>
      <c r="L4189" s="12">
        <v>0.35416666666666669</v>
      </c>
      <c r="M4189" t="s">
        <v>29</v>
      </c>
      <c r="N4189" s="3">
        <v>186</v>
      </c>
      <c r="O4189" t="s">
        <v>24</v>
      </c>
      <c r="P4189" t="s">
        <v>25</v>
      </c>
      <c r="R4189">
        <f>tblDailySchedule[[#This Row],[Capacity Approx]]*'[1]Load Factor Sheet June Acft  '!$B$5</f>
        <v>150.61772727272728</v>
      </c>
      <c r="S4189">
        <f>tblDailySchedule[[#This Row],[Capacity Approx]]*'[1]Load Factor Sheet June Acft  '!$D$5</f>
        <v>163.08818181818182</v>
      </c>
      <c r="T4189" s="22">
        <f>tblDailySchedule[[#This Row],[STD]]</f>
        <v>0.35416666666666669</v>
      </c>
    </row>
    <row r="4190" spans="1:20" hidden="1" x14ac:dyDescent="0.35">
      <c r="A4190" s="11">
        <v>46261</v>
      </c>
      <c r="B4190" s="3">
        <v>4</v>
      </c>
      <c r="C4190" t="s">
        <v>114</v>
      </c>
      <c r="D4190" t="s">
        <v>18</v>
      </c>
      <c r="E4190" s="3">
        <v>4</v>
      </c>
      <c r="F4190" t="s">
        <v>19</v>
      </c>
      <c r="G4190" t="s">
        <v>30</v>
      </c>
      <c r="H4190" t="s">
        <v>31</v>
      </c>
      <c r="I4190" s="12">
        <v>0.34722222222222221</v>
      </c>
      <c r="J4190" t="s">
        <v>32</v>
      </c>
      <c r="K4190" t="s">
        <v>31</v>
      </c>
      <c r="L4190" s="12">
        <v>0.36805555555555558</v>
      </c>
      <c r="M4190" t="s">
        <v>33</v>
      </c>
      <c r="N4190" s="3">
        <v>189</v>
      </c>
      <c r="O4190" t="s">
        <v>24</v>
      </c>
      <c r="P4190" t="s">
        <v>25</v>
      </c>
      <c r="R4190">
        <f>tblDailySchedule[[#This Row],[Capacity Approx]]*'[1]Load Factor Sheet June Acft  '!$B$5</f>
        <v>153.04704545454547</v>
      </c>
      <c r="S4190">
        <f>tblDailySchedule[[#This Row],[Capacity Approx]]*'[1]Load Factor Sheet June Acft  '!$D$5</f>
        <v>165.71863636363636</v>
      </c>
      <c r="T4190" s="22">
        <f>tblDailySchedule[[#This Row],[STD]]</f>
        <v>0.36805555555555558</v>
      </c>
    </row>
    <row r="4191" spans="1:20" hidden="1" x14ac:dyDescent="0.35">
      <c r="A4191" s="11">
        <v>46261</v>
      </c>
      <c r="B4191" s="3">
        <v>4</v>
      </c>
      <c r="C4191" t="s">
        <v>114</v>
      </c>
      <c r="D4191" t="s">
        <v>18</v>
      </c>
      <c r="E4191" s="3">
        <v>5</v>
      </c>
      <c r="F4191" t="s">
        <v>19</v>
      </c>
      <c r="G4191" t="s">
        <v>40</v>
      </c>
      <c r="H4191" t="s">
        <v>31</v>
      </c>
      <c r="I4191" s="12">
        <v>0.35069444444444442</v>
      </c>
      <c r="J4191" t="s">
        <v>41</v>
      </c>
      <c r="K4191" t="s">
        <v>31</v>
      </c>
      <c r="L4191" s="12">
        <v>0.37152777777777779</v>
      </c>
      <c r="M4191" t="s">
        <v>23</v>
      </c>
      <c r="N4191" s="3">
        <v>186</v>
      </c>
      <c r="O4191" t="s">
        <v>24</v>
      </c>
      <c r="P4191" t="s">
        <v>25</v>
      </c>
      <c r="R4191">
        <f>tblDailySchedule[[#This Row],[Capacity Approx]]*'[1]Load Factor Sheet June Acft  '!$B$5</f>
        <v>150.61772727272728</v>
      </c>
      <c r="S4191">
        <f>tblDailySchedule[[#This Row],[Capacity Approx]]*'[1]Load Factor Sheet June Acft  '!$D$5</f>
        <v>163.08818181818182</v>
      </c>
      <c r="T4191" s="22">
        <f>tblDailySchedule[[#This Row],[STD]]</f>
        <v>0.37152777777777779</v>
      </c>
    </row>
    <row r="4192" spans="1:20" hidden="1" x14ac:dyDescent="0.35">
      <c r="A4192" s="11">
        <v>46261</v>
      </c>
      <c r="B4192" s="3">
        <v>4</v>
      </c>
      <c r="C4192" t="s">
        <v>114</v>
      </c>
      <c r="D4192" t="s">
        <v>18</v>
      </c>
      <c r="E4192" s="3">
        <v>7</v>
      </c>
      <c r="F4192" t="s">
        <v>19</v>
      </c>
      <c r="G4192" t="s">
        <v>42</v>
      </c>
      <c r="H4192" t="s">
        <v>43</v>
      </c>
      <c r="I4192" s="12">
        <v>0.3923611111111111</v>
      </c>
      <c r="J4192" t="s">
        <v>44</v>
      </c>
      <c r="K4192" t="s">
        <v>43</v>
      </c>
      <c r="L4192" s="12">
        <v>0.40277777777777779</v>
      </c>
      <c r="M4192" t="s">
        <v>45</v>
      </c>
      <c r="N4192" s="3">
        <v>9</v>
      </c>
      <c r="O4192" t="s">
        <v>24</v>
      </c>
      <c r="P4192" t="s">
        <v>25</v>
      </c>
      <c r="R4192">
        <f>tblDailySchedule[[#This Row],[Capacity Approx]]*'[1]Load Factor Sheet June Acft  '!$B$5</f>
        <v>7.2879545454545456</v>
      </c>
      <c r="S4192">
        <f>tblDailySchedule[[#This Row],[Capacity Approx]]*'[1]Load Factor Sheet June Acft  '!$D$5</f>
        <v>7.8913636363636366</v>
      </c>
      <c r="T4192" s="22">
        <f>tblDailySchedule[[#This Row],[STD]]</f>
        <v>0.40277777777777779</v>
      </c>
    </row>
    <row r="4193" spans="1:20" hidden="1" x14ac:dyDescent="0.35">
      <c r="A4193" s="11">
        <v>46261</v>
      </c>
      <c r="B4193" s="3">
        <v>4</v>
      </c>
      <c r="C4193" t="s">
        <v>114</v>
      </c>
      <c r="D4193" t="s">
        <v>18</v>
      </c>
      <c r="E4193" s="3">
        <v>8</v>
      </c>
      <c r="F4193" t="s">
        <v>19</v>
      </c>
      <c r="G4193" t="s">
        <v>46</v>
      </c>
      <c r="H4193" t="s">
        <v>31</v>
      </c>
      <c r="I4193" s="12">
        <v>0.4201388888888889</v>
      </c>
      <c r="J4193" t="s">
        <v>47</v>
      </c>
      <c r="K4193" t="s">
        <v>31</v>
      </c>
      <c r="L4193" s="12">
        <v>0.44444444444444442</v>
      </c>
      <c r="M4193" t="s">
        <v>29</v>
      </c>
      <c r="N4193" s="3">
        <v>186</v>
      </c>
      <c r="O4193" t="s">
        <v>24</v>
      </c>
      <c r="P4193" t="s">
        <v>25</v>
      </c>
      <c r="R4193">
        <f>tblDailySchedule[[#This Row],[Capacity Approx]]*'[1]Load Factor Sheet June Acft  '!$B$5</f>
        <v>150.61772727272728</v>
      </c>
      <c r="S4193">
        <f>tblDailySchedule[[#This Row],[Capacity Approx]]*'[1]Load Factor Sheet June Acft  '!$D$5</f>
        <v>163.08818181818182</v>
      </c>
      <c r="T4193" s="22">
        <f>tblDailySchedule[[#This Row],[STD]]</f>
        <v>0.44444444444444442</v>
      </c>
    </row>
    <row r="4194" spans="1:20" hidden="1" x14ac:dyDescent="0.35">
      <c r="A4194" s="11">
        <v>46261</v>
      </c>
      <c r="B4194" s="3">
        <v>4</v>
      </c>
      <c r="C4194" t="s">
        <v>114</v>
      </c>
      <c r="D4194" t="s">
        <v>18</v>
      </c>
      <c r="E4194" s="3">
        <v>9</v>
      </c>
      <c r="F4194" t="s">
        <v>19</v>
      </c>
      <c r="G4194" t="s">
        <v>48</v>
      </c>
      <c r="H4194" t="s">
        <v>49</v>
      </c>
      <c r="I4194" s="12">
        <v>0.4375</v>
      </c>
      <c r="J4194" t="s">
        <v>50</v>
      </c>
      <c r="K4194" t="s">
        <v>49</v>
      </c>
      <c r="L4194" s="12">
        <v>0.45833333333333331</v>
      </c>
      <c r="M4194" t="s">
        <v>51</v>
      </c>
      <c r="N4194" s="3">
        <v>78</v>
      </c>
      <c r="O4194" t="s">
        <v>24</v>
      </c>
      <c r="P4194" t="s">
        <v>25</v>
      </c>
      <c r="R4194">
        <f>tblDailySchedule[[#This Row],[Capacity Approx]]*'[1]Load Factor Sheet June Acft  '!$B$5</f>
        <v>63.162272727272729</v>
      </c>
      <c r="S4194">
        <f>tblDailySchedule[[#This Row],[Capacity Approx]]*'[1]Load Factor Sheet June Acft  '!$D$5</f>
        <v>68.391818181818181</v>
      </c>
      <c r="T4194" s="22">
        <f>tblDailySchedule[[#This Row],[STD]]</f>
        <v>0.45833333333333331</v>
      </c>
    </row>
    <row r="4195" spans="1:20" hidden="1" x14ac:dyDescent="0.35">
      <c r="A4195" s="11">
        <v>46261</v>
      </c>
      <c r="B4195" s="3">
        <v>4</v>
      </c>
      <c r="C4195" t="s">
        <v>114</v>
      </c>
      <c r="D4195" t="s">
        <v>18</v>
      </c>
      <c r="E4195" s="3">
        <v>10</v>
      </c>
      <c r="F4195" t="s">
        <v>19</v>
      </c>
      <c r="G4195" t="s">
        <v>52</v>
      </c>
      <c r="H4195" t="s">
        <v>27</v>
      </c>
      <c r="I4195" s="12">
        <v>0.4826388888888889</v>
      </c>
      <c r="J4195" t="s">
        <v>53</v>
      </c>
      <c r="K4195" t="s">
        <v>27</v>
      </c>
      <c r="L4195" s="12">
        <v>0.51041666666666663</v>
      </c>
      <c r="M4195" t="s">
        <v>23</v>
      </c>
      <c r="N4195" s="3">
        <v>186</v>
      </c>
      <c r="O4195" t="s">
        <v>24</v>
      </c>
      <c r="P4195" t="s">
        <v>25</v>
      </c>
      <c r="R4195">
        <f>tblDailySchedule[[#This Row],[Capacity Approx]]*'[1]Load Factor Sheet June Acft  '!$B$5</f>
        <v>150.61772727272728</v>
      </c>
      <c r="S4195">
        <f>tblDailySchedule[[#This Row],[Capacity Approx]]*'[1]Load Factor Sheet June Acft  '!$D$5</f>
        <v>163.08818181818182</v>
      </c>
      <c r="T4195" s="22">
        <f>tblDailySchedule[[#This Row],[STD]]</f>
        <v>0.51041666666666663</v>
      </c>
    </row>
    <row r="4196" spans="1:20" hidden="1" x14ac:dyDescent="0.35">
      <c r="A4196" s="11">
        <v>46261</v>
      </c>
      <c r="B4196" s="3">
        <v>4</v>
      </c>
      <c r="C4196" t="s">
        <v>114</v>
      </c>
      <c r="D4196" t="s">
        <v>18</v>
      </c>
      <c r="E4196" s="3">
        <v>11</v>
      </c>
      <c r="F4196" t="s">
        <v>19</v>
      </c>
      <c r="G4196" t="s">
        <v>54</v>
      </c>
      <c r="H4196" t="s">
        <v>31</v>
      </c>
      <c r="I4196" s="12">
        <v>0.51388888888888884</v>
      </c>
      <c r="J4196" t="s">
        <v>55</v>
      </c>
      <c r="K4196" t="s">
        <v>31</v>
      </c>
      <c r="L4196" s="12">
        <v>0.54166666666666663</v>
      </c>
      <c r="M4196" t="s">
        <v>23</v>
      </c>
      <c r="N4196" s="3">
        <v>186</v>
      </c>
      <c r="O4196" t="s">
        <v>24</v>
      </c>
      <c r="P4196" t="s">
        <v>56</v>
      </c>
      <c r="R4196">
        <f>tblDailySchedule[[#This Row],[Capacity Approx]]*'[1]Load Factor Sheet June Acft  '!$B$5</f>
        <v>150.61772727272728</v>
      </c>
      <c r="S4196">
        <f>tblDailySchedule[[#This Row],[Capacity Approx]]*'[1]Load Factor Sheet June Acft  '!$D$5</f>
        <v>163.08818181818182</v>
      </c>
      <c r="T4196" s="22">
        <f>tblDailySchedule[[#This Row],[STD]]</f>
        <v>0.54166666666666663</v>
      </c>
    </row>
    <row r="4197" spans="1:20" hidden="1" x14ac:dyDescent="0.35">
      <c r="A4197" s="11">
        <v>46261</v>
      </c>
      <c r="B4197" s="3">
        <v>4</v>
      </c>
      <c r="C4197" t="s">
        <v>114</v>
      </c>
      <c r="D4197" t="s">
        <v>18</v>
      </c>
      <c r="E4197" s="3">
        <v>12</v>
      </c>
      <c r="F4197" t="s">
        <v>109</v>
      </c>
      <c r="G4197" t="s">
        <v>110</v>
      </c>
      <c r="H4197" t="s">
        <v>111</v>
      </c>
      <c r="I4197" s="12">
        <v>0.55555555555555558</v>
      </c>
      <c r="J4197" t="s">
        <v>112</v>
      </c>
      <c r="K4197" t="s">
        <v>111</v>
      </c>
      <c r="L4197" s="12">
        <v>0.56944444444444442</v>
      </c>
      <c r="M4197" t="s">
        <v>51</v>
      </c>
      <c r="N4197" s="3">
        <v>78</v>
      </c>
      <c r="O4197" t="s">
        <v>24</v>
      </c>
      <c r="P4197" t="s">
        <v>56</v>
      </c>
      <c r="R4197">
        <f>tblDailySchedule[[#This Row],[Capacity Approx]]*'[1]Load Factor Sheet June Acft  '!$B$5</f>
        <v>63.162272727272729</v>
      </c>
      <c r="S4197">
        <f>tblDailySchedule[[#This Row],[Capacity Approx]]*'[1]Load Factor Sheet June Acft  '!$D$5</f>
        <v>68.391818181818181</v>
      </c>
      <c r="T4197" s="22">
        <f>tblDailySchedule[[#This Row],[STD]]</f>
        <v>0.56944444444444442</v>
      </c>
    </row>
    <row r="4198" spans="1:20" hidden="1" x14ac:dyDescent="0.35">
      <c r="A4198" s="11">
        <v>46261</v>
      </c>
      <c r="B4198" s="3">
        <v>4</v>
      </c>
      <c r="C4198" t="s">
        <v>114</v>
      </c>
      <c r="D4198" t="s">
        <v>18</v>
      </c>
      <c r="E4198" s="3">
        <v>13</v>
      </c>
      <c r="F4198" t="s">
        <v>19</v>
      </c>
      <c r="G4198" t="s">
        <v>57</v>
      </c>
      <c r="H4198" t="s">
        <v>58</v>
      </c>
      <c r="I4198" s="12">
        <v>0.55902777777777779</v>
      </c>
      <c r="J4198" t="s">
        <v>59</v>
      </c>
      <c r="K4198" t="s">
        <v>58</v>
      </c>
      <c r="L4198" s="12">
        <v>0.57638888888888884</v>
      </c>
      <c r="M4198" t="s">
        <v>51</v>
      </c>
      <c r="N4198" s="3">
        <v>78</v>
      </c>
      <c r="O4198" t="s">
        <v>24</v>
      </c>
      <c r="P4198" t="s">
        <v>56</v>
      </c>
      <c r="R4198">
        <f>tblDailySchedule[[#This Row],[Capacity Approx]]*'[1]Load Factor Sheet June Acft  '!$B$5</f>
        <v>63.162272727272729</v>
      </c>
      <c r="S4198">
        <f>tblDailySchedule[[#This Row],[Capacity Approx]]*'[1]Load Factor Sheet June Acft  '!$D$5</f>
        <v>68.391818181818181</v>
      </c>
      <c r="T4198" s="22">
        <f>tblDailySchedule[[#This Row],[STD]]</f>
        <v>0.57638888888888884</v>
      </c>
    </row>
    <row r="4199" spans="1:20" hidden="1" x14ac:dyDescent="0.35">
      <c r="A4199" s="11">
        <v>46261</v>
      </c>
      <c r="B4199" s="3">
        <v>4</v>
      </c>
      <c r="C4199" t="s">
        <v>114</v>
      </c>
      <c r="D4199" t="s">
        <v>18</v>
      </c>
      <c r="E4199" s="3">
        <v>14</v>
      </c>
      <c r="F4199" t="s">
        <v>19</v>
      </c>
      <c r="G4199" t="s">
        <v>60</v>
      </c>
      <c r="H4199" t="s">
        <v>61</v>
      </c>
      <c r="I4199" s="12">
        <v>0.59027777777777779</v>
      </c>
      <c r="J4199" t="s">
        <v>62</v>
      </c>
      <c r="K4199" t="s">
        <v>61</v>
      </c>
      <c r="L4199" s="12">
        <v>0.62152777777777779</v>
      </c>
      <c r="M4199" t="s">
        <v>63</v>
      </c>
      <c r="N4199" s="3">
        <v>232</v>
      </c>
      <c r="O4199" t="s">
        <v>24</v>
      </c>
      <c r="P4199" t="s">
        <v>56</v>
      </c>
      <c r="R4199">
        <f>tblDailySchedule[[#This Row],[Capacity Approx]]*'[1]Load Factor Sheet June Acft  '!$B$5</f>
        <v>187.86727272727273</v>
      </c>
      <c r="S4199">
        <f>tblDailySchedule[[#This Row],[Capacity Approx]]*'[1]Load Factor Sheet June Acft  '!$D$5</f>
        <v>203.4218181818182</v>
      </c>
      <c r="T4199" s="22">
        <f>tblDailySchedule[[#This Row],[STD]]</f>
        <v>0.62152777777777779</v>
      </c>
    </row>
    <row r="4200" spans="1:20" hidden="1" x14ac:dyDescent="0.35">
      <c r="A4200" s="11">
        <v>46261</v>
      </c>
      <c r="B4200" s="3">
        <v>4</v>
      </c>
      <c r="C4200" t="s">
        <v>114</v>
      </c>
      <c r="D4200" t="s">
        <v>18</v>
      </c>
      <c r="E4200" s="3">
        <v>15</v>
      </c>
      <c r="F4200" t="s">
        <v>19</v>
      </c>
      <c r="G4200" t="s">
        <v>64</v>
      </c>
      <c r="H4200" t="s">
        <v>31</v>
      </c>
      <c r="I4200" s="12">
        <v>0.60069444444444442</v>
      </c>
      <c r="J4200" t="s">
        <v>65</v>
      </c>
      <c r="K4200" t="s">
        <v>66</v>
      </c>
      <c r="L4200" s="12">
        <v>0.62847222222222221</v>
      </c>
      <c r="M4200" t="s">
        <v>63</v>
      </c>
      <c r="N4200" s="3">
        <v>232</v>
      </c>
      <c r="O4200" t="s">
        <v>24</v>
      </c>
      <c r="P4200" t="s">
        <v>56</v>
      </c>
      <c r="R4200">
        <f>tblDailySchedule[[#This Row],[Capacity Approx]]*'[1]Load Factor Sheet June Acft  '!$B$5</f>
        <v>187.86727272727273</v>
      </c>
      <c r="S4200">
        <f>tblDailySchedule[[#This Row],[Capacity Approx]]*'[1]Load Factor Sheet June Acft  '!$D$5</f>
        <v>203.4218181818182</v>
      </c>
      <c r="T4200" s="22">
        <f>tblDailySchedule[[#This Row],[STD]]</f>
        <v>0.62847222222222221</v>
      </c>
    </row>
    <row r="4201" spans="1:20" hidden="1" x14ac:dyDescent="0.35">
      <c r="A4201" s="11">
        <v>46261</v>
      </c>
      <c r="B4201" s="3">
        <v>4</v>
      </c>
      <c r="C4201" t="s">
        <v>114</v>
      </c>
      <c r="D4201" t="s">
        <v>18</v>
      </c>
      <c r="E4201" s="3">
        <v>16</v>
      </c>
      <c r="F4201" t="s">
        <v>19</v>
      </c>
      <c r="G4201" t="s">
        <v>67</v>
      </c>
      <c r="H4201" t="s">
        <v>31</v>
      </c>
      <c r="I4201" s="12">
        <v>0.65625</v>
      </c>
      <c r="J4201" t="s">
        <v>68</v>
      </c>
      <c r="K4201" t="s">
        <v>31</v>
      </c>
      <c r="L4201" s="12">
        <v>0.68402777777777779</v>
      </c>
      <c r="M4201" t="s">
        <v>63</v>
      </c>
      <c r="N4201" s="3">
        <v>232</v>
      </c>
      <c r="O4201" t="s">
        <v>24</v>
      </c>
      <c r="P4201" t="s">
        <v>56</v>
      </c>
      <c r="R4201">
        <f>tblDailySchedule[[#This Row],[Capacity Approx]]*'[1]Load Factor Sheet June Acft  '!$B$5</f>
        <v>187.86727272727273</v>
      </c>
      <c r="S4201">
        <f>tblDailySchedule[[#This Row],[Capacity Approx]]*'[1]Load Factor Sheet June Acft  '!$D$5</f>
        <v>203.4218181818182</v>
      </c>
      <c r="T4201" s="22">
        <f>tblDailySchedule[[#This Row],[STD]]</f>
        <v>0.68402777777777779</v>
      </c>
    </row>
    <row r="4202" spans="1:20" hidden="1" x14ac:dyDescent="0.35">
      <c r="A4202" s="11">
        <v>46261</v>
      </c>
      <c r="B4202" s="3">
        <v>4</v>
      </c>
      <c r="C4202" t="s">
        <v>114</v>
      </c>
      <c r="D4202" t="s">
        <v>18</v>
      </c>
      <c r="E4202" s="3">
        <v>17</v>
      </c>
      <c r="F4202" t="s">
        <v>19</v>
      </c>
      <c r="G4202" t="s">
        <v>69</v>
      </c>
      <c r="H4202" t="s">
        <v>31</v>
      </c>
      <c r="I4202" s="12">
        <v>0.66319444444444442</v>
      </c>
      <c r="J4202" t="s">
        <v>70</v>
      </c>
      <c r="K4202" t="s">
        <v>31</v>
      </c>
      <c r="L4202" s="12">
        <v>0.69097222222222221</v>
      </c>
      <c r="M4202" t="s">
        <v>33</v>
      </c>
      <c r="N4202" s="3">
        <v>189</v>
      </c>
      <c r="O4202" t="s">
        <v>24</v>
      </c>
      <c r="P4202" t="s">
        <v>56</v>
      </c>
      <c r="R4202">
        <f>tblDailySchedule[[#This Row],[Capacity Approx]]*'[1]Load Factor Sheet June Acft  '!$B$5</f>
        <v>153.04704545454547</v>
      </c>
      <c r="S4202">
        <f>tblDailySchedule[[#This Row],[Capacity Approx]]*'[1]Load Factor Sheet June Acft  '!$D$5</f>
        <v>165.71863636363636</v>
      </c>
      <c r="T4202" s="22">
        <f>tblDailySchedule[[#This Row],[STD]]</f>
        <v>0.69097222222222221</v>
      </c>
    </row>
    <row r="4203" spans="1:20" hidden="1" x14ac:dyDescent="0.35">
      <c r="A4203" s="11">
        <v>46261</v>
      </c>
      <c r="B4203" s="3">
        <v>4</v>
      </c>
      <c r="C4203" t="s">
        <v>114</v>
      </c>
      <c r="D4203" t="s">
        <v>18</v>
      </c>
      <c r="E4203" s="3">
        <v>18</v>
      </c>
      <c r="F4203" t="s">
        <v>19</v>
      </c>
      <c r="G4203" t="s">
        <v>71</v>
      </c>
      <c r="H4203" t="s">
        <v>21</v>
      </c>
      <c r="I4203" s="12">
        <v>0.67013888888888884</v>
      </c>
      <c r="J4203" t="s">
        <v>72</v>
      </c>
      <c r="K4203" t="s">
        <v>21</v>
      </c>
      <c r="L4203" s="12">
        <v>0.69791666666666663</v>
      </c>
      <c r="M4203" t="s">
        <v>63</v>
      </c>
      <c r="N4203" s="3">
        <v>232</v>
      </c>
      <c r="O4203" t="s">
        <v>24</v>
      </c>
      <c r="P4203" t="s">
        <v>56</v>
      </c>
      <c r="R4203">
        <f>tblDailySchedule[[#This Row],[Capacity Approx]]*'[1]Load Factor Sheet June Acft  '!$B$5</f>
        <v>187.86727272727273</v>
      </c>
      <c r="S4203">
        <f>tblDailySchedule[[#This Row],[Capacity Approx]]*'[1]Load Factor Sheet June Acft  '!$D$5</f>
        <v>203.4218181818182</v>
      </c>
      <c r="T4203" s="22">
        <f>tblDailySchedule[[#This Row],[STD]]</f>
        <v>0.69791666666666663</v>
      </c>
    </row>
    <row r="4204" spans="1:20" hidden="1" x14ac:dyDescent="0.35">
      <c r="A4204" s="11">
        <v>46261</v>
      </c>
      <c r="B4204" s="3">
        <v>4</v>
      </c>
      <c r="C4204" t="s">
        <v>114</v>
      </c>
      <c r="D4204" t="s">
        <v>18</v>
      </c>
      <c r="E4204" s="3">
        <v>19</v>
      </c>
      <c r="F4204" t="s">
        <v>19</v>
      </c>
      <c r="G4204" t="s">
        <v>73</v>
      </c>
      <c r="H4204" t="s">
        <v>27</v>
      </c>
      <c r="I4204" s="12">
        <v>0.74652777777777779</v>
      </c>
      <c r="J4204" t="s">
        <v>74</v>
      </c>
      <c r="K4204" t="s">
        <v>27</v>
      </c>
      <c r="L4204" s="12">
        <v>0.77430555555555558</v>
      </c>
      <c r="M4204" t="s">
        <v>63</v>
      </c>
      <c r="N4204" s="3">
        <v>232</v>
      </c>
      <c r="O4204" t="s">
        <v>24</v>
      </c>
      <c r="P4204" t="s">
        <v>56</v>
      </c>
      <c r="R4204">
        <f>tblDailySchedule[[#This Row],[Capacity Approx]]*'[1]Load Factor Sheet June Acft  '!$B$5</f>
        <v>187.86727272727273</v>
      </c>
      <c r="S4204">
        <f>tblDailySchedule[[#This Row],[Capacity Approx]]*'[1]Load Factor Sheet June Acft  '!$D$5</f>
        <v>203.4218181818182</v>
      </c>
      <c r="T4204" s="22">
        <f>tblDailySchedule[[#This Row],[STD]]</f>
        <v>0.77430555555555558</v>
      </c>
    </row>
    <row r="4205" spans="1:20" hidden="1" x14ac:dyDescent="0.35">
      <c r="A4205" s="11">
        <v>46261</v>
      </c>
      <c r="B4205" s="3">
        <v>4</v>
      </c>
      <c r="C4205" t="s">
        <v>114</v>
      </c>
      <c r="D4205" t="s">
        <v>18</v>
      </c>
      <c r="E4205" s="3">
        <v>21</v>
      </c>
      <c r="F4205" t="s">
        <v>19</v>
      </c>
      <c r="G4205" t="s">
        <v>81</v>
      </c>
      <c r="H4205" t="s">
        <v>61</v>
      </c>
      <c r="I4205" s="12">
        <v>0.77083333333333337</v>
      </c>
      <c r="J4205" t="s">
        <v>82</v>
      </c>
      <c r="K4205" t="s">
        <v>49</v>
      </c>
      <c r="L4205" s="12">
        <v>0.79166666666666663</v>
      </c>
      <c r="M4205" t="s">
        <v>33</v>
      </c>
      <c r="N4205" s="3">
        <v>189</v>
      </c>
      <c r="O4205" t="s">
        <v>24</v>
      </c>
      <c r="P4205" t="s">
        <v>79</v>
      </c>
      <c r="R4205">
        <f>tblDailySchedule[[#This Row],[Capacity Approx]]*'[1]Load Factor Sheet June Acft  '!$B$5</f>
        <v>153.04704545454547</v>
      </c>
      <c r="S4205">
        <f>tblDailySchedule[[#This Row],[Capacity Approx]]*'[1]Load Factor Sheet June Acft  '!$D$5</f>
        <v>165.71863636363636</v>
      </c>
      <c r="T4205" s="22">
        <f>tblDailySchedule[[#This Row],[STD]]</f>
        <v>0.79166666666666663</v>
      </c>
    </row>
    <row r="4206" spans="1:20" hidden="1" x14ac:dyDescent="0.35">
      <c r="A4206" s="11">
        <v>46261</v>
      </c>
      <c r="B4206" s="3">
        <v>4</v>
      </c>
      <c r="C4206" t="s">
        <v>114</v>
      </c>
      <c r="D4206" t="s">
        <v>18</v>
      </c>
      <c r="E4206" s="3">
        <v>22</v>
      </c>
      <c r="F4206" t="s">
        <v>19</v>
      </c>
      <c r="G4206" t="s">
        <v>83</v>
      </c>
      <c r="H4206" t="s">
        <v>31</v>
      </c>
      <c r="I4206" s="12">
        <v>0.77777777777777779</v>
      </c>
      <c r="J4206" t="s">
        <v>84</v>
      </c>
      <c r="K4206" t="s">
        <v>31</v>
      </c>
      <c r="L4206" s="12">
        <v>0.80555555555555558</v>
      </c>
      <c r="M4206" t="s">
        <v>63</v>
      </c>
      <c r="N4206" s="3">
        <v>232</v>
      </c>
      <c r="O4206" t="s">
        <v>24</v>
      </c>
      <c r="P4206" t="s">
        <v>79</v>
      </c>
      <c r="R4206">
        <f>tblDailySchedule[[#This Row],[Capacity Approx]]*'[1]Load Factor Sheet June Acft  '!$B$5</f>
        <v>187.86727272727273</v>
      </c>
      <c r="S4206">
        <f>tblDailySchedule[[#This Row],[Capacity Approx]]*'[1]Load Factor Sheet June Acft  '!$D$5</f>
        <v>203.4218181818182</v>
      </c>
      <c r="T4206" s="22">
        <f>tblDailySchedule[[#This Row],[STD]]</f>
        <v>0.80555555555555558</v>
      </c>
    </row>
    <row r="4207" spans="1:20" hidden="1" x14ac:dyDescent="0.35">
      <c r="A4207" s="11">
        <v>46261</v>
      </c>
      <c r="B4207" s="3">
        <v>4</v>
      </c>
      <c r="C4207" t="s">
        <v>114</v>
      </c>
      <c r="D4207" t="s">
        <v>18</v>
      </c>
      <c r="E4207" s="3">
        <v>23</v>
      </c>
      <c r="F4207" t="s">
        <v>19</v>
      </c>
      <c r="G4207" t="s">
        <v>85</v>
      </c>
      <c r="H4207" t="s">
        <v>86</v>
      </c>
      <c r="I4207" s="12">
        <v>0.79861111111111116</v>
      </c>
      <c r="J4207" t="s">
        <v>87</v>
      </c>
      <c r="K4207" t="s">
        <v>86</v>
      </c>
      <c r="L4207" s="12">
        <v>0.82638888888888884</v>
      </c>
      <c r="M4207" t="s">
        <v>63</v>
      </c>
      <c r="N4207" s="3">
        <v>232</v>
      </c>
      <c r="O4207" t="s">
        <v>24</v>
      </c>
      <c r="P4207" t="s">
        <v>79</v>
      </c>
      <c r="R4207">
        <f>tblDailySchedule[[#This Row],[Capacity Approx]]*'[1]Load Factor Sheet June Acft  '!$B$5</f>
        <v>187.86727272727273</v>
      </c>
      <c r="S4207">
        <f>tblDailySchedule[[#This Row],[Capacity Approx]]*'[1]Load Factor Sheet June Acft  '!$D$5</f>
        <v>203.4218181818182</v>
      </c>
      <c r="T4207" s="22">
        <f>tblDailySchedule[[#This Row],[STD]]</f>
        <v>0.82638888888888884</v>
      </c>
    </row>
    <row r="4208" spans="1:20" hidden="1" x14ac:dyDescent="0.35">
      <c r="A4208" s="11">
        <v>46261</v>
      </c>
      <c r="B4208" s="3">
        <v>4</v>
      </c>
      <c r="C4208" t="s">
        <v>114</v>
      </c>
      <c r="D4208" t="s">
        <v>18</v>
      </c>
      <c r="E4208" s="3">
        <v>24</v>
      </c>
      <c r="F4208" t="s">
        <v>19</v>
      </c>
      <c r="G4208" t="s">
        <v>88</v>
      </c>
      <c r="H4208" t="s">
        <v>89</v>
      </c>
      <c r="I4208" s="12">
        <v>0.83333333333333337</v>
      </c>
      <c r="J4208" t="s">
        <v>90</v>
      </c>
      <c r="K4208" t="s">
        <v>31</v>
      </c>
      <c r="L4208" s="12">
        <v>0.86111111111111116</v>
      </c>
      <c r="M4208" t="s">
        <v>63</v>
      </c>
      <c r="N4208" s="3">
        <v>232</v>
      </c>
      <c r="O4208" t="s">
        <v>24</v>
      </c>
      <c r="P4208" t="s">
        <v>79</v>
      </c>
      <c r="R4208">
        <f>tblDailySchedule[[#This Row],[Capacity Approx]]*'[1]Load Factor Sheet June Acft  '!$B$5</f>
        <v>187.86727272727273</v>
      </c>
      <c r="S4208">
        <f>tblDailySchedule[[#This Row],[Capacity Approx]]*'[1]Load Factor Sheet June Acft  '!$D$5</f>
        <v>203.4218181818182</v>
      </c>
      <c r="T4208" s="22">
        <f>tblDailySchedule[[#This Row],[STD]]</f>
        <v>0.86111111111111116</v>
      </c>
    </row>
    <row r="4209" spans="1:20" hidden="1" x14ac:dyDescent="0.35">
      <c r="A4209" s="11">
        <v>46261</v>
      </c>
      <c r="B4209" s="3">
        <v>4</v>
      </c>
      <c r="C4209" t="s">
        <v>114</v>
      </c>
      <c r="D4209" t="s">
        <v>18</v>
      </c>
      <c r="E4209" s="3">
        <v>25</v>
      </c>
      <c r="F4209" t="s">
        <v>19</v>
      </c>
      <c r="G4209" t="s">
        <v>91</v>
      </c>
      <c r="H4209" t="s">
        <v>61</v>
      </c>
      <c r="I4209" s="12">
        <v>0.85416666666666663</v>
      </c>
      <c r="J4209" t="s">
        <v>92</v>
      </c>
      <c r="K4209" t="s">
        <v>61</v>
      </c>
      <c r="L4209" s="12">
        <v>0.88194444444444442</v>
      </c>
      <c r="M4209" t="s">
        <v>63</v>
      </c>
      <c r="N4209" s="3">
        <v>232</v>
      </c>
      <c r="O4209" t="s">
        <v>24</v>
      </c>
      <c r="P4209" t="s">
        <v>79</v>
      </c>
      <c r="R4209">
        <f>tblDailySchedule[[#This Row],[Capacity Approx]]*'[1]Load Factor Sheet June Acft  '!$B$5</f>
        <v>187.86727272727273</v>
      </c>
      <c r="S4209">
        <f>tblDailySchedule[[#This Row],[Capacity Approx]]*'[1]Load Factor Sheet June Acft  '!$D$5</f>
        <v>203.4218181818182</v>
      </c>
      <c r="T4209" s="22">
        <f>tblDailySchedule[[#This Row],[STD]]</f>
        <v>0.88194444444444442</v>
      </c>
    </row>
    <row r="4210" spans="1:20" hidden="1" x14ac:dyDescent="0.35">
      <c r="A4210" s="11">
        <v>46261</v>
      </c>
      <c r="B4210" s="3">
        <v>4</v>
      </c>
      <c r="C4210" t="s">
        <v>114</v>
      </c>
      <c r="D4210" t="s">
        <v>18</v>
      </c>
      <c r="E4210" s="3">
        <v>26</v>
      </c>
      <c r="F4210" t="s">
        <v>19</v>
      </c>
      <c r="G4210" t="s">
        <v>93</v>
      </c>
      <c r="H4210" t="s">
        <v>31</v>
      </c>
      <c r="I4210" s="12">
        <v>0.86111111111111116</v>
      </c>
      <c r="J4210" t="s">
        <v>94</v>
      </c>
      <c r="K4210" t="s">
        <v>31</v>
      </c>
      <c r="L4210" s="12">
        <v>0.88888888888888884</v>
      </c>
      <c r="M4210" t="s">
        <v>23</v>
      </c>
      <c r="N4210" s="3">
        <v>186</v>
      </c>
      <c r="O4210" t="s">
        <v>24</v>
      </c>
      <c r="P4210" t="s">
        <v>79</v>
      </c>
      <c r="R4210">
        <f>tblDailySchedule[[#This Row],[Capacity Approx]]*'[1]Load Factor Sheet June Acft  '!$B$5</f>
        <v>150.61772727272728</v>
      </c>
      <c r="S4210">
        <f>tblDailySchedule[[#This Row],[Capacity Approx]]*'[1]Load Factor Sheet June Acft  '!$D$5</f>
        <v>163.08818181818182</v>
      </c>
      <c r="T4210" s="22">
        <f>tblDailySchedule[[#This Row],[STD]]</f>
        <v>0.88888888888888884</v>
      </c>
    </row>
    <row r="4211" spans="1:20" hidden="1" x14ac:dyDescent="0.35">
      <c r="A4211" s="11">
        <v>46261</v>
      </c>
      <c r="B4211" s="3">
        <v>4</v>
      </c>
      <c r="C4211" t="s">
        <v>114</v>
      </c>
      <c r="D4211" t="s">
        <v>18</v>
      </c>
      <c r="E4211" s="3">
        <v>27</v>
      </c>
      <c r="F4211" t="s">
        <v>19</v>
      </c>
      <c r="G4211" t="s">
        <v>95</v>
      </c>
      <c r="H4211" t="s">
        <v>21</v>
      </c>
      <c r="I4211" s="12">
        <v>0.86805555555555558</v>
      </c>
      <c r="J4211" t="s">
        <v>96</v>
      </c>
      <c r="K4211" t="s">
        <v>21</v>
      </c>
      <c r="L4211" s="12">
        <v>0.89583333333333337</v>
      </c>
      <c r="M4211" t="s">
        <v>29</v>
      </c>
      <c r="N4211" s="3">
        <v>186</v>
      </c>
      <c r="O4211" t="s">
        <v>24</v>
      </c>
      <c r="P4211" t="s">
        <v>79</v>
      </c>
      <c r="R4211">
        <f>tblDailySchedule[[#This Row],[Capacity Approx]]*'[1]Load Factor Sheet June Acft  '!$B$5</f>
        <v>150.61772727272728</v>
      </c>
      <c r="S4211">
        <f>tblDailySchedule[[#This Row],[Capacity Approx]]*'[1]Load Factor Sheet June Acft  '!$D$5</f>
        <v>163.08818181818182</v>
      </c>
      <c r="T4211" s="22">
        <f>tblDailySchedule[[#This Row],[STD]]</f>
        <v>0.89583333333333337</v>
      </c>
    </row>
    <row r="4212" spans="1:20" hidden="1" x14ac:dyDescent="0.35">
      <c r="A4212" s="11">
        <v>46261</v>
      </c>
      <c r="B4212" s="3">
        <v>4</v>
      </c>
      <c r="C4212" t="s">
        <v>114</v>
      </c>
      <c r="D4212" t="s">
        <v>18</v>
      </c>
      <c r="E4212" s="3">
        <v>28</v>
      </c>
      <c r="F4212" t="s">
        <v>19</v>
      </c>
      <c r="G4212" t="s">
        <v>97</v>
      </c>
      <c r="H4212" t="s">
        <v>49</v>
      </c>
      <c r="I4212" s="12">
        <v>0.90277777777777779</v>
      </c>
      <c r="J4212" t="s">
        <v>97</v>
      </c>
      <c r="K4212" t="s">
        <v>61</v>
      </c>
      <c r="L4212" s="12">
        <v>0.92361111111111116</v>
      </c>
      <c r="M4212" t="s">
        <v>33</v>
      </c>
      <c r="N4212" s="3">
        <v>189</v>
      </c>
      <c r="O4212" t="s">
        <v>24</v>
      </c>
      <c r="P4212" t="s">
        <v>79</v>
      </c>
      <c r="R4212">
        <f>tblDailySchedule[[#This Row],[Capacity Approx]]*'[1]Load Factor Sheet June Acft  '!$B$5</f>
        <v>153.04704545454547</v>
      </c>
      <c r="S4212">
        <f>tblDailySchedule[[#This Row],[Capacity Approx]]*'[1]Load Factor Sheet June Acft  '!$D$5</f>
        <v>165.71863636363636</v>
      </c>
      <c r="T4212" s="22">
        <f>tblDailySchedule[[#This Row],[STD]]</f>
        <v>0.92361111111111116</v>
      </c>
    </row>
    <row r="4213" spans="1:20" hidden="1" x14ac:dyDescent="0.35">
      <c r="A4213" s="11">
        <v>46261</v>
      </c>
      <c r="B4213" s="3">
        <v>4</v>
      </c>
      <c r="C4213" t="s">
        <v>114</v>
      </c>
      <c r="D4213" t="s">
        <v>18</v>
      </c>
      <c r="E4213" s="3">
        <v>29</v>
      </c>
      <c r="F4213" t="s">
        <v>19</v>
      </c>
      <c r="G4213" t="s">
        <v>98</v>
      </c>
      <c r="H4213" t="s">
        <v>21</v>
      </c>
      <c r="I4213" s="12">
        <v>0.92013888888888884</v>
      </c>
      <c r="J4213" t="s">
        <v>99</v>
      </c>
      <c r="K4213" t="s">
        <v>21</v>
      </c>
      <c r="L4213" s="12">
        <v>0.94791666666666663</v>
      </c>
      <c r="M4213" t="s">
        <v>63</v>
      </c>
      <c r="N4213" s="3">
        <v>232</v>
      </c>
      <c r="O4213" t="s">
        <v>24</v>
      </c>
      <c r="P4213" t="s">
        <v>79</v>
      </c>
      <c r="R4213">
        <f>tblDailySchedule[[#This Row],[Capacity Approx]]*'[1]Load Factor Sheet June Acft  '!$B$5</f>
        <v>187.86727272727273</v>
      </c>
      <c r="S4213">
        <f>tblDailySchedule[[#This Row],[Capacity Approx]]*'[1]Load Factor Sheet June Acft  '!$D$5</f>
        <v>203.4218181818182</v>
      </c>
      <c r="T4213" s="22">
        <f>tblDailySchedule[[#This Row],[STD]]</f>
        <v>0.94791666666666663</v>
      </c>
    </row>
    <row r="4214" spans="1:20" hidden="1" x14ac:dyDescent="0.35">
      <c r="A4214" s="11">
        <v>46262</v>
      </c>
      <c r="B4214" s="3">
        <v>5</v>
      </c>
      <c r="C4214" t="s">
        <v>115</v>
      </c>
      <c r="D4214" t="s">
        <v>18</v>
      </c>
      <c r="E4214" s="3">
        <v>2</v>
      </c>
      <c r="F4214" t="s">
        <v>19</v>
      </c>
      <c r="G4214" t="s">
        <v>20</v>
      </c>
      <c r="H4214" t="s">
        <v>21</v>
      </c>
      <c r="I4214" s="12">
        <v>0.31944444444444442</v>
      </c>
      <c r="J4214" t="s">
        <v>22</v>
      </c>
      <c r="K4214" t="s">
        <v>21</v>
      </c>
      <c r="L4214" s="12">
        <v>0.34722222222222221</v>
      </c>
      <c r="M4214" t="s">
        <v>23</v>
      </c>
      <c r="N4214" s="3">
        <v>186</v>
      </c>
      <c r="O4214" t="s">
        <v>24</v>
      </c>
      <c r="P4214" t="s">
        <v>25</v>
      </c>
      <c r="R4214">
        <f>tblDailySchedule[[#This Row],[Capacity Approx]]*'[1]Load Factor Sheet June Acft  '!$B$5</f>
        <v>150.61772727272728</v>
      </c>
      <c r="S4214">
        <f>tblDailySchedule[[#This Row],[Capacity Approx]]*'[1]Load Factor Sheet June Acft  '!$D$5</f>
        <v>163.08818181818182</v>
      </c>
      <c r="T4214" s="22">
        <f>tblDailySchedule[[#This Row],[STD]]</f>
        <v>0.34722222222222221</v>
      </c>
    </row>
    <row r="4215" spans="1:20" hidden="1" x14ac:dyDescent="0.35">
      <c r="A4215" s="11">
        <v>46262</v>
      </c>
      <c r="B4215" s="3">
        <v>5</v>
      </c>
      <c r="C4215" t="s">
        <v>115</v>
      </c>
      <c r="D4215" t="s">
        <v>18</v>
      </c>
      <c r="E4215" s="3">
        <v>3</v>
      </c>
      <c r="F4215" t="s">
        <v>19</v>
      </c>
      <c r="G4215" t="s">
        <v>26</v>
      </c>
      <c r="H4215" t="s">
        <v>27</v>
      </c>
      <c r="I4215" s="12">
        <v>0.3263888888888889</v>
      </c>
      <c r="J4215" t="s">
        <v>28</v>
      </c>
      <c r="K4215" t="s">
        <v>27</v>
      </c>
      <c r="L4215" s="12">
        <v>0.35416666666666669</v>
      </c>
      <c r="M4215" t="s">
        <v>29</v>
      </c>
      <c r="N4215" s="3">
        <v>186</v>
      </c>
      <c r="O4215" t="s">
        <v>24</v>
      </c>
      <c r="P4215" t="s">
        <v>25</v>
      </c>
      <c r="R4215">
        <f>tblDailySchedule[[#This Row],[Capacity Approx]]*'[1]Load Factor Sheet June Acft  '!$B$5</f>
        <v>150.61772727272728</v>
      </c>
      <c r="S4215">
        <f>tblDailySchedule[[#This Row],[Capacity Approx]]*'[1]Load Factor Sheet June Acft  '!$D$5</f>
        <v>163.08818181818182</v>
      </c>
      <c r="T4215" s="22">
        <f>tblDailySchedule[[#This Row],[STD]]</f>
        <v>0.35416666666666669</v>
      </c>
    </row>
    <row r="4216" spans="1:20" hidden="1" x14ac:dyDescent="0.35">
      <c r="A4216" s="11">
        <v>46262</v>
      </c>
      <c r="B4216" s="3">
        <v>5</v>
      </c>
      <c r="C4216" t="s">
        <v>115</v>
      </c>
      <c r="D4216" t="s">
        <v>18</v>
      </c>
      <c r="E4216" s="3">
        <v>4</v>
      </c>
      <c r="F4216" t="s">
        <v>19</v>
      </c>
      <c r="G4216" t="s">
        <v>30</v>
      </c>
      <c r="H4216" t="s">
        <v>31</v>
      </c>
      <c r="I4216" s="12">
        <v>0.34722222222222221</v>
      </c>
      <c r="J4216" t="s">
        <v>32</v>
      </c>
      <c r="K4216" t="s">
        <v>31</v>
      </c>
      <c r="L4216" s="12">
        <v>0.36805555555555558</v>
      </c>
      <c r="M4216" t="s">
        <v>33</v>
      </c>
      <c r="N4216" s="3">
        <v>189</v>
      </c>
      <c r="O4216" t="s">
        <v>24</v>
      </c>
      <c r="P4216" t="s">
        <v>25</v>
      </c>
      <c r="R4216">
        <f>tblDailySchedule[[#This Row],[Capacity Approx]]*'[1]Load Factor Sheet June Acft  '!$B$5</f>
        <v>153.04704545454547</v>
      </c>
      <c r="S4216">
        <f>tblDailySchedule[[#This Row],[Capacity Approx]]*'[1]Load Factor Sheet June Acft  '!$D$5</f>
        <v>165.71863636363636</v>
      </c>
      <c r="T4216" s="22">
        <f>tblDailySchedule[[#This Row],[STD]]</f>
        <v>0.36805555555555558</v>
      </c>
    </row>
    <row r="4217" spans="1:20" hidden="1" x14ac:dyDescent="0.35">
      <c r="A4217" s="13">
        <v>46262</v>
      </c>
      <c r="B4217" s="7">
        <v>5</v>
      </c>
      <c r="C4217" s="14" t="s">
        <v>115</v>
      </c>
      <c r="D4217" s="14" t="s">
        <v>18</v>
      </c>
      <c r="E4217" s="7">
        <v>6</v>
      </c>
      <c r="F4217" s="14" t="s">
        <v>34</v>
      </c>
      <c r="G4217" s="14" t="s">
        <v>35</v>
      </c>
      <c r="H4217" s="14" t="s">
        <v>36</v>
      </c>
      <c r="I4217" s="15">
        <v>0.34722222222222221</v>
      </c>
      <c r="J4217" s="14" t="s">
        <v>37</v>
      </c>
      <c r="K4217" s="14" t="s">
        <v>36</v>
      </c>
      <c r="L4217" s="15">
        <v>0.40972222222222221</v>
      </c>
      <c r="M4217" s="14" t="s">
        <v>38</v>
      </c>
      <c r="N4217" s="7">
        <v>186</v>
      </c>
      <c r="O4217" s="14" t="s">
        <v>39</v>
      </c>
      <c r="P4217" s="14" t="s">
        <v>25</v>
      </c>
      <c r="Q4217" s="14" t="s">
        <v>39</v>
      </c>
      <c r="R4217">
        <f>tblDailySchedule[[#This Row],[Capacity Approx]]*'[1]Load Factor Sheet June Acft  '!$B$5</f>
        <v>150.61772727272728</v>
      </c>
      <c r="S4217">
        <f>tblDailySchedule[[#This Row],[Capacity Approx]]*'[1]Load Factor Sheet June Acft  '!$D$5</f>
        <v>163.08818181818182</v>
      </c>
      <c r="T4217" s="22">
        <f>tblDailySchedule[[#This Row],[STD]]</f>
        <v>0.40972222222222221</v>
      </c>
    </row>
    <row r="4218" spans="1:20" hidden="1" x14ac:dyDescent="0.35">
      <c r="A4218" s="11">
        <v>46262</v>
      </c>
      <c r="B4218" s="3">
        <v>5</v>
      </c>
      <c r="C4218" t="s">
        <v>115</v>
      </c>
      <c r="D4218" t="s">
        <v>18</v>
      </c>
      <c r="E4218" s="3">
        <v>5</v>
      </c>
      <c r="F4218" t="s">
        <v>19</v>
      </c>
      <c r="G4218" t="s">
        <v>40</v>
      </c>
      <c r="H4218" t="s">
        <v>31</v>
      </c>
      <c r="I4218" s="12">
        <v>0.35069444444444442</v>
      </c>
      <c r="J4218" t="s">
        <v>41</v>
      </c>
      <c r="K4218" t="s">
        <v>31</v>
      </c>
      <c r="L4218" s="12">
        <v>0.37152777777777779</v>
      </c>
      <c r="M4218" t="s">
        <v>23</v>
      </c>
      <c r="N4218" s="3">
        <v>186</v>
      </c>
      <c r="O4218" t="s">
        <v>24</v>
      </c>
      <c r="P4218" t="s">
        <v>25</v>
      </c>
      <c r="R4218">
        <f>tblDailySchedule[[#This Row],[Capacity Approx]]*'[1]Load Factor Sheet June Acft  '!$B$5</f>
        <v>150.61772727272728</v>
      </c>
      <c r="S4218">
        <f>tblDailySchedule[[#This Row],[Capacity Approx]]*'[1]Load Factor Sheet June Acft  '!$D$5</f>
        <v>163.08818181818182</v>
      </c>
      <c r="T4218" s="22">
        <f>tblDailySchedule[[#This Row],[STD]]</f>
        <v>0.37152777777777779</v>
      </c>
    </row>
    <row r="4219" spans="1:20" hidden="1" x14ac:dyDescent="0.35">
      <c r="A4219" s="11">
        <v>46262</v>
      </c>
      <c r="B4219" s="3">
        <v>5</v>
      </c>
      <c r="C4219" t="s">
        <v>115</v>
      </c>
      <c r="D4219" t="s">
        <v>18</v>
      </c>
      <c r="E4219" s="3">
        <v>7</v>
      </c>
      <c r="F4219" t="s">
        <v>19</v>
      </c>
      <c r="G4219" t="s">
        <v>42</v>
      </c>
      <c r="H4219" t="s">
        <v>43</v>
      </c>
      <c r="I4219" s="12">
        <v>0.3923611111111111</v>
      </c>
      <c r="J4219" t="s">
        <v>44</v>
      </c>
      <c r="K4219" t="s">
        <v>43</v>
      </c>
      <c r="L4219" s="12">
        <v>0.40277777777777779</v>
      </c>
      <c r="M4219" t="s">
        <v>45</v>
      </c>
      <c r="N4219" s="3">
        <v>9</v>
      </c>
      <c r="O4219" t="s">
        <v>24</v>
      </c>
      <c r="P4219" t="s">
        <v>25</v>
      </c>
      <c r="R4219">
        <f>tblDailySchedule[[#This Row],[Capacity Approx]]*'[1]Load Factor Sheet June Acft  '!$B$5</f>
        <v>7.2879545454545456</v>
      </c>
      <c r="S4219">
        <f>tblDailySchedule[[#This Row],[Capacity Approx]]*'[1]Load Factor Sheet June Acft  '!$D$5</f>
        <v>7.8913636363636366</v>
      </c>
      <c r="T4219" s="22">
        <f>tblDailySchedule[[#This Row],[STD]]</f>
        <v>0.40277777777777779</v>
      </c>
    </row>
    <row r="4220" spans="1:20" hidden="1" x14ac:dyDescent="0.35">
      <c r="A4220" s="11">
        <v>46262</v>
      </c>
      <c r="B4220" s="3">
        <v>5</v>
      </c>
      <c r="C4220" t="s">
        <v>115</v>
      </c>
      <c r="D4220" t="s">
        <v>18</v>
      </c>
      <c r="E4220" s="3">
        <v>8</v>
      </c>
      <c r="F4220" t="s">
        <v>19</v>
      </c>
      <c r="G4220" t="s">
        <v>46</v>
      </c>
      <c r="H4220" t="s">
        <v>31</v>
      </c>
      <c r="I4220" s="12">
        <v>0.4201388888888889</v>
      </c>
      <c r="J4220" t="s">
        <v>47</v>
      </c>
      <c r="K4220" t="s">
        <v>31</v>
      </c>
      <c r="L4220" s="12">
        <v>0.44444444444444442</v>
      </c>
      <c r="M4220" t="s">
        <v>29</v>
      </c>
      <c r="N4220" s="3">
        <v>186</v>
      </c>
      <c r="O4220" t="s">
        <v>24</v>
      </c>
      <c r="P4220" t="s">
        <v>25</v>
      </c>
      <c r="R4220">
        <f>tblDailySchedule[[#This Row],[Capacity Approx]]*'[1]Load Factor Sheet June Acft  '!$B$5</f>
        <v>150.61772727272728</v>
      </c>
      <c r="S4220">
        <f>tblDailySchedule[[#This Row],[Capacity Approx]]*'[1]Load Factor Sheet June Acft  '!$D$5</f>
        <v>163.08818181818182</v>
      </c>
      <c r="T4220" s="22">
        <f>tblDailySchedule[[#This Row],[STD]]</f>
        <v>0.44444444444444442</v>
      </c>
    </row>
    <row r="4221" spans="1:20" hidden="1" x14ac:dyDescent="0.35">
      <c r="A4221" s="11">
        <v>46262</v>
      </c>
      <c r="B4221" s="3">
        <v>5</v>
      </c>
      <c r="C4221" t="s">
        <v>115</v>
      </c>
      <c r="D4221" t="s">
        <v>18</v>
      </c>
      <c r="E4221" s="3">
        <v>9</v>
      </c>
      <c r="F4221" t="s">
        <v>19</v>
      </c>
      <c r="G4221" t="s">
        <v>48</v>
      </c>
      <c r="H4221" t="s">
        <v>49</v>
      </c>
      <c r="I4221" s="12">
        <v>0.4375</v>
      </c>
      <c r="J4221" t="s">
        <v>50</v>
      </c>
      <c r="K4221" t="s">
        <v>49</v>
      </c>
      <c r="L4221" s="12">
        <v>0.45833333333333331</v>
      </c>
      <c r="M4221" t="s">
        <v>51</v>
      </c>
      <c r="N4221" s="3">
        <v>78</v>
      </c>
      <c r="O4221" t="s">
        <v>24</v>
      </c>
      <c r="P4221" t="s">
        <v>25</v>
      </c>
      <c r="R4221">
        <f>tblDailySchedule[[#This Row],[Capacity Approx]]*'[1]Load Factor Sheet June Acft  '!$B$5</f>
        <v>63.162272727272729</v>
      </c>
      <c r="S4221">
        <f>tblDailySchedule[[#This Row],[Capacity Approx]]*'[1]Load Factor Sheet June Acft  '!$D$5</f>
        <v>68.391818181818181</v>
      </c>
      <c r="T4221" s="22">
        <f>tblDailySchedule[[#This Row],[STD]]</f>
        <v>0.45833333333333331</v>
      </c>
    </row>
    <row r="4222" spans="1:20" hidden="1" x14ac:dyDescent="0.35">
      <c r="A4222" s="11">
        <v>46262</v>
      </c>
      <c r="B4222" s="3">
        <v>5</v>
      </c>
      <c r="C4222" t="s">
        <v>115</v>
      </c>
      <c r="D4222" t="s">
        <v>18</v>
      </c>
      <c r="E4222" s="3">
        <v>10</v>
      </c>
      <c r="F4222" t="s">
        <v>19</v>
      </c>
      <c r="G4222" t="s">
        <v>52</v>
      </c>
      <c r="H4222" t="s">
        <v>27</v>
      </c>
      <c r="I4222" s="12">
        <v>0.4826388888888889</v>
      </c>
      <c r="J4222" t="s">
        <v>53</v>
      </c>
      <c r="K4222" t="s">
        <v>27</v>
      </c>
      <c r="L4222" s="12">
        <v>0.51041666666666663</v>
      </c>
      <c r="M4222" t="s">
        <v>23</v>
      </c>
      <c r="N4222" s="3">
        <v>186</v>
      </c>
      <c r="O4222" t="s">
        <v>24</v>
      </c>
      <c r="P4222" t="s">
        <v>25</v>
      </c>
      <c r="R4222">
        <f>tblDailySchedule[[#This Row],[Capacity Approx]]*'[1]Load Factor Sheet June Acft  '!$B$5</f>
        <v>150.61772727272728</v>
      </c>
      <c r="S4222">
        <f>tblDailySchedule[[#This Row],[Capacity Approx]]*'[1]Load Factor Sheet June Acft  '!$D$5</f>
        <v>163.08818181818182</v>
      </c>
      <c r="T4222" s="22">
        <f>tblDailySchedule[[#This Row],[STD]]</f>
        <v>0.51041666666666663</v>
      </c>
    </row>
    <row r="4223" spans="1:20" hidden="1" x14ac:dyDescent="0.35">
      <c r="A4223" s="11">
        <v>46262</v>
      </c>
      <c r="B4223" s="3">
        <v>5</v>
      </c>
      <c r="C4223" t="s">
        <v>115</v>
      </c>
      <c r="D4223" t="s">
        <v>18</v>
      </c>
      <c r="E4223" s="3">
        <v>11</v>
      </c>
      <c r="F4223" t="s">
        <v>19</v>
      </c>
      <c r="G4223" t="s">
        <v>54</v>
      </c>
      <c r="H4223" t="s">
        <v>31</v>
      </c>
      <c r="I4223" s="12">
        <v>0.51388888888888884</v>
      </c>
      <c r="J4223" t="s">
        <v>55</v>
      </c>
      <c r="K4223" t="s">
        <v>31</v>
      </c>
      <c r="L4223" s="12">
        <v>0.54166666666666663</v>
      </c>
      <c r="M4223" t="s">
        <v>23</v>
      </c>
      <c r="N4223" s="3">
        <v>186</v>
      </c>
      <c r="O4223" t="s">
        <v>24</v>
      </c>
      <c r="P4223" t="s">
        <v>56</v>
      </c>
      <c r="R4223">
        <f>tblDailySchedule[[#This Row],[Capacity Approx]]*'[1]Load Factor Sheet June Acft  '!$B$5</f>
        <v>150.61772727272728</v>
      </c>
      <c r="S4223">
        <f>tblDailySchedule[[#This Row],[Capacity Approx]]*'[1]Load Factor Sheet June Acft  '!$D$5</f>
        <v>163.08818181818182</v>
      </c>
      <c r="T4223" s="22">
        <f>tblDailySchedule[[#This Row],[STD]]</f>
        <v>0.54166666666666663</v>
      </c>
    </row>
    <row r="4224" spans="1:20" hidden="1" x14ac:dyDescent="0.35">
      <c r="A4224" s="11">
        <v>46262</v>
      </c>
      <c r="B4224" s="3">
        <v>5</v>
      </c>
      <c r="C4224" t="s">
        <v>115</v>
      </c>
      <c r="D4224" t="s">
        <v>18</v>
      </c>
      <c r="E4224" s="3">
        <v>13</v>
      </c>
      <c r="F4224" t="s">
        <v>19</v>
      </c>
      <c r="G4224" t="s">
        <v>57</v>
      </c>
      <c r="H4224" t="s">
        <v>58</v>
      </c>
      <c r="I4224" s="12">
        <v>0.55902777777777779</v>
      </c>
      <c r="J4224" t="s">
        <v>59</v>
      </c>
      <c r="K4224" t="s">
        <v>58</v>
      </c>
      <c r="L4224" s="12">
        <v>0.57638888888888884</v>
      </c>
      <c r="M4224" t="s">
        <v>51</v>
      </c>
      <c r="N4224" s="3">
        <v>78</v>
      </c>
      <c r="O4224" t="s">
        <v>24</v>
      </c>
      <c r="P4224" t="s">
        <v>56</v>
      </c>
      <c r="R4224">
        <f>tblDailySchedule[[#This Row],[Capacity Approx]]*'[1]Load Factor Sheet June Acft  '!$B$5</f>
        <v>63.162272727272729</v>
      </c>
      <c r="S4224">
        <f>tblDailySchedule[[#This Row],[Capacity Approx]]*'[1]Load Factor Sheet June Acft  '!$D$5</f>
        <v>68.391818181818181</v>
      </c>
      <c r="T4224" s="22">
        <f>tblDailySchedule[[#This Row],[STD]]</f>
        <v>0.57638888888888884</v>
      </c>
    </row>
    <row r="4225" spans="1:20" hidden="1" x14ac:dyDescent="0.35">
      <c r="A4225" s="11">
        <v>46262</v>
      </c>
      <c r="B4225" s="3">
        <v>5</v>
      </c>
      <c r="C4225" t="s">
        <v>115</v>
      </c>
      <c r="D4225" t="s">
        <v>18</v>
      </c>
      <c r="E4225" s="3">
        <v>14</v>
      </c>
      <c r="F4225" t="s">
        <v>19</v>
      </c>
      <c r="G4225" t="s">
        <v>60</v>
      </c>
      <c r="H4225" t="s">
        <v>61</v>
      </c>
      <c r="I4225" s="12">
        <v>0.59027777777777779</v>
      </c>
      <c r="J4225" t="s">
        <v>62</v>
      </c>
      <c r="K4225" t="s">
        <v>61</v>
      </c>
      <c r="L4225" s="12">
        <v>0.62152777777777779</v>
      </c>
      <c r="M4225" t="s">
        <v>63</v>
      </c>
      <c r="N4225" s="3">
        <v>232</v>
      </c>
      <c r="O4225" t="s">
        <v>24</v>
      </c>
      <c r="P4225" t="s">
        <v>56</v>
      </c>
      <c r="R4225">
        <f>tblDailySchedule[[#This Row],[Capacity Approx]]*'[1]Load Factor Sheet June Acft  '!$B$5</f>
        <v>187.86727272727273</v>
      </c>
      <c r="S4225">
        <f>tblDailySchedule[[#This Row],[Capacity Approx]]*'[1]Load Factor Sheet June Acft  '!$D$5</f>
        <v>203.4218181818182</v>
      </c>
      <c r="T4225" s="22">
        <f>tblDailySchedule[[#This Row],[STD]]</f>
        <v>0.62152777777777779</v>
      </c>
    </row>
    <row r="4226" spans="1:20" hidden="1" x14ac:dyDescent="0.35">
      <c r="A4226" s="11">
        <v>46262</v>
      </c>
      <c r="B4226" s="3">
        <v>5</v>
      </c>
      <c r="C4226" t="s">
        <v>115</v>
      </c>
      <c r="D4226" t="s">
        <v>18</v>
      </c>
      <c r="E4226" s="3">
        <v>15</v>
      </c>
      <c r="F4226" t="s">
        <v>19</v>
      </c>
      <c r="G4226" t="s">
        <v>64</v>
      </c>
      <c r="H4226" t="s">
        <v>31</v>
      </c>
      <c r="I4226" s="12">
        <v>0.60069444444444442</v>
      </c>
      <c r="J4226" t="s">
        <v>65</v>
      </c>
      <c r="K4226" t="s">
        <v>66</v>
      </c>
      <c r="L4226" s="12">
        <v>0.62847222222222221</v>
      </c>
      <c r="M4226" t="s">
        <v>63</v>
      </c>
      <c r="N4226" s="3">
        <v>232</v>
      </c>
      <c r="O4226" t="s">
        <v>24</v>
      </c>
      <c r="P4226" t="s">
        <v>56</v>
      </c>
      <c r="R4226">
        <f>tblDailySchedule[[#This Row],[Capacity Approx]]*'[1]Load Factor Sheet June Acft  '!$B$5</f>
        <v>187.86727272727273</v>
      </c>
      <c r="S4226">
        <f>tblDailySchedule[[#This Row],[Capacity Approx]]*'[1]Load Factor Sheet June Acft  '!$D$5</f>
        <v>203.4218181818182</v>
      </c>
      <c r="T4226" s="22">
        <f>tblDailySchedule[[#This Row],[STD]]</f>
        <v>0.62847222222222221</v>
      </c>
    </row>
    <row r="4227" spans="1:20" hidden="1" x14ac:dyDescent="0.35">
      <c r="A4227" s="11">
        <v>46262</v>
      </c>
      <c r="B4227" s="3">
        <v>5</v>
      </c>
      <c r="C4227" t="s">
        <v>115</v>
      </c>
      <c r="D4227" t="s">
        <v>18</v>
      </c>
      <c r="E4227" s="3">
        <v>16</v>
      </c>
      <c r="F4227" t="s">
        <v>19</v>
      </c>
      <c r="G4227" t="s">
        <v>67</v>
      </c>
      <c r="H4227" t="s">
        <v>31</v>
      </c>
      <c r="I4227" s="12">
        <v>0.65625</v>
      </c>
      <c r="J4227" t="s">
        <v>68</v>
      </c>
      <c r="K4227" t="s">
        <v>31</v>
      </c>
      <c r="L4227" s="12">
        <v>0.68402777777777779</v>
      </c>
      <c r="M4227" t="s">
        <v>63</v>
      </c>
      <c r="N4227" s="3">
        <v>232</v>
      </c>
      <c r="O4227" t="s">
        <v>24</v>
      </c>
      <c r="P4227" t="s">
        <v>56</v>
      </c>
      <c r="R4227">
        <f>tblDailySchedule[[#This Row],[Capacity Approx]]*'[1]Load Factor Sheet June Acft  '!$B$5</f>
        <v>187.86727272727273</v>
      </c>
      <c r="S4227">
        <f>tblDailySchedule[[#This Row],[Capacity Approx]]*'[1]Load Factor Sheet June Acft  '!$D$5</f>
        <v>203.4218181818182</v>
      </c>
      <c r="T4227" s="22">
        <f>tblDailySchedule[[#This Row],[STD]]</f>
        <v>0.68402777777777779</v>
      </c>
    </row>
    <row r="4228" spans="1:20" hidden="1" x14ac:dyDescent="0.35">
      <c r="A4228" s="11">
        <v>46262</v>
      </c>
      <c r="B4228" s="3">
        <v>5</v>
      </c>
      <c r="C4228" t="s">
        <v>115</v>
      </c>
      <c r="D4228" t="s">
        <v>18</v>
      </c>
      <c r="E4228" s="3">
        <v>17</v>
      </c>
      <c r="F4228" t="s">
        <v>19</v>
      </c>
      <c r="G4228" t="s">
        <v>69</v>
      </c>
      <c r="H4228" t="s">
        <v>31</v>
      </c>
      <c r="I4228" s="12">
        <v>0.66319444444444442</v>
      </c>
      <c r="J4228" t="s">
        <v>70</v>
      </c>
      <c r="K4228" t="s">
        <v>31</v>
      </c>
      <c r="L4228" s="12">
        <v>0.69097222222222221</v>
      </c>
      <c r="M4228" t="s">
        <v>33</v>
      </c>
      <c r="N4228" s="3">
        <v>189</v>
      </c>
      <c r="O4228" t="s">
        <v>24</v>
      </c>
      <c r="P4228" t="s">
        <v>56</v>
      </c>
      <c r="R4228">
        <f>tblDailySchedule[[#This Row],[Capacity Approx]]*'[1]Load Factor Sheet June Acft  '!$B$5</f>
        <v>153.04704545454547</v>
      </c>
      <c r="S4228">
        <f>tblDailySchedule[[#This Row],[Capacity Approx]]*'[1]Load Factor Sheet June Acft  '!$D$5</f>
        <v>165.71863636363636</v>
      </c>
      <c r="T4228" s="22">
        <f>tblDailySchedule[[#This Row],[STD]]</f>
        <v>0.69097222222222221</v>
      </c>
    </row>
    <row r="4229" spans="1:20" hidden="1" x14ac:dyDescent="0.35">
      <c r="A4229" s="11">
        <v>46262</v>
      </c>
      <c r="B4229" s="3">
        <v>5</v>
      </c>
      <c r="C4229" t="s">
        <v>115</v>
      </c>
      <c r="D4229" t="s">
        <v>18</v>
      </c>
      <c r="E4229" s="3">
        <v>18</v>
      </c>
      <c r="F4229" t="s">
        <v>19</v>
      </c>
      <c r="G4229" t="s">
        <v>71</v>
      </c>
      <c r="H4229" t="s">
        <v>21</v>
      </c>
      <c r="I4229" s="12">
        <v>0.67013888888888884</v>
      </c>
      <c r="J4229" t="s">
        <v>72</v>
      </c>
      <c r="K4229" t="s">
        <v>21</v>
      </c>
      <c r="L4229" s="12">
        <v>0.69791666666666663</v>
      </c>
      <c r="M4229" t="s">
        <v>63</v>
      </c>
      <c r="N4229" s="3">
        <v>232</v>
      </c>
      <c r="O4229" t="s">
        <v>24</v>
      </c>
      <c r="P4229" t="s">
        <v>56</v>
      </c>
      <c r="R4229">
        <f>tblDailySchedule[[#This Row],[Capacity Approx]]*'[1]Load Factor Sheet June Acft  '!$B$5</f>
        <v>187.86727272727273</v>
      </c>
      <c r="S4229">
        <f>tblDailySchedule[[#This Row],[Capacity Approx]]*'[1]Load Factor Sheet June Acft  '!$D$5</f>
        <v>203.4218181818182</v>
      </c>
      <c r="T4229" s="22">
        <f>tblDailySchedule[[#This Row],[STD]]</f>
        <v>0.69791666666666663</v>
      </c>
    </row>
    <row r="4230" spans="1:20" hidden="1" x14ac:dyDescent="0.35">
      <c r="A4230" s="11">
        <v>46262</v>
      </c>
      <c r="B4230" s="3">
        <v>5</v>
      </c>
      <c r="C4230" t="s">
        <v>115</v>
      </c>
      <c r="D4230" t="s">
        <v>18</v>
      </c>
      <c r="E4230" s="3">
        <v>19</v>
      </c>
      <c r="F4230" t="s">
        <v>19</v>
      </c>
      <c r="G4230" t="s">
        <v>73</v>
      </c>
      <c r="H4230" t="s">
        <v>27</v>
      </c>
      <c r="I4230" s="12">
        <v>0.74652777777777779</v>
      </c>
      <c r="J4230" t="s">
        <v>74</v>
      </c>
      <c r="K4230" t="s">
        <v>27</v>
      </c>
      <c r="L4230" s="12">
        <v>0.77430555555555558</v>
      </c>
      <c r="M4230" t="s">
        <v>63</v>
      </c>
      <c r="N4230" s="3">
        <v>232</v>
      </c>
      <c r="O4230" t="s">
        <v>24</v>
      </c>
      <c r="P4230" t="s">
        <v>56</v>
      </c>
      <c r="R4230">
        <f>tblDailySchedule[[#This Row],[Capacity Approx]]*'[1]Load Factor Sheet June Acft  '!$B$5</f>
        <v>187.86727272727273</v>
      </c>
      <c r="S4230">
        <f>tblDailySchedule[[#This Row],[Capacity Approx]]*'[1]Load Factor Sheet June Acft  '!$D$5</f>
        <v>203.4218181818182</v>
      </c>
      <c r="T4230" s="22">
        <f>tblDailySchedule[[#This Row],[STD]]</f>
        <v>0.77430555555555558</v>
      </c>
    </row>
    <row r="4231" spans="1:20" hidden="1" x14ac:dyDescent="0.35">
      <c r="A4231" s="11">
        <v>46262</v>
      </c>
      <c r="B4231" s="3">
        <v>5</v>
      </c>
      <c r="C4231" t="s">
        <v>115</v>
      </c>
      <c r="D4231" t="s">
        <v>18</v>
      </c>
      <c r="E4231" s="3">
        <v>20</v>
      </c>
      <c r="F4231" t="s">
        <v>34</v>
      </c>
      <c r="G4231" t="s">
        <v>75</v>
      </c>
      <c r="H4231" t="s">
        <v>76</v>
      </c>
      <c r="I4231" s="12">
        <v>0.76388888888888884</v>
      </c>
      <c r="J4231" t="s">
        <v>77</v>
      </c>
      <c r="K4231" t="s">
        <v>78</v>
      </c>
      <c r="L4231" s="12">
        <v>0.78472222222222221</v>
      </c>
      <c r="M4231" t="s">
        <v>51</v>
      </c>
      <c r="N4231" s="3">
        <v>78</v>
      </c>
      <c r="O4231" t="s">
        <v>24</v>
      </c>
      <c r="P4231" t="s">
        <v>79</v>
      </c>
      <c r="Q4231" s="16" t="s">
        <v>80</v>
      </c>
      <c r="R4231">
        <f>tblDailySchedule[[#This Row],[Capacity Approx]]*'[1]Load Factor Sheet June Acft  '!$B$5</f>
        <v>63.162272727272729</v>
      </c>
      <c r="S4231">
        <f>tblDailySchedule[[#This Row],[Capacity Approx]]*'[1]Load Factor Sheet June Acft  '!$D$5</f>
        <v>68.391818181818181</v>
      </c>
      <c r="T4231" s="22">
        <f>tblDailySchedule[[#This Row],[STD]]</f>
        <v>0.78472222222222221</v>
      </c>
    </row>
    <row r="4232" spans="1:20" hidden="1" x14ac:dyDescent="0.35">
      <c r="A4232" s="11">
        <v>46262</v>
      </c>
      <c r="B4232" s="3">
        <v>5</v>
      </c>
      <c r="C4232" t="s">
        <v>115</v>
      </c>
      <c r="D4232" t="s">
        <v>18</v>
      </c>
      <c r="E4232" s="3">
        <v>21</v>
      </c>
      <c r="F4232" t="s">
        <v>19</v>
      </c>
      <c r="G4232" t="s">
        <v>81</v>
      </c>
      <c r="H4232" t="s">
        <v>61</v>
      </c>
      <c r="I4232" s="12">
        <v>0.77083333333333337</v>
      </c>
      <c r="J4232" t="s">
        <v>82</v>
      </c>
      <c r="K4232" t="s">
        <v>49</v>
      </c>
      <c r="L4232" s="12">
        <v>0.79166666666666663</v>
      </c>
      <c r="M4232" t="s">
        <v>33</v>
      </c>
      <c r="N4232" s="3">
        <v>189</v>
      </c>
      <c r="O4232" t="s">
        <v>24</v>
      </c>
      <c r="P4232" t="s">
        <v>79</v>
      </c>
      <c r="R4232">
        <f>tblDailySchedule[[#This Row],[Capacity Approx]]*'[1]Load Factor Sheet June Acft  '!$B$5</f>
        <v>153.04704545454547</v>
      </c>
      <c r="S4232">
        <f>tblDailySchedule[[#This Row],[Capacity Approx]]*'[1]Load Factor Sheet June Acft  '!$D$5</f>
        <v>165.71863636363636</v>
      </c>
      <c r="T4232" s="22">
        <f>tblDailySchedule[[#This Row],[STD]]</f>
        <v>0.79166666666666663</v>
      </c>
    </row>
    <row r="4233" spans="1:20" hidden="1" x14ac:dyDescent="0.35">
      <c r="A4233" s="11">
        <v>46262</v>
      </c>
      <c r="B4233" s="3">
        <v>5</v>
      </c>
      <c r="C4233" t="s">
        <v>115</v>
      </c>
      <c r="D4233" t="s">
        <v>18</v>
      </c>
      <c r="E4233" s="3">
        <v>22</v>
      </c>
      <c r="F4233" t="s">
        <v>19</v>
      </c>
      <c r="G4233" t="s">
        <v>83</v>
      </c>
      <c r="H4233" t="s">
        <v>31</v>
      </c>
      <c r="I4233" s="12">
        <v>0.77777777777777779</v>
      </c>
      <c r="J4233" t="s">
        <v>84</v>
      </c>
      <c r="K4233" t="s">
        <v>31</v>
      </c>
      <c r="L4233" s="12">
        <v>0.80555555555555558</v>
      </c>
      <c r="M4233" t="s">
        <v>63</v>
      </c>
      <c r="N4233" s="3">
        <v>232</v>
      </c>
      <c r="O4233" t="s">
        <v>24</v>
      </c>
      <c r="P4233" t="s">
        <v>79</v>
      </c>
      <c r="R4233">
        <f>tblDailySchedule[[#This Row],[Capacity Approx]]*'[1]Load Factor Sheet June Acft  '!$B$5</f>
        <v>187.86727272727273</v>
      </c>
      <c r="S4233">
        <f>tblDailySchedule[[#This Row],[Capacity Approx]]*'[1]Load Factor Sheet June Acft  '!$D$5</f>
        <v>203.4218181818182</v>
      </c>
      <c r="T4233" s="22">
        <f>tblDailySchedule[[#This Row],[STD]]</f>
        <v>0.80555555555555558</v>
      </c>
    </row>
    <row r="4234" spans="1:20" hidden="1" x14ac:dyDescent="0.35">
      <c r="A4234" s="11">
        <v>46262</v>
      </c>
      <c r="B4234" s="3">
        <v>5</v>
      </c>
      <c r="C4234" t="s">
        <v>115</v>
      </c>
      <c r="D4234" t="s">
        <v>18</v>
      </c>
      <c r="E4234" s="3">
        <v>23</v>
      </c>
      <c r="F4234" t="s">
        <v>19</v>
      </c>
      <c r="G4234" t="s">
        <v>85</v>
      </c>
      <c r="H4234" t="s">
        <v>86</v>
      </c>
      <c r="I4234" s="12">
        <v>0.79861111111111116</v>
      </c>
      <c r="J4234" t="s">
        <v>87</v>
      </c>
      <c r="K4234" t="s">
        <v>86</v>
      </c>
      <c r="L4234" s="12">
        <v>0.82638888888888884</v>
      </c>
      <c r="M4234" t="s">
        <v>63</v>
      </c>
      <c r="N4234" s="3">
        <v>232</v>
      </c>
      <c r="O4234" t="s">
        <v>24</v>
      </c>
      <c r="P4234" t="s">
        <v>79</v>
      </c>
      <c r="R4234">
        <f>tblDailySchedule[[#This Row],[Capacity Approx]]*'[1]Load Factor Sheet June Acft  '!$B$5</f>
        <v>187.86727272727273</v>
      </c>
      <c r="S4234">
        <f>tblDailySchedule[[#This Row],[Capacity Approx]]*'[1]Load Factor Sheet June Acft  '!$D$5</f>
        <v>203.4218181818182</v>
      </c>
      <c r="T4234" s="22">
        <f>tblDailySchedule[[#This Row],[STD]]</f>
        <v>0.82638888888888884</v>
      </c>
    </row>
    <row r="4235" spans="1:20" hidden="1" x14ac:dyDescent="0.35">
      <c r="A4235" s="11">
        <v>46262</v>
      </c>
      <c r="B4235" s="3">
        <v>5</v>
      </c>
      <c r="C4235" t="s">
        <v>115</v>
      </c>
      <c r="D4235" t="s">
        <v>18</v>
      </c>
      <c r="E4235" s="3">
        <v>24</v>
      </c>
      <c r="F4235" t="s">
        <v>19</v>
      </c>
      <c r="G4235" t="s">
        <v>88</v>
      </c>
      <c r="H4235" t="s">
        <v>89</v>
      </c>
      <c r="I4235" s="12">
        <v>0.83333333333333337</v>
      </c>
      <c r="J4235" t="s">
        <v>90</v>
      </c>
      <c r="K4235" t="s">
        <v>31</v>
      </c>
      <c r="L4235" s="12">
        <v>0.86111111111111116</v>
      </c>
      <c r="M4235" t="s">
        <v>63</v>
      </c>
      <c r="N4235" s="3">
        <v>232</v>
      </c>
      <c r="O4235" t="s">
        <v>24</v>
      </c>
      <c r="P4235" t="s">
        <v>79</v>
      </c>
      <c r="R4235">
        <f>tblDailySchedule[[#This Row],[Capacity Approx]]*'[1]Load Factor Sheet June Acft  '!$B$5</f>
        <v>187.86727272727273</v>
      </c>
      <c r="S4235">
        <f>tblDailySchedule[[#This Row],[Capacity Approx]]*'[1]Load Factor Sheet June Acft  '!$D$5</f>
        <v>203.4218181818182</v>
      </c>
      <c r="T4235" s="22">
        <f>tblDailySchedule[[#This Row],[STD]]</f>
        <v>0.86111111111111116</v>
      </c>
    </row>
    <row r="4236" spans="1:20" hidden="1" x14ac:dyDescent="0.35">
      <c r="A4236" s="11">
        <v>46262</v>
      </c>
      <c r="B4236" s="3">
        <v>5</v>
      </c>
      <c r="C4236" t="s">
        <v>115</v>
      </c>
      <c r="D4236" t="s">
        <v>18</v>
      </c>
      <c r="E4236" s="3">
        <v>25</v>
      </c>
      <c r="F4236" t="s">
        <v>19</v>
      </c>
      <c r="G4236" t="s">
        <v>91</v>
      </c>
      <c r="H4236" t="s">
        <v>61</v>
      </c>
      <c r="I4236" s="12">
        <v>0.85416666666666663</v>
      </c>
      <c r="J4236" t="s">
        <v>92</v>
      </c>
      <c r="K4236" t="s">
        <v>61</v>
      </c>
      <c r="L4236" s="12">
        <v>0.88194444444444442</v>
      </c>
      <c r="M4236" t="s">
        <v>63</v>
      </c>
      <c r="N4236" s="3">
        <v>232</v>
      </c>
      <c r="O4236" t="s">
        <v>24</v>
      </c>
      <c r="P4236" t="s">
        <v>79</v>
      </c>
      <c r="R4236">
        <f>tblDailySchedule[[#This Row],[Capacity Approx]]*'[1]Load Factor Sheet June Acft  '!$B$5</f>
        <v>187.86727272727273</v>
      </c>
      <c r="S4236">
        <f>tblDailySchedule[[#This Row],[Capacity Approx]]*'[1]Load Factor Sheet June Acft  '!$D$5</f>
        <v>203.4218181818182</v>
      </c>
      <c r="T4236" s="22">
        <f>tblDailySchedule[[#This Row],[STD]]</f>
        <v>0.88194444444444442</v>
      </c>
    </row>
    <row r="4237" spans="1:20" hidden="1" x14ac:dyDescent="0.35">
      <c r="A4237" s="11">
        <v>46262</v>
      </c>
      <c r="B4237" s="3">
        <v>5</v>
      </c>
      <c r="C4237" t="s">
        <v>115</v>
      </c>
      <c r="D4237" t="s">
        <v>18</v>
      </c>
      <c r="E4237" s="3">
        <v>26</v>
      </c>
      <c r="F4237" t="s">
        <v>19</v>
      </c>
      <c r="G4237" t="s">
        <v>93</v>
      </c>
      <c r="H4237" t="s">
        <v>31</v>
      </c>
      <c r="I4237" s="12">
        <v>0.86111111111111116</v>
      </c>
      <c r="J4237" t="s">
        <v>94</v>
      </c>
      <c r="K4237" t="s">
        <v>31</v>
      </c>
      <c r="L4237" s="12">
        <v>0.88888888888888884</v>
      </c>
      <c r="M4237" t="s">
        <v>23</v>
      </c>
      <c r="N4237" s="3">
        <v>186</v>
      </c>
      <c r="O4237" t="s">
        <v>24</v>
      </c>
      <c r="P4237" t="s">
        <v>79</v>
      </c>
      <c r="R4237">
        <f>tblDailySchedule[[#This Row],[Capacity Approx]]*'[1]Load Factor Sheet June Acft  '!$B$5</f>
        <v>150.61772727272728</v>
      </c>
      <c r="S4237">
        <f>tblDailySchedule[[#This Row],[Capacity Approx]]*'[1]Load Factor Sheet June Acft  '!$D$5</f>
        <v>163.08818181818182</v>
      </c>
      <c r="T4237" s="22">
        <f>tblDailySchedule[[#This Row],[STD]]</f>
        <v>0.88888888888888884</v>
      </c>
    </row>
    <row r="4238" spans="1:20" hidden="1" x14ac:dyDescent="0.35">
      <c r="A4238" s="11">
        <v>46262</v>
      </c>
      <c r="B4238" s="3">
        <v>5</v>
      </c>
      <c r="C4238" t="s">
        <v>115</v>
      </c>
      <c r="D4238" t="s">
        <v>18</v>
      </c>
      <c r="E4238" s="3">
        <v>27</v>
      </c>
      <c r="F4238" t="s">
        <v>19</v>
      </c>
      <c r="G4238" t="s">
        <v>95</v>
      </c>
      <c r="H4238" t="s">
        <v>21</v>
      </c>
      <c r="I4238" s="12">
        <v>0.86805555555555558</v>
      </c>
      <c r="J4238" t="s">
        <v>96</v>
      </c>
      <c r="K4238" t="s">
        <v>21</v>
      </c>
      <c r="L4238" s="12">
        <v>0.89583333333333337</v>
      </c>
      <c r="M4238" t="s">
        <v>29</v>
      </c>
      <c r="N4238" s="3">
        <v>186</v>
      </c>
      <c r="O4238" t="s">
        <v>24</v>
      </c>
      <c r="P4238" t="s">
        <v>79</v>
      </c>
      <c r="R4238">
        <f>tblDailySchedule[[#This Row],[Capacity Approx]]*'[1]Load Factor Sheet June Acft  '!$B$5</f>
        <v>150.61772727272728</v>
      </c>
      <c r="S4238">
        <f>tblDailySchedule[[#This Row],[Capacity Approx]]*'[1]Load Factor Sheet June Acft  '!$D$5</f>
        <v>163.08818181818182</v>
      </c>
      <c r="T4238" s="22">
        <f>tblDailySchedule[[#This Row],[STD]]</f>
        <v>0.89583333333333337</v>
      </c>
    </row>
    <row r="4239" spans="1:20" hidden="1" x14ac:dyDescent="0.35">
      <c r="A4239" s="11">
        <v>46262</v>
      </c>
      <c r="B4239" s="3">
        <v>5</v>
      </c>
      <c r="C4239" t="s">
        <v>115</v>
      </c>
      <c r="D4239" t="s">
        <v>18</v>
      </c>
      <c r="E4239" s="3">
        <v>28</v>
      </c>
      <c r="F4239" t="s">
        <v>19</v>
      </c>
      <c r="G4239" t="s">
        <v>97</v>
      </c>
      <c r="H4239" t="s">
        <v>49</v>
      </c>
      <c r="I4239" s="12">
        <v>0.90277777777777779</v>
      </c>
      <c r="J4239" t="s">
        <v>97</v>
      </c>
      <c r="K4239" t="s">
        <v>61</v>
      </c>
      <c r="L4239" s="12">
        <v>0.92361111111111116</v>
      </c>
      <c r="M4239" t="s">
        <v>33</v>
      </c>
      <c r="N4239" s="3">
        <v>189</v>
      </c>
      <c r="O4239" t="s">
        <v>24</v>
      </c>
      <c r="P4239" t="s">
        <v>79</v>
      </c>
      <c r="R4239">
        <f>tblDailySchedule[[#This Row],[Capacity Approx]]*'[1]Load Factor Sheet June Acft  '!$B$5</f>
        <v>153.04704545454547</v>
      </c>
      <c r="S4239">
        <f>tblDailySchedule[[#This Row],[Capacity Approx]]*'[1]Load Factor Sheet June Acft  '!$D$5</f>
        <v>165.71863636363636</v>
      </c>
      <c r="T4239" s="22">
        <f>tblDailySchedule[[#This Row],[STD]]</f>
        <v>0.92361111111111116</v>
      </c>
    </row>
    <row r="4240" spans="1:20" hidden="1" x14ac:dyDescent="0.35">
      <c r="A4240" s="11">
        <v>46262</v>
      </c>
      <c r="B4240" s="3">
        <v>5</v>
      </c>
      <c r="C4240" t="s">
        <v>115</v>
      </c>
      <c r="D4240" t="s">
        <v>18</v>
      </c>
      <c r="E4240" s="3">
        <v>29</v>
      </c>
      <c r="F4240" t="s">
        <v>19</v>
      </c>
      <c r="G4240" t="s">
        <v>98</v>
      </c>
      <c r="H4240" t="s">
        <v>21</v>
      </c>
      <c r="I4240" s="12">
        <v>0.92013888888888884</v>
      </c>
      <c r="J4240" t="s">
        <v>99</v>
      </c>
      <c r="K4240" t="s">
        <v>21</v>
      </c>
      <c r="L4240" s="12">
        <v>0.94791666666666663</v>
      </c>
      <c r="M4240" t="s">
        <v>63</v>
      </c>
      <c r="N4240" s="3">
        <v>232</v>
      </c>
      <c r="O4240" t="s">
        <v>24</v>
      </c>
      <c r="P4240" t="s">
        <v>79</v>
      </c>
      <c r="R4240">
        <f>tblDailySchedule[[#This Row],[Capacity Approx]]*'[1]Load Factor Sheet June Acft  '!$B$5</f>
        <v>187.86727272727273</v>
      </c>
      <c r="S4240">
        <f>tblDailySchedule[[#This Row],[Capacity Approx]]*'[1]Load Factor Sheet June Acft  '!$D$5</f>
        <v>203.4218181818182</v>
      </c>
      <c r="T4240" s="22">
        <f>tblDailySchedule[[#This Row],[STD]]</f>
        <v>0.94791666666666663</v>
      </c>
    </row>
    <row r="4241" spans="1:20" hidden="1" x14ac:dyDescent="0.35">
      <c r="A4241" s="13">
        <v>46262</v>
      </c>
      <c r="B4241" s="7">
        <v>5</v>
      </c>
      <c r="C4241" s="14" t="s">
        <v>115</v>
      </c>
      <c r="D4241" s="14" t="s">
        <v>18</v>
      </c>
      <c r="E4241" s="7">
        <v>30</v>
      </c>
      <c r="F4241" s="14" t="s">
        <v>104</v>
      </c>
      <c r="G4241" s="14" t="s">
        <v>105</v>
      </c>
      <c r="H4241" s="14" t="s">
        <v>106</v>
      </c>
      <c r="I4241" s="15">
        <v>0.92708333333333337</v>
      </c>
      <c r="J4241" s="14" t="s">
        <v>107</v>
      </c>
      <c r="K4241" s="14" t="s">
        <v>106</v>
      </c>
      <c r="L4241" s="15">
        <v>0.95833333333333337</v>
      </c>
      <c r="M4241" s="14" t="s">
        <v>38</v>
      </c>
      <c r="N4241" s="7">
        <v>186</v>
      </c>
      <c r="O4241" s="14" t="s">
        <v>39</v>
      </c>
      <c r="P4241" s="14" t="s">
        <v>79</v>
      </c>
      <c r="Q4241" s="14" t="s">
        <v>39</v>
      </c>
      <c r="R4241">
        <f>tblDailySchedule[[#This Row],[Capacity Approx]]*'[1]Load Factor Sheet June Acft  '!$B$5</f>
        <v>150.61772727272728</v>
      </c>
      <c r="S4241">
        <f>tblDailySchedule[[#This Row],[Capacity Approx]]*'[1]Load Factor Sheet June Acft  '!$D$5</f>
        <v>163.08818181818182</v>
      </c>
      <c r="T4241" s="22">
        <f>tblDailySchedule[[#This Row],[STD]]</f>
        <v>0.95833333333333337</v>
      </c>
    </row>
    <row r="4242" spans="1:20" hidden="1" x14ac:dyDescent="0.35">
      <c r="A4242" s="11">
        <v>46263</v>
      </c>
      <c r="B4242" s="3">
        <v>6</v>
      </c>
      <c r="C4242" t="s">
        <v>116</v>
      </c>
      <c r="D4242" t="s">
        <v>18</v>
      </c>
      <c r="E4242" s="3">
        <v>1</v>
      </c>
      <c r="F4242" t="s">
        <v>101</v>
      </c>
      <c r="G4242" t="s">
        <v>102</v>
      </c>
      <c r="H4242" t="s">
        <v>61</v>
      </c>
      <c r="I4242" s="12">
        <v>0.3125</v>
      </c>
      <c r="J4242" t="s">
        <v>103</v>
      </c>
      <c r="K4242" t="s">
        <v>61</v>
      </c>
      <c r="L4242" s="12">
        <v>0.33333333333333331</v>
      </c>
      <c r="M4242" t="s">
        <v>33</v>
      </c>
      <c r="N4242" s="3">
        <v>189</v>
      </c>
      <c r="O4242" t="s">
        <v>24</v>
      </c>
      <c r="P4242" t="s">
        <v>25</v>
      </c>
      <c r="R4242">
        <f>tblDailySchedule[[#This Row],[Capacity Approx]]*'[1]Load Factor Sheet June Acft  '!$B$5</f>
        <v>153.04704545454547</v>
      </c>
      <c r="S4242">
        <f>tblDailySchedule[[#This Row],[Capacity Approx]]*'[1]Load Factor Sheet June Acft  '!$D$5</f>
        <v>165.71863636363636</v>
      </c>
      <c r="T4242" s="22">
        <f>tblDailySchedule[[#This Row],[STD]]</f>
        <v>0.33333333333333331</v>
      </c>
    </row>
    <row r="4243" spans="1:20" hidden="1" x14ac:dyDescent="0.35">
      <c r="A4243" s="11">
        <v>46263</v>
      </c>
      <c r="B4243" s="3">
        <v>6</v>
      </c>
      <c r="C4243" t="s">
        <v>116</v>
      </c>
      <c r="D4243" t="s">
        <v>18</v>
      </c>
      <c r="E4243" s="3">
        <v>2</v>
      </c>
      <c r="F4243" t="s">
        <v>19</v>
      </c>
      <c r="G4243" t="s">
        <v>20</v>
      </c>
      <c r="H4243" t="s">
        <v>21</v>
      </c>
      <c r="I4243" s="12">
        <v>0.31944444444444442</v>
      </c>
      <c r="J4243" t="s">
        <v>22</v>
      </c>
      <c r="K4243" t="s">
        <v>21</v>
      </c>
      <c r="L4243" s="12">
        <v>0.34722222222222221</v>
      </c>
      <c r="M4243" t="s">
        <v>23</v>
      </c>
      <c r="N4243" s="3">
        <v>186</v>
      </c>
      <c r="O4243" t="s">
        <v>24</v>
      </c>
      <c r="P4243" t="s">
        <v>25</v>
      </c>
      <c r="R4243">
        <f>tblDailySchedule[[#This Row],[Capacity Approx]]*'[1]Load Factor Sheet June Acft  '!$B$5</f>
        <v>150.61772727272728</v>
      </c>
      <c r="S4243">
        <f>tblDailySchedule[[#This Row],[Capacity Approx]]*'[1]Load Factor Sheet June Acft  '!$D$5</f>
        <v>163.08818181818182</v>
      </c>
      <c r="T4243" s="22">
        <f>tblDailySchedule[[#This Row],[STD]]</f>
        <v>0.34722222222222221</v>
      </c>
    </row>
    <row r="4244" spans="1:20" hidden="1" x14ac:dyDescent="0.35">
      <c r="A4244" s="11">
        <v>46263</v>
      </c>
      <c r="B4244" s="3">
        <v>6</v>
      </c>
      <c r="C4244" t="s">
        <v>116</v>
      </c>
      <c r="D4244" t="s">
        <v>18</v>
      </c>
      <c r="E4244" s="3">
        <v>3</v>
      </c>
      <c r="F4244" t="s">
        <v>19</v>
      </c>
      <c r="G4244" t="s">
        <v>26</v>
      </c>
      <c r="H4244" t="s">
        <v>27</v>
      </c>
      <c r="I4244" s="12">
        <v>0.3263888888888889</v>
      </c>
      <c r="J4244" t="s">
        <v>28</v>
      </c>
      <c r="K4244" t="s">
        <v>27</v>
      </c>
      <c r="L4244" s="12">
        <v>0.35416666666666669</v>
      </c>
      <c r="M4244" t="s">
        <v>29</v>
      </c>
      <c r="N4244" s="3">
        <v>186</v>
      </c>
      <c r="O4244" t="s">
        <v>24</v>
      </c>
      <c r="P4244" t="s">
        <v>25</v>
      </c>
      <c r="R4244">
        <f>tblDailySchedule[[#This Row],[Capacity Approx]]*'[1]Load Factor Sheet June Acft  '!$B$5</f>
        <v>150.61772727272728</v>
      </c>
      <c r="S4244">
        <f>tblDailySchedule[[#This Row],[Capacity Approx]]*'[1]Load Factor Sheet June Acft  '!$D$5</f>
        <v>163.08818181818182</v>
      </c>
      <c r="T4244" s="22">
        <f>tblDailySchedule[[#This Row],[STD]]</f>
        <v>0.35416666666666669</v>
      </c>
    </row>
    <row r="4245" spans="1:20" hidden="1" x14ac:dyDescent="0.35">
      <c r="A4245" s="11">
        <v>46263</v>
      </c>
      <c r="B4245" s="3">
        <v>6</v>
      </c>
      <c r="C4245" t="s">
        <v>116</v>
      </c>
      <c r="D4245" t="s">
        <v>18</v>
      </c>
      <c r="E4245" s="3">
        <v>4</v>
      </c>
      <c r="F4245" t="s">
        <v>19</v>
      </c>
      <c r="G4245" t="s">
        <v>30</v>
      </c>
      <c r="H4245" t="s">
        <v>31</v>
      </c>
      <c r="I4245" s="12">
        <v>0.34722222222222221</v>
      </c>
      <c r="J4245" t="s">
        <v>32</v>
      </c>
      <c r="K4245" t="s">
        <v>31</v>
      </c>
      <c r="L4245" s="12">
        <v>0.36805555555555558</v>
      </c>
      <c r="M4245" t="s">
        <v>33</v>
      </c>
      <c r="N4245" s="3">
        <v>189</v>
      </c>
      <c r="O4245" t="s">
        <v>24</v>
      </c>
      <c r="P4245" t="s">
        <v>25</v>
      </c>
      <c r="R4245">
        <f>tblDailySchedule[[#This Row],[Capacity Approx]]*'[1]Load Factor Sheet June Acft  '!$B$5</f>
        <v>153.04704545454547</v>
      </c>
      <c r="S4245">
        <f>tblDailySchedule[[#This Row],[Capacity Approx]]*'[1]Load Factor Sheet June Acft  '!$D$5</f>
        <v>165.71863636363636</v>
      </c>
      <c r="T4245" s="22">
        <f>tblDailySchedule[[#This Row],[STD]]</f>
        <v>0.36805555555555558</v>
      </c>
    </row>
    <row r="4246" spans="1:20" hidden="1" x14ac:dyDescent="0.35">
      <c r="A4246" s="11">
        <v>46263</v>
      </c>
      <c r="B4246" s="3">
        <v>6</v>
      </c>
      <c r="C4246" t="s">
        <v>116</v>
      </c>
      <c r="D4246" t="s">
        <v>18</v>
      </c>
      <c r="E4246" s="3">
        <v>5</v>
      </c>
      <c r="F4246" t="s">
        <v>19</v>
      </c>
      <c r="G4246" t="s">
        <v>40</v>
      </c>
      <c r="H4246" t="s">
        <v>31</v>
      </c>
      <c r="I4246" s="12">
        <v>0.35069444444444442</v>
      </c>
      <c r="J4246" t="s">
        <v>41</v>
      </c>
      <c r="K4246" t="s">
        <v>31</v>
      </c>
      <c r="L4246" s="12">
        <v>0.37152777777777779</v>
      </c>
      <c r="M4246" t="s">
        <v>23</v>
      </c>
      <c r="N4246" s="3">
        <v>186</v>
      </c>
      <c r="O4246" t="s">
        <v>24</v>
      </c>
      <c r="P4246" t="s">
        <v>25</v>
      </c>
      <c r="R4246">
        <f>tblDailySchedule[[#This Row],[Capacity Approx]]*'[1]Load Factor Sheet June Acft  '!$B$5</f>
        <v>150.61772727272728</v>
      </c>
      <c r="S4246">
        <f>tblDailySchedule[[#This Row],[Capacity Approx]]*'[1]Load Factor Sheet June Acft  '!$D$5</f>
        <v>163.08818181818182</v>
      </c>
      <c r="T4246" s="22">
        <f>tblDailySchedule[[#This Row],[STD]]</f>
        <v>0.37152777777777779</v>
      </c>
    </row>
    <row r="4247" spans="1:20" hidden="1" x14ac:dyDescent="0.35">
      <c r="A4247" s="11">
        <v>46263</v>
      </c>
      <c r="B4247" s="3">
        <v>6</v>
      </c>
      <c r="C4247" t="s">
        <v>116</v>
      </c>
      <c r="D4247" t="s">
        <v>18</v>
      </c>
      <c r="E4247" s="3">
        <v>7</v>
      </c>
      <c r="F4247" t="s">
        <v>19</v>
      </c>
      <c r="G4247" t="s">
        <v>42</v>
      </c>
      <c r="H4247" t="s">
        <v>43</v>
      </c>
      <c r="I4247" s="12">
        <v>0.3923611111111111</v>
      </c>
      <c r="J4247" t="s">
        <v>44</v>
      </c>
      <c r="K4247" t="s">
        <v>43</v>
      </c>
      <c r="L4247" s="12">
        <v>0.40277777777777779</v>
      </c>
      <c r="M4247" t="s">
        <v>45</v>
      </c>
      <c r="N4247" s="3">
        <v>9</v>
      </c>
      <c r="O4247" t="s">
        <v>24</v>
      </c>
      <c r="P4247" t="s">
        <v>25</v>
      </c>
      <c r="R4247">
        <f>tblDailySchedule[[#This Row],[Capacity Approx]]*'[1]Load Factor Sheet June Acft  '!$B$5</f>
        <v>7.2879545454545456</v>
      </c>
      <c r="S4247">
        <f>tblDailySchedule[[#This Row],[Capacity Approx]]*'[1]Load Factor Sheet June Acft  '!$D$5</f>
        <v>7.8913636363636366</v>
      </c>
      <c r="T4247" s="22">
        <f>tblDailySchedule[[#This Row],[STD]]</f>
        <v>0.40277777777777779</v>
      </c>
    </row>
    <row r="4248" spans="1:20" hidden="1" x14ac:dyDescent="0.35">
      <c r="A4248" s="11">
        <v>46263</v>
      </c>
      <c r="B4248" s="3">
        <v>6</v>
      </c>
      <c r="C4248" t="s">
        <v>116</v>
      </c>
      <c r="D4248" t="s">
        <v>18</v>
      </c>
      <c r="E4248" s="3">
        <v>8</v>
      </c>
      <c r="F4248" t="s">
        <v>19</v>
      </c>
      <c r="G4248" t="s">
        <v>46</v>
      </c>
      <c r="H4248" t="s">
        <v>31</v>
      </c>
      <c r="I4248" s="12">
        <v>0.4201388888888889</v>
      </c>
      <c r="J4248" t="s">
        <v>47</v>
      </c>
      <c r="K4248" t="s">
        <v>31</v>
      </c>
      <c r="L4248" s="12">
        <v>0.44444444444444442</v>
      </c>
      <c r="M4248" t="s">
        <v>29</v>
      </c>
      <c r="N4248" s="3">
        <v>186</v>
      </c>
      <c r="O4248" t="s">
        <v>24</v>
      </c>
      <c r="P4248" t="s">
        <v>25</v>
      </c>
      <c r="R4248">
        <f>tblDailySchedule[[#This Row],[Capacity Approx]]*'[1]Load Factor Sheet June Acft  '!$B$5</f>
        <v>150.61772727272728</v>
      </c>
      <c r="S4248">
        <f>tblDailySchedule[[#This Row],[Capacity Approx]]*'[1]Load Factor Sheet June Acft  '!$D$5</f>
        <v>163.08818181818182</v>
      </c>
      <c r="T4248" s="22">
        <f>tblDailySchedule[[#This Row],[STD]]</f>
        <v>0.44444444444444442</v>
      </c>
    </row>
    <row r="4249" spans="1:20" hidden="1" x14ac:dyDescent="0.35">
      <c r="A4249" s="11">
        <v>46263</v>
      </c>
      <c r="B4249" s="3">
        <v>6</v>
      </c>
      <c r="C4249" t="s">
        <v>116</v>
      </c>
      <c r="D4249" t="s">
        <v>18</v>
      </c>
      <c r="E4249" s="3">
        <v>9</v>
      </c>
      <c r="F4249" t="s">
        <v>19</v>
      </c>
      <c r="G4249" t="s">
        <v>48</v>
      </c>
      <c r="H4249" t="s">
        <v>49</v>
      </c>
      <c r="I4249" s="12">
        <v>0.4375</v>
      </c>
      <c r="J4249" t="s">
        <v>50</v>
      </c>
      <c r="K4249" t="s">
        <v>49</v>
      </c>
      <c r="L4249" s="12">
        <v>0.45833333333333331</v>
      </c>
      <c r="M4249" t="s">
        <v>51</v>
      </c>
      <c r="N4249" s="3">
        <v>78</v>
      </c>
      <c r="O4249" t="s">
        <v>24</v>
      </c>
      <c r="P4249" t="s">
        <v>25</v>
      </c>
      <c r="R4249">
        <f>tblDailySchedule[[#This Row],[Capacity Approx]]*'[1]Load Factor Sheet June Acft  '!$B$5</f>
        <v>63.162272727272729</v>
      </c>
      <c r="S4249">
        <f>tblDailySchedule[[#This Row],[Capacity Approx]]*'[1]Load Factor Sheet June Acft  '!$D$5</f>
        <v>68.391818181818181</v>
      </c>
      <c r="T4249" s="22">
        <f>tblDailySchedule[[#This Row],[STD]]</f>
        <v>0.45833333333333331</v>
      </c>
    </row>
    <row r="4250" spans="1:20" hidden="1" x14ac:dyDescent="0.35">
      <c r="A4250" s="11">
        <v>46263</v>
      </c>
      <c r="B4250" s="3">
        <v>6</v>
      </c>
      <c r="C4250" t="s">
        <v>116</v>
      </c>
      <c r="D4250" t="s">
        <v>18</v>
      </c>
      <c r="E4250" s="3">
        <v>10</v>
      </c>
      <c r="F4250" t="s">
        <v>19</v>
      </c>
      <c r="G4250" t="s">
        <v>52</v>
      </c>
      <c r="H4250" t="s">
        <v>27</v>
      </c>
      <c r="I4250" s="12">
        <v>0.4826388888888889</v>
      </c>
      <c r="J4250" t="s">
        <v>53</v>
      </c>
      <c r="K4250" t="s">
        <v>27</v>
      </c>
      <c r="L4250" s="12">
        <v>0.51041666666666663</v>
      </c>
      <c r="M4250" t="s">
        <v>23</v>
      </c>
      <c r="N4250" s="3">
        <v>186</v>
      </c>
      <c r="O4250" t="s">
        <v>24</v>
      </c>
      <c r="P4250" t="s">
        <v>25</v>
      </c>
      <c r="R4250">
        <f>tblDailySchedule[[#This Row],[Capacity Approx]]*'[1]Load Factor Sheet June Acft  '!$B$5</f>
        <v>150.61772727272728</v>
      </c>
      <c r="S4250">
        <f>tblDailySchedule[[#This Row],[Capacity Approx]]*'[1]Load Factor Sheet June Acft  '!$D$5</f>
        <v>163.08818181818182</v>
      </c>
      <c r="T4250" s="22">
        <f>tblDailySchedule[[#This Row],[STD]]</f>
        <v>0.51041666666666663</v>
      </c>
    </row>
    <row r="4251" spans="1:20" hidden="1" x14ac:dyDescent="0.35">
      <c r="A4251" s="11">
        <v>46263</v>
      </c>
      <c r="B4251" s="3">
        <v>6</v>
      </c>
      <c r="C4251" t="s">
        <v>116</v>
      </c>
      <c r="D4251" t="s">
        <v>18</v>
      </c>
      <c r="E4251" s="3">
        <v>11</v>
      </c>
      <c r="F4251" t="s">
        <v>19</v>
      </c>
      <c r="G4251" t="s">
        <v>54</v>
      </c>
      <c r="H4251" t="s">
        <v>31</v>
      </c>
      <c r="I4251" s="12">
        <v>0.51388888888888884</v>
      </c>
      <c r="J4251" t="s">
        <v>55</v>
      </c>
      <c r="K4251" t="s">
        <v>31</v>
      </c>
      <c r="L4251" s="12">
        <v>0.54166666666666663</v>
      </c>
      <c r="M4251" t="s">
        <v>23</v>
      </c>
      <c r="N4251" s="3">
        <v>186</v>
      </c>
      <c r="O4251" t="s">
        <v>24</v>
      </c>
      <c r="P4251" t="s">
        <v>56</v>
      </c>
      <c r="R4251">
        <f>tblDailySchedule[[#This Row],[Capacity Approx]]*'[1]Load Factor Sheet June Acft  '!$B$5</f>
        <v>150.61772727272728</v>
      </c>
      <c r="S4251">
        <f>tblDailySchedule[[#This Row],[Capacity Approx]]*'[1]Load Factor Sheet June Acft  '!$D$5</f>
        <v>163.08818181818182</v>
      </c>
      <c r="T4251" s="22">
        <f>tblDailySchedule[[#This Row],[STD]]</f>
        <v>0.54166666666666663</v>
      </c>
    </row>
    <row r="4252" spans="1:20" hidden="1" x14ac:dyDescent="0.35">
      <c r="A4252" s="11">
        <v>46263</v>
      </c>
      <c r="B4252" s="3">
        <v>6</v>
      </c>
      <c r="C4252" t="s">
        <v>116</v>
      </c>
      <c r="D4252" t="s">
        <v>18</v>
      </c>
      <c r="E4252" s="3">
        <v>12</v>
      </c>
      <c r="F4252" t="s">
        <v>109</v>
      </c>
      <c r="G4252" t="s">
        <v>110</v>
      </c>
      <c r="H4252" t="s">
        <v>111</v>
      </c>
      <c r="I4252" s="12">
        <v>0.55555555555555558</v>
      </c>
      <c r="J4252" t="s">
        <v>112</v>
      </c>
      <c r="K4252" t="s">
        <v>111</v>
      </c>
      <c r="L4252" s="12">
        <v>0.56944444444444442</v>
      </c>
      <c r="M4252" t="s">
        <v>51</v>
      </c>
      <c r="N4252" s="3">
        <v>78</v>
      </c>
      <c r="O4252" t="s">
        <v>24</v>
      </c>
      <c r="P4252" t="s">
        <v>56</v>
      </c>
      <c r="R4252">
        <f>tblDailySchedule[[#This Row],[Capacity Approx]]*'[1]Load Factor Sheet June Acft  '!$B$5</f>
        <v>63.162272727272729</v>
      </c>
      <c r="S4252">
        <f>tblDailySchedule[[#This Row],[Capacity Approx]]*'[1]Load Factor Sheet June Acft  '!$D$5</f>
        <v>68.391818181818181</v>
      </c>
      <c r="T4252" s="22">
        <f>tblDailySchedule[[#This Row],[STD]]</f>
        <v>0.56944444444444442</v>
      </c>
    </row>
    <row r="4253" spans="1:20" hidden="1" x14ac:dyDescent="0.35">
      <c r="A4253" s="11">
        <v>46263</v>
      </c>
      <c r="B4253" s="3">
        <v>6</v>
      </c>
      <c r="C4253" t="s">
        <v>116</v>
      </c>
      <c r="D4253" t="s">
        <v>18</v>
      </c>
      <c r="E4253" s="3">
        <v>13</v>
      </c>
      <c r="F4253" t="s">
        <v>19</v>
      </c>
      <c r="G4253" t="s">
        <v>57</v>
      </c>
      <c r="H4253" t="s">
        <v>58</v>
      </c>
      <c r="I4253" s="12">
        <v>0.55902777777777779</v>
      </c>
      <c r="J4253" t="s">
        <v>59</v>
      </c>
      <c r="K4253" t="s">
        <v>58</v>
      </c>
      <c r="L4253" s="12">
        <v>0.57638888888888884</v>
      </c>
      <c r="M4253" t="s">
        <v>51</v>
      </c>
      <c r="N4253" s="3">
        <v>78</v>
      </c>
      <c r="O4253" t="s">
        <v>24</v>
      </c>
      <c r="P4253" t="s">
        <v>56</v>
      </c>
      <c r="R4253">
        <f>tblDailySchedule[[#This Row],[Capacity Approx]]*'[1]Load Factor Sheet June Acft  '!$B$5</f>
        <v>63.162272727272729</v>
      </c>
      <c r="S4253">
        <f>tblDailySchedule[[#This Row],[Capacity Approx]]*'[1]Load Factor Sheet June Acft  '!$D$5</f>
        <v>68.391818181818181</v>
      </c>
      <c r="T4253" s="22">
        <f>tblDailySchedule[[#This Row],[STD]]</f>
        <v>0.57638888888888884</v>
      </c>
    </row>
    <row r="4254" spans="1:20" hidden="1" x14ac:dyDescent="0.35">
      <c r="A4254" s="11">
        <v>46263</v>
      </c>
      <c r="B4254" s="3">
        <v>6</v>
      </c>
      <c r="C4254" t="s">
        <v>116</v>
      </c>
      <c r="D4254" t="s">
        <v>18</v>
      </c>
      <c r="E4254" s="3">
        <v>14</v>
      </c>
      <c r="F4254" t="s">
        <v>19</v>
      </c>
      <c r="G4254" t="s">
        <v>60</v>
      </c>
      <c r="H4254" t="s">
        <v>61</v>
      </c>
      <c r="I4254" s="12">
        <v>0.59027777777777779</v>
      </c>
      <c r="J4254" t="s">
        <v>62</v>
      </c>
      <c r="K4254" t="s">
        <v>61</v>
      </c>
      <c r="L4254" s="12">
        <v>0.62152777777777779</v>
      </c>
      <c r="M4254" t="s">
        <v>63</v>
      </c>
      <c r="N4254" s="3">
        <v>232</v>
      </c>
      <c r="O4254" t="s">
        <v>24</v>
      </c>
      <c r="P4254" t="s">
        <v>56</v>
      </c>
      <c r="R4254">
        <f>tblDailySchedule[[#This Row],[Capacity Approx]]*'[1]Load Factor Sheet June Acft  '!$B$5</f>
        <v>187.86727272727273</v>
      </c>
      <c r="S4254">
        <f>tblDailySchedule[[#This Row],[Capacity Approx]]*'[1]Load Factor Sheet June Acft  '!$D$5</f>
        <v>203.4218181818182</v>
      </c>
      <c r="T4254" s="22">
        <f>tblDailySchedule[[#This Row],[STD]]</f>
        <v>0.62152777777777779</v>
      </c>
    </row>
    <row r="4255" spans="1:20" hidden="1" x14ac:dyDescent="0.35">
      <c r="A4255" s="11">
        <v>46263</v>
      </c>
      <c r="B4255" s="3">
        <v>6</v>
      </c>
      <c r="C4255" t="s">
        <v>116</v>
      </c>
      <c r="D4255" t="s">
        <v>18</v>
      </c>
      <c r="E4255" s="3">
        <v>15</v>
      </c>
      <c r="F4255" t="s">
        <v>19</v>
      </c>
      <c r="G4255" t="s">
        <v>64</v>
      </c>
      <c r="H4255" t="s">
        <v>31</v>
      </c>
      <c r="I4255" s="12">
        <v>0.60069444444444442</v>
      </c>
      <c r="J4255" t="s">
        <v>65</v>
      </c>
      <c r="K4255" t="s">
        <v>66</v>
      </c>
      <c r="L4255" s="12">
        <v>0.62847222222222221</v>
      </c>
      <c r="M4255" t="s">
        <v>63</v>
      </c>
      <c r="N4255" s="3">
        <v>232</v>
      </c>
      <c r="O4255" t="s">
        <v>24</v>
      </c>
      <c r="P4255" t="s">
        <v>56</v>
      </c>
      <c r="R4255">
        <f>tblDailySchedule[[#This Row],[Capacity Approx]]*'[1]Load Factor Sheet June Acft  '!$B$5</f>
        <v>187.86727272727273</v>
      </c>
      <c r="S4255">
        <f>tblDailySchedule[[#This Row],[Capacity Approx]]*'[1]Load Factor Sheet June Acft  '!$D$5</f>
        <v>203.4218181818182</v>
      </c>
      <c r="T4255" s="22">
        <f>tblDailySchedule[[#This Row],[STD]]</f>
        <v>0.62847222222222221</v>
      </c>
    </row>
    <row r="4256" spans="1:20" hidden="1" x14ac:dyDescent="0.35">
      <c r="A4256" s="11">
        <v>46263</v>
      </c>
      <c r="B4256" s="3">
        <v>6</v>
      </c>
      <c r="C4256" t="s">
        <v>116</v>
      </c>
      <c r="D4256" t="s">
        <v>18</v>
      </c>
      <c r="E4256" s="3">
        <v>16</v>
      </c>
      <c r="F4256" t="s">
        <v>19</v>
      </c>
      <c r="G4256" t="s">
        <v>67</v>
      </c>
      <c r="H4256" t="s">
        <v>31</v>
      </c>
      <c r="I4256" s="12">
        <v>0.65625</v>
      </c>
      <c r="J4256" t="s">
        <v>68</v>
      </c>
      <c r="K4256" t="s">
        <v>31</v>
      </c>
      <c r="L4256" s="12">
        <v>0.68402777777777779</v>
      </c>
      <c r="M4256" t="s">
        <v>63</v>
      </c>
      <c r="N4256" s="3">
        <v>232</v>
      </c>
      <c r="O4256" t="s">
        <v>24</v>
      </c>
      <c r="P4256" t="s">
        <v>56</v>
      </c>
      <c r="R4256">
        <f>tblDailySchedule[[#This Row],[Capacity Approx]]*'[1]Load Factor Sheet June Acft  '!$B$5</f>
        <v>187.86727272727273</v>
      </c>
      <c r="S4256">
        <f>tblDailySchedule[[#This Row],[Capacity Approx]]*'[1]Load Factor Sheet June Acft  '!$D$5</f>
        <v>203.4218181818182</v>
      </c>
      <c r="T4256" s="22">
        <f>tblDailySchedule[[#This Row],[STD]]</f>
        <v>0.68402777777777779</v>
      </c>
    </row>
    <row r="4257" spans="1:20" hidden="1" x14ac:dyDescent="0.35">
      <c r="A4257" s="11">
        <v>46263</v>
      </c>
      <c r="B4257" s="3">
        <v>6</v>
      </c>
      <c r="C4257" t="s">
        <v>116</v>
      </c>
      <c r="D4257" t="s">
        <v>18</v>
      </c>
      <c r="E4257" s="3">
        <v>17</v>
      </c>
      <c r="F4257" t="s">
        <v>19</v>
      </c>
      <c r="G4257" t="s">
        <v>69</v>
      </c>
      <c r="H4257" t="s">
        <v>31</v>
      </c>
      <c r="I4257" s="12">
        <v>0.66319444444444442</v>
      </c>
      <c r="J4257" t="s">
        <v>70</v>
      </c>
      <c r="K4257" t="s">
        <v>31</v>
      </c>
      <c r="L4257" s="12">
        <v>0.69097222222222221</v>
      </c>
      <c r="M4257" t="s">
        <v>33</v>
      </c>
      <c r="N4257" s="3">
        <v>189</v>
      </c>
      <c r="O4257" t="s">
        <v>24</v>
      </c>
      <c r="P4257" t="s">
        <v>56</v>
      </c>
      <c r="R4257">
        <f>tblDailySchedule[[#This Row],[Capacity Approx]]*'[1]Load Factor Sheet June Acft  '!$B$5</f>
        <v>153.04704545454547</v>
      </c>
      <c r="S4257">
        <f>tblDailySchedule[[#This Row],[Capacity Approx]]*'[1]Load Factor Sheet June Acft  '!$D$5</f>
        <v>165.71863636363636</v>
      </c>
      <c r="T4257" s="22">
        <f>tblDailySchedule[[#This Row],[STD]]</f>
        <v>0.69097222222222221</v>
      </c>
    </row>
    <row r="4258" spans="1:20" hidden="1" x14ac:dyDescent="0.35">
      <c r="A4258" s="11">
        <v>46263</v>
      </c>
      <c r="B4258" s="3">
        <v>6</v>
      </c>
      <c r="C4258" t="s">
        <v>116</v>
      </c>
      <c r="D4258" t="s">
        <v>18</v>
      </c>
      <c r="E4258" s="3">
        <v>18</v>
      </c>
      <c r="F4258" t="s">
        <v>19</v>
      </c>
      <c r="G4258" t="s">
        <v>71</v>
      </c>
      <c r="H4258" t="s">
        <v>21</v>
      </c>
      <c r="I4258" s="12">
        <v>0.67013888888888884</v>
      </c>
      <c r="J4258" t="s">
        <v>72</v>
      </c>
      <c r="K4258" t="s">
        <v>21</v>
      </c>
      <c r="L4258" s="12">
        <v>0.69791666666666663</v>
      </c>
      <c r="M4258" t="s">
        <v>63</v>
      </c>
      <c r="N4258" s="3">
        <v>232</v>
      </c>
      <c r="O4258" t="s">
        <v>24</v>
      </c>
      <c r="P4258" t="s">
        <v>56</v>
      </c>
      <c r="R4258">
        <f>tblDailySchedule[[#This Row],[Capacity Approx]]*'[1]Load Factor Sheet June Acft  '!$B$5</f>
        <v>187.86727272727273</v>
      </c>
      <c r="S4258">
        <f>tblDailySchedule[[#This Row],[Capacity Approx]]*'[1]Load Factor Sheet June Acft  '!$D$5</f>
        <v>203.4218181818182</v>
      </c>
      <c r="T4258" s="22">
        <f>tblDailySchedule[[#This Row],[STD]]</f>
        <v>0.69791666666666663</v>
      </c>
    </row>
    <row r="4259" spans="1:20" hidden="1" x14ac:dyDescent="0.35">
      <c r="A4259" s="11">
        <v>46263</v>
      </c>
      <c r="B4259" s="3">
        <v>6</v>
      </c>
      <c r="C4259" t="s">
        <v>116</v>
      </c>
      <c r="D4259" t="s">
        <v>18</v>
      </c>
      <c r="E4259" s="3">
        <v>19</v>
      </c>
      <c r="F4259" t="s">
        <v>19</v>
      </c>
      <c r="G4259" t="s">
        <v>73</v>
      </c>
      <c r="H4259" t="s">
        <v>27</v>
      </c>
      <c r="I4259" s="12">
        <v>0.74652777777777779</v>
      </c>
      <c r="J4259" t="s">
        <v>74</v>
      </c>
      <c r="K4259" t="s">
        <v>27</v>
      </c>
      <c r="L4259" s="12">
        <v>0.77430555555555558</v>
      </c>
      <c r="M4259" t="s">
        <v>63</v>
      </c>
      <c r="N4259" s="3">
        <v>232</v>
      </c>
      <c r="O4259" t="s">
        <v>24</v>
      </c>
      <c r="P4259" t="s">
        <v>56</v>
      </c>
      <c r="R4259">
        <f>tblDailySchedule[[#This Row],[Capacity Approx]]*'[1]Load Factor Sheet June Acft  '!$B$5</f>
        <v>187.86727272727273</v>
      </c>
      <c r="S4259">
        <f>tblDailySchedule[[#This Row],[Capacity Approx]]*'[1]Load Factor Sheet June Acft  '!$D$5</f>
        <v>203.4218181818182</v>
      </c>
      <c r="T4259" s="22">
        <f>tblDailySchedule[[#This Row],[STD]]</f>
        <v>0.77430555555555558</v>
      </c>
    </row>
    <row r="4260" spans="1:20" hidden="1" x14ac:dyDescent="0.35">
      <c r="A4260" s="11">
        <v>46263</v>
      </c>
      <c r="B4260" s="3">
        <v>6</v>
      </c>
      <c r="C4260" t="s">
        <v>116</v>
      </c>
      <c r="D4260" t="s">
        <v>18</v>
      </c>
      <c r="E4260" s="3">
        <v>21</v>
      </c>
      <c r="F4260" t="s">
        <v>19</v>
      </c>
      <c r="G4260" t="s">
        <v>81</v>
      </c>
      <c r="H4260" t="s">
        <v>61</v>
      </c>
      <c r="I4260" s="12">
        <v>0.77083333333333337</v>
      </c>
      <c r="J4260" t="s">
        <v>82</v>
      </c>
      <c r="K4260" t="s">
        <v>49</v>
      </c>
      <c r="L4260" s="12">
        <v>0.79166666666666663</v>
      </c>
      <c r="M4260" t="s">
        <v>33</v>
      </c>
      <c r="N4260" s="3">
        <v>189</v>
      </c>
      <c r="O4260" t="s">
        <v>24</v>
      </c>
      <c r="P4260" t="s">
        <v>79</v>
      </c>
      <c r="R4260">
        <f>tblDailySchedule[[#This Row],[Capacity Approx]]*'[1]Load Factor Sheet June Acft  '!$B$5</f>
        <v>153.04704545454547</v>
      </c>
      <c r="S4260">
        <f>tblDailySchedule[[#This Row],[Capacity Approx]]*'[1]Load Factor Sheet June Acft  '!$D$5</f>
        <v>165.71863636363636</v>
      </c>
      <c r="T4260" s="22">
        <f>tblDailySchedule[[#This Row],[STD]]</f>
        <v>0.79166666666666663</v>
      </c>
    </row>
    <row r="4261" spans="1:20" hidden="1" x14ac:dyDescent="0.35">
      <c r="A4261" s="11">
        <v>46263</v>
      </c>
      <c r="B4261" s="3">
        <v>6</v>
      </c>
      <c r="C4261" t="s">
        <v>116</v>
      </c>
      <c r="D4261" t="s">
        <v>18</v>
      </c>
      <c r="E4261" s="3">
        <v>22</v>
      </c>
      <c r="F4261" t="s">
        <v>19</v>
      </c>
      <c r="G4261" t="s">
        <v>83</v>
      </c>
      <c r="H4261" t="s">
        <v>31</v>
      </c>
      <c r="I4261" s="12">
        <v>0.77777777777777779</v>
      </c>
      <c r="J4261" t="s">
        <v>84</v>
      </c>
      <c r="K4261" t="s">
        <v>31</v>
      </c>
      <c r="L4261" s="12">
        <v>0.80555555555555558</v>
      </c>
      <c r="M4261" t="s">
        <v>63</v>
      </c>
      <c r="N4261" s="3">
        <v>232</v>
      </c>
      <c r="O4261" t="s">
        <v>24</v>
      </c>
      <c r="P4261" t="s">
        <v>79</v>
      </c>
      <c r="R4261">
        <f>tblDailySchedule[[#This Row],[Capacity Approx]]*'[1]Load Factor Sheet June Acft  '!$B$5</f>
        <v>187.86727272727273</v>
      </c>
      <c r="S4261">
        <f>tblDailySchedule[[#This Row],[Capacity Approx]]*'[1]Load Factor Sheet June Acft  '!$D$5</f>
        <v>203.4218181818182</v>
      </c>
      <c r="T4261" s="22">
        <f>tblDailySchedule[[#This Row],[STD]]</f>
        <v>0.80555555555555558</v>
      </c>
    </row>
    <row r="4262" spans="1:20" hidden="1" x14ac:dyDescent="0.35">
      <c r="A4262" s="11">
        <v>46263</v>
      </c>
      <c r="B4262" s="3">
        <v>6</v>
      </c>
      <c r="C4262" t="s">
        <v>116</v>
      </c>
      <c r="D4262" t="s">
        <v>18</v>
      </c>
      <c r="E4262" s="3">
        <v>23</v>
      </c>
      <c r="F4262" t="s">
        <v>19</v>
      </c>
      <c r="G4262" t="s">
        <v>85</v>
      </c>
      <c r="H4262" t="s">
        <v>86</v>
      </c>
      <c r="I4262" s="12">
        <v>0.79861111111111116</v>
      </c>
      <c r="J4262" t="s">
        <v>87</v>
      </c>
      <c r="K4262" t="s">
        <v>86</v>
      </c>
      <c r="L4262" s="12">
        <v>0.82638888888888884</v>
      </c>
      <c r="M4262" t="s">
        <v>63</v>
      </c>
      <c r="N4262" s="3">
        <v>232</v>
      </c>
      <c r="O4262" t="s">
        <v>24</v>
      </c>
      <c r="P4262" t="s">
        <v>79</v>
      </c>
      <c r="R4262">
        <f>tblDailySchedule[[#This Row],[Capacity Approx]]*'[1]Load Factor Sheet June Acft  '!$B$5</f>
        <v>187.86727272727273</v>
      </c>
      <c r="S4262">
        <f>tblDailySchedule[[#This Row],[Capacity Approx]]*'[1]Load Factor Sheet June Acft  '!$D$5</f>
        <v>203.4218181818182</v>
      </c>
      <c r="T4262" s="22">
        <f>tblDailySchedule[[#This Row],[STD]]</f>
        <v>0.82638888888888884</v>
      </c>
    </row>
    <row r="4263" spans="1:20" hidden="1" x14ac:dyDescent="0.35">
      <c r="A4263" s="11">
        <v>46263</v>
      </c>
      <c r="B4263" s="3">
        <v>6</v>
      </c>
      <c r="C4263" t="s">
        <v>116</v>
      </c>
      <c r="D4263" t="s">
        <v>18</v>
      </c>
      <c r="E4263" s="3">
        <v>24</v>
      </c>
      <c r="F4263" t="s">
        <v>19</v>
      </c>
      <c r="G4263" t="s">
        <v>88</v>
      </c>
      <c r="H4263" t="s">
        <v>89</v>
      </c>
      <c r="I4263" s="12">
        <v>0.83333333333333337</v>
      </c>
      <c r="J4263" t="s">
        <v>90</v>
      </c>
      <c r="K4263" t="s">
        <v>31</v>
      </c>
      <c r="L4263" s="12">
        <v>0.86111111111111116</v>
      </c>
      <c r="M4263" t="s">
        <v>63</v>
      </c>
      <c r="N4263" s="3">
        <v>232</v>
      </c>
      <c r="O4263" t="s">
        <v>24</v>
      </c>
      <c r="P4263" t="s">
        <v>79</v>
      </c>
      <c r="R4263">
        <f>tblDailySchedule[[#This Row],[Capacity Approx]]*'[1]Load Factor Sheet June Acft  '!$B$5</f>
        <v>187.86727272727273</v>
      </c>
      <c r="S4263">
        <f>tblDailySchedule[[#This Row],[Capacity Approx]]*'[1]Load Factor Sheet June Acft  '!$D$5</f>
        <v>203.4218181818182</v>
      </c>
      <c r="T4263" s="22">
        <f>tblDailySchedule[[#This Row],[STD]]</f>
        <v>0.86111111111111116</v>
      </c>
    </row>
    <row r="4264" spans="1:20" hidden="1" x14ac:dyDescent="0.35">
      <c r="A4264" s="11">
        <v>46263</v>
      </c>
      <c r="B4264" s="3">
        <v>6</v>
      </c>
      <c r="C4264" t="s">
        <v>116</v>
      </c>
      <c r="D4264" t="s">
        <v>18</v>
      </c>
      <c r="E4264" s="3">
        <v>25</v>
      </c>
      <c r="F4264" t="s">
        <v>19</v>
      </c>
      <c r="G4264" t="s">
        <v>91</v>
      </c>
      <c r="H4264" t="s">
        <v>61</v>
      </c>
      <c r="I4264" s="12">
        <v>0.85416666666666663</v>
      </c>
      <c r="J4264" t="s">
        <v>92</v>
      </c>
      <c r="K4264" t="s">
        <v>61</v>
      </c>
      <c r="L4264" s="12">
        <v>0.88194444444444442</v>
      </c>
      <c r="M4264" t="s">
        <v>63</v>
      </c>
      <c r="N4264" s="3">
        <v>232</v>
      </c>
      <c r="O4264" t="s">
        <v>24</v>
      </c>
      <c r="P4264" t="s">
        <v>79</v>
      </c>
      <c r="R4264">
        <f>tblDailySchedule[[#This Row],[Capacity Approx]]*'[1]Load Factor Sheet June Acft  '!$B$5</f>
        <v>187.86727272727273</v>
      </c>
      <c r="S4264">
        <f>tblDailySchedule[[#This Row],[Capacity Approx]]*'[1]Load Factor Sheet June Acft  '!$D$5</f>
        <v>203.4218181818182</v>
      </c>
      <c r="T4264" s="22">
        <f>tblDailySchedule[[#This Row],[STD]]</f>
        <v>0.88194444444444442</v>
      </c>
    </row>
    <row r="4265" spans="1:20" hidden="1" x14ac:dyDescent="0.35">
      <c r="A4265" s="11">
        <v>46263</v>
      </c>
      <c r="B4265" s="3">
        <v>6</v>
      </c>
      <c r="C4265" t="s">
        <v>116</v>
      </c>
      <c r="D4265" t="s">
        <v>18</v>
      </c>
      <c r="E4265" s="3">
        <v>26</v>
      </c>
      <c r="F4265" t="s">
        <v>19</v>
      </c>
      <c r="G4265" t="s">
        <v>93</v>
      </c>
      <c r="H4265" t="s">
        <v>31</v>
      </c>
      <c r="I4265" s="12">
        <v>0.86111111111111116</v>
      </c>
      <c r="J4265" t="s">
        <v>94</v>
      </c>
      <c r="K4265" t="s">
        <v>31</v>
      </c>
      <c r="L4265" s="12">
        <v>0.88888888888888884</v>
      </c>
      <c r="M4265" t="s">
        <v>23</v>
      </c>
      <c r="N4265" s="3">
        <v>186</v>
      </c>
      <c r="O4265" t="s">
        <v>24</v>
      </c>
      <c r="P4265" t="s">
        <v>79</v>
      </c>
      <c r="R4265">
        <f>tblDailySchedule[[#This Row],[Capacity Approx]]*'[1]Load Factor Sheet June Acft  '!$B$5</f>
        <v>150.61772727272728</v>
      </c>
      <c r="S4265">
        <f>tblDailySchedule[[#This Row],[Capacity Approx]]*'[1]Load Factor Sheet June Acft  '!$D$5</f>
        <v>163.08818181818182</v>
      </c>
      <c r="T4265" s="22">
        <f>tblDailySchedule[[#This Row],[STD]]</f>
        <v>0.88888888888888884</v>
      </c>
    </row>
    <row r="4266" spans="1:20" hidden="1" x14ac:dyDescent="0.35">
      <c r="A4266" s="11">
        <v>46263</v>
      </c>
      <c r="B4266" s="3">
        <v>6</v>
      </c>
      <c r="C4266" t="s">
        <v>116</v>
      </c>
      <c r="D4266" t="s">
        <v>18</v>
      </c>
      <c r="E4266" s="3">
        <v>27</v>
      </c>
      <c r="F4266" t="s">
        <v>19</v>
      </c>
      <c r="G4266" t="s">
        <v>95</v>
      </c>
      <c r="H4266" t="s">
        <v>21</v>
      </c>
      <c r="I4266" s="12">
        <v>0.86805555555555558</v>
      </c>
      <c r="J4266" t="s">
        <v>96</v>
      </c>
      <c r="K4266" t="s">
        <v>21</v>
      </c>
      <c r="L4266" s="12">
        <v>0.89583333333333337</v>
      </c>
      <c r="M4266" t="s">
        <v>29</v>
      </c>
      <c r="N4266" s="3">
        <v>186</v>
      </c>
      <c r="O4266" t="s">
        <v>24</v>
      </c>
      <c r="P4266" t="s">
        <v>79</v>
      </c>
      <c r="R4266">
        <f>tblDailySchedule[[#This Row],[Capacity Approx]]*'[1]Load Factor Sheet June Acft  '!$B$5</f>
        <v>150.61772727272728</v>
      </c>
      <c r="S4266">
        <f>tblDailySchedule[[#This Row],[Capacity Approx]]*'[1]Load Factor Sheet June Acft  '!$D$5</f>
        <v>163.08818181818182</v>
      </c>
      <c r="T4266" s="22">
        <f>tblDailySchedule[[#This Row],[STD]]</f>
        <v>0.89583333333333337</v>
      </c>
    </row>
    <row r="4267" spans="1:20" hidden="1" x14ac:dyDescent="0.35">
      <c r="A4267" s="11">
        <v>46263</v>
      </c>
      <c r="B4267" s="3">
        <v>6</v>
      </c>
      <c r="C4267" t="s">
        <v>116</v>
      </c>
      <c r="D4267" t="s">
        <v>18</v>
      </c>
      <c r="E4267" s="3">
        <v>28</v>
      </c>
      <c r="F4267" t="s">
        <v>19</v>
      </c>
      <c r="G4267" t="s">
        <v>97</v>
      </c>
      <c r="H4267" t="s">
        <v>49</v>
      </c>
      <c r="I4267" s="12">
        <v>0.90277777777777779</v>
      </c>
      <c r="J4267" t="s">
        <v>97</v>
      </c>
      <c r="K4267" t="s">
        <v>61</v>
      </c>
      <c r="L4267" s="12">
        <v>0.92361111111111116</v>
      </c>
      <c r="M4267" t="s">
        <v>33</v>
      </c>
      <c r="N4267" s="3">
        <v>189</v>
      </c>
      <c r="O4267" t="s">
        <v>24</v>
      </c>
      <c r="P4267" t="s">
        <v>79</v>
      </c>
      <c r="R4267">
        <f>tblDailySchedule[[#This Row],[Capacity Approx]]*'[1]Load Factor Sheet June Acft  '!$B$5</f>
        <v>153.04704545454547</v>
      </c>
      <c r="S4267">
        <f>tblDailySchedule[[#This Row],[Capacity Approx]]*'[1]Load Factor Sheet June Acft  '!$D$5</f>
        <v>165.71863636363636</v>
      </c>
      <c r="T4267" s="22">
        <f>tblDailySchedule[[#This Row],[STD]]</f>
        <v>0.92361111111111116</v>
      </c>
    </row>
    <row r="4268" spans="1:20" hidden="1" x14ac:dyDescent="0.35">
      <c r="A4268" s="11">
        <v>46263</v>
      </c>
      <c r="B4268" s="3">
        <v>6</v>
      </c>
      <c r="C4268" t="s">
        <v>116</v>
      </c>
      <c r="D4268" t="s">
        <v>18</v>
      </c>
      <c r="E4268" s="3">
        <v>29</v>
      </c>
      <c r="F4268" t="s">
        <v>19</v>
      </c>
      <c r="G4268" t="s">
        <v>98</v>
      </c>
      <c r="H4268" t="s">
        <v>21</v>
      </c>
      <c r="I4268" s="12">
        <v>0.92013888888888884</v>
      </c>
      <c r="J4268" t="s">
        <v>99</v>
      </c>
      <c r="K4268" t="s">
        <v>21</v>
      </c>
      <c r="L4268" s="12">
        <v>0.94791666666666663</v>
      </c>
      <c r="M4268" t="s">
        <v>63</v>
      </c>
      <c r="N4268" s="3">
        <v>232</v>
      </c>
      <c r="O4268" t="s">
        <v>24</v>
      </c>
      <c r="P4268" t="s">
        <v>79</v>
      </c>
      <c r="R4268">
        <f>tblDailySchedule[[#This Row],[Capacity Approx]]*'[1]Load Factor Sheet June Acft  '!$B$5</f>
        <v>187.86727272727273</v>
      </c>
      <c r="S4268">
        <f>tblDailySchedule[[#This Row],[Capacity Approx]]*'[1]Load Factor Sheet June Acft  '!$D$5</f>
        <v>203.4218181818182</v>
      </c>
      <c r="T4268" s="22">
        <f>tblDailySchedule[[#This Row],[STD]]</f>
        <v>0.94791666666666663</v>
      </c>
    </row>
    <row r="4269" spans="1:20" hidden="1" x14ac:dyDescent="0.35">
      <c r="A4269" s="13">
        <v>46263</v>
      </c>
      <c r="B4269" s="7">
        <v>6</v>
      </c>
      <c r="C4269" s="14" t="s">
        <v>116</v>
      </c>
      <c r="D4269" s="14" t="s">
        <v>18</v>
      </c>
      <c r="E4269" s="7">
        <v>30</v>
      </c>
      <c r="F4269" s="14" t="s">
        <v>104</v>
      </c>
      <c r="G4269" s="14" t="s">
        <v>105</v>
      </c>
      <c r="H4269" s="14" t="s">
        <v>106</v>
      </c>
      <c r="I4269" s="15">
        <v>0.92708333333333337</v>
      </c>
      <c r="J4269" s="14" t="s">
        <v>107</v>
      </c>
      <c r="K4269" s="14" t="s">
        <v>106</v>
      </c>
      <c r="L4269" s="15">
        <v>0.95833333333333337</v>
      </c>
      <c r="M4269" s="14" t="s">
        <v>38</v>
      </c>
      <c r="N4269" s="7">
        <v>186</v>
      </c>
      <c r="O4269" s="14" t="s">
        <v>39</v>
      </c>
      <c r="P4269" s="14" t="s">
        <v>79</v>
      </c>
      <c r="Q4269" s="14" t="s">
        <v>39</v>
      </c>
      <c r="R4269">
        <f>tblDailySchedule[[#This Row],[Capacity Approx]]*'[1]Load Factor Sheet June Acft  '!$B$5</f>
        <v>150.61772727272728</v>
      </c>
      <c r="S4269">
        <f>tblDailySchedule[[#This Row],[Capacity Approx]]*'[1]Load Factor Sheet June Acft  '!$D$5</f>
        <v>163.08818181818182</v>
      </c>
      <c r="T4269" s="22">
        <f>tblDailySchedule[[#This Row],[STD]]</f>
        <v>0.95833333333333337</v>
      </c>
    </row>
    <row r="4270" spans="1:20" hidden="1" x14ac:dyDescent="0.35">
      <c r="A4270" s="11">
        <v>46264</v>
      </c>
      <c r="B4270" s="3">
        <v>7</v>
      </c>
      <c r="C4270" t="s">
        <v>17</v>
      </c>
      <c r="D4270" t="s">
        <v>18</v>
      </c>
      <c r="E4270" s="3">
        <v>2</v>
      </c>
      <c r="F4270" t="s">
        <v>19</v>
      </c>
      <c r="G4270" t="s">
        <v>20</v>
      </c>
      <c r="H4270" t="s">
        <v>21</v>
      </c>
      <c r="I4270" s="12">
        <v>0.31944444444444442</v>
      </c>
      <c r="J4270" t="s">
        <v>22</v>
      </c>
      <c r="K4270" t="s">
        <v>21</v>
      </c>
      <c r="L4270" s="12">
        <v>0.34722222222222221</v>
      </c>
      <c r="M4270" t="s">
        <v>23</v>
      </c>
      <c r="N4270" s="3">
        <v>186</v>
      </c>
      <c r="O4270" t="s">
        <v>24</v>
      </c>
      <c r="P4270" t="s">
        <v>25</v>
      </c>
      <c r="R4270">
        <f>tblDailySchedule[[#This Row],[Capacity Approx]]*'[1]Load Factor Sheet June Acft  '!$B$5</f>
        <v>150.61772727272728</v>
      </c>
      <c r="S4270">
        <f>tblDailySchedule[[#This Row],[Capacity Approx]]*'[1]Load Factor Sheet June Acft  '!$D$5</f>
        <v>163.08818181818182</v>
      </c>
      <c r="T4270" s="22">
        <f>tblDailySchedule[[#This Row],[STD]]</f>
        <v>0.34722222222222221</v>
      </c>
    </row>
    <row r="4271" spans="1:20" hidden="1" x14ac:dyDescent="0.35">
      <c r="A4271" s="11">
        <v>46264</v>
      </c>
      <c r="B4271" s="3">
        <v>7</v>
      </c>
      <c r="C4271" t="s">
        <v>17</v>
      </c>
      <c r="D4271" t="s">
        <v>18</v>
      </c>
      <c r="E4271" s="3">
        <v>3</v>
      </c>
      <c r="F4271" t="s">
        <v>19</v>
      </c>
      <c r="G4271" t="s">
        <v>26</v>
      </c>
      <c r="H4271" t="s">
        <v>27</v>
      </c>
      <c r="I4271" s="12">
        <v>0.3263888888888889</v>
      </c>
      <c r="J4271" t="s">
        <v>28</v>
      </c>
      <c r="K4271" t="s">
        <v>27</v>
      </c>
      <c r="L4271" s="12">
        <v>0.35416666666666669</v>
      </c>
      <c r="M4271" t="s">
        <v>29</v>
      </c>
      <c r="N4271" s="3">
        <v>186</v>
      </c>
      <c r="O4271" t="s">
        <v>24</v>
      </c>
      <c r="P4271" t="s">
        <v>25</v>
      </c>
      <c r="R4271">
        <f>tblDailySchedule[[#This Row],[Capacity Approx]]*'[1]Load Factor Sheet June Acft  '!$B$5</f>
        <v>150.61772727272728</v>
      </c>
      <c r="S4271">
        <f>tblDailySchedule[[#This Row],[Capacity Approx]]*'[1]Load Factor Sheet June Acft  '!$D$5</f>
        <v>163.08818181818182</v>
      </c>
      <c r="T4271" s="22">
        <f>tblDailySchedule[[#This Row],[STD]]</f>
        <v>0.35416666666666669</v>
      </c>
    </row>
    <row r="4272" spans="1:20" hidden="1" x14ac:dyDescent="0.35">
      <c r="A4272" s="11">
        <v>46264</v>
      </c>
      <c r="B4272" s="3">
        <v>7</v>
      </c>
      <c r="C4272" t="s">
        <v>17</v>
      </c>
      <c r="D4272" t="s">
        <v>18</v>
      </c>
      <c r="E4272" s="3">
        <v>4</v>
      </c>
      <c r="F4272" t="s">
        <v>19</v>
      </c>
      <c r="G4272" t="s">
        <v>30</v>
      </c>
      <c r="H4272" t="s">
        <v>31</v>
      </c>
      <c r="I4272" s="12">
        <v>0.34722222222222221</v>
      </c>
      <c r="J4272" t="s">
        <v>32</v>
      </c>
      <c r="K4272" t="s">
        <v>31</v>
      </c>
      <c r="L4272" s="12">
        <v>0.36805555555555558</v>
      </c>
      <c r="M4272" t="s">
        <v>33</v>
      </c>
      <c r="N4272" s="3">
        <v>189</v>
      </c>
      <c r="O4272" t="s">
        <v>24</v>
      </c>
      <c r="P4272" t="s">
        <v>25</v>
      </c>
      <c r="R4272">
        <f>tblDailySchedule[[#This Row],[Capacity Approx]]*'[1]Load Factor Sheet June Acft  '!$B$5</f>
        <v>153.04704545454547</v>
      </c>
      <c r="S4272">
        <f>tblDailySchedule[[#This Row],[Capacity Approx]]*'[1]Load Factor Sheet June Acft  '!$D$5</f>
        <v>165.71863636363636</v>
      </c>
      <c r="T4272" s="22">
        <f>tblDailySchedule[[#This Row],[STD]]</f>
        <v>0.36805555555555558</v>
      </c>
    </row>
    <row r="4273" spans="1:20" hidden="1" x14ac:dyDescent="0.35">
      <c r="A4273" s="13">
        <v>46264</v>
      </c>
      <c r="B4273" s="7">
        <v>7</v>
      </c>
      <c r="C4273" s="14" t="s">
        <v>17</v>
      </c>
      <c r="D4273" s="14" t="s">
        <v>18</v>
      </c>
      <c r="E4273" s="7">
        <v>6</v>
      </c>
      <c r="F4273" s="14" t="s">
        <v>34</v>
      </c>
      <c r="G4273" s="14" t="s">
        <v>35</v>
      </c>
      <c r="H4273" s="14" t="s">
        <v>36</v>
      </c>
      <c r="I4273" s="15">
        <v>0.34722222222222221</v>
      </c>
      <c r="J4273" s="14" t="s">
        <v>37</v>
      </c>
      <c r="K4273" s="14" t="s">
        <v>36</v>
      </c>
      <c r="L4273" s="15">
        <v>0.40972222222222221</v>
      </c>
      <c r="M4273" s="14" t="s">
        <v>38</v>
      </c>
      <c r="N4273" s="7">
        <v>186</v>
      </c>
      <c r="O4273" s="14" t="s">
        <v>39</v>
      </c>
      <c r="P4273" s="14" t="s">
        <v>25</v>
      </c>
      <c r="Q4273" s="14" t="s">
        <v>39</v>
      </c>
      <c r="R4273">
        <f>tblDailySchedule[[#This Row],[Capacity Approx]]*'[1]Load Factor Sheet June Acft  '!$B$5</f>
        <v>150.61772727272728</v>
      </c>
      <c r="S4273">
        <f>tblDailySchedule[[#This Row],[Capacity Approx]]*'[1]Load Factor Sheet June Acft  '!$D$5</f>
        <v>163.08818181818182</v>
      </c>
      <c r="T4273" s="22">
        <f>tblDailySchedule[[#This Row],[STD]]</f>
        <v>0.40972222222222221</v>
      </c>
    </row>
    <row r="4274" spans="1:20" hidden="1" x14ac:dyDescent="0.35">
      <c r="A4274" s="11">
        <v>46264</v>
      </c>
      <c r="B4274" s="3">
        <v>7</v>
      </c>
      <c r="C4274" t="s">
        <v>17</v>
      </c>
      <c r="D4274" t="s">
        <v>18</v>
      </c>
      <c r="E4274" s="3">
        <v>5</v>
      </c>
      <c r="F4274" t="s">
        <v>19</v>
      </c>
      <c r="G4274" t="s">
        <v>40</v>
      </c>
      <c r="H4274" t="s">
        <v>31</v>
      </c>
      <c r="I4274" s="12">
        <v>0.35069444444444442</v>
      </c>
      <c r="J4274" t="s">
        <v>41</v>
      </c>
      <c r="K4274" t="s">
        <v>31</v>
      </c>
      <c r="L4274" s="12">
        <v>0.37152777777777779</v>
      </c>
      <c r="M4274" t="s">
        <v>23</v>
      </c>
      <c r="N4274" s="3">
        <v>186</v>
      </c>
      <c r="O4274" t="s">
        <v>24</v>
      </c>
      <c r="P4274" t="s">
        <v>25</v>
      </c>
      <c r="R4274">
        <f>tblDailySchedule[[#This Row],[Capacity Approx]]*'[1]Load Factor Sheet June Acft  '!$B$5</f>
        <v>150.61772727272728</v>
      </c>
      <c r="S4274">
        <f>tblDailySchedule[[#This Row],[Capacity Approx]]*'[1]Load Factor Sheet June Acft  '!$D$5</f>
        <v>163.08818181818182</v>
      </c>
      <c r="T4274" s="22">
        <f>tblDailySchedule[[#This Row],[STD]]</f>
        <v>0.37152777777777779</v>
      </c>
    </row>
    <row r="4275" spans="1:20" hidden="1" x14ac:dyDescent="0.35">
      <c r="A4275" s="11">
        <v>46264</v>
      </c>
      <c r="B4275" s="3">
        <v>7</v>
      </c>
      <c r="C4275" t="s">
        <v>17</v>
      </c>
      <c r="D4275" t="s">
        <v>18</v>
      </c>
      <c r="E4275" s="3">
        <v>7</v>
      </c>
      <c r="F4275" t="s">
        <v>19</v>
      </c>
      <c r="G4275" t="s">
        <v>42</v>
      </c>
      <c r="H4275" t="s">
        <v>43</v>
      </c>
      <c r="I4275" s="12">
        <v>0.3923611111111111</v>
      </c>
      <c r="J4275" t="s">
        <v>44</v>
      </c>
      <c r="K4275" t="s">
        <v>43</v>
      </c>
      <c r="L4275" s="12">
        <v>0.40277777777777779</v>
      </c>
      <c r="M4275" t="s">
        <v>45</v>
      </c>
      <c r="N4275" s="3">
        <v>9</v>
      </c>
      <c r="O4275" t="s">
        <v>24</v>
      </c>
      <c r="P4275" t="s">
        <v>25</v>
      </c>
      <c r="R4275">
        <f>tblDailySchedule[[#This Row],[Capacity Approx]]*'[1]Load Factor Sheet June Acft  '!$B$5</f>
        <v>7.2879545454545456</v>
      </c>
      <c r="S4275">
        <f>tblDailySchedule[[#This Row],[Capacity Approx]]*'[1]Load Factor Sheet June Acft  '!$D$5</f>
        <v>7.8913636363636366</v>
      </c>
      <c r="T4275" s="22">
        <f>tblDailySchedule[[#This Row],[STD]]</f>
        <v>0.40277777777777779</v>
      </c>
    </row>
    <row r="4276" spans="1:20" hidden="1" x14ac:dyDescent="0.35">
      <c r="A4276" s="11">
        <v>46264</v>
      </c>
      <c r="B4276" s="3">
        <v>7</v>
      </c>
      <c r="C4276" t="s">
        <v>17</v>
      </c>
      <c r="D4276" t="s">
        <v>18</v>
      </c>
      <c r="E4276" s="3">
        <v>8</v>
      </c>
      <c r="F4276" t="s">
        <v>19</v>
      </c>
      <c r="G4276" t="s">
        <v>46</v>
      </c>
      <c r="H4276" t="s">
        <v>31</v>
      </c>
      <c r="I4276" s="12">
        <v>0.4201388888888889</v>
      </c>
      <c r="J4276" t="s">
        <v>47</v>
      </c>
      <c r="K4276" t="s">
        <v>31</v>
      </c>
      <c r="L4276" s="12">
        <v>0.44444444444444442</v>
      </c>
      <c r="M4276" t="s">
        <v>29</v>
      </c>
      <c r="N4276" s="3">
        <v>186</v>
      </c>
      <c r="O4276" t="s">
        <v>24</v>
      </c>
      <c r="P4276" t="s">
        <v>25</v>
      </c>
      <c r="R4276">
        <f>tblDailySchedule[[#This Row],[Capacity Approx]]*'[1]Load Factor Sheet June Acft  '!$B$5</f>
        <v>150.61772727272728</v>
      </c>
      <c r="S4276">
        <f>tblDailySchedule[[#This Row],[Capacity Approx]]*'[1]Load Factor Sheet June Acft  '!$D$5</f>
        <v>163.08818181818182</v>
      </c>
      <c r="T4276" s="22">
        <f>tblDailySchedule[[#This Row],[STD]]</f>
        <v>0.44444444444444442</v>
      </c>
    </row>
    <row r="4277" spans="1:20" hidden="1" x14ac:dyDescent="0.35">
      <c r="A4277" s="11">
        <v>46264</v>
      </c>
      <c r="B4277" s="3">
        <v>7</v>
      </c>
      <c r="C4277" t="s">
        <v>17</v>
      </c>
      <c r="D4277" t="s">
        <v>18</v>
      </c>
      <c r="E4277" s="3">
        <v>9</v>
      </c>
      <c r="F4277" t="s">
        <v>19</v>
      </c>
      <c r="G4277" t="s">
        <v>48</v>
      </c>
      <c r="H4277" t="s">
        <v>49</v>
      </c>
      <c r="I4277" s="12">
        <v>0.4375</v>
      </c>
      <c r="J4277" t="s">
        <v>50</v>
      </c>
      <c r="K4277" t="s">
        <v>49</v>
      </c>
      <c r="L4277" s="12">
        <v>0.45833333333333331</v>
      </c>
      <c r="M4277" t="s">
        <v>51</v>
      </c>
      <c r="N4277" s="3">
        <v>78</v>
      </c>
      <c r="O4277" t="s">
        <v>24</v>
      </c>
      <c r="P4277" t="s">
        <v>25</v>
      </c>
      <c r="R4277">
        <f>tblDailySchedule[[#This Row],[Capacity Approx]]*'[1]Load Factor Sheet June Acft  '!$B$5</f>
        <v>63.162272727272729</v>
      </c>
      <c r="S4277">
        <f>tblDailySchedule[[#This Row],[Capacity Approx]]*'[1]Load Factor Sheet June Acft  '!$D$5</f>
        <v>68.391818181818181</v>
      </c>
      <c r="T4277" s="22">
        <f>tblDailySchedule[[#This Row],[STD]]</f>
        <v>0.45833333333333331</v>
      </c>
    </row>
    <row r="4278" spans="1:20" hidden="1" x14ac:dyDescent="0.35">
      <c r="A4278" s="11">
        <v>46264</v>
      </c>
      <c r="B4278" s="3">
        <v>7</v>
      </c>
      <c r="C4278" t="s">
        <v>17</v>
      </c>
      <c r="D4278" t="s">
        <v>18</v>
      </c>
      <c r="E4278" s="3">
        <v>10</v>
      </c>
      <c r="F4278" t="s">
        <v>19</v>
      </c>
      <c r="G4278" t="s">
        <v>52</v>
      </c>
      <c r="H4278" t="s">
        <v>27</v>
      </c>
      <c r="I4278" s="12">
        <v>0.4826388888888889</v>
      </c>
      <c r="J4278" t="s">
        <v>53</v>
      </c>
      <c r="K4278" t="s">
        <v>27</v>
      </c>
      <c r="L4278" s="12">
        <v>0.51041666666666663</v>
      </c>
      <c r="M4278" t="s">
        <v>23</v>
      </c>
      <c r="N4278" s="3">
        <v>186</v>
      </c>
      <c r="O4278" t="s">
        <v>24</v>
      </c>
      <c r="P4278" t="s">
        <v>25</v>
      </c>
      <c r="R4278">
        <f>tblDailySchedule[[#This Row],[Capacity Approx]]*'[1]Load Factor Sheet June Acft  '!$B$5</f>
        <v>150.61772727272728</v>
      </c>
      <c r="S4278">
        <f>tblDailySchedule[[#This Row],[Capacity Approx]]*'[1]Load Factor Sheet June Acft  '!$D$5</f>
        <v>163.08818181818182</v>
      </c>
      <c r="T4278" s="22">
        <f>tblDailySchedule[[#This Row],[STD]]</f>
        <v>0.51041666666666663</v>
      </c>
    </row>
    <row r="4279" spans="1:20" hidden="1" x14ac:dyDescent="0.35">
      <c r="A4279" s="11">
        <v>46264</v>
      </c>
      <c r="B4279" s="3">
        <v>7</v>
      </c>
      <c r="C4279" t="s">
        <v>17</v>
      </c>
      <c r="D4279" t="s">
        <v>18</v>
      </c>
      <c r="E4279" s="3">
        <v>11</v>
      </c>
      <c r="F4279" t="s">
        <v>19</v>
      </c>
      <c r="G4279" t="s">
        <v>54</v>
      </c>
      <c r="H4279" t="s">
        <v>31</v>
      </c>
      <c r="I4279" s="12">
        <v>0.51388888888888884</v>
      </c>
      <c r="J4279" t="s">
        <v>55</v>
      </c>
      <c r="K4279" t="s">
        <v>31</v>
      </c>
      <c r="L4279" s="12">
        <v>0.54166666666666663</v>
      </c>
      <c r="M4279" t="s">
        <v>23</v>
      </c>
      <c r="N4279" s="3">
        <v>186</v>
      </c>
      <c r="O4279" t="s">
        <v>24</v>
      </c>
      <c r="P4279" t="s">
        <v>56</v>
      </c>
      <c r="R4279">
        <f>tblDailySchedule[[#This Row],[Capacity Approx]]*'[1]Load Factor Sheet June Acft  '!$B$5</f>
        <v>150.61772727272728</v>
      </c>
      <c r="S4279">
        <f>tblDailySchedule[[#This Row],[Capacity Approx]]*'[1]Load Factor Sheet June Acft  '!$D$5</f>
        <v>163.08818181818182</v>
      </c>
      <c r="T4279" s="22">
        <f>tblDailySchedule[[#This Row],[STD]]</f>
        <v>0.54166666666666663</v>
      </c>
    </row>
    <row r="4280" spans="1:20" hidden="1" x14ac:dyDescent="0.35">
      <c r="A4280" s="11">
        <v>46264</v>
      </c>
      <c r="B4280" s="3">
        <v>7</v>
      </c>
      <c r="C4280" t="s">
        <v>17</v>
      </c>
      <c r="D4280" t="s">
        <v>18</v>
      </c>
      <c r="E4280" s="3">
        <v>13</v>
      </c>
      <c r="F4280" t="s">
        <v>19</v>
      </c>
      <c r="G4280" t="s">
        <v>57</v>
      </c>
      <c r="H4280" t="s">
        <v>58</v>
      </c>
      <c r="I4280" s="12">
        <v>0.55902777777777779</v>
      </c>
      <c r="J4280" t="s">
        <v>59</v>
      </c>
      <c r="K4280" t="s">
        <v>58</v>
      </c>
      <c r="L4280" s="12">
        <v>0.57638888888888884</v>
      </c>
      <c r="M4280" t="s">
        <v>51</v>
      </c>
      <c r="N4280" s="3">
        <v>78</v>
      </c>
      <c r="O4280" t="s">
        <v>24</v>
      </c>
      <c r="P4280" t="s">
        <v>56</v>
      </c>
      <c r="R4280">
        <f>tblDailySchedule[[#This Row],[Capacity Approx]]*'[1]Load Factor Sheet June Acft  '!$B$5</f>
        <v>63.162272727272729</v>
      </c>
      <c r="S4280">
        <f>tblDailySchedule[[#This Row],[Capacity Approx]]*'[1]Load Factor Sheet June Acft  '!$D$5</f>
        <v>68.391818181818181</v>
      </c>
      <c r="T4280" s="22">
        <f>tblDailySchedule[[#This Row],[STD]]</f>
        <v>0.57638888888888884</v>
      </c>
    </row>
    <row r="4281" spans="1:20" hidden="1" x14ac:dyDescent="0.35">
      <c r="A4281" s="11">
        <v>46264</v>
      </c>
      <c r="B4281" s="3">
        <v>7</v>
      </c>
      <c r="C4281" t="s">
        <v>17</v>
      </c>
      <c r="D4281" t="s">
        <v>18</v>
      </c>
      <c r="E4281" s="3">
        <v>14</v>
      </c>
      <c r="F4281" t="s">
        <v>19</v>
      </c>
      <c r="G4281" t="s">
        <v>60</v>
      </c>
      <c r="H4281" t="s">
        <v>61</v>
      </c>
      <c r="I4281" s="12">
        <v>0.59027777777777779</v>
      </c>
      <c r="J4281" t="s">
        <v>62</v>
      </c>
      <c r="K4281" t="s">
        <v>61</v>
      </c>
      <c r="L4281" s="12">
        <v>0.62152777777777779</v>
      </c>
      <c r="M4281" t="s">
        <v>63</v>
      </c>
      <c r="N4281" s="3">
        <v>232</v>
      </c>
      <c r="O4281" t="s">
        <v>24</v>
      </c>
      <c r="P4281" t="s">
        <v>56</v>
      </c>
      <c r="R4281">
        <f>tblDailySchedule[[#This Row],[Capacity Approx]]*'[1]Load Factor Sheet June Acft  '!$B$5</f>
        <v>187.86727272727273</v>
      </c>
      <c r="S4281">
        <f>tblDailySchedule[[#This Row],[Capacity Approx]]*'[1]Load Factor Sheet June Acft  '!$D$5</f>
        <v>203.4218181818182</v>
      </c>
      <c r="T4281" s="22">
        <f>tblDailySchedule[[#This Row],[STD]]</f>
        <v>0.62152777777777779</v>
      </c>
    </row>
    <row r="4282" spans="1:20" hidden="1" x14ac:dyDescent="0.35">
      <c r="A4282" s="11">
        <v>46264</v>
      </c>
      <c r="B4282" s="3">
        <v>7</v>
      </c>
      <c r="C4282" t="s">
        <v>17</v>
      </c>
      <c r="D4282" t="s">
        <v>18</v>
      </c>
      <c r="E4282" s="3">
        <v>15</v>
      </c>
      <c r="F4282" t="s">
        <v>19</v>
      </c>
      <c r="G4282" t="s">
        <v>64</v>
      </c>
      <c r="H4282" t="s">
        <v>31</v>
      </c>
      <c r="I4282" s="12">
        <v>0.60069444444444442</v>
      </c>
      <c r="J4282" t="s">
        <v>65</v>
      </c>
      <c r="K4282" t="s">
        <v>66</v>
      </c>
      <c r="L4282" s="12">
        <v>0.62847222222222221</v>
      </c>
      <c r="M4282" t="s">
        <v>63</v>
      </c>
      <c r="N4282" s="3">
        <v>232</v>
      </c>
      <c r="O4282" t="s">
        <v>24</v>
      </c>
      <c r="P4282" t="s">
        <v>56</v>
      </c>
      <c r="R4282">
        <f>tblDailySchedule[[#This Row],[Capacity Approx]]*'[1]Load Factor Sheet June Acft  '!$B$5</f>
        <v>187.86727272727273</v>
      </c>
      <c r="S4282">
        <f>tblDailySchedule[[#This Row],[Capacity Approx]]*'[1]Load Factor Sheet June Acft  '!$D$5</f>
        <v>203.4218181818182</v>
      </c>
      <c r="T4282" s="22">
        <f>tblDailySchedule[[#This Row],[STD]]</f>
        <v>0.62847222222222221</v>
      </c>
    </row>
    <row r="4283" spans="1:20" hidden="1" x14ac:dyDescent="0.35">
      <c r="A4283" s="11">
        <v>46264</v>
      </c>
      <c r="B4283" s="3">
        <v>7</v>
      </c>
      <c r="C4283" t="s">
        <v>17</v>
      </c>
      <c r="D4283" t="s">
        <v>18</v>
      </c>
      <c r="E4283" s="3">
        <v>16</v>
      </c>
      <c r="F4283" t="s">
        <v>19</v>
      </c>
      <c r="G4283" t="s">
        <v>67</v>
      </c>
      <c r="H4283" t="s">
        <v>31</v>
      </c>
      <c r="I4283" s="12">
        <v>0.65625</v>
      </c>
      <c r="J4283" t="s">
        <v>68</v>
      </c>
      <c r="K4283" t="s">
        <v>31</v>
      </c>
      <c r="L4283" s="12">
        <v>0.68402777777777779</v>
      </c>
      <c r="M4283" t="s">
        <v>63</v>
      </c>
      <c r="N4283" s="3">
        <v>232</v>
      </c>
      <c r="O4283" t="s">
        <v>24</v>
      </c>
      <c r="P4283" t="s">
        <v>56</v>
      </c>
      <c r="R4283">
        <f>tblDailySchedule[[#This Row],[Capacity Approx]]*'[1]Load Factor Sheet June Acft  '!$B$5</f>
        <v>187.86727272727273</v>
      </c>
      <c r="S4283">
        <f>tblDailySchedule[[#This Row],[Capacity Approx]]*'[1]Load Factor Sheet June Acft  '!$D$5</f>
        <v>203.4218181818182</v>
      </c>
      <c r="T4283" s="22">
        <f>tblDailySchedule[[#This Row],[STD]]</f>
        <v>0.68402777777777779</v>
      </c>
    </row>
    <row r="4284" spans="1:20" hidden="1" x14ac:dyDescent="0.35">
      <c r="A4284" s="11">
        <v>46264</v>
      </c>
      <c r="B4284" s="3">
        <v>7</v>
      </c>
      <c r="C4284" t="s">
        <v>17</v>
      </c>
      <c r="D4284" t="s">
        <v>18</v>
      </c>
      <c r="E4284" s="3">
        <v>17</v>
      </c>
      <c r="F4284" t="s">
        <v>19</v>
      </c>
      <c r="G4284" t="s">
        <v>69</v>
      </c>
      <c r="H4284" t="s">
        <v>31</v>
      </c>
      <c r="I4284" s="12">
        <v>0.66319444444444442</v>
      </c>
      <c r="J4284" t="s">
        <v>70</v>
      </c>
      <c r="K4284" t="s">
        <v>31</v>
      </c>
      <c r="L4284" s="12">
        <v>0.69097222222222221</v>
      </c>
      <c r="M4284" t="s">
        <v>33</v>
      </c>
      <c r="N4284" s="3">
        <v>189</v>
      </c>
      <c r="O4284" t="s">
        <v>24</v>
      </c>
      <c r="P4284" t="s">
        <v>56</v>
      </c>
      <c r="R4284">
        <f>tblDailySchedule[[#This Row],[Capacity Approx]]*'[1]Load Factor Sheet June Acft  '!$B$5</f>
        <v>153.04704545454547</v>
      </c>
      <c r="S4284">
        <f>tblDailySchedule[[#This Row],[Capacity Approx]]*'[1]Load Factor Sheet June Acft  '!$D$5</f>
        <v>165.71863636363636</v>
      </c>
      <c r="T4284" s="22">
        <f>tblDailySchedule[[#This Row],[STD]]</f>
        <v>0.69097222222222221</v>
      </c>
    </row>
    <row r="4285" spans="1:20" hidden="1" x14ac:dyDescent="0.35">
      <c r="A4285" s="11">
        <v>46264</v>
      </c>
      <c r="B4285" s="3">
        <v>7</v>
      </c>
      <c r="C4285" t="s">
        <v>17</v>
      </c>
      <c r="D4285" t="s">
        <v>18</v>
      </c>
      <c r="E4285" s="3">
        <v>18</v>
      </c>
      <c r="F4285" t="s">
        <v>19</v>
      </c>
      <c r="G4285" t="s">
        <v>71</v>
      </c>
      <c r="H4285" t="s">
        <v>21</v>
      </c>
      <c r="I4285" s="12">
        <v>0.67013888888888884</v>
      </c>
      <c r="J4285" t="s">
        <v>72</v>
      </c>
      <c r="K4285" t="s">
        <v>21</v>
      </c>
      <c r="L4285" s="12">
        <v>0.69791666666666663</v>
      </c>
      <c r="M4285" t="s">
        <v>63</v>
      </c>
      <c r="N4285" s="3">
        <v>232</v>
      </c>
      <c r="O4285" t="s">
        <v>24</v>
      </c>
      <c r="P4285" t="s">
        <v>56</v>
      </c>
      <c r="R4285">
        <f>tblDailySchedule[[#This Row],[Capacity Approx]]*'[1]Load Factor Sheet June Acft  '!$B$5</f>
        <v>187.86727272727273</v>
      </c>
      <c r="S4285">
        <f>tblDailySchedule[[#This Row],[Capacity Approx]]*'[1]Load Factor Sheet June Acft  '!$D$5</f>
        <v>203.4218181818182</v>
      </c>
      <c r="T4285" s="22">
        <f>tblDailySchedule[[#This Row],[STD]]</f>
        <v>0.69791666666666663</v>
      </c>
    </row>
    <row r="4286" spans="1:20" hidden="1" x14ac:dyDescent="0.35">
      <c r="A4286" s="11">
        <v>46264</v>
      </c>
      <c r="B4286" s="3">
        <v>7</v>
      </c>
      <c r="C4286" t="s">
        <v>17</v>
      </c>
      <c r="D4286" t="s">
        <v>18</v>
      </c>
      <c r="E4286" s="3">
        <v>19</v>
      </c>
      <c r="F4286" t="s">
        <v>19</v>
      </c>
      <c r="G4286" t="s">
        <v>73</v>
      </c>
      <c r="H4286" t="s">
        <v>27</v>
      </c>
      <c r="I4286" s="12">
        <v>0.74652777777777779</v>
      </c>
      <c r="J4286" t="s">
        <v>74</v>
      </c>
      <c r="K4286" t="s">
        <v>27</v>
      </c>
      <c r="L4286" s="12">
        <v>0.77430555555555558</v>
      </c>
      <c r="M4286" t="s">
        <v>63</v>
      </c>
      <c r="N4286" s="3">
        <v>232</v>
      </c>
      <c r="O4286" t="s">
        <v>24</v>
      </c>
      <c r="P4286" t="s">
        <v>56</v>
      </c>
      <c r="R4286">
        <f>tblDailySchedule[[#This Row],[Capacity Approx]]*'[1]Load Factor Sheet June Acft  '!$B$5</f>
        <v>187.86727272727273</v>
      </c>
      <c r="S4286">
        <f>tblDailySchedule[[#This Row],[Capacity Approx]]*'[1]Load Factor Sheet June Acft  '!$D$5</f>
        <v>203.4218181818182</v>
      </c>
      <c r="T4286" s="22">
        <f>tblDailySchedule[[#This Row],[STD]]</f>
        <v>0.77430555555555558</v>
      </c>
    </row>
    <row r="4287" spans="1:20" hidden="1" x14ac:dyDescent="0.35">
      <c r="A4287" s="11">
        <v>46264</v>
      </c>
      <c r="B4287" s="3">
        <v>7</v>
      </c>
      <c r="C4287" t="s">
        <v>17</v>
      </c>
      <c r="D4287" t="s">
        <v>18</v>
      </c>
      <c r="E4287" s="3">
        <v>20</v>
      </c>
      <c r="F4287" t="s">
        <v>34</v>
      </c>
      <c r="G4287" t="s">
        <v>75</v>
      </c>
      <c r="H4287" t="s">
        <v>76</v>
      </c>
      <c r="I4287" s="12">
        <v>0.76388888888888884</v>
      </c>
      <c r="J4287" t="s">
        <v>77</v>
      </c>
      <c r="K4287" t="s">
        <v>78</v>
      </c>
      <c r="L4287" s="12">
        <v>0.78472222222222221</v>
      </c>
      <c r="M4287" t="s">
        <v>51</v>
      </c>
      <c r="N4287" s="3">
        <v>78</v>
      </c>
      <c r="O4287" t="s">
        <v>24</v>
      </c>
      <c r="P4287" t="s">
        <v>79</v>
      </c>
      <c r="Q4287" s="16" t="s">
        <v>80</v>
      </c>
      <c r="R4287">
        <f>tblDailySchedule[[#This Row],[Capacity Approx]]*'[1]Load Factor Sheet June Acft  '!$B$5</f>
        <v>63.162272727272729</v>
      </c>
      <c r="S4287">
        <f>tblDailySchedule[[#This Row],[Capacity Approx]]*'[1]Load Factor Sheet June Acft  '!$D$5</f>
        <v>68.391818181818181</v>
      </c>
      <c r="T4287" s="22">
        <f>tblDailySchedule[[#This Row],[STD]]</f>
        <v>0.78472222222222221</v>
      </c>
    </row>
    <row r="4288" spans="1:20" hidden="1" x14ac:dyDescent="0.35">
      <c r="A4288" s="11">
        <v>46264</v>
      </c>
      <c r="B4288" s="3">
        <v>7</v>
      </c>
      <c r="C4288" t="s">
        <v>17</v>
      </c>
      <c r="D4288" t="s">
        <v>18</v>
      </c>
      <c r="E4288" s="3">
        <v>21</v>
      </c>
      <c r="F4288" t="s">
        <v>19</v>
      </c>
      <c r="G4288" t="s">
        <v>81</v>
      </c>
      <c r="H4288" t="s">
        <v>61</v>
      </c>
      <c r="I4288" s="12">
        <v>0.77083333333333337</v>
      </c>
      <c r="J4288" t="s">
        <v>82</v>
      </c>
      <c r="K4288" t="s">
        <v>49</v>
      </c>
      <c r="L4288" s="12">
        <v>0.79166666666666663</v>
      </c>
      <c r="M4288" t="s">
        <v>33</v>
      </c>
      <c r="N4288" s="3">
        <v>189</v>
      </c>
      <c r="O4288" t="s">
        <v>24</v>
      </c>
      <c r="P4288" t="s">
        <v>79</v>
      </c>
      <c r="R4288">
        <f>tblDailySchedule[[#This Row],[Capacity Approx]]*'[1]Load Factor Sheet June Acft  '!$B$5</f>
        <v>153.04704545454547</v>
      </c>
      <c r="S4288">
        <f>tblDailySchedule[[#This Row],[Capacity Approx]]*'[1]Load Factor Sheet June Acft  '!$D$5</f>
        <v>165.71863636363636</v>
      </c>
      <c r="T4288" s="22">
        <f>tblDailySchedule[[#This Row],[STD]]</f>
        <v>0.79166666666666663</v>
      </c>
    </row>
    <row r="4289" spans="1:20" hidden="1" x14ac:dyDescent="0.35">
      <c r="A4289" s="11">
        <v>46264</v>
      </c>
      <c r="B4289" s="3">
        <v>7</v>
      </c>
      <c r="C4289" t="s">
        <v>17</v>
      </c>
      <c r="D4289" t="s">
        <v>18</v>
      </c>
      <c r="E4289" s="3">
        <v>22</v>
      </c>
      <c r="F4289" t="s">
        <v>19</v>
      </c>
      <c r="G4289" t="s">
        <v>83</v>
      </c>
      <c r="H4289" t="s">
        <v>31</v>
      </c>
      <c r="I4289" s="12">
        <v>0.77777777777777779</v>
      </c>
      <c r="J4289" t="s">
        <v>84</v>
      </c>
      <c r="K4289" t="s">
        <v>31</v>
      </c>
      <c r="L4289" s="12">
        <v>0.80555555555555558</v>
      </c>
      <c r="M4289" t="s">
        <v>63</v>
      </c>
      <c r="N4289" s="3">
        <v>232</v>
      </c>
      <c r="O4289" t="s">
        <v>24</v>
      </c>
      <c r="P4289" t="s">
        <v>79</v>
      </c>
      <c r="R4289">
        <f>tblDailySchedule[[#This Row],[Capacity Approx]]*'[1]Load Factor Sheet June Acft  '!$B$5</f>
        <v>187.86727272727273</v>
      </c>
      <c r="S4289">
        <f>tblDailySchedule[[#This Row],[Capacity Approx]]*'[1]Load Factor Sheet June Acft  '!$D$5</f>
        <v>203.4218181818182</v>
      </c>
      <c r="T4289" s="22">
        <f>tblDailySchedule[[#This Row],[STD]]</f>
        <v>0.80555555555555558</v>
      </c>
    </row>
    <row r="4290" spans="1:20" hidden="1" x14ac:dyDescent="0.35">
      <c r="A4290" s="11">
        <v>46264</v>
      </c>
      <c r="B4290" s="3">
        <v>7</v>
      </c>
      <c r="C4290" t="s">
        <v>17</v>
      </c>
      <c r="D4290" t="s">
        <v>18</v>
      </c>
      <c r="E4290" s="3">
        <v>23</v>
      </c>
      <c r="F4290" t="s">
        <v>19</v>
      </c>
      <c r="G4290" t="s">
        <v>85</v>
      </c>
      <c r="H4290" t="s">
        <v>86</v>
      </c>
      <c r="I4290" s="12">
        <v>0.79861111111111116</v>
      </c>
      <c r="J4290" t="s">
        <v>87</v>
      </c>
      <c r="K4290" t="s">
        <v>86</v>
      </c>
      <c r="L4290" s="12">
        <v>0.82638888888888884</v>
      </c>
      <c r="M4290" t="s">
        <v>63</v>
      </c>
      <c r="N4290" s="3">
        <v>232</v>
      </c>
      <c r="O4290" t="s">
        <v>24</v>
      </c>
      <c r="P4290" t="s">
        <v>79</v>
      </c>
      <c r="R4290">
        <f>tblDailySchedule[[#This Row],[Capacity Approx]]*'[1]Load Factor Sheet June Acft  '!$B$5</f>
        <v>187.86727272727273</v>
      </c>
      <c r="S4290">
        <f>tblDailySchedule[[#This Row],[Capacity Approx]]*'[1]Load Factor Sheet June Acft  '!$D$5</f>
        <v>203.4218181818182</v>
      </c>
      <c r="T4290" s="22">
        <f>tblDailySchedule[[#This Row],[STD]]</f>
        <v>0.82638888888888884</v>
      </c>
    </row>
    <row r="4291" spans="1:20" hidden="1" x14ac:dyDescent="0.35">
      <c r="A4291" s="11">
        <v>46264</v>
      </c>
      <c r="B4291" s="3">
        <v>7</v>
      </c>
      <c r="C4291" t="s">
        <v>17</v>
      </c>
      <c r="D4291" t="s">
        <v>18</v>
      </c>
      <c r="E4291" s="3">
        <v>24</v>
      </c>
      <c r="F4291" t="s">
        <v>19</v>
      </c>
      <c r="G4291" t="s">
        <v>88</v>
      </c>
      <c r="H4291" t="s">
        <v>89</v>
      </c>
      <c r="I4291" s="12">
        <v>0.83333333333333337</v>
      </c>
      <c r="J4291" t="s">
        <v>90</v>
      </c>
      <c r="K4291" t="s">
        <v>31</v>
      </c>
      <c r="L4291" s="12">
        <v>0.86111111111111116</v>
      </c>
      <c r="M4291" t="s">
        <v>63</v>
      </c>
      <c r="N4291" s="3">
        <v>232</v>
      </c>
      <c r="O4291" t="s">
        <v>24</v>
      </c>
      <c r="P4291" t="s">
        <v>79</v>
      </c>
      <c r="R4291">
        <f>tblDailySchedule[[#This Row],[Capacity Approx]]*'[1]Load Factor Sheet June Acft  '!$B$5</f>
        <v>187.86727272727273</v>
      </c>
      <c r="S4291">
        <f>tblDailySchedule[[#This Row],[Capacity Approx]]*'[1]Load Factor Sheet June Acft  '!$D$5</f>
        <v>203.4218181818182</v>
      </c>
      <c r="T4291" s="22">
        <f>tblDailySchedule[[#This Row],[STD]]</f>
        <v>0.86111111111111116</v>
      </c>
    </row>
    <row r="4292" spans="1:20" hidden="1" x14ac:dyDescent="0.35">
      <c r="A4292" s="11">
        <v>46264</v>
      </c>
      <c r="B4292" s="3">
        <v>7</v>
      </c>
      <c r="C4292" t="s">
        <v>17</v>
      </c>
      <c r="D4292" t="s">
        <v>18</v>
      </c>
      <c r="E4292" s="3">
        <v>25</v>
      </c>
      <c r="F4292" t="s">
        <v>19</v>
      </c>
      <c r="G4292" t="s">
        <v>91</v>
      </c>
      <c r="H4292" t="s">
        <v>61</v>
      </c>
      <c r="I4292" s="12">
        <v>0.85416666666666663</v>
      </c>
      <c r="J4292" t="s">
        <v>92</v>
      </c>
      <c r="K4292" t="s">
        <v>61</v>
      </c>
      <c r="L4292" s="12">
        <v>0.88194444444444442</v>
      </c>
      <c r="M4292" t="s">
        <v>63</v>
      </c>
      <c r="N4292" s="3">
        <v>232</v>
      </c>
      <c r="O4292" t="s">
        <v>24</v>
      </c>
      <c r="P4292" t="s">
        <v>79</v>
      </c>
      <c r="R4292">
        <f>tblDailySchedule[[#This Row],[Capacity Approx]]*'[1]Load Factor Sheet June Acft  '!$B$5</f>
        <v>187.86727272727273</v>
      </c>
      <c r="S4292">
        <f>tblDailySchedule[[#This Row],[Capacity Approx]]*'[1]Load Factor Sheet June Acft  '!$D$5</f>
        <v>203.4218181818182</v>
      </c>
      <c r="T4292" s="22">
        <f>tblDailySchedule[[#This Row],[STD]]</f>
        <v>0.88194444444444442</v>
      </c>
    </row>
    <row r="4293" spans="1:20" hidden="1" x14ac:dyDescent="0.35">
      <c r="A4293" s="11">
        <v>46264</v>
      </c>
      <c r="B4293" s="3">
        <v>7</v>
      </c>
      <c r="C4293" t="s">
        <v>17</v>
      </c>
      <c r="D4293" t="s">
        <v>18</v>
      </c>
      <c r="E4293" s="3">
        <v>26</v>
      </c>
      <c r="F4293" t="s">
        <v>19</v>
      </c>
      <c r="G4293" t="s">
        <v>93</v>
      </c>
      <c r="H4293" t="s">
        <v>31</v>
      </c>
      <c r="I4293" s="12">
        <v>0.86111111111111116</v>
      </c>
      <c r="J4293" t="s">
        <v>94</v>
      </c>
      <c r="K4293" t="s">
        <v>31</v>
      </c>
      <c r="L4293" s="12">
        <v>0.88888888888888884</v>
      </c>
      <c r="M4293" t="s">
        <v>23</v>
      </c>
      <c r="N4293" s="3">
        <v>186</v>
      </c>
      <c r="O4293" t="s">
        <v>24</v>
      </c>
      <c r="P4293" t="s">
        <v>79</v>
      </c>
      <c r="R4293">
        <f>tblDailySchedule[[#This Row],[Capacity Approx]]*'[1]Load Factor Sheet June Acft  '!$B$5</f>
        <v>150.61772727272728</v>
      </c>
      <c r="S4293">
        <f>tblDailySchedule[[#This Row],[Capacity Approx]]*'[1]Load Factor Sheet June Acft  '!$D$5</f>
        <v>163.08818181818182</v>
      </c>
      <c r="T4293" s="22">
        <f>tblDailySchedule[[#This Row],[STD]]</f>
        <v>0.88888888888888884</v>
      </c>
    </row>
    <row r="4294" spans="1:20" hidden="1" x14ac:dyDescent="0.35">
      <c r="A4294" s="11">
        <v>46264</v>
      </c>
      <c r="B4294" s="3">
        <v>7</v>
      </c>
      <c r="C4294" t="s">
        <v>17</v>
      </c>
      <c r="D4294" t="s">
        <v>18</v>
      </c>
      <c r="E4294" s="3">
        <v>27</v>
      </c>
      <c r="F4294" t="s">
        <v>19</v>
      </c>
      <c r="G4294" t="s">
        <v>95</v>
      </c>
      <c r="H4294" t="s">
        <v>21</v>
      </c>
      <c r="I4294" s="12">
        <v>0.86805555555555558</v>
      </c>
      <c r="J4294" t="s">
        <v>96</v>
      </c>
      <c r="K4294" t="s">
        <v>21</v>
      </c>
      <c r="L4294" s="12">
        <v>0.89583333333333337</v>
      </c>
      <c r="M4294" t="s">
        <v>29</v>
      </c>
      <c r="N4294" s="3">
        <v>186</v>
      </c>
      <c r="O4294" t="s">
        <v>24</v>
      </c>
      <c r="P4294" t="s">
        <v>79</v>
      </c>
      <c r="R4294">
        <f>tblDailySchedule[[#This Row],[Capacity Approx]]*'[1]Load Factor Sheet June Acft  '!$B$5</f>
        <v>150.61772727272728</v>
      </c>
      <c r="S4294">
        <f>tblDailySchedule[[#This Row],[Capacity Approx]]*'[1]Load Factor Sheet June Acft  '!$D$5</f>
        <v>163.08818181818182</v>
      </c>
      <c r="T4294" s="22">
        <f>tblDailySchedule[[#This Row],[STD]]</f>
        <v>0.89583333333333337</v>
      </c>
    </row>
    <row r="4295" spans="1:20" hidden="1" x14ac:dyDescent="0.35">
      <c r="A4295" s="11">
        <v>46264</v>
      </c>
      <c r="B4295" s="3">
        <v>7</v>
      </c>
      <c r="C4295" t="s">
        <v>17</v>
      </c>
      <c r="D4295" t="s">
        <v>18</v>
      </c>
      <c r="E4295" s="3">
        <v>28</v>
      </c>
      <c r="F4295" t="s">
        <v>19</v>
      </c>
      <c r="G4295" t="s">
        <v>97</v>
      </c>
      <c r="H4295" t="s">
        <v>49</v>
      </c>
      <c r="I4295" s="12">
        <v>0.90277777777777779</v>
      </c>
      <c r="J4295" t="s">
        <v>97</v>
      </c>
      <c r="K4295" t="s">
        <v>61</v>
      </c>
      <c r="L4295" s="12">
        <v>0.92361111111111116</v>
      </c>
      <c r="M4295" t="s">
        <v>33</v>
      </c>
      <c r="N4295" s="3">
        <v>189</v>
      </c>
      <c r="O4295" t="s">
        <v>24</v>
      </c>
      <c r="P4295" t="s">
        <v>79</v>
      </c>
      <c r="R4295">
        <f>tblDailySchedule[[#This Row],[Capacity Approx]]*'[1]Load Factor Sheet June Acft  '!$B$5</f>
        <v>153.04704545454547</v>
      </c>
      <c r="S4295">
        <f>tblDailySchedule[[#This Row],[Capacity Approx]]*'[1]Load Factor Sheet June Acft  '!$D$5</f>
        <v>165.71863636363636</v>
      </c>
      <c r="T4295" s="22">
        <f>tblDailySchedule[[#This Row],[STD]]</f>
        <v>0.92361111111111116</v>
      </c>
    </row>
    <row r="4296" spans="1:20" hidden="1" x14ac:dyDescent="0.35">
      <c r="A4296" s="11">
        <v>46264</v>
      </c>
      <c r="B4296" s="3">
        <v>7</v>
      </c>
      <c r="C4296" t="s">
        <v>17</v>
      </c>
      <c r="D4296" t="s">
        <v>18</v>
      </c>
      <c r="E4296" s="3">
        <v>29</v>
      </c>
      <c r="F4296" t="s">
        <v>19</v>
      </c>
      <c r="G4296" t="s">
        <v>98</v>
      </c>
      <c r="H4296" t="s">
        <v>21</v>
      </c>
      <c r="I4296" s="12">
        <v>0.92013888888888884</v>
      </c>
      <c r="J4296" t="s">
        <v>99</v>
      </c>
      <c r="K4296" t="s">
        <v>21</v>
      </c>
      <c r="L4296" s="12">
        <v>0.94791666666666663</v>
      </c>
      <c r="M4296" t="s">
        <v>63</v>
      </c>
      <c r="N4296" s="3">
        <v>232</v>
      </c>
      <c r="O4296" t="s">
        <v>24</v>
      </c>
      <c r="P4296" t="s">
        <v>79</v>
      </c>
      <c r="R4296">
        <f>tblDailySchedule[[#This Row],[Capacity Approx]]*'[1]Load Factor Sheet June Acft  '!$B$5</f>
        <v>187.86727272727273</v>
      </c>
      <c r="S4296">
        <f>tblDailySchedule[[#This Row],[Capacity Approx]]*'[1]Load Factor Sheet June Acft  '!$D$5</f>
        <v>203.4218181818182</v>
      </c>
      <c r="T4296" s="22">
        <f>tblDailySchedule[[#This Row],[STD]]</f>
        <v>0.94791666666666663</v>
      </c>
    </row>
    <row r="4297" spans="1:20" hidden="1" x14ac:dyDescent="0.35">
      <c r="A4297" s="11">
        <v>46265</v>
      </c>
      <c r="B4297" s="3">
        <v>1</v>
      </c>
      <c r="C4297" t="s">
        <v>100</v>
      </c>
      <c r="D4297" t="s">
        <v>18</v>
      </c>
      <c r="E4297" s="3">
        <v>1</v>
      </c>
      <c r="F4297" t="s">
        <v>101</v>
      </c>
      <c r="G4297" t="s">
        <v>102</v>
      </c>
      <c r="H4297" t="s">
        <v>61</v>
      </c>
      <c r="I4297" s="12">
        <v>0.3125</v>
      </c>
      <c r="J4297" t="s">
        <v>103</v>
      </c>
      <c r="K4297" t="s">
        <v>61</v>
      </c>
      <c r="L4297" s="12">
        <v>0.33333333333333331</v>
      </c>
      <c r="M4297" t="s">
        <v>33</v>
      </c>
      <c r="N4297" s="3">
        <v>189</v>
      </c>
      <c r="O4297" t="s">
        <v>24</v>
      </c>
      <c r="P4297" t="s">
        <v>25</v>
      </c>
      <c r="R4297">
        <f>tblDailySchedule[[#This Row],[Capacity Approx]]*'[1]Load Factor Sheet June Acft  '!$B$5</f>
        <v>153.04704545454547</v>
      </c>
      <c r="S4297">
        <f>tblDailySchedule[[#This Row],[Capacity Approx]]*'[1]Load Factor Sheet June Acft  '!$D$5</f>
        <v>165.71863636363636</v>
      </c>
      <c r="T4297" s="22">
        <f>tblDailySchedule[[#This Row],[STD]]</f>
        <v>0.33333333333333331</v>
      </c>
    </row>
    <row r="4298" spans="1:20" hidden="1" x14ac:dyDescent="0.35">
      <c r="A4298" s="11">
        <v>46265</v>
      </c>
      <c r="B4298" s="3">
        <v>1</v>
      </c>
      <c r="C4298" t="s">
        <v>100</v>
      </c>
      <c r="D4298" t="s">
        <v>18</v>
      </c>
      <c r="E4298" s="3">
        <v>2</v>
      </c>
      <c r="F4298" t="s">
        <v>19</v>
      </c>
      <c r="G4298" t="s">
        <v>20</v>
      </c>
      <c r="H4298" t="s">
        <v>21</v>
      </c>
      <c r="I4298" s="12">
        <v>0.31944444444444442</v>
      </c>
      <c r="J4298" t="s">
        <v>22</v>
      </c>
      <c r="K4298" t="s">
        <v>21</v>
      </c>
      <c r="L4298" s="12">
        <v>0.34722222222222221</v>
      </c>
      <c r="M4298" t="s">
        <v>23</v>
      </c>
      <c r="N4298" s="3">
        <v>186</v>
      </c>
      <c r="O4298" t="s">
        <v>24</v>
      </c>
      <c r="P4298" t="s">
        <v>25</v>
      </c>
      <c r="R4298">
        <f>tblDailySchedule[[#This Row],[Capacity Approx]]*'[1]Load Factor Sheet June Acft  '!$B$5</f>
        <v>150.61772727272728</v>
      </c>
      <c r="S4298">
        <f>tblDailySchedule[[#This Row],[Capacity Approx]]*'[1]Load Factor Sheet June Acft  '!$D$5</f>
        <v>163.08818181818182</v>
      </c>
      <c r="T4298" s="22">
        <f>tblDailySchedule[[#This Row],[STD]]</f>
        <v>0.34722222222222221</v>
      </c>
    </row>
    <row r="4299" spans="1:20" hidden="1" x14ac:dyDescent="0.35">
      <c r="A4299" s="11">
        <v>46265</v>
      </c>
      <c r="B4299" s="3">
        <v>1</v>
      </c>
      <c r="C4299" t="s">
        <v>100</v>
      </c>
      <c r="D4299" t="s">
        <v>18</v>
      </c>
      <c r="E4299" s="3">
        <v>3</v>
      </c>
      <c r="F4299" t="s">
        <v>19</v>
      </c>
      <c r="G4299" t="s">
        <v>26</v>
      </c>
      <c r="H4299" t="s">
        <v>27</v>
      </c>
      <c r="I4299" s="12">
        <v>0.3263888888888889</v>
      </c>
      <c r="J4299" t="s">
        <v>28</v>
      </c>
      <c r="K4299" t="s">
        <v>27</v>
      </c>
      <c r="L4299" s="12">
        <v>0.35416666666666669</v>
      </c>
      <c r="M4299" t="s">
        <v>29</v>
      </c>
      <c r="N4299" s="3">
        <v>186</v>
      </c>
      <c r="O4299" t="s">
        <v>24</v>
      </c>
      <c r="P4299" t="s">
        <v>25</v>
      </c>
      <c r="R4299">
        <f>tblDailySchedule[[#This Row],[Capacity Approx]]*'[1]Load Factor Sheet June Acft  '!$B$5</f>
        <v>150.61772727272728</v>
      </c>
      <c r="S4299">
        <f>tblDailySchedule[[#This Row],[Capacity Approx]]*'[1]Load Factor Sheet June Acft  '!$D$5</f>
        <v>163.08818181818182</v>
      </c>
      <c r="T4299" s="22">
        <f>tblDailySchedule[[#This Row],[STD]]</f>
        <v>0.35416666666666669</v>
      </c>
    </row>
    <row r="4300" spans="1:20" hidden="1" x14ac:dyDescent="0.35">
      <c r="A4300" s="11">
        <v>46265</v>
      </c>
      <c r="B4300" s="3">
        <v>1</v>
      </c>
      <c r="C4300" t="s">
        <v>100</v>
      </c>
      <c r="D4300" t="s">
        <v>18</v>
      </c>
      <c r="E4300" s="3">
        <v>4</v>
      </c>
      <c r="F4300" t="s">
        <v>19</v>
      </c>
      <c r="G4300" t="s">
        <v>30</v>
      </c>
      <c r="H4300" t="s">
        <v>31</v>
      </c>
      <c r="I4300" s="12">
        <v>0.34722222222222221</v>
      </c>
      <c r="J4300" t="s">
        <v>32</v>
      </c>
      <c r="K4300" t="s">
        <v>31</v>
      </c>
      <c r="L4300" s="12">
        <v>0.36805555555555558</v>
      </c>
      <c r="M4300" t="s">
        <v>33</v>
      </c>
      <c r="N4300" s="3">
        <v>189</v>
      </c>
      <c r="O4300" t="s">
        <v>24</v>
      </c>
      <c r="P4300" t="s">
        <v>25</v>
      </c>
      <c r="R4300">
        <f>tblDailySchedule[[#This Row],[Capacity Approx]]*'[1]Load Factor Sheet June Acft  '!$B$5</f>
        <v>153.04704545454547</v>
      </c>
      <c r="S4300">
        <f>tblDailySchedule[[#This Row],[Capacity Approx]]*'[1]Load Factor Sheet June Acft  '!$D$5</f>
        <v>165.71863636363636</v>
      </c>
      <c r="T4300" s="22">
        <f>tblDailySchedule[[#This Row],[STD]]</f>
        <v>0.36805555555555558</v>
      </c>
    </row>
    <row r="4301" spans="1:20" hidden="1" x14ac:dyDescent="0.35">
      <c r="A4301" s="13">
        <v>46265</v>
      </c>
      <c r="B4301" s="7">
        <v>1</v>
      </c>
      <c r="C4301" s="14" t="s">
        <v>100</v>
      </c>
      <c r="D4301" s="14" t="s">
        <v>18</v>
      </c>
      <c r="E4301" s="7">
        <v>6</v>
      </c>
      <c r="F4301" s="14" t="s">
        <v>34</v>
      </c>
      <c r="G4301" s="14" t="s">
        <v>35</v>
      </c>
      <c r="H4301" s="14" t="s">
        <v>36</v>
      </c>
      <c r="I4301" s="15">
        <v>0.34722222222222221</v>
      </c>
      <c r="J4301" s="14" t="s">
        <v>37</v>
      </c>
      <c r="K4301" s="14" t="s">
        <v>36</v>
      </c>
      <c r="L4301" s="15">
        <v>0.40972222222222221</v>
      </c>
      <c r="M4301" s="14" t="s">
        <v>38</v>
      </c>
      <c r="N4301" s="7">
        <v>186</v>
      </c>
      <c r="O4301" s="14" t="s">
        <v>39</v>
      </c>
      <c r="P4301" s="14" t="s">
        <v>25</v>
      </c>
      <c r="Q4301" s="14" t="s">
        <v>39</v>
      </c>
      <c r="R4301">
        <f>tblDailySchedule[[#This Row],[Capacity Approx]]*'[1]Load Factor Sheet June Acft  '!$B$5</f>
        <v>150.61772727272728</v>
      </c>
      <c r="S4301">
        <f>tblDailySchedule[[#This Row],[Capacity Approx]]*'[1]Load Factor Sheet June Acft  '!$D$5</f>
        <v>163.08818181818182</v>
      </c>
      <c r="T4301" s="22">
        <f>tblDailySchedule[[#This Row],[STD]]</f>
        <v>0.40972222222222221</v>
      </c>
    </row>
    <row r="4302" spans="1:20" hidden="1" x14ac:dyDescent="0.35">
      <c r="A4302" s="11">
        <v>46265</v>
      </c>
      <c r="B4302" s="3">
        <v>1</v>
      </c>
      <c r="C4302" t="s">
        <v>100</v>
      </c>
      <c r="D4302" t="s">
        <v>18</v>
      </c>
      <c r="E4302" s="3">
        <v>5</v>
      </c>
      <c r="F4302" t="s">
        <v>19</v>
      </c>
      <c r="G4302" t="s">
        <v>40</v>
      </c>
      <c r="H4302" t="s">
        <v>31</v>
      </c>
      <c r="I4302" s="12">
        <v>0.35069444444444442</v>
      </c>
      <c r="J4302" t="s">
        <v>41</v>
      </c>
      <c r="K4302" t="s">
        <v>31</v>
      </c>
      <c r="L4302" s="12">
        <v>0.37152777777777779</v>
      </c>
      <c r="M4302" t="s">
        <v>23</v>
      </c>
      <c r="N4302" s="3">
        <v>186</v>
      </c>
      <c r="O4302" t="s">
        <v>24</v>
      </c>
      <c r="P4302" t="s">
        <v>25</v>
      </c>
      <c r="R4302">
        <f>tblDailySchedule[[#This Row],[Capacity Approx]]*'[1]Load Factor Sheet June Acft  '!$B$5</f>
        <v>150.61772727272728</v>
      </c>
      <c r="S4302">
        <f>tblDailySchedule[[#This Row],[Capacity Approx]]*'[1]Load Factor Sheet June Acft  '!$D$5</f>
        <v>163.08818181818182</v>
      </c>
      <c r="T4302" s="22">
        <f>tblDailySchedule[[#This Row],[STD]]</f>
        <v>0.37152777777777779</v>
      </c>
    </row>
    <row r="4303" spans="1:20" hidden="1" x14ac:dyDescent="0.35">
      <c r="A4303" s="11">
        <v>46265</v>
      </c>
      <c r="B4303" s="3">
        <v>1</v>
      </c>
      <c r="C4303" t="s">
        <v>100</v>
      </c>
      <c r="D4303" t="s">
        <v>18</v>
      </c>
      <c r="E4303" s="3">
        <v>7</v>
      </c>
      <c r="F4303" t="s">
        <v>19</v>
      </c>
      <c r="G4303" t="s">
        <v>42</v>
      </c>
      <c r="H4303" t="s">
        <v>43</v>
      </c>
      <c r="I4303" s="12">
        <v>0.3923611111111111</v>
      </c>
      <c r="J4303" t="s">
        <v>44</v>
      </c>
      <c r="K4303" t="s">
        <v>43</v>
      </c>
      <c r="L4303" s="12">
        <v>0.40277777777777779</v>
      </c>
      <c r="M4303" t="s">
        <v>45</v>
      </c>
      <c r="N4303" s="3">
        <v>9</v>
      </c>
      <c r="O4303" t="s">
        <v>24</v>
      </c>
      <c r="P4303" t="s">
        <v>25</v>
      </c>
      <c r="R4303">
        <f>tblDailySchedule[[#This Row],[Capacity Approx]]*'[1]Load Factor Sheet June Acft  '!$B$5</f>
        <v>7.2879545454545456</v>
      </c>
      <c r="S4303">
        <f>tblDailySchedule[[#This Row],[Capacity Approx]]*'[1]Load Factor Sheet June Acft  '!$D$5</f>
        <v>7.8913636363636366</v>
      </c>
      <c r="T4303" s="22">
        <f>tblDailySchedule[[#This Row],[STD]]</f>
        <v>0.40277777777777779</v>
      </c>
    </row>
    <row r="4304" spans="1:20" hidden="1" x14ac:dyDescent="0.35">
      <c r="A4304" s="11">
        <v>46265</v>
      </c>
      <c r="B4304" s="3">
        <v>1</v>
      </c>
      <c r="C4304" t="s">
        <v>100</v>
      </c>
      <c r="D4304" t="s">
        <v>18</v>
      </c>
      <c r="E4304" s="3">
        <v>8</v>
      </c>
      <c r="F4304" t="s">
        <v>19</v>
      </c>
      <c r="G4304" t="s">
        <v>46</v>
      </c>
      <c r="H4304" t="s">
        <v>31</v>
      </c>
      <c r="I4304" s="12">
        <v>0.4201388888888889</v>
      </c>
      <c r="J4304" t="s">
        <v>47</v>
      </c>
      <c r="K4304" t="s">
        <v>31</v>
      </c>
      <c r="L4304" s="12">
        <v>0.44444444444444442</v>
      </c>
      <c r="M4304" t="s">
        <v>29</v>
      </c>
      <c r="N4304" s="3">
        <v>186</v>
      </c>
      <c r="O4304" t="s">
        <v>24</v>
      </c>
      <c r="P4304" t="s">
        <v>25</v>
      </c>
      <c r="R4304">
        <f>tblDailySchedule[[#This Row],[Capacity Approx]]*'[1]Load Factor Sheet June Acft  '!$B$5</f>
        <v>150.61772727272728</v>
      </c>
      <c r="S4304">
        <f>tblDailySchedule[[#This Row],[Capacity Approx]]*'[1]Load Factor Sheet June Acft  '!$D$5</f>
        <v>163.08818181818182</v>
      </c>
      <c r="T4304" s="22">
        <f>tblDailySchedule[[#This Row],[STD]]</f>
        <v>0.44444444444444442</v>
      </c>
    </row>
    <row r="4305" spans="1:20" hidden="1" x14ac:dyDescent="0.35">
      <c r="A4305" s="11">
        <v>46265</v>
      </c>
      <c r="B4305" s="3">
        <v>1</v>
      </c>
      <c r="C4305" t="s">
        <v>100</v>
      </c>
      <c r="D4305" t="s">
        <v>18</v>
      </c>
      <c r="E4305" s="3">
        <v>9</v>
      </c>
      <c r="F4305" t="s">
        <v>19</v>
      </c>
      <c r="G4305" t="s">
        <v>48</v>
      </c>
      <c r="H4305" t="s">
        <v>49</v>
      </c>
      <c r="I4305" s="12">
        <v>0.4375</v>
      </c>
      <c r="J4305" t="s">
        <v>50</v>
      </c>
      <c r="K4305" t="s">
        <v>49</v>
      </c>
      <c r="L4305" s="12">
        <v>0.45833333333333331</v>
      </c>
      <c r="M4305" t="s">
        <v>51</v>
      </c>
      <c r="N4305" s="3">
        <v>78</v>
      </c>
      <c r="O4305" t="s">
        <v>24</v>
      </c>
      <c r="P4305" t="s">
        <v>25</v>
      </c>
      <c r="R4305">
        <f>tblDailySchedule[[#This Row],[Capacity Approx]]*'[1]Load Factor Sheet June Acft  '!$B$5</f>
        <v>63.162272727272729</v>
      </c>
      <c r="S4305">
        <f>tblDailySchedule[[#This Row],[Capacity Approx]]*'[1]Load Factor Sheet June Acft  '!$D$5</f>
        <v>68.391818181818181</v>
      </c>
      <c r="T4305" s="22">
        <f>tblDailySchedule[[#This Row],[STD]]</f>
        <v>0.45833333333333331</v>
      </c>
    </row>
    <row r="4306" spans="1:20" hidden="1" x14ac:dyDescent="0.35">
      <c r="A4306" s="11">
        <v>46265</v>
      </c>
      <c r="B4306" s="3">
        <v>1</v>
      </c>
      <c r="C4306" t="s">
        <v>100</v>
      </c>
      <c r="D4306" t="s">
        <v>18</v>
      </c>
      <c r="E4306" s="3">
        <v>10</v>
      </c>
      <c r="F4306" t="s">
        <v>19</v>
      </c>
      <c r="G4306" t="s">
        <v>52</v>
      </c>
      <c r="H4306" t="s">
        <v>27</v>
      </c>
      <c r="I4306" s="12">
        <v>0.4826388888888889</v>
      </c>
      <c r="J4306" t="s">
        <v>53</v>
      </c>
      <c r="K4306" t="s">
        <v>27</v>
      </c>
      <c r="L4306" s="12">
        <v>0.51041666666666663</v>
      </c>
      <c r="M4306" t="s">
        <v>23</v>
      </c>
      <c r="N4306" s="3">
        <v>186</v>
      </c>
      <c r="O4306" t="s">
        <v>24</v>
      </c>
      <c r="P4306" t="s">
        <v>25</v>
      </c>
      <c r="R4306">
        <f>tblDailySchedule[[#This Row],[Capacity Approx]]*'[1]Load Factor Sheet June Acft  '!$B$5</f>
        <v>150.61772727272728</v>
      </c>
      <c r="S4306">
        <f>tblDailySchedule[[#This Row],[Capacity Approx]]*'[1]Load Factor Sheet June Acft  '!$D$5</f>
        <v>163.08818181818182</v>
      </c>
      <c r="T4306" s="22">
        <f>tblDailySchedule[[#This Row],[STD]]</f>
        <v>0.51041666666666663</v>
      </c>
    </row>
    <row r="4307" spans="1:20" hidden="1" x14ac:dyDescent="0.35">
      <c r="A4307" s="11">
        <v>46265</v>
      </c>
      <c r="B4307" s="3">
        <v>1</v>
      </c>
      <c r="C4307" t="s">
        <v>100</v>
      </c>
      <c r="D4307" t="s">
        <v>18</v>
      </c>
      <c r="E4307" s="3">
        <v>11</v>
      </c>
      <c r="F4307" t="s">
        <v>19</v>
      </c>
      <c r="G4307" t="s">
        <v>54</v>
      </c>
      <c r="H4307" t="s">
        <v>31</v>
      </c>
      <c r="I4307" s="12">
        <v>0.51388888888888884</v>
      </c>
      <c r="J4307" t="s">
        <v>55</v>
      </c>
      <c r="K4307" t="s">
        <v>31</v>
      </c>
      <c r="L4307" s="12">
        <v>0.54166666666666663</v>
      </c>
      <c r="M4307" t="s">
        <v>23</v>
      </c>
      <c r="N4307" s="3">
        <v>186</v>
      </c>
      <c r="O4307" t="s">
        <v>24</v>
      </c>
      <c r="P4307" t="s">
        <v>56</v>
      </c>
      <c r="R4307">
        <f>tblDailySchedule[[#This Row],[Capacity Approx]]*'[1]Load Factor Sheet June Acft  '!$B$5</f>
        <v>150.61772727272728</v>
      </c>
      <c r="S4307">
        <f>tblDailySchedule[[#This Row],[Capacity Approx]]*'[1]Load Factor Sheet June Acft  '!$D$5</f>
        <v>163.08818181818182</v>
      </c>
      <c r="T4307" s="22">
        <f>tblDailySchedule[[#This Row],[STD]]</f>
        <v>0.54166666666666663</v>
      </c>
    </row>
    <row r="4308" spans="1:20" hidden="1" x14ac:dyDescent="0.35">
      <c r="A4308" s="11">
        <v>46265</v>
      </c>
      <c r="B4308" s="3">
        <v>1</v>
      </c>
      <c r="C4308" t="s">
        <v>100</v>
      </c>
      <c r="D4308" t="s">
        <v>18</v>
      </c>
      <c r="E4308" s="3">
        <v>13</v>
      </c>
      <c r="F4308" t="s">
        <v>19</v>
      </c>
      <c r="G4308" t="s">
        <v>57</v>
      </c>
      <c r="H4308" t="s">
        <v>58</v>
      </c>
      <c r="I4308" s="12">
        <v>0.55902777777777779</v>
      </c>
      <c r="J4308" t="s">
        <v>59</v>
      </c>
      <c r="K4308" t="s">
        <v>58</v>
      </c>
      <c r="L4308" s="12">
        <v>0.57638888888888884</v>
      </c>
      <c r="M4308" t="s">
        <v>51</v>
      </c>
      <c r="N4308" s="3">
        <v>78</v>
      </c>
      <c r="O4308" t="s">
        <v>24</v>
      </c>
      <c r="P4308" t="s">
        <v>56</v>
      </c>
      <c r="R4308">
        <f>tblDailySchedule[[#This Row],[Capacity Approx]]*'[1]Load Factor Sheet June Acft  '!$B$5</f>
        <v>63.162272727272729</v>
      </c>
      <c r="S4308">
        <f>tblDailySchedule[[#This Row],[Capacity Approx]]*'[1]Load Factor Sheet June Acft  '!$D$5</f>
        <v>68.391818181818181</v>
      </c>
      <c r="T4308" s="22">
        <f>tblDailySchedule[[#This Row],[STD]]</f>
        <v>0.57638888888888884</v>
      </c>
    </row>
    <row r="4309" spans="1:20" hidden="1" x14ac:dyDescent="0.35">
      <c r="A4309" s="11">
        <v>46265</v>
      </c>
      <c r="B4309" s="3">
        <v>1</v>
      </c>
      <c r="C4309" t="s">
        <v>100</v>
      </c>
      <c r="D4309" t="s">
        <v>18</v>
      </c>
      <c r="E4309" s="3">
        <v>14</v>
      </c>
      <c r="F4309" t="s">
        <v>19</v>
      </c>
      <c r="G4309" t="s">
        <v>60</v>
      </c>
      <c r="H4309" t="s">
        <v>61</v>
      </c>
      <c r="I4309" s="12">
        <v>0.59027777777777779</v>
      </c>
      <c r="J4309" t="s">
        <v>62</v>
      </c>
      <c r="K4309" t="s">
        <v>61</v>
      </c>
      <c r="L4309" s="12">
        <v>0.62152777777777779</v>
      </c>
      <c r="M4309" t="s">
        <v>63</v>
      </c>
      <c r="N4309" s="3">
        <v>232</v>
      </c>
      <c r="O4309" t="s">
        <v>24</v>
      </c>
      <c r="P4309" t="s">
        <v>56</v>
      </c>
      <c r="R4309">
        <f>tblDailySchedule[[#This Row],[Capacity Approx]]*'[1]Load Factor Sheet June Acft  '!$B$5</f>
        <v>187.86727272727273</v>
      </c>
      <c r="S4309">
        <f>tblDailySchedule[[#This Row],[Capacity Approx]]*'[1]Load Factor Sheet June Acft  '!$D$5</f>
        <v>203.4218181818182</v>
      </c>
      <c r="T4309" s="22">
        <f>tblDailySchedule[[#This Row],[STD]]</f>
        <v>0.62152777777777779</v>
      </c>
    </row>
    <row r="4310" spans="1:20" hidden="1" x14ac:dyDescent="0.35">
      <c r="A4310" s="11">
        <v>46265</v>
      </c>
      <c r="B4310" s="3">
        <v>1</v>
      </c>
      <c r="C4310" t="s">
        <v>100</v>
      </c>
      <c r="D4310" t="s">
        <v>18</v>
      </c>
      <c r="E4310" s="3">
        <v>15</v>
      </c>
      <c r="F4310" t="s">
        <v>19</v>
      </c>
      <c r="G4310" t="s">
        <v>64</v>
      </c>
      <c r="H4310" t="s">
        <v>31</v>
      </c>
      <c r="I4310" s="12">
        <v>0.60069444444444442</v>
      </c>
      <c r="J4310" t="s">
        <v>65</v>
      </c>
      <c r="K4310" t="s">
        <v>66</v>
      </c>
      <c r="L4310" s="12">
        <v>0.62847222222222221</v>
      </c>
      <c r="M4310" t="s">
        <v>63</v>
      </c>
      <c r="N4310" s="3">
        <v>232</v>
      </c>
      <c r="O4310" t="s">
        <v>24</v>
      </c>
      <c r="P4310" t="s">
        <v>56</v>
      </c>
      <c r="R4310">
        <f>tblDailySchedule[[#This Row],[Capacity Approx]]*'[1]Load Factor Sheet June Acft  '!$B$5</f>
        <v>187.86727272727273</v>
      </c>
      <c r="S4310">
        <f>tblDailySchedule[[#This Row],[Capacity Approx]]*'[1]Load Factor Sheet June Acft  '!$D$5</f>
        <v>203.4218181818182</v>
      </c>
      <c r="T4310" s="22">
        <f>tblDailySchedule[[#This Row],[STD]]</f>
        <v>0.62847222222222221</v>
      </c>
    </row>
    <row r="4311" spans="1:20" hidden="1" x14ac:dyDescent="0.35">
      <c r="A4311" s="11">
        <v>46265</v>
      </c>
      <c r="B4311" s="3">
        <v>1</v>
      </c>
      <c r="C4311" t="s">
        <v>100</v>
      </c>
      <c r="D4311" t="s">
        <v>18</v>
      </c>
      <c r="E4311" s="3">
        <v>16</v>
      </c>
      <c r="F4311" t="s">
        <v>19</v>
      </c>
      <c r="G4311" t="s">
        <v>67</v>
      </c>
      <c r="H4311" t="s">
        <v>31</v>
      </c>
      <c r="I4311" s="12">
        <v>0.65625</v>
      </c>
      <c r="J4311" t="s">
        <v>68</v>
      </c>
      <c r="K4311" t="s">
        <v>31</v>
      </c>
      <c r="L4311" s="12">
        <v>0.68402777777777779</v>
      </c>
      <c r="M4311" t="s">
        <v>63</v>
      </c>
      <c r="N4311" s="3">
        <v>232</v>
      </c>
      <c r="O4311" t="s">
        <v>24</v>
      </c>
      <c r="P4311" t="s">
        <v>56</v>
      </c>
      <c r="R4311">
        <f>tblDailySchedule[[#This Row],[Capacity Approx]]*'[1]Load Factor Sheet June Acft  '!$B$5</f>
        <v>187.86727272727273</v>
      </c>
      <c r="S4311">
        <f>tblDailySchedule[[#This Row],[Capacity Approx]]*'[1]Load Factor Sheet June Acft  '!$D$5</f>
        <v>203.4218181818182</v>
      </c>
      <c r="T4311" s="22">
        <f>tblDailySchedule[[#This Row],[STD]]</f>
        <v>0.68402777777777779</v>
      </c>
    </row>
    <row r="4312" spans="1:20" hidden="1" x14ac:dyDescent="0.35">
      <c r="A4312" s="11">
        <v>46265</v>
      </c>
      <c r="B4312" s="3">
        <v>1</v>
      </c>
      <c r="C4312" t="s">
        <v>100</v>
      </c>
      <c r="D4312" t="s">
        <v>18</v>
      </c>
      <c r="E4312" s="3">
        <v>17</v>
      </c>
      <c r="F4312" t="s">
        <v>19</v>
      </c>
      <c r="G4312" t="s">
        <v>69</v>
      </c>
      <c r="H4312" t="s">
        <v>31</v>
      </c>
      <c r="I4312" s="12">
        <v>0.66319444444444442</v>
      </c>
      <c r="J4312" t="s">
        <v>70</v>
      </c>
      <c r="K4312" t="s">
        <v>31</v>
      </c>
      <c r="L4312" s="12">
        <v>0.69097222222222221</v>
      </c>
      <c r="M4312" t="s">
        <v>33</v>
      </c>
      <c r="N4312" s="3">
        <v>189</v>
      </c>
      <c r="O4312" t="s">
        <v>24</v>
      </c>
      <c r="P4312" t="s">
        <v>56</v>
      </c>
      <c r="R4312">
        <f>tblDailySchedule[[#This Row],[Capacity Approx]]*'[1]Load Factor Sheet June Acft  '!$B$5</f>
        <v>153.04704545454547</v>
      </c>
      <c r="S4312">
        <f>tblDailySchedule[[#This Row],[Capacity Approx]]*'[1]Load Factor Sheet June Acft  '!$D$5</f>
        <v>165.71863636363636</v>
      </c>
      <c r="T4312" s="22">
        <f>tblDailySchedule[[#This Row],[STD]]</f>
        <v>0.69097222222222221</v>
      </c>
    </row>
    <row r="4313" spans="1:20" hidden="1" x14ac:dyDescent="0.35">
      <c r="A4313" s="11">
        <v>46265</v>
      </c>
      <c r="B4313" s="3">
        <v>1</v>
      </c>
      <c r="C4313" t="s">
        <v>100</v>
      </c>
      <c r="D4313" t="s">
        <v>18</v>
      </c>
      <c r="E4313" s="3">
        <v>18</v>
      </c>
      <c r="F4313" t="s">
        <v>19</v>
      </c>
      <c r="G4313" t="s">
        <v>71</v>
      </c>
      <c r="H4313" t="s">
        <v>21</v>
      </c>
      <c r="I4313" s="12">
        <v>0.67013888888888884</v>
      </c>
      <c r="J4313" t="s">
        <v>72</v>
      </c>
      <c r="K4313" t="s">
        <v>21</v>
      </c>
      <c r="L4313" s="12">
        <v>0.69791666666666663</v>
      </c>
      <c r="M4313" t="s">
        <v>63</v>
      </c>
      <c r="N4313" s="3">
        <v>232</v>
      </c>
      <c r="O4313" t="s">
        <v>24</v>
      </c>
      <c r="P4313" t="s">
        <v>56</v>
      </c>
      <c r="R4313">
        <f>tblDailySchedule[[#This Row],[Capacity Approx]]*'[1]Load Factor Sheet June Acft  '!$B$5</f>
        <v>187.86727272727273</v>
      </c>
      <c r="S4313">
        <f>tblDailySchedule[[#This Row],[Capacity Approx]]*'[1]Load Factor Sheet June Acft  '!$D$5</f>
        <v>203.4218181818182</v>
      </c>
      <c r="T4313" s="22">
        <f>tblDailySchedule[[#This Row],[STD]]</f>
        <v>0.69791666666666663</v>
      </c>
    </row>
    <row r="4314" spans="1:20" hidden="1" x14ac:dyDescent="0.35">
      <c r="A4314" s="11">
        <v>46265</v>
      </c>
      <c r="B4314" s="3">
        <v>1</v>
      </c>
      <c r="C4314" t="s">
        <v>100</v>
      </c>
      <c r="D4314" t="s">
        <v>18</v>
      </c>
      <c r="E4314" s="3">
        <v>19</v>
      </c>
      <c r="F4314" t="s">
        <v>19</v>
      </c>
      <c r="G4314" t="s">
        <v>73</v>
      </c>
      <c r="H4314" t="s">
        <v>27</v>
      </c>
      <c r="I4314" s="12">
        <v>0.74652777777777779</v>
      </c>
      <c r="J4314" t="s">
        <v>74</v>
      </c>
      <c r="K4314" t="s">
        <v>27</v>
      </c>
      <c r="L4314" s="12">
        <v>0.77430555555555558</v>
      </c>
      <c r="M4314" t="s">
        <v>63</v>
      </c>
      <c r="N4314" s="3">
        <v>232</v>
      </c>
      <c r="O4314" t="s">
        <v>24</v>
      </c>
      <c r="P4314" t="s">
        <v>56</v>
      </c>
      <c r="R4314">
        <f>tblDailySchedule[[#This Row],[Capacity Approx]]*'[1]Load Factor Sheet June Acft  '!$B$5</f>
        <v>187.86727272727273</v>
      </c>
      <c r="S4314">
        <f>tblDailySchedule[[#This Row],[Capacity Approx]]*'[1]Load Factor Sheet June Acft  '!$D$5</f>
        <v>203.4218181818182</v>
      </c>
      <c r="T4314" s="22">
        <f>tblDailySchedule[[#This Row],[STD]]</f>
        <v>0.77430555555555558</v>
      </c>
    </row>
    <row r="4315" spans="1:20" hidden="1" x14ac:dyDescent="0.35">
      <c r="A4315" s="11">
        <v>46265</v>
      </c>
      <c r="B4315" s="3">
        <v>1</v>
      </c>
      <c r="C4315" t="s">
        <v>100</v>
      </c>
      <c r="D4315" t="s">
        <v>18</v>
      </c>
      <c r="E4315" s="3">
        <v>20</v>
      </c>
      <c r="F4315" t="s">
        <v>34</v>
      </c>
      <c r="G4315" t="s">
        <v>75</v>
      </c>
      <c r="H4315" t="s">
        <v>76</v>
      </c>
      <c r="I4315" s="12">
        <v>0.76388888888888884</v>
      </c>
      <c r="J4315" t="s">
        <v>77</v>
      </c>
      <c r="K4315" t="s">
        <v>78</v>
      </c>
      <c r="L4315" s="12">
        <v>0.78472222222222221</v>
      </c>
      <c r="M4315" t="s">
        <v>51</v>
      </c>
      <c r="N4315" s="3">
        <v>78</v>
      </c>
      <c r="O4315" t="s">
        <v>24</v>
      </c>
      <c r="P4315" t="s">
        <v>79</v>
      </c>
      <c r="Q4315" s="16" t="s">
        <v>80</v>
      </c>
      <c r="R4315">
        <f>tblDailySchedule[[#This Row],[Capacity Approx]]*'[1]Load Factor Sheet June Acft  '!$B$5</f>
        <v>63.162272727272729</v>
      </c>
      <c r="S4315">
        <f>tblDailySchedule[[#This Row],[Capacity Approx]]*'[1]Load Factor Sheet June Acft  '!$D$5</f>
        <v>68.391818181818181</v>
      </c>
      <c r="T4315" s="22">
        <f>tblDailySchedule[[#This Row],[STD]]</f>
        <v>0.78472222222222221</v>
      </c>
    </row>
    <row r="4316" spans="1:20" hidden="1" x14ac:dyDescent="0.35">
      <c r="A4316" s="11">
        <v>46265</v>
      </c>
      <c r="B4316" s="3">
        <v>1</v>
      </c>
      <c r="C4316" t="s">
        <v>100</v>
      </c>
      <c r="D4316" t="s">
        <v>18</v>
      </c>
      <c r="E4316" s="3">
        <v>21</v>
      </c>
      <c r="F4316" t="s">
        <v>19</v>
      </c>
      <c r="G4316" t="s">
        <v>81</v>
      </c>
      <c r="H4316" t="s">
        <v>61</v>
      </c>
      <c r="I4316" s="12">
        <v>0.77083333333333337</v>
      </c>
      <c r="J4316" t="s">
        <v>82</v>
      </c>
      <c r="K4316" t="s">
        <v>49</v>
      </c>
      <c r="L4316" s="12">
        <v>0.79166666666666663</v>
      </c>
      <c r="M4316" t="s">
        <v>33</v>
      </c>
      <c r="N4316" s="3">
        <v>189</v>
      </c>
      <c r="O4316" t="s">
        <v>24</v>
      </c>
      <c r="P4316" t="s">
        <v>79</v>
      </c>
      <c r="R4316">
        <f>tblDailySchedule[[#This Row],[Capacity Approx]]*'[1]Load Factor Sheet June Acft  '!$B$5</f>
        <v>153.04704545454547</v>
      </c>
      <c r="S4316">
        <f>tblDailySchedule[[#This Row],[Capacity Approx]]*'[1]Load Factor Sheet June Acft  '!$D$5</f>
        <v>165.71863636363636</v>
      </c>
      <c r="T4316" s="22">
        <f>tblDailySchedule[[#This Row],[STD]]</f>
        <v>0.79166666666666663</v>
      </c>
    </row>
    <row r="4317" spans="1:20" hidden="1" x14ac:dyDescent="0.35">
      <c r="A4317" s="11">
        <v>46265</v>
      </c>
      <c r="B4317" s="3">
        <v>1</v>
      </c>
      <c r="C4317" t="s">
        <v>100</v>
      </c>
      <c r="D4317" t="s">
        <v>18</v>
      </c>
      <c r="E4317" s="3">
        <v>22</v>
      </c>
      <c r="F4317" t="s">
        <v>19</v>
      </c>
      <c r="G4317" t="s">
        <v>83</v>
      </c>
      <c r="H4317" t="s">
        <v>31</v>
      </c>
      <c r="I4317" s="12">
        <v>0.77777777777777779</v>
      </c>
      <c r="J4317" t="s">
        <v>84</v>
      </c>
      <c r="K4317" t="s">
        <v>31</v>
      </c>
      <c r="L4317" s="12">
        <v>0.80555555555555558</v>
      </c>
      <c r="M4317" t="s">
        <v>63</v>
      </c>
      <c r="N4317" s="3">
        <v>232</v>
      </c>
      <c r="O4317" t="s">
        <v>24</v>
      </c>
      <c r="P4317" t="s">
        <v>79</v>
      </c>
      <c r="R4317">
        <f>tblDailySchedule[[#This Row],[Capacity Approx]]*'[1]Load Factor Sheet June Acft  '!$B$5</f>
        <v>187.86727272727273</v>
      </c>
      <c r="S4317">
        <f>tblDailySchedule[[#This Row],[Capacity Approx]]*'[1]Load Factor Sheet June Acft  '!$D$5</f>
        <v>203.4218181818182</v>
      </c>
      <c r="T4317" s="22">
        <f>tblDailySchedule[[#This Row],[STD]]</f>
        <v>0.80555555555555558</v>
      </c>
    </row>
    <row r="4318" spans="1:20" hidden="1" x14ac:dyDescent="0.35">
      <c r="A4318" s="11">
        <v>46265</v>
      </c>
      <c r="B4318" s="3">
        <v>1</v>
      </c>
      <c r="C4318" t="s">
        <v>100</v>
      </c>
      <c r="D4318" t="s">
        <v>18</v>
      </c>
      <c r="E4318" s="3">
        <v>23</v>
      </c>
      <c r="F4318" t="s">
        <v>19</v>
      </c>
      <c r="G4318" t="s">
        <v>85</v>
      </c>
      <c r="H4318" t="s">
        <v>86</v>
      </c>
      <c r="I4318" s="12">
        <v>0.79861111111111116</v>
      </c>
      <c r="J4318" t="s">
        <v>87</v>
      </c>
      <c r="K4318" t="s">
        <v>86</v>
      </c>
      <c r="L4318" s="12">
        <v>0.82638888888888884</v>
      </c>
      <c r="M4318" t="s">
        <v>63</v>
      </c>
      <c r="N4318" s="3">
        <v>232</v>
      </c>
      <c r="O4318" t="s">
        <v>24</v>
      </c>
      <c r="P4318" t="s">
        <v>79</v>
      </c>
      <c r="R4318">
        <f>tblDailySchedule[[#This Row],[Capacity Approx]]*'[1]Load Factor Sheet June Acft  '!$B$5</f>
        <v>187.86727272727273</v>
      </c>
      <c r="S4318">
        <f>tblDailySchedule[[#This Row],[Capacity Approx]]*'[1]Load Factor Sheet June Acft  '!$D$5</f>
        <v>203.4218181818182</v>
      </c>
      <c r="T4318" s="22">
        <f>tblDailySchedule[[#This Row],[STD]]</f>
        <v>0.82638888888888884</v>
      </c>
    </row>
    <row r="4319" spans="1:20" hidden="1" x14ac:dyDescent="0.35">
      <c r="A4319" s="11">
        <v>46265</v>
      </c>
      <c r="B4319" s="3">
        <v>1</v>
      </c>
      <c r="C4319" t="s">
        <v>100</v>
      </c>
      <c r="D4319" t="s">
        <v>18</v>
      </c>
      <c r="E4319" s="3">
        <v>24</v>
      </c>
      <c r="F4319" t="s">
        <v>19</v>
      </c>
      <c r="G4319" t="s">
        <v>88</v>
      </c>
      <c r="H4319" t="s">
        <v>89</v>
      </c>
      <c r="I4319" s="12">
        <v>0.83333333333333337</v>
      </c>
      <c r="J4319" t="s">
        <v>90</v>
      </c>
      <c r="K4319" t="s">
        <v>31</v>
      </c>
      <c r="L4319" s="12">
        <v>0.86111111111111116</v>
      </c>
      <c r="M4319" t="s">
        <v>63</v>
      </c>
      <c r="N4319" s="3">
        <v>232</v>
      </c>
      <c r="O4319" t="s">
        <v>24</v>
      </c>
      <c r="P4319" t="s">
        <v>79</v>
      </c>
      <c r="R4319">
        <f>tblDailySchedule[[#This Row],[Capacity Approx]]*'[1]Load Factor Sheet June Acft  '!$B$5</f>
        <v>187.86727272727273</v>
      </c>
      <c r="S4319">
        <f>tblDailySchedule[[#This Row],[Capacity Approx]]*'[1]Load Factor Sheet June Acft  '!$D$5</f>
        <v>203.4218181818182</v>
      </c>
      <c r="T4319" s="22">
        <f>tblDailySchedule[[#This Row],[STD]]</f>
        <v>0.86111111111111116</v>
      </c>
    </row>
    <row r="4320" spans="1:20" hidden="1" x14ac:dyDescent="0.35">
      <c r="A4320" s="11">
        <v>46265</v>
      </c>
      <c r="B4320" s="3">
        <v>1</v>
      </c>
      <c r="C4320" t="s">
        <v>100</v>
      </c>
      <c r="D4320" t="s">
        <v>18</v>
      </c>
      <c r="E4320" s="3">
        <v>25</v>
      </c>
      <c r="F4320" t="s">
        <v>19</v>
      </c>
      <c r="G4320" t="s">
        <v>91</v>
      </c>
      <c r="H4320" t="s">
        <v>61</v>
      </c>
      <c r="I4320" s="12">
        <v>0.85416666666666663</v>
      </c>
      <c r="J4320" t="s">
        <v>92</v>
      </c>
      <c r="K4320" t="s">
        <v>61</v>
      </c>
      <c r="L4320" s="12">
        <v>0.88194444444444442</v>
      </c>
      <c r="M4320" t="s">
        <v>63</v>
      </c>
      <c r="N4320" s="3">
        <v>232</v>
      </c>
      <c r="O4320" t="s">
        <v>24</v>
      </c>
      <c r="P4320" t="s">
        <v>79</v>
      </c>
      <c r="R4320">
        <f>tblDailySchedule[[#This Row],[Capacity Approx]]*'[1]Load Factor Sheet June Acft  '!$B$5</f>
        <v>187.86727272727273</v>
      </c>
      <c r="S4320">
        <f>tblDailySchedule[[#This Row],[Capacity Approx]]*'[1]Load Factor Sheet June Acft  '!$D$5</f>
        <v>203.4218181818182</v>
      </c>
      <c r="T4320" s="22">
        <f>tblDailySchedule[[#This Row],[STD]]</f>
        <v>0.88194444444444442</v>
      </c>
    </row>
    <row r="4321" spans="1:20" hidden="1" x14ac:dyDescent="0.35">
      <c r="A4321" s="11">
        <v>46265</v>
      </c>
      <c r="B4321" s="3">
        <v>1</v>
      </c>
      <c r="C4321" t="s">
        <v>100</v>
      </c>
      <c r="D4321" t="s">
        <v>18</v>
      </c>
      <c r="E4321" s="3">
        <v>26</v>
      </c>
      <c r="F4321" t="s">
        <v>19</v>
      </c>
      <c r="G4321" t="s">
        <v>93</v>
      </c>
      <c r="H4321" t="s">
        <v>31</v>
      </c>
      <c r="I4321" s="12">
        <v>0.86111111111111116</v>
      </c>
      <c r="J4321" t="s">
        <v>94</v>
      </c>
      <c r="K4321" t="s">
        <v>31</v>
      </c>
      <c r="L4321" s="12">
        <v>0.88888888888888884</v>
      </c>
      <c r="M4321" t="s">
        <v>23</v>
      </c>
      <c r="N4321" s="3">
        <v>186</v>
      </c>
      <c r="O4321" t="s">
        <v>24</v>
      </c>
      <c r="P4321" t="s">
        <v>79</v>
      </c>
      <c r="R4321">
        <f>tblDailySchedule[[#This Row],[Capacity Approx]]*'[1]Load Factor Sheet June Acft  '!$B$5</f>
        <v>150.61772727272728</v>
      </c>
      <c r="S4321">
        <f>tblDailySchedule[[#This Row],[Capacity Approx]]*'[1]Load Factor Sheet June Acft  '!$D$5</f>
        <v>163.08818181818182</v>
      </c>
      <c r="T4321" s="22">
        <f>tblDailySchedule[[#This Row],[STD]]</f>
        <v>0.88888888888888884</v>
      </c>
    </row>
    <row r="4322" spans="1:20" hidden="1" x14ac:dyDescent="0.35">
      <c r="A4322" s="11">
        <v>46265</v>
      </c>
      <c r="B4322" s="3">
        <v>1</v>
      </c>
      <c r="C4322" t="s">
        <v>100</v>
      </c>
      <c r="D4322" t="s">
        <v>18</v>
      </c>
      <c r="E4322" s="3">
        <v>27</v>
      </c>
      <c r="F4322" t="s">
        <v>19</v>
      </c>
      <c r="G4322" t="s">
        <v>95</v>
      </c>
      <c r="H4322" t="s">
        <v>21</v>
      </c>
      <c r="I4322" s="12">
        <v>0.86805555555555558</v>
      </c>
      <c r="J4322" t="s">
        <v>96</v>
      </c>
      <c r="K4322" t="s">
        <v>21</v>
      </c>
      <c r="L4322" s="12">
        <v>0.89583333333333337</v>
      </c>
      <c r="M4322" t="s">
        <v>29</v>
      </c>
      <c r="N4322" s="3">
        <v>186</v>
      </c>
      <c r="O4322" t="s">
        <v>24</v>
      </c>
      <c r="P4322" t="s">
        <v>79</v>
      </c>
      <c r="R4322">
        <f>tblDailySchedule[[#This Row],[Capacity Approx]]*'[1]Load Factor Sheet June Acft  '!$B$5</f>
        <v>150.61772727272728</v>
      </c>
      <c r="S4322">
        <f>tblDailySchedule[[#This Row],[Capacity Approx]]*'[1]Load Factor Sheet June Acft  '!$D$5</f>
        <v>163.08818181818182</v>
      </c>
      <c r="T4322" s="22">
        <f>tblDailySchedule[[#This Row],[STD]]</f>
        <v>0.89583333333333337</v>
      </c>
    </row>
    <row r="4323" spans="1:20" hidden="1" x14ac:dyDescent="0.35">
      <c r="A4323" s="11">
        <v>46265</v>
      </c>
      <c r="B4323" s="3">
        <v>1</v>
      </c>
      <c r="C4323" t="s">
        <v>100</v>
      </c>
      <c r="D4323" t="s">
        <v>18</v>
      </c>
      <c r="E4323" s="3">
        <v>28</v>
      </c>
      <c r="F4323" t="s">
        <v>19</v>
      </c>
      <c r="G4323" t="s">
        <v>97</v>
      </c>
      <c r="H4323" t="s">
        <v>49</v>
      </c>
      <c r="I4323" s="12">
        <v>0.90277777777777779</v>
      </c>
      <c r="J4323" t="s">
        <v>97</v>
      </c>
      <c r="K4323" t="s">
        <v>61</v>
      </c>
      <c r="L4323" s="12">
        <v>0.92361111111111116</v>
      </c>
      <c r="M4323" t="s">
        <v>33</v>
      </c>
      <c r="N4323" s="3">
        <v>189</v>
      </c>
      <c r="O4323" t="s">
        <v>24</v>
      </c>
      <c r="P4323" t="s">
        <v>79</v>
      </c>
      <c r="R4323">
        <f>tblDailySchedule[[#This Row],[Capacity Approx]]*'[1]Load Factor Sheet June Acft  '!$B$5</f>
        <v>153.04704545454547</v>
      </c>
      <c r="S4323">
        <f>tblDailySchedule[[#This Row],[Capacity Approx]]*'[1]Load Factor Sheet June Acft  '!$D$5</f>
        <v>165.71863636363636</v>
      </c>
      <c r="T4323" s="22">
        <f>tblDailySchedule[[#This Row],[STD]]</f>
        <v>0.92361111111111116</v>
      </c>
    </row>
    <row r="4324" spans="1:20" hidden="1" x14ac:dyDescent="0.35">
      <c r="A4324" s="11">
        <v>46265</v>
      </c>
      <c r="B4324" s="3">
        <v>1</v>
      </c>
      <c r="C4324" t="s">
        <v>100</v>
      </c>
      <c r="D4324" t="s">
        <v>18</v>
      </c>
      <c r="E4324" s="3">
        <v>29</v>
      </c>
      <c r="F4324" t="s">
        <v>19</v>
      </c>
      <c r="G4324" t="s">
        <v>98</v>
      </c>
      <c r="H4324" t="s">
        <v>21</v>
      </c>
      <c r="I4324" s="12">
        <v>0.92013888888888884</v>
      </c>
      <c r="J4324" t="s">
        <v>99</v>
      </c>
      <c r="K4324" t="s">
        <v>21</v>
      </c>
      <c r="L4324" s="12">
        <v>0.94791666666666663</v>
      </c>
      <c r="M4324" t="s">
        <v>63</v>
      </c>
      <c r="N4324" s="3">
        <v>232</v>
      </c>
      <c r="O4324" t="s">
        <v>24</v>
      </c>
      <c r="P4324" t="s">
        <v>79</v>
      </c>
      <c r="R4324">
        <f>tblDailySchedule[[#This Row],[Capacity Approx]]*'[1]Load Factor Sheet June Acft  '!$B$5</f>
        <v>187.86727272727273</v>
      </c>
      <c r="S4324">
        <f>tblDailySchedule[[#This Row],[Capacity Approx]]*'[1]Load Factor Sheet June Acft  '!$D$5</f>
        <v>203.4218181818182</v>
      </c>
      <c r="T4324" s="22">
        <f>tblDailySchedule[[#This Row],[STD]]</f>
        <v>0.94791666666666663</v>
      </c>
    </row>
    <row r="4325" spans="1:20" hidden="1" x14ac:dyDescent="0.35">
      <c r="A4325" s="13">
        <v>46265</v>
      </c>
      <c r="B4325" s="7">
        <v>1</v>
      </c>
      <c r="C4325" s="14" t="s">
        <v>100</v>
      </c>
      <c r="D4325" s="14" t="s">
        <v>18</v>
      </c>
      <c r="E4325" s="7">
        <v>30</v>
      </c>
      <c r="F4325" s="14" t="s">
        <v>104</v>
      </c>
      <c r="G4325" s="14" t="s">
        <v>105</v>
      </c>
      <c r="H4325" s="14" t="s">
        <v>106</v>
      </c>
      <c r="I4325" s="15">
        <v>0.92708333333333337</v>
      </c>
      <c r="J4325" s="14" t="s">
        <v>107</v>
      </c>
      <c r="K4325" s="14" t="s">
        <v>106</v>
      </c>
      <c r="L4325" s="15">
        <v>0.95833333333333337</v>
      </c>
      <c r="M4325" s="14" t="s">
        <v>38</v>
      </c>
      <c r="N4325" s="7">
        <v>186</v>
      </c>
      <c r="O4325" s="14" t="s">
        <v>39</v>
      </c>
      <c r="P4325" s="14" t="s">
        <v>79</v>
      </c>
      <c r="Q4325" s="14" t="s">
        <v>39</v>
      </c>
      <c r="R4325">
        <f>tblDailySchedule[[#This Row],[Capacity Approx]]*'[1]Load Factor Sheet June Acft  '!$B$5</f>
        <v>150.61772727272728</v>
      </c>
      <c r="S4325">
        <f>tblDailySchedule[[#This Row],[Capacity Approx]]*'[1]Load Factor Sheet June Acft  '!$D$5</f>
        <v>163.08818181818182</v>
      </c>
      <c r="T4325" s="22">
        <f>tblDailySchedule[[#This Row],[STD]]</f>
        <v>0.95833333333333337</v>
      </c>
    </row>
    <row r="4326" spans="1:20" hidden="1" x14ac:dyDescent="0.35">
      <c r="A4326" s="11">
        <v>46266</v>
      </c>
      <c r="B4326" s="3">
        <v>2</v>
      </c>
      <c r="C4326" t="s">
        <v>108</v>
      </c>
      <c r="D4326" t="s">
        <v>18</v>
      </c>
      <c r="E4326" s="3">
        <v>1</v>
      </c>
      <c r="F4326" t="s">
        <v>101</v>
      </c>
      <c r="G4326" t="s">
        <v>102</v>
      </c>
      <c r="H4326" t="s">
        <v>61</v>
      </c>
      <c r="I4326" s="12">
        <v>0.3125</v>
      </c>
      <c r="J4326" t="s">
        <v>103</v>
      </c>
      <c r="K4326" t="s">
        <v>61</v>
      </c>
      <c r="L4326" s="12">
        <v>0.33333333333333331</v>
      </c>
      <c r="M4326" t="s">
        <v>33</v>
      </c>
      <c r="N4326" s="3">
        <v>189</v>
      </c>
      <c r="O4326" t="s">
        <v>24</v>
      </c>
      <c r="P4326" t="s">
        <v>25</v>
      </c>
      <c r="R4326">
        <f>tblDailySchedule[[#This Row],[Capacity Approx]]*'[1]Load Factor Sheet June Acft  '!$B$5</f>
        <v>153.04704545454547</v>
      </c>
      <c r="S4326">
        <f>tblDailySchedule[[#This Row],[Capacity Approx]]*'[1]Load Factor Sheet June Acft  '!$D$5</f>
        <v>165.71863636363636</v>
      </c>
      <c r="T4326" s="22">
        <f>tblDailySchedule[[#This Row],[STD]]</f>
        <v>0.33333333333333331</v>
      </c>
    </row>
    <row r="4327" spans="1:20" hidden="1" x14ac:dyDescent="0.35">
      <c r="A4327" s="11">
        <v>46266</v>
      </c>
      <c r="B4327" s="3">
        <v>2</v>
      </c>
      <c r="C4327" t="s">
        <v>108</v>
      </c>
      <c r="D4327" t="s">
        <v>18</v>
      </c>
      <c r="E4327" s="3">
        <v>2</v>
      </c>
      <c r="F4327" t="s">
        <v>19</v>
      </c>
      <c r="G4327" t="s">
        <v>20</v>
      </c>
      <c r="H4327" t="s">
        <v>21</v>
      </c>
      <c r="I4327" s="12">
        <v>0.31944444444444442</v>
      </c>
      <c r="J4327" t="s">
        <v>22</v>
      </c>
      <c r="K4327" t="s">
        <v>21</v>
      </c>
      <c r="L4327" s="12">
        <v>0.34722222222222221</v>
      </c>
      <c r="M4327" t="s">
        <v>23</v>
      </c>
      <c r="N4327" s="3">
        <v>186</v>
      </c>
      <c r="O4327" t="s">
        <v>24</v>
      </c>
      <c r="P4327" t="s">
        <v>25</v>
      </c>
      <c r="R4327">
        <f>tblDailySchedule[[#This Row],[Capacity Approx]]*'[1]Load Factor Sheet June Acft  '!$B$5</f>
        <v>150.61772727272728</v>
      </c>
      <c r="S4327">
        <f>tblDailySchedule[[#This Row],[Capacity Approx]]*'[1]Load Factor Sheet June Acft  '!$D$5</f>
        <v>163.08818181818182</v>
      </c>
      <c r="T4327" s="22">
        <f>tblDailySchedule[[#This Row],[STD]]</f>
        <v>0.34722222222222221</v>
      </c>
    </row>
    <row r="4328" spans="1:20" hidden="1" x14ac:dyDescent="0.35">
      <c r="A4328" s="11">
        <v>46266</v>
      </c>
      <c r="B4328" s="3">
        <v>2</v>
      </c>
      <c r="C4328" t="s">
        <v>108</v>
      </c>
      <c r="D4328" t="s">
        <v>18</v>
      </c>
      <c r="E4328" s="3">
        <v>3</v>
      </c>
      <c r="F4328" t="s">
        <v>19</v>
      </c>
      <c r="G4328" t="s">
        <v>26</v>
      </c>
      <c r="H4328" t="s">
        <v>27</v>
      </c>
      <c r="I4328" s="12">
        <v>0.3263888888888889</v>
      </c>
      <c r="J4328" t="s">
        <v>28</v>
      </c>
      <c r="K4328" t="s">
        <v>27</v>
      </c>
      <c r="L4328" s="12">
        <v>0.35416666666666669</v>
      </c>
      <c r="M4328" t="s">
        <v>29</v>
      </c>
      <c r="N4328" s="3">
        <v>186</v>
      </c>
      <c r="O4328" t="s">
        <v>24</v>
      </c>
      <c r="P4328" t="s">
        <v>25</v>
      </c>
      <c r="R4328">
        <f>tblDailySchedule[[#This Row],[Capacity Approx]]*'[1]Load Factor Sheet June Acft  '!$B$5</f>
        <v>150.61772727272728</v>
      </c>
      <c r="S4328">
        <f>tblDailySchedule[[#This Row],[Capacity Approx]]*'[1]Load Factor Sheet June Acft  '!$D$5</f>
        <v>163.08818181818182</v>
      </c>
      <c r="T4328" s="22">
        <f>tblDailySchedule[[#This Row],[STD]]</f>
        <v>0.35416666666666669</v>
      </c>
    </row>
    <row r="4329" spans="1:20" hidden="1" x14ac:dyDescent="0.35">
      <c r="A4329" s="11">
        <v>46266</v>
      </c>
      <c r="B4329" s="3">
        <v>2</v>
      </c>
      <c r="C4329" t="s">
        <v>108</v>
      </c>
      <c r="D4329" t="s">
        <v>18</v>
      </c>
      <c r="E4329" s="3">
        <v>4</v>
      </c>
      <c r="F4329" t="s">
        <v>19</v>
      </c>
      <c r="G4329" t="s">
        <v>30</v>
      </c>
      <c r="H4329" t="s">
        <v>31</v>
      </c>
      <c r="I4329" s="12">
        <v>0.34722222222222221</v>
      </c>
      <c r="J4329" t="s">
        <v>32</v>
      </c>
      <c r="K4329" t="s">
        <v>31</v>
      </c>
      <c r="L4329" s="12">
        <v>0.36805555555555558</v>
      </c>
      <c r="M4329" t="s">
        <v>33</v>
      </c>
      <c r="N4329" s="3">
        <v>189</v>
      </c>
      <c r="O4329" t="s">
        <v>24</v>
      </c>
      <c r="P4329" t="s">
        <v>25</v>
      </c>
      <c r="R4329">
        <f>tblDailySchedule[[#This Row],[Capacity Approx]]*'[1]Load Factor Sheet June Acft  '!$B$5</f>
        <v>153.04704545454547</v>
      </c>
      <c r="S4329">
        <f>tblDailySchedule[[#This Row],[Capacity Approx]]*'[1]Load Factor Sheet June Acft  '!$D$5</f>
        <v>165.71863636363636</v>
      </c>
      <c r="T4329" s="22">
        <f>tblDailySchedule[[#This Row],[STD]]</f>
        <v>0.36805555555555558</v>
      </c>
    </row>
    <row r="4330" spans="1:20" hidden="1" x14ac:dyDescent="0.35">
      <c r="A4330" s="11">
        <v>46266</v>
      </c>
      <c r="B4330" s="3">
        <v>2</v>
      </c>
      <c r="C4330" t="s">
        <v>108</v>
      </c>
      <c r="D4330" t="s">
        <v>18</v>
      </c>
      <c r="E4330" s="3">
        <v>5</v>
      </c>
      <c r="F4330" t="s">
        <v>19</v>
      </c>
      <c r="G4330" t="s">
        <v>40</v>
      </c>
      <c r="H4330" t="s">
        <v>31</v>
      </c>
      <c r="I4330" s="12">
        <v>0.35069444444444442</v>
      </c>
      <c r="J4330" t="s">
        <v>41</v>
      </c>
      <c r="K4330" t="s">
        <v>31</v>
      </c>
      <c r="L4330" s="12">
        <v>0.37152777777777779</v>
      </c>
      <c r="M4330" t="s">
        <v>23</v>
      </c>
      <c r="N4330" s="3">
        <v>186</v>
      </c>
      <c r="O4330" t="s">
        <v>24</v>
      </c>
      <c r="P4330" t="s">
        <v>25</v>
      </c>
      <c r="R4330">
        <f>tblDailySchedule[[#This Row],[Capacity Approx]]*'[1]Load Factor Sheet June Acft  '!$B$5</f>
        <v>150.61772727272728</v>
      </c>
      <c r="S4330">
        <f>tblDailySchedule[[#This Row],[Capacity Approx]]*'[1]Load Factor Sheet June Acft  '!$D$5</f>
        <v>163.08818181818182</v>
      </c>
      <c r="T4330" s="22">
        <f>tblDailySchedule[[#This Row],[STD]]</f>
        <v>0.37152777777777779</v>
      </c>
    </row>
    <row r="4331" spans="1:20" hidden="1" x14ac:dyDescent="0.35">
      <c r="A4331" s="11">
        <v>46266</v>
      </c>
      <c r="B4331" s="3">
        <v>2</v>
      </c>
      <c r="C4331" t="s">
        <v>108</v>
      </c>
      <c r="D4331" t="s">
        <v>18</v>
      </c>
      <c r="E4331" s="3">
        <v>7</v>
      </c>
      <c r="F4331" t="s">
        <v>19</v>
      </c>
      <c r="G4331" t="s">
        <v>42</v>
      </c>
      <c r="H4331" t="s">
        <v>43</v>
      </c>
      <c r="I4331" s="12">
        <v>0.3923611111111111</v>
      </c>
      <c r="J4331" t="s">
        <v>44</v>
      </c>
      <c r="K4331" t="s">
        <v>43</v>
      </c>
      <c r="L4331" s="12">
        <v>0.40277777777777779</v>
      </c>
      <c r="M4331" t="s">
        <v>45</v>
      </c>
      <c r="N4331" s="3">
        <v>9</v>
      </c>
      <c r="O4331" t="s">
        <v>24</v>
      </c>
      <c r="P4331" t="s">
        <v>25</v>
      </c>
      <c r="R4331">
        <f>tblDailySchedule[[#This Row],[Capacity Approx]]*'[1]Load Factor Sheet June Acft  '!$B$5</f>
        <v>7.2879545454545456</v>
      </c>
      <c r="S4331">
        <f>tblDailySchedule[[#This Row],[Capacity Approx]]*'[1]Load Factor Sheet June Acft  '!$D$5</f>
        <v>7.8913636363636366</v>
      </c>
      <c r="T4331" s="22">
        <f>tblDailySchedule[[#This Row],[STD]]</f>
        <v>0.40277777777777779</v>
      </c>
    </row>
    <row r="4332" spans="1:20" hidden="1" x14ac:dyDescent="0.35">
      <c r="A4332" s="11">
        <v>46266</v>
      </c>
      <c r="B4332" s="3">
        <v>2</v>
      </c>
      <c r="C4332" t="s">
        <v>108</v>
      </c>
      <c r="D4332" t="s">
        <v>18</v>
      </c>
      <c r="E4332" s="3">
        <v>8</v>
      </c>
      <c r="F4332" t="s">
        <v>19</v>
      </c>
      <c r="G4332" t="s">
        <v>46</v>
      </c>
      <c r="H4332" t="s">
        <v>31</v>
      </c>
      <c r="I4332" s="12">
        <v>0.4201388888888889</v>
      </c>
      <c r="J4332" t="s">
        <v>47</v>
      </c>
      <c r="K4332" t="s">
        <v>31</v>
      </c>
      <c r="L4332" s="12">
        <v>0.44444444444444442</v>
      </c>
      <c r="M4332" t="s">
        <v>29</v>
      </c>
      <c r="N4332" s="3">
        <v>186</v>
      </c>
      <c r="O4332" t="s">
        <v>24</v>
      </c>
      <c r="P4332" t="s">
        <v>25</v>
      </c>
      <c r="R4332">
        <f>tblDailySchedule[[#This Row],[Capacity Approx]]*'[1]Load Factor Sheet June Acft  '!$B$5</f>
        <v>150.61772727272728</v>
      </c>
      <c r="S4332">
        <f>tblDailySchedule[[#This Row],[Capacity Approx]]*'[1]Load Factor Sheet June Acft  '!$D$5</f>
        <v>163.08818181818182</v>
      </c>
      <c r="T4332" s="22">
        <f>tblDailySchedule[[#This Row],[STD]]</f>
        <v>0.44444444444444442</v>
      </c>
    </row>
    <row r="4333" spans="1:20" hidden="1" x14ac:dyDescent="0.35">
      <c r="A4333" s="11">
        <v>46266</v>
      </c>
      <c r="B4333" s="3">
        <v>2</v>
      </c>
      <c r="C4333" t="s">
        <v>108</v>
      </c>
      <c r="D4333" t="s">
        <v>18</v>
      </c>
      <c r="E4333" s="3">
        <v>9</v>
      </c>
      <c r="F4333" t="s">
        <v>19</v>
      </c>
      <c r="G4333" t="s">
        <v>48</v>
      </c>
      <c r="H4333" t="s">
        <v>49</v>
      </c>
      <c r="I4333" s="12">
        <v>0.4375</v>
      </c>
      <c r="J4333" t="s">
        <v>50</v>
      </c>
      <c r="K4333" t="s">
        <v>49</v>
      </c>
      <c r="L4333" s="12">
        <v>0.45833333333333331</v>
      </c>
      <c r="M4333" t="s">
        <v>51</v>
      </c>
      <c r="N4333" s="3">
        <v>78</v>
      </c>
      <c r="O4333" t="s">
        <v>24</v>
      </c>
      <c r="P4333" t="s">
        <v>25</v>
      </c>
      <c r="R4333">
        <f>tblDailySchedule[[#This Row],[Capacity Approx]]*'[1]Load Factor Sheet June Acft  '!$B$5</f>
        <v>63.162272727272729</v>
      </c>
      <c r="S4333">
        <f>tblDailySchedule[[#This Row],[Capacity Approx]]*'[1]Load Factor Sheet June Acft  '!$D$5</f>
        <v>68.391818181818181</v>
      </c>
      <c r="T4333" s="22">
        <f>tblDailySchedule[[#This Row],[STD]]</f>
        <v>0.45833333333333331</v>
      </c>
    </row>
    <row r="4334" spans="1:20" hidden="1" x14ac:dyDescent="0.35">
      <c r="A4334" s="11">
        <v>46266</v>
      </c>
      <c r="B4334" s="3">
        <v>2</v>
      </c>
      <c r="C4334" t="s">
        <v>108</v>
      </c>
      <c r="D4334" t="s">
        <v>18</v>
      </c>
      <c r="E4334" s="3">
        <v>10</v>
      </c>
      <c r="F4334" t="s">
        <v>19</v>
      </c>
      <c r="G4334" t="s">
        <v>52</v>
      </c>
      <c r="H4334" t="s">
        <v>27</v>
      </c>
      <c r="I4334" s="12">
        <v>0.4826388888888889</v>
      </c>
      <c r="J4334" t="s">
        <v>53</v>
      </c>
      <c r="K4334" t="s">
        <v>27</v>
      </c>
      <c r="L4334" s="12">
        <v>0.51041666666666663</v>
      </c>
      <c r="M4334" t="s">
        <v>23</v>
      </c>
      <c r="N4334" s="3">
        <v>186</v>
      </c>
      <c r="O4334" t="s">
        <v>24</v>
      </c>
      <c r="P4334" t="s">
        <v>25</v>
      </c>
      <c r="R4334">
        <f>tblDailySchedule[[#This Row],[Capacity Approx]]*'[1]Load Factor Sheet June Acft  '!$B$5</f>
        <v>150.61772727272728</v>
      </c>
      <c r="S4334">
        <f>tblDailySchedule[[#This Row],[Capacity Approx]]*'[1]Load Factor Sheet June Acft  '!$D$5</f>
        <v>163.08818181818182</v>
      </c>
      <c r="T4334" s="22">
        <f>tblDailySchedule[[#This Row],[STD]]</f>
        <v>0.51041666666666663</v>
      </c>
    </row>
    <row r="4335" spans="1:20" hidden="1" x14ac:dyDescent="0.35">
      <c r="A4335" s="11">
        <v>46266</v>
      </c>
      <c r="B4335" s="3">
        <v>2</v>
      </c>
      <c r="C4335" t="s">
        <v>108</v>
      </c>
      <c r="D4335" t="s">
        <v>18</v>
      </c>
      <c r="E4335" s="3">
        <v>11</v>
      </c>
      <c r="F4335" t="s">
        <v>19</v>
      </c>
      <c r="G4335" t="s">
        <v>54</v>
      </c>
      <c r="H4335" t="s">
        <v>31</v>
      </c>
      <c r="I4335" s="12">
        <v>0.51388888888888884</v>
      </c>
      <c r="J4335" t="s">
        <v>55</v>
      </c>
      <c r="K4335" t="s">
        <v>31</v>
      </c>
      <c r="L4335" s="12">
        <v>0.54166666666666663</v>
      </c>
      <c r="M4335" t="s">
        <v>23</v>
      </c>
      <c r="N4335" s="3">
        <v>186</v>
      </c>
      <c r="O4335" t="s">
        <v>24</v>
      </c>
      <c r="P4335" t="s">
        <v>56</v>
      </c>
      <c r="R4335">
        <f>tblDailySchedule[[#This Row],[Capacity Approx]]*'[1]Load Factor Sheet June Acft  '!$B$5</f>
        <v>150.61772727272728</v>
      </c>
      <c r="S4335">
        <f>tblDailySchedule[[#This Row],[Capacity Approx]]*'[1]Load Factor Sheet June Acft  '!$D$5</f>
        <v>163.08818181818182</v>
      </c>
      <c r="T4335" s="22">
        <f>tblDailySchedule[[#This Row],[STD]]</f>
        <v>0.54166666666666663</v>
      </c>
    </row>
    <row r="4336" spans="1:20" hidden="1" x14ac:dyDescent="0.35">
      <c r="A4336" s="11">
        <v>46266</v>
      </c>
      <c r="B4336" s="3">
        <v>2</v>
      </c>
      <c r="C4336" t="s">
        <v>108</v>
      </c>
      <c r="D4336" t="s">
        <v>18</v>
      </c>
      <c r="E4336" s="3">
        <v>12</v>
      </c>
      <c r="F4336" t="s">
        <v>109</v>
      </c>
      <c r="G4336" t="s">
        <v>110</v>
      </c>
      <c r="H4336" t="s">
        <v>111</v>
      </c>
      <c r="I4336" s="12">
        <v>0.55555555555555558</v>
      </c>
      <c r="J4336" t="s">
        <v>112</v>
      </c>
      <c r="K4336" t="s">
        <v>111</v>
      </c>
      <c r="L4336" s="12">
        <v>0.56944444444444442</v>
      </c>
      <c r="M4336" t="s">
        <v>51</v>
      </c>
      <c r="N4336" s="3">
        <v>78</v>
      </c>
      <c r="O4336" t="s">
        <v>24</v>
      </c>
      <c r="P4336" t="s">
        <v>56</v>
      </c>
      <c r="R4336">
        <f>tblDailySchedule[[#This Row],[Capacity Approx]]*'[1]Load Factor Sheet June Acft  '!$B$5</f>
        <v>63.162272727272729</v>
      </c>
      <c r="S4336">
        <f>tblDailySchedule[[#This Row],[Capacity Approx]]*'[1]Load Factor Sheet June Acft  '!$D$5</f>
        <v>68.391818181818181</v>
      </c>
      <c r="T4336" s="22">
        <f>tblDailySchedule[[#This Row],[STD]]</f>
        <v>0.56944444444444442</v>
      </c>
    </row>
    <row r="4337" spans="1:20" hidden="1" x14ac:dyDescent="0.35">
      <c r="A4337" s="11">
        <v>46266</v>
      </c>
      <c r="B4337" s="3">
        <v>2</v>
      </c>
      <c r="C4337" t="s">
        <v>108</v>
      </c>
      <c r="D4337" t="s">
        <v>18</v>
      </c>
      <c r="E4337" s="3">
        <v>13</v>
      </c>
      <c r="F4337" t="s">
        <v>19</v>
      </c>
      <c r="G4337" t="s">
        <v>57</v>
      </c>
      <c r="H4337" t="s">
        <v>58</v>
      </c>
      <c r="I4337" s="12">
        <v>0.55902777777777779</v>
      </c>
      <c r="J4337" t="s">
        <v>59</v>
      </c>
      <c r="K4337" t="s">
        <v>58</v>
      </c>
      <c r="L4337" s="12">
        <v>0.57638888888888884</v>
      </c>
      <c r="M4337" t="s">
        <v>51</v>
      </c>
      <c r="N4337" s="3">
        <v>78</v>
      </c>
      <c r="O4337" t="s">
        <v>24</v>
      </c>
      <c r="P4337" t="s">
        <v>56</v>
      </c>
      <c r="R4337">
        <f>tblDailySchedule[[#This Row],[Capacity Approx]]*'[1]Load Factor Sheet June Acft  '!$B$5</f>
        <v>63.162272727272729</v>
      </c>
      <c r="S4337">
        <f>tblDailySchedule[[#This Row],[Capacity Approx]]*'[1]Load Factor Sheet June Acft  '!$D$5</f>
        <v>68.391818181818181</v>
      </c>
      <c r="T4337" s="22">
        <f>tblDailySchedule[[#This Row],[STD]]</f>
        <v>0.57638888888888884</v>
      </c>
    </row>
    <row r="4338" spans="1:20" hidden="1" x14ac:dyDescent="0.35">
      <c r="A4338" s="11">
        <v>46266</v>
      </c>
      <c r="B4338" s="3">
        <v>2</v>
      </c>
      <c r="C4338" t="s">
        <v>108</v>
      </c>
      <c r="D4338" t="s">
        <v>18</v>
      </c>
      <c r="E4338" s="3">
        <v>14</v>
      </c>
      <c r="F4338" t="s">
        <v>19</v>
      </c>
      <c r="G4338" t="s">
        <v>60</v>
      </c>
      <c r="H4338" t="s">
        <v>61</v>
      </c>
      <c r="I4338" s="12">
        <v>0.59027777777777779</v>
      </c>
      <c r="J4338" t="s">
        <v>62</v>
      </c>
      <c r="K4338" t="s">
        <v>61</v>
      </c>
      <c r="L4338" s="12">
        <v>0.62152777777777779</v>
      </c>
      <c r="M4338" t="s">
        <v>63</v>
      </c>
      <c r="N4338" s="3">
        <v>232</v>
      </c>
      <c r="O4338" t="s">
        <v>24</v>
      </c>
      <c r="P4338" t="s">
        <v>56</v>
      </c>
      <c r="R4338">
        <f>tblDailySchedule[[#This Row],[Capacity Approx]]*'[1]Load Factor Sheet June Acft  '!$B$5</f>
        <v>187.86727272727273</v>
      </c>
      <c r="S4338">
        <f>tblDailySchedule[[#This Row],[Capacity Approx]]*'[1]Load Factor Sheet June Acft  '!$D$5</f>
        <v>203.4218181818182</v>
      </c>
      <c r="T4338" s="22">
        <f>tblDailySchedule[[#This Row],[STD]]</f>
        <v>0.62152777777777779</v>
      </c>
    </row>
    <row r="4339" spans="1:20" hidden="1" x14ac:dyDescent="0.35">
      <c r="A4339" s="11">
        <v>46266</v>
      </c>
      <c r="B4339" s="3">
        <v>2</v>
      </c>
      <c r="C4339" t="s">
        <v>108</v>
      </c>
      <c r="D4339" t="s">
        <v>18</v>
      </c>
      <c r="E4339" s="3">
        <v>15</v>
      </c>
      <c r="F4339" t="s">
        <v>19</v>
      </c>
      <c r="G4339" t="s">
        <v>64</v>
      </c>
      <c r="H4339" t="s">
        <v>31</v>
      </c>
      <c r="I4339" s="12">
        <v>0.60069444444444442</v>
      </c>
      <c r="J4339" t="s">
        <v>65</v>
      </c>
      <c r="K4339" t="s">
        <v>66</v>
      </c>
      <c r="L4339" s="12">
        <v>0.62847222222222221</v>
      </c>
      <c r="M4339" t="s">
        <v>63</v>
      </c>
      <c r="N4339" s="3">
        <v>232</v>
      </c>
      <c r="O4339" t="s">
        <v>24</v>
      </c>
      <c r="P4339" t="s">
        <v>56</v>
      </c>
      <c r="R4339">
        <f>tblDailySchedule[[#This Row],[Capacity Approx]]*'[1]Load Factor Sheet June Acft  '!$B$5</f>
        <v>187.86727272727273</v>
      </c>
      <c r="S4339">
        <f>tblDailySchedule[[#This Row],[Capacity Approx]]*'[1]Load Factor Sheet June Acft  '!$D$5</f>
        <v>203.4218181818182</v>
      </c>
      <c r="T4339" s="22">
        <f>tblDailySchedule[[#This Row],[STD]]</f>
        <v>0.62847222222222221</v>
      </c>
    </row>
    <row r="4340" spans="1:20" hidden="1" x14ac:dyDescent="0.35">
      <c r="A4340" s="11">
        <v>46266</v>
      </c>
      <c r="B4340" s="3">
        <v>2</v>
      </c>
      <c r="C4340" t="s">
        <v>108</v>
      </c>
      <c r="D4340" t="s">
        <v>18</v>
      </c>
      <c r="E4340" s="3">
        <v>16</v>
      </c>
      <c r="F4340" t="s">
        <v>19</v>
      </c>
      <c r="G4340" t="s">
        <v>67</v>
      </c>
      <c r="H4340" t="s">
        <v>31</v>
      </c>
      <c r="I4340" s="12">
        <v>0.65625</v>
      </c>
      <c r="J4340" t="s">
        <v>68</v>
      </c>
      <c r="K4340" t="s">
        <v>31</v>
      </c>
      <c r="L4340" s="12">
        <v>0.68402777777777779</v>
      </c>
      <c r="M4340" t="s">
        <v>63</v>
      </c>
      <c r="N4340" s="3">
        <v>232</v>
      </c>
      <c r="O4340" t="s">
        <v>24</v>
      </c>
      <c r="P4340" t="s">
        <v>56</v>
      </c>
      <c r="R4340">
        <f>tblDailySchedule[[#This Row],[Capacity Approx]]*'[1]Load Factor Sheet June Acft  '!$B$5</f>
        <v>187.86727272727273</v>
      </c>
      <c r="S4340">
        <f>tblDailySchedule[[#This Row],[Capacity Approx]]*'[1]Load Factor Sheet June Acft  '!$D$5</f>
        <v>203.4218181818182</v>
      </c>
      <c r="T4340" s="22">
        <f>tblDailySchedule[[#This Row],[STD]]</f>
        <v>0.68402777777777779</v>
      </c>
    </row>
    <row r="4341" spans="1:20" hidden="1" x14ac:dyDescent="0.35">
      <c r="A4341" s="11">
        <v>46266</v>
      </c>
      <c r="B4341" s="3">
        <v>2</v>
      </c>
      <c r="C4341" t="s">
        <v>108</v>
      </c>
      <c r="D4341" t="s">
        <v>18</v>
      </c>
      <c r="E4341" s="3">
        <v>17</v>
      </c>
      <c r="F4341" t="s">
        <v>19</v>
      </c>
      <c r="G4341" t="s">
        <v>69</v>
      </c>
      <c r="H4341" t="s">
        <v>31</v>
      </c>
      <c r="I4341" s="12">
        <v>0.66319444444444442</v>
      </c>
      <c r="J4341" t="s">
        <v>70</v>
      </c>
      <c r="K4341" t="s">
        <v>31</v>
      </c>
      <c r="L4341" s="12">
        <v>0.69097222222222221</v>
      </c>
      <c r="M4341" t="s">
        <v>33</v>
      </c>
      <c r="N4341" s="3">
        <v>189</v>
      </c>
      <c r="O4341" t="s">
        <v>24</v>
      </c>
      <c r="P4341" t="s">
        <v>56</v>
      </c>
      <c r="R4341">
        <f>tblDailySchedule[[#This Row],[Capacity Approx]]*'[1]Load Factor Sheet June Acft  '!$B$5</f>
        <v>153.04704545454547</v>
      </c>
      <c r="S4341">
        <f>tblDailySchedule[[#This Row],[Capacity Approx]]*'[1]Load Factor Sheet June Acft  '!$D$5</f>
        <v>165.71863636363636</v>
      </c>
      <c r="T4341" s="22">
        <f>tblDailySchedule[[#This Row],[STD]]</f>
        <v>0.69097222222222221</v>
      </c>
    </row>
    <row r="4342" spans="1:20" hidden="1" x14ac:dyDescent="0.35">
      <c r="A4342" s="11">
        <v>46266</v>
      </c>
      <c r="B4342" s="3">
        <v>2</v>
      </c>
      <c r="C4342" t="s">
        <v>108</v>
      </c>
      <c r="D4342" t="s">
        <v>18</v>
      </c>
      <c r="E4342" s="3">
        <v>18</v>
      </c>
      <c r="F4342" t="s">
        <v>19</v>
      </c>
      <c r="G4342" t="s">
        <v>71</v>
      </c>
      <c r="H4342" t="s">
        <v>21</v>
      </c>
      <c r="I4342" s="12">
        <v>0.67013888888888884</v>
      </c>
      <c r="J4342" t="s">
        <v>72</v>
      </c>
      <c r="K4342" t="s">
        <v>21</v>
      </c>
      <c r="L4342" s="12">
        <v>0.69791666666666663</v>
      </c>
      <c r="M4342" t="s">
        <v>63</v>
      </c>
      <c r="N4342" s="3">
        <v>232</v>
      </c>
      <c r="O4342" t="s">
        <v>24</v>
      </c>
      <c r="P4342" t="s">
        <v>56</v>
      </c>
      <c r="R4342">
        <f>tblDailySchedule[[#This Row],[Capacity Approx]]*'[1]Load Factor Sheet June Acft  '!$B$5</f>
        <v>187.86727272727273</v>
      </c>
      <c r="S4342">
        <f>tblDailySchedule[[#This Row],[Capacity Approx]]*'[1]Load Factor Sheet June Acft  '!$D$5</f>
        <v>203.4218181818182</v>
      </c>
      <c r="T4342" s="22">
        <f>tblDailySchedule[[#This Row],[STD]]</f>
        <v>0.69791666666666663</v>
      </c>
    </row>
    <row r="4343" spans="1:20" hidden="1" x14ac:dyDescent="0.35">
      <c r="A4343" s="11">
        <v>46266</v>
      </c>
      <c r="B4343" s="3">
        <v>2</v>
      </c>
      <c r="C4343" t="s">
        <v>108</v>
      </c>
      <c r="D4343" t="s">
        <v>18</v>
      </c>
      <c r="E4343" s="3">
        <v>19</v>
      </c>
      <c r="F4343" t="s">
        <v>19</v>
      </c>
      <c r="G4343" t="s">
        <v>73</v>
      </c>
      <c r="H4343" t="s">
        <v>27</v>
      </c>
      <c r="I4343" s="12">
        <v>0.74652777777777779</v>
      </c>
      <c r="J4343" t="s">
        <v>74</v>
      </c>
      <c r="K4343" t="s">
        <v>27</v>
      </c>
      <c r="L4343" s="12">
        <v>0.77430555555555558</v>
      </c>
      <c r="M4343" t="s">
        <v>63</v>
      </c>
      <c r="N4343" s="3">
        <v>232</v>
      </c>
      <c r="O4343" t="s">
        <v>24</v>
      </c>
      <c r="P4343" t="s">
        <v>56</v>
      </c>
      <c r="R4343">
        <f>tblDailySchedule[[#This Row],[Capacity Approx]]*'[1]Load Factor Sheet June Acft  '!$B$5</f>
        <v>187.86727272727273</v>
      </c>
      <c r="S4343">
        <f>tblDailySchedule[[#This Row],[Capacity Approx]]*'[1]Load Factor Sheet June Acft  '!$D$5</f>
        <v>203.4218181818182</v>
      </c>
      <c r="T4343" s="22">
        <f>tblDailySchedule[[#This Row],[STD]]</f>
        <v>0.77430555555555558</v>
      </c>
    </row>
    <row r="4344" spans="1:20" hidden="1" x14ac:dyDescent="0.35">
      <c r="A4344" s="11">
        <v>46266</v>
      </c>
      <c r="B4344" s="3">
        <v>2</v>
      </c>
      <c r="C4344" t="s">
        <v>108</v>
      </c>
      <c r="D4344" t="s">
        <v>18</v>
      </c>
      <c r="E4344" s="3">
        <v>21</v>
      </c>
      <c r="F4344" t="s">
        <v>19</v>
      </c>
      <c r="G4344" t="s">
        <v>81</v>
      </c>
      <c r="H4344" t="s">
        <v>61</v>
      </c>
      <c r="I4344" s="12">
        <v>0.77083333333333337</v>
      </c>
      <c r="J4344" t="s">
        <v>82</v>
      </c>
      <c r="K4344" t="s">
        <v>49</v>
      </c>
      <c r="L4344" s="12">
        <v>0.79166666666666663</v>
      </c>
      <c r="M4344" t="s">
        <v>33</v>
      </c>
      <c r="N4344" s="3">
        <v>189</v>
      </c>
      <c r="O4344" t="s">
        <v>24</v>
      </c>
      <c r="P4344" t="s">
        <v>79</v>
      </c>
      <c r="R4344">
        <f>tblDailySchedule[[#This Row],[Capacity Approx]]*'[1]Load Factor Sheet June Acft  '!$B$5</f>
        <v>153.04704545454547</v>
      </c>
      <c r="S4344">
        <f>tblDailySchedule[[#This Row],[Capacity Approx]]*'[1]Load Factor Sheet June Acft  '!$D$5</f>
        <v>165.71863636363636</v>
      </c>
      <c r="T4344" s="22">
        <f>tblDailySchedule[[#This Row],[STD]]</f>
        <v>0.79166666666666663</v>
      </c>
    </row>
    <row r="4345" spans="1:20" hidden="1" x14ac:dyDescent="0.35">
      <c r="A4345" s="11">
        <v>46266</v>
      </c>
      <c r="B4345" s="3">
        <v>2</v>
      </c>
      <c r="C4345" t="s">
        <v>108</v>
      </c>
      <c r="D4345" t="s">
        <v>18</v>
      </c>
      <c r="E4345" s="3">
        <v>22</v>
      </c>
      <c r="F4345" t="s">
        <v>19</v>
      </c>
      <c r="G4345" t="s">
        <v>83</v>
      </c>
      <c r="H4345" t="s">
        <v>31</v>
      </c>
      <c r="I4345" s="12">
        <v>0.77777777777777779</v>
      </c>
      <c r="J4345" t="s">
        <v>84</v>
      </c>
      <c r="K4345" t="s">
        <v>31</v>
      </c>
      <c r="L4345" s="12">
        <v>0.80555555555555558</v>
      </c>
      <c r="M4345" t="s">
        <v>63</v>
      </c>
      <c r="N4345" s="3">
        <v>232</v>
      </c>
      <c r="O4345" t="s">
        <v>24</v>
      </c>
      <c r="P4345" t="s">
        <v>79</v>
      </c>
      <c r="R4345">
        <f>tblDailySchedule[[#This Row],[Capacity Approx]]*'[1]Load Factor Sheet June Acft  '!$B$5</f>
        <v>187.86727272727273</v>
      </c>
      <c r="S4345">
        <f>tblDailySchedule[[#This Row],[Capacity Approx]]*'[1]Load Factor Sheet June Acft  '!$D$5</f>
        <v>203.4218181818182</v>
      </c>
      <c r="T4345" s="22">
        <f>tblDailySchedule[[#This Row],[STD]]</f>
        <v>0.80555555555555558</v>
      </c>
    </row>
    <row r="4346" spans="1:20" hidden="1" x14ac:dyDescent="0.35">
      <c r="A4346" s="11">
        <v>46266</v>
      </c>
      <c r="B4346" s="3">
        <v>2</v>
      </c>
      <c r="C4346" t="s">
        <v>108</v>
      </c>
      <c r="D4346" t="s">
        <v>18</v>
      </c>
      <c r="E4346" s="3">
        <v>23</v>
      </c>
      <c r="F4346" t="s">
        <v>19</v>
      </c>
      <c r="G4346" t="s">
        <v>85</v>
      </c>
      <c r="H4346" t="s">
        <v>86</v>
      </c>
      <c r="I4346" s="12">
        <v>0.79861111111111116</v>
      </c>
      <c r="J4346" t="s">
        <v>87</v>
      </c>
      <c r="K4346" t="s">
        <v>86</v>
      </c>
      <c r="L4346" s="12">
        <v>0.82638888888888884</v>
      </c>
      <c r="M4346" t="s">
        <v>63</v>
      </c>
      <c r="N4346" s="3">
        <v>232</v>
      </c>
      <c r="O4346" t="s">
        <v>24</v>
      </c>
      <c r="P4346" t="s">
        <v>79</v>
      </c>
      <c r="R4346">
        <f>tblDailySchedule[[#This Row],[Capacity Approx]]*'[1]Load Factor Sheet June Acft  '!$B$5</f>
        <v>187.86727272727273</v>
      </c>
      <c r="S4346">
        <f>tblDailySchedule[[#This Row],[Capacity Approx]]*'[1]Load Factor Sheet June Acft  '!$D$5</f>
        <v>203.4218181818182</v>
      </c>
      <c r="T4346" s="22">
        <f>tblDailySchedule[[#This Row],[STD]]</f>
        <v>0.82638888888888884</v>
      </c>
    </row>
    <row r="4347" spans="1:20" hidden="1" x14ac:dyDescent="0.35">
      <c r="A4347" s="11">
        <v>46266</v>
      </c>
      <c r="B4347" s="3">
        <v>2</v>
      </c>
      <c r="C4347" t="s">
        <v>108</v>
      </c>
      <c r="D4347" t="s">
        <v>18</v>
      </c>
      <c r="E4347" s="3">
        <v>24</v>
      </c>
      <c r="F4347" t="s">
        <v>19</v>
      </c>
      <c r="G4347" t="s">
        <v>88</v>
      </c>
      <c r="H4347" t="s">
        <v>89</v>
      </c>
      <c r="I4347" s="12">
        <v>0.83333333333333337</v>
      </c>
      <c r="J4347" t="s">
        <v>90</v>
      </c>
      <c r="K4347" t="s">
        <v>31</v>
      </c>
      <c r="L4347" s="12">
        <v>0.86111111111111116</v>
      </c>
      <c r="M4347" t="s">
        <v>63</v>
      </c>
      <c r="N4347" s="3">
        <v>232</v>
      </c>
      <c r="O4347" t="s">
        <v>24</v>
      </c>
      <c r="P4347" t="s">
        <v>79</v>
      </c>
      <c r="R4347">
        <f>tblDailySchedule[[#This Row],[Capacity Approx]]*'[1]Load Factor Sheet June Acft  '!$B$5</f>
        <v>187.86727272727273</v>
      </c>
      <c r="S4347">
        <f>tblDailySchedule[[#This Row],[Capacity Approx]]*'[1]Load Factor Sheet June Acft  '!$D$5</f>
        <v>203.4218181818182</v>
      </c>
      <c r="T4347" s="22">
        <f>tblDailySchedule[[#This Row],[STD]]</f>
        <v>0.86111111111111116</v>
      </c>
    </row>
    <row r="4348" spans="1:20" hidden="1" x14ac:dyDescent="0.35">
      <c r="A4348" s="11">
        <v>46266</v>
      </c>
      <c r="B4348" s="3">
        <v>2</v>
      </c>
      <c r="C4348" t="s">
        <v>108</v>
      </c>
      <c r="D4348" t="s">
        <v>18</v>
      </c>
      <c r="E4348" s="3">
        <v>25</v>
      </c>
      <c r="F4348" t="s">
        <v>19</v>
      </c>
      <c r="G4348" t="s">
        <v>91</v>
      </c>
      <c r="H4348" t="s">
        <v>61</v>
      </c>
      <c r="I4348" s="12">
        <v>0.85416666666666663</v>
      </c>
      <c r="J4348" t="s">
        <v>92</v>
      </c>
      <c r="K4348" t="s">
        <v>61</v>
      </c>
      <c r="L4348" s="12">
        <v>0.88194444444444442</v>
      </c>
      <c r="M4348" t="s">
        <v>63</v>
      </c>
      <c r="N4348" s="3">
        <v>232</v>
      </c>
      <c r="O4348" t="s">
        <v>24</v>
      </c>
      <c r="P4348" t="s">
        <v>79</v>
      </c>
      <c r="R4348">
        <f>tblDailySchedule[[#This Row],[Capacity Approx]]*'[1]Load Factor Sheet June Acft  '!$B$5</f>
        <v>187.86727272727273</v>
      </c>
      <c r="S4348">
        <f>tblDailySchedule[[#This Row],[Capacity Approx]]*'[1]Load Factor Sheet June Acft  '!$D$5</f>
        <v>203.4218181818182</v>
      </c>
      <c r="T4348" s="22">
        <f>tblDailySchedule[[#This Row],[STD]]</f>
        <v>0.88194444444444442</v>
      </c>
    </row>
    <row r="4349" spans="1:20" hidden="1" x14ac:dyDescent="0.35">
      <c r="A4349" s="11">
        <v>46266</v>
      </c>
      <c r="B4349" s="3">
        <v>2</v>
      </c>
      <c r="C4349" t="s">
        <v>108</v>
      </c>
      <c r="D4349" t="s">
        <v>18</v>
      </c>
      <c r="E4349" s="3">
        <v>26</v>
      </c>
      <c r="F4349" t="s">
        <v>19</v>
      </c>
      <c r="G4349" t="s">
        <v>93</v>
      </c>
      <c r="H4349" t="s">
        <v>31</v>
      </c>
      <c r="I4349" s="12">
        <v>0.86111111111111116</v>
      </c>
      <c r="J4349" t="s">
        <v>94</v>
      </c>
      <c r="K4349" t="s">
        <v>31</v>
      </c>
      <c r="L4349" s="12">
        <v>0.88888888888888884</v>
      </c>
      <c r="M4349" t="s">
        <v>23</v>
      </c>
      <c r="N4349" s="3">
        <v>186</v>
      </c>
      <c r="O4349" t="s">
        <v>24</v>
      </c>
      <c r="P4349" t="s">
        <v>79</v>
      </c>
      <c r="R4349">
        <f>tblDailySchedule[[#This Row],[Capacity Approx]]*'[1]Load Factor Sheet June Acft  '!$B$5</f>
        <v>150.61772727272728</v>
      </c>
      <c r="S4349">
        <f>tblDailySchedule[[#This Row],[Capacity Approx]]*'[1]Load Factor Sheet June Acft  '!$D$5</f>
        <v>163.08818181818182</v>
      </c>
      <c r="T4349" s="22">
        <f>tblDailySchedule[[#This Row],[STD]]</f>
        <v>0.88888888888888884</v>
      </c>
    </row>
    <row r="4350" spans="1:20" hidden="1" x14ac:dyDescent="0.35">
      <c r="A4350" s="11">
        <v>46266</v>
      </c>
      <c r="B4350" s="3">
        <v>2</v>
      </c>
      <c r="C4350" t="s">
        <v>108</v>
      </c>
      <c r="D4350" t="s">
        <v>18</v>
      </c>
      <c r="E4350" s="3">
        <v>27</v>
      </c>
      <c r="F4350" t="s">
        <v>19</v>
      </c>
      <c r="G4350" t="s">
        <v>95</v>
      </c>
      <c r="H4350" t="s">
        <v>21</v>
      </c>
      <c r="I4350" s="12">
        <v>0.86805555555555558</v>
      </c>
      <c r="J4350" t="s">
        <v>96</v>
      </c>
      <c r="K4350" t="s">
        <v>21</v>
      </c>
      <c r="L4350" s="12">
        <v>0.89583333333333337</v>
      </c>
      <c r="M4350" t="s">
        <v>29</v>
      </c>
      <c r="N4350" s="3">
        <v>186</v>
      </c>
      <c r="O4350" t="s">
        <v>24</v>
      </c>
      <c r="P4350" t="s">
        <v>79</v>
      </c>
      <c r="R4350">
        <f>tblDailySchedule[[#This Row],[Capacity Approx]]*'[1]Load Factor Sheet June Acft  '!$B$5</f>
        <v>150.61772727272728</v>
      </c>
      <c r="S4350">
        <f>tblDailySchedule[[#This Row],[Capacity Approx]]*'[1]Load Factor Sheet June Acft  '!$D$5</f>
        <v>163.08818181818182</v>
      </c>
      <c r="T4350" s="22">
        <f>tblDailySchedule[[#This Row],[STD]]</f>
        <v>0.89583333333333337</v>
      </c>
    </row>
    <row r="4351" spans="1:20" hidden="1" x14ac:dyDescent="0.35">
      <c r="A4351" s="11">
        <v>46266</v>
      </c>
      <c r="B4351" s="3">
        <v>2</v>
      </c>
      <c r="C4351" t="s">
        <v>108</v>
      </c>
      <c r="D4351" t="s">
        <v>18</v>
      </c>
      <c r="E4351" s="3">
        <v>28</v>
      </c>
      <c r="F4351" t="s">
        <v>19</v>
      </c>
      <c r="G4351" t="s">
        <v>97</v>
      </c>
      <c r="H4351" t="s">
        <v>49</v>
      </c>
      <c r="I4351" s="12">
        <v>0.90277777777777779</v>
      </c>
      <c r="J4351" t="s">
        <v>97</v>
      </c>
      <c r="K4351" t="s">
        <v>61</v>
      </c>
      <c r="L4351" s="12">
        <v>0.92361111111111116</v>
      </c>
      <c r="M4351" t="s">
        <v>33</v>
      </c>
      <c r="N4351" s="3">
        <v>189</v>
      </c>
      <c r="O4351" t="s">
        <v>24</v>
      </c>
      <c r="P4351" t="s">
        <v>79</v>
      </c>
      <c r="R4351">
        <f>tblDailySchedule[[#This Row],[Capacity Approx]]*'[1]Load Factor Sheet June Acft  '!$B$5</f>
        <v>153.04704545454547</v>
      </c>
      <c r="S4351">
        <f>tblDailySchedule[[#This Row],[Capacity Approx]]*'[1]Load Factor Sheet June Acft  '!$D$5</f>
        <v>165.71863636363636</v>
      </c>
      <c r="T4351" s="22">
        <f>tblDailySchedule[[#This Row],[STD]]</f>
        <v>0.92361111111111116</v>
      </c>
    </row>
    <row r="4352" spans="1:20" hidden="1" x14ac:dyDescent="0.35">
      <c r="A4352" s="11">
        <v>46266</v>
      </c>
      <c r="B4352" s="3">
        <v>2</v>
      </c>
      <c r="C4352" t="s">
        <v>108</v>
      </c>
      <c r="D4352" t="s">
        <v>18</v>
      </c>
      <c r="E4352" s="3">
        <v>29</v>
      </c>
      <c r="F4352" t="s">
        <v>19</v>
      </c>
      <c r="G4352" t="s">
        <v>98</v>
      </c>
      <c r="H4352" t="s">
        <v>21</v>
      </c>
      <c r="I4352" s="12">
        <v>0.92013888888888884</v>
      </c>
      <c r="J4352" t="s">
        <v>99</v>
      </c>
      <c r="K4352" t="s">
        <v>21</v>
      </c>
      <c r="L4352" s="12">
        <v>0.94791666666666663</v>
      </c>
      <c r="M4352" t="s">
        <v>63</v>
      </c>
      <c r="N4352" s="3">
        <v>232</v>
      </c>
      <c r="O4352" t="s">
        <v>24</v>
      </c>
      <c r="P4352" t="s">
        <v>79</v>
      </c>
      <c r="R4352">
        <f>tblDailySchedule[[#This Row],[Capacity Approx]]*'[1]Load Factor Sheet June Acft  '!$B$5</f>
        <v>187.86727272727273</v>
      </c>
      <c r="S4352">
        <f>tblDailySchedule[[#This Row],[Capacity Approx]]*'[1]Load Factor Sheet June Acft  '!$D$5</f>
        <v>203.4218181818182</v>
      </c>
      <c r="T4352" s="22">
        <f>tblDailySchedule[[#This Row],[STD]]</f>
        <v>0.94791666666666663</v>
      </c>
    </row>
    <row r="4353" spans="1:20" hidden="1" x14ac:dyDescent="0.35">
      <c r="A4353" s="11">
        <v>46267</v>
      </c>
      <c r="B4353" s="3">
        <v>3</v>
      </c>
      <c r="C4353" t="s">
        <v>113</v>
      </c>
      <c r="D4353" t="s">
        <v>18</v>
      </c>
      <c r="E4353" s="3">
        <v>2</v>
      </c>
      <c r="F4353" t="s">
        <v>19</v>
      </c>
      <c r="G4353" t="s">
        <v>20</v>
      </c>
      <c r="H4353" t="s">
        <v>21</v>
      </c>
      <c r="I4353" s="12">
        <v>0.31944444444444442</v>
      </c>
      <c r="J4353" t="s">
        <v>22</v>
      </c>
      <c r="K4353" t="s">
        <v>21</v>
      </c>
      <c r="L4353" s="12">
        <v>0.34722222222222221</v>
      </c>
      <c r="M4353" t="s">
        <v>23</v>
      </c>
      <c r="N4353" s="3">
        <v>186</v>
      </c>
      <c r="O4353" t="s">
        <v>24</v>
      </c>
      <c r="P4353" t="s">
        <v>25</v>
      </c>
      <c r="R4353">
        <f>tblDailySchedule[[#This Row],[Capacity Approx]]*'[1]Load Factor Sheet June Acft  '!$B$5</f>
        <v>150.61772727272728</v>
      </c>
      <c r="S4353">
        <f>tblDailySchedule[[#This Row],[Capacity Approx]]*'[1]Load Factor Sheet June Acft  '!$D$5</f>
        <v>163.08818181818182</v>
      </c>
      <c r="T4353" s="22">
        <f>tblDailySchedule[[#This Row],[STD]]</f>
        <v>0.34722222222222221</v>
      </c>
    </row>
    <row r="4354" spans="1:20" hidden="1" x14ac:dyDescent="0.35">
      <c r="A4354" s="11">
        <v>46267</v>
      </c>
      <c r="B4354" s="3">
        <v>3</v>
      </c>
      <c r="C4354" t="s">
        <v>113</v>
      </c>
      <c r="D4354" t="s">
        <v>18</v>
      </c>
      <c r="E4354" s="3">
        <v>3</v>
      </c>
      <c r="F4354" t="s">
        <v>19</v>
      </c>
      <c r="G4354" t="s">
        <v>26</v>
      </c>
      <c r="H4354" t="s">
        <v>27</v>
      </c>
      <c r="I4354" s="12">
        <v>0.3263888888888889</v>
      </c>
      <c r="J4354" t="s">
        <v>28</v>
      </c>
      <c r="K4354" t="s">
        <v>27</v>
      </c>
      <c r="L4354" s="12">
        <v>0.35416666666666669</v>
      </c>
      <c r="M4354" t="s">
        <v>29</v>
      </c>
      <c r="N4354" s="3">
        <v>186</v>
      </c>
      <c r="O4354" t="s">
        <v>24</v>
      </c>
      <c r="P4354" t="s">
        <v>25</v>
      </c>
      <c r="R4354">
        <f>tblDailySchedule[[#This Row],[Capacity Approx]]*'[1]Load Factor Sheet June Acft  '!$B$5</f>
        <v>150.61772727272728</v>
      </c>
      <c r="S4354">
        <f>tblDailySchedule[[#This Row],[Capacity Approx]]*'[1]Load Factor Sheet June Acft  '!$D$5</f>
        <v>163.08818181818182</v>
      </c>
      <c r="T4354" s="22">
        <f>tblDailySchedule[[#This Row],[STD]]</f>
        <v>0.35416666666666669</v>
      </c>
    </row>
    <row r="4355" spans="1:20" hidden="1" x14ac:dyDescent="0.35">
      <c r="A4355" s="11">
        <v>46267</v>
      </c>
      <c r="B4355" s="3">
        <v>3</v>
      </c>
      <c r="C4355" t="s">
        <v>113</v>
      </c>
      <c r="D4355" t="s">
        <v>18</v>
      </c>
      <c r="E4355" s="3">
        <v>4</v>
      </c>
      <c r="F4355" t="s">
        <v>19</v>
      </c>
      <c r="G4355" t="s">
        <v>30</v>
      </c>
      <c r="H4355" t="s">
        <v>31</v>
      </c>
      <c r="I4355" s="12">
        <v>0.34722222222222221</v>
      </c>
      <c r="J4355" t="s">
        <v>32</v>
      </c>
      <c r="K4355" t="s">
        <v>31</v>
      </c>
      <c r="L4355" s="12">
        <v>0.36805555555555558</v>
      </c>
      <c r="M4355" t="s">
        <v>33</v>
      </c>
      <c r="N4355" s="3">
        <v>189</v>
      </c>
      <c r="O4355" t="s">
        <v>24</v>
      </c>
      <c r="P4355" t="s">
        <v>25</v>
      </c>
      <c r="R4355">
        <f>tblDailySchedule[[#This Row],[Capacity Approx]]*'[1]Load Factor Sheet June Acft  '!$B$5</f>
        <v>153.04704545454547</v>
      </c>
      <c r="S4355">
        <f>tblDailySchedule[[#This Row],[Capacity Approx]]*'[1]Load Factor Sheet June Acft  '!$D$5</f>
        <v>165.71863636363636</v>
      </c>
      <c r="T4355" s="22">
        <f>tblDailySchedule[[#This Row],[STD]]</f>
        <v>0.36805555555555558</v>
      </c>
    </row>
    <row r="4356" spans="1:20" hidden="1" x14ac:dyDescent="0.35">
      <c r="A4356" s="13">
        <v>46267</v>
      </c>
      <c r="B4356" s="7">
        <v>3</v>
      </c>
      <c r="C4356" s="14" t="s">
        <v>113</v>
      </c>
      <c r="D4356" s="14" t="s">
        <v>18</v>
      </c>
      <c r="E4356" s="7">
        <v>6</v>
      </c>
      <c r="F4356" s="14" t="s">
        <v>34</v>
      </c>
      <c r="G4356" s="14" t="s">
        <v>35</v>
      </c>
      <c r="H4356" s="14" t="s">
        <v>36</v>
      </c>
      <c r="I4356" s="15">
        <v>0.34722222222222221</v>
      </c>
      <c r="J4356" s="14" t="s">
        <v>37</v>
      </c>
      <c r="K4356" s="14" t="s">
        <v>36</v>
      </c>
      <c r="L4356" s="15">
        <v>0.40972222222222221</v>
      </c>
      <c r="M4356" s="14" t="s">
        <v>38</v>
      </c>
      <c r="N4356" s="7">
        <v>186</v>
      </c>
      <c r="O4356" s="14" t="s">
        <v>39</v>
      </c>
      <c r="P4356" s="14" t="s">
        <v>25</v>
      </c>
      <c r="Q4356" s="14" t="s">
        <v>39</v>
      </c>
      <c r="R4356">
        <f>tblDailySchedule[[#This Row],[Capacity Approx]]*'[1]Load Factor Sheet June Acft  '!$B$5</f>
        <v>150.61772727272728</v>
      </c>
      <c r="S4356">
        <f>tblDailySchedule[[#This Row],[Capacity Approx]]*'[1]Load Factor Sheet June Acft  '!$D$5</f>
        <v>163.08818181818182</v>
      </c>
      <c r="T4356" s="22">
        <f>tblDailySchedule[[#This Row],[STD]]</f>
        <v>0.40972222222222221</v>
      </c>
    </row>
    <row r="4357" spans="1:20" hidden="1" x14ac:dyDescent="0.35">
      <c r="A4357" s="11">
        <v>46267</v>
      </c>
      <c r="B4357" s="3">
        <v>3</v>
      </c>
      <c r="C4357" t="s">
        <v>113</v>
      </c>
      <c r="D4357" t="s">
        <v>18</v>
      </c>
      <c r="E4357" s="3">
        <v>5</v>
      </c>
      <c r="F4357" t="s">
        <v>19</v>
      </c>
      <c r="G4357" t="s">
        <v>40</v>
      </c>
      <c r="H4357" t="s">
        <v>31</v>
      </c>
      <c r="I4357" s="12">
        <v>0.35069444444444442</v>
      </c>
      <c r="J4357" t="s">
        <v>41</v>
      </c>
      <c r="K4357" t="s">
        <v>31</v>
      </c>
      <c r="L4357" s="12">
        <v>0.37152777777777779</v>
      </c>
      <c r="M4357" t="s">
        <v>23</v>
      </c>
      <c r="N4357" s="3">
        <v>186</v>
      </c>
      <c r="O4357" t="s">
        <v>24</v>
      </c>
      <c r="P4357" t="s">
        <v>25</v>
      </c>
      <c r="R4357">
        <f>tblDailySchedule[[#This Row],[Capacity Approx]]*'[1]Load Factor Sheet June Acft  '!$B$5</f>
        <v>150.61772727272728</v>
      </c>
      <c r="S4357">
        <f>tblDailySchedule[[#This Row],[Capacity Approx]]*'[1]Load Factor Sheet June Acft  '!$D$5</f>
        <v>163.08818181818182</v>
      </c>
      <c r="T4357" s="22">
        <f>tblDailySchedule[[#This Row],[STD]]</f>
        <v>0.37152777777777779</v>
      </c>
    </row>
    <row r="4358" spans="1:20" hidden="1" x14ac:dyDescent="0.35">
      <c r="A4358" s="11">
        <v>46267</v>
      </c>
      <c r="B4358" s="3">
        <v>3</v>
      </c>
      <c r="C4358" t="s">
        <v>113</v>
      </c>
      <c r="D4358" t="s">
        <v>18</v>
      </c>
      <c r="E4358" s="3">
        <v>7</v>
      </c>
      <c r="F4358" t="s">
        <v>19</v>
      </c>
      <c r="G4358" t="s">
        <v>42</v>
      </c>
      <c r="H4358" t="s">
        <v>43</v>
      </c>
      <c r="I4358" s="12">
        <v>0.3923611111111111</v>
      </c>
      <c r="J4358" t="s">
        <v>44</v>
      </c>
      <c r="K4358" t="s">
        <v>43</v>
      </c>
      <c r="L4358" s="12">
        <v>0.40277777777777779</v>
      </c>
      <c r="M4358" t="s">
        <v>45</v>
      </c>
      <c r="N4358" s="3">
        <v>9</v>
      </c>
      <c r="O4358" t="s">
        <v>24</v>
      </c>
      <c r="P4358" t="s">
        <v>25</v>
      </c>
      <c r="R4358">
        <f>tblDailySchedule[[#This Row],[Capacity Approx]]*'[1]Load Factor Sheet June Acft  '!$B$5</f>
        <v>7.2879545454545456</v>
      </c>
      <c r="S4358">
        <f>tblDailySchedule[[#This Row],[Capacity Approx]]*'[1]Load Factor Sheet June Acft  '!$D$5</f>
        <v>7.8913636363636366</v>
      </c>
      <c r="T4358" s="22">
        <f>tblDailySchedule[[#This Row],[STD]]</f>
        <v>0.40277777777777779</v>
      </c>
    </row>
    <row r="4359" spans="1:20" hidden="1" x14ac:dyDescent="0.35">
      <c r="A4359" s="11">
        <v>46267</v>
      </c>
      <c r="B4359" s="3">
        <v>3</v>
      </c>
      <c r="C4359" t="s">
        <v>113</v>
      </c>
      <c r="D4359" t="s">
        <v>18</v>
      </c>
      <c r="E4359" s="3">
        <v>8</v>
      </c>
      <c r="F4359" t="s">
        <v>19</v>
      </c>
      <c r="G4359" t="s">
        <v>46</v>
      </c>
      <c r="H4359" t="s">
        <v>31</v>
      </c>
      <c r="I4359" s="12">
        <v>0.4201388888888889</v>
      </c>
      <c r="J4359" t="s">
        <v>47</v>
      </c>
      <c r="K4359" t="s">
        <v>31</v>
      </c>
      <c r="L4359" s="12">
        <v>0.44444444444444442</v>
      </c>
      <c r="M4359" t="s">
        <v>29</v>
      </c>
      <c r="N4359" s="3">
        <v>186</v>
      </c>
      <c r="O4359" t="s">
        <v>24</v>
      </c>
      <c r="P4359" t="s">
        <v>25</v>
      </c>
      <c r="R4359">
        <f>tblDailySchedule[[#This Row],[Capacity Approx]]*'[1]Load Factor Sheet June Acft  '!$B$5</f>
        <v>150.61772727272728</v>
      </c>
      <c r="S4359">
        <f>tblDailySchedule[[#This Row],[Capacity Approx]]*'[1]Load Factor Sheet June Acft  '!$D$5</f>
        <v>163.08818181818182</v>
      </c>
      <c r="T4359" s="22">
        <f>tblDailySchedule[[#This Row],[STD]]</f>
        <v>0.44444444444444442</v>
      </c>
    </row>
    <row r="4360" spans="1:20" hidden="1" x14ac:dyDescent="0.35">
      <c r="A4360" s="11">
        <v>46267</v>
      </c>
      <c r="B4360" s="3">
        <v>3</v>
      </c>
      <c r="C4360" t="s">
        <v>113</v>
      </c>
      <c r="D4360" t="s">
        <v>18</v>
      </c>
      <c r="E4360" s="3">
        <v>9</v>
      </c>
      <c r="F4360" t="s">
        <v>19</v>
      </c>
      <c r="G4360" t="s">
        <v>48</v>
      </c>
      <c r="H4360" t="s">
        <v>49</v>
      </c>
      <c r="I4360" s="12">
        <v>0.4375</v>
      </c>
      <c r="J4360" t="s">
        <v>50</v>
      </c>
      <c r="K4360" t="s">
        <v>49</v>
      </c>
      <c r="L4360" s="12">
        <v>0.45833333333333331</v>
      </c>
      <c r="M4360" t="s">
        <v>51</v>
      </c>
      <c r="N4360" s="3">
        <v>78</v>
      </c>
      <c r="O4360" t="s">
        <v>24</v>
      </c>
      <c r="P4360" t="s">
        <v>25</v>
      </c>
      <c r="R4360">
        <f>tblDailySchedule[[#This Row],[Capacity Approx]]*'[1]Load Factor Sheet June Acft  '!$B$5</f>
        <v>63.162272727272729</v>
      </c>
      <c r="S4360">
        <f>tblDailySchedule[[#This Row],[Capacity Approx]]*'[1]Load Factor Sheet June Acft  '!$D$5</f>
        <v>68.391818181818181</v>
      </c>
      <c r="T4360" s="22">
        <f>tblDailySchedule[[#This Row],[STD]]</f>
        <v>0.45833333333333331</v>
      </c>
    </row>
    <row r="4361" spans="1:20" hidden="1" x14ac:dyDescent="0.35">
      <c r="A4361" s="11">
        <v>46267</v>
      </c>
      <c r="B4361" s="3">
        <v>3</v>
      </c>
      <c r="C4361" t="s">
        <v>113</v>
      </c>
      <c r="D4361" t="s">
        <v>18</v>
      </c>
      <c r="E4361" s="3">
        <v>10</v>
      </c>
      <c r="F4361" t="s">
        <v>19</v>
      </c>
      <c r="G4361" t="s">
        <v>52</v>
      </c>
      <c r="H4361" t="s">
        <v>27</v>
      </c>
      <c r="I4361" s="12">
        <v>0.4826388888888889</v>
      </c>
      <c r="J4361" t="s">
        <v>53</v>
      </c>
      <c r="K4361" t="s">
        <v>27</v>
      </c>
      <c r="L4361" s="12">
        <v>0.51041666666666663</v>
      </c>
      <c r="M4361" t="s">
        <v>23</v>
      </c>
      <c r="N4361" s="3">
        <v>186</v>
      </c>
      <c r="O4361" t="s">
        <v>24</v>
      </c>
      <c r="P4361" t="s">
        <v>25</v>
      </c>
      <c r="R4361">
        <f>tblDailySchedule[[#This Row],[Capacity Approx]]*'[1]Load Factor Sheet June Acft  '!$B$5</f>
        <v>150.61772727272728</v>
      </c>
      <c r="S4361">
        <f>tblDailySchedule[[#This Row],[Capacity Approx]]*'[1]Load Factor Sheet June Acft  '!$D$5</f>
        <v>163.08818181818182</v>
      </c>
      <c r="T4361" s="22">
        <f>tblDailySchedule[[#This Row],[STD]]</f>
        <v>0.51041666666666663</v>
      </c>
    </row>
    <row r="4362" spans="1:20" hidden="1" x14ac:dyDescent="0.35">
      <c r="A4362" s="11">
        <v>46267</v>
      </c>
      <c r="B4362" s="3">
        <v>3</v>
      </c>
      <c r="C4362" t="s">
        <v>113</v>
      </c>
      <c r="D4362" t="s">
        <v>18</v>
      </c>
      <c r="E4362" s="3">
        <v>11</v>
      </c>
      <c r="F4362" t="s">
        <v>19</v>
      </c>
      <c r="G4362" t="s">
        <v>54</v>
      </c>
      <c r="H4362" t="s">
        <v>31</v>
      </c>
      <c r="I4362" s="12">
        <v>0.51388888888888884</v>
      </c>
      <c r="J4362" t="s">
        <v>55</v>
      </c>
      <c r="K4362" t="s">
        <v>31</v>
      </c>
      <c r="L4362" s="12">
        <v>0.54166666666666663</v>
      </c>
      <c r="M4362" t="s">
        <v>23</v>
      </c>
      <c r="N4362" s="3">
        <v>186</v>
      </c>
      <c r="O4362" t="s">
        <v>24</v>
      </c>
      <c r="P4362" t="s">
        <v>56</v>
      </c>
      <c r="R4362">
        <f>tblDailySchedule[[#This Row],[Capacity Approx]]*'[1]Load Factor Sheet June Acft  '!$B$5</f>
        <v>150.61772727272728</v>
      </c>
      <c r="S4362">
        <f>tblDailySchedule[[#This Row],[Capacity Approx]]*'[1]Load Factor Sheet June Acft  '!$D$5</f>
        <v>163.08818181818182</v>
      </c>
      <c r="T4362" s="22">
        <f>tblDailySchedule[[#This Row],[STD]]</f>
        <v>0.54166666666666663</v>
      </c>
    </row>
    <row r="4363" spans="1:20" hidden="1" x14ac:dyDescent="0.35">
      <c r="A4363" s="11">
        <v>46267</v>
      </c>
      <c r="B4363" s="3">
        <v>3</v>
      </c>
      <c r="C4363" t="s">
        <v>113</v>
      </c>
      <c r="D4363" t="s">
        <v>18</v>
      </c>
      <c r="E4363" s="3">
        <v>13</v>
      </c>
      <c r="F4363" t="s">
        <v>19</v>
      </c>
      <c r="G4363" t="s">
        <v>57</v>
      </c>
      <c r="H4363" t="s">
        <v>58</v>
      </c>
      <c r="I4363" s="12">
        <v>0.55902777777777779</v>
      </c>
      <c r="J4363" t="s">
        <v>59</v>
      </c>
      <c r="K4363" t="s">
        <v>58</v>
      </c>
      <c r="L4363" s="12">
        <v>0.57638888888888884</v>
      </c>
      <c r="M4363" t="s">
        <v>51</v>
      </c>
      <c r="N4363" s="3">
        <v>78</v>
      </c>
      <c r="O4363" t="s">
        <v>24</v>
      </c>
      <c r="P4363" t="s">
        <v>56</v>
      </c>
      <c r="R4363">
        <f>tblDailySchedule[[#This Row],[Capacity Approx]]*'[1]Load Factor Sheet June Acft  '!$B$5</f>
        <v>63.162272727272729</v>
      </c>
      <c r="S4363">
        <f>tblDailySchedule[[#This Row],[Capacity Approx]]*'[1]Load Factor Sheet June Acft  '!$D$5</f>
        <v>68.391818181818181</v>
      </c>
      <c r="T4363" s="22">
        <f>tblDailySchedule[[#This Row],[STD]]</f>
        <v>0.57638888888888884</v>
      </c>
    </row>
    <row r="4364" spans="1:20" hidden="1" x14ac:dyDescent="0.35">
      <c r="A4364" s="11">
        <v>46267</v>
      </c>
      <c r="B4364" s="3">
        <v>3</v>
      </c>
      <c r="C4364" t="s">
        <v>113</v>
      </c>
      <c r="D4364" t="s">
        <v>18</v>
      </c>
      <c r="E4364" s="3">
        <v>14</v>
      </c>
      <c r="F4364" t="s">
        <v>19</v>
      </c>
      <c r="G4364" t="s">
        <v>60</v>
      </c>
      <c r="H4364" t="s">
        <v>61</v>
      </c>
      <c r="I4364" s="12">
        <v>0.59027777777777779</v>
      </c>
      <c r="J4364" t="s">
        <v>62</v>
      </c>
      <c r="K4364" t="s">
        <v>61</v>
      </c>
      <c r="L4364" s="12">
        <v>0.62152777777777779</v>
      </c>
      <c r="M4364" t="s">
        <v>63</v>
      </c>
      <c r="N4364" s="3">
        <v>232</v>
      </c>
      <c r="O4364" t="s">
        <v>24</v>
      </c>
      <c r="P4364" t="s">
        <v>56</v>
      </c>
      <c r="R4364">
        <f>tblDailySchedule[[#This Row],[Capacity Approx]]*'[1]Load Factor Sheet June Acft  '!$B$5</f>
        <v>187.86727272727273</v>
      </c>
      <c r="S4364">
        <f>tblDailySchedule[[#This Row],[Capacity Approx]]*'[1]Load Factor Sheet June Acft  '!$D$5</f>
        <v>203.4218181818182</v>
      </c>
      <c r="T4364" s="22">
        <f>tblDailySchedule[[#This Row],[STD]]</f>
        <v>0.62152777777777779</v>
      </c>
    </row>
    <row r="4365" spans="1:20" hidden="1" x14ac:dyDescent="0.35">
      <c r="A4365" s="11">
        <v>46267</v>
      </c>
      <c r="B4365" s="3">
        <v>3</v>
      </c>
      <c r="C4365" t="s">
        <v>113</v>
      </c>
      <c r="D4365" t="s">
        <v>18</v>
      </c>
      <c r="E4365" s="3">
        <v>15</v>
      </c>
      <c r="F4365" t="s">
        <v>19</v>
      </c>
      <c r="G4365" t="s">
        <v>64</v>
      </c>
      <c r="H4365" t="s">
        <v>31</v>
      </c>
      <c r="I4365" s="12">
        <v>0.60069444444444442</v>
      </c>
      <c r="J4365" t="s">
        <v>65</v>
      </c>
      <c r="K4365" t="s">
        <v>66</v>
      </c>
      <c r="L4365" s="12">
        <v>0.62847222222222221</v>
      </c>
      <c r="M4365" t="s">
        <v>63</v>
      </c>
      <c r="N4365" s="3">
        <v>232</v>
      </c>
      <c r="O4365" t="s">
        <v>24</v>
      </c>
      <c r="P4365" t="s">
        <v>56</v>
      </c>
      <c r="R4365">
        <f>tblDailySchedule[[#This Row],[Capacity Approx]]*'[1]Load Factor Sheet June Acft  '!$B$5</f>
        <v>187.86727272727273</v>
      </c>
      <c r="S4365">
        <f>tblDailySchedule[[#This Row],[Capacity Approx]]*'[1]Load Factor Sheet June Acft  '!$D$5</f>
        <v>203.4218181818182</v>
      </c>
      <c r="T4365" s="22">
        <f>tblDailySchedule[[#This Row],[STD]]</f>
        <v>0.62847222222222221</v>
      </c>
    </row>
    <row r="4366" spans="1:20" hidden="1" x14ac:dyDescent="0.35">
      <c r="A4366" s="11">
        <v>46267</v>
      </c>
      <c r="B4366" s="3">
        <v>3</v>
      </c>
      <c r="C4366" t="s">
        <v>113</v>
      </c>
      <c r="D4366" t="s">
        <v>18</v>
      </c>
      <c r="E4366" s="3">
        <v>16</v>
      </c>
      <c r="F4366" t="s">
        <v>19</v>
      </c>
      <c r="G4366" t="s">
        <v>67</v>
      </c>
      <c r="H4366" t="s">
        <v>31</v>
      </c>
      <c r="I4366" s="12">
        <v>0.65625</v>
      </c>
      <c r="J4366" t="s">
        <v>68</v>
      </c>
      <c r="K4366" t="s">
        <v>31</v>
      </c>
      <c r="L4366" s="12">
        <v>0.68402777777777779</v>
      </c>
      <c r="M4366" t="s">
        <v>63</v>
      </c>
      <c r="N4366" s="3">
        <v>232</v>
      </c>
      <c r="O4366" t="s">
        <v>24</v>
      </c>
      <c r="P4366" t="s">
        <v>56</v>
      </c>
      <c r="R4366">
        <f>tblDailySchedule[[#This Row],[Capacity Approx]]*'[1]Load Factor Sheet June Acft  '!$B$5</f>
        <v>187.86727272727273</v>
      </c>
      <c r="S4366">
        <f>tblDailySchedule[[#This Row],[Capacity Approx]]*'[1]Load Factor Sheet June Acft  '!$D$5</f>
        <v>203.4218181818182</v>
      </c>
      <c r="T4366" s="22">
        <f>tblDailySchedule[[#This Row],[STD]]</f>
        <v>0.68402777777777779</v>
      </c>
    </row>
    <row r="4367" spans="1:20" hidden="1" x14ac:dyDescent="0.35">
      <c r="A4367" s="11">
        <v>46267</v>
      </c>
      <c r="B4367" s="3">
        <v>3</v>
      </c>
      <c r="C4367" t="s">
        <v>113</v>
      </c>
      <c r="D4367" t="s">
        <v>18</v>
      </c>
      <c r="E4367" s="3">
        <v>17</v>
      </c>
      <c r="F4367" t="s">
        <v>19</v>
      </c>
      <c r="G4367" t="s">
        <v>69</v>
      </c>
      <c r="H4367" t="s">
        <v>31</v>
      </c>
      <c r="I4367" s="12">
        <v>0.66319444444444442</v>
      </c>
      <c r="J4367" t="s">
        <v>70</v>
      </c>
      <c r="K4367" t="s">
        <v>31</v>
      </c>
      <c r="L4367" s="12">
        <v>0.69097222222222221</v>
      </c>
      <c r="M4367" t="s">
        <v>33</v>
      </c>
      <c r="N4367" s="3">
        <v>189</v>
      </c>
      <c r="O4367" t="s">
        <v>24</v>
      </c>
      <c r="P4367" t="s">
        <v>56</v>
      </c>
      <c r="R4367">
        <f>tblDailySchedule[[#This Row],[Capacity Approx]]*'[1]Load Factor Sheet June Acft  '!$B$5</f>
        <v>153.04704545454547</v>
      </c>
      <c r="S4367">
        <f>tblDailySchedule[[#This Row],[Capacity Approx]]*'[1]Load Factor Sheet June Acft  '!$D$5</f>
        <v>165.71863636363636</v>
      </c>
      <c r="T4367" s="22">
        <f>tblDailySchedule[[#This Row],[STD]]</f>
        <v>0.69097222222222221</v>
      </c>
    </row>
    <row r="4368" spans="1:20" hidden="1" x14ac:dyDescent="0.35">
      <c r="A4368" s="11">
        <v>46267</v>
      </c>
      <c r="B4368" s="3">
        <v>3</v>
      </c>
      <c r="C4368" t="s">
        <v>113</v>
      </c>
      <c r="D4368" t="s">
        <v>18</v>
      </c>
      <c r="E4368" s="3">
        <v>18</v>
      </c>
      <c r="F4368" t="s">
        <v>19</v>
      </c>
      <c r="G4368" t="s">
        <v>71</v>
      </c>
      <c r="H4368" t="s">
        <v>21</v>
      </c>
      <c r="I4368" s="12">
        <v>0.67013888888888884</v>
      </c>
      <c r="J4368" t="s">
        <v>72</v>
      </c>
      <c r="K4368" t="s">
        <v>21</v>
      </c>
      <c r="L4368" s="12">
        <v>0.69791666666666663</v>
      </c>
      <c r="M4368" t="s">
        <v>63</v>
      </c>
      <c r="N4368" s="3">
        <v>232</v>
      </c>
      <c r="O4368" t="s">
        <v>24</v>
      </c>
      <c r="P4368" t="s">
        <v>56</v>
      </c>
      <c r="R4368">
        <f>tblDailySchedule[[#This Row],[Capacity Approx]]*'[1]Load Factor Sheet June Acft  '!$B$5</f>
        <v>187.86727272727273</v>
      </c>
      <c r="S4368">
        <f>tblDailySchedule[[#This Row],[Capacity Approx]]*'[1]Load Factor Sheet June Acft  '!$D$5</f>
        <v>203.4218181818182</v>
      </c>
      <c r="T4368" s="22">
        <f>tblDailySchedule[[#This Row],[STD]]</f>
        <v>0.69791666666666663</v>
      </c>
    </row>
    <row r="4369" spans="1:20" hidden="1" x14ac:dyDescent="0.35">
      <c r="A4369" s="11">
        <v>46267</v>
      </c>
      <c r="B4369" s="3">
        <v>3</v>
      </c>
      <c r="C4369" t="s">
        <v>113</v>
      </c>
      <c r="D4369" t="s">
        <v>18</v>
      </c>
      <c r="E4369" s="3">
        <v>19</v>
      </c>
      <c r="F4369" t="s">
        <v>19</v>
      </c>
      <c r="G4369" t="s">
        <v>73</v>
      </c>
      <c r="H4369" t="s">
        <v>27</v>
      </c>
      <c r="I4369" s="12">
        <v>0.74652777777777779</v>
      </c>
      <c r="J4369" t="s">
        <v>74</v>
      </c>
      <c r="K4369" t="s">
        <v>27</v>
      </c>
      <c r="L4369" s="12">
        <v>0.77430555555555558</v>
      </c>
      <c r="M4369" t="s">
        <v>63</v>
      </c>
      <c r="N4369" s="3">
        <v>232</v>
      </c>
      <c r="O4369" t="s">
        <v>24</v>
      </c>
      <c r="P4369" t="s">
        <v>56</v>
      </c>
      <c r="R4369">
        <f>tblDailySchedule[[#This Row],[Capacity Approx]]*'[1]Load Factor Sheet June Acft  '!$B$5</f>
        <v>187.86727272727273</v>
      </c>
      <c r="S4369">
        <f>tblDailySchedule[[#This Row],[Capacity Approx]]*'[1]Load Factor Sheet June Acft  '!$D$5</f>
        <v>203.4218181818182</v>
      </c>
      <c r="T4369" s="22">
        <f>tblDailySchedule[[#This Row],[STD]]</f>
        <v>0.77430555555555558</v>
      </c>
    </row>
    <row r="4370" spans="1:20" hidden="1" x14ac:dyDescent="0.35">
      <c r="A4370" s="11">
        <v>46267</v>
      </c>
      <c r="B4370" s="3">
        <v>3</v>
      </c>
      <c r="C4370" t="s">
        <v>113</v>
      </c>
      <c r="D4370" t="s">
        <v>18</v>
      </c>
      <c r="E4370" s="3">
        <v>20</v>
      </c>
      <c r="F4370" t="s">
        <v>34</v>
      </c>
      <c r="G4370" t="s">
        <v>75</v>
      </c>
      <c r="H4370" t="s">
        <v>76</v>
      </c>
      <c r="I4370" s="12">
        <v>0.76388888888888884</v>
      </c>
      <c r="J4370" t="s">
        <v>77</v>
      </c>
      <c r="K4370" t="s">
        <v>78</v>
      </c>
      <c r="L4370" s="12">
        <v>0.78472222222222221</v>
      </c>
      <c r="M4370" t="s">
        <v>51</v>
      </c>
      <c r="N4370" s="3">
        <v>78</v>
      </c>
      <c r="O4370" t="s">
        <v>24</v>
      </c>
      <c r="P4370" t="s">
        <v>79</v>
      </c>
      <c r="Q4370" s="16" t="s">
        <v>80</v>
      </c>
      <c r="R4370">
        <f>tblDailySchedule[[#This Row],[Capacity Approx]]*'[1]Load Factor Sheet June Acft  '!$B$5</f>
        <v>63.162272727272729</v>
      </c>
      <c r="S4370">
        <f>tblDailySchedule[[#This Row],[Capacity Approx]]*'[1]Load Factor Sheet June Acft  '!$D$5</f>
        <v>68.391818181818181</v>
      </c>
      <c r="T4370" s="22">
        <f>tblDailySchedule[[#This Row],[STD]]</f>
        <v>0.78472222222222221</v>
      </c>
    </row>
    <row r="4371" spans="1:20" hidden="1" x14ac:dyDescent="0.35">
      <c r="A4371" s="11">
        <v>46267</v>
      </c>
      <c r="B4371" s="3">
        <v>3</v>
      </c>
      <c r="C4371" t="s">
        <v>113</v>
      </c>
      <c r="D4371" t="s">
        <v>18</v>
      </c>
      <c r="E4371" s="3">
        <v>21</v>
      </c>
      <c r="F4371" t="s">
        <v>19</v>
      </c>
      <c r="G4371" t="s">
        <v>81</v>
      </c>
      <c r="H4371" t="s">
        <v>61</v>
      </c>
      <c r="I4371" s="12">
        <v>0.77083333333333337</v>
      </c>
      <c r="J4371" t="s">
        <v>82</v>
      </c>
      <c r="K4371" t="s">
        <v>49</v>
      </c>
      <c r="L4371" s="12">
        <v>0.79166666666666663</v>
      </c>
      <c r="M4371" t="s">
        <v>33</v>
      </c>
      <c r="N4371" s="3">
        <v>189</v>
      </c>
      <c r="O4371" t="s">
        <v>24</v>
      </c>
      <c r="P4371" t="s">
        <v>79</v>
      </c>
      <c r="R4371">
        <f>tblDailySchedule[[#This Row],[Capacity Approx]]*'[1]Load Factor Sheet June Acft  '!$B$5</f>
        <v>153.04704545454547</v>
      </c>
      <c r="S4371">
        <f>tblDailySchedule[[#This Row],[Capacity Approx]]*'[1]Load Factor Sheet June Acft  '!$D$5</f>
        <v>165.71863636363636</v>
      </c>
      <c r="T4371" s="22">
        <f>tblDailySchedule[[#This Row],[STD]]</f>
        <v>0.79166666666666663</v>
      </c>
    </row>
    <row r="4372" spans="1:20" hidden="1" x14ac:dyDescent="0.35">
      <c r="A4372" s="11">
        <v>46267</v>
      </c>
      <c r="B4372" s="3">
        <v>3</v>
      </c>
      <c r="C4372" t="s">
        <v>113</v>
      </c>
      <c r="D4372" t="s">
        <v>18</v>
      </c>
      <c r="E4372" s="3">
        <v>22</v>
      </c>
      <c r="F4372" t="s">
        <v>19</v>
      </c>
      <c r="G4372" t="s">
        <v>83</v>
      </c>
      <c r="H4372" t="s">
        <v>31</v>
      </c>
      <c r="I4372" s="12">
        <v>0.77777777777777779</v>
      </c>
      <c r="J4372" t="s">
        <v>84</v>
      </c>
      <c r="K4372" t="s">
        <v>31</v>
      </c>
      <c r="L4372" s="12">
        <v>0.80555555555555558</v>
      </c>
      <c r="M4372" t="s">
        <v>63</v>
      </c>
      <c r="N4372" s="3">
        <v>232</v>
      </c>
      <c r="O4372" t="s">
        <v>24</v>
      </c>
      <c r="P4372" t="s">
        <v>79</v>
      </c>
      <c r="R4372">
        <f>tblDailySchedule[[#This Row],[Capacity Approx]]*'[1]Load Factor Sheet June Acft  '!$B$5</f>
        <v>187.86727272727273</v>
      </c>
      <c r="S4372">
        <f>tblDailySchedule[[#This Row],[Capacity Approx]]*'[1]Load Factor Sheet June Acft  '!$D$5</f>
        <v>203.4218181818182</v>
      </c>
      <c r="T4372" s="22">
        <f>tblDailySchedule[[#This Row],[STD]]</f>
        <v>0.80555555555555558</v>
      </c>
    </row>
    <row r="4373" spans="1:20" hidden="1" x14ac:dyDescent="0.35">
      <c r="A4373" s="11">
        <v>46267</v>
      </c>
      <c r="B4373" s="3">
        <v>3</v>
      </c>
      <c r="C4373" t="s">
        <v>113</v>
      </c>
      <c r="D4373" t="s">
        <v>18</v>
      </c>
      <c r="E4373" s="3">
        <v>23</v>
      </c>
      <c r="F4373" t="s">
        <v>19</v>
      </c>
      <c r="G4373" t="s">
        <v>85</v>
      </c>
      <c r="H4373" t="s">
        <v>86</v>
      </c>
      <c r="I4373" s="12">
        <v>0.79861111111111116</v>
      </c>
      <c r="J4373" t="s">
        <v>87</v>
      </c>
      <c r="K4373" t="s">
        <v>86</v>
      </c>
      <c r="L4373" s="12">
        <v>0.82638888888888884</v>
      </c>
      <c r="M4373" t="s">
        <v>63</v>
      </c>
      <c r="N4373" s="3">
        <v>232</v>
      </c>
      <c r="O4373" t="s">
        <v>24</v>
      </c>
      <c r="P4373" t="s">
        <v>79</v>
      </c>
      <c r="R4373">
        <f>tblDailySchedule[[#This Row],[Capacity Approx]]*'[1]Load Factor Sheet June Acft  '!$B$5</f>
        <v>187.86727272727273</v>
      </c>
      <c r="S4373">
        <f>tblDailySchedule[[#This Row],[Capacity Approx]]*'[1]Load Factor Sheet June Acft  '!$D$5</f>
        <v>203.4218181818182</v>
      </c>
      <c r="T4373" s="22">
        <f>tblDailySchedule[[#This Row],[STD]]</f>
        <v>0.82638888888888884</v>
      </c>
    </row>
    <row r="4374" spans="1:20" hidden="1" x14ac:dyDescent="0.35">
      <c r="A4374" s="11">
        <v>46267</v>
      </c>
      <c r="B4374" s="3">
        <v>3</v>
      </c>
      <c r="C4374" t="s">
        <v>113</v>
      </c>
      <c r="D4374" t="s">
        <v>18</v>
      </c>
      <c r="E4374" s="3">
        <v>24</v>
      </c>
      <c r="F4374" t="s">
        <v>19</v>
      </c>
      <c r="G4374" t="s">
        <v>88</v>
      </c>
      <c r="H4374" t="s">
        <v>89</v>
      </c>
      <c r="I4374" s="12">
        <v>0.83333333333333337</v>
      </c>
      <c r="J4374" t="s">
        <v>90</v>
      </c>
      <c r="K4374" t="s">
        <v>31</v>
      </c>
      <c r="L4374" s="12">
        <v>0.86111111111111116</v>
      </c>
      <c r="M4374" t="s">
        <v>63</v>
      </c>
      <c r="N4374" s="3">
        <v>232</v>
      </c>
      <c r="O4374" t="s">
        <v>24</v>
      </c>
      <c r="P4374" t="s">
        <v>79</v>
      </c>
      <c r="R4374">
        <f>tblDailySchedule[[#This Row],[Capacity Approx]]*'[1]Load Factor Sheet June Acft  '!$B$5</f>
        <v>187.86727272727273</v>
      </c>
      <c r="S4374">
        <f>tblDailySchedule[[#This Row],[Capacity Approx]]*'[1]Load Factor Sheet June Acft  '!$D$5</f>
        <v>203.4218181818182</v>
      </c>
      <c r="T4374" s="22">
        <f>tblDailySchedule[[#This Row],[STD]]</f>
        <v>0.86111111111111116</v>
      </c>
    </row>
    <row r="4375" spans="1:20" hidden="1" x14ac:dyDescent="0.35">
      <c r="A4375" s="11">
        <v>46267</v>
      </c>
      <c r="B4375" s="3">
        <v>3</v>
      </c>
      <c r="C4375" t="s">
        <v>113</v>
      </c>
      <c r="D4375" t="s">
        <v>18</v>
      </c>
      <c r="E4375" s="3">
        <v>25</v>
      </c>
      <c r="F4375" t="s">
        <v>19</v>
      </c>
      <c r="G4375" t="s">
        <v>91</v>
      </c>
      <c r="H4375" t="s">
        <v>61</v>
      </c>
      <c r="I4375" s="12">
        <v>0.85416666666666663</v>
      </c>
      <c r="J4375" t="s">
        <v>92</v>
      </c>
      <c r="K4375" t="s">
        <v>61</v>
      </c>
      <c r="L4375" s="12">
        <v>0.88194444444444442</v>
      </c>
      <c r="M4375" t="s">
        <v>63</v>
      </c>
      <c r="N4375" s="3">
        <v>232</v>
      </c>
      <c r="O4375" t="s">
        <v>24</v>
      </c>
      <c r="P4375" t="s">
        <v>79</v>
      </c>
      <c r="R4375">
        <f>tblDailySchedule[[#This Row],[Capacity Approx]]*'[1]Load Factor Sheet June Acft  '!$B$5</f>
        <v>187.86727272727273</v>
      </c>
      <c r="S4375">
        <f>tblDailySchedule[[#This Row],[Capacity Approx]]*'[1]Load Factor Sheet June Acft  '!$D$5</f>
        <v>203.4218181818182</v>
      </c>
      <c r="T4375" s="22">
        <f>tblDailySchedule[[#This Row],[STD]]</f>
        <v>0.88194444444444442</v>
      </c>
    </row>
    <row r="4376" spans="1:20" hidden="1" x14ac:dyDescent="0.35">
      <c r="A4376" s="11">
        <v>46267</v>
      </c>
      <c r="B4376" s="3">
        <v>3</v>
      </c>
      <c r="C4376" t="s">
        <v>113</v>
      </c>
      <c r="D4376" t="s">
        <v>18</v>
      </c>
      <c r="E4376" s="3">
        <v>26</v>
      </c>
      <c r="F4376" t="s">
        <v>19</v>
      </c>
      <c r="G4376" t="s">
        <v>93</v>
      </c>
      <c r="H4376" t="s">
        <v>31</v>
      </c>
      <c r="I4376" s="12">
        <v>0.86111111111111116</v>
      </c>
      <c r="J4376" t="s">
        <v>94</v>
      </c>
      <c r="K4376" t="s">
        <v>31</v>
      </c>
      <c r="L4376" s="12">
        <v>0.88888888888888884</v>
      </c>
      <c r="M4376" t="s">
        <v>23</v>
      </c>
      <c r="N4376" s="3">
        <v>186</v>
      </c>
      <c r="O4376" t="s">
        <v>24</v>
      </c>
      <c r="P4376" t="s">
        <v>79</v>
      </c>
      <c r="R4376">
        <f>tblDailySchedule[[#This Row],[Capacity Approx]]*'[1]Load Factor Sheet June Acft  '!$B$5</f>
        <v>150.61772727272728</v>
      </c>
      <c r="S4376">
        <f>tblDailySchedule[[#This Row],[Capacity Approx]]*'[1]Load Factor Sheet June Acft  '!$D$5</f>
        <v>163.08818181818182</v>
      </c>
      <c r="T4376" s="22">
        <f>tblDailySchedule[[#This Row],[STD]]</f>
        <v>0.88888888888888884</v>
      </c>
    </row>
    <row r="4377" spans="1:20" hidden="1" x14ac:dyDescent="0.35">
      <c r="A4377" s="11">
        <v>46267</v>
      </c>
      <c r="B4377" s="3">
        <v>3</v>
      </c>
      <c r="C4377" t="s">
        <v>113</v>
      </c>
      <c r="D4377" t="s">
        <v>18</v>
      </c>
      <c r="E4377" s="3">
        <v>27</v>
      </c>
      <c r="F4377" t="s">
        <v>19</v>
      </c>
      <c r="G4377" t="s">
        <v>95</v>
      </c>
      <c r="H4377" t="s">
        <v>21</v>
      </c>
      <c r="I4377" s="12">
        <v>0.86805555555555558</v>
      </c>
      <c r="J4377" t="s">
        <v>96</v>
      </c>
      <c r="K4377" t="s">
        <v>21</v>
      </c>
      <c r="L4377" s="12">
        <v>0.89583333333333337</v>
      </c>
      <c r="M4377" t="s">
        <v>29</v>
      </c>
      <c r="N4377" s="3">
        <v>186</v>
      </c>
      <c r="O4377" t="s">
        <v>24</v>
      </c>
      <c r="P4377" t="s">
        <v>79</v>
      </c>
      <c r="R4377">
        <f>tblDailySchedule[[#This Row],[Capacity Approx]]*'[1]Load Factor Sheet June Acft  '!$B$5</f>
        <v>150.61772727272728</v>
      </c>
      <c r="S4377">
        <f>tblDailySchedule[[#This Row],[Capacity Approx]]*'[1]Load Factor Sheet June Acft  '!$D$5</f>
        <v>163.08818181818182</v>
      </c>
      <c r="T4377" s="22">
        <f>tblDailySchedule[[#This Row],[STD]]</f>
        <v>0.89583333333333337</v>
      </c>
    </row>
    <row r="4378" spans="1:20" hidden="1" x14ac:dyDescent="0.35">
      <c r="A4378" s="11">
        <v>46267</v>
      </c>
      <c r="B4378" s="3">
        <v>3</v>
      </c>
      <c r="C4378" t="s">
        <v>113</v>
      </c>
      <c r="D4378" t="s">
        <v>18</v>
      </c>
      <c r="E4378" s="3">
        <v>28</v>
      </c>
      <c r="F4378" t="s">
        <v>19</v>
      </c>
      <c r="G4378" t="s">
        <v>97</v>
      </c>
      <c r="H4378" t="s">
        <v>49</v>
      </c>
      <c r="I4378" s="12">
        <v>0.90277777777777779</v>
      </c>
      <c r="J4378" t="s">
        <v>97</v>
      </c>
      <c r="K4378" t="s">
        <v>61</v>
      </c>
      <c r="L4378" s="12">
        <v>0.92361111111111116</v>
      </c>
      <c r="M4378" t="s">
        <v>33</v>
      </c>
      <c r="N4378" s="3">
        <v>189</v>
      </c>
      <c r="O4378" t="s">
        <v>24</v>
      </c>
      <c r="P4378" t="s">
        <v>79</v>
      </c>
      <c r="R4378">
        <f>tblDailySchedule[[#This Row],[Capacity Approx]]*'[1]Load Factor Sheet June Acft  '!$B$5</f>
        <v>153.04704545454547</v>
      </c>
      <c r="S4378">
        <f>tblDailySchedule[[#This Row],[Capacity Approx]]*'[1]Load Factor Sheet June Acft  '!$D$5</f>
        <v>165.71863636363636</v>
      </c>
      <c r="T4378" s="22">
        <f>tblDailySchedule[[#This Row],[STD]]</f>
        <v>0.92361111111111116</v>
      </c>
    </row>
    <row r="4379" spans="1:20" hidden="1" x14ac:dyDescent="0.35">
      <c r="A4379" s="11">
        <v>46267</v>
      </c>
      <c r="B4379" s="3">
        <v>3</v>
      </c>
      <c r="C4379" t="s">
        <v>113</v>
      </c>
      <c r="D4379" t="s">
        <v>18</v>
      </c>
      <c r="E4379" s="3">
        <v>29</v>
      </c>
      <c r="F4379" t="s">
        <v>19</v>
      </c>
      <c r="G4379" t="s">
        <v>98</v>
      </c>
      <c r="H4379" t="s">
        <v>21</v>
      </c>
      <c r="I4379" s="12">
        <v>0.92013888888888884</v>
      </c>
      <c r="J4379" t="s">
        <v>99</v>
      </c>
      <c r="K4379" t="s">
        <v>21</v>
      </c>
      <c r="L4379" s="12">
        <v>0.94791666666666663</v>
      </c>
      <c r="M4379" t="s">
        <v>63</v>
      </c>
      <c r="N4379" s="3">
        <v>232</v>
      </c>
      <c r="O4379" t="s">
        <v>24</v>
      </c>
      <c r="P4379" t="s">
        <v>79</v>
      </c>
      <c r="R4379">
        <f>tblDailySchedule[[#This Row],[Capacity Approx]]*'[1]Load Factor Sheet June Acft  '!$B$5</f>
        <v>187.86727272727273</v>
      </c>
      <c r="S4379">
        <f>tblDailySchedule[[#This Row],[Capacity Approx]]*'[1]Load Factor Sheet June Acft  '!$D$5</f>
        <v>203.4218181818182</v>
      </c>
      <c r="T4379" s="22">
        <f>tblDailySchedule[[#This Row],[STD]]</f>
        <v>0.94791666666666663</v>
      </c>
    </row>
    <row r="4380" spans="1:20" hidden="1" x14ac:dyDescent="0.35">
      <c r="A4380" s="13">
        <v>46267</v>
      </c>
      <c r="B4380" s="7">
        <v>3</v>
      </c>
      <c r="C4380" s="14" t="s">
        <v>113</v>
      </c>
      <c r="D4380" s="14" t="s">
        <v>18</v>
      </c>
      <c r="E4380" s="7">
        <v>30</v>
      </c>
      <c r="F4380" s="14" t="s">
        <v>104</v>
      </c>
      <c r="G4380" s="14" t="s">
        <v>105</v>
      </c>
      <c r="H4380" s="14" t="s">
        <v>106</v>
      </c>
      <c r="I4380" s="15">
        <v>0.92708333333333337</v>
      </c>
      <c r="J4380" s="14" t="s">
        <v>107</v>
      </c>
      <c r="K4380" s="14" t="s">
        <v>106</v>
      </c>
      <c r="L4380" s="15">
        <v>0.95833333333333337</v>
      </c>
      <c r="M4380" s="14" t="s">
        <v>38</v>
      </c>
      <c r="N4380" s="7">
        <v>186</v>
      </c>
      <c r="O4380" s="14" t="s">
        <v>39</v>
      </c>
      <c r="P4380" s="14" t="s">
        <v>79</v>
      </c>
      <c r="Q4380" s="14" t="s">
        <v>39</v>
      </c>
      <c r="R4380">
        <f>tblDailySchedule[[#This Row],[Capacity Approx]]*'[1]Load Factor Sheet June Acft  '!$B$5</f>
        <v>150.61772727272728</v>
      </c>
      <c r="S4380">
        <f>tblDailySchedule[[#This Row],[Capacity Approx]]*'[1]Load Factor Sheet June Acft  '!$D$5</f>
        <v>163.08818181818182</v>
      </c>
      <c r="T4380" s="22">
        <f>tblDailySchedule[[#This Row],[STD]]</f>
        <v>0.95833333333333337</v>
      </c>
    </row>
    <row r="4381" spans="1:20" hidden="1" x14ac:dyDescent="0.35">
      <c r="A4381" s="11">
        <v>46268</v>
      </c>
      <c r="B4381" s="3">
        <v>4</v>
      </c>
      <c r="C4381" t="s">
        <v>114</v>
      </c>
      <c r="D4381" t="s">
        <v>18</v>
      </c>
      <c r="E4381" s="3">
        <v>1</v>
      </c>
      <c r="F4381" t="s">
        <v>101</v>
      </c>
      <c r="G4381" t="s">
        <v>102</v>
      </c>
      <c r="H4381" t="s">
        <v>61</v>
      </c>
      <c r="I4381" s="12">
        <v>0.3125</v>
      </c>
      <c r="J4381" t="s">
        <v>103</v>
      </c>
      <c r="K4381" t="s">
        <v>61</v>
      </c>
      <c r="L4381" s="12">
        <v>0.33333333333333331</v>
      </c>
      <c r="M4381" t="s">
        <v>33</v>
      </c>
      <c r="N4381" s="3">
        <v>189</v>
      </c>
      <c r="O4381" t="s">
        <v>24</v>
      </c>
      <c r="P4381" t="s">
        <v>25</v>
      </c>
      <c r="R4381">
        <f>tblDailySchedule[[#This Row],[Capacity Approx]]*'[1]Load Factor Sheet June Acft  '!$B$5</f>
        <v>153.04704545454547</v>
      </c>
      <c r="S4381">
        <f>tblDailySchedule[[#This Row],[Capacity Approx]]*'[1]Load Factor Sheet June Acft  '!$D$5</f>
        <v>165.71863636363636</v>
      </c>
      <c r="T4381" s="22">
        <f>tblDailySchedule[[#This Row],[STD]]</f>
        <v>0.33333333333333331</v>
      </c>
    </row>
    <row r="4382" spans="1:20" hidden="1" x14ac:dyDescent="0.35">
      <c r="A4382" s="11">
        <v>46268</v>
      </c>
      <c r="B4382" s="3">
        <v>4</v>
      </c>
      <c r="C4382" t="s">
        <v>114</v>
      </c>
      <c r="D4382" t="s">
        <v>18</v>
      </c>
      <c r="E4382" s="3">
        <v>2</v>
      </c>
      <c r="F4382" t="s">
        <v>19</v>
      </c>
      <c r="G4382" t="s">
        <v>20</v>
      </c>
      <c r="H4382" t="s">
        <v>21</v>
      </c>
      <c r="I4382" s="12">
        <v>0.31944444444444442</v>
      </c>
      <c r="J4382" t="s">
        <v>22</v>
      </c>
      <c r="K4382" t="s">
        <v>21</v>
      </c>
      <c r="L4382" s="12">
        <v>0.34722222222222221</v>
      </c>
      <c r="M4382" t="s">
        <v>23</v>
      </c>
      <c r="N4382" s="3">
        <v>186</v>
      </c>
      <c r="O4382" t="s">
        <v>24</v>
      </c>
      <c r="P4382" t="s">
        <v>25</v>
      </c>
      <c r="R4382">
        <f>tblDailySchedule[[#This Row],[Capacity Approx]]*'[1]Load Factor Sheet June Acft  '!$B$5</f>
        <v>150.61772727272728</v>
      </c>
      <c r="S4382">
        <f>tblDailySchedule[[#This Row],[Capacity Approx]]*'[1]Load Factor Sheet June Acft  '!$D$5</f>
        <v>163.08818181818182</v>
      </c>
      <c r="T4382" s="22">
        <f>tblDailySchedule[[#This Row],[STD]]</f>
        <v>0.34722222222222221</v>
      </c>
    </row>
    <row r="4383" spans="1:20" hidden="1" x14ac:dyDescent="0.35">
      <c r="A4383" s="11">
        <v>46268</v>
      </c>
      <c r="B4383" s="3">
        <v>4</v>
      </c>
      <c r="C4383" t="s">
        <v>114</v>
      </c>
      <c r="D4383" t="s">
        <v>18</v>
      </c>
      <c r="E4383" s="3">
        <v>3</v>
      </c>
      <c r="F4383" t="s">
        <v>19</v>
      </c>
      <c r="G4383" t="s">
        <v>26</v>
      </c>
      <c r="H4383" t="s">
        <v>27</v>
      </c>
      <c r="I4383" s="12">
        <v>0.3263888888888889</v>
      </c>
      <c r="J4383" t="s">
        <v>28</v>
      </c>
      <c r="K4383" t="s">
        <v>27</v>
      </c>
      <c r="L4383" s="12">
        <v>0.35416666666666669</v>
      </c>
      <c r="M4383" t="s">
        <v>29</v>
      </c>
      <c r="N4383" s="3">
        <v>186</v>
      </c>
      <c r="O4383" t="s">
        <v>24</v>
      </c>
      <c r="P4383" t="s">
        <v>25</v>
      </c>
      <c r="R4383">
        <f>tblDailySchedule[[#This Row],[Capacity Approx]]*'[1]Load Factor Sheet June Acft  '!$B$5</f>
        <v>150.61772727272728</v>
      </c>
      <c r="S4383">
        <f>tblDailySchedule[[#This Row],[Capacity Approx]]*'[1]Load Factor Sheet June Acft  '!$D$5</f>
        <v>163.08818181818182</v>
      </c>
      <c r="T4383" s="22">
        <f>tblDailySchedule[[#This Row],[STD]]</f>
        <v>0.35416666666666669</v>
      </c>
    </row>
    <row r="4384" spans="1:20" hidden="1" x14ac:dyDescent="0.35">
      <c r="A4384" s="11">
        <v>46268</v>
      </c>
      <c r="B4384" s="3">
        <v>4</v>
      </c>
      <c r="C4384" t="s">
        <v>114</v>
      </c>
      <c r="D4384" t="s">
        <v>18</v>
      </c>
      <c r="E4384" s="3">
        <v>4</v>
      </c>
      <c r="F4384" t="s">
        <v>19</v>
      </c>
      <c r="G4384" t="s">
        <v>30</v>
      </c>
      <c r="H4384" t="s">
        <v>31</v>
      </c>
      <c r="I4384" s="12">
        <v>0.34722222222222221</v>
      </c>
      <c r="J4384" t="s">
        <v>32</v>
      </c>
      <c r="K4384" t="s">
        <v>31</v>
      </c>
      <c r="L4384" s="12">
        <v>0.36805555555555558</v>
      </c>
      <c r="M4384" t="s">
        <v>33</v>
      </c>
      <c r="N4384" s="3">
        <v>189</v>
      </c>
      <c r="O4384" t="s">
        <v>24</v>
      </c>
      <c r="P4384" t="s">
        <v>25</v>
      </c>
      <c r="R4384">
        <f>tblDailySchedule[[#This Row],[Capacity Approx]]*'[1]Load Factor Sheet June Acft  '!$B$5</f>
        <v>153.04704545454547</v>
      </c>
      <c r="S4384">
        <f>tblDailySchedule[[#This Row],[Capacity Approx]]*'[1]Load Factor Sheet June Acft  '!$D$5</f>
        <v>165.71863636363636</v>
      </c>
      <c r="T4384" s="22">
        <f>tblDailySchedule[[#This Row],[STD]]</f>
        <v>0.36805555555555558</v>
      </c>
    </row>
    <row r="4385" spans="1:20" hidden="1" x14ac:dyDescent="0.35">
      <c r="A4385" s="11">
        <v>46268</v>
      </c>
      <c r="B4385" s="3">
        <v>4</v>
      </c>
      <c r="C4385" t="s">
        <v>114</v>
      </c>
      <c r="D4385" t="s">
        <v>18</v>
      </c>
      <c r="E4385" s="3">
        <v>5</v>
      </c>
      <c r="F4385" t="s">
        <v>19</v>
      </c>
      <c r="G4385" t="s">
        <v>40</v>
      </c>
      <c r="H4385" t="s">
        <v>31</v>
      </c>
      <c r="I4385" s="12">
        <v>0.35069444444444442</v>
      </c>
      <c r="J4385" t="s">
        <v>41</v>
      </c>
      <c r="K4385" t="s">
        <v>31</v>
      </c>
      <c r="L4385" s="12">
        <v>0.37152777777777779</v>
      </c>
      <c r="M4385" t="s">
        <v>23</v>
      </c>
      <c r="N4385" s="3">
        <v>186</v>
      </c>
      <c r="O4385" t="s">
        <v>24</v>
      </c>
      <c r="P4385" t="s">
        <v>25</v>
      </c>
      <c r="R4385">
        <f>tblDailySchedule[[#This Row],[Capacity Approx]]*'[1]Load Factor Sheet June Acft  '!$B$5</f>
        <v>150.61772727272728</v>
      </c>
      <c r="S4385">
        <f>tblDailySchedule[[#This Row],[Capacity Approx]]*'[1]Load Factor Sheet June Acft  '!$D$5</f>
        <v>163.08818181818182</v>
      </c>
      <c r="T4385" s="22">
        <f>tblDailySchedule[[#This Row],[STD]]</f>
        <v>0.37152777777777779</v>
      </c>
    </row>
    <row r="4386" spans="1:20" hidden="1" x14ac:dyDescent="0.35">
      <c r="A4386" s="11">
        <v>46268</v>
      </c>
      <c r="B4386" s="3">
        <v>4</v>
      </c>
      <c r="C4386" t="s">
        <v>114</v>
      </c>
      <c r="D4386" t="s">
        <v>18</v>
      </c>
      <c r="E4386" s="3">
        <v>7</v>
      </c>
      <c r="F4386" t="s">
        <v>19</v>
      </c>
      <c r="G4386" t="s">
        <v>42</v>
      </c>
      <c r="H4386" t="s">
        <v>43</v>
      </c>
      <c r="I4386" s="12">
        <v>0.3923611111111111</v>
      </c>
      <c r="J4386" t="s">
        <v>44</v>
      </c>
      <c r="K4386" t="s">
        <v>43</v>
      </c>
      <c r="L4386" s="12">
        <v>0.40277777777777779</v>
      </c>
      <c r="M4386" t="s">
        <v>45</v>
      </c>
      <c r="N4386" s="3">
        <v>9</v>
      </c>
      <c r="O4386" t="s">
        <v>24</v>
      </c>
      <c r="P4386" t="s">
        <v>25</v>
      </c>
      <c r="R4386">
        <f>tblDailySchedule[[#This Row],[Capacity Approx]]*'[1]Load Factor Sheet June Acft  '!$B$5</f>
        <v>7.2879545454545456</v>
      </c>
      <c r="S4386">
        <f>tblDailySchedule[[#This Row],[Capacity Approx]]*'[1]Load Factor Sheet June Acft  '!$D$5</f>
        <v>7.8913636363636366</v>
      </c>
      <c r="T4386" s="22">
        <f>tblDailySchedule[[#This Row],[STD]]</f>
        <v>0.40277777777777779</v>
      </c>
    </row>
    <row r="4387" spans="1:20" hidden="1" x14ac:dyDescent="0.35">
      <c r="A4387" s="11">
        <v>46268</v>
      </c>
      <c r="B4387" s="3">
        <v>4</v>
      </c>
      <c r="C4387" t="s">
        <v>114</v>
      </c>
      <c r="D4387" t="s">
        <v>18</v>
      </c>
      <c r="E4387" s="3">
        <v>8</v>
      </c>
      <c r="F4387" t="s">
        <v>19</v>
      </c>
      <c r="G4387" t="s">
        <v>46</v>
      </c>
      <c r="H4387" t="s">
        <v>31</v>
      </c>
      <c r="I4387" s="12">
        <v>0.4201388888888889</v>
      </c>
      <c r="J4387" t="s">
        <v>47</v>
      </c>
      <c r="K4387" t="s">
        <v>31</v>
      </c>
      <c r="L4387" s="12">
        <v>0.44444444444444442</v>
      </c>
      <c r="M4387" t="s">
        <v>29</v>
      </c>
      <c r="N4387" s="3">
        <v>186</v>
      </c>
      <c r="O4387" t="s">
        <v>24</v>
      </c>
      <c r="P4387" t="s">
        <v>25</v>
      </c>
      <c r="R4387">
        <f>tblDailySchedule[[#This Row],[Capacity Approx]]*'[1]Load Factor Sheet June Acft  '!$B$5</f>
        <v>150.61772727272728</v>
      </c>
      <c r="S4387">
        <f>tblDailySchedule[[#This Row],[Capacity Approx]]*'[1]Load Factor Sheet June Acft  '!$D$5</f>
        <v>163.08818181818182</v>
      </c>
      <c r="T4387" s="22">
        <f>tblDailySchedule[[#This Row],[STD]]</f>
        <v>0.44444444444444442</v>
      </c>
    </row>
    <row r="4388" spans="1:20" hidden="1" x14ac:dyDescent="0.35">
      <c r="A4388" s="11">
        <v>46268</v>
      </c>
      <c r="B4388" s="3">
        <v>4</v>
      </c>
      <c r="C4388" t="s">
        <v>114</v>
      </c>
      <c r="D4388" t="s">
        <v>18</v>
      </c>
      <c r="E4388" s="3">
        <v>9</v>
      </c>
      <c r="F4388" t="s">
        <v>19</v>
      </c>
      <c r="G4388" t="s">
        <v>48</v>
      </c>
      <c r="H4388" t="s">
        <v>49</v>
      </c>
      <c r="I4388" s="12">
        <v>0.4375</v>
      </c>
      <c r="J4388" t="s">
        <v>50</v>
      </c>
      <c r="K4388" t="s">
        <v>49</v>
      </c>
      <c r="L4388" s="12">
        <v>0.45833333333333331</v>
      </c>
      <c r="M4388" t="s">
        <v>51</v>
      </c>
      <c r="N4388" s="3">
        <v>78</v>
      </c>
      <c r="O4388" t="s">
        <v>24</v>
      </c>
      <c r="P4388" t="s">
        <v>25</v>
      </c>
      <c r="R4388">
        <f>tblDailySchedule[[#This Row],[Capacity Approx]]*'[1]Load Factor Sheet June Acft  '!$B$5</f>
        <v>63.162272727272729</v>
      </c>
      <c r="S4388">
        <f>tblDailySchedule[[#This Row],[Capacity Approx]]*'[1]Load Factor Sheet June Acft  '!$D$5</f>
        <v>68.391818181818181</v>
      </c>
      <c r="T4388" s="22">
        <f>tblDailySchedule[[#This Row],[STD]]</f>
        <v>0.45833333333333331</v>
      </c>
    </row>
    <row r="4389" spans="1:20" hidden="1" x14ac:dyDescent="0.35">
      <c r="A4389" s="11">
        <v>46268</v>
      </c>
      <c r="B4389" s="3">
        <v>4</v>
      </c>
      <c r="C4389" t="s">
        <v>114</v>
      </c>
      <c r="D4389" t="s">
        <v>18</v>
      </c>
      <c r="E4389" s="3">
        <v>10</v>
      </c>
      <c r="F4389" t="s">
        <v>19</v>
      </c>
      <c r="G4389" t="s">
        <v>52</v>
      </c>
      <c r="H4389" t="s">
        <v>27</v>
      </c>
      <c r="I4389" s="12">
        <v>0.4826388888888889</v>
      </c>
      <c r="J4389" t="s">
        <v>53</v>
      </c>
      <c r="K4389" t="s">
        <v>27</v>
      </c>
      <c r="L4389" s="12">
        <v>0.51041666666666663</v>
      </c>
      <c r="M4389" t="s">
        <v>23</v>
      </c>
      <c r="N4389" s="3">
        <v>186</v>
      </c>
      <c r="O4389" t="s">
        <v>24</v>
      </c>
      <c r="P4389" t="s">
        <v>25</v>
      </c>
      <c r="R4389">
        <f>tblDailySchedule[[#This Row],[Capacity Approx]]*'[1]Load Factor Sheet June Acft  '!$B$5</f>
        <v>150.61772727272728</v>
      </c>
      <c r="S4389">
        <f>tblDailySchedule[[#This Row],[Capacity Approx]]*'[1]Load Factor Sheet June Acft  '!$D$5</f>
        <v>163.08818181818182</v>
      </c>
      <c r="T4389" s="22">
        <f>tblDailySchedule[[#This Row],[STD]]</f>
        <v>0.51041666666666663</v>
      </c>
    </row>
    <row r="4390" spans="1:20" hidden="1" x14ac:dyDescent="0.35">
      <c r="A4390" s="11">
        <v>46268</v>
      </c>
      <c r="B4390" s="3">
        <v>4</v>
      </c>
      <c r="C4390" t="s">
        <v>114</v>
      </c>
      <c r="D4390" t="s">
        <v>18</v>
      </c>
      <c r="E4390" s="3">
        <v>11</v>
      </c>
      <c r="F4390" t="s">
        <v>19</v>
      </c>
      <c r="G4390" t="s">
        <v>54</v>
      </c>
      <c r="H4390" t="s">
        <v>31</v>
      </c>
      <c r="I4390" s="12">
        <v>0.51388888888888884</v>
      </c>
      <c r="J4390" t="s">
        <v>55</v>
      </c>
      <c r="K4390" t="s">
        <v>31</v>
      </c>
      <c r="L4390" s="12">
        <v>0.54166666666666663</v>
      </c>
      <c r="M4390" t="s">
        <v>23</v>
      </c>
      <c r="N4390" s="3">
        <v>186</v>
      </c>
      <c r="O4390" t="s">
        <v>24</v>
      </c>
      <c r="P4390" t="s">
        <v>56</v>
      </c>
      <c r="R4390">
        <f>tblDailySchedule[[#This Row],[Capacity Approx]]*'[1]Load Factor Sheet June Acft  '!$B$5</f>
        <v>150.61772727272728</v>
      </c>
      <c r="S4390">
        <f>tblDailySchedule[[#This Row],[Capacity Approx]]*'[1]Load Factor Sheet June Acft  '!$D$5</f>
        <v>163.08818181818182</v>
      </c>
      <c r="T4390" s="22">
        <f>tblDailySchedule[[#This Row],[STD]]</f>
        <v>0.54166666666666663</v>
      </c>
    </row>
    <row r="4391" spans="1:20" hidden="1" x14ac:dyDescent="0.35">
      <c r="A4391" s="11">
        <v>46268</v>
      </c>
      <c r="B4391" s="3">
        <v>4</v>
      </c>
      <c r="C4391" t="s">
        <v>114</v>
      </c>
      <c r="D4391" t="s">
        <v>18</v>
      </c>
      <c r="E4391" s="3">
        <v>12</v>
      </c>
      <c r="F4391" t="s">
        <v>109</v>
      </c>
      <c r="G4391" t="s">
        <v>110</v>
      </c>
      <c r="H4391" t="s">
        <v>111</v>
      </c>
      <c r="I4391" s="12">
        <v>0.55555555555555558</v>
      </c>
      <c r="J4391" t="s">
        <v>112</v>
      </c>
      <c r="K4391" t="s">
        <v>111</v>
      </c>
      <c r="L4391" s="12">
        <v>0.56944444444444442</v>
      </c>
      <c r="M4391" t="s">
        <v>51</v>
      </c>
      <c r="N4391" s="3">
        <v>78</v>
      </c>
      <c r="O4391" t="s">
        <v>24</v>
      </c>
      <c r="P4391" t="s">
        <v>56</v>
      </c>
      <c r="R4391">
        <f>tblDailySchedule[[#This Row],[Capacity Approx]]*'[1]Load Factor Sheet June Acft  '!$B$5</f>
        <v>63.162272727272729</v>
      </c>
      <c r="S4391">
        <f>tblDailySchedule[[#This Row],[Capacity Approx]]*'[1]Load Factor Sheet June Acft  '!$D$5</f>
        <v>68.391818181818181</v>
      </c>
      <c r="T4391" s="22">
        <f>tblDailySchedule[[#This Row],[STD]]</f>
        <v>0.56944444444444442</v>
      </c>
    </row>
    <row r="4392" spans="1:20" hidden="1" x14ac:dyDescent="0.35">
      <c r="A4392" s="11">
        <v>46268</v>
      </c>
      <c r="B4392" s="3">
        <v>4</v>
      </c>
      <c r="C4392" t="s">
        <v>114</v>
      </c>
      <c r="D4392" t="s">
        <v>18</v>
      </c>
      <c r="E4392" s="3">
        <v>13</v>
      </c>
      <c r="F4392" t="s">
        <v>19</v>
      </c>
      <c r="G4392" t="s">
        <v>57</v>
      </c>
      <c r="H4392" t="s">
        <v>58</v>
      </c>
      <c r="I4392" s="12">
        <v>0.55902777777777779</v>
      </c>
      <c r="J4392" t="s">
        <v>59</v>
      </c>
      <c r="K4392" t="s">
        <v>58</v>
      </c>
      <c r="L4392" s="12">
        <v>0.57638888888888884</v>
      </c>
      <c r="M4392" t="s">
        <v>51</v>
      </c>
      <c r="N4392" s="3">
        <v>78</v>
      </c>
      <c r="O4392" t="s">
        <v>24</v>
      </c>
      <c r="P4392" t="s">
        <v>56</v>
      </c>
      <c r="R4392">
        <f>tblDailySchedule[[#This Row],[Capacity Approx]]*'[1]Load Factor Sheet June Acft  '!$B$5</f>
        <v>63.162272727272729</v>
      </c>
      <c r="S4392">
        <f>tblDailySchedule[[#This Row],[Capacity Approx]]*'[1]Load Factor Sheet June Acft  '!$D$5</f>
        <v>68.391818181818181</v>
      </c>
      <c r="T4392" s="22">
        <f>tblDailySchedule[[#This Row],[STD]]</f>
        <v>0.57638888888888884</v>
      </c>
    </row>
    <row r="4393" spans="1:20" hidden="1" x14ac:dyDescent="0.35">
      <c r="A4393" s="11">
        <v>46268</v>
      </c>
      <c r="B4393" s="3">
        <v>4</v>
      </c>
      <c r="C4393" t="s">
        <v>114</v>
      </c>
      <c r="D4393" t="s">
        <v>18</v>
      </c>
      <c r="E4393" s="3">
        <v>14</v>
      </c>
      <c r="F4393" t="s">
        <v>19</v>
      </c>
      <c r="G4393" t="s">
        <v>60</v>
      </c>
      <c r="H4393" t="s">
        <v>61</v>
      </c>
      <c r="I4393" s="12">
        <v>0.59027777777777779</v>
      </c>
      <c r="J4393" t="s">
        <v>62</v>
      </c>
      <c r="K4393" t="s">
        <v>61</v>
      </c>
      <c r="L4393" s="12">
        <v>0.62152777777777779</v>
      </c>
      <c r="M4393" t="s">
        <v>63</v>
      </c>
      <c r="N4393" s="3">
        <v>232</v>
      </c>
      <c r="O4393" t="s">
        <v>24</v>
      </c>
      <c r="P4393" t="s">
        <v>56</v>
      </c>
      <c r="R4393">
        <f>tblDailySchedule[[#This Row],[Capacity Approx]]*'[1]Load Factor Sheet June Acft  '!$B$5</f>
        <v>187.86727272727273</v>
      </c>
      <c r="S4393">
        <f>tblDailySchedule[[#This Row],[Capacity Approx]]*'[1]Load Factor Sheet June Acft  '!$D$5</f>
        <v>203.4218181818182</v>
      </c>
      <c r="T4393" s="22">
        <f>tblDailySchedule[[#This Row],[STD]]</f>
        <v>0.62152777777777779</v>
      </c>
    </row>
    <row r="4394" spans="1:20" hidden="1" x14ac:dyDescent="0.35">
      <c r="A4394" s="11">
        <v>46268</v>
      </c>
      <c r="B4394" s="3">
        <v>4</v>
      </c>
      <c r="C4394" t="s">
        <v>114</v>
      </c>
      <c r="D4394" t="s">
        <v>18</v>
      </c>
      <c r="E4394" s="3">
        <v>15</v>
      </c>
      <c r="F4394" t="s">
        <v>19</v>
      </c>
      <c r="G4394" t="s">
        <v>64</v>
      </c>
      <c r="H4394" t="s">
        <v>31</v>
      </c>
      <c r="I4394" s="12">
        <v>0.60069444444444442</v>
      </c>
      <c r="J4394" t="s">
        <v>65</v>
      </c>
      <c r="K4394" t="s">
        <v>66</v>
      </c>
      <c r="L4394" s="12">
        <v>0.62847222222222221</v>
      </c>
      <c r="M4394" t="s">
        <v>63</v>
      </c>
      <c r="N4394" s="3">
        <v>232</v>
      </c>
      <c r="O4394" t="s">
        <v>24</v>
      </c>
      <c r="P4394" t="s">
        <v>56</v>
      </c>
      <c r="R4394">
        <f>tblDailySchedule[[#This Row],[Capacity Approx]]*'[1]Load Factor Sheet June Acft  '!$B$5</f>
        <v>187.86727272727273</v>
      </c>
      <c r="S4394">
        <f>tblDailySchedule[[#This Row],[Capacity Approx]]*'[1]Load Factor Sheet June Acft  '!$D$5</f>
        <v>203.4218181818182</v>
      </c>
      <c r="T4394" s="22">
        <f>tblDailySchedule[[#This Row],[STD]]</f>
        <v>0.62847222222222221</v>
      </c>
    </row>
    <row r="4395" spans="1:20" hidden="1" x14ac:dyDescent="0.35">
      <c r="A4395" s="11">
        <v>46268</v>
      </c>
      <c r="B4395" s="3">
        <v>4</v>
      </c>
      <c r="C4395" t="s">
        <v>114</v>
      </c>
      <c r="D4395" t="s">
        <v>18</v>
      </c>
      <c r="E4395" s="3">
        <v>16</v>
      </c>
      <c r="F4395" t="s">
        <v>19</v>
      </c>
      <c r="G4395" t="s">
        <v>67</v>
      </c>
      <c r="H4395" t="s">
        <v>31</v>
      </c>
      <c r="I4395" s="12">
        <v>0.65625</v>
      </c>
      <c r="J4395" t="s">
        <v>68</v>
      </c>
      <c r="K4395" t="s">
        <v>31</v>
      </c>
      <c r="L4395" s="12">
        <v>0.68402777777777779</v>
      </c>
      <c r="M4395" t="s">
        <v>63</v>
      </c>
      <c r="N4395" s="3">
        <v>232</v>
      </c>
      <c r="O4395" t="s">
        <v>24</v>
      </c>
      <c r="P4395" t="s">
        <v>56</v>
      </c>
      <c r="R4395">
        <f>tblDailySchedule[[#This Row],[Capacity Approx]]*'[1]Load Factor Sheet June Acft  '!$B$5</f>
        <v>187.86727272727273</v>
      </c>
      <c r="S4395">
        <f>tblDailySchedule[[#This Row],[Capacity Approx]]*'[1]Load Factor Sheet June Acft  '!$D$5</f>
        <v>203.4218181818182</v>
      </c>
      <c r="T4395" s="22">
        <f>tblDailySchedule[[#This Row],[STD]]</f>
        <v>0.68402777777777779</v>
      </c>
    </row>
    <row r="4396" spans="1:20" hidden="1" x14ac:dyDescent="0.35">
      <c r="A4396" s="11">
        <v>46268</v>
      </c>
      <c r="B4396" s="3">
        <v>4</v>
      </c>
      <c r="C4396" t="s">
        <v>114</v>
      </c>
      <c r="D4396" t="s">
        <v>18</v>
      </c>
      <c r="E4396" s="3">
        <v>17</v>
      </c>
      <c r="F4396" t="s">
        <v>19</v>
      </c>
      <c r="G4396" t="s">
        <v>69</v>
      </c>
      <c r="H4396" t="s">
        <v>31</v>
      </c>
      <c r="I4396" s="12">
        <v>0.66319444444444442</v>
      </c>
      <c r="J4396" t="s">
        <v>70</v>
      </c>
      <c r="K4396" t="s">
        <v>31</v>
      </c>
      <c r="L4396" s="12">
        <v>0.69097222222222221</v>
      </c>
      <c r="M4396" t="s">
        <v>33</v>
      </c>
      <c r="N4396" s="3">
        <v>189</v>
      </c>
      <c r="O4396" t="s">
        <v>24</v>
      </c>
      <c r="P4396" t="s">
        <v>56</v>
      </c>
      <c r="R4396">
        <f>tblDailySchedule[[#This Row],[Capacity Approx]]*'[1]Load Factor Sheet June Acft  '!$B$5</f>
        <v>153.04704545454547</v>
      </c>
      <c r="S4396">
        <f>tblDailySchedule[[#This Row],[Capacity Approx]]*'[1]Load Factor Sheet June Acft  '!$D$5</f>
        <v>165.71863636363636</v>
      </c>
      <c r="T4396" s="22">
        <f>tblDailySchedule[[#This Row],[STD]]</f>
        <v>0.69097222222222221</v>
      </c>
    </row>
    <row r="4397" spans="1:20" hidden="1" x14ac:dyDescent="0.35">
      <c r="A4397" s="11">
        <v>46268</v>
      </c>
      <c r="B4397" s="3">
        <v>4</v>
      </c>
      <c r="C4397" t="s">
        <v>114</v>
      </c>
      <c r="D4397" t="s">
        <v>18</v>
      </c>
      <c r="E4397" s="3">
        <v>18</v>
      </c>
      <c r="F4397" t="s">
        <v>19</v>
      </c>
      <c r="G4397" t="s">
        <v>71</v>
      </c>
      <c r="H4397" t="s">
        <v>21</v>
      </c>
      <c r="I4397" s="12">
        <v>0.67013888888888884</v>
      </c>
      <c r="J4397" t="s">
        <v>72</v>
      </c>
      <c r="K4397" t="s">
        <v>21</v>
      </c>
      <c r="L4397" s="12">
        <v>0.69791666666666663</v>
      </c>
      <c r="M4397" t="s">
        <v>63</v>
      </c>
      <c r="N4397" s="3">
        <v>232</v>
      </c>
      <c r="O4397" t="s">
        <v>24</v>
      </c>
      <c r="P4397" t="s">
        <v>56</v>
      </c>
      <c r="R4397">
        <f>tblDailySchedule[[#This Row],[Capacity Approx]]*'[1]Load Factor Sheet June Acft  '!$B$5</f>
        <v>187.86727272727273</v>
      </c>
      <c r="S4397">
        <f>tblDailySchedule[[#This Row],[Capacity Approx]]*'[1]Load Factor Sheet June Acft  '!$D$5</f>
        <v>203.4218181818182</v>
      </c>
      <c r="T4397" s="22">
        <f>tblDailySchedule[[#This Row],[STD]]</f>
        <v>0.69791666666666663</v>
      </c>
    </row>
    <row r="4398" spans="1:20" hidden="1" x14ac:dyDescent="0.35">
      <c r="A4398" s="11">
        <v>46268</v>
      </c>
      <c r="B4398" s="3">
        <v>4</v>
      </c>
      <c r="C4398" t="s">
        <v>114</v>
      </c>
      <c r="D4398" t="s">
        <v>18</v>
      </c>
      <c r="E4398" s="3">
        <v>19</v>
      </c>
      <c r="F4398" t="s">
        <v>19</v>
      </c>
      <c r="G4398" t="s">
        <v>73</v>
      </c>
      <c r="H4398" t="s">
        <v>27</v>
      </c>
      <c r="I4398" s="12">
        <v>0.74652777777777779</v>
      </c>
      <c r="J4398" t="s">
        <v>74</v>
      </c>
      <c r="K4398" t="s">
        <v>27</v>
      </c>
      <c r="L4398" s="12">
        <v>0.77430555555555558</v>
      </c>
      <c r="M4398" t="s">
        <v>63</v>
      </c>
      <c r="N4398" s="3">
        <v>232</v>
      </c>
      <c r="O4398" t="s">
        <v>24</v>
      </c>
      <c r="P4398" t="s">
        <v>56</v>
      </c>
      <c r="R4398">
        <f>tblDailySchedule[[#This Row],[Capacity Approx]]*'[1]Load Factor Sheet June Acft  '!$B$5</f>
        <v>187.86727272727273</v>
      </c>
      <c r="S4398">
        <f>tblDailySchedule[[#This Row],[Capacity Approx]]*'[1]Load Factor Sheet June Acft  '!$D$5</f>
        <v>203.4218181818182</v>
      </c>
      <c r="T4398" s="22">
        <f>tblDailySchedule[[#This Row],[STD]]</f>
        <v>0.77430555555555558</v>
      </c>
    </row>
    <row r="4399" spans="1:20" hidden="1" x14ac:dyDescent="0.35">
      <c r="A4399" s="11">
        <v>46268</v>
      </c>
      <c r="B4399" s="3">
        <v>4</v>
      </c>
      <c r="C4399" t="s">
        <v>114</v>
      </c>
      <c r="D4399" t="s">
        <v>18</v>
      </c>
      <c r="E4399" s="3">
        <v>21</v>
      </c>
      <c r="F4399" t="s">
        <v>19</v>
      </c>
      <c r="G4399" t="s">
        <v>81</v>
      </c>
      <c r="H4399" t="s">
        <v>61</v>
      </c>
      <c r="I4399" s="12">
        <v>0.77083333333333337</v>
      </c>
      <c r="J4399" t="s">
        <v>82</v>
      </c>
      <c r="K4399" t="s">
        <v>49</v>
      </c>
      <c r="L4399" s="12">
        <v>0.79166666666666663</v>
      </c>
      <c r="M4399" t="s">
        <v>33</v>
      </c>
      <c r="N4399" s="3">
        <v>189</v>
      </c>
      <c r="O4399" t="s">
        <v>24</v>
      </c>
      <c r="P4399" t="s">
        <v>79</v>
      </c>
      <c r="R4399">
        <f>tblDailySchedule[[#This Row],[Capacity Approx]]*'[1]Load Factor Sheet June Acft  '!$B$5</f>
        <v>153.04704545454547</v>
      </c>
      <c r="S4399">
        <f>tblDailySchedule[[#This Row],[Capacity Approx]]*'[1]Load Factor Sheet June Acft  '!$D$5</f>
        <v>165.71863636363636</v>
      </c>
      <c r="T4399" s="22">
        <f>tblDailySchedule[[#This Row],[STD]]</f>
        <v>0.79166666666666663</v>
      </c>
    </row>
    <row r="4400" spans="1:20" hidden="1" x14ac:dyDescent="0.35">
      <c r="A4400" s="11">
        <v>46268</v>
      </c>
      <c r="B4400" s="3">
        <v>4</v>
      </c>
      <c r="C4400" t="s">
        <v>114</v>
      </c>
      <c r="D4400" t="s">
        <v>18</v>
      </c>
      <c r="E4400" s="3">
        <v>22</v>
      </c>
      <c r="F4400" t="s">
        <v>19</v>
      </c>
      <c r="G4400" t="s">
        <v>83</v>
      </c>
      <c r="H4400" t="s">
        <v>31</v>
      </c>
      <c r="I4400" s="12">
        <v>0.77777777777777779</v>
      </c>
      <c r="J4400" t="s">
        <v>84</v>
      </c>
      <c r="K4400" t="s">
        <v>31</v>
      </c>
      <c r="L4400" s="12">
        <v>0.80555555555555558</v>
      </c>
      <c r="M4400" t="s">
        <v>63</v>
      </c>
      <c r="N4400" s="3">
        <v>232</v>
      </c>
      <c r="O4400" t="s">
        <v>24</v>
      </c>
      <c r="P4400" t="s">
        <v>79</v>
      </c>
      <c r="R4400">
        <f>tblDailySchedule[[#This Row],[Capacity Approx]]*'[1]Load Factor Sheet June Acft  '!$B$5</f>
        <v>187.86727272727273</v>
      </c>
      <c r="S4400">
        <f>tblDailySchedule[[#This Row],[Capacity Approx]]*'[1]Load Factor Sheet June Acft  '!$D$5</f>
        <v>203.4218181818182</v>
      </c>
      <c r="T4400" s="22">
        <f>tblDailySchedule[[#This Row],[STD]]</f>
        <v>0.80555555555555558</v>
      </c>
    </row>
    <row r="4401" spans="1:20" hidden="1" x14ac:dyDescent="0.35">
      <c r="A4401" s="11">
        <v>46268</v>
      </c>
      <c r="B4401" s="3">
        <v>4</v>
      </c>
      <c r="C4401" t="s">
        <v>114</v>
      </c>
      <c r="D4401" t="s">
        <v>18</v>
      </c>
      <c r="E4401" s="3">
        <v>23</v>
      </c>
      <c r="F4401" t="s">
        <v>19</v>
      </c>
      <c r="G4401" t="s">
        <v>85</v>
      </c>
      <c r="H4401" t="s">
        <v>86</v>
      </c>
      <c r="I4401" s="12">
        <v>0.79861111111111116</v>
      </c>
      <c r="J4401" t="s">
        <v>87</v>
      </c>
      <c r="K4401" t="s">
        <v>86</v>
      </c>
      <c r="L4401" s="12">
        <v>0.82638888888888884</v>
      </c>
      <c r="M4401" t="s">
        <v>63</v>
      </c>
      <c r="N4401" s="3">
        <v>232</v>
      </c>
      <c r="O4401" t="s">
        <v>24</v>
      </c>
      <c r="P4401" t="s">
        <v>79</v>
      </c>
      <c r="R4401">
        <f>tblDailySchedule[[#This Row],[Capacity Approx]]*'[1]Load Factor Sheet June Acft  '!$B$5</f>
        <v>187.86727272727273</v>
      </c>
      <c r="S4401">
        <f>tblDailySchedule[[#This Row],[Capacity Approx]]*'[1]Load Factor Sheet June Acft  '!$D$5</f>
        <v>203.4218181818182</v>
      </c>
      <c r="T4401" s="22">
        <f>tblDailySchedule[[#This Row],[STD]]</f>
        <v>0.82638888888888884</v>
      </c>
    </row>
    <row r="4402" spans="1:20" hidden="1" x14ac:dyDescent="0.35">
      <c r="A4402" s="11">
        <v>46268</v>
      </c>
      <c r="B4402" s="3">
        <v>4</v>
      </c>
      <c r="C4402" t="s">
        <v>114</v>
      </c>
      <c r="D4402" t="s">
        <v>18</v>
      </c>
      <c r="E4402" s="3">
        <v>24</v>
      </c>
      <c r="F4402" t="s">
        <v>19</v>
      </c>
      <c r="G4402" t="s">
        <v>88</v>
      </c>
      <c r="H4402" t="s">
        <v>89</v>
      </c>
      <c r="I4402" s="12">
        <v>0.83333333333333337</v>
      </c>
      <c r="J4402" t="s">
        <v>90</v>
      </c>
      <c r="K4402" t="s">
        <v>31</v>
      </c>
      <c r="L4402" s="12">
        <v>0.86111111111111116</v>
      </c>
      <c r="M4402" t="s">
        <v>63</v>
      </c>
      <c r="N4402" s="3">
        <v>232</v>
      </c>
      <c r="O4402" t="s">
        <v>24</v>
      </c>
      <c r="P4402" t="s">
        <v>79</v>
      </c>
      <c r="R4402">
        <f>tblDailySchedule[[#This Row],[Capacity Approx]]*'[1]Load Factor Sheet June Acft  '!$B$5</f>
        <v>187.86727272727273</v>
      </c>
      <c r="S4402">
        <f>tblDailySchedule[[#This Row],[Capacity Approx]]*'[1]Load Factor Sheet June Acft  '!$D$5</f>
        <v>203.4218181818182</v>
      </c>
      <c r="T4402" s="22">
        <f>tblDailySchedule[[#This Row],[STD]]</f>
        <v>0.86111111111111116</v>
      </c>
    </row>
    <row r="4403" spans="1:20" hidden="1" x14ac:dyDescent="0.35">
      <c r="A4403" s="11">
        <v>46268</v>
      </c>
      <c r="B4403" s="3">
        <v>4</v>
      </c>
      <c r="C4403" t="s">
        <v>114</v>
      </c>
      <c r="D4403" t="s">
        <v>18</v>
      </c>
      <c r="E4403" s="3">
        <v>25</v>
      </c>
      <c r="F4403" t="s">
        <v>19</v>
      </c>
      <c r="G4403" t="s">
        <v>91</v>
      </c>
      <c r="H4403" t="s">
        <v>61</v>
      </c>
      <c r="I4403" s="12">
        <v>0.85416666666666663</v>
      </c>
      <c r="J4403" t="s">
        <v>92</v>
      </c>
      <c r="K4403" t="s">
        <v>61</v>
      </c>
      <c r="L4403" s="12">
        <v>0.88194444444444442</v>
      </c>
      <c r="M4403" t="s">
        <v>63</v>
      </c>
      <c r="N4403" s="3">
        <v>232</v>
      </c>
      <c r="O4403" t="s">
        <v>24</v>
      </c>
      <c r="P4403" t="s">
        <v>79</v>
      </c>
      <c r="R4403">
        <f>tblDailySchedule[[#This Row],[Capacity Approx]]*'[1]Load Factor Sheet June Acft  '!$B$5</f>
        <v>187.86727272727273</v>
      </c>
      <c r="S4403">
        <f>tblDailySchedule[[#This Row],[Capacity Approx]]*'[1]Load Factor Sheet June Acft  '!$D$5</f>
        <v>203.4218181818182</v>
      </c>
      <c r="T4403" s="22">
        <f>tblDailySchedule[[#This Row],[STD]]</f>
        <v>0.88194444444444442</v>
      </c>
    </row>
    <row r="4404" spans="1:20" hidden="1" x14ac:dyDescent="0.35">
      <c r="A4404" s="11">
        <v>46268</v>
      </c>
      <c r="B4404" s="3">
        <v>4</v>
      </c>
      <c r="C4404" t="s">
        <v>114</v>
      </c>
      <c r="D4404" t="s">
        <v>18</v>
      </c>
      <c r="E4404" s="3">
        <v>26</v>
      </c>
      <c r="F4404" t="s">
        <v>19</v>
      </c>
      <c r="G4404" t="s">
        <v>93</v>
      </c>
      <c r="H4404" t="s">
        <v>31</v>
      </c>
      <c r="I4404" s="12">
        <v>0.86111111111111116</v>
      </c>
      <c r="J4404" t="s">
        <v>94</v>
      </c>
      <c r="K4404" t="s">
        <v>31</v>
      </c>
      <c r="L4404" s="12">
        <v>0.88888888888888884</v>
      </c>
      <c r="M4404" t="s">
        <v>23</v>
      </c>
      <c r="N4404" s="3">
        <v>186</v>
      </c>
      <c r="O4404" t="s">
        <v>24</v>
      </c>
      <c r="P4404" t="s">
        <v>79</v>
      </c>
      <c r="R4404">
        <f>tblDailySchedule[[#This Row],[Capacity Approx]]*'[1]Load Factor Sheet June Acft  '!$B$5</f>
        <v>150.61772727272728</v>
      </c>
      <c r="S4404">
        <f>tblDailySchedule[[#This Row],[Capacity Approx]]*'[1]Load Factor Sheet June Acft  '!$D$5</f>
        <v>163.08818181818182</v>
      </c>
      <c r="T4404" s="22">
        <f>tblDailySchedule[[#This Row],[STD]]</f>
        <v>0.88888888888888884</v>
      </c>
    </row>
    <row r="4405" spans="1:20" hidden="1" x14ac:dyDescent="0.35">
      <c r="A4405" s="11">
        <v>46268</v>
      </c>
      <c r="B4405" s="3">
        <v>4</v>
      </c>
      <c r="C4405" t="s">
        <v>114</v>
      </c>
      <c r="D4405" t="s">
        <v>18</v>
      </c>
      <c r="E4405" s="3">
        <v>27</v>
      </c>
      <c r="F4405" t="s">
        <v>19</v>
      </c>
      <c r="G4405" t="s">
        <v>95</v>
      </c>
      <c r="H4405" t="s">
        <v>21</v>
      </c>
      <c r="I4405" s="12">
        <v>0.86805555555555558</v>
      </c>
      <c r="J4405" t="s">
        <v>96</v>
      </c>
      <c r="K4405" t="s">
        <v>21</v>
      </c>
      <c r="L4405" s="12">
        <v>0.89583333333333337</v>
      </c>
      <c r="M4405" t="s">
        <v>29</v>
      </c>
      <c r="N4405" s="3">
        <v>186</v>
      </c>
      <c r="O4405" t="s">
        <v>24</v>
      </c>
      <c r="P4405" t="s">
        <v>79</v>
      </c>
      <c r="R4405">
        <f>tblDailySchedule[[#This Row],[Capacity Approx]]*'[1]Load Factor Sheet June Acft  '!$B$5</f>
        <v>150.61772727272728</v>
      </c>
      <c r="S4405">
        <f>tblDailySchedule[[#This Row],[Capacity Approx]]*'[1]Load Factor Sheet June Acft  '!$D$5</f>
        <v>163.08818181818182</v>
      </c>
      <c r="T4405" s="22">
        <f>tblDailySchedule[[#This Row],[STD]]</f>
        <v>0.89583333333333337</v>
      </c>
    </row>
    <row r="4406" spans="1:20" hidden="1" x14ac:dyDescent="0.35">
      <c r="A4406" s="11">
        <v>46268</v>
      </c>
      <c r="B4406" s="3">
        <v>4</v>
      </c>
      <c r="C4406" t="s">
        <v>114</v>
      </c>
      <c r="D4406" t="s">
        <v>18</v>
      </c>
      <c r="E4406" s="3">
        <v>28</v>
      </c>
      <c r="F4406" t="s">
        <v>19</v>
      </c>
      <c r="G4406" t="s">
        <v>97</v>
      </c>
      <c r="H4406" t="s">
        <v>49</v>
      </c>
      <c r="I4406" s="12">
        <v>0.90277777777777779</v>
      </c>
      <c r="J4406" t="s">
        <v>97</v>
      </c>
      <c r="K4406" t="s">
        <v>61</v>
      </c>
      <c r="L4406" s="12">
        <v>0.92361111111111116</v>
      </c>
      <c r="M4406" t="s">
        <v>33</v>
      </c>
      <c r="N4406" s="3">
        <v>189</v>
      </c>
      <c r="O4406" t="s">
        <v>24</v>
      </c>
      <c r="P4406" t="s">
        <v>79</v>
      </c>
      <c r="R4406">
        <f>tblDailySchedule[[#This Row],[Capacity Approx]]*'[1]Load Factor Sheet June Acft  '!$B$5</f>
        <v>153.04704545454547</v>
      </c>
      <c r="S4406">
        <f>tblDailySchedule[[#This Row],[Capacity Approx]]*'[1]Load Factor Sheet June Acft  '!$D$5</f>
        <v>165.71863636363636</v>
      </c>
      <c r="T4406" s="22">
        <f>tblDailySchedule[[#This Row],[STD]]</f>
        <v>0.92361111111111116</v>
      </c>
    </row>
    <row r="4407" spans="1:20" hidden="1" x14ac:dyDescent="0.35">
      <c r="A4407" s="11">
        <v>46268</v>
      </c>
      <c r="B4407" s="3">
        <v>4</v>
      </c>
      <c r="C4407" t="s">
        <v>114</v>
      </c>
      <c r="D4407" t="s">
        <v>18</v>
      </c>
      <c r="E4407" s="3">
        <v>29</v>
      </c>
      <c r="F4407" t="s">
        <v>19</v>
      </c>
      <c r="G4407" t="s">
        <v>98</v>
      </c>
      <c r="H4407" t="s">
        <v>21</v>
      </c>
      <c r="I4407" s="12">
        <v>0.92013888888888884</v>
      </c>
      <c r="J4407" t="s">
        <v>99</v>
      </c>
      <c r="K4407" t="s">
        <v>21</v>
      </c>
      <c r="L4407" s="12">
        <v>0.94791666666666663</v>
      </c>
      <c r="M4407" t="s">
        <v>63</v>
      </c>
      <c r="N4407" s="3">
        <v>232</v>
      </c>
      <c r="O4407" t="s">
        <v>24</v>
      </c>
      <c r="P4407" t="s">
        <v>79</v>
      </c>
      <c r="R4407">
        <f>tblDailySchedule[[#This Row],[Capacity Approx]]*'[1]Load Factor Sheet June Acft  '!$B$5</f>
        <v>187.86727272727273</v>
      </c>
      <c r="S4407">
        <f>tblDailySchedule[[#This Row],[Capacity Approx]]*'[1]Load Factor Sheet June Acft  '!$D$5</f>
        <v>203.4218181818182</v>
      </c>
      <c r="T4407" s="22">
        <f>tblDailySchedule[[#This Row],[STD]]</f>
        <v>0.94791666666666663</v>
      </c>
    </row>
    <row r="4408" spans="1:20" hidden="1" x14ac:dyDescent="0.35">
      <c r="A4408" s="11">
        <v>46269</v>
      </c>
      <c r="B4408" s="3">
        <v>5</v>
      </c>
      <c r="C4408" t="s">
        <v>115</v>
      </c>
      <c r="D4408" t="s">
        <v>18</v>
      </c>
      <c r="E4408" s="3">
        <v>2</v>
      </c>
      <c r="F4408" t="s">
        <v>19</v>
      </c>
      <c r="G4408" t="s">
        <v>20</v>
      </c>
      <c r="H4408" t="s">
        <v>21</v>
      </c>
      <c r="I4408" s="12">
        <v>0.31944444444444442</v>
      </c>
      <c r="J4408" t="s">
        <v>22</v>
      </c>
      <c r="K4408" t="s">
        <v>21</v>
      </c>
      <c r="L4408" s="12">
        <v>0.34722222222222221</v>
      </c>
      <c r="M4408" t="s">
        <v>23</v>
      </c>
      <c r="N4408" s="3">
        <v>186</v>
      </c>
      <c r="O4408" t="s">
        <v>24</v>
      </c>
      <c r="P4408" t="s">
        <v>25</v>
      </c>
      <c r="R4408">
        <f>tblDailySchedule[[#This Row],[Capacity Approx]]*'[1]Load Factor Sheet June Acft  '!$B$5</f>
        <v>150.61772727272728</v>
      </c>
      <c r="S4408">
        <f>tblDailySchedule[[#This Row],[Capacity Approx]]*'[1]Load Factor Sheet June Acft  '!$D$5</f>
        <v>163.08818181818182</v>
      </c>
      <c r="T4408" s="22">
        <f>tblDailySchedule[[#This Row],[STD]]</f>
        <v>0.34722222222222221</v>
      </c>
    </row>
    <row r="4409" spans="1:20" hidden="1" x14ac:dyDescent="0.35">
      <c r="A4409" s="11">
        <v>46269</v>
      </c>
      <c r="B4409" s="3">
        <v>5</v>
      </c>
      <c r="C4409" t="s">
        <v>115</v>
      </c>
      <c r="D4409" t="s">
        <v>18</v>
      </c>
      <c r="E4409" s="3">
        <v>3</v>
      </c>
      <c r="F4409" t="s">
        <v>19</v>
      </c>
      <c r="G4409" t="s">
        <v>26</v>
      </c>
      <c r="H4409" t="s">
        <v>27</v>
      </c>
      <c r="I4409" s="12">
        <v>0.3263888888888889</v>
      </c>
      <c r="J4409" t="s">
        <v>28</v>
      </c>
      <c r="K4409" t="s">
        <v>27</v>
      </c>
      <c r="L4409" s="12">
        <v>0.35416666666666669</v>
      </c>
      <c r="M4409" t="s">
        <v>29</v>
      </c>
      <c r="N4409" s="3">
        <v>186</v>
      </c>
      <c r="O4409" t="s">
        <v>24</v>
      </c>
      <c r="P4409" t="s">
        <v>25</v>
      </c>
      <c r="R4409">
        <f>tblDailySchedule[[#This Row],[Capacity Approx]]*'[1]Load Factor Sheet June Acft  '!$B$5</f>
        <v>150.61772727272728</v>
      </c>
      <c r="S4409">
        <f>tblDailySchedule[[#This Row],[Capacity Approx]]*'[1]Load Factor Sheet June Acft  '!$D$5</f>
        <v>163.08818181818182</v>
      </c>
      <c r="T4409" s="22">
        <f>tblDailySchedule[[#This Row],[STD]]</f>
        <v>0.35416666666666669</v>
      </c>
    </row>
    <row r="4410" spans="1:20" hidden="1" x14ac:dyDescent="0.35">
      <c r="A4410" s="11">
        <v>46269</v>
      </c>
      <c r="B4410" s="3">
        <v>5</v>
      </c>
      <c r="C4410" t="s">
        <v>115</v>
      </c>
      <c r="D4410" t="s">
        <v>18</v>
      </c>
      <c r="E4410" s="3">
        <v>4</v>
      </c>
      <c r="F4410" t="s">
        <v>19</v>
      </c>
      <c r="G4410" t="s">
        <v>30</v>
      </c>
      <c r="H4410" t="s">
        <v>31</v>
      </c>
      <c r="I4410" s="12">
        <v>0.34722222222222221</v>
      </c>
      <c r="J4410" t="s">
        <v>32</v>
      </c>
      <c r="K4410" t="s">
        <v>31</v>
      </c>
      <c r="L4410" s="12">
        <v>0.36805555555555558</v>
      </c>
      <c r="M4410" t="s">
        <v>33</v>
      </c>
      <c r="N4410" s="3">
        <v>189</v>
      </c>
      <c r="O4410" t="s">
        <v>24</v>
      </c>
      <c r="P4410" t="s">
        <v>25</v>
      </c>
      <c r="R4410">
        <f>tblDailySchedule[[#This Row],[Capacity Approx]]*'[1]Load Factor Sheet June Acft  '!$B$5</f>
        <v>153.04704545454547</v>
      </c>
      <c r="S4410">
        <f>tblDailySchedule[[#This Row],[Capacity Approx]]*'[1]Load Factor Sheet June Acft  '!$D$5</f>
        <v>165.71863636363636</v>
      </c>
      <c r="T4410" s="22">
        <f>tblDailySchedule[[#This Row],[STD]]</f>
        <v>0.36805555555555558</v>
      </c>
    </row>
    <row r="4411" spans="1:20" hidden="1" x14ac:dyDescent="0.35">
      <c r="A4411" s="13">
        <v>46269</v>
      </c>
      <c r="B4411" s="7">
        <v>5</v>
      </c>
      <c r="C4411" s="14" t="s">
        <v>115</v>
      </c>
      <c r="D4411" s="14" t="s">
        <v>18</v>
      </c>
      <c r="E4411" s="7">
        <v>6</v>
      </c>
      <c r="F4411" s="14" t="s">
        <v>34</v>
      </c>
      <c r="G4411" s="14" t="s">
        <v>35</v>
      </c>
      <c r="H4411" s="14" t="s">
        <v>36</v>
      </c>
      <c r="I4411" s="15">
        <v>0.34722222222222221</v>
      </c>
      <c r="J4411" s="14" t="s">
        <v>37</v>
      </c>
      <c r="K4411" s="14" t="s">
        <v>36</v>
      </c>
      <c r="L4411" s="15">
        <v>0.40972222222222221</v>
      </c>
      <c r="M4411" s="14" t="s">
        <v>38</v>
      </c>
      <c r="N4411" s="7">
        <v>186</v>
      </c>
      <c r="O4411" s="14" t="s">
        <v>39</v>
      </c>
      <c r="P4411" s="14" t="s">
        <v>25</v>
      </c>
      <c r="Q4411" s="14" t="s">
        <v>39</v>
      </c>
      <c r="R4411">
        <f>tblDailySchedule[[#This Row],[Capacity Approx]]*'[1]Load Factor Sheet June Acft  '!$B$5</f>
        <v>150.61772727272728</v>
      </c>
      <c r="S4411">
        <f>tblDailySchedule[[#This Row],[Capacity Approx]]*'[1]Load Factor Sheet June Acft  '!$D$5</f>
        <v>163.08818181818182</v>
      </c>
      <c r="T4411" s="22">
        <f>tblDailySchedule[[#This Row],[STD]]</f>
        <v>0.40972222222222221</v>
      </c>
    </row>
    <row r="4412" spans="1:20" hidden="1" x14ac:dyDescent="0.35">
      <c r="A4412" s="11">
        <v>46269</v>
      </c>
      <c r="B4412" s="3">
        <v>5</v>
      </c>
      <c r="C4412" t="s">
        <v>115</v>
      </c>
      <c r="D4412" t="s">
        <v>18</v>
      </c>
      <c r="E4412" s="3">
        <v>5</v>
      </c>
      <c r="F4412" t="s">
        <v>19</v>
      </c>
      <c r="G4412" t="s">
        <v>40</v>
      </c>
      <c r="H4412" t="s">
        <v>31</v>
      </c>
      <c r="I4412" s="12">
        <v>0.35069444444444442</v>
      </c>
      <c r="J4412" t="s">
        <v>41</v>
      </c>
      <c r="K4412" t="s">
        <v>31</v>
      </c>
      <c r="L4412" s="12">
        <v>0.37152777777777779</v>
      </c>
      <c r="M4412" t="s">
        <v>23</v>
      </c>
      <c r="N4412" s="3">
        <v>186</v>
      </c>
      <c r="O4412" t="s">
        <v>24</v>
      </c>
      <c r="P4412" t="s">
        <v>25</v>
      </c>
      <c r="R4412">
        <f>tblDailySchedule[[#This Row],[Capacity Approx]]*'[1]Load Factor Sheet June Acft  '!$B$5</f>
        <v>150.61772727272728</v>
      </c>
      <c r="S4412">
        <f>tblDailySchedule[[#This Row],[Capacity Approx]]*'[1]Load Factor Sheet June Acft  '!$D$5</f>
        <v>163.08818181818182</v>
      </c>
      <c r="T4412" s="22">
        <f>tblDailySchedule[[#This Row],[STD]]</f>
        <v>0.37152777777777779</v>
      </c>
    </row>
    <row r="4413" spans="1:20" hidden="1" x14ac:dyDescent="0.35">
      <c r="A4413" s="11">
        <v>46269</v>
      </c>
      <c r="B4413" s="3">
        <v>5</v>
      </c>
      <c r="C4413" t="s">
        <v>115</v>
      </c>
      <c r="D4413" t="s">
        <v>18</v>
      </c>
      <c r="E4413" s="3">
        <v>7</v>
      </c>
      <c r="F4413" t="s">
        <v>19</v>
      </c>
      <c r="G4413" t="s">
        <v>42</v>
      </c>
      <c r="H4413" t="s">
        <v>43</v>
      </c>
      <c r="I4413" s="12">
        <v>0.3923611111111111</v>
      </c>
      <c r="J4413" t="s">
        <v>44</v>
      </c>
      <c r="K4413" t="s">
        <v>43</v>
      </c>
      <c r="L4413" s="12">
        <v>0.40277777777777779</v>
      </c>
      <c r="M4413" t="s">
        <v>45</v>
      </c>
      <c r="N4413" s="3">
        <v>9</v>
      </c>
      <c r="O4413" t="s">
        <v>24</v>
      </c>
      <c r="P4413" t="s">
        <v>25</v>
      </c>
      <c r="R4413">
        <f>tblDailySchedule[[#This Row],[Capacity Approx]]*'[1]Load Factor Sheet June Acft  '!$B$5</f>
        <v>7.2879545454545456</v>
      </c>
      <c r="S4413">
        <f>tblDailySchedule[[#This Row],[Capacity Approx]]*'[1]Load Factor Sheet June Acft  '!$D$5</f>
        <v>7.8913636363636366</v>
      </c>
      <c r="T4413" s="22">
        <f>tblDailySchedule[[#This Row],[STD]]</f>
        <v>0.40277777777777779</v>
      </c>
    </row>
    <row r="4414" spans="1:20" hidden="1" x14ac:dyDescent="0.35">
      <c r="A4414" s="11">
        <v>46269</v>
      </c>
      <c r="B4414" s="3">
        <v>5</v>
      </c>
      <c r="C4414" t="s">
        <v>115</v>
      </c>
      <c r="D4414" t="s">
        <v>18</v>
      </c>
      <c r="E4414" s="3">
        <v>8</v>
      </c>
      <c r="F4414" t="s">
        <v>19</v>
      </c>
      <c r="G4414" t="s">
        <v>46</v>
      </c>
      <c r="H4414" t="s">
        <v>31</v>
      </c>
      <c r="I4414" s="12">
        <v>0.4201388888888889</v>
      </c>
      <c r="J4414" t="s">
        <v>47</v>
      </c>
      <c r="K4414" t="s">
        <v>31</v>
      </c>
      <c r="L4414" s="12">
        <v>0.44444444444444442</v>
      </c>
      <c r="M4414" t="s">
        <v>29</v>
      </c>
      <c r="N4414" s="3">
        <v>186</v>
      </c>
      <c r="O4414" t="s">
        <v>24</v>
      </c>
      <c r="P4414" t="s">
        <v>25</v>
      </c>
      <c r="R4414">
        <f>tblDailySchedule[[#This Row],[Capacity Approx]]*'[1]Load Factor Sheet June Acft  '!$B$5</f>
        <v>150.61772727272728</v>
      </c>
      <c r="S4414">
        <f>tblDailySchedule[[#This Row],[Capacity Approx]]*'[1]Load Factor Sheet June Acft  '!$D$5</f>
        <v>163.08818181818182</v>
      </c>
      <c r="T4414" s="22">
        <f>tblDailySchedule[[#This Row],[STD]]</f>
        <v>0.44444444444444442</v>
      </c>
    </row>
    <row r="4415" spans="1:20" hidden="1" x14ac:dyDescent="0.35">
      <c r="A4415" s="11">
        <v>46269</v>
      </c>
      <c r="B4415" s="3">
        <v>5</v>
      </c>
      <c r="C4415" t="s">
        <v>115</v>
      </c>
      <c r="D4415" t="s">
        <v>18</v>
      </c>
      <c r="E4415" s="3">
        <v>9</v>
      </c>
      <c r="F4415" t="s">
        <v>19</v>
      </c>
      <c r="G4415" t="s">
        <v>48</v>
      </c>
      <c r="H4415" t="s">
        <v>49</v>
      </c>
      <c r="I4415" s="12">
        <v>0.4375</v>
      </c>
      <c r="J4415" t="s">
        <v>50</v>
      </c>
      <c r="K4415" t="s">
        <v>49</v>
      </c>
      <c r="L4415" s="12">
        <v>0.45833333333333331</v>
      </c>
      <c r="M4415" t="s">
        <v>51</v>
      </c>
      <c r="N4415" s="3">
        <v>78</v>
      </c>
      <c r="O4415" t="s">
        <v>24</v>
      </c>
      <c r="P4415" t="s">
        <v>25</v>
      </c>
      <c r="R4415">
        <f>tblDailySchedule[[#This Row],[Capacity Approx]]*'[1]Load Factor Sheet June Acft  '!$B$5</f>
        <v>63.162272727272729</v>
      </c>
      <c r="S4415">
        <f>tblDailySchedule[[#This Row],[Capacity Approx]]*'[1]Load Factor Sheet June Acft  '!$D$5</f>
        <v>68.391818181818181</v>
      </c>
      <c r="T4415" s="22">
        <f>tblDailySchedule[[#This Row],[STD]]</f>
        <v>0.45833333333333331</v>
      </c>
    </row>
    <row r="4416" spans="1:20" hidden="1" x14ac:dyDescent="0.35">
      <c r="A4416" s="11">
        <v>46269</v>
      </c>
      <c r="B4416" s="3">
        <v>5</v>
      </c>
      <c r="C4416" t="s">
        <v>115</v>
      </c>
      <c r="D4416" t="s">
        <v>18</v>
      </c>
      <c r="E4416" s="3">
        <v>10</v>
      </c>
      <c r="F4416" t="s">
        <v>19</v>
      </c>
      <c r="G4416" t="s">
        <v>52</v>
      </c>
      <c r="H4416" t="s">
        <v>27</v>
      </c>
      <c r="I4416" s="12">
        <v>0.4826388888888889</v>
      </c>
      <c r="J4416" t="s">
        <v>53</v>
      </c>
      <c r="K4416" t="s">
        <v>27</v>
      </c>
      <c r="L4416" s="12">
        <v>0.51041666666666663</v>
      </c>
      <c r="M4416" t="s">
        <v>23</v>
      </c>
      <c r="N4416" s="3">
        <v>186</v>
      </c>
      <c r="O4416" t="s">
        <v>24</v>
      </c>
      <c r="P4416" t="s">
        <v>25</v>
      </c>
      <c r="R4416">
        <f>tblDailySchedule[[#This Row],[Capacity Approx]]*'[1]Load Factor Sheet June Acft  '!$B$5</f>
        <v>150.61772727272728</v>
      </c>
      <c r="S4416">
        <f>tblDailySchedule[[#This Row],[Capacity Approx]]*'[1]Load Factor Sheet June Acft  '!$D$5</f>
        <v>163.08818181818182</v>
      </c>
      <c r="T4416" s="22">
        <f>tblDailySchedule[[#This Row],[STD]]</f>
        <v>0.51041666666666663</v>
      </c>
    </row>
    <row r="4417" spans="1:20" hidden="1" x14ac:dyDescent="0.35">
      <c r="A4417" s="11">
        <v>46269</v>
      </c>
      <c r="B4417" s="3">
        <v>5</v>
      </c>
      <c r="C4417" t="s">
        <v>115</v>
      </c>
      <c r="D4417" t="s">
        <v>18</v>
      </c>
      <c r="E4417" s="3">
        <v>11</v>
      </c>
      <c r="F4417" t="s">
        <v>19</v>
      </c>
      <c r="G4417" t="s">
        <v>54</v>
      </c>
      <c r="H4417" t="s">
        <v>31</v>
      </c>
      <c r="I4417" s="12">
        <v>0.51388888888888884</v>
      </c>
      <c r="J4417" t="s">
        <v>55</v>
      </c>
      <c r="K4417" t="s">
        <v>31</v>
      </c>
      <c r="L4417" s="12">
        <v>0.54166666666666663</v>
      </c>
      <c r="M4417" t="s">
        <v>23</v>
      </c>
      <c r="N4417" s="3">
        <v>186</v>
      </c>
      <c r="O4417" t="s">
        <v>24</v>
      </c>
      <c r="P4417" t="s">
        <v>56</v>
      </c>
      <c r="R4417">
        <f>tblDailySchedule[[#This Row],[Capacity Approx]]*'[1]Load Factor Sheet June Acft  '!$B$5</f>
        <v>150.61772727272728</v>
      </c>
      <c r="S4417">
        <f>tblDailySchedule[[#This Row],[Capacity Approx]]*'[1]Load Factor Sheet June Acft  '!$D$5</f>
        <v>163.08818181818182</v>
      </c>
      <c r="T4417" s="22">
        <f>tblDailySchedule[[#This Row],[STD]]</f>
        <v>0.54166666666666663</v>
      </c>
    </row>
    <row r="4418" spans="1:20" hidden="1" x14ac:dyDescent="0.35">
      <c r="A4418" s="11">
        <v>46269</v>
      </c>
      <c r="B4418" s="3">
        <v>5</v>
      </c>
      <c r="C4418" t="s">
        <v>115</v>
      </c>
      <c r="D4418" t="s">
        <v>18</v>
      </c>
      <c r="E4418" s="3">
        <v>13</v>
      </c>
      <c r="F4418" t="s">
        <v>19</v>
      </c>
      <c r="G4418" t="s">
        <v>57</v>
      </c>
      <c r="H4418" t="s">
        <v>58</v>
      </c>
      <c r="I4418" s="12">
        <v>0.55902777777777779</v>
      </c>
      <c r="J4418" t="s">
        <v>59</v>
      </c>
      <c r="K4418" t="s">
        <v>58</v>
      </c>
      <c r="L4418" s="12">
        <v>0.57638888888888884</v>
      </c>
      <c r="M4418" t="s">
        <v>51</v>
      </c>
      <c r="N4418" s="3">
        <v>78</v>
      </c>
      <c r="O4418" t="s">
        <v>24</v>
      </c>
      <c r="P4418" t="s">
        <v>56</v>
      </c>
      <c r="R4418">
        <f>tblDailySchedule[[#This Row],[Capacity Approx]]*'[1]Load Factor Sheet June Acft  '!$B$5</f>
        <v>63.162272727272729</v>
      </c>
      <c r="S4418">
        <f>tblDailySchedule[[#This Row],[Capacity Approx]]*'[1]Load Factor Sheet June Acft  '!$D$5</f>
        <v>68.391818181818181</v>
      </c>
      <c r="T4418" s="22">
        <f>tblDailySchedule[[#This Row],[STD]]</f>
        <v>0.57638888888888884</v>
      </c>
    </row>
    <row r="4419" spans="1:20" hidden="1" x14ac:dyDescent="0.35">
      <c r="A4419" s="11">
        <v>46269</v>
      </c>
      <c r="B4419" s="3">
        <v>5</v>
      </c>
      <c r="C4419" t="s">
        <v>115</v>
      </c>
      <c r="D4419" t="s">
        <v>18</v>
      </c>
      <c r="E4419" s="3">
        <v>14</v>
      </c>
      <c r="F4419" t="s">
        <v>19</v>
      </c>
      <c r="G4419" t="s">
        <v>60</v>
      </c>
      <c r="H4419" t="s">
        <v>61</v>
      </c>
      <c r="I4419" s="12">
        <v>0.59027777777777779</v>
      </c>
      <c r="J4419" t="s">
        <v>62</v>
      </c>
      <c r="K4419" t="s">
        <v>61</v>
      </c>
      <c r="L4419" s="12">
        <v>0.62152777777777779</v>
      </c>
      <c r="M4419" t="s">
        <v>63</v>
      </c>
      <c r="N4419" s="3">
        <v>232</v>
      </c>
      <c r="O4419" t="s">
        <v>24</v>
      </c>
      <c r="P4419" t="s">
        <v>56</v>
      </c>
      <c r="R4419">
        <f>tblDailySchedule[[#This Row],[Capacity Approx]]*'[1]Load Factor Sheet June Acft  '!$B$5</f>
        <v>187.86727272727273</v>
      </c>
      <c r="S4419">
        <f>tblDailySchedule[[#This Row],[Capacity Approx]]*'[1]Load Factor Sheet June Acft  '!$D$5</f>
        <v>203.4218181818182</v>
      </c>
      <c r="T4419" s="22">
        <f>tblDailySchedule[[#This Row],[STD]]</f>
        <v>0.62152777777777779</v>
      </c>
    </row>
    <row r="4420" spans="1:20" hidden="1" x14ac:dyDescent="0.35">
      <c r="A4420" s="11">
        <v>46269</v>
      </c>
      <c r="B4420" s="3">
        <v>5</v>
      </c>
      <c r="C4420" t="s">
        <v>115</v>
      </c>
      <c r="D4420" t="s">
        <v>18</v>
      </c>
      <c r="E4420" s="3">
        <v>15</v>
      </c>
      <c r="F4420" t="s">
        <v>19</v>
      </c>
      <c r="G4420" t="s">
        <v>64</v>
      </c>
      <c r="H4420" t="s">
        <v>31</v>
      </c>
      <c r="I4420" s="12">
        <v>0.60069444444444442</v>
      </c>
      <c r="J4420" t="s">
        <v>65</v>
      </c>
      <c r="K4420" t="s">
        <v>66</v>
      </c>
      <c r="L4420" s="12">
        <v>0.62847222222222221</v>
      </c>
      <c r="M4420" t="s">
        <v>63</v>
      </c>
      <c r="N4420" s="3">
        <v>232</v>
      </c>
      <c r="O4420" t="s">
        <v>24</v>
      </c>
      <c r="P4420" t="s">
        <v>56</v>
      </c>
      <c r="R4420">
        <f>tblDailySchedule[[#This Row],[Capacity Approx]]*'[1]Load Factor Sheet June Acft  '!$B$5</f>
        <v>187.86727272727273</v>
      </c>
      <c r="S4420">
        <f>tblDailySchedule[[#This Row],[Capacity Approx]]*'[1]Load Factor Sheet June Acft  '!$D$5</f>
        <v>203.4218181818182</v>
      </c>
      <c r="T4420" s="22">
        <f>tblDailySchedule[[#This Row],[STD]]</f>
        <v>0.62847222222222221</v>
      </c>
    </row>
    <row r="4421" spans="1:20" hidden="1" x14ac:dyDescent="0.35">
      <c r="A4421" s="11">
        <v>46269</v>
      </c>
      <c r="B4421" s="3">
        <v>5</v>
      </c>
      <c r="C4421" t="s">
        <v>115</v>
      </c>
      <c r="D4421" t="s">
        <v>18</v>
      </c>
      <c r="E4421" s="3">
        <v>16</v>
      </c>
      <c r="F4421" t="s">
        <v>19</v>
      </c>
      <c r="G4421" t="s">
        <v>67</v>
      </c>
      <c r="H4421" t="s">
        <v>31</v>
      </c>
      <c r="I4421" s="12">
        <v>0.65625</v>
      </c>
      <c r="J4421" t="s">
        <v>68</v>
      </c>
      <c r="K4421" t="s">
        <v>31</v>
      </c>
      <c r="L4421" s="12">
        <v>0.68402777777777779</v>
      </c>
      <c r="M4421" t="s">
        <v>63</v>
      </c>
      <c r="N4421" s="3">
        <v>232</v>
      </c>
      <c r="O4421" t="s">
        <v>24</v>
      </c>
      <c r="P4421" t="s">
        <v>56</v>
      </c>
      <c r="R4421">
        <f>tblDailySchedule[[#This Row],[Capacity Approx]]*'[1]Load Factor Sheet June Acft  '!$B$5</f>
        <v>187.86727272727273</v>
      </c>
      <c r="S4421">
        <f>tblDailySchedule[[#This Row],[Capacity Approx]]*'[1]Load Factor Sheet June Acft  '!$D$5</f>
        <v>203.4218181818182</v>
      </c>
      <c r="T4421" s="22">
        <f>tblDailySchedule[[#This Row],[STD]]</f>
        <v>0.68402777777777779</v>
      </c>
    </row>
    <row r="4422" spans="1:20" hidden="1" x14ac:dyDescent="0.35">
      <c r="A4422" s="11">
        <v>46269</v>
      </c>
      <c r="B4422" s="3">
        <v>5</v>
      </c>
      <c r="C4422" t="s">
        <v>115</v>
      </c>
      <c r="D4422" t="s">
        <v>18</v>
      </c>
      <c r="E4422" s="3">
        <v>17</v>
      </c>
      <c r="F4422" t="s">
        <v>19</v>
      </c>
      <c r="G4422" t="s">
        <v>69</v>
      </c>
      <c r="H4422" t="s">
        <v>31</v>
      </c>
      <c r="I4422" s="12">
        <v>0.66319444444444442</v>
      </c>
      <c r="J4422" t="s">
        <v>70</v>
      </c>
      <c r="K4422" t="s">
        <v>31</v>
      </c>
      <c r="L4422" s="12">
        <v>0.69097222222222221</v>
      </c>
      <c r="M4422" t="s">
        <v>33</v>
      </c>
      <c r="N4422" s="3">
        <v>189</v>
      </c>
      <c r="O4422" t="s">
        <v>24</v>
      </c>
      <c r="P4422" t="s">
        <v>56</v>
      </c>
      <c r="R4422">
        <f>tblDailySchedule[[#This Row],[Capacity Approx]]*'[1]Load Factor Sheet June Acft  '!$B$5</f>
        <v>153.04704545454547</v>
      </c>
      <c r="S4422">
        <f>tblDailySchedule[[#This Row],[Capacity Approx]]*'[1]Load Factor Sheet June Acft  '!$D$5</f>
        <v>165.71863636363636</v>
      </c>
      <c r="T4422" s="22">
        <f>tblDailySchedule[[#This Row],[STD]]</f>
        <v>0.69097222222222221</v>
      </c>
    </row>
    <row r="4423" spans="1:20" hidden="1" x14ac:dyDescent="0.35">
      <c r="A4423" s="11">
        <v>46269</v>
      </c>
      <c r="B4423" s="3">
        <v>5</v>
      </c>
      <c r="C4423" t="s">
        <v>115</v>
      </c>
      <c r="D4423" t="s">
        <v>18</v>
      </c>
      <c r="E4423" s="3">
        <v>18</v>
      </c>
      <c r="F4423" t="s">
        <v>19</v>
      </c>
      <c r="G4423" t="s">
        <v>71</v>
      </c>
      <c r="H4423" t="s">
        <v>21</v>
      </c>
      <c r="I4423" s="12">
        <v>0.67013888888888884</v>
      </c>
      <c r="J4423" t="s">
        <v>72</v>
      </c>
      <c r="K4423" t="s">
        <v>21</v>
      </c>
      <c r="L4423" s="12">
        <v>0.69791666666666663</v>
      </c>
      <c r="M4423" t="s">
        <v>63</v>
      </c>
      <c r="N4423" s="3">
        <v>232</v>
      </c>
      <c r="O4423" t="s">
        <v>24</v>
      </c>
      <c r="P4423" t="s">
        <v>56</v>
      </c>
      <c r="R4423">
        <f>tblDailySchedule[[#This Row],[Capacity Approx]]*'[1]Load Factor Sheet June Acft  '!$B$5</f>
        <v>187.86727272727273</v>
      </c>
      <c r="S4423">
        <f>tblDailySchedule[[#This Row],[Capacity Approx]]*'[1]Load Factor Sheet June Acft  '!$D$5</f>
        <v>203.4218181818182</v>
      </c>
      <c r="T4423" s="22">
        <f>tblDailySchedule[[#This Row],[STD]]</f>
        <v>0.69791666666666663</v>
      </c>
    </row>
    <row r="4424" spans="1:20" hidden="1" x14ac:dyDescent="0.35">
      <c r="A4424" s="11">
        <v>46269</v>
      </c>
      <c r="B4424" s="3">
        <v>5</v>
      </c>
      <c r="C4424" t="s">
        <v>115</v>
      </c>
      <c r="D4424" t="s">
        <v>18</v>
      </c>
      <c r="E4424" s="3">
        <v>19</v>
      </c>
      <c r="F4424" t="s">
        <v>19</v>
      </c>
      <c r="G4424" t="s">
        <v>73</v>
      </c>
      <c r="H4424" t="s">
        <v>27</v>
      </c>
      <c r="I4424" s="12">
        <v>0.74652777777777779</v>
      </c>
      <c r="J4424" t="s">
        <v>74</v>
      </c>
      <c r="K4424" t="s">
        <v>27</v>
      </c>
      <c r="L4424" s="12">
        <v>0.77430555555555558</v>
      </c>
      <c r="M4424" t="s">
        <v>63</v>
      </c>
      <c r="N4424" s="3">
        <v>232</v>
      </c>
      <c r="O4424" t="s">
        <v>24</v>
      </c>
      <c r="P4424" t="s">
        <v>56</v>
      </c>
      <c r="R4424">
        <f>tblDailySchedule[[#This Row],[Capacity Approx]]*'[1]Load Factor Sheet June Acft  '!$B$5</f>
        <v>187.86727272727273</v>
      </c>
      <c r="S4424">
        <f>tblDailySchedule[[#This Row],[Capacity Approx]]*'[1]Load Factor Sheet June Acft  '!$D$5</f>
        <v>203.4218181818182</v>
      </c>
      <c r="T4424" s="22">
        <f>tblDailySchedule[[#This Row],[STD]]</f>
        <v>0.77430555555555558</v>
      </c>
    </row>
    <row r="4425" spans="1:20" hidden="1" x14ac:dyDescent="0.35">
      <c r="A4425" s="11">
        <v>46269</v>
      </c>
      <c r="B4425" s="3">
        <v>5</v>
      </c>
      <c r="C4425" t="s">
        <v>115</v>
      </c>
      <c r="D4425" t="s">
        <v>18</v>
      </c>
      <c r="E4425" s="3">
        <v>20</v>
      </c>
      <c r="F4425" t="s">
        <v>34</v>
      </c>
      <c r="G4425" t="s">
        <v>75</v>
      </c>
      <c r="H4425" t="s">
        <v>76</v>
      </c>
      <c r="I4425" s="12">
        <v>0.76388888888888884</v>
      </c>
      <c r="J4425" t="s">
        <v>77</v>
      </c>
      <c r="K4425" t="s">
        <v>78</v>
      </c>
      <c r="L4425" s="12">
        <v>0.78472222222222221</v>
      </c>
      <c r="M4425" t="s">
        <v>51</v>
      </c>
      <c r="N4425" s="3">
        <v>78</v>
      </c>
      <c r="O4425" t="s">
        <v>24</v>
      </c>
      <c r="P4425" t="s">
        <v>79</v>
      </c>
      <c r="Q4425" s="16" t="s">
        <v>80</v>
      </c>
      <c r="R4425">
        <f>tblDailySchedule[[#This Row],[Capacity Approx]]*'[1]Load Factor Sheet June Acft  '!$B$5</f>
        <v>63.162272727272729</v>
      </c>
      <c r="S4425">
        <f>tblDailySchedule[[#This Row],[Capacity Approx]]*'[1]Load Factor Sheet June Acft  '!$D$5</f>
        <v>68.391818181818181</v>
      </c>
      <c r="T4425" s="22">
        <f>tblDailySchedule[[#This Row],[STD]]</f>
        <v>0.78472222222222221</v>
      </c>
    </row>
    <row r="4426" spans="1:20" hidden="1" x14ac:dyDescent="0.35">
      <c r="A4426" s="11">
        <v>46269</v>
      </c>
      <c r="B4426" s="3">
        <v>5</v>
      </c>
      <c r="C4426" t="s">
        <v>115</v>
      </c>
      <c r="D4426" t="s">
        <v>18</v>
      </c>
      <c r="E4426" s="3">
        <v>21</v>
      </c>
      <c r="F4426" t="s">
        <v>19</v>
      </c>
      <c r="G4426" t="s">
        <v>81</v>
      </c>
      <c r="H4426" t="s">
        <v>61</v>
      </c>
      <c r="I4426" s="12">
        <v>0.77083333333333337</v>
      </c>
      <c r="J4426" t="s">
        <v>82</v>
      </c>
      <c r="K4426" t="s">
        <v>49</v>
      </c>
      <c r="L4426" s="12">
        <v>0.79166666666666663</v>
      </c>
      <c r="M4426" t="s">
        <v>33</v>
      </c>
      <c r="N4426" s="3">
        <v>189</v>
      </c>
      <c r="O4426" t="s">
        <v>24</v>
      </c>
      <c r="P4426" t="s">
        <v>79</v>
      </c>
      <c r="R4426">
        <f>tblDailySchedule[[#This Row],[Capacity Approx]]*'[1]Load Factor Sheet June Acft  '!$B$5</f>
        <v>153.04704545454547</v>
      </c>
      <c r="S4426">
        <f>tblDailySchedule[[#This Row],[Capacity Approx]]*'[1]Load Factor Sheet June Acft  '!$D$5</f>
        <v>165.71863636363636</v>
      </c>
      <c r="T4426" s="22">
        <f>tblDailySchedule[[#This Row],[STD]]</f>
        <v>0.79166666666666663</v>
      </c>
    </row>
    <row r="4427" spans="1:20" hidden="1" x14ac:dyDescent="0.35">
      <c r="A4427" s="11">
        <v>46269</v>
      </c>
      <c r="B4427" s="3">
        <v>5</v>
      </c>
      <c r="C4427" t="s">
        <v>115</v>
      </c>
      <c r="D4427" t="s">
        <v>18</v>
      </c>
      <c r="E4427" s="3">
        <v>22</v>
      </c>
      <c r="F4427" t="s">
        <v>19</v>
      </c>
      <c r="G4427" t="s">
        <v>83</v>
      </c>
      <c r="H4427" t="s">
        <v>31</v>
      </c>
      <c r="I4427" s="12">
        <v>0.77777777777777779</v>
      </c>
      <c r="J4427" t="s">
        <v>84</v>
      </c>
      <c r="K4427" t="s">
        <v>31</v>
      </c>
      <c r="L4427" s="12">
        <v>0.80555555555555558</v>
      </c>
      <c r="M4427" t="s">
        <v>63</v>
      </c>
      <c r="N4427" s="3">
        <v>232</v>
      </c>
      <c r="O4427" t="s">
        <v>24</v>
      </c>
      <c r="P4427" t="s">
        <v>79</v>
      </c>
      <c r="R4427">
        <f>tblDailySchedule[[#This Row],[Capacity Approx]]*'[1]Load Factor Sheet June Acft  '!$B$5</f>
        <v>187.86727272727273</v>
      </c>
      <c r="S4427">
        <f>tblDailySchedule[[#This Row],[Capacity Approx]]*'[1]Load Factor Sheet June Acft  '!$D$5</f>
        <v>203.4218181818182</v>
      </c>
      <c r="T4427" s="22">
        <f>tblDailySchedule[[#This Row],[STD]]</f>
        <v>0.80555555555555558</v>
      </c>
    </row>
    <row r="4428" spans="1:20" hidden="1" x14ac:dyDescent="0.35">
      <c r="A4428" s="11">
        <v>46269</v>
      </c>
      <c r="B4428" s="3">
        <v>5</v>
      </c>
      <c r="C4428" t="s">
        <v>115</v>
      </c>
      <c r="D4428" t="s">
        <v>18</v>
      </c>
      <c r="E4428" s="3">
        <v>23</v>
      </c>
      <c r="F4428" t="s">
        <v>19</v>
      </c>
      <c r="G4428" t="s">
        <v>85</v>
      </c>
      <c r="H4428" t="s">
        <v>86</v>
      </c>
      <c r="I4428" s="12">
        <v>0.79861111111111116</v>
      </c>
      <c r="J4428" t="s">
        <v>87</v>
      </c>
      <c r="K4428" t="s">
        <v>86</v>
      </c>
      <c r="L4428" s="12">
        <v>0.82638888888888884</v>
      </c>
      <c r="M4428" t="s">
        <v>63</v>
      </c>
      <c r="N4428" s="3">
        <v>232</v>
      </c>
      <c r="O4428" t="s">
        <v>24</v>
      </c>
      <c r="P4428" t="s">
        <v>79</v>
      </c>
      <c r="R4428">
        <f>tblDailySchedule[[#This Row],[Capacity Approx]]*'[1]Load Factor Sheet June Acft  '!$B$5</f>
        <v>187.86727272727273</v>
      </c>
      <c r="S4428">
        <f>tblDailySchedule[[#This Row],[Capacity Approx]]*'[1]Load Factor Sheet June Acft  '!$D$5</f>
        <v>203.4218181818182</v>
      </c>
      <c r="T4428" s="22">
        <f>tblDailySchedule[[#This Row],[STD]]</f>
        <v>0.82638888888888884</v>
      </c>
    </row>
    <row r="4429" spans="1:20" hidden="1" x14ac:dyDescent="0.35">
      <c r="A4429" s="11">
        <v>46269</v>
      </c>
      <c r="B4429" s="3">
        <v>5</v>
      </c>
      <c r="C4429" t="s">
        <v>115</v>
      </c>
      <c r="D4429" t="s">
        <v>18</v>
      </c>
      <c r="E4429" s="3">
        <v>24</v>
      </c>
      <c r="F4429" t="s">
        <v>19</v>
      </c>
      <c r="G4429" t="s">
        <v>88</v>
      </c>
      <c r="H4429" t="s">
        <v>89</v>
      </c>
      <c r="I4429" s="12">
        <v>0.83333333333333337</v>
      </c>
      <c r="J4429" t="s">
        <v>90</v>
      </c>
      <c r="K4429" t="s">
        <v>31</v>
      </c>
      <c r="L4429" s="12">
        <v>0.86111111111111116</v>
      </c>
      <c r="M4429" t="s">
        <v>63</v>
      </c>
      <c r="N4429" s="3">
        <v>232</v>
      </c>
      <c r="O4429" t="s">
        <v>24</v>
      </c>
      <c r="P4429" t="s">
        <v>79</v>
      </c>
      <c r="R4429">
        <f>tblDailySchedule[[#This Row],[Capacity Approx]]*'[1]Load Factor Sheet June Acft  '!$B$5</f>
        <v>187.86727272727273</v>
      </c>
      <c r="S4429">
        <f>tblDailySchedule[[#This Row],[Capacity Approx]]*'[1]Load Factor Sheet June Acft  '!$D$5</f>
        <v>203.4218181818182</v>
      </c>
      <c r="T4429" s="22">
        <f>tblDailySchedule[[#This Row],[STD]]</f>
        <v>0.86111111111111116</v>
      </c>
    </row>
    <row r="4430" spans="1:20" hidden="1" x14ac:dyDescent="0.35">
      <c r="A4430" s="11">
        <v>46269</v>
      </c>
      <c r="B4430" s="3">
        <v>5</v>
      </c>
      <c r="C4430" t="s">
        <v>115</v>
      </c>
      <c r="D4430" t="s">
        <v>18</v>
      </c>
      <c r="E4430" s="3">
        <v>25</v>
      </c>
      <c r="F4430" t="s">
        <v>19</v>
      </c>
      <c r="G4430" t="s">
        <v>91</v>
      </c>
      <c r="H4430" t="s">
        <v>61</v>
      </c>
      <c r="I4430" s="12">
        <v>0.85416666666666663</v>
      </c>
      <c r="J4430" t="s">
        <v>92</v>
      </c>
      <c r="K4430" t="s">
        <v>61</v>
      </c>
      <c r="L4430" s="12">
        <v>0.88194444444444442</v>
      </c>
      <c r="M4430" t="s">
        <v>63</v>
      </c>
      <c r="N4430" s="3">
        <v>232</v>
      </c>
      <c r="O4430" t="s">
        <v>24</v>
      </c>
      <c r="P4430" t="s">
        <v>79</v>
      </c>
      <c r="R4430">
        <f>tblDailySchedule[[#This Row],[Capacity Approx]]*'[1]Load Factor Sheet June Acft  '!$B$5</f>
        <v>187.86727272727273</v>
      </c>
      <c r="S4430">
        <f>tblDailySchedule[[#This Row],[Capacity Approx]]*'[1]Load Factor Sheet June Acft  '!$D$5</f>
        <v>203.4218181818182</v>
      </c>
      <c r="T4430" s="22">
        <f>tblDailySchedule[[#This Row],[STD]]</f>
        <v>0.88194444444444442</v>
      </c>
    </row>
    <row r="4431" spans="1:20" hidden="1" x14ac:dyDescent="0.35">
      <c r="A4431" s="11">
        <v>46269</v>
      </c>
      <c r="B4431" s="3">
        <v>5</v>
      </c>
      <c r="C4431" t="s">
        <v>115</v>
      </c>
      <c r="D4431" t="s">
        <v>18</v>
      </c>
      <c r="E4431" s="3">
        <v>26</v>
      </c>
      <c r="F4431" t="s">
        <v>19</v>
      </c>
      <c r="G4431" t="s">
        <v>93</v>
      </c>
      <c r="H4431" t="s">
        <v>31</v>
      </c>
      <c r="I4431" s="12">
        <v>0.86111111111111116</v>
      </c>
      <c r="J4431" t="s">
        <v>94</v>
      </c>
      <c r="K4431" t="s">
        <v>31</v>
      </c>
      <c r="L4431" s="12">
        <v>0.88888888888888884</v>
      </c>
      <c r="M4431" t="s">
        <v>23</v>
      </c>
      <c r="N4431" s="3">
        <v>186</v>
      </c>
      <c r="O4431" t="s">
        <v>24</v>
      </c>
      <c r="P4431" t="s">
        <v>79</v>
      </c>
      <c r="R4431">
        <f>tblDailySchedule[[#This Row],[Capacity Approx]]*'[1]Load Factor Sheet June Acft  '!$B$5</f>
        <v>150.61772727272728</v>
      </c>
      <c r="S4431">
        <f>tblDailySchedule[[#This Row],[Capacity Approx]]*'[1]Load Factor Sheet June Acft  '!$D$5</f>
        <v>163.08818181818182</v>
      </c>
      <c r="T4431" s="22">
        <f>tblDailySchedule[[#This Row],[STD]]</f>
        <v>0.88888888888888884</v>
      </c>
    </row>
    <row r="4432" spans="1:20" hidden="1" x14ac:dyDescent="0.35">
      <c r="A4432" s="11">
        <v>46269</v>
      </c>
      <c r="B4432" s="3">
        <v>5</v>
      </c>
      <c r="C4432" t="s">
        <v>115</v>
      </c>
      <c r="D4432" t="s">
        <v>18</v>
      </c>
      <c r="E4432" s="3">
        <v>27</v>
      </c>
      <c r="F4432" t="s">
        <v>19</v>
      </c>
      <c r="G4432" t="s">
        <v>95</v>
      </c>
      <c r="H4432" t="s">
        <v>21</v>
      </c>
      <c r="I4432" s="12">
        <v>0.86805555555555558</v>
      </c>
      <c r="J4432" t="s">
        <v>96</v>
      </c>
      <c r="K4432" t="s">
        <v>21</v>
      </c>
      <c r="L4432" s="12">
        <v>0.89583333333333337</v>
      </c>
      <c r="M4432" t="s">
        <v>29</v>
      </c>
      <c r="N4432" s="3">
        <v>186</v>
      </c>
      <c r="O4432" t="s">
        <v>24</v>
      </c>
      <c r="P4432" t="s">
        <v>79</v>
      </c>
      <c r="R4432">
        <f>tblDailySchedule[[#This Row],[Capacity Approx]]*'[1]Load Factor Sheet June Acft  '!$B$5</f>
        <v>150.61772727272728</v>
      </c>
      <c r="S4432">
        <f>tblDailySchedule[[#This Row],[Capacity Approx]]*'[1]Load Factor Sheet June Acft  '!$D$5</f>
        <v>163.08818181818182</v>
      </c>
      <c r="T4432" s="22">
        <f>tblDailySchedule[[#This Row],[STD]]</f>
        <v>0.89583333333333337</v>
      </c>
    </row>
    <row r="4433" spans="1:20" hidden="1" x14ac:dyDescent="0.35">
      <c r="A4433" s="11">
        <v>46269</v>
      </c>
      <c r="B4433" s="3">
        <v>5</v>
      </c>
      <c r="C4433" t="s">
        <v>115</v>
      </c>
      <c r="D4433" t="s">
        <v>18</v>
      </c>
      <c r="E4433" s="3">
        <v>28</v>
      </c>
      <c r="F4433" t="s">
        <v>19</v>
      </c>
      <c r="G4433" t="s">
        <v>97</v>
      </c>
      <c r="H4433" t="s">
        <v>49</v>
      </c>
      <c r="I4433" s="12">
        <v>0.90277777777777779</v>
      </c>
      <c r="J4433" t="s">
        <v>97</v>
      </c>
      <c r="K4433" t="s">
        <v>61</v>
      </c>
      <c r="L4433" s="12">
        <v>0.92361111111111116</v>
      </c>
      <c r="M4433" t="s">
        <v>33</v>
      </c>
      <c r="N4433" s="3">
        <v>189</v>
      </c>
      <c r="O4433" t="s">
        <v>24</v>
      </c>
      <c r="P4433" t="s">
        <v>79</v>
      </c>
      <c r="R4433">
        <f>tblDailySchedule[[#This Row],[Capacity Approx]]*'[1]Load Factor Sheet June Acft  '!$B$5</f>
        <v>153.04704545454547</v>
      </c>
      <c r="S4433">
        <f>tblDailySchedule[[#This Row],[Capacity Approx]]*'[1]Load Factor Sheet June Acft  '!$D$5</f>
        <v>165.71863636363636</v>
      </c>
      <c r="T4433" s="22">
        <f>tblDailySchedule[[#This Row],[STD]]</f>
        <v>0.92361111111111116</v>
      </c>
    </row>
    <row r="4434" spans="1:20" hidden="1" x14ac:dyDescent="0.35">
      <c r="A4434" s="11">
        <v>46269</v>
      </c>
      <c r="B4434" s="3">
        <v>5</v>
      </c>
      <c r="C4434" t="s">
        <v>115</v>
      </c>
      <c r="D4434" t="s">
        <v>18</v>
      </c>
      <c r="E4434" s="3">
        <v>29</v>
      </c>
      <c r="F4434" t="s">
        <v>19</v>
      </c>
      <c r="G4434" t="s">
        <v>98</v>
      </c>
      <c r="H4434" t="s">
        <v>21</v>
      </c>
      <c r="I4434" s="12">
        <v>0.92013888888888884</v>
      </c>
      <c r="J4434" t="s">
        <v>99</v>
      </c>
      <c r="K4434" t="s">
        <v>21</v>
      </c>
      <c r="L4434" s="12">
        <v>0.94791666666666663</v>
      </c>
      <c r="M4434" t="s">
        <v>63</v>
      </c>
      <c r="N4434" s="3">
        <v>232</v>
      </c>
      <c r="O4434" t="s">
        <v>24</v>
      </c>
      <c r="P4434" t="s">
        <v>79</v>
      </c>
      <c r="R4434">
        <f>tblDailySchedule[[#This Row],[Capacity Approx]]*'[1]Load Factor Sheet June Acft  '!$B$5</f>
        <v>187.86727272727273</v>
      </c>
      <c r="S4434">
        <f>tblDailySchedule[[#This Row],[Capacity Approx]]*'[1]Load Factor Sheet June Acft  '!$D$5</f>
        <v>203.4218181818182</v>
      </c>
      <c r="T4434" s="22">
        <f>tblDailySchedule[[#This Row],[STD]]</f>
        <v>0.94791666666666663</v>
      </c>
    </row>
    <row r="4435" spans="1:20" hidden="1" x14ac:dyDescent="0.35">
      <c r="A4435" s="13">
        <v>46269</v>
      </c>
      <c r="B4435" s="7">
        <v>5</v>
      </c>
      <c r="C4435" s="14" t="s">
        <v>115</v>
      </c>
      <c r="D4435" s="14" t="s">
        <v>18</v>
      </c>
      <c r="E4435" s="7">
        <v>30</v>
      </c>
      <c r="F4435" s="14" t="s">
        <v>104</v>
      </c>
      <c r="G4435" s="14" t="s">
        <v>105</v>
      </c>
      <c r="H4435" s="14" t="s">
        <v>106</v>
      </c>
      <c r="I4435" s="15">
        <v>0.92708333333333337</v>
      </c>
      <c r="J4435" s="14" t="s">
        <v>107</v>
      </c>
      <c r="K4435" s="14" t="s">
        <v>106</v>
      </c>
      <c r="L4435" s="15">
        <v>0.95833333333333337</v>
      </c>
      <c r="M4435" s="14" t="s">
        <v>38</v>
      </c>
      <c r="N4435" s="7">
        <v>186</v>
      </c>
      <c r="O4435" s="14" t="s">
        <v>39</v>
      </c>
      <c r="P4435" s="14" t="s">
        <v>79</v>
      </c>
      <c r="Q4435" s="14" t="s">
        <v>39</v>
      </c>
      <c r="R4435">
        <f>tblDailySchedule[[#This Row],[Capacity Approx]]*'[1]Load Factor Sheet June Acft  '!$B$5</f>
        <v>150.61772727272728</v>
      </c>
      <c r="S4435">
        <f>tblDailySchedule[[#This Row],[Capacity Approx]]*'[1]Load Factor Sheet June Acft  '!$D$5</f>
        <v>163.08818181818182</v>
      </c>
      <c r="T4435" s="22">
        <f>tblDailySchedule[[#This Row],[STD]]</f>
        <v>0.95833333333333337</v>
      </c>
    </row>
    <row r="4436" spans="1:20" hidden="1" x14ac:dyDescent="0.35">
      <c r="A4436" s="11">
        <v>46270</v>
      </c>
      <c r="B4436" s="3">
        <v>6</v>
      </c>
      <c r="C4436" t="s">
        <v>116</v>
      </c>
      <c r="D4436" t="s">
        <v>18</v>
      </c>
      <c r="E4436" s="3">
        <v>1</v>
      </c>
      <c r="F4436" t="s">
        <v>101</v>
      </c>
      <c r="G4436" t="s">
        <v>102</v>
      </c>
      <c r="H4436" t="s">
        <v>61</v>
      </c>
      <c r="I4436" s="12">
        <v>0.3125</v>
      </c>
      <c r="J4436" t="s">
        <v>103</v>
      </c>
      <c r="K4436" t="s">
        <v>61</v>
      </c>
      <c r="L4436" s="12">
        <v>0.33333333333333331</v>
      </c>
      <c r="M4436" t="s">
        <v>33</v>
      </c>
      <c r="N4436" s="3">
        <v>189</v>
      </c>
      <c r="O4436" t="s">
        <v>24</v>
      </c>
      <c r="P4436" t="s">
        <v>25</v>
      </c>
      <c r="R4436">
        <f>tblDailySchedule[[#This Row],[Capacity Approx]]*'[1]Load Factor Sheet June Acft  '!$B$5</f>
        <v>153.04704545454547</v>
      </c>
      <c r="S4436">
        <f>tblDailySchedule[[#This Row],[Capacity Approx]]*'[1]Load Factor Sheet June Acft  '!$D$5</f>
        <v>165.71863636363636</v>
      </c>
      <c r="T4436" s="22">
        <f>tblDailySchedule[[#This Row],[STD]]</f>
        <v>0.33333333333333331</v>
      </c>
    </row>
    <row r="4437" spans="1:20" hidden="1" x14ac:dyDescent="0.35">
      <c r="A4437" s="11">
        <v>46270</v>
      </c>
      <c r="B4437" s="3">
        <v>6</v>
      </c>
      <c r="C4437" t="s">
        <v>116</v>
      </c>
      <c r="D4437" t="s">
        <v>18</v>
      </c>
      <c r="E4437" s="3">
        <v>2</v>
      </c>
      <c r="F4437" t="s">
        <v>19</v>
      </c>
      <c r="G4437" t="s">
        <v>20</v>
      </c>
      <c r="H4437" t="s">
        <v>21</v>
      </c>
      <c r="I4437" s="12">
        <v>0.31944444444444442</v>
      </c>
      <c r="J4437" t="s">
        <v>22</v>
      </c>
      <c r="K4437" t="s">
        <v>21</v>
      </c>
      <c r="L4437" s="12">
        <v>0.34722222222222221</v>
      </c>
      <c r="M4437" t="s">
        <v>23</v>
      </c>
      <c r="N4437" s="3">
        <v>186</v>
      </c>
      <c r="O4437" t="s">
        <v>24</v>
      </c>
      <c r="P4437" t="s">
        <v>25</v>
      </c>
      <c r="R4437">
        <f>tblDailySchedule[[#This Row],[Capacity Approx]]*'[1]Load Factor Sheet June Acft  '!$B$5</f>
        <v>150.61772727272728</v>
      </c>
      <c r="S4437">
        <f>tblDailySchedule[[#This Row],[Capacity Approx]]*'[1]Load Factor Sheet June Acft  '!$D$5</f>
        <v>163.08818181818182</v>
      </c>
      <c r="T4437" s="22">
        <f>tblDailySchedule[[#This Row],[STD]]</f>
        <v>0.34722222222222221</v>
      </c>
    </row>
    <row r="4438" spans="1:20" hidden="1" x14ac:dyDescent="0.35">
      <c r="A4438" s="11">
        <v>46270</v>
      </c>
      <c r="B4438" s="3">
        <v>6</v>
      </c>
      <c r="C4438" t="s">
        <v>116</v>
      </c>
      <c r="D4438" t="s">
        <v>18</v>
      </c>
      <c r="E4438" s="3">
        <v>3</v>
      </c>
      <c r="F4438" t="s">
        <v>19</v>
      </c>
      <c r="G4438" t="s">
        <v>26</v>
      </c>
      <c r="H4438" t="s">
        <v>27</v>
      </c>
      <c r="I4438" s="12">
        <v>0.3263888888888889</v>
      </c>
      <c r="J4438" t="s">
        <v>28</v>
      </c>
      <c r="K4438" t="s">
        <v>27</v>
      </c>
      <c r="L4438" s="12">
        <v>0.35416666666666669</v>
      </c>
      <c r="M4438" t="s">
        <v>29</v>
      </c>
      <c r="N4438" s="3">
        <v>186</v>
      </c>
      <c r="O4438" t="s">
        <v>24</v>
      </c>
      <c r="P4438" t="s">
        <v>25</v>
      </c>
      <c r="R4438">
        <f>tblDailySchedule[[#This Row],[Capacity Approx]]*'[1]Load Factor Sheet June Acft  '!$B$5</f>
        <v>150.61772727272728</v>
      </c>
      <c r="S4438">
        <f>tblDailySchedule[[#This Row],[Capacity Approx]]*'[1]Load Factor Sheet June Acft  '!$D$5</f>
        <v>163.08818181818182</v>
      </c>
      <c r="T4438" s="22">
        <f>tblDailySchedule[[#This Row],[STD]]</f>
        <v>0.35416666666666669</v>
      </c>
    </row>
    <row r="4439" spans="1:20" hidden="1" x14ac:dyDescent="0.35">
      <c r="A4439" s="11">
        <v>46270</v>
      </c>
      <c r="B4439" s="3">
        <v>6</v>
      </c>
      <c r="C4439" t="s">
        <v>116</v>
      </c>
      <c r="D4439" t="s">
        <v>18</v>
      </c>
      <c r="E4439" s="3">
        <v>4</v>
      </c>
      <c r="F4439" t="s">
        <v>19</v>
      </c>
      <c r="G4439" t="s">
        <v>30</v>
      </c>
      <c r="H4439" t="s">
        <v>31</v>
      </c>
      <c r="I4439" s="12">
        <v>0.34722222222222221</v>
      </c>
      <c r="J4439" t="s">
        <v>32</v>
      </c>
      <c r="K4439" t="s">
        <v>31</v>
      </c>
      <c r="L4439" s="12">
        <v>0.36805555555555558</v>
      </c>
      <c r="M4439" t="s">
        <v>33</v>
      </c>
      <c r="N4439" s="3">
        <v>189</v>
      </c>
      <c r="O4439" t="s">
        <v>24</v>
      </c>
      <c r="P4439" t="s">
        <v>25</v>
      </c>
      <c r="R4439">
        <f>tblDailySchedule[[#This Row],[Capacity Approx]]*'[1]Load Factor Sheet June Acft  '!$B$5</f>
        <v>153.04704545454547</v>
      </c>
      <c r="S4439">
        <f>tblDailySchedule[[#This Row],[Capacity Approx]]*'[1]Load Factor Sheet June Acft  '!$D$5</f>
        <v>165.71863636363636</v>
      </c>
      <c r="T4439" s="22">
        <f>tblDailySchedule[[#This Row],[STD]]</f>
        <v>0.36805555555555558</v>
      </c>
    </row>
    <row r="4440" spans="1:20" hidden="1" x14ac:dyDescent="0.35">
      <c r="A4440" s="11">
        <v>46270</v>
      </c>
      <c r="B4440" s="3">
        <v>6</v>
      </c>
      <c r="C4440" t="s">
        <v>116</v>
      </c>
      <c r="D4440" t="s">
        <v>18</v>
      </c>
      <c r="E4440" s="3">
        <v>5</v>
      </c>
      <c r="F4440" t="s">
        <v>19</v>
      </c>
      <c r="G4440" t="s">
        <v>40</v>
      </c>
      <c r="H4440" t="s">
        <v>31</v>
      </c>
      <c r="I4440" s="12">
        <v>0.35069444444444442</v>
      </c>
      <c r="J4440" t="s">
        <v>41</v>
      </c>
      <c r="K4440" t="s">
        <v>31</v>
      </c>
      <c r="L4440" s="12">
        <v>0.37152777777777779</v>
      </c>
      <c r="M4440" t="s">
        <v>23</v>
      </c>
      <c r="N4440" s="3">
        <v>186</v>
      </c>
      <c r="O4440" t="s">
        <v>24</v>
      </c>
      <c r="P4440" t="s">
        <v>25</v>
      </c>
      <c r="R4440">
        <f>tblDailySchedule[[#This Row],[Capacity Approx]]*'[1]Load Factor Sheet June Acft  '!$B$5</f>
        <v>150.61772727272728</v>
      </c>
      <c r="S4440">
        <f>tblDailySchedule[[#This Row],[Capacity Approx]]*'[1]Load Factor Sheet June Acft  '!$D$5</f>
        <v>163.08818181818182</v>
      </c>
      <c r="T4440" s="22">
        <f>tblDailySchedule[[#This Row],[STD]]</f>
        <v>0.37152777777777779</v>
      </c>
    </row>
    <row r="4441" spans="1:20" hidden="1" x14ac:dyDescent="0.35">
      <c r="A4441" s="11">
        <v>46270</v>
      </c>
      <c r="B4441" s="3">
        <v>6</v>
      </c>
      <c r="C4441" t="s">
        <v>116</v>
      </c>
      <c r="D4441" t="s">
        <v>18</v>
      </c>
      <c r="E4441" s="3">
        <v>7</v>
      </c>
      <c r="F4441" t="s">
        <v>19</v>
      </c>
      <c r="G4441" t="s">
        <v>42</v>
      </c>
      <c r="H4441" t="s">
        <v>43</v>
      </c>
      <c r="I4441" s="12">
        <v>0.3923611111111111</v>
      </c>
      <c r="J4441" t="s">
        <v>44</v>
      </c>
      <c r="K4441" t="s">
        <v>43</v>
      </c>
      <c r="L4441" s="12">
        <v>0.40277777777777779</v>
      </c>
      <c r="M4441" t="s">
        <v>45</v>
      </c>
      <c r="N4441" s="3">
        <v>9</v>
      </c>
      <c r="O4441" t="s">
        <v>24</v>
      </c>
      <c r="P4441" t="s">
        <v>25</v>
      </c>
      <c r="R4441">
        <f>tblDailySchedule[[#This Row],[Capacity Approx]]*'[1]Load Factor Sheet June Acft  '!$B$5</f>
        <v>7.2879545454545456</v>
      </c>
      <c r="S4441">
        <f>tblDailySchedule[[#This Row],[Capacity Approx]]*'[1]Load Factor Sheet June Acft  '!$D$5</f>
        <v>7.8913636363636366</v>
      </c>
      <c r="T4441" s="22">
        <f>tblDailySchedule[[#This Row],[STD]]</f>
        <v>0.40277777777777779</v>
      </c>
    </row>
    <row r="4442" spans="1:20" hidden="1" x14ac:dyDescent="0.35">
      <c r="A4442" s="11">
        <v>46270</v>
      </c>
      <c r="B4442" s="3">
        <v>6</v>
      </c>
      <c r="C4442" t="s">
        <v>116</v>
      </c>
      <c r="D4442" t="s">
        <v>18</v>
      </c>
      <c r="E4442" s="3">
        <v>8</v>
      </c>
      <c r="F4442" t="s">
        <v>19</v>
      </c>
      <c r="G4442" t="s">
        <v>46</v>
      </c>
      <c r="H4442" t="s">
        <v>31</v>
      </c>
      <c r="I4442" s="12">
        <v>0.4201388888888889</v>
      </c>
      <c r="J4442" t="s">
        <v>47</v>
      </c>
      <c r="K4442" t="s">
        <v>31</v>
      </c>
      <c r="L4442" s="12">
        <v>0.44444444444444442</v>
      </c>
      <c r="M4442" t="s">
        <v>29</v>
      </c>
      <c r="N4442" s="3">
        <v>186</v>
      </c>
      <c r="O4442" t="s">
        <v>24</v>
      </c>
      <c r="P4442" t="s">
        <v>25</v>
      </c>
      <c r="R4442">
        <f>tblDailySchedule[[#This Row],[Capacity Approx]]*'[1]Load Factor Sheet June Acft  '!$B$5</f>
        <v>150.61772727272728</v>
      </c>
      <c r="S4442">
        <f>tblDailySchedule[[#This Row],[Capacity Approx]]*'[1]Load Factor Sheet June Acft  '!$D$5</f>
        <v>163.08818181818182</v>
      </c>
      <c r="T4442" s="22">
        <f>tblDailySchedule[[#This Row],[STD]]</f>
        <v>0.44444444444444442</v>
      </c>
    </row>
    <row r="4443" spans="1:20" hidden="1" x14ac:dyDescent="0.35">
      <c r="A4443" s="11">
        <v>46270</v>
      </c>
      <c r="B4443" s="3">
        <v>6</v>
      </c>
      <c r="C4443" t="s">
        <v>116</v>
      </c>
      <c r="D4443" t="s">
        <v>18</v>
      </c>
      <c r="E4443" s="3">
        <v>9</v>
      </c>
      <c r="F4443" t="s">
        <v>19</v>
      </c>
      <c r="G4443" t="s">
        <v>48</v>
      </c>
      <c r="H4443" t="s">
        <v>49</v>
      </c>
      <c r="I4443" s="12">
        <v>0.4375</v>
      </c>
      <c r="J4443" t="s">
        <v>50</v>
      </c>
      <c r="K4443" t="s">
        <v>49</v>
      </c>
      <c r="L4443" s="12">
        <v>0.45833333333333331</v>
      </c>
      <c r="M4443" t="s">
        <v>51</v>
      </c>
      <c r="N4443" s="3">
        <v>78</v>
      </c>
      <c r="O4443" t="s">
        <v>24</v>
      </c>
      <c r="P4443" t="s">
        <v>25</v>
      </c>
      <c r="R4443">
        <f>tblDailySchedule[[#This Row],[Capacity Approx]]*'[1]Load Factor Sheet June Acft  '!$B$5</f>
        <v>63.162272727272729</v>
      </c>
      <c r="S4443">
        <f>tblDailySchedule[[#This Row],[Capacity Approx]]*'[1]Load Factor Sheet June Acft  '!$D$5</f>
        <v>68.391818181818181</v>
      </c>
      <c r="T4443" s="22">
        <f>tblDailySchedule[[#This Row],[STD]]</f>
        <v>0.45833333333333331</v>
      </c>
    </row>
    <row r="4444" spans="1:20" hidden="1" x14ac:dyDescent="0.35">
      <c r="A4444" s="11">
        <v>46270</v>
      </c>
      <c r="B4444" s="3">
        <v>6</v>
      </c>
      <c r="C4444" t="s">
        <v>116</v>
      </c>
      <c r="D4444" t="s">
        <v>18</v>
      </c>
      <c r="E4444" s="3">
        <v>10</v>
      </c>
      <c r="F4444" t="s">
        <v>19</v>
      </c>
      <c r="G4444" t="s">
        <v>52</v>
      </c>
      <c r="H4444" t="s">
        <v>27</v>
      </c>
      <c r="I4444" s="12">
        <v>0.4826388888888889</v>
      </c>
      <c r="J4444" t="s">
        <v>53</v>
      </c>
      <c r="K4444" t="s">
        <v>27</v>
      </c>
      <c r="L4444" s="12">
        <v>0.51041666666666663</v>
      </c>
      <c r="M4444" t="s">
        <v>23</v>
      </c>
      <c r="N4444" s="3">
        <v>186</v>
      </c>
      <c r="O4444" t="s">
        <v>24</v>
      </c>
      <c r="P4444" t="s">
        <v>25</v>
      </c>
      <c r="R4444">
        <f>tblDailySchedule[[#This Row],[Capacity Approx]]*'[1]Load Factor Sheet June Acft  '!$B$5</f>
        <v>150.61772727272728</v>
      </c>
      <c r="S4444">
        <f>tblDailySchedule[[#This Row],[Capacity Approx]]*'[1]Load Factor Sheet June Acft  '!$D$5</f>
        <v>163.08818181818182</v>
      </c>
      <c r="T4444" s="22">
        <f>tblDailySchedule[[#This Row],[STD]]</f>
        <v>0.51041666666666663</v>
      </c>
    </row>
    <row r="4445" spans="1:20" hidden="1" x14ac:dyDescent="0.35">
      <c r="A4445" s="11">
        <v>46270</v>
      </c>
      <c r="B4445" s="3">
        <v>6</v>
      </c>
      <c r="C4445" t="s">
        <v>116</v>
      </c>
      <c r="D4445" t="s">
        <v>18</v>
      </c>
      <c r="E4445" s="3">
        <v>11</v>
      </c>
      <c r="F4445" t="s">
        <v>19</v>
      </c>
      <c r="G4445" t="s">
        <v>54</v>
      </c>
      <c r="H4445" t="s">
        <v>31</v>
      </c>
      <c r="I4445" s="12">
        <v>0.51388888888888884</v>
      </c>
      <c r="J4445" t="s">
        <v>55</v>
      </c>
      <c r="K4445" t="s">
        <v>31</v>
      </c>
      <c r="L4445" s="12">
        <v>0.54166666666666663</v>
      </c>
      <c r="M4445" t="s">
        <v>23</v>
      </c>
      <c r="N4445" s="3">
        <v>186</v>
      </c>
      <c r="O4445" t="s">
        <v>24</v>
      </c>
      <c r="P4445" t="s">
        <v>56</v>
      </c>
      <c r="R4445">
        <f>tblDailySchedule[[#This Row],[Capacity Approx]]*'[1]Load Factor Sheet June Acft  '!$B$5</f>
        <v>150.61772727272728</v>
      </c>
      <c r="S4445">
        <f>tblDailySchedule[[#This Row],[Capacity Approx]]*'[1]Load Factor Sheet June Acft  '!$D$5</f>
        <v>163.08818181818182</v>
      </c>
      <c r="T4445" s="22">
        <f>tblDailySchedule[[#This Row],[STD]]</f>
        <v>0.54166666666666663</v>
      </c>
    </row>
    <row r="4446" spans="1:20" hidden="1" x14ac:dyDescent="0.35">
      <c r="A4446" s="11">
        <v>46270</v>
      </c>
      <c r="B4446" s="3">
        <v>6</v>
      </c>
      <c r="C4446" t="s">
        <v>116</v>
      </c>
      <c r="D4446" t="s">
        <v>18</v>
      </c>
      <c r="E4446" s="3">
        <v>12</v>
      </c>
      <c r="F4446" t="s">
        <v>109</v>
      </c>
      <c r="G4446" t="s">
        <v>110</v>
      </c>
      <c r="H4446" t="s">
        <v>111</v>
      </c>
      <c r="I4446" s="12">
        <v>0.55555555555555558</v>
      </c>
      <c r="J4446" t="s">
        <v>112</v>
      </c>
      <c r="K4446" t="s">
        <v>111</v>
      </c>
      <c r="L4446" s="12">
        <v>0.56944444444444442</v>
      </c>
      <c r="M4446" t="s">
        <v>51</v>
      </c>
      <c r="N4446" s="3">
        <v>78</v>
      </c>
      <c r="O4446" t="s">
        <v>24</v>
      </c>
      <c r="P4446" t="s">
        <v>56</v>
      </c>
      <c r="R4446">
        <f>tblDailySchedule[[#This Row],[Capacity Approx]]*'[1]Load Factor Sheet June Acft  '!$B$5</f>
        <v>63.162272727272729</v>
      </c>
      <c r="S4446">
        <f>tblDailySchedule[[#This Row],[Capacity Approx]]*'[1]Load Factor Sheet June Acft  '!$D$5</f>
        <v>68.391818181818181</v>
      </c>
      <c r="T4446" s="22">
        <f>tblDailySchedule[[#This Row],[STD]]</f>
        <v>0.56944444444444442</v>
      </c>
    </row>
    <row r="4447" spans="1:20" hidden="1" x14ac:dyDescent="0.35">
      <c r="A4447" s="11">
        <v>46270</v>
      </c>
      <c r="B4447" s="3">
        <v>6</v>
      </c>
      <c r="C4447" t="s">
        <v>116</v>
      </c>
      <c r="D4447" t="s">
        <v>18</v>
      </c>
      <c r="E4447" s="3">
        <v>13</v>
      </c>
      <c r="F4447" t="s">
        <v>19</v>
      </c>
      <c r="G4447" t="s">
        <v>57</v>
      </c>
      <c r="H4447" t="s">
        <v>58</v>
      </c>
      <c r="I4447" s="12">
        <v>0.55902777777777779</v>
      </c>
      <c r="J4447" t="s">
        <v>59</v>
      </c>
      <c r="K4447" t="s">
        <v>58</v>
      </c>
      <c r="L4447" s="12">
        <v>0.57638888888888884</v>
      </c>
      <c r="M4447" t="s">
        <v>51</v>
      </c>
      <c r="N4447" s="3">
        <v>78</v>
      </c>
      <c r="O4447" t="s">
        <v>24</v>
      </c>
      <c r="P4447" t="s">
        <v>56</v>
      </c>
      <c r="R4447">
        <f>tblDailySchedule[[#This Row],[Capacity Approx]]*'[1]Load Factor Sheet June Acft  '!$B$5</f>
        <v>63.162272727272729</v>
      </c>
      <c r="S4447">
        <f>tblDailySchedule[[#This Row],[Capacity Approx]]*'[1]Load Factor Sheet June Acft  '!$D$5</f>
        <v>68.391818181818181</v>
      </c>
      <c r="T4447" s="22">
        <f>tblDailySchedule[[#This Row],[STD]]</f>
        <v>0.57638888888888884</v>
      </c>
    </row>
    <row r="4448" spans="1:20" hidden="1" x14ac:dyDescent="0.35">
      <c r="A4448" s="11">
        <v>46270</v>
      </c>
      <c r="B4448" s="3">
        <v>6</v>
      </c>
      <c r="C4448" t="s">
        <v>116</v>
      </c>
      <c r="D4448" t="s">
        <v>18</v>
      </c>
      <c r="E4448" s="3">
        <v>14</v>
      </c>
      <c r="F4448" t="s">
        <v>19</v>
      </c>
      <c r="G4448" t="s">
        <v>60</v>
      </c>
      <c r="H4448" t="s">
        <v>61</v>
      </c>
      <c r="I4448" s="12">
        <v>0.59027777777777779</v>
      </c>
      <c r="J4448" t="s">
        <v>62</v>
      </c>
      <c r="K4448" t="s">
        <v>61</v>
      </c>
      <c r="L4448" s="12">
        <v>0.62152777777777779</v>
      </c>
      <c r="M4448" t="s">
        <v>63</v>
      </c>
      <c r="N4448" s="3">
        <v>232</v>
      </c>
      <c r="O4448" t="s">
        <v>24</v>
      </c>
      <c r="P4448" t="s">
        <v>56</v>
      </c>
      <c r="R4448">
        <f>tblDailySchedule[[#This Row],[Capacity Approx]]*'[1]Load Factor Sheet June Acft  '!$B$5</f>
        <v>187.86727272727273</v>
      </c>
      <c r="S4448">
        <f>tblDailySchedule[[#This Row],[Capacity Approx]]*'[1]Load Factor Sheet June Acft  '!$D$5</f>
        <v>203.4218181818182</v>
      </c>
      <c r="T4448" s="22">
        <f>tblDailySchedule[[#This Row],[STD]]</f>
        <v>0.62152777777777779</v>
      </c>
    </row>
    <row r="4449" spans="1:20" hidden="1" x14ac:dyDescent="0.35">
      <c r="A4449" s="11">
        <v>46270</v>
      </c>
      <c r="B4449" s="3">
        <v>6</v>
      </c>
      <c r="C4449" t="s">
        <v>116</v>
      </c>
      <c r="D4449" t="s">
        <v>18</v>
      </c>
      <c r="E4449" s="3">
        <v>15</v>
      </c>
      <c r="F4449" t="s">
        <v>19</v>
      </c>
      <c r="G4449" t="s">
        <v>64</v>
      </c>
      <c r="H4449" t="s">
        <v>31</v>
      </c>
      <c r="I4449" s="12">
        <v>0.60069444444444442</v>
      </c>
      <c r="J4449" t="s">
        <v>65</v>
      </c>
      <c r="K4449" t="s">
        <v>66</v>
      </c>
      <c r="L4449" s="12">
        <v>0.62847222222222221</v>
      </c>
      <c r="M4449" t="s">
        <v>63</v>
      </c>
      <c r="N4449" s="3">
        <v>232</v>
      </c>
      <c r="O4449" t="s">
        <v>24</v>
      </c>
      <c r="P4449" t="s">
        <v>56</v>
      </c>
      <c r="R4449">
        <f>tblDailySchedule[[#This Row],[Capacity Approx]]*'[1]Load Factor Sheet June Acft  '!$B$5</f>
        <v>187.86727272727273</v>
      </c>
      <c r="S4449">
        <f>tblDailySchedule[[#This Row],[Capacity Approx]]*'[1]Load Factor Sheet June Acft  '!$D$5</f>
        <v>203.4218181818182</v>
      </c>
      <c r="T4449" s="22">
        <f>tblDailySchedule[[#This Row],[STD]]</f>
        <v>0.62847222222222221</v>
      </c>
    </row>
    <row r="4450" spans="1:20" hidden="1" x14ac:dyDescent="0.35">
      <c r="A4450" s="11">
        <v>46270</v>
      </c>
      <c r="B4450" s="3">
        <v>6</v>
      </c>
      <c r="C4450" t="s">
        <v>116</v>
      </c>
      <c r="D4450" t="s">
        <v>18</v>
      </c>
      <c r="E4450" s="3">
        <v>16</v>
      </c>
      <c r="F4450" t="s">
        <v>19</v>
      </c>
      <c r="G4450" t="s">
        <v>67</v>
      </c>
      <c r="H4450" t="s">
        <v>31</v>
      </c>
      <c r="I4450" s="12">
        <v>0.65625</v>
      </c>
      <c r="J4450" t="s">
        <v>68</v>
      </c>
      <c r="K4450" t="s">
        <v>31</v>
      </c>
      <c r="L4450" s="12">
        <v>0.68402777777777779</v>
      </c>
      <c r="M4450" t="s">
        <v>63</v>
      </c>
      <c r="N4450" s="3">
        <v>232</v>
      </c>
      <c r="O4450" t="s">
        <v>24</v>
      </c>
      <c r="P4450" t="s">
        <v>56</v>
      </c>
      <c r="R4450">
        <f>tblDailySchedule[[#This Row],[Capacity Approx]]*'[1]Load Factor Sheet June Acft  '!$B$5</f>
        <v>187.86727272727273</v>
      </c>
      <c r="S4450">
        <f>tblDailySchedule[[#This Row],[Capacity Approx]]*'[1]Load Factor Sheet June Acft  '!$D$5</f>
        <v>203.4218181818182</v>
      </c>
      <c r="T4450" s="22">
        <f>tblDailySchedule[[#This Row],[STD]]</f>
        <v>0.68402777777777779</v>
      </c>
    </row>
    <row r="4451" spans="1:20" hidden="1" x14ac:dyDescent="0.35">
      <c r="A4451" s="11">
        <v>46270</v>
      </c>
      <c r="B4451" s="3">
        <v>6</v>
      </c>
      <c r="C4451" t="s">
        <v>116</v>
      </c>
      <c r="D4451" t="s">
        <v>18</v>
      </c>
      <c r="E4451" s="3">
        <v>17</v>
      </c>
      <c r="F4451" t="s">
        <v>19</v>
      </c>
      <c r="G4451" t="s">
        <v>69</v>
      </c>
      <c r="H4451" t="s">
        <v>31</v>
      </c>
      <c r="I4451" s="12">
        <v>0.66319444444444442</v>
      </c>
      <c r="J4451" t="s">
        <v>70</v>
      </c>
      <c r="K4451" t="s">
        <v>31</v>
      </c>
      <c r="L4451" s="12">
        <v>0.69097222222222221</v>
      </c>
      <c r="M4451" t="s">
        <v>33</v>
      </c>
      <c r="N4451" s="3">
        <v>189</v>
      </c>
      <c r="O4451" t="s">
        <v>24</v>
      </c>
      <c r="P4451" t="s">
        <v>56</v>
      </c>
      <c r="R4451">
        <f>tblDailySchedule[[#This Row],[Capacity Approx]]*'[1]Load Factor Sheet June Acft  '!$B$5</f>
        <v>153.04704545454547</v>
      </c>
      <c r="S4451">
        <f>tblDailySchedule[[#This Row],[Capacity Approx]]*'[1]Load Factor Sheet June Acft  '!$D$5</f>
        <v>165.71863636363636</v>
      </c>
      <c r="T4451" s="22">
        <f>tblDailySchedule[[#This Row],[STD]]</f>
        <v>0.69097222222222221</v>
      </c>
    </row>
    <row r="4452" spans="1:20" hidden="1" x14ac:dyDescent="0.35">
      <c r="A4452" s="11">
        <v>46270</v>
      </c>
      <c r="B4452" s="3">
        <v>6</v>
      </c>
      <c r="C4452" t="s">
        <v>116</v>
      </c>
      <c r="D4452" t="s">
        <v>18</v>
      </c>
      <c r="E4452" s="3">
        <v>18</v>
      </c>
      <c r="F4452" t="s">
        <v>19</v>
      </c>
      <c r="G4452" t="s">
        <v>71</v>
      </c>
      <c r="H4452" t="s">
        <v>21</v>
      </c>
      <c r="I4452" s="12">
        <v>0.67013888888888884</v>
      </c>
      <c r="J4452" t="s">
        <v>72</v>
      </c>
      <c r="K4452" t="s">
        <v>21</v>
      </c>
      <c r="L4452" s="12">
        <v>0.69791666666666663</v>
      </c>
      <c r="M4452" t="s">
        <v>63</v>
      </c>
      <c r="N4452" s="3">
        <v>232</v>
      </c>
      <c r="O4452" t="s">
        <v>24</v>
      </c>
      <c r="P4452" t="s">
        <v>56</v>
      </c>
      <c r="R4452">
        <f>tblDailySchedule[[#This Row],[Capacity Approx]]*'[1]Load Factor Sheet June Acft  '!$B$5</f>
        <v>187.86727272727273</v>
      </c>
      <c r="S4452">
        <f>tblDailySchedule[[#This Row],[Capacity Approx]]*'[1]Load Factor Sheet June Acft  '!$D$5</f>
        <v>203.4218181818182</v>
      </c>
      <c r="T4452" s="22">
        <f>tblDailySchedule[[#This Row],[STD]]</f>
        <v>0.69791666666666663</v>
      </c>
    </row>
    <row r="4453" spans="1:20" hidden="1" x14ac:dyDescent="0.35">
      <c r="A4453" s="11">
        <v>46270</v>
      </c>
      <c r="B4453" s="3">
        <v>6</v>
      </c>
      <c r="C4453" t="s">
        <v>116</v>
      </c>
      <c r="D4453" t="s">
        <v>18</v>
      </c>
      <c r="E4453" s="3">
        <v>19</v>
      </c>
      <c r="F4453" t="s">
        <v>19</v>
      </c>
      <c r="G4453" t="s">
        <v>73</v>
      </c>
      <c r="H4453" t="s">
        <v>27</v>
      </c>
      <c r="I4453" s="12">
        <v>0.74652777777777779</v>
      </c>
      <c r="J4453" t="s">
        <v>74</v>
      </c>
      <c r="K4453" t="s">
        <v>27</v>
      </c>
      <c r="L4453" s="12">
        <v>0.77430555555555558</v>
      </c>
      <c r="M4453" t="s">
        <v>63</v>
      </c>
      <c r="N4453" s="3">
        <v>232</v>
      </c>
      <c r="O4453" t="s">
        <v>24</v>
      </c>
      <c r="P4453" t="s">
        <v>56</v>
      </c>
      <c r="R4453">
        <f>tblDailySchedule[[#This Row],[Capacity Approx]]*'[1]Load Factor Sheet June Acft  '!$B$5</f>
        <v>187.86727272727273</v>
      </c>
      <c r="S4453">
        <f>tblDailySchedule[[#This Row],[Capacity Approx]]*'[1]Load Factor Sheet June Acft  '!$D$5</f>
        <v>203.4218181818182</v>
      </c>
      <c r="T4453" s="22">
        <f>tblDailySchedule[[#This Row],[STD]]</f>
        <v>0.77430555555555558</v>
      </c>
    </row>
    <row r="4454" spans="1:20" hidden="1" x14ac:dyDescent="0.35">
      <c r="A4454" s="11">
        <v>46270</v>
      </c>
      <c r="B4454" s="3">
        <v>6</v>
      </c>
      <c r="C4454" t="s">
        <v>116</v>
      </c>
      <c r="D4454" t="s">
        <v>18</v>
      </c>
      <c r="E4454" s="3">
        <v>21</v>
      </c>
      <c r="F4454" t="s">
        <v>19</v>
      </c>
      <c r="G4454" t="s">
        <v>81</v>
      </c>
      <c r="H4454" t="s">
        <v>61</v>
      </c>
      <c r="I4454" s="12">
        <v>0.77083333333333337</v>
      </c>
      <c r="J4454" t="s">
        <v>82</v>
      </c>
      <c r="K4454" t="s">
        <v>49</v>
      </c>
      <c r="L4454" s="12">
        <v>0.79166666666666663</v>
      </c>
      <c r="M4454" t="s">
        <v>33</v>
      </c>
      <c r="N4454" s="3">
        <v>189</v>
      </c>
      <c r="O4454" t="s">
        <v>24</v>
      </c>
      <c r="P4454" t="s">
        <v>79</v>
      </c>
      <c r="R4454">
        <f>tblDailySchedule[[#This Row],[Capacity Approx]]*'[1]Load Factor Sheet June Acft  '!$B$5</f>
        <v>153.04704545454547</v>
      </c>
      <c r="S4454">
        <f>tblDailySchedule[[#This Row],[Capacity Approx]]*'[1]Load Factor Sheet June Acft  '!$D$5</f>
        <v>165.71863636363636</v>
      </c>
      <c r="T4454" s="22">
        <f>tblDailySchedule[[#This Row],[STD]]</f>
        <v>0.79166666666666663</v>
      </c>
    </row>
    <row r="4455" spans="1:20" hidden="1" x14ac:dyDescent="0.35">
      <c r="A4455" s="11">
        <v>46270</v>
      </c>
      <c r="B4455" s="3">
        <v>6</v>
      </c>
      <c r="C4455" t="s">
        <v>116</v>
      </c>
      <c r="D4455" t="s">
        <v>18</v>
      </c>
      <c r="E4455" s="3">
        <v>22</v>
      </c>
      <c r="F4455" t="s">
        <v>19</v>
      </c>
      <c r="G4455" t="s">
        <v>83</v>
      </c>
      <c r="H4455" t="s">
        <v>31</v>
      </c>
      <c r="I4455" s="12">
        <v>0.77777777777777779</v>
      </c>
      <c r="J4455" t="s">
        <v>84</v>
      </c>
      <c r="K4455" t="s">
        <v>31</v>
      </c>
      <c r="L4455" s="12">
        <v>0.80555555555555558</v>
      </c>
      <c r="M4455" t="s">
        <v>63</v>
      </c>
      <c r="N4455" s="3">
        <v>232</v>
      </c>
      <c r="O4455" t="s">
        <v>24</v>
      </c>
      <c r="P4455" t="s">
        <v>79</v>
      </c>
      <c r="R4455">
        <f>tblDailySchedule[[#This Row],[Capacity Approx]]*'[1]Load Factor Sheet June Acft  '!$B$5</f>
        <v>187.86727272727273</v>
      </c>
      <c r="S4455">
        <f>tblDailySchedule[[#This Row],[Capacity Approx]]*'[1]Load Factor Sheet June Acft  '!$D$5</f>
        <v>203.4218181818182</v>
      </c>
      <c r="T4455" s="22">
        <f>tblDailySchedule[[#This Row],[STD]]</f>
        <v>0.80555555555555558</v>
      </c>
    </row>
    <row r="4456" spans="1:20" hidden="1" x14ac:dyDescent="0.35">
      <c r="A4456" s="11">
        <v>46270</v>
      </c>
      <c r="B4456" s="3">
        <v>6</v>
      </c>
      <c r="C4456" t="s">
        <v>116</v>
      </c>
      <c r="D4456" t="s">
        <v>18</v>
      </c>
      <c r="E4456" s="3">
        <v>23</v>
      </c>
      <c r="F4456" t="s">
        <v>19</v>
      </c>
      <c r="G4456" t="s">
        <v>85</v>
      </c>
      <c r="H4456" t="s">
        <v>86</v>
      </c>
      <c r="I4456" s="12">
        <v>0.79861111111111116</v>
      </c>
      <c r="J4456" t="s">
        <v>87</v>
      </c>
      <c r="K4456" t="s">
        <v>86</v>
      </c>
      <c r="L4456" s="12">
        <v>0.82638888888888884</v>
      </c>
      <c r="M4456" t="s">
        <v>63</v>
      </c>
      <c r="N4456" s="3">
        <v>232</v>
      </c>
      <c r="O4456" t="s">
        <v>24</v>
      </c>
      <c r="P4456" t="s">
        <v>79</v>
      </c>
      <c r="R4456">
        <f>tblDailySchedule[[#This Row],[Capacity Approx]]*'[1]Load Factor Sheet June Acft  '!$B$5</f>
        <v>187.86727272727273</v>
      </c>
      <c r="S4456">
        <f>tblDailySchedule[[#This Row],[Capacity Approx]]*'[1]Load Factor Sheet June Acft  '!$D$5</f>
        <v>203.4218181818182</v>
      </c>
      <c r="T4456" s="22">
        <f>tblDailySchedule[[#This Row],[STD]]</f>
        <v>0.82638888888888884</v>
      </c>
    </row>
    <row r="4457" spans="1:20" hidden="1" x14ac:dyDescent="0.35">
      <c r="A4457" s="11">
        <v>46270</v>
      </c>
      <c r="B4457" s="3">
        <v>6</v>
      </c>
      <c r="C4457" t="s">
        <v>116</v>
      </c>
      <c r="D4457" t="s">
        <v>18</v>
      </c>
      <c r="E4457" s="3">
        <v>24</v>
      </c>
      <c r="F4457" t="s">
        <v>19</v>
      </c>
      <c r="G4457" t="s">
        <v>88</v>
      </c>
      <c r="H4457" t="s">
        <v>89</v>
      </c>
      <c r="I4457" s="12">
        <v>0.83333333333333337</v>
      </c>
      <c r="J4457" t="s">
        <v>90</v>
      </c>
      <c r="K4457" t="s">
        <v>31</v>
      </c>
      <c r="L4457" s="12">
        <v>0.86111111111111116</v>
      </c>
      <c r="M4457" t="s">
        <v>63</v>
      </c>
      <c r="N4457" s="3">
        <v>232</v>
      </c>
      <c r="O4457" t="s">
        <v>24</v>
      </c>
      <c r="P4457" t="s">
        <v>79</v>
      </c>
      <c r="R4457">
        <f>tblDailySchedule[[#This Row],[Capacity Approx]]*'[1]Load Factor Sheet June Acft  '!$B$5</f>
        <v>187.86727272727273</v>
      </c>
      <c r="S4457">
        <f>tblDailySchedule[[#This Row],[Capacity Approx]]*'[1]Load Factor Sheet June Acft  '!$D$5</f>
        <v>203.4218181818182</v>
      </c>
      <c r="T4457" s="22">
        <f>tblDailySchedule[[#This Row],[STD]]</f>
        <v>0.86111111111111116</v>
      </c>
    </row>
    <row r="4458" spans="1:20" hidden="1" x14ac:dyDescent="0.35">
      <c r="A4458" s="11">
        <v>46270</v>
      </c>
      <c r="B4458" s="3">
        <v>6</v>
      </c>
      <c r="C4458" t="s">
        <v>116</v>
      </c>
      <c r="D4458" t="s">
        <v>18</v>
      </c>
      <c r="E4458" s="3">
        <v>25</v>
      </c>
      <c r="F4458" t="s">
        <v>19</v>
      </c>
      <c r="G4458" t="s">
        <v>91</v>
      </c>
      <c r="H4458" t="s">
        <v>61</v>
      </c>
      <c r="I4458" s="12">
        <v>0.85416666666666663</v>
      </c>
      <c r="J4458" t="s">
        <v>92</v>
      </c>
      <c r="K4458" t="s">
        <v>61</v>
      </c>
      <c r="L4458" s="12">
        <v>0.88194444444444442</v>
      </c>
      <c r="M4458" t="s">
        <v>63</v>
      </c>
      <c r="N4458" s="3">
        <v>232</v>
      </c>
      <c r="O4458" t="s">
        <v>24</v>
      </c>
      <c r="P4458" t="s">
        <v>79</v>
      </c>
      <c r="R4458">
        <f>tblDailySchedule[[#This Row],[Capacity Approx]]*'[1]Load Factor Sheet June Acft  '!$B$5</f>
        <v>187.86727272727273</v>
      </c>
      <c r="S4458">
        <f>tblDailySchedule[[#This Row],[Capacity Approx]]*'[1]Load Factor Sheet June Acft  '!$D$5</f>
        <v>203.4218181818182</v>
      </c>
      <c r="T4458" s="22">
        <f>tblDailySchedule[[#This Row],[STD]]</f>
        <v>0.88194444444444442</v>
      </c>
    </row>
    <row r="4459" spans="1:20" hidden="1" x14ac:dyDescent="0.35">
      <c r="A4459" s="11">
        <v>46270</v>
      </c>
      <c r="B4459" s="3">
        <v>6</v>
      </c>
      <c r="C4459" t="s">
        <v>116</v>
      </c>
      <c r="D4459" t="s">
        <v>18</v>
      </c>
      <c r="E4459" s="3">
        <v>26</v>
      </c>
      <c r="F4459" t="s">
        <v>19</v>
      </c>
      <c r="G4459" t="s">
        <v>93</v>
      </c>
      <c r="H4459" t="s">
        <v>31</v>
      </c>
      <c r="I4459" s="12">
        <v>0.86111111111111116</v>
      </c>
      <c r="J4459" t="s">
        <v>94</v>
      </c>
      <c r="K4459" t="s">
        <v>31</v>
      </c>
      <c r="L4459" s="12">
        <v>0.88888888888888884</v>
      </c>
      <c r="M4459" t="s">
        <v>23</v>
      </c>
      <c r="N4459" s="3">
        <v>186</v>
      </c>
      <c r="O4459" t="s">
        <v>24</v>
      </c>
      <c r="P4459" t="s">
        <v>79</v>
      </c>
      <c r="R4459">
        <f>tblDailySchedule[[#This Row],[Capacity Approx]]*'[1]Load Factor Sheet June Acft  '!$B$5</f>
        <v>150.61772727272728</v>
      </c>
      <c r="S4459">
        <f>tblDailySchedule[[#This Row],[Capacity Approx]]*'[1]Load Factor Sheet June Acft  '!$D$5</f>
        <v>163.08818181818182</v>
      </c>
      <c r="T4459" s="22">
        <f>tblDailySchedule[[#This Row],[STD]]</f>
        <v>0.88888888888888884</v>
      </c>
    </row>
    <row r="4460" spans="1:20" hidden="1" x14ac:dyDescent="0.35">
      <c r="A4460" s="11">
        <v>46270</v>
      </c>
      <c r="B4460" s="3">
        <v>6</v>
      </c>
      <c r="C4460" t="s">
        <v>116</v>
      </c>
      <c r="D4460" t="s">
        <v>18</v>
      </c>
      <c r="E4460" s="3">
        <v>27</v>
      </c>
      <c r="F4460" t="s">
        <v>19</v>
      </c>
      <c r="G4460" t="s">
        <v>95</v>
      </c>
      <c r="H4460" t="s">
        <v>21</v>
      </c>
      <c r="I4460" s="12">
        <v>0.86805555555555558</v>
      </c>
      <c r="J4460" t="s">
        <v>96</v>
      </c>
      <c r="K4460" t="s">
        <v>21</v>
      </c>
      <c r="L4460" s="12">
        <v>0.89583333333333337</v>
      </c>
      <c r="M4460" t="s">
        <v>29</v>
      </c>
      <c r="N4460" s="3">
        <v>186</v>
      </c>
      <c r="O4460" t="s">
        <v>24</v>
      </c>
      <c r="P4460" t="s">
        <v>79</v>
      </c>
      <c r="R4460">
        <f>tblDailySchedule[[#This Row],[Capacity Approx]]*'[1]Load Factor Sheet June Acft  '!$B$5</f>
        <v>150.61772727272728</v>
      </c>
      <c r="S4460">
        <f>tblDailySchedule[[#This Row],[Capacity Approx]]*'[1]Load Factor Sheet June Acft  '!$D$5</f>
        <v>163.08818181818182</v>
      </c>
      <c r="T4460" s="22">
        <f>tblDailySchedule[[#This Row],[STD]]</f>
        <v>0.89583333333333337</v>
      </c>
    </row>
    <row r="4461" spans="1:20" hidden="1" x14ac:dyDescent="0.35">
      <c r="A4461" s="11">
        <v>46270</v>
      </c>
      <c r="B4461" s="3">
        <v>6</v>
      </c>
      <c r="C4461" t="s">
        <v>116</v>
      </c>
      <c r="D4461" t="s">
        <v>18</v>
      </c>
      <c r="E4461" s="3">
        <v>28</v>
      </c>
      <c r="F4461" t="s">
        <v>19</v>
      </c>
      <c r="G4461" t="s">
        <v>97</v>
      </c>
      <c r="H4461" t="s">
        <v>49</v>
      </c>
      <c r="I4461" s="12">
        <v>0.90277777777777779</v>
      </c>
      <c r="J4461" t="s">
        <v>97</v>
      </c>
      <c r="K4461" t="s">
        <v>61</v>
      </c>
      <c r="L4461" s="12">
        <v>0.92361111111111116</v>
      </c>
      <c r="M4461" t="s">
        <v>33</v>
      </c>
      <c r="N4461" s="3">
        <v>189</v>
      </c>
      <c r="O4461" t="s">
        <v>24</v>
      </c>
      <c r="P4461" t="s">
        <v>79</v>
      </c>
      <c r="R4461">
        <f>tblDailySchedule[[#This Row],[Capacity Approx]]*'[1]Load Factor Sheet June Acft  '!$B$5</f>
        <v>153.04704545454547</v>
      </c>
      <c r="S4461">
        <f>tblDailySchedule[[#This Row],[Capacity Approx]]*'[1]Load Factor Sheet June Acft  '!$D$5</f>
        <v>165.71863636363636</v>
      </c>
      <c r="T4461" s="22">
        <f>tblDailySchedule[[#This Row],[STD]]</f>
        <v>0.92361111111111116</v>
      </c>
    </row>
    <row r="4462" spans="1:20" hidden="1" x14ac:dyDescent="0.35">
      <c r="A4462" s="11">
        <v>46270</v>
      </c>
      <c r="B4462" s="3">
        <v>6</v>
      </c>
      <c r="C4462" t="s">
        <v>116</v>
      </c>
      <c r="D4462" t="s">
        <v>18</v>
      </c>
      <c r="E4462" s="3">
        <v>29</v>
      </c>
      <c r="F4462" t="s">
        <v>19</v>
      </c>
      <c r="G4462" t="s">
        <v>98</v>
      </c>
      <c r="H4462" t="s">
        <v>21</v>
      </c>
      <c r="I4462" s="12">
        <v>0.92013888888888884</v>
      </c>
      <c r="J4462" t="s">
        <v>99</v>
      </c>
      <c r="K4462" t="s">
        <v>21</v>
      </c>
      <c r="L4462" s="12">
        <v>0.94791666666666663</v>
      </c>
      <c r="M4462" t="s">
        <v>63</v>
      </c>
      <c r="N4462" s="3">
        <v>232</v>
      </c>
      <c r="O4462" t="s">
        <v>24</v>
      </c>
      <c r="P4462" t="s">
        <v>79</v>
      </c>
      <c r="R4462">
        <f>tblDailySchedule[[#This Row],[Capacity Approx]]*'[1]Load Factor Sheet June Acft  '!$B$5</f>
        <v>187.86727272727273</v>
      </c>
      <c r="S4462">
        <f>tblDailySchedule[[#This Row],[Capacity Approx]]*'[1]Load Factor Sheet June Acft  '!$D$5</f>
        <v>203.4218181818182</v>
      </c>
      <c r="T4462" s="22">
        <f>tblDailySchedule[[#This Row],[STD]]</f>
        <v>0.94791666666666663</v>
      </c>
    </row>
    <row r="4463" spans="1:20" hidden="1" x14ac:dyDescent="0.35">
      <c r="A4463" s="13">
        <v>46270</v>
      </c>
      <c r="B4463" s="7">
        <v>6</v>
      </c>
      <c r="C4463" s="14" t="s">
        <v>116</v>
      </c>
      <c r="D4463" s="14" t="s">
        <v>18</v>
      </c>
      <c r="E4463" s="7">
        <v>30</v>
      </c>
      <c r="F4463" s="14" t="s">
        <v>104</v>
      </c>
      <c r="G4463" s="14" t="s">
        <v>105</v>
      </c>
      <c r="H4463" s="14" t="s">
        <v>106</v>
      </c>
      <c r="I4463" s="15">
        <v>0.92708333333333337</v>
      </c>
      <c r="J4463" s="14" t="s">
        <v>107</v>
      </c>
      <c r="K4463" s="14" t="s">
        <v>106</v>
      </c>
      <c r="L4463" s="15">
        <v>0.95833333333333337</v>
      </c>
      <c r="M4463" s="14" t="s">
        <v>38</v>
      </c>
      <c r="N4463" s="7">
        <v>186</v>
      </c>
      <c r="O4463" s="14" t="s">
        <v>39</v>
      </c>
      <c r="P4463" s="14" t="s">
        <v>79</v>
      </c>
      <c r="Q4463" s="14" t="s">
        <v>39</v>
      </c>
      <c r="R4463">
        <f>tblDailySchedule[[#This Row],[Capacity Approx]]*'[1]Load Factor Sheet June Acft  '!$B$5</f>
        <v>150.61772727272728</v>
      </c>
      <c r="S4463">
        <f>tblDailySchedule[[#This Row],[Capacity Approx]]*'[1]Load Factor Sheet June Acft  '!$D$5</f>
        <v>163.08818181818182</v>
      </c>
      <c r="T4463" s="22">
        <f>tblDailySchedule[[#This Row],[STD]]</f>
        <v>0.95833333333333337</v>
      </c>
    </row>
    <row r="4464" spans="1:20" hidden="1" x14ac:dyDescent="0.35">
      <c r="A4464" s="11">
        <v>46271</v>
      </c>
      <c r="B4464" s="3">
        <v>7</v>
      </c>
      <c r="C4464" t="s">
        <v>17</v>
      </c>
      <c r="D4464" t="s">
        <v>18</v>
      </c>
      <c r="E4464" s="3">
        <v>2</v>
      </c>
      <c r="F4464" t="s">
        <v>19</v>
      </c>
      <c r="G4464" t="s">
        <v>20</v>
      </c>
      <c r="H4464" t="s">
        <v>21</v>
      </c>
      <c r="I4464" s="12">
        <v>0.31944444444444442</v>
      </c>
      <c r="J4464" t="s">
        <v>22</v>
      </c>
      <c r="K4464" t="s">
        <v>21</v>
      </c>
      <c r="L4464" s="12">
        <v>0.34722222222222221</v>
      </c>
      <c r="M4464" t="s">
        <v>23</v>
      </c>
      <c r="N4464" s="3">
        <v>186</v>
      </c>
      <c r="O4464" t="s">
        <v>24</v>
      </c>
      <c r="P4464" t="s">
        <v>25</v>
      </c>
      <c r="R4464">
        <f>tblDailySchedule[[#This Row],[Capacity Approx]]*'[1]Load Factor Sheet June Acft  '!$B$5</f>
        <v>150.61772727272728</v>
      </c>
      <c r="S4464">
        <f>tblDailySchedule[[#This Row],[Capacity Approx]]*'[1]Load Factor Sheet June Acft  '!$D$5</f>
        <v>163.08818181818182</v>
      </c>
      <c r="T4464" s="22">
        <f>tblDailySchedule[[#This Row],[STD]]</f>
        <v>0.34722222222222221</v>
      </c>
    </row>
    <row r="4465" spans="1:20" hidden="1" x14ac:dyDescent="0.35">
      <c r="A4465" s="11">
        <v>46271</v>
      </c>
      <c r="B4465" s="3">
        <v>7</v>
      </c>
      <c r="C4465" t="s">
        <v>17</v>
      </c>
      <c r="D4465" t="s">
        <v>18</v>
      </c>
      <c r="E4465" s="3">
        <v>3</v>
      </c>
      <c r="F4465" t="s">
        <v>19</v>
      </c>
      <c r="G4465" t="s">
        <v>26</v>
      </c>
      <c r="H4465" t="s">
        <v>27</v>
      </c>
      <c r="I4465" s="12">
        <v>0.3263888888888889</v>
      </c>
      <c r="J4465" t="s">
        <v>28</v>
      </c>
      <c r="K4465" t="s">
        <v>27</v>
      </c>
      <c r="L4465" s="12">
        <v>0.35416666666666669</v>
      </c>
      <c r="M4465" t="s">
        <v>29</v>
      </c>
      <c r="N4465" s="3">
        <v>186</v>
      </c>
      <c r="O4465" t="s">
        <v>24</v>
      </c>
      <c r="P4465" t="s">
        <v>25</v>
      </c>
      <c r="R4465">
        <f>tblDailySchedule[[#This Row],[Capacity Approx]]*'[1]Load Factor Sheet June Acft  '!$B$5</f>
        <v>150.61772727272728</v>
      </c>
      <c r="S4465">
        <f>tblDailySchedule[[#This Row],[Capacity Approx]]*'[1]Load Factor Sheet June Acft  '!$D$5</f>
        <v>163.08818181818182</v>
      </c>
      <c r="T4465" s="22">
        <f>tblDailySchedule[[#This Row],[STD]]</f>
        <v>0.35416666666666669</v>
      </c>
    </row>
    <row r="4466" spans="1:20" hidden="1" x14ac:dyDescent="0.35">
      <c r="A4466" s="11">
        <v>46271</v>
      </c>
      <c r="B4466" s="3">
        <v>7</v>
      </c>
      <c r="C4466" t="s">
        <v>17</v>
      </c>
      <c r="D4466" t="s">
        <v>18</v>
      </c>
      <c r="E4466" s="3">
        <v>4</v>
      </c>
      <c r="F4466" t="s">
        <v>19</v>
      </c>
      <c r="G4466" t="s">
        <v>30</v>
      </c>
      <c r="H4466" t="s">
        <v>31</v>
      </c>
      <c r="I4466" s="12">
        <v>0.34722222222222221</v>
      </c>
      <c r="J4466" t="s">
        <v>32</v>
      </c>
      <c r="K4466" t="s">
        <v>31</v>
      </c>
      <c r="L4466" s="12">
        <v>0.36805555555555558</v>
      </c>
      <c r="M4466" t="s">
        <v>33</v>
      </c>
      <c r="N4466" s="3">
        <v>189</v>
      </c>
      <c r="O4466" t="s">
        <v>24</v>
      </c>
      <c r="P4466" t="s">
        <v>25</v>
      </c>
      <c r="R4466">
        <f>tblDailySchedule[[#This Row],[Capacity Approx]]*'[1]Load Factor Sheet June Acft  '!$B$5</f>
        <v>153.04704545454547</v>
      </c>
      <c r="S4466">
        <f>tblDailySchedule[[#This Row],[Capacity Approx]]*'[1]Load Factor Sheet June Acft  '!$D$5</f>
        <v>165.71863636363636</v>
      </c>
      <c r="T4466" s="22">
        <f>tblDailySchedule[[#This Row],[STD]]</f>
        <v>0.36805555555555558</v>
      </c>
    </row>
    <row r="4467" spans="1:20" hidden="1" x14ac:dyDescent="0.35">
      <c r="A4467" s="13">
        <v>46271</v>
      </c>
      <c r="B4467" s="7">
        <v>7</v>
      </c>
      <c r="C4467" s="14" t="s">
        <v>17</v>
      </c>
      <c r="D4467" s="14" t="s">
        <v>18</v>
      </c>
      <c r="E4467" s="7">
        <v>6</v>
      </c>
      <c r="F4467" s="14" t="s">
        <v>34</v>
      </c>
      <c r="G4467" s="14" t="s">
        <v>35</v>
      </c>
      <c r="H4467" s="14" t="s">
        <v>36</v>
      </c>
      <c r="I4467" s="15">
        <v>0.34722222222222221</v>
      </c>
      <c r="J4467" s="14" t="s">
        <v>37</v>
      </c>
      <c r="K4467" s="14" t="s">
        <v>36</v>
      </c>
      <c r="L4467" s="15">
        <v>0.40972222222222221</v>
      </c>
      <c r="M4467" s="14" t="s">
        <v>38</v>
      </c>
      <c r="N4467" s="7">
        <v>186</v>
      </c>
      <c r="O4467" s="14" t="s">
        <v>39</v>
      </c>
      <c r="P4467" s="14" t="s">
        <v>25</v>
      </c>
      <c r="Q4467" s="14" t="s">
        <v>39</v>
      </c>
      <c r="R4467">
        <f>tblDailySchedule[[#This Row],[Capacity Approx]]*'[1]Load Factor Sheet June Acft  '!$B$5</f>
        <v>150.61772727272728</v>
      </c>
      <c r="S4467">
        <f>tblDailySchedule[[#This Row],[Capacity Approx]]*'[1]Load Factor Sheet June Acft  '!$D$5</f>
        <v>163.08818181818182</v>
      </c>
      <c r="T4467" s="22">
        <f>tblDailySchedule[[#This Row],[STD]]</f>
        <v>0.40972222222222221</v>
      </c>
    </row>
    <row r="4468" spans="1:20" hidden="1" x14ac:dyDescent="0.35">
      <c r="A4468" s="11">
        <v>46271</v>
      </c>
      <c r="B4468" s="3">
        <v>7</v>
      </c>
      <c r="C4468" t="s">
        <v>17</v>
      </c>
      <c r="D4468" t="s">
        <v>18</v>
      </c>
      <c r="E4468" s="3">
        <v>5</v>
      </c>
      <c r="F4468" t="s">
        <v>19</v>
      </c>
      <c r="G4468" t="s">
        <v>40</v>
      </c>
      <c r="H4468" t="s">
        <v>31</v>
      </c>
      <c r="I4468" s="12">
        <v>0.35069444444444442</v>
      </c>
      <c r="J4468" t="s">
        <v>41</v>
      </c>
      <c r="K4468" t="s">
        <v>31</v>
      </c>
      <c r="L4468" s="12">
        <v>0.37152777777777779</v>
      </c>
      <c r="M4468" t="s">
        <v>23</v>
      </c>
      <c r="N4468" s="3">
        <v>186</v>
      </c>
      <c r="O4468" t="s">
        <v>24</v>
      </c>
      <c r="P4468" t="s">
        <v>25</v>
      </c>
      <c r="R4468">
        <f>tblDailySchedule[[#This Row],[Capacity Approx]]*'[1]Load Factor Sheet June Acft  '!$B$5</f>
        <v>150.61772727272728</v>
      </c>
      <c r="S4468">
        <f>tblDailySchedule[[#This Row],[Capacity Approx]]*'[1]Load Factor Sheet June Acft  '!$D$5</f>
        <v>163.08818181818182</v>
      </c>
      <c r="T4468" s="22">
        <f>tblDailySchedule[[#This Row],[STD]]</f>
        <v>0.37152777777777779</v>
      </c>
    </row>
    <row r="4469" spans="1:20" hidden="1" x14ac:dyDescent="0.35">
      <c r="A4469" s="11">
        <v>46271</v>
      </c>
      <c r="B4469" s="3">
        <v>7</v>
      </c>
      <c r="C4469" t="s">
        <v>17</v>
      </c>
      <c r="D4469" t="s">
        <v>18</v>
      </c>
      <c r="E4469" s="3">
        <v>7</v>
      </c>
      <c r="F4469" t="s">
        <v>19</v>
      </c>
      <c r="G4469" t="s">
        <v>42</v>
      </c>
      <c r="H4469" t="s">
        <v>43</v>
      </c>
      <c r="I4469" s="12">
        <v>0.3923611111111111</v>
      </c>
      <c r="J4469" t="s">
        <v>44</v>
      </c>
      <c r="K4469" t="s">
        <v>43</v>
      </c>
      <c r="L4469" s="12">
        <v>0.40277777777777779</v>
      </c>
      <c r="M4469" t="s">
        <v>45</v>
      </c>
      <c r="N4469" s="3">
        <v>9</v>
      </c>
      <c r="O4469" t="s">
        <v>24</v>
      </c>
      <c r="P4469" t="s">
        <v>25</v>
      </c>
      <c r="R4469">
        <f>tblDailySchedule[[#This Row],[Capacity Approx]]*'[1]Load Factor Sheet June Acft  '!$B$5</f>
        <v>7.2879545454545456</v>
      </c>
      <c r="S4469">
        <f>tblDailySchedule[[#This Row],[Capacity Approx]]*'[1]Load Factor Sheet June Acft  '!$D$5</f>
        <v>7.8913636363636366</v>
      </c>
      <c r="T4469" s="22">
        <f>tblDailySchedule[[#This Row],[STD]]</f>
        <v>0.40277777777777779</v>
      </c>
    </row>
    <row r="4470" spans="1:20" hidden="1" x14ac:dyDescent="0.35">
      <c r="A4470" s="11">
        <v>46271</v>
      </c>
      <c r="B4470" s="3">
        <v>7</v>
      </c>
      <c r="C4470" t="s">
        <v>17</v>
      </c>
      <c r="D4470" t="s">
        <v>18</v>
      </c>
      <c r="E4470" s="3">
        <v>8</v>
      </c>
      <c r="F4470" t="s">
        <v>19</v>
      </c>
      <c r="G4470" t="s">
        <v>46</v>
      </c>
      <c r="H4470" t="s">
        <v>31</v>
      </c>
      <c r="I4470" s="12">
        <v>0.4201388888888889</v>
      </c>
      <c r="J4470" t="s">
        <v>47</v>
      </c>
      <c r="K4470" t="s">
        <v>31</v>
      </c>
      <c r="L4470" s="12">
        <v>0.44444444444444442</v>
      </c>
      <c r="M4470" t="s">
        <v>29</v>
      </c>
      <c r="N4470" s="3">
        <v>186</v>
      </c>
      <c r="O4470" t="s">
        <v>24</v>
      </c>
      <c r="P4470" t="s">
        <v>25</v>
      </c>
      <c r="R4470">
        <f>tblDailySchedule[[#This Row],[Capacity Approx]]*'[1]Load Factor Sheet June Acft  '!$B$5</f>
        <v>150.61772727272728</v>
      </c>
      <c r="S4470">
        <f>tblDailySchedule[[#This Row],[Capacity Approx]]*'[1]Load Factor Sheet June Acft  '!$D$5</f>
        <v>163.08818181818182</v>
      </c>
      <c r="T4470" s="22">
        <f>tblDailySchedule[[#This Row],[STD]]</f>
        <v>0.44444444444444442</v>
      </c>
    </row>
    <row r="4471" spans="1:20" hidden="1" x14ac:dyDescent="0.35">
      <c r="A4471" s="11">
        <v>46271</v>
      </c>
      <c r="B4471" s="3">
        <v>7</v>
      </c>
      <c r="C4471" t="s">
        <v>17</v>
      </c>
      <c r="D4471" t="s">
        <v>18</v>
      </c>
      <c r="E4471" s="3">
        <v>9</v>
      </c>
      <c r="F4471" t="s">
        <v>19</v>
      </c>
      <c r="G4471" t="s">
        <v>48</v>
      </c>
      <c r="H4471" t="s">
        <v>49</v>
      </c>
      <c r="I4471" s="12">
        <v>0.4375</v>
      </c>
      <c r="J4471" t="s">
        <v>50</v>
      </c>
      <c r="K4471" t="s">
        <v>49</v>
      </c>
      <c r="L4471" s="12">
        <v>0.45833333333333331</v>
      </c>
      <c r="M4471" t="s">
        <v>51</v>
      </c>
      <c r="N4471" s="3">
        <v>78</v>
      </c>
      <c r="O4471" t="s">
        <v>24</v>
      </c>
      <c r="P4471" t="s">
        <v>25</v>
      </c>
      <c r="R4471">
        <f>tblDailySchedule[[#This Row],[Capacity Approx]]*'[1]Load Factor Sheet June Acft  '!$B$5</f>
        <v>63.162272727272729</v>
      </c>
      <c r="S4471">
        <f>tblDailySchedule[[#This Row],[Capacity Approx]]*'[1]Load Factor Sheet June Acft  '!$D$5</f>
        <v>68.391818181818181</v>
      </c>
      <c r="T4471" s="22">
        <f>tblDailySchedule[[#This Row],[STD]]</f>
        <v>0.45833333333333331</v>
      </c>
    </row>
    <row r="4472" spans="1:20" hidden="1" x14ac:dyDescent="0.35">
      <c r="A4472" s="11">
        <v>46271</v>
      </c>
      <c r="B4472" s="3">
        <v>7</v>
      </c>
      <c r="C4472" t="s">
        <v>17</v>
      </c>
      <c r="D4472" t="s">
        <v>18</v>
      </c>
      <c r="E4472" s="3">
        <v>10</v>
      </c>
      <c r="F4472" t="s">
        <v>19</v>
      </c>
      <c r="G4472" t="s">
        <v>52</v>
      </c>
      <c r="H4472" t="s">
        <v>27</v>
      </c>
      <c r="I4472" s="12">
        <v>0.4826388888888889</v>
      </c>
      <c r="J4472" t="s">
        <v>53</v>
      </c>
      <c r="K4472" t="s">
        <v>27</v>
      </c>
      <c r="L4472" s="12">
        <v>0.51041666666666663</v>
      </c>
      <c r="M4472" t="s">
        <v>23</v>
      </c>
      <c r="N4472" s="3">
        <v>186</v>
      </c>
      <c r="O4472" t="s">
        <v>24</v>
      </c>
      <c r="P4472" t="s">
        <v>25</v>
      </c>
      <c r="R4472">
        <f>tblDailySchedule[[#This Row],[Capacity Approx]]*'[1]Load Factor Sheet June Acft  '!$B$5</f>
        <v>150.61772727272728</v>
      </c>
      <c r="S4472">
        <f>tblDailySchedule[[#This Row],[Capacity Approx]]*'[1]Load Factor Sheet June Acft  '!$D$5</f>
        <v>163.08818181818182</v>
      </c>
      <c r="T4472" s="22">
        <f>tblDailySchedule[[#This Row],[STD]]</f>
        <v>0.51041666666666663</v>
      </c>
    </row>
    <row r="4473" spans="1:20" hidden="1" x14ac:dyDescent="0.35">
      <c r="A4473" s="11">
        <v>46271</v>
      </c>
      <c r="B4473" s="3">
        <v>7</v>
      </c>
      <c r="C4473" t="s">
        <v>17</v>
      </c>
      <c r="D4473" t="s">
        <v>18</v>
      </c>
      <c r="E4473" s="3">
        <v>11</v>
      </c>
      <c r="F4473" t="s">
        <v>19</v>
      </c>
      <c r="G4473" t="s">
        <v>54</v>
      </c>
      <c r="H4473" t="s">
        <v>31</v>
      </c>
      <c r="I4473" s="12">
        <v>0.51388888888888884</v>
      </c>
      <c r="J4473" t="s">
        <v>55</v>
      </c>
      <c r="K4473" t="s">
        <v>31</v>
      </c>
      <c r="L4473" s="12">
        <v>0.54166666666666663</v>
      </c>
      <c r="M4473" t="s">
        <v>23</v>
      </c>
      <c r="N4473" s="3">
        <v>186</v>
      </c>
      <c r="O4473" t="s">
        <v>24</v>
      </c>
      <c r="P4473" t="s">
        <v>56</v>
      </c>
      <c r="R4473">
        <f>tblDailySchedule[[#This Row],[Capacity Approx]]*'[1]Load Factor Sheet June Acft  '!$B$5</f>
        <v>150.61772727272728</v>
      </c>
      <c r="S4473">
        <f>tblDailySchedule[[#This Row],[Capacity Approx]]*'[1]Load Factor Sheet June Acft  '!$D$5</f>
        <v>163.08818181818182</v>
      </c>
      <c r="T4473" s="22">
        <f>tblDailySchedule[[#This Row],[STD]]</f>
        <v>0.54166666666666663</v>
      </c>
    </row>
    <row r="4474" spans="1:20" hidden="1" x14ac:dyDescent="0.35">
      <c r="A4474" s="11">
        <v>46271</v>
      </c>
      <c r="B4474" s="3">
        <v>7</v>
      </c>
      <c r="C4474" t="s">
        <v>17</v>
      </c>
      <c r="D4474" t="s">
        <v>18</v>
      </c>
      <c r="E4474" s="3">
        <v>13</v>
      </c>
      <c r="F4474" t="s">
        <v>19</v>
      </c>
      <c r="G4474" t="s">
        <v>57</v>
      </c>
      <c r="H4474" t="s">
        <v>58</v>
      </c>
      <c r="I4474" s="12">
        <v>0.55902777777777779</v>
      </c>
      <c r="J4474" t="s">
        <v>59</v>
      </c>
      <c r="K4474" t="s">
        <v>58</v>
      </c>
      <c r="L4474" s="12">
        <v>0.57638888888888884</v>
      </c>
      <c r="M4474" t="s">
        <v>51</v>
      </c>
      <c r="N4474" s="3">
        <v>78</v>
      </c>
      <c r="O4474" t="s">
        <v>24</v>
      </c>
      <c r="P4474" t="s">
        <v>56</v>
      </c>
      <c r="R4474">
        <f>tblDailySchedule[[#This Row],[Capacity Approx]]*'[1]Load Factor Sheet June Acft  '!$B$5</f>
        <v>63.162272727272729</v>
      </c>
      <c r="S4474">
        <f>tblDailySchedule[[#This Row],[Capacity Approx]]*'[1]Load Factor Sheet June Acft  '!$D$5</f>
        <v>68.391818181818181</v>
      </c>
      <c r="T4474" s="22">
        <f>tblDailySchedule[[#This Row],[STD]]</f>
        <v>0.57638888888888884</v>
      </c>
    </row>
    <row r="4475" spans="1:20" hidden="1" x14ac:dyDescent="0.35">
      <c r="A4475" s="11">
        <v>46271</v>
      </c>
      <c r="B4475" s="3">
        <v>7</v>
      </c>
      <c r="C4475" t="s">
        <v>17</v>
      </c>
      <c r="D4475" t="s">
        <v>18</v>
      </c>
      <c r="E4475" s="3">
        <v>14</v>
      </c>
      <c r="F4475" t="s">
        <v>19</v>
      </c>
      <c r="G4475" t="s">
        <v>60</v>
      </c>
      <c r="H4475" t="s">
        <v>61</v>
      </c>
      <c r="I4475" s="12">
        <v>0.59027777777777779</v>
      </c>
      <c r="J4475" t="s">
        <v>62</v>
      </c>
      <c r="K4475" t="s">
        <v>61</v>
      </c>
      <c r="L4475" s="12">
        <v>0.62152777777777779</v>
      </c>
      <c r="M4475" t="s">
        <v>63</v>
      </c>
      <c r="N4475" s="3">
        <v>232</v>
      </c>
      <c r="O4475" t="s">
        <v>24</v>
      </c>
      <c r="P4475" t="s">
        <v>56</v>
      </c>
      <c r="R4475">
        <f>tblDailySchedule[[#This Row],[Capacity Approx]]*'[1]Load Factor Sheet June Acft  '!$B$5</f>
        <v>187.86727272727273</v>
      </c>
      <c r="S4475">
        <f>tblDailySchedule[[#This Row],[Capacity Approx]]*'[1]Load Factor Sheet June Acft  '!$D$5</f>
        <v>203.4218181818182</v>
      </c>
      <c r="T4475" s="22">
        <f>tblDailySchedule[[#This Row],[STD]]</f>
        <v>0.62152777777777779</v>
      </c>
    </row>
    <row r="4476" spans="1:20" hidden="1" x14ac:dyDescent="0.35">
      <c r="A4476" s="11">
        <v>46271</v>
      </c>
      <c r="B4476" s="3">
        <v>7</v>
      </c>
      <c r="C4476" t="s">
        <v>17</v>
      </c>
      <c r="D4476" t="s">
        <v>18</v>
      </c>
      <c r="E4476" s="3">
        <v>15</v>
      </c>
      <c r="F4476" t="s">
        <v>19</v>
      </c>
      <c r="G4476" t="s">
        <v>64</v>
      </c>
      <c r="H4476" t="s">
        <v>31</v>
      </c>
      <c r="I4476" s="12">
        <v>0.60069444444444442</v>
      </c>
      <c r="J4476" t="s">
        <v>65</v>
      </c>
      <c r="K4476" t="s">
        <v>66</v>
      </c>
      <c r="L4476" s="12">
        <v>0.62847222222222221</v>
      </c>
      <c r="M4476" t="s">
        <v>63</v>
      </c>
      <c r="N4476" s="3">
        <v>232</v>
      </c>
      <c r="O4476" t="s">
        <v>24</v>
      </c>
      <c r="P4476" t="s">
        <v>56</v>
      </c>
      <c r="R4476">
        <f>tblDailySchedule[[#This Row],[Capacity Approx]]*'[1]Load Factor Sheet June Acft  '!$B$5</f>
        <v>187.86727272727273</v>
      </c>
      <c r="S4476">
        <f>tblDailySchedule[[#This Row],[Capacity Approx]]*'[1]Load Factor Sheet June Acft  '!$D$5</f>
        <v>203.4218181818182</v>
      </c>
      <c r="T4476" s="22">
        <f>tblDailySchedule[[#This Row],[STD]]</f>
        <v>0.62847222222222221</v>
      </c>
    </row>
    <row r="4477" spans="1:20" hidden="1" x14ac:dyDescent="0.35">
      <c r="A4477" s="11">
        <v>46271</v>
      </c>
      <c r="B4477" s="3">
        <v>7</v>
      </c>
      <c r="C4477" t="s">
        <v>17</v>
      </c>
      <c r="D4477" t="s">
        <v>18</v>
      </c>
      <c r="E4477" s="3">
        <v>16</v>
      </c>
      <c r="F4477" t="s">
        <v>19</v>
      </c>
      <c r="G4477" t="s">
        <v>67</v>
      </c>
      <c r="H4477" t="s">
        <v>31</v>
      </c>
      <c r="I4477" s="12">
        <v>0.65625</v>
      </c>
      <c r="J4477" t="s">
        <v>68</v>
      </c>
      <c r="K4477" t="s">
        <v>31</v>
      </c>
      <c r="L4477" s="12">
        <v>0.68402777777777779</v>
      </c>
      <c r="M4477" t="s">
        <v>63</v>
      </c>
      <c r="N4477" s="3">
        <v>232</v>
      </c>
      <c r="O4477" t="s">
        <v>24</v>
      </c>
      <c r="P4477" t="s">
        <v>56</v>
      </c>
      <c r="R4477">
        <f>tblDailySchedule[[#This Row],[Capacity Approx]]*'[1]Load Factor Sheet June Acft  '!$B$5</f>
        <v>187.86727272727273</v>
      </c>
      <c r="S4477">
        <f>tblDailySchedule[[#This Row],[Capacity Approx]]*'[1]Load Factor Sheet June Acft  '!$D$5</f>
        <v>203.4218181818182</v>
      </c>
      <c r="T4477" s="22">
        <f>tblDailySchedule[[#This Row],[STD]]</f>
        <v>0.68402777777777779</v>
      </c>
    </row>
    <row r="4478" spans="1:20" hidden="1" x14ac:dyDescent="0.35">
      <c r="A4478" s="11">
        <v>46271</v>
      </c>
      <c r="B4478" s="3">
        <v>7</v>
      </c>
      <c r="C4478" t="s">
        <v>17</v>
      </c>
      <c r="D4478" t="s">
        <v>18</v>
      </c>
      <c r="E4478" s="3">
        <v>17</v>
      </c>
      <c r="F4478" t="s">
        <v>19</v>
      </c>
      <c r="G4478" t="s">
        <v>69</v>
      </c>
      <c r="H4478" t="s">
        <v>31</v>
      </c>
      <c r="I4478" s="12">
        <v>0.66319444444444442</v>
      </c>
      <c r="J4478" t="s">
        <v>70</v>
      </c>
      <c r="K4478" t="s">
        <v>31</v>
      </c>
      <c r="L4478" s="12">
        <v>0.69097222222222221</v>
      </c>
      <c r="M4478" t="s">
        <v>33</v>
      </c>
      <c r="N4478" s="3">
        <v>189</v>
      </c>
      <c r="O4478" t="s">
        <v>24</v>
      </c>
      <c r="P4478" t="s">
        <v>56</v>
      </c>
      <c r="R4478">
        <f>tblDailySchedule[[#This Row],[Capacity Approx]]*'[1]Load Factor Sheet June Acft  '!$B$5</f>
        <v>153.04704545454547</v>
      </c>
      <c r="S4478">
        <f>tblDailySchedule[[#This Row],[Capacity Approx]]*'[1]Load Factor Sheet June Acft  '!$D$5</f>
        <v>165.71863636363636</v>
      </c>
      <c r="T4478" s="22">
        <f>tblDailySchedule[[#This Row],[STD]]</f>
        <v>0.69097222222222221</v>
      </c>
    </row>
    <row r="4479" spans="1:20" hidden="1" x14ac:dyDescent="0.35">
      <c r="A4479" s="11">
        <v>46271</v>
      </c>
      <c r="B4479" s="3">
        <v>7</v>
      </c>
      <c r="C4479" t="s">
        <v>17</v>
      </c>
      <c r="D4479" t="s">
        <v>18</v>
      </c>
      <c r="E4479" s="3">
        <v>18</v>
      </c>
      <c r="F4479" t="s">
        <v>19</v>
      </c>
      <c r="G4479" t="s">
        <v>71</v>
      </c>
      <c r="H4479" t="s">
        <v>21</v>
      </c>
      <c r="I4479" s="12">
        <v>0.67013888888888884</v>
      </c>
      <c r="J4479" t="s">
        <v>72</v>
      </c>
      <c r="K4479" t="s">
        <v>21</v>
      </c>
      <c r="L4479" s="12">
        <v>0.69791666666666663</v>
      </c>
      <c r="M4479" t="s">
        <v>63</v>
      </c>
      <c r="N4479" s="3">
        <v>232</v>
      </c>
      <c r="O4479" t="s">
        <v>24</v>
      </c>
      <c r="P4479" t="s">
        <v>56</v>
      </c>
      <c r="R4479">
        <f>tblDailySchedule[[#This Row],[Capacity Approx]]*'[1]Load Factor Sheet June Acft  '!$B$5</f>
        <v>187.86727272727273</v>
      </c>
      <c r="S4479">
        <f>tblDailySchedule[[#This Row],[Capacity Approx]]*'[1]Load Factor Sheet June Acft  '!$D$5</f>
        <v>203.4218181818182</v>
      </c>
      <c r="T4479" s="22">
        <f>tblDailySchedule[[#This Row],[STD]]</f>
        <v>0.69791666666666663</v>
      </c>
    </row>
    <row r="4480" spans="1:20" hidden="1" x14ac:dyDescent="0.35">
      <c r="A4480" s="11">
        <v>46271</v>
      </c>
      <c r="B4480" s="3">
        <v>7</v>
      </c>
      <c r="C4480" t="s">
        <v>17</v>
      </c>
      <c r="D4480" t="s">
        <v>18</v>
      </c>
      <c r="E4480" s="3">
        <v>19</v>
      </c>
      <c r="F4480" t="s">
        <v>19</v>
      </c>
      <c r="G4480" t="s">
        <v>73</v>
      </c>
      <c r="H4480" t="s">
        <v>27</v>
      </c>
      <c r="I4480" s="12">
        <v>0.74652777777777779</v>
      </c>
      <c r="J4480" t="s">
        <v>74</v>
      </c>
      <c r="K4480" t="s">
        <v>27</v>
      </c>
      <c r="L4480" s="12">
        <v>0.77430555555555558</v>
      </c>
      <c r="M4480" t="s">
        <v>63</v>
      </c>
      <c r="N4480" s="3">
        <v>232</v>
      </c>
      <c r="O4480" t="s">
        <v>24</v>
      </c>
      <c r="P4480" t="s">
        <v>56</v>
      </c>
      <c r="R4480">
        <f>tblDailySchedule[[#This Row],[Capacity Approx]]*'[1]Load Factor Sheet June Acft  '!$B$5</f>
        <v>187.86727272727273</v>
      </c>
      <c r="S4480">
        <f>tblDailySchedule[[#This Row],[Capacity Approx]]*'[1]Load Factor Sheet June Acft  '!$D$5</f>
        <v>203.4218181818182</v>
      </c>
      <c r="T4480" s="22">
        <f>tblDailySchedule[[#This Row],[STD]]</f>
        <v>0.77430555555555558</v>
      </c>
    </row>
    <row r="4481" spans="1:20" hidden="1" x14ac:dyDescent="0.35">
      <c r="A4481" s="11">
        <v>46271</v>
      </c>
      <c r="B4481" s="3">
        <v>7</v>
      </c>
      <c r="C4481" t="s">
        <v>17</v>
      </c>
      <c r="D4481" t="s">
        <v>18</v>
      </c>
      <c r="E4481" s="3">
        <v>20</v>
      </c>
      <c r="F4481" t="s">
        <v>34</v>
      </c>
      <c r="G4481" t="s">
        <v>75</v>
      </c>
      <c r="H4481" t="s">
        <v>76</v>
      </c>
      <c r="I4481" s="12">
        <v>0.76388888888888884</v>
      </c>
      <c r="J4481" t="s">
        <v>77</v>
      </c>
      <c r="K4481" t="s">
        <v>78</v>
      </c>
      <c r="L4481" s="12">
        <v>0.78472222222222221</v>
      </c>
      <c r="M4481" t="s">
        <v>51</v>
      </c>
      <c r="N4481" s="3">
        <v>78</v>
      </c>
      <c r="O4481" t="s">
        <v>24</v>
      </c>
      <c r="P4481" t="s">
        <v>79</v>
      </c>
      <c r="Q4481" s="16" t="s">
        <v>80</v>
      </c>
      <c r="R4481">
        <f>tblDailySchedule[[#This Row],[Capacity Approx]]*'[1]Load Factor Sheet June Acft  '!$B$5</f>
        <v>63.162272727272729</v>
      </c>
      <c r="S4481">
        <f>tblDailySchedule[[#This Row],[Capacity Approx]]*'[1]Load Factor Sheet June Acft  '!$D$5</f>
        <v>68.391818181818181</v>
      </c>
      <c r="T4481" s="22">
        <f>tblDailySchedule[[#This Row],[STD]]</f>
        <v>0.78472222222222221</v>
      </c>
    </row>
    <row r="4482" spans="1:20" hidden="1" x14ac:dyDescent="0.35">
      <c r="A4482" s="11">
        <v>46271</v>
      </c>
      <c r="B4482" s="3">
        <v>7</v>
      </c>
      <c r="C4482" t="s">
        <v>17</v>
      </c>
      <c r="D4482" t="s">
        <v>18</v>
      </c>
      <c r="E4482" s="3">
        <v>21</v>
      </c>
      <c r="F4482" t="s">
        <v>19</v>
      </c>
      <c r="G4482" t="s">
        <v>81</v>
      </c>
      <c r="H4482" t="s">
        <v>61</v>
      </c>
      <c r="I4482" s="12">
        <v>0.77083333333333337</v>
      </c>
      <c r="J4482" t="s">
        <v>82</v>
      </c>
      <c r="K4482" t="s">
        <v>49</v>
      </c>
      <c r="L4482" s="12">
        <v>0.79166666666666663</v>
      </c>
      <c r="M4482" t="s">
        <v>33</v>
      </c>
      <c r="N4482" s="3">
        <v>189</v>
      </c>
      <c r="O4482" t="s">
        <v>24</v>
      </c>
      <c r="P4482" t="s">
        <v>79</v>
      </c>
      <c r="R4482">
        <f>tblDailySchedule[[#This Row],[Capacity Approx]]*'[1]Load Factor Sheet June Acft  '!$B$5</f>
        <v>153.04704545454547</v>
      </c>
      <c r="S4482">
        <f>tblDailySchedule[[#This Row],[Capacity Approx]]*'[1]Load Factor Sheet June Acft  '!$D$5</f>
        <v>165.71863636363636</v>
      </c>
      <c r="T4482" s="22">
        <f>tblDailySchedule[[#This Row],[STD]]</f>
        <v>0.79166666666666663</v>
      </c>
    </row>
    <row r="4483" spans="1:20" hidden="1" x14ac:dyDescent="0.35">
      <c r="A4483" s="11">
        <v>46271</v>
      </c>
      <c r="B4483" s="3">
        <v>7</v>
      </c>
      <c r="C4483" t="s">
        <v>17</v>
      </c>
      <c r="D4483" t="s">
        <v>18</v>
      </c>
      <c r="E4483" s="3">
        <v>22</v>
      </c>
      <c r="F4483" t="s">
        <v>19</v>
      </c>
      <c r="G4483" t="s">
        <v>83</v>
      </c>
      <c r="H4483" t="s">
        <v>31</v>
      </c>
      <c r="I4483" s="12">
        <v>0.77777777777777779</v>
      </c>
      <c r="J4483" t="s">
        <v>84</v>
      </c>
      <c r="K4483" t="s">
        <v>31</v>
      </c>
      <c r="L4483" s="12">
        <v>0.80555555555555558</v>
      </c>
      <c r="M4483" t="s">
        <v>63</v>
      </c>
      <c r="N4483" s="3">
        <v>232</v>
      </c>
      <c r="O4483" t="s">
        <v>24</v>
      </c>
      <c r="P4483" t="s">
        <v>79</v>
      </c>
      <c r="R4483">
        <f>tblDailySchedule[[#This Row],[Capacity Approx]]*'[1]Load Factor Sheet June Acft  '!$B$5</f>
        <v>187.86727272727273</v>
      </c>
      <c r="S4483">
        <f>tblDailySchedule[[#This Row],[Capacity Approx]]*'[1]Load Factor Sheet June Acft  '!$D$5</f>
        <v>203.4218181818182</v>
      </c>
      <c r="T4483" s="22">
        <f>tblDailySchedule[[#This Row],[STD]]</f>
        <v>0.80555555555555558</v>
      </c>
    </row>
    <row r="4484" spans="1:20" hidden="1" x14ac:dyDescent="0.35">
      <c r="A4484" s="11">
        <v>46271</v>
      </c>
      <c r="B4484" s="3">
        <v>7</v>
      </c>
      <c r="C4484" t="s">
        <v>17</v>
      </c>
      <c r="D4484" t="s">
        <v>18</v>
      </c>
      <c r="E4484" s="3">
        <v>23</v>
      </c>
      <c r="F4484" t="s">
        <v>19</v>
      </c>
      <c r="G4484" t="s">
        <v>85</v>
      </c>
      <c r="H4484" t="s">
        <v>86</v>
      </c>
      <c r="I4484" s="12">
        <v>0.79861111111111116</v>
      </c>
      <c r="J4484" t="s">
        <v>87</v>
      </c>
      <c r="K4484" t="s">
        <v>86</v>
      </c>
      <c r="L4484" s="12">
        <v>0.82638888888888884</v>
      </c>
      <c r="M4484" t="s">
        <v>63</v>
      </c>
      <c r="N4484" s="3">
        <v>232</v>
      </c>
      <c r="O4484" t="s">
        <v>24</v>
      </c>
      <c r="P4484" t="s">
        <v>79</v>
      </c>
      <c r="R4484">
        <f>tblDailySchedule[[#This Row],[Capacity Approx]]*'[1]Load Factor Sheet June Acft  '!$B$5</f>
        <v>187.86727272727273</v>
      </c>
      <c r="S4484">
        <f>tblDailySchedule[[#This Row],[Capacity Approx]]*'[1]Load Factor Sheet June Acft  '!$D$5</f>
        <v>203.4218181818182</v>
      </c>
      <c r="T4484" s="22">
        <f>tblDailySchedule[[#This Row],[STD]]</f>
        <v>0.82638888888888884</v>
      </c>
    </row>
    <row r="4485" spans="1:20" hidden="1" x14ac:dyDescent="0.35">
      <c r="A4485" s="11">
        <v>46271</v>
      </c>
      <c r="B4485" s="3">
        <v>7</v>
      </c>
      <c r="C4485" t="s">
        <v>17</v>
      </c>
      <c r="D4485" t="s">
        <v>18</v>
      </c>
      <c r="E4485" s="3">
        <v>24</v>
      </c>
      <c r="F4485" t="s">
        <v>19</v>
      </c>
      <c r="G4485" t="s">
        <v>88</v>
      </c>
      <c r="H4485" t="s">
        <v>89</v>
      </c>
      <c r="I4485" s="12">
        <v>0.83333333333333337</v>
      </c>
      <c r="J4485" t="s">
        <v>90</v>
      </c>
      <c r="K4485" t="s">
        <v>31</v>
      </c>
      <c r="L4485" s="12">
        <v>0.86111111111111116</v>
      </c>
      <c r="M4485" t="s">
        <v>63</v>
      </c>
      <c r="N4485" s="3">
        <v>232</v>
      </c>
      <c r="O4485" t="s">
        <v>24</v>
      </c>
      <c r="P4485" t="s">
        <v>79</v>
      </c>
      <c r="R4485">
        <f>tblDailySchedule[[#This Row],[Capacity Approx]]*'[1]Load Factor Sheet June Acft  '!$B$5</f>
        <v>187.86727272727273</v>
      </c>
      <c r="S4485">
        <f>tblDailySchedule[[#This Row],[Capacity Approx]]*'[1]Load Factor Sheet June Acft  '!$D$5</f>
        <v>203.4218181818182</v>
      </c>
      <c r="T4485" s="22">
        <f>tblDailySchedule[[#This Row],[STD]]</f>
        <v>0.86111111111111116</v>
      </c>
    </row>
    <row r="4486" spans="1:20" hidden="1" x14ac:dyDescent="0.35">
      <c r="A4486" s="11">
        <v>46271</v>
      </c>
      <c r="B4486" s="3">
        <v>7</v>
      </c>
      <c r="C4486" t="s">
        <v>17</v>
      </c>
      <c r="D4486" t="s">
        <v>18</v>
      </c>
      <c r="E4486" s="3">
        <v>25</v>
      </c>
      <c r="F4486" t="s">
        <v>19</v>
      </c>
      <c r="G4486" t="s">
        <v>91</v>
      </c>
      <c r="H4486" t="s">
        <v>61</v>
      </c>
      <c r="I4486" s="12">
        <v>0.85416666666666663</v>
      </c>
      <c r="J4486" t="s">
        <v>92</v>
      </c>
      <c r="K4486" t="s">
        <v>61</v>
      </c>
      <c r="L4486" s="12">
        <v>0.88194444444444442</v>
      </c>
      <c r="M4486" t="s">
        <v>63</v>
      </c>
      <c r="N4486" s="3">
        <v>232</v>
      </c>
      <c r="O4486" t="s">
        <v>24</v>
      </c>
      <c r="P4486" t="s">
        <v>79</v>
      </c>
      <c r="R4486">
        <f>tblDailySchedule[[#This Row],[Capacity Approx]]*'[1]Load Factor Sheet June Acft  '!$B$5</f>
        <v>187.86727272727273</v>
      </c>
      <c r="S4486">
        <f>tblDailySchedule[[#This Row],[Capacity Approx]]*'[1]Load Factor Sheet June Acft  '!$D$5</f>
        <v>203.4218181818182</v>
      </c>
      <c r="T4486" s="22">
        <f>tblDailySchedule[[#This Row],[STD]]</f>
        <v>0.88194444444444442</v>
      </c>
    </row>
    <row r="4487" spans="1:20" hidden="1" x14ac:dyDescent="0.35">
      <c r="A4487" s="11">
        <v>46271</v>
      </c>
      <c r="B4487" s="3">
        <v>7</v>
      </c>
      <c r="C4487" t="s">
        <v>17</v>
      </c>
      <c r="D4487" t="s">
        <v>18</v>
      </c>
      <c r="E4487" s="3">
        <v>26</v>
      </c>
      <c r="F4487" t="s">
        <v>19</v>
      </c>
      <c r="G4487" t="s">
        <v>93</v>
      </c>
      <c r="H4487" t="s">
        <v>31</v>
      </c>
      <c r="I4487" s="12">
        <v>0.86111111111111116</v>
      </c>
      <c r="J4487" t="s">
        <v>94</v>
      </c>
      <c r="K4487" t="s">
        <v>31</v>
      </c>
      <c r="L4487" s="12">
        <v>0.88888888888888884</v>
      </c>
      <c r="M4487" t="s">
        <v>23</v>
      </c>
      <c r="N4487" s="3">
        <v>186</v>
      </c>
      <c r="O4487" t="s">
        <v>24</v>
      </c>
      <c r="P4487" t="s">
        <v>79</v>
      </c>
      <c r="R4487">
        <f>tblDailySchedule[[#This Row],[Capacity Approx]]*'[1]Load Factor Sheet June Acft  '!$B$5</f>
        <v>150.61772727272728</v>
      </c>
      <c r="S4487">
        <f>tblDailySchedule[[#This Row],[Capacity Approx]]*'[1]Load Factor Sheet June Acft  '!$D$5</f>
        <v>163.08818181818182</v>
      </c>
      <c r="T4487" s="22">
        <f>tblDailySchedule[[#This Row],[STD]]</f>
        <v>0.88888888888888884</v>
      </c>
    </row>
    <row r="4488" spans="1:20" hidden="1" x14ac:dyDescent="0.35">
      <c r="A4488" s="11">
        <v>46271</v>
      </c>
      <c r="B4488" s="3">
        <v>7</v>
      </c>
      <c r="C4488" t="s">
        <v>17</v>
      </c>
      <c r="D4488" t="s">
        <v>18</v>
      </c>
      <c r="E4488" s="3">
        <v>27</v>
      </c>
      <c r="F4488" t="s">
        <v>19</v>
      </c>
      <c r="G4488" t="s">
        <v>95</v>
      </c>
      <c r="H4488" t="s">
        <v>21</v>
      </c>
      <c r="I4488" s="12">
        <v>0.86805555555555558</v>
      </c>
      <c r="J4488" t="s">
        <v>96</v>
      </c>
      <c r="K4488" t="s">
        <v>21</v>
      </c>
      <c r="L4488" s="12">
        <v>0.89583333333333337</v>
      </c>
      <c r="M4488" t="s">
        <v>29</v>
      </c>
      <c r="N4488" s="3">
        <v>186</v>
      </c>
      <c r="O4488" t="s">
        <v>24</v>
      </c>
      <c r="P4488" t="s">
        <v>79</v>
      </c>
      <c r="R4488">
        <f>tblDailySchedule[[#This Row],[Capacity Approx]]*'[1]Load Factor Sheet June Acft  '!$B$5</f>
        <v>150.61772727272728</v>
      </c>
      <c r="S4488">
        <f>tblDailySchedule[[#This Row],[Capacity Approx]]*'[1]Load Factor Sheet June Acft  '!$D$5</f>
        <v>163.08818181818182</v>
      </c>
      <c r="T4488" s="22">
        <f>tblDailySchedule[[#This Row],[STD]]</f>
        <v>0.89583333333333337</v>
      </c>
    </row>
    <row r="4489" spans="1:20" hidden="1" x14ac:dyDescent="0.35">
      <c r="A4489" s="11">
        <v>46271</v>
      </c>
      <c r="B4489" s="3">
        <v>7</v>
      </c>
      <c r="C4489" t="s">
        <v>17</v>
      </c>
      <c r="D4489" t="s">
        <v>18</v>
      </c>
      <c r="E4489" s="3">
        <v>28</v>
      </c>
      <c r="F4489" t="s">
        <v>19</v>
      </c>
      <c r="G4489" t="s">
        <v>97</v>
      </c>
      <c r="H4489" t="s">
        <v>49</v>
      </c>
      <c r="I4489" s="12">
        <v>0.90277777777777779</v>
      </c>
      <c r="J4489" t="s">
        <v>97</v>
      </c>
      <c r="K4489" t="s">
        <v>61</v>
      </c>
      <c r="L4489" s="12">
        <v>0.92361111111111116</v>
      </c>
      <c r="M4489" t="s">
        <v>33</v>
      </c>
      <c r="N4489" s="3">
        <v>189</v>
      </c>
      <c r="O4489" t="s">
        <v>24</v>
      </c>
      <c r="P4489" t="s">
        <v>79</v>
      </c>
      <c r="R4489">
        <f>tblDailySchedule[[#This Row],[Capacity Approx]]*'[1]Load Factor Sheet June Acft  '!$B$5</f>
        <v>153.04704545454547</v>
      </c>
      <c r="S4489">
        <f>tblDailySchedule[[#This Row],[Capacity Approx]]*'[1]Load Factor Sheet June Acft  '!$D$5</f>
        <v>165.71863636363636</v>
      </c>
      <c r="T4489" s="22">
        <f>tblDailySchedule[[#This Row],[STD]]</f>
        <v>0.92361111111111116</v>
      </c>
    </row>
    <row r="4490" spans="1:20" hidden="1" x14ac:dyDescent="0.35">
      <c r="A4490" s="11">
        <v>46271</v>
      </c>
      <c r="B4490" s="3">
        <v>7</v>
      </c>
      <c r="C4490" t="s">
        <v>17</v>
      </c>
      <c r="D4490" t="s">
        <v>18</v>
      </c>
      <c r="E4490" s="3">
        <v>29</v>
      </c>
      <c r="F4490" t="s">
        <v>19</v>
      </c>
      <c r="G4490" t="s">
        <v>98</v>
      </c>
      <c r="H4490" t="s">
        <v>21</v>
      </c>
      <c r="I4490" s="12">
        <v>0.92013888888888884</v>
      </c>
      <c r="J4490" t="s">
        <v>99</v>
      </c>
      <c r="K4490" t="s">
        <v>21</v>
      </c>
      <c r="L4490" s="12">
        <v>0.94791666666666663</v>
      </c>
      <c r="M4490" t="s">
        <v>63</v>
      </c>
      <c r="N4490" s="3">
        <v>232</v>
      </c>
      <c r="O4490" t="s">
        <v>24</v>
      </c>
      <c r="P4490" t="s">
        <v>79</v>
      </c>
      <c r="R4490">
        <f>tblDailySchedule[[#This Row],[Capacity Approx]]*'[1]Load Factor Sheet June Acft  '!$B$5</f>
        <v>187.86727272727273</v>
      </c>
      <c r="S4490">
        <f>tblDailySchedule[[#This Row],[Capacity Approx]]*'[1]Load Factor Sheet June Acft  '!$D$5</f>
        <v>203.4218181818182</v>
      </c>
      <c r="T4490" s="22">
        <f>tblDailySchedule[[#This Row],[STD]]</f>
        <v>0.94791666666666663</v>
      </c>
    </row>
    <row r="4491" spans="1:20" hidden="1" x14ac:dyDescent="0.35">
      <c r="A4491" s="11">
        <v>46272</v>
      </c>
      <c r="B4491" s="3">
        <v>1</v>
      </c>
      <c r="C4491" t="s">
        <v>100</v>
      </c>
      <c r="D4491" t="s">
        <v>18</v>
      </c>
      <c r="E4491" s="3">
        <v>1</v>
      </c>
      <c r="F4491" t="s">
        <v>101</v>
      </c>
      <c r="G4491" t="s">
        <v>102</v>
      </c>
      <c r="H4491" t="s">
        <v>61</v>
      </c>
      <c r="I4491" s="12">
        <v>0.3125</v>
      </c>
      <c r="J4491" t="s">
        <v>103</v>
      </c>
      <c r="K4491" t="s">
        <v>61</v>
      </c>
      <c r="L4491" s="12">
        <v>0.33333333333333331</v>
      </c>
      <c r="M4491" t="s">
        <v>33</v>
      </c>
      <c r="N4491" s="3">
        <v>189</v>
      </c>
      <c r="O4491" t="s">
        <v>24</v>
      </c>
      <c r="P4491" t="s">
        <v>25</v>
      </c>
      <c r="R4491">
        <f>tblDailySchedule[[#This Row],[Capacity Approx]]*'[1]Load Factor Sheet June Acft  '!$B$5</f>
        <v>153.04704545454547</v>
      </c>
      <c r="S4491">
        <f>tblDailySchedule[[#This Row],[Capacity Approx]]*'[1]Load Factor Sheet June Acft  '!$D$5</f>
        <v>165.71863636363636</v>
      </c>
      <c r="T4491" s="22">
        <f>tblDailySchedule[[#This Row],[STD]]</f>
        <v>0.33333333333333331</v>
      </c>
    </row>
    <row r="4492" spans="1:20" hidden="1" x14ac:dyDescent="0.35">
      <c r="A4492" s="11">
        <v>46272</v>
      </c>
      <c r="B4492" s="3">
        <v>1</v>
      </c>
      <c r="C4492" t="s">
        <v>100</v>
      </c>
      <c r="D4492" t="s">
        <v>18</v>
      </c>
      <c r="E4492" s="3">
        <v>2</v>
      </c>
      <c r="F4492" t="s">
        <v>19</v>
      </c>
      <c r="G4492" t="s">
        <v>20</v>
      </c>
      <c r="H4492" t="s">
        <v>21</v>
      </c>
      <c r="I4492" s="12">
        <v>0.31944444444444442</v>
      </c>
      <c r="J4492" t="s">
        <v>22</v>
      </c>
      <c r="K4492" t="s">
        <v>21</v>
      </c>
      <c r="L4492" s="12">
        <v>0.34722222222222221</v>
      </c>
      <c r="M4492" t="s">
        <v>23</v>
      </c>
      <c r="N4492" s="3">
        <v>186</v>
      </c>
      <c r="O4492" t="s">
        <v>24</v>
      </c>
      <c r="P4492" t="s">
        <v>25</v>
      </c>
      <c r="R4492">
        <f>tblDailySchedule[[#This Row],[Capacity Approx]]*'[1]Load Factor Sheet June Acft  '!$B$5</f>
        <v>150.61772727272728</v>
      </c>
      <c r="S4492">
        <f>tblDailySchedule[[#This Row],[Capacity Approx]]*'[1]Load Factor Sheet June Acft  '!$D$5</f>
        <v>163.08818181818182</v>
      </c>
      <c r="T4492" s="22">
        <f>tblDailySchedule[[#This Row],[STD]]</f>
        <v>0.34722222222222221</v>
      </c>
    </row>
    <row r="4493" spans="1:20" hidden="1" x14ac:dyDescent="0.35">
      <c r="A4493" s="11">
        <v>46272</v>
      </c>
      <c r="B4493" s="3">
        <v>1</v>
      </c>
      <c r="C4493" t="s">
        <v>100</v>
      </c>
      <c r="D4493" t="s">
        <v>18</v>
      </c>
      <c r="E4493" s="3">
        <v>3</v>
      </c>
      <c r="F4493" t="s">
        <v>19</v>
      </c>
      <c r="G4493" t="s">
        <v>26</v>
      </c>
      <c r="H4493" t="s">
        <v>27</v>
      </c>
      <c r="I4493" s="12">
        <v>0.3263888888888889</v>
      </c>
      <c r="J4493" t="s">
        <v>28</v>
      </c>
      <c r="K4493" t="s">
        <v>27</v>
      </c>
      <c r="L4493" s="12">
        <v>0.35416666666666669</v>
      </c>
      <c r="M4493" t="s">
        <v>29</v>
      </c>
      <c r="N4493" s="3">
        <v>186</v>
      </c>
      <c r="O4493" t="s">
        <v>24</v>
      </c>
      <c r="P4493" t="s">
        <v>25</v>
      </c>
      <c r="R4493">
        <f>tblDailySchedule[[#This Row],[Capacity Approx]]*'[1]Load Factor Sheet June Acft  '!$B$5</f>
        <v>150.61772727272728</v>
      </c>
      <c r="S4493">
        <f>tblDailySchedule[[#This Row],[Capacity Approx]]*'[1]Load Factor Sheet June Acft  '!$D$5</f>
        <v>163.08818181818182</v>
      </c>
      <c r="T4493" s="22">
        <f>tblDailySchedule[[#This Row],[STD]]</f>
        <v>0.35416666666666669</v>
      </c>
    </row>
    <row r="4494" spans="1:20" hidden="1" x14ac:dyDescent="0.35">
      <c r="A4494" s="11">
        <v>46272</v>
      </c>
      <c r="B4494" s="3">
        <v>1</v>
      </c>
      <c r="C4494" t="s">
        <v>100</v>
      </c>
      <c r="D4494" t="s">
        <v>18</v>
      </c>
      <c r="E4494" s="3">
        <v>4</v>
      </c>
      <c r="F4494" t="s">
        <v>19</v>
      </c>
      <c r="G4494" t="s">
        <v>30</v>
      </c>
      <c r="H4494" t="s">
        <v>31</v>
      </c>
      <c r="I4494" s="12">
        <v>0.34722222222222221</v>
      </c>
      <c r="J4494" t="s">
        <v>32</v>
      </c>
      <c r="K4494" t="s">
        <v>31</v>
      </c>
      <c r="L4494" s="12">
        <v>0.36805555555555558</v>
      </c>
      <c r="M4494" t="s">
        <v>33</v>
      </c>
      <c r="N4494" s="3">
        <v>189</v>
      </c>
      <c r="O4494" t="s">
        <v>24</v>
      </c>
      <c r="P4494" t="s">
        <v>25</v>
      </c>
      <c r="R4494">
        <f>tblDailySchedule[[#This Row],[Capacity Approx]]*'[1]Load Factor Sheet June Acft  '!$B$5</f>
        <v>153.04704545454547</v>
      </c>
      <c r="S4494">
        <f>tblDailySchedule[[#This Row],[Capacity Approx]]*'[1]Load Factor Sheet June Acft  '!$D$5</f>
        <v>165.71863636363636</v>
      </c>
      <c r="T4494" s="22">
        <f>tblDailySchedule[[#This Row],[STD]]</f>
        <v>0.36805555555555558</v>
      </c>
    </row>
    <row r="4495" spans="1:20" hidden="1" x14ac:dyDescent="0.35">
      <c r="A4495" s="13">
        <v>46272</v>
      </c>
      <c r="B4495" s="7">
        <v>1</v>
      </c>
      <c r="C4495" s="14" t="s">
        <v>100</v>
      </c>
      <c r="D4495" s="14" t="s">
        <v>18</v>
      </c>
      <c r="E4495" s="7">
        <v>6</v>
      </c>
      <c r="F4495" s="14" t="s">
        <v>34</v>
      </c>
      <c r="G4495" s="14" t="s">
        <v>35</v>
      </c>
      <c r="H4495" s="14" t="s">
        <v>36</v>
      </c>
      <c r="I4495" s="15">
        <v>0.34722222222222221</v>
      </c>
      <c r="J4495" s="14" t="s">
        <v>37</v>
      </c>
      <c r="K4495" s="14" t="s">
        <v>36</v>
      </c>
      <c r="L4495" s="15">
        <v>0.40972222222222221</v>
      </c>
      <c r="M4495" s="14" t="s">
        <v>38</v>
      </c>
      <c r="N4495" s="7">
        <v>186</v>
      </c>
      <c r="O4495" s="14" t="s">
        <v>39</v>
      </c>
      <c r="P4495" s="14" t="s">
        <v>25</v>
      </c>
      <c r="Q4495" s="14" t="s">
        <v>39</v>
      </c>
      <c r="R4495">
        <f>tblDailySchedule[[#This Row],[Capacity Approx]]*'[1]Load Factor Sheet June Acft  '!$B$5</f>
        <v>150.61772727272728</v>
      </c>
      <c r="S4495">
        <f>tblDailySchedule[[#This Row],[Capacity Approx]]*'[1]Load Factor Sheet June Acft  '!$D$5</f>
        <v>163.08818181818182</v>
      </c>
      <c r="T4495" s="22">
        <f>tblDailySchedule[[#This Row],[STD]]</f>
        <v>0.40972222222222221</v>
      </c>
    </row>
    <row r="4496" spans="1:20" hidden="1" x14ac:dyDescent="0.35">
      <c r="A4496" s="11">
        <v>46272</v>
      </c>
      <c r="B4496" s="3">
        <v>1</v>
      </c>
      <c r="C4496" t="s">
        <v>100</v>
      </c>
      <c r="D4496" t="s">
        <v>18</v>
      </c>
      <c r="E4496" s="3">
        <v>5</v>
      </c>
      <c r="F4496" t="s">
        <v>19</v>
      </c>
      <c r="G4496" t="s">
        <v>40</v>
      </c>
      <c r="H4496" t="s">
        <v>31</v>
      </c>
      <c r="I4496" s="12">
        <v>0.35069444444444442</v>
      </c>
      <c r="J4496" t="s">
        <v>41</v>
      </c>
      <c r="K4496" t="s">
        <v>31</v>
      </c>
      <c r="L4496" s="12">
        <v>0.37152777777777779</v>
      </c>
      <c r="M4496" t="s">
        <v>23</v>
      </c>
      <c r="N4496" s="3">
        <v>186</v>
      </c>
      <c r="O4496" t="s">
        <v>24</v>
      </c>
      <c r="P4496" t="s">
        <v>25</v>
      </c>
      <c r="R4496">
        <f>tblDailySchedule[[#This Row],[Capacity Approx]]*'[1]Load Factor Sheet June Acft  '!$B$5</f>
        <v>150.61772727272728</v>
      </c>
      <c r="S4496">
        <f>tblDailySchedule[[#This Row],[Capacity Approx]]*'[1]Load Factor Sheet June Acft  '!$D$5</f>
        <v>163.08818181818182</v>
      </c>
      <c r="T4496" s="22">
        <f>tblDailySchedule[[#This Row],[STD]]</f>
        <v>0.37152777777777779</v>
      </c>
    </row>
    <row r="4497" spans="1:20" hidden="1" x14ac:dyDescent="0.35">
      <c r="A4497" s="11">
        <v>46272</v>
      </c>
      <c r="B4497" s="3">
        <v>1</v>
      </c>
      <c r="C4497" t="s">
        <v>100</v>
      </c>
      <c r="D4497" t="s">
        <v>18</v>
      </c>
      <c r="E4497" s="3">
        <v>7</v>
      </c>
      <c r="F4497" t="s">
        <v>19</v>
      </c>
      <c r="G4497" t="s">
        <v>42</v>
      </c>
      <c r="H4497" t="s">
        <v>43</v>
      </c>
      <c r="I4497" s="12">
        <v>0.3923611111111111</v>
      </c>
      <c r="J4497" t="s">
        <v>44</v>
      </c>
      <c r="K4497" t="s">
        <v>43</v>
      </c>
      <c r="L4497" s="12">
        <v>0.40277777777777779</v>
      </c>
      <c r="M4497" t="s">
        <v>45</v>
      </c>
      <c r="N4497" s="3">
        <v>9</v>
      </c>
      <c r="O4497" t="s">
        <v>24</v>
      </c>
      <c r="P4497" t="s">
        <v>25</v>
      </c>
      <c r="R4497">
        <f>tblDailySchedule[[#This Row],[Capacity Approx]]*'[1]Load Factor Sheet June Acft  '!$B$5</f>
        <v>7.2879545454545456</v>
      </c>
      <c r="S4497">
        <f>tblDailySchedule[[#This Row],[Capacity Approx]]*'[1]Load Factor Sheet June Acft  '!$D$5</f>
        <v>7.8913636363636366</v>
      </c>
      <c r="T4497" s="22">
        <f>tblDailySchedule[[#This Row],[STD]]</f>
        <v>0.40277777777777779</v>
      </c>
    </row>
    <row r="4498" spans="1:20" hidden="1" x14ac:dyDescent="0.35">
      <c r="A4498" s="11">
        <v>46272</v>
      </c>
      <c r="B4498" s="3">
        <v>1</v>
      </c>
      <c r="C4498" t="s">
        <v>100</v>
      </c>
      <c r="D4498" t="s">
        <v>18</v>
      </c>
      <c r="E4498" s="3">
        <v>8</v>
      </c>
      <c r="F4498" t="s">
        <v>19</v>
      </c>
      <c r="G4498" t="s">
        <v>46</v>
      </c>
      <c r="H4498" t="s">
        <v>31</v>
      </c>
      <c r="I4498" s="12">
        <v>0.4201388888888889</v>
      </c>
      <c r="J4498" t="s">
        <v>47</v>
      </c>
      <c r="K4498" t="s">
        <v>31</v>
      </c>
      <c r="L4498" s="12">
        <v>0.44444444444444442</v>
      </c>
      <c r="M4498" t="s">
        <v>29</v>
      </c>
      <c r="N4498" s="3">
        <v>186</v>
      </c>
      <c r="O4498" t="s">
        <v>24</v>
      </c>
      <c r="P4498" t="s">
        <v>25</v>
      </c>
      <c r="R4498">
        <f>tblDailySchedule[[#This Row],[Capacity Approx]]*'[1]Load Factor Sheet June Acft  '!$B$5</f>
        <v>150.61772727272728</v>
      </c>
      <c r="S4498">
        <f>tblDailySchedule[[#This Row],[Capacity Approx]]*'[1]Load Factor Sheet June Acft  '!$D$5</f>
        <v>163.08818181818182</v>
      </c>
      <c r="T4498" s="22">
        <f>tblDailySchedule[[#This Row],[STD]]</f>
        <v>0.44444444444444442</v>
      </c>
    </row>
    <row r="4499" spans="1:20" hidden="1" x14ac:dyDescent="0.35">
      <c r="A4499" s="11">
        <v>46272</v>
      </c>
      <c r="B4499" s="3">
        <v>1</v>
      </c>
      <c r="C4499" t="s">
        <v>100</v>
      </c>
      <c r="D4499" t="s">
        <v>18</v>
      </c>
      <c r="E4499" s="3">
        <v>9</v>
      </c>
      <c r="F4499" t="s">
        <v>19</v>
      </c>
      <c r="G4499" t="s">
        <v>48</v>
      </c>
      <c r="H4499" t="s">
        <v>49</v>
      </c>
      <c r="I4499" s="12">
        <v>0.4375</v>
      </c>
      <c r="J4499" t="s">
        <v>50</v>
      </c>
      <c r="K4499" t="s">
        <v>49</v>
      </c>
      <c r="L4499" s="12">
        <v>0.45833333333333331</v>
      </c>
      <c r="M4499" t="s">
        <v>51</v>
      </c>
      <c r="N4499" s="3">
        <v>78</v>
      </c>
      <c r="O4499" t="s">
        <v>24</v>
      </c>
      <c r="P4499" t="s">
        <v>25</v>
      </c>
      <c r="R4499">
        <f>tblDailySchedule[[#This Row],[Capacity Approx]]*'[1]Load Factor Sheet June Acft  '!$B$5</f>
        <v>63.162272727272729</v>
      </c>
      <c r="S4499">
        <f>tblDailySchedule[[#This Row],[Capacity Approx]]*'[1]Load Factor Sheet June Acft  '!$D$5</f>
        <v>68.391818181818181</v>
      </c>
      <c r="T4499" s="22">
        <f>tblDailySchedule[[#This Row],[STD]]</f>
        <v>0.45833333333333331</v>
      </c>
    </row>
    <row r="4500" spans="1:20" hidden="1" x14ac:dyDescent="0.35">
      <c r="A4500" s="11">
        <v>46272</v>
      </c>
      <c r="B4500" s="3">
        <v>1</v>
      </c>
      <c r="C4500" t="s">
        <v>100</v>
      </c>
      <c r="D4500" t="s">
        <v>18</v>
      </c>
      <c r="E4500" s="3">
        <v>10</v>
      </c>
      <c r="F4500" t="s">
        <v>19</v>
      </c>
      <c r="G4500" t="s">
        <v>52</v>
      </c>
      <c r="H4500" t="s">
        <v>27</v>
      </c>
      <c r="I4500" s="12">
        <v>0.4826388888888889</v>
      </c>
      <c r="J4500" t="s">
        <v>53</v>
      </c>
      <c r="K4500" t="s">
        <v>27</v>
      </c>
      <c r="L4500" s="12">
        <v>0.51041666666666663</v>
      </c>
      <c r="M4500" t="s">
        <v>23</v>
      </c>
      <c r="N4500" s="3">
        <v>186</v>
      </c>
      <c r="O4500" t="s">
        <v>24</v>
      </c>
      <c r="P4500" t="s">
        <v>25</v>
      </c>
      <c r="R4500">
        <f>tblDailySchedule[[#This Row],[Capacity Approx]]*'[1]Load Factor Sheet June Acft  '!$B$5</f>
        <v>150.61772727272728</v>
      </c>
      <c r="S4500">
        <f>tblDailySchedule[[#This Row],[Capacity Approx]]*'[1]Load Factor Sheet June Acft  '!$D$5</f>
        <v>163.08818181818182</v>
      </c>
      <c r="T4500" s="22">
        <f>tblDailySchedule[[#This Row],[STD]]</f>
        <v>0.51041666666666663</v>
      </c>
    </row>
    <row r="4501" spans="1:20" hidden="1" x14ac:dyDescent="0.35">
      <c r="A4501" s="11">
        <v>46272</v>
      </c>
      <c r="B4501" s="3">
        <v>1</v>
      </c>
      <c r="C4501" t="s">
        <v>100</v>
      </c>
      <c r="D4501" t="s">
        <v>18</v>
      </c>
      <c r="E4501" s="3">
        <v>11</v>
      </c>
      <c r="F4501" t="s">
        <v>19</v>
      </c>
      <c r="G4501" t="s">
        <v>54</v>
      </c>
      <c r="H4501" t="s">
        <v>31</v>
      </c>
      <c r="I4501" s="12">
        <v>0.51388888888888884</v>
      </c>
      <c r="J4501" t="s">
        <v>55</v>
      </c>
      <c r="K4501" t="s">
        <v>31</v>
      </c>
      <c r="L4501" s="12">
        <v>0.54166666666666663</v>
      </c>
      <c r="M4501" t="s">
        <v>23</v>
      </c>
      <c r="N4501" s="3">
        <v>186</v>
      </c>
      <c r="O4501" t="s">
        <v>24</v>
      </c>
      <c r="P4501" t="s">
        <v>56</v>
      </c>
      <c r="R4501">
        <f>tblDailySchedule[[#This Row],[Capacity Approx]]*'[1]Load Factor Sheet June Acft  '!$B$5</f>
        <v>150.61772727272728</v>
      </c>
      <c r="S4501">
        <f>tblDailySchedule[[#This Row],[Capacity Approx]]*'[1]Load Factor Sheet June Acft  '!$D$5</f>
        <v>163.08818181818182</v>
      </c>
      <c r="T4501" s="22">
        <f>tblDailySchedule[[#This Row],[STD]]</f>
        <v>0.54166666666666663</v>
      </c>
    </row>
    <row r="4502" spans="1:20" hidden="1" x14ac:dyDescent="0.35">
      <c r="A4502" s="11">
        <v>46272</v>
      </c>
      <c r="B4502" s="3">
        <v>1</v>
      </c>
      <c r="C4502" t="s">
        <v>100</v>
      </c>
      <c r="D4502" t="s">
        <v>18</v>
      </c>
      <c r="E4502" s="3">
        <v>13</v>
      </c>
      <c r="F4502" t="s">
        <v>19</v>
      </c>
      <c r="G4502" t="s">
        <v>57</v>
      </c>
      <c r="H4502" t="s">
        <v>58</v>
      </c>
      <c r="I4502" s="12">
        <v>0.55902777777777779</v>
      </c>
      <c r="J4502" t="s">
        <v>59</v>
      </c>
      <c r="K4502" t="s">
        <v>58</v>
      </c>
      <c r="L4502" s="12">
        <v>0.57638888888888884</v>
      </c>
      <c r="M4502" t="s">
        <v>51</v>
      </c>
      <c r="N4502" s="3">
        <v>78</v>
      </c>
      <c r="O4502" t="s">
        <v>24</v>
      </c>
      <c r="P4502" t="s">
        <v>56</v>
      </c>
      <c r="R4502">
        <f>tblDailySchedule[[#This Row],[Capacity Approx]]*'[1]Load Factor Sheet June Acft  '!$B$5</f>
        <v>63.162272727272729</v>
      </c>
      <c r="S4502">
        <f>tblDailySchedule[[#This Row],[Capacity Approx]]*'[1]Load Factor Sheet June Acft  '!$D$5</f>
        <v>68.391818181818181</v>
      </c>
      <c r="T4502" s="22">
        <f>tblDailySchedule[[#This Row],[STD]]</f>
        <v>0.57638888888888884</v>
      </c>
    </row>
    <row r="4503" spans="1:20" hidden="1" x14ac:dyDescent="0.35">
      <c r="A4503" s="11">
        <v>46272</v>
      </c>
      <c r="B4503" s="3">
        <v>1</v>
      </c>
      <c r="C4503" t="s">
        <v>100</v>
      </c>
      <c r="D4503" t="s">
        <v>18</v>
      </c>
      <c r="E4503" s="3">
        <v>14</v>
      </c>
      <c r="F4503" t="s">
        <v>19</v>
      </c>
      <c r="G4503" t="s">
        <v>60</v>
      </c>
      <c r="H4503" t="s">
        <v>61</v>
      </c>
      <c r="I4503" s="12">
        <v>0.59027777777777779</v>
      </c>
      <c r="J4503" t="s">
        <v>62</v>
      </c>
      <c r="K4503" t="s">
        <v>61</v>
      </c>
      <c r="L4503" s="12">
        <v>0.62152777777777779</v>
      </c>
      <c r="M4503" t="s">
        <v>63</v>
      </c>
      <c r="N4503" s="3">
        <v>232</v>
      </c>
      <c r="O4503" t="s">
        <v>24</v>
      </c>
      <c r="P4503" t="s">
        <v>56</v>
      </c>
      <c r="R4503">
        <f>tblDailySchedule[[#This Row],[Capacity Approx]]*'[1]Load Factor Sheet June Acft  '!$B$5</f>
        <v>187.86727272727273</v>
      </c>
      <c r="S4503">
        <f>tblDailySchedule[[#This Row],[Capacity Approx]]*'[1]Load Factor Sheet June Acft  '!$D$5</f>
        <v>203.4218181818182</v>
      </c>
      <c r="T4503" s="22">
        <f>tblDailySchedule[[#This Row],[STD]]</f>
        <v>0.62152777777777779</v>
      </c>
    </row>
    <row r="4504" spans="1:20" hidden="1" x14ac:dyDescent="0.35">
      <c r="A4504" s="11">
        <v>46272</v>
      </c>
      <c r="B4504" s="3">
        <v>1</v>
      </c>
      <c r="C4504" t="s">
        <v>100</v>
      </c>
      <c r="D4504" t="s">
        <v>18</v>
      </c>
      <c r="E4504" s="3">
        <v>15</v>
      </c>
      <c r="F4504" t="s">
        <v>19</v>
      </c>
      <c r="G4504" t="s">
        <v>64</v>
      </c>
      <c r="H4504" t="s">
        <v>31</v>
      </c>
      <c r="I4504" s="12">
        <v>0.60069444444444442</v>
      </c>
      <c r="J4504" t="s">
        <v>65</v>
      </c>
      <c r="K4504" t="s">
        <v>66</v>
      </c>
      <c r="L4504" s="12">
        <v>0.62847222222222221</v>
      </c>
      <c r="M4504" t="s">
        <v>63</v>
      </c>
      <c r="N4504" s="3">
        <v>232</v>
      </c>
      <c r="O4504" t="s">
        <v>24</v>
      </c>
      <c r="P4504" t="s">
        <v>56</v>
      </c>
      <c r="R4504">
        <f>tblDailySchedule[[#This Row],[Capacity Approx]]*'[1]Load Factor Sheet June Acft  '!$B$5</f>
        <v>187.86727272727273</v>
      </c>
      <c r="S4504">
        <f>tblDailySchedule[[#This Row],[Capacity Approx]]*'[1]Load Factor Sheet June Acft  '!$D$5</f>
        <v>203.4218181818182</v>
      </c>
      <c r="T4504" s="22">
        <f>tblDailySchedule[[#This Row],[STD]]</f>
        <v>0.62847222222222221</v>
      </c>
    </row>
    <row r="4505" spans="1:20" hidden="1" x14ac:dyDescent="0.35">
      <c r="A4505" s="11">
        <v>46272</v>
      </c>
      <c r="B4505" s="3">
        <v>1</v>
      </c>
      <c r="C4505" t="s">
        <v>100</v>
      </c>
      <c r="D4505" t="s">
        <v>18</v>
      </c>
      <c r="E4505" s="3">
        <v>16</v>
      </c>
      <c r="F4505" t="s">
        <v>19</v>
      </c>
      <c r="G4505" t="s">
        <v>67</v>
      </c>
      <c r="H4505" t="s">
        <v>31</v>
      </c>
      <c r="I4505" s="12">
        <v>0.65625</v>
      </c>
      <c r="J4505" t="s">
        <v>68</v>
      </c>
      <c r="K4505" t="s">
        <v>31</v>
      </c>
      <c r="L4505" s="12">
        <v>0.68402777777777779</v>
      </c>
      <c r="M4505" t="s">
        <v>63</v>
      </c>
      <c r="N4505" s="3">
        <v>232</v>
      </c>
      <c r="O4505" t="s">
        <v>24</v>
      </c>
      <c r="P4505" t="s">
        <v>56</v>
      </c>
      <c r="R4505">
        <f>tblDailySchedule[[#This Row],[Capacity Approx]]*'[1]Load Factor Sheet June Acft  '!$B$5</f>
        <v>187.86727272727273</v>
      </c>
      <c r="S4505">
        <f>tblDailySchedule[[#This Row],[Capacity Approx]]*'[1]Load Factor Sheet June Acft  '!$D$5</f>
        <v>203.4218181818182</v>
      </c>
      <c r="T4505" s="22">
        <f>tblDailySchedule[[#This Row],[STD]]</f>
        <v>0.68402777777777779</v>
      </c>
    </row>
    <row r="4506" spans="1:20" hidden="1" x14ac:dyDescent="0.35">
      <c r="A4506" s="11">
        <v>46272</v>
      </c>
      <c r="B4506" s="3">
        <v>1</v>
      </c>
      <c r="C4506" t="s">
        <v>100</v>
      </c>
      <c r="D4506" t="s">
        <v>18</v>
      </c>
      <c r="E4506" s="3">
        <v>17</v>
      </c>
      <c r="F4506" t="s">
        <v>19</v>
      </c>
      <c r="G4506" t="s">
        <v>69</v>
      </c>
      <c r="H4506" t="s">
        <v>31</v>
      </c>
      <c r="I4506" s="12">
        <v>0.66319444444444442</v>
      </c>
      <c r="J4506" t="s">
        <v>70</v>
      </c>
      <c r="K4506" t="s">
        <v>31</v>
      </c>
      <c r="L4506" s="12">
        <v>0.69097222222222221</v>
      </c>
      <c r="M4506" t="s">
        <v>33</v>
      </c>
      <c r="N4506" s="3">
        <v>189</v>
      </c>
      <c r="O4506" t="s">
        <v>24</v>
      </c>
      <c r="P4506" t="s">
        <v>56</v>
      </c>
      <c r="R4506">
        <f>tblDailySchedule[[#This Row],[Capacity Approx]]*'[1]Load Factor Sheet June Acft  '!$B$5</f>
        <v>153.04704545454547</v>
      </c>
      <c r="S4506">
        <f>tblDailySchedule[[#This Row],[Capacity Approx]]*'[1]Load Factor Sheet June Acft  '!$D$5</f>
        <v>165.71863636363636</v>
      </c>
      <c r="T4506" s="22">
        <f>tblDailySchedule[[#This Row],[STD]]</f>
        <v>0.69097222222222221</v>
      </c>
    </row>
    <row r="4507" spans="1:20" hidden="1" x14ac:dyDescent="0.35">
      <c r="A4507" s="11">
        <v>46272</v>
      </c>
      <c r="B4507" s="3">
        <v>1</v>
      </c>
      <c r="C4507" t="s">
        <v>100</v>
      </c>
      <c r="D4507" t="s">
        <v>18</v>
      </c>
      <c r="E4507" s="3">
        <v>18</v>
      </c>
      <c r="F4507" t="s">
        <v>19</v>
      </c>
      <c r="G4507" t="s">
        <v>71</v>
      </c>
      <c r="H4507" t="s">
        <v>21</v>
      </c>
      <c r="I4507" s="12">
        <v>0.67013888888888884</v>
      </c>
      <c r="J4507" t="s">
        <v>72</v>
      </c>
      <c r="K4507" t="s">
        <v>21</v>
      </c>
      <c r="L4507" s="12">
        <v>0.69791666666666663</v>
      </c>
      <c r="M4507" t="s">
        <v>63</v>
      </c>
      <c r="N4507" s="3">
        <v>232</v>
      </c>
      <c r="O4507" t="s">
        <v>24</v>
      </c>
      <c r="P4507" t="s">
        <v>56</v>
      </c>
      <c r="R4507">
        <f>tblDailySchedule[[#This Row],[Capacity Approx]]*'[1]Load Factor Sheet June Acft  '!$B$5</f>
        <v>187.86727272727273</v>
      </c>
      <c r="S4507">
        <f>tblDailySchedule[[#This Row],[Capacity Approx]]*'[1]Load Factor Sheet June Acft  '!$D$5</f>
        <v>203.4218181818182</v>
      </c>
      <c r="T4507" s="22">
        <f>tblDailySchedule[[#This Row],[STD]]</f>
        <v>0.69791666666666663</v>
      </c>
    </row>
    <row r="4508" spans="1:20" hidden="1" x14ac:dyDescent="0.35">
      <c r="A4508" s="11">
        <v>46272</v>
      </c>
      <c r="B4508" s="3">
        <v>1</v>
      </c>
      <c r="C4508" t="s">
        <v>100</v>
      </c>
      <c r="D4508" t="s">
        <v>18</v>
      </c>
      <c r="E4508" s="3">
        <v>19</v>
      </c>
      <c r="F4508" t="s">
        <v>19</v>
      </c>
      <c r="G4508" t="s">
        <v>73</v>
      </c>
      <c r="H4508" t="s">
        <v>27</v>
      </c>
      <c r="I4508" s="12">
        <v>0.74652777777777779</v>
      </c>
      <c r="J4508" t="s">
        <v>74</v>
      </c>
      <c r="K4508" t="s">
        <v>27</v>
      </c>
      <c r="L4508" s="12">
        <v>0.77430555555555558</v>
      </c>
      <c r="M4508" t="s">
        <v>63</v>
      </c>
      <c r="N4508" s="3">
        <v>232</v>
      </c>
      <c r="O4508" t="s">
        <v>24</v>
      </c>
      <c r="P4508" t="s">
        <v>56</v>
      </c>
      <c r="R4508">
        <f>tblDailySchedule[[#This Row],[Capacity Approx]]*'[1]Load Factor Sheet June Acft  '!$B$5</f>
        <v>187.86727272727273</v>
      </c>
      <c r="S4508">
        <f>tblDailySchedule[[#This Row],[Capacity Approx]]*'[1]Load Factor Sheet June Acft  '!$D$5</f>
        <v>203.4218181818182</v>
      </c>
      <c r="T4508" s="22">
        <f>tblDailySchedule[[#This Row],[STD]]</f>
        <v>0.77430555555555558</v>
      </c>
    </row>
    <row r="4509" spans="1:20" hidden="1" x14ac:dyDescent="0.35">
      <c r="A4509" s="11">
        <v>46272</v>
      </c>
      <c r="B4509" s="3">
        <v>1</v>
      </c>
      <c r="C4509" t="s">
        <v>100</v>
      </c>
      <c r="D4509" t="s">
        <v>18</v>
      </c>
      <c r="E4509" s="3">
        <v>20</v>
      </c>
      <c r="F4509" t="s">
        <v>34</v>
      </c>
      <c r="G4509" t="s">
        <v>75</v>
      </c>
      <c r="H4509" t="s">
        <v>76</v>
      </c>
      <c r="I4509" s="12">
        <v>0.76388888888888884</v>
      </c>
      <c r="J4509" t="s">
        <v>77</v>
      </c>
      <c r="K4509" t="s">
        <v>78</v>
      </c>
      <c r="L4509" s="12">
        <v>0.78472222222222221</v>
      </c>
      <c r="M4509" t="s">
        <v>51</v>
      </c>
      <c r="N4509" s="3">
        <v>78</v>
      </c>
      <c r="O4509" t="s">
        <v>24</v>
      </c>
      <c r="P4509" t="s">
        <v>79</v>
      </c>
      <c r="Q4509" s="16" t="s">
        <v>80</v>
      </c>
      <c r="R4509">
        <f>tblDailySchedule[[#This Row],[Capacity Approx]]*'[1]Load Factor Sheet June Acft  '!$B$5</f>
        <v>63.162272727272729</v>
      </c>
      <c r="S4509">
        <f>tblDailySchedule[[#This Row],[Capacity Approx]]*'[1]Load Factor Sheet June Acft  '!$D$5</f>
        <v>68.391818181818181</v>
      </c>
      <c r="T4509" s="22">
        <f>tblDailySchedule[[#This Row],[STD]]</f>
        <v>0.78472222222222221</v>
      </c>
    </row>
    <row r="4510" spans="1:20" hidden="1" x14ac:dyDescent="0.35">
      <c r="A4510" s="11">
        <v>46272</v>
      </c>
      <c r="B4510" s="3">
        <v>1</v>
      </c>
      <c r="C4510" t="s">
        <v>100</v>
      </c>
      <c r="D4510" t="s">
        <v>18</v>
      </c>
      <c r="E4510" s="3">
        <v>21</v>
      </c>
      <c r="F4510" t="s">
        <v>19</v>
      </c>
      <c r="G4510" t="s">
        <v>81</v>
      </c>
      <c r="H4510" t="s">
        <v>61</v>
      </c>
      <c r="I4510" s="12">
        <v>0.77083333333333337</v>
      </c>
      <c r="J4510" t="s">
        <v>82</v>
      </c>
      <c r="K4510" t="s">
        <v>49</v>
      </c>
      <c r="L4510" s="12">
        <v>0.79166666666666663</v>
      </c>
      <c r="M4510" t="s">
        <v>33</v>
      </c>
      <c r="N4510" s="3">
        <v>189</v>
      </c>
      <c r="O4510" t="s">
        <v>24</v>
      </c>
      <c r="P4510" t="s">
        <v>79</v>
      </c>
      <c r="R4510">
        <f>tblDailySchedule[[#This Row],[Capacity Approx]]*'[1]Load Factor Sheet June Acft  '!$B$5</f>
        <v>153.04704545454547</v>
      </c>
      <c r="S4510">
        <f>tblDailySchedule[[#This Row],[Capacity Approx]]*'[1]Load Factor Sheet June Acft  '!$D$5</f>
        <v>165.71863636363636</v>
      </c>
      <c r="T4510" s="22">
        <f>tblDailySchedule[[#This Row],[STD]]</f>
        <v>0.79166666666666663</v>
      </c>
    </row>
    <row r="4511" spans="1:20" hidden="1" x14ac:dyDescent="0.35">
      <c r="A4511" s="11">
        <v>46272</v>
      </c>
      <c r="B4511" s="3">
        <v>1</v>
      </c>
      <c r="C4511" t="s">
        <v>100</v>
      </c>
      <c r="D4511" t="s">
        <v>18</v>
      </c>
      <c r="E4511" s="3">
        <v>22</v>
      </c>
      <c r="F4511" t="s">
        <v>19</v>
      </c>
      <c r="G4511" t="s">
        <v>83</v>
      </c>
      <c r="H4511" t="s">
        <v>31</v>
      </c>
      <c r="I4511" s="12">
        <v>0.77777777777777779</v>
      </c>
      <c r="J4511" t="s">
        <v>84</v>
      </c>
      <c r="K4511" t="s">
        <v>31</v>
      </c>
      <c r="L4511" s="12">
        <v>0.80555555555555558</v>
      </c>
      <c r="M4511" t="s">
        <v>63</v>
      </c>
      <c r="N4511" s="3">
        <v>232</v>
      </c>
      <c r="O4511" t="s">
        <v>24</v>
      </c>
      <c r="P4511" t="s">
        <v>79</v>
      </c>
      <c r="R4511">
        <f>tblDailySchedule[[#This Row],[Capacity Approx]]*'[1]Load Factor Sheet June Acft  '!$B$5</f>
        <v>187.86727272727273</v>
      </c>
      <c r="S4511">
        <f>tblDailySchedule[[#This Row],[Capacity Approx]]*'[1]Load Factor Sheet June Acft  '!$D$5</f>
        <v>203.4218181818182</v>
      </c>
      <c r="T4511" s="22">
        <f>tblDailySchedule[[#This Row],[STD]]</f>
        <v>0.80555555555555558</v>
      </c>
    </row>
    <row r="4512" spans="1:20" hidden="1" x14ac:dyDescent="0.35">
      <c r="A4512" s="11">
        <v>46272</v>
      </c>
      <c r="B4512" s="3">
        <v>1</v>
      </c>
      <c r="C4512" t="s">
        <v>100</v>
      </c>
      <c r="D4512" t="s">
        <v>18</v>
      </c>
      <c r="E4512" s="3">
        <v>23</v>
      </c>
      <c r="F4512" t="s">
        <v>19</v>
      </c>
      <c r="G4512" t="s">
        <v>85</v>
      </c>
      <c r="H4512" t="s">
        <v>86</v>
      </c>
      <c r="I4512" s="12">
        <v>0.79861111111111116</v>
      </c>
      <c r="J4512" t="s">
        <v>87</v>
      </c>
      <c r="K4512" t="s">
        <v>86</v>
      </c>
      <c r="L4512" s="12">
        <v>0.82638888888888884</v>
      </c>
      <c r="M4512" t="s">
        <v>63</v>
      </c>
      <c r="N4512" s="3">
        <v>232</v>
      </c>
      <c r="O4512" t="s">
        <v>24</v>
      </c>
      <c r="P4512" t="s">
        <v>79</v>
      </c>
      <c r="R4512">
        <f>tblDailySchedule[[#This Row],[Capacity Approx]]*'[1]Load Factor Sheet June Acft  '!$B$5</f>
        <v>187.86727272727273</v>
      </c>
      <c r="S4512">
        <f>tblDailySchedule[[#This Row],[Capacity Approx]]*'[1]Load Factor Sheet June Acft  '!$D$5</f>
        <v>203.4218181818182</v>
      </c>
      <c r="T4512" s="22">
        <f>tblDailySchedule[[#This Row],[STD]]</f>
        <v>0.82638888888888884</v>
      </c>
    </row>
    <row r="4513" spans="1:20" hidden="1" x14ac:dyDescent="0.35">
      <c r="A4513" s="11">
        <v>46272</v>
      </c>
      <c r="B4513" s="3">
        <v>1</v>
      </c>
      <c r="C4513" t="s">
        <v>100</v>
      </c>
      <c r="D4513" t="s">
        <v>18</v>
      </c>
      <c r="E4513" s="3">
        <v>24</v>
      </c>
      <c r="F4513" t="s">
        <v>19</v>
      </c>
      <c r="G4513" t="s">
        <v>88</v>
      </c>
      <c r="H4513" t="s">
        <v>89</v>
      </c>
      <c r="I4513" s="12">
        <v>0.83333333333333337</v>
      </c>
      <c r="J4513" t="s">
        <v>90</v>
      </c>
      <c r="K4513" t="s">
        <v>31</v>
      </c>
      <c r="L4513" s="12">
        <v>0.86111111111111116</v>
      </c>
      <c r="M4513" t="s">
        <v>63</v>
      </c>
      <c r="N4513" s="3">
        <v>232</v>
      </c>
      <c r="O4513" t="s">
        <v>24</v>
      </c>
      <c r="P4513" t="s">
        <v>79</v>
      </c>
      <c r="R4513">
        <f>tblDailySchedule[[#This Row],[Capacity Approx]]*'[1]Load Factor Sheet June Acft  '!$B$5</f>
        <v>187.86727272727273</v>
      </c>
      <c r="S4513">
        <f>tblDailySchedule[[#This Row],[Capacity Approx]]*'[1]Load Factor Sheet June Acft  '!$D$5</f>
        <v>203.4218181818182</v>
      </c>
      <c r="T4513" s="22">
        <f>tblDailySchedule[[#This Row],[STD]]</f>
        <v>0.86111111111111116</v>
      </c>
    </row>
    <row r="4514" spans="1:20" hidden="1" x14ac:dyDescent="0.35">
      <c r="A4514" s="11">
        <v>46272</v>
      </c>
      <c r="B4514" s="3">
        <v>1</v>
      </c>
      <c r="C4514" t="s">
        <v>100</v>
      </c>
      <c r="D4514" t="s">
        <v>18</v>
      </c>
      <c r="E4514" s="3">
        <v>25</v>
      </c>
      <c r="F4514" t="s">
        <v>19</v>
      </c>
      <c r="G4514" t="s">
        <v>91</v>
      </c>
      <c r="H4514" t="s">
        <v>61</v>
      </c>
      <c r="I4514" s="12">
        <v>0.85416666666666663</v>
      </c>
      <c r="J4514" t="s">
        <v>92</v>
      </c>
      <c r="K4514" t="s">
        <v>61</v>
      </c>
      <c r="L4514" s="12">
        <v>0.88194444444444442</v>
      </c>
      <c r="M4514" t="s">
        <v>63</v>
      </c>
      <c r="N4514" s="3">
        <v>232</v>
      </c>
      <c r="O4514" t="s">
        <v>24</v>
      </c>
      <c r="P4514" t="s">
        <v>79</v>
      </c>
      <c r="R4514">
        <f>tblDailySchedule[[#This Row],[Capacity Approx]]*'[1]Load Factor Sheet June Acft  '!$B$5</f>
        <v>187.86727272727273</v>
      </c>
      <c r="S4514">
        <f>tblDailySchedule[[#This Row],[Capacity Approx]]*'[1]Load Factor Sheet June Acft  '!$D$5</f>
        <v>203.4218181818182</v>
      </c>
      <c r="T4514" s="22">
        <f>tblDailySchedule[[#This Row],[STD]]</f>
        <v>0.88194444444444442</v>
      </c>
    </row>
    <row r="4515" spans="1:20" hidden="1" x14ac:dyDescent="0.35">
      <c r="A4515" s="11">
        <v>46272</v>
      </c>
      <c r="B4515" s="3">
        <v>1</v>
      </c>
      <c r="C4515" t="s">
        <v>100</v>
      </c>
      <c r="D4515" t="s">
        <v>18</v>
      </c>
      <c r="E4515" s="3">
        <v>26</v>
      </c>
      <c r="F4515" t="s">
        <v>19</v>
      </c>
      <c r="G4515" t="s">
        <v>93</v>
      </c>
      <c r="H4515" t="s">
        <v>31</v>
      </c>
      <c r="I4515" s="12">
        <v>0.86111111111111116</v>
      </c>
      <c r="J4515" t="s">
        <v>94</v>
      </c>
      <c r="K4515" t="s">
        <v>31</v>
      </c>
      <c r="L4515" s="12">
        <v>0.88888888888888884</v>
      </c>
      <c r="M4515" t="s">
        <v>23</v>
      </c>
      <c r="N4515" s="3">
        <v>186</v>
      </c>
      <c r="O4515" t="s">
        <v>24</v>
      </c>
      <c r="P4515" t="s">
        <v>79</v>
      </c>
      <c r="R4515">
        <f>tblDailySchedule[[#This Row],[Capacity Approx]]*'[1]Load Factor Sheet June Acft  '!$B$5</f>
        <v>150.61772727272728</v>
      </c>
      <c r="S4515">
        <f>tblDailySchedule[[#This Row],[Capacity Approx]]*'[1]Load Factor Sheet June Acft  '!$D$5</f>
        <v>163.08818181818182</v>
      </c>
      <c r="T4515" s="22">
        <f>tblDailySchedule[[#This Row],[STD]]</f>
        <v>0.88888888888888884</v>
      </c>
    </row>
    <row r="4516" spans="1:20" hidden="1" x14ac:dyDescent="0.35">
      <c r="A4516" s="11">
        <v>46272</v>
      </c>
      <c r="B4516" s="3">
        <v>1</v>
      </c>
      <c r="C4516" t="s">
        <v>100</v>
      </c>
      <c r="D4516" t="s">
        <v>18</v>
      </c>
      <c r="E4516" s="3">
        <v>27</v>
      </c>
      <c r="F4516" t="s">
        <v>19</v>
      </c>
      <c r="G4516" t="s">
        <v>95</v>
      </c>
      <c r="H4516" t="s">
        <v>21</v>
      </c>
      <c r="I4516" s="12">
        <v>0.86805555555555558</v>
      </c>
      <c r="J4516" t="s">
        <v>96</v>
      </c>
      <c r="K4516" t="s">
        <v>21</v>
      </c>
      <c r="L4516" s="12">
        <v>0.89583333333333337</v>
      </c>
      <c r="M4516" t="s">
        <v>29</v>
      </c>
      <c r="N4516" s="3">
        <v>186</v>
      </c>
      <c r="O4516" t="s">
        <v>24</v>
      </c>
      <c r="P4516" t="s">
        <v>79</v>
      </c>
      <c r="R4516">
        <f>tblDailySchedule[[#This Row],[Capacity Approx]]*'[1]Load Factor Sheet June Acft  '!$B$5</f>
        <v>150.61772727272728</v>
      </c>
      <c r="S4516">
        <f>tblDailySchedule[[#This Row],[Capacity Approx]]*'[1]Load Factor Sheet June Acft  '!$D$5</f>
        <v>163.08818181818182</v>
      </c>
      <c r="T4516" s="22">
        <f>tblDailySchedule[[#This Row],[STD]]</f>
        <v>0.89583333333333337</v>
      </c>
    </row>
    <row r="4517" spans="1:20" hidden="1" x14ac:dyDescent="0.35">
      <c r="A4517" s="11">
        <v>46272</v>
      </c>
      <c r="B4517" s="3">
        <v>1</v>
      </c>
      <c r="C4517" t="s">
        <v>100</v>
      </c>
      <c r="D4517" t="s">
        <v>18</v>
      </c>
      <c r="E4517" s="3">
        <v>28</v>
      </c>
      <c r="F4517" t="s">
        <v>19</v>
      </c>
      <c r="G4517" t="s">
        <v>97</v>
      </c>
      <c r="H4517" t="s">
        <v>49</v>
      </c>
      <c r="I4517" s="12">
        <v>0.90277777777777779</v>
      </c>
      <c r="J4517" t="s">
        <v>97</v>
      </c>
      <c r="K4517" t="s">
        <v>61</v>
      </c>
      <c r="L4517" s="12">
        <v>0.92361111111111116</v>
      </c>
      <c r="M4517" t="s">
        <v>33</v>
      </c>
      <c r="N4517" s="3">
        <v>189</v>
      </c>
      <c r="O4517" t="s">
        <v>24</v>
      </c>
      <c r="P4517" t="s">
        <v>79</v>
      </c>
      <c r="R4517">
        <f>tblDailySchedule[[#This Row],[Capacity Approx]]*'[1]Load Factor Sheet June Acft  '!$B$5</f>
        <v>153.04704545454547</v>
      </c>
      <c r="S4517">
        <f>tblDailySchedule[[#This Row],[Capacity Approx]]*'[1]Load Factor Sheet June Acft  '!$D$5</f>
        <v>165.71863636363636</v>
      </c>
      <c r="T4517" s="22">
        <f>tblDailySchedule[[#This Row],[STD]]</f>
        <v>0.92361111111111116</v>
      </c>
    </row>
    <row r="4518" spans="1:20" hidden="1" x14ac:dyDescent="0.35">
      <c r="A4518" s="11">
        <v>46272</v>
      </c>
      <c r="B4518" s="3">
        <v>1</v>
      </c>
      <c r="C4518" t="s">
        <v>100</v>
      </c>
      <c r="D4518" t="s">
        <v>18</v>
      </c>
      <c r="E4518" s="3">
        <v>29</v>
      </c>
      <c r="F4518" t="s">
        <v>19</v>
      </c>
      <c r="G4518" t="s">
        <v>98</v>
      </c>
      <c r="H4518" t="s">
        <v>21</v>
      </c>
      <c r="I4518" s="12">
        <v>0.92013888888888884</v>
      </c>
      <c r="J4518" t="s">
        <v>99</v>
      </c>
      <c r="K4518" t="s">
        <v>21</v>
      </c>
      <c r="L4518" s="12">
        <v>0.94791666666666663</v>
      </c>
      <c r="M4518" t="s">
        <v>63</v>
      </c>
      <c r="N4518" s="3">
        <v>232</v>
      </c>
      <c r="O4518" t="s">
        <v>24</v>
      </c>
      <c r="P4518" t="s">
        <v>79</v>
      </c>
      <c r="R4518">
        <f>tblDailySchedule[[#This Row],[Capacity Approx]]*'[1]Load Factor Sheet June Acft  '!$B$5</f>
        <v>187.86727272727273</v>
      </c>
      <c r="S4518">
        <f>tblDailySchedule[[#This Row],[Capacity Approx]]*'[1]Load Factor Sheet June Acft  '!$D$5</f>
        <v>203.4218181818182</v>
      </c>
      <c r="T4518" s="22">
        <f>tblDailySchedule[[#This Row],[STD]]</f>
        <v>0.94791666666666663</v>
      </c>
    </row>
    <row r="4519" spans="1:20" hidden="1" x14ac:dyDescent="0.35">
      <c r="A4519" s="13">
        <v>46272</v>
      </c>
      <c r="B4519" s="7">
        <v>1</v>
      </c>
      <c r="C4519" s="14" t="s">
        <v>100</v>
      </c>
      <c r="D4519" s="14" t="s">
        <v>18</v>
      </c>
      <c r="E4519" s="7">
        <v>30</v>
      </c>
      <c r="F4519" s="14" t="s">
        <v>104</v>
      </c>
      <c r="G4519" s="14" t="s">
        <v>105</v>
      </c>
      <c r="H4519" s="14" t="s">
        <v>106</v>
      </c>
      <c r="I4519" s="15">
        <v>0.92708333333333337</v>
      </c>
      <c r="J4519" s="14" t="s">
        <v>107</v>
      </c>
      <c r="K4519" s="14" t="s">
        <v>106</v>
      </c>
      <c r="L4519" s="15">
        <v>0.95833333333333337</v>
      </c>
      <c r="M4519" s="14" t="s">
        <v>38</v>
      </c>
      <c r="N4519" s="7">
        <v>186</v>
      </c>
      <c r="O4519" s="14" t="s">
        <v>39</v>
      </c>
      <c r="P4519" s="14" t="s">
        <v>79</v>
      </c>
      <c r="Q4519" s="14" t="s">
        <v>39</v>
      </c>
      <c r="R4519">
        <f>tblDailySchedule[[#This Row],[Capacity Approx]]*'[1]Load Factor Sheet June Acft  '!$B$5</f>
        <v>150.61772727272728</v>
      </c>
      <c r="S4519">
        <f>tblDailySchedule[[#This Row],[Capacity Approx]]*'[1]Load Factor Sheet June Acft  '!$D$5</f>
        <v>163.08818181818182</v>
      </c>
      <c r="T4519" s="22">
        <f>tblDailySchedule[[#This Row],[STD]]</f>
        <v>0.95833333333333337</v>
      </c>
    </row>
    <row r="4520" spans="1:20" hidden="1" x14ac:dyDescent="0.35">
      <c r="A4520" s="11">
        <v>46273</v>
      </c>
      <c r="B4520" s="3">
        <v>2</v>
      </c>
      <c r="C4520" t="s">
        <v>108</v>
      </c>
      <c r="D4520" t="s">
        <v>18</v>
      </c>
      <c r="E4520" s="3">
        <v>1</v>
      </c>
      <c r="F4520" t="s">
        <v>101</v>
      </c>
      <c r="G4520" t="s">
        <v>102</v>
      </c>
      <c r="H4520" t="s">
        <v>61</v>
      </c>
      <c r="I4520" s="12">
        <v>0.3125</v>
      </c>
      <c r="J4520" t="s">
        <v>103</v>
      </c>
      <c r="K4520" t="s">
        <v>61</v>
      </c>
      <c r="L4520" s="12">
        <v>0.33333333333333331</v>
      </c>
      <c r="M4520" t="s">
        <v>33</v>
      </c>
      <c r="N4520" s="3">
        <v>189</v>
      </c>
      <c r="O4520" t="s">
        <v>24</v>
      </c>
      <c r="P4520" t="s">
        <v>25</v>
      </c>
      <c r="R4520">
        <f>tblDailySchedule[[#This Row],[Capacity Approx]]*'[1]Load Factor Sheet June Acft  '!$B$5</f>
        <v>153.04704545454547</v>
      </c>
      <c r="S4520">
        <f>tblDailySchedule[[#This Row],[Capacity Approx]]*'[1]Load Factor Sheet June Acft  '!$D$5</f>
        <v>165.71863636363636</v>
      </c>
      <c r="T4520" s="22">
        <f>tblDailySchedule[[#This Row],[STD]]</f>
        <v>0.33333333333333331</v>
      </c>
    </row>
    <row r="4521" spans="1:20" hidden="1" x14ac:dyDescent="0.35">
      <c r="A4521" s="11">
        <v>46273</v>
      </c>
      <c r="B4521" s="3">
        <v>2</v>
      </c>
      <c r="C4521" t="s">
        <v>108</v>
      </c>
      <c r="D4521" t="s">
        <v>18</v>
      </c>
      <c r="E4521" s="3">
        <v>2</v>
      </c>
      <c r="F4521" t="s">
        <v>19</v>
      </c>
      <c r="G4521" t="s">
        <v>20</v>
      </c>
      <c r="H4521" t="s">
        <v>21</v>
      </c>
      <c r="I4521" s="12">
        <v>0.31944444444444442</v>
      </c>
      <c r="J4521" t="s">
        <v>22</v>
      </c>
      <c r="K4521" t="s">
        <v>21</v>
      </c>
      <c r="L4521" s="12">
        <v>0.34722222222222221</v>
      </c>
      <c r="M4521" t="s">
        <v>23</v>
      </c>
      <c r="N4521" s="3">
        <v>186</v>
      </c>
      <c r="O4521" t="s">
        <v>24</v>
      </c>
      <c r="P4521" t="s">
        <v>25</v>
      </c>
      <c r="R4521">
        <f>tblDailySchedule[[#This Row],[Capacity Approx]]*'[1]Load Factor Sheet June Acft  '!$B$5</f>
        <v>150.61772727272728</v>
      </c>
      <c r="S4521">
        <f>tblDailySchedule[[#This Row],[Capacity Approx]]*'[1]Load Factor Sheet June Acft  '!$D$5</f>
        <v>163.08818181818182</v>
      </c>
      <c r="T4521" s="22">
        <f>tblDailySchedule[[#This Row],[STD]]</f>
        <v>0.34722222222222221</v>
      </c>
    </row>
    <row r="4522" spans="1:20" hidden="1" x14ac:dyDescent="0.35">
      <c r="A4522" s="11">
        <v>46273</v>
      </c>
      <c r="B4522" s="3">
        <v>2</v>
      </c>
      <c r="C4522" t="s">
        <v>108</v>
      </c>
      <c r="D4522" t="s">
        <v>18</v>
      </c>
      <c r="E4522" s="3">
        <v>3</v>
      </c>
      <c r="F4522" t="s">
        <v>19</v>
      </c>
      <c r="G4522" t="s">
        <v>26</v>
      </c>
      <c r="H4522" t="s">
        <v>27</v>
      </c>
      <c r="I4522" s="12">
        <v>0.3263888888888889</v>
      </c>
      <c r="J4522" t="s">
        <v>28</v>
      </c>
      <c r="K4522" t="s">
        <v>27</v>
      </c>
      <c r="L4522" s="12">
        <v>0.35416666666666669</v>
      </c>
      <c r="M4522" t="s">
        <v>29</v>
      </c>
      <c r="N4522" s="3">
        <v>186</v>
      </c>
      <c r="O4522" t="s">
        <v>24</v>
      </c>
      <c r="P4522" t="s">
        <v>25</v>
      </c>
      <c r="R4522">
        <f>tblDailySchedule[[#This Row],[Capacity Approx]]*'[1]Load Factor Sheet June Acft  '!$B$5</f>
        <v>150.61772727272728</v>
      </c>
      <c r="S4522">
        <f>tblDailySchedule[[#This Row],[Capacity Approx]]*'[1]Load Factor Sheet June Acft  '!$D$5</f>
        <v>163.08818181818182</v>
      </c>
      <c r="T4522" s="22">
        <f>tblDailySchedule[[#This Row],[STD]]</f>
        <v>0.35416666666666669</v>
      </c>
    </row>
    <row r="4523" spans="1:20" hidden="1" x14ac:dyDescent="0.35">
      <c r="A4523" s="11">
        <v>46273</v>
      </c>
      <c r="B4523" s="3">
        <v>2</v>
      </c>
      <c r="C4523" t="s">
        <v>108</v>
      </c>
      <c r="D4523" t="s">
        <v>18</v>
      </c>
      <c r="E4523" s="3">
        <v>4</v>
      </c>
      <c r="F4523" t="s">
        <v>19</v>
      </c>
      <c r="G4523" t="s">
        <v>30</v>
      </c>
      <c r="H4523" t="s">
        <v>31</v>
      </c>
      <c r="I4523" s="12">
        <v>0.34722222222222221</v>
      </c>
      <c r="J4523" t="s">
        <v>32</v>
      </c>
      <c r="K4523" t="s">
        <v>31</v>
      </c>
      <c r="L4523" s="12">
        <v>0.36805555555555558</v>
      </c>
      <c r="M4523" t="s">
        <v>33</v>
      </c>
      <c r="N4523" s="3">
        <v>189</v>
      </c>
      <c r="O4523" t="s">
        <v>24</v>
      </c>
      <c r="P4523" t="s">
        <v>25</v>
      </c>
      <c r="R4523">
        <f>tblDailySchedule[[#This Row],[Capacity Approx]]*'[1]Load Factor Sheet June Acft  '!$B$5</f>
        <v>153.04704545454547</v>
      </c>
      <c r="S4523">
        <f>tblDailySchedule[[#This Row],[Capacity Approx]]*'[1]Load Factor Sheet June Acft  '!$D$5</f>
        <v>165.71863636363636</v>
      </c>
      <c r="T4523" s="22">
        <f>tblDailySchedule[[#This Row],[STD]]</f>
        <v>0.36805555555555558</v>
      </c>
    </row>
    <row r="4524" spans="1:20" hidden="1" x14ac:dyDescent="0.35">
      <c r="A4524" s="11">
        <v>46273</v>
      </c>
      <c r="B4524" s="3">
        <v>2</v>
      </c>
      <c r="C4524" t="s">
        <v>108</v>
      </c>
      <c r="D4524" t="s">
        <v>18</v>
      </c>
      <c r="E4524" s="3">
        <v>5</v>
      </c>
      <c r="F4524" t="s">
        <v>19</v>
      </c>
      <c r="G4524" t="s">
        <v>40</v>
      </c>
      <c r="H4524" t="s">
        <v>31</v>
      </c>
      <c r="I4524" s="12">
        <v>0.35069444444444442</v>
      </c>
      <c r="J4524" t="s">
        <v>41</v>
      </c>
      <c r="K4524" t="s">
        <v>31</v>
      </c>
      <c r="L4524" s="12">
        <v>0.37152777777777779</v>
      </c>
      <c r="M4524" t="s">
        <v>23</v>
      </c>
      <c r="N4524" s="3">
        <v>186</v>
      </c>
      <c r="O4524" t="s">
        <v>24</v>
      </c>
      <c r="P4524" t="s">
        <v>25</v>
      </c>
      <c r="R4524">
        <f>tblDailySchedule[[#This Row],[Capacity Approx]]*'[1]Load Factor Sheet June Acft  '!$B$5</f>
        <v>150.61772727272728</v>
      </c>
      <c r="S4524">
        <f>tblDailySchedule[[#This Row],[Capacity Approx]]*'[1]Load Factor Sheet June Acft  '!$D$5</f>
        <v>163.08818181818182</v>
      </c>
      <c r="T4524" s="22">
        <f>tblDailySchedule[[#This Row],[STD]]</f>
        <v>0.37152777777777779</v>
      </c>
    </row>
    <row r="4525" spans="1:20" hidden="1" x14ac:dyDescent="0.35">
      <c r="A4525" s="11">
        <v>46273</v>
      </c>
      <c r="B4525" s="3">
        <v>2</v>
      </c>
      <c r="C4525" t="s">
        <v>108</v>
      </c>
      <c r="D4525" t="s">
        <v>18</v>
      </c>
      <c r="E4525" s="3">
        <v>7</v>
      </c>
      <c r="F4525" t="s">
        <v>19</v>
      </c>
      <c r="G4525" t="s">
        <v>42</v>
      </c>
      <c r="H4525" t="s">
        <v>43</v>
      </c>
      <c r="I4525" s="12">
        <v>0.3923611111111111</v>
      </c>
      <c r="J4525" t="s">
        <v>44</v>
      </c>
      <c r="K4525" t="s">
        <v>43</v>
      </c>
      <c r="L4525" s="12">
        <v>0.40277777777777779</v>
      </c>
      <c r="M4525" t="s">
        <v>45</v>
      </c>
      <c r="N4525" s="3">
        <v>9</v>
      </c>
      <c r="O4525" t="s">
        <v>24</v>
      </c>
      <c r="P4525" t="s">
        <v>25</v>
      </c>
      <c r="R4525">
        <f>tblDailySchedule[[#This Row],[Capacity Approx]]*'[1]Load Factor Sheet June Acft  '!$B$5</f>
        <v>7.2879545454545456</v>
      </c>
      <c r="S4525">
        <f>tblDailySchedule[[#This Row],[Capacity Approx]]*'[1]Load Factor Sheet June Acft  '!$D$5</f>
        <v>7.8913636363636366</v>
      </c>
      <c r="T4525" s="22">
        <f>tblDailySchedule[[#This Row],[STD]]</f>
        <v>0.40277777777777779</v>
      </c>
    </row>
    <row r="4526" spans="1:20" hidden="1" x14ac:dyDescent="0.35">
      <c r="A4526" s="11">
        <v>46273</v>
      </c>
      <c r="B4526" s="3">
        <v>2</v>
      </c>
      <c r="C4526" t="s">
        <v>108</v>
      </c>
      <c r="D4526" t="s">
        <v>18</v>
      </c>
      <c r="E4526" s="3">
        <v>8</v>
      </c>
      <c r="F4526" t="s">
        <v>19</v>
      </c>
      <c r="G4526" t="s">
        <v>46</v>
      </c>
      <c r="H4526" t="s">
        <v>31</v>
      </c>
      <c r="I4526" s="12">
        <v>0.4201388888888889</v>
      </c>
      <c r="J4526" t="s">
        <v>47</v>
      </c>
      <c r="K4526" t="s">
        <v>31</v>
      </c>
      <c r="L4526" s="12">
        <v>0.44444444444444442</v>
      </c>
      <c r="M4526" t="s">
        <v>29</v>
      </c>
      <c r="N4526" s="3">
        <v>186</v>
      </c>
      <c r="O4526" t="s">
        <v>24</v>
      </c>
      <c r="P4526" t="s">
        <v>25</v>
      </c>
      <c r="R4526">
        <f>tblDailySchedule[[#This Row],[Capacity Approx]]*'[1]Load Factor Sheet June Acft  '!$B$5</f>
        <v>150.61772727272728</v>
      </c>
      <c r="S4526">
        <f>tblDailySchedule[[#This Row],[Capacity Approx]]*'[1]Load Factor Sheet June Acft  '!$D$5</f>
        <v>163.08818181818182</v>
      </c>
      <c r="T4526" s="22">
        <f>tblDailySchedule[[#This Row],[STD]]</f>
        <v>0.44444444444444442</v>
      </c>
    </row>
    <row r="4527" spans="1:20" hidden="1" x14ac:dyDescent="0.35">
      <c r="A4527" s="11">
        <v>46273</v>
      </c>
      <c r="B4527" s="3">
        <v>2</v>
      </c>
      <c r="C4527" t="s">
        <v>108</v>
      </c>
      <c r="D4527" t="s">
        <v>18</v>
      </c>
      <c r="E4527" s="3">
        <v>9</v>
      </c>
      <c r="F4527" t="s">
        <v>19</v>
      </c>
      <c r="G4527" t="s">
        <v>48</v>
      </c>
      <c r="H4527" t="s">
        <v>49</v>
      </c>
      <c r="I4527" s="12">
        <v>0.4375</v>
      </c>
      <c r="J4527" t="s">
        <v>50</v>
      </c>
      <c r="K4527" t="s">
        <v>49</v>
      </c>
      <c r="L4527" s="12">
        <v>0.45833333333333331</v>
      </c>
      <c r="M4527" t="s">
        <v>51</v>
      </c>
      <c r="N4527" s="3">
        <v>78</v>
      </c>
      <c r="O4527" t="s">
        <v>24</v>
      </c>
      <c r="P4527" t="s">
        <v>25</v>
      </c>
      <c r="R4527">
        <f>tblDailySchedule[[#This Row],[Capacity Approx]]*'[1]Load Factor Sheet June Acft  '!$B$5</f>
        <v>63.162272727272729</v>
      </c>
      <c r="S4527">
        <f>tblDailySchedule[[#This Row],[Capacity Approx]]*'[1]Load Factor Sheet June Acft  '!$D$5</f>
        <v>68.391818181818181</v>
      </c>
      <c r="T4527" s="22">
        <f>tblDailySchedule[[#This Row],[STD]]</f>
        <v>0.45833333333333331</v>
      </c>
    </row>
    <row r="4528" spans="1:20" hidden="1" x14ac:dyDescent="0.35">
      <c r="A4528" s="11">
        <v>46273</v>
      </c>
      <c r="B4528" s="3">
        <v>2</v>
      </c>
      <c r="C4528" t="s">
        <v>108</v>
      </c>
      <c r="D4528" t="s">
        <v>18</v>
      </c>
      <c r="E4528" s="3">
        <v>10</v>
      </c>
      <c r="F4528" t="s">
        <v>19</v>
      </c>
      <c r="G4528" t="s">
        <v>52</v>
      </c>
      <c r="H4528" t="s">
        <v>27</v>
      </c>
      <c r="I4528" s="12">
        <v>0.4826388888888889</v>
      </c>
      <c r="J4528" t="s">
        <v>53</v>
      </c>
      <c r="K4528" t="s">
        <v>27</v>
      </c>
      <c r="L4528" s="12">
        <v>0.51041666666666663</v>
      </c>
      <c r="M4528" t="s">
        <v>23</v>
      </c>
      <c r="N4528" s="3">
        <v>186</v>
      </c>
      <c r="O4528" t="s">
        <v>24</v>
      </c>
      <c r="P4528" t="s">
        <v>25</v>
      </c>
      <c r="R4528">
        <f>tblDailySchedule[[#This Row],[Capacity Approx]]*'[1]Load Factor Sheet June Acft  '!$B$5</f>
        <v>150.61772727272728</v>
      </c>
      <c r="S4528">
        <f>tblDailySchedule[[#This Row],[Capacity Approx]]*'[1]Load Factor Sheet June Acft  '!$D$5</f>
        <v>163.08818181818182</v>
      </c>
      <c r="T4528" s="22">
        <f>tblDailySchedule[[#This Row],[STD]]</f>
        <v>0.51041666666666663</v>
      </c>
    </row>
    <row r="4529" spans="1:20" hidden="1" x14ac:dyDescent="0.35">
      <c r="A4529" s="11">
        <v>46273</v>
      </c>
      <c r="B4529" s="3">
        <v>2</v>
      </c>
      <c r="C4529" t="s">
        <v>108</v>
      </c>
      <c r="D4529" t="s">
        <v>18</v>
      </c>
      <c r="E4529" s="3">
        <v>11</v>
      </c>
      <c r="F4529" t="s">
        <v>19</v>
      </c>
      <c r="G4529" t="s">
        <v>54</v>
      </c>
      <c r="H4529" t="s">
        <v>31</v>
      </c>
      <c r="I4529" s="12">
        <v>0.51388888888888884</v>
      </c>
      <c r="J4529" t="s">
        <v>55</v>
      </c>
      <c r="K4529" t="s">
        <v>31</v>
      </c>
      <c r="L4529" s="12">
        <v>0.54166666666666663</v>
      </c>
      <c r="M4529" t="s">
        <v>23</v>
      </c>
      <c r="N4529" s="3">
        <v>186</v>
      </c>
      <c r="O4529" t="s">
        <v>24</v>
      </c>
      <c r="P4529" t="s">
        <v>56</v>
      </c>
      <c r="R4529">
        <f>tblDailySchedule[[#This Row],[Capacity Approx]]*'[1]Load Factor Sheet June Acft  '!$B$5</f>
        <v>150.61772727272728</v>
      </c>
      <c r="S4529">
        <f>tblDailySchedule[[#This Row],[Capacity Approx]]*'[1]Load Factor Sheet June Acft  '!$D$5</f>
        <v>163.08818181818182</v>
      </c>
      <c r="T4529" s="22">
        <f>tblDailySchedule[[#This Row],[STD]]</f>
        <v>0.54166666666666663</v>
      </c>
    </row>
    <row r="4530" spans="1:20" hidden="1" x14ac:dyDescent="0.35">
      <c r="A4530" s="11">
        <v>46273</v>
      </c>
      <c r="B4530" s="3">
        <v>2</v>
      </c>
      <c r="C4530" t="s">
        <v>108</v>
      </c>
      <c r="D4530" t="s">
        <v>18</v>
      </c>
      <c r="E4530" s="3">
        <v>12</v>
      </c>
      <c r="F4530" t="s">
        <v>109</v>
      </c>
      <c r="G4530" t="s">
        <v>110</v>
      </c>
      <c r="H4530" t="s">
        <v>111</v>
      </c>
      <c r="I4530" s="12">
        <v>0.55555555555555558</v>
      </c>
      <c r="J4530" t="s">
        <v>112</v>
      </c>
      <c r="K4530" t="s">
        <v>111</v>
      </c>
      <c r="L4530" s="12">
        <v>0.56944444444444442</v>
      </c>
      <c r="M4530" t="s">
        <v>51</v>
      </c>
      <c r="N4530" s="3">
        <v>78</v>
      </c>
      <c r="O4530" t="s">
        <v>24</v>
      </c>
      <c r="P4530" t="s">
        <v>56</v>
      </c>
      <c r="R4530">
        <f>tblDailySchedule[[#This Row],[Capacity Approx]]*'[1]Load Factor Sheet June Acft  '!$B$5</f>
        <v>63.162272727272729</v>
      </c>
      <c r="S4530">
        <f>tblDailySchedule[[#This Row],[Capacity Approx]]*'[1]Load Factor Sheet June Acft  '!$D$5</f>
        <v>68.391818181818181</v>
      </c>
      <c r="T4530" s="22">
        <f>tblDailySchedule[[#This Row],[STD]]</f>
        <v>0.56944444444444442</v>
      </c>
    </row>
    <row r="4531" spans="1:20" hidden="1" x14ac:dyDescent="0.35">
      <c r="A4531" s="11">
        <v>46273</v>
      </c>
      <c r="B4531" s="3">
        <v>2</v>
      </c>
      <c r="C4531" t="s">
        <v>108</v>
      </c>
      <c r="D4531" t="s">
        <v>18</v>
      </c>
      <c r="E4531" s="3">
        <v>13</v>
      </c>
      <c r="F4531" t="s">
        <v>19</v>
      </c>
      <c r="G4531" t="s">
        <v>57</v>
      </c>
      <c r="H4531" t="s">
        <v>58</v>
      </c>
      <c r="I4531" s="12">
        <v>0.55902777777777779</v>
      </c>
      <c r="J4531" t="s">
        <v>59</v>
      </c>
      <c r="K4531" t="s">
        <v>58</v>
      </c>
      <c r="L4531" s="12">
        <v>0.57638888888888884</v>
      </c>
      <c r="M4531" t="s">
        <v>51</v>
      </c>
      <c r="N4531" s="3">
        <v>78</v>
      </c>
      <c r="O4531" t="s">
        <v>24</v>
      </c>
      <c r="P4531" t="s">
        <v>56</v>
      </c>
      <c r="R4531">
        <f>tblDailySchedule[[#This Row],[Capacity Approx]]*'[1]Load Factor Sheet June Acft  '!$B$5</f>
        <v>63.162272727272729</v>
      </c>
      <c r="S4531">
        <f>tblDailySchedule[[#This Row],[Capacity Approx]]*'[1]Load Factor Sheet June Acft  '!$D$5</f>
        <v>68.391818181818181</v>
      </c>
      <c r="T4531" s="22">
        <f>tblDailySchedule[[#This Row],[STD]]</f>
        <v>0.57638888888888884</v>
      </c>
    </row>
    <row r="4532" spans="1:20" hidden="1" x14ac:dyDescent="0.35">
      <c r="A4532" s="11">
        <v>46273</v>
      </c>
      <c r="B4532" s="3">
        <v>2</v>
      </c>
      <c r="C4532" t="s">
        <v>108</v>
      </c>
      <c r="D4532" t="s">
        <v>18</v>
      </c>
      <c r="E4532" s="3">
        <v>14</v>
      </c>
      <c r="F4532" t="s">
        <v>19</v>
      </c>
      <c r="G4532" t="s">
        <v>60</v>
      </c>
      <c r="H4532" t="s">
        <v>61</v>
      </c>
      <c r="I4532" s="12">
        <v>0.59027777777777779</v>
      </c>
      <c r="J4532" t="s">
        <v>62</v>
      </c>
      <c r="K4532" t="s">
        <v>61</v>
      </c>
      <c r="L4532" s="12">
        <v>0.62152777777777779</v>
      </c>
      <c r="M4532" t="s">
        <v>63</v>
      </c>
      <c r="N4532" s="3">
        <v>232</v>
      </c>
      <c r="O4532" t="s">
        <v>24</v>
      </c>
      <c r="P4532" t="s">
        <v>56</v>
      </c>
      <c r="R4532">
        <f>tblDailySchedule[[#This Row],[Capacity Approx]]*'[1]Load Factor Sheet June Acft  '!$B$5</f>
        <v>187.86727272727273</v>
      </c>
      <c r="S4532">
        <f>tblDailySchedule[[#This Row],[Capacity Approx]]*'[1]Load Factor Sheet June Acft  '!$D$5</f>
        <v>203.4218181818182</v>
      </c>
      <c r="T4532" s="22">
        <f>tblDailySchedule[[#This Row],[STD]]</f>
        <v>0.62152777777777779</v>
      </c>
    </row>
    <row r="4533" spans="1:20" hidden="1" x14ac:dyDescent="0.35">
      <c r="A4533" s="11">
        <v>46273</v>
      </c>
      <c r="B4533" s="3">
        <v>2</v>
      </c>
      <c r="C4533" t="s">
        <v>108</v>
      </c>
      <c r="D4533" t="s">
        <v>18</v>
      </c>
      <c r="E4533" s="3">
        <v>15</v>
      </c>
      <c r="F4533" t="s">
        <v>19</v>
      </c>
      <c r="G4533" t="s">
        <v>64</v>
      </c>
      <c r="H4533" t="s">
        <v>31</v>
      </c>
      <c r="I4533" s="12">
        <v>0.60069444444444442</v>
      </c>
      <c r="J4533" t="s">
        <v>65</v>
      </c>
      <c r="K4533" t="s">
        <v>66</v>
      </c>
      <c r="L4533" s="12">
        <v>0.62847222222222221</v>
      </c>
      <c r="M4533" t="s">
        <v>63</v>
      </c>
      <c r="N4533" s="3">
        <v>232</v>
      </c>
      <c r="O4533" t="s">
        <v>24</v>
      </c>
      <c r="P4533" t="s">
        <v>56</v>
      </c>
      <c r="R4533">
        <f>tblDailySchedule[[#This Row],[Capacity Approx]]*'[1]Load Factor Sheet June Acft  '!$B$5</f>
        <v>187.86727272727273</v>
      </c>
      <c r="S4533">
        <f>tblDailySchedule[[#This Row],[Capacity Approx]]*'[1]Load Factor Sheet June Acft  '!$D$5</f>
        <v>203.4218181818182</v>
      </c>
      <c r="T4533" s="22">
        <f>tblDailySchedule[[#This Row],[STD]]</f>
        <v>0.62847222222222221</v>
      </c>
    </row>
    <row r="4534" spans="1:20" hidden="1" x14ac:dyDescent="0.35">
      <c r="A4534" s="11">
        <v>46273</v>
      </c>
      <c r="B4534" s="3">
        <v>2</v>
      </c>
      <c r="C4534" t="s">
        <v>108</v>
      </c>
      <c r="D4534" t="s">
        <v>18</v>
      </c>
      <c r="E4534" s="3">
        <v>16</v>
      </c>
      <c r="F4534" t="s">
        <v>19</v>
      </c>
      <c r="G4534" t="s">
        <v>67</v>
      </c>
      <c r="H4534" t="s">
        <v>31</v>
      </c>
      <c r="I4534" s="12">
        <v>0.65625</v>
      </c>
      <c r="J4534" t="s">
        <v>68</v>
      </c>
      <c r="K4534" t="s">
        <v>31</v>
      </c>
      <c r="L4534" s="12">
        <v>0.68402777777777779</v>
      </c>
      <c r="M4534" t="s">
        <v>63</v>
      </c>
      <c r="N4534" s="3">
        <v>232</v>
      </c>
      <c r="O4534" t="s">
        <v>24</v>
      </c>
      <c r="P4534" t="s">
        <v>56</v>
      </c>
      <c r="R4534">
        <f>tblDailySchedule[[#This Row],[Capacity Approx]]*'[1]Load Factor Sheet June Acft  '!$B$5</f>
        <v>187.86727272727273</v>
      </c>
      <c r="S4534">
        <f>tblDailySchedule[[#This Row],[Capacity Approx]]*'[1]Load Factor Sheet June Acft  '!$D$5</f>
        <v>203.4218181818182</v>
      </c>
      <c r="T4534" s="22">
        <f>tblDailySchedule[[#This Row],[STD]]</f>
        <v>0.68402777777777779</v>
      </c>
    </row>
    <row r="4535" spans="1:20" hidden="1" x14ac:dyDescent="0.35">
      <c r="A4535" s="11">
        <v>46273</v>
      </c>
      <c r="B4535" s="3">
        <v>2</v>
      </c>
      <c r="C4535" t="s">
        <v>108</v>
      </c>
      <c r="D4535" t="s">
        <v>18</v>
      </c>
      <c r="E4535" s="3">
        <v>17</v>
      </c>
      <c r="F4535" t="s">
        <v>19</v>
      </c>
      <c r="G4535" t="s">
        <v>69</v>
      </c>
      <c r="H4535" t="s">
        <v>31</v>
      </c>
      <c r="I4535" s="12">
        <v>0.66319444444444442</v>
      </c>
      <c r="J4535" t="s">
        <v>70</v>
      </c>
      <c r="K4535" t="s">
        <v>31</v>
      </c>
      <c r="L4535" s="12">
        <v>0.69097222222222221</v>
      </c>
      <c r="M4535" t="s">
        <v>33</v>
      </c>
      <c r="N4535" s="3">
        <v>189</v>
      </c>
      <c r="O4535" t="s">
        <v>24</v>
      </c>
      <c r="P4535" t="s">
        <v>56</v>
      </c>
      <c r="R4535">
        <f>tblDailySchedule[[#This Row],[Capacity Approx]]*'[1]Load Factor Sheet June Acft  '!$B$5</f>
        <v>153.04704545454547</v>
      </c>
      <c r="S4535">
        <f>tblDailySchedule[[#This Row],[Capacity Approx]]*'[1]Load Factor Sheet June Acft  '!$D$5</f>
        <v>165.71863636363636</v>
      </c>
      <c r="T4535" s="22">
        <f>tblDailySchedule[[#This Row],[STD]]</f>
        <v>0.69097222222222221</v>
      </c>
    </row>
    <row r="4536" spans="1:20" hidden="1" x14ac:dyDescent="0.35">
      <c r="A4536" s="11">
        <v>46273</v>
      </c>
      <c r="B4536" s="3">
        <v>2</v>
      </c>
      <c r="C4536" t="s">
        <v>108</v>
      </c>
      <c r="D4536" t="s">
        <v>18</v>
      </c>
      <c r="E4536" s="3">
        <v>18</v>
      </c>
      <c r="F4536" t="s">
        <v>19</v>
      </c>
      <c r="G4536" t="s">
        <v>71</v>
      </c>
      <c r="H4536" t="s">
        <v>21</v>
      </c>
      <c r="I4536" s="12">
        <v>0.67013888888888884</v>
      </c>
      <c r="J4536" t="s">
        <v>72</v>
      </c>
      <c r="K4536" t="s">
        <v>21</v>
      </c>
      <c r="L4536" s="12">
        <v>0.69791666666666663</v>
      </c>
      <c r="M4536" t="s">
        <v>63</v>
      </c>
      <c r="N4536" s="3">
        <v>232</v>
      </c>
      <c r="O4536" t="s">
        <v>24</v>
      </c>
      <c r="P4536" t="s">
        <v>56</v>
      </c>
      <c r="R4536">
        <f>tblDailySchedule[[#This Row],[Capacity Approx]]*'[1]Load Factor Sheet June Acft  '!$B$5</f>
        <v>187.86727272727273</v>
      </c>
      <c r="S4536">
        <f>tblDailySchedule[[#This Row],[Capacity Approx]]*'[1]Load Factor Sheet June Acft  '!$D$5</f>
        <v>203.4218181818182</v>
      </c>
      <c r="T4536" s="22">
        <f>tblDailySchedule[[#This Row],[STD]]</f>
        <v>0.69791666666666663</v>
      </c>
    </row>
    <row r="4537" spans="1:20" hidden="1" x14ac:dyDescent="0.35">
      <c r="A4537" s="11">
        <v>46273</v>
      </c>
      <c r="B4537" s="3">
        <v>2</v>
      </c>
      <c r="C4537" t="s">
        <v>108</v>
      </c>
      <c r="D4537" t="s">
        <v>18</v>
      </c>
      <c r="E4537" s="3">
        <v>19</v>
      </c>
      <c r="F4537" t="s">
        <v>19</v>
      </c>
      <c r="G4537" t="s">
        <v>73</v>
      </c>
      <c r="H4537" t="s">
        <v>27</v>
      </c>
      <c r="I4537" s="12">
        <v>0.74652777777777779</v>
      </c>
      <c r="J4537" t="s">
        <v>74</v>
      </c>
      <c r="K4537" t="s">
        <v>27</v>
      </c>
      <c r="L4537" s="12">
        <v>0.77430555555555558</v>
      </c>
      <c r="M4537" t="s">
        <v>63</v>
      </c>
      <c r="N4537" s="3">
        <v>232</v>
      </c>
      <c r="O4537" t="s">
        <v>24</v>
      </c>
      <c r="P4537" t="s">
        <v>56</v>
      </c>
      <c r="R4537">
        <f>tblDailySchedule[[#This Row],[Capacity Approx]]*'[1]Load Factor Sheet June Acft  '!$B$5</f>
        <v>187.86727272727273</v>
      </c>
      <c r="S4537">
        <f>tblDailySchedule[[#This Row],[Capacity Approx]]*'[1]Load Factor Sheet June Acft  '!$D$5</f>
        <v>203.4218181818182</v>
      </c>
      <c r="T4537" s="22">
        <f>tblDailySchedule[[#This Row],[STD]]</f>
        <v>0.77430555555555558</v>
      </c>
    </row>
    <row r="4538" spans="1:20" hidden="1" x14ac:dyDescent="0.35">
      <c r="A4538" s="11">
        <v>46273</v>
      </c>
      <c r="B4538" s="3">
        <v>2</v>
      </c>
      <c r="C4538" t="s">
        <v>108</v>
      </c>
      <c r="D4538" t="s">
        <v>18</v>
      </c>
      <c r="E4538" s="3">
        <v>21</v>
      </c>
      <c r="F4538" t="s">
        <v>19</v>
      </c>
      <c r="G4538" t="s">
        <v>81</v>
      </c>
      <c r="H4538" t="s">
        <v>61</v>
      </c>
      <c r="I4538" s="12">
        <v>0.77083333333333337</v>
      </c>
      <c r="J4538" t="s">
        <v>82</v>
      </c>
      <c r="K4538" t="s">
        <v>49</v>
      </c>
      <c r="L4538" s="12">
        <v>0.79166666666666663</v>
      </c>
      <c r="M4538" t="s">
        <v>33</v>
      </c>
      <c r="N4538" s="3">
        <v>189</v>
      </c>
      <c r="O4538" t="s">
        <v>24</v>
      </c>
      <c r="P4538" t="s">
        <v>79</v>
      </c>
      <c r="R4538">
        <f>tblDailySchedule[[#This Row],[Capacity Approx]]*'[1]Load Factor Sheet June Acft  '!$B$5</f>
        <v>153.04704545454547</v>
      </c>
      <c r="S4538">
        <f>tblDailySchedule[[#This Row],[Capacity Approx]]*'[1]Load Factor Sheet June Acft  '!$D$5</f>
        <v>165.71863636363636</v>
      </c>
      <c r="T4538" s="22">
        <f>tblDailySchedule[[#This Row],[STD]]</f>
        <v>0.79166666666666663</v>
      </c>
    </row>
    <row r="4539" spans="1:20" hidden="1" x14ac:dyDescent="0.35">
      <c r="A4539" s="11">
        <v>46273</v>
      </c>
      <c r="B4539" s="3">
        <v>2</v>
      </c>
      <c r="C4539" t="s">
        <v>108</v>
      </c>
      <c r="D4539" t="s">
        <v>18</v>
      </c>
      <c r="E4539" s="3">
        <v>22</v>
      </c>
      <c r="F4539" t="s">
        <v>19</v>
      </c>
      <c r="G4539" t="s">
        <v>83</v>
      </c>
      <c r="H4539" t="s">
        <v>31</v>
      </c>
      <c r="I4539" s="12">
        <v>0.77777777777777779</v>
      </c>
      <c r="J4539" t="s">
        <v>84</v>
      </c>
      <c r="K4539" t="s">
        <v>31</v>
      </c>
      <c r="L4539" s="12">
        <v>0.80555555555555558</v>
      </c>
      <c r="M4539" t="s">
        <v>63</v>
      </c>
      <c r="N4539" s="3">
        <v>232</v>
      </c>
      <c r="O4539" t="s">
        <v>24</v>
      </c>
      <c r="P4539" t="s">
        <v>79</v>
      </c>
      <c r="R4539">
        <f>tblDailySchedule[[#This Row],[Capacity Approx]]*'[1]Load Factor Sheet June Acft  '!$B$5</f>
        <v>187.86727272727273</v>
      </c>
      <c r="S4539">
        <f>tblDailySchedule[[#This Row],[Capacity Approx]]*'[1]Load Factor Sheet June Acft  '!$D$5</f>
        <v>203.4218181818182</v>
      </c>
      <c r="T4539" s="22">
        <f>tblDailySchedule[[#This Row],[STD]]</f>
        <v>0.80555555555555558</v>
      </c>
    </row>
    <row r="4540" spans="1:20" hidden="1" x14ac:dyDescent="0.35">
      <c r="A4540" s="11">
        <v>46273</v>
      </c>
      <c r="B4540" s="3">
        <v>2</v>
      </c>
      <c r="C4540" t="s">
        <v>108</v>
      </c>
      <c r="D4540" t="s">
        <v>18</v>
      </c>
      <c r="E4540" s="3">
        <v>23</v>
      </c>
      <c r="F4540" t="s">
        <v>19</v>
      </c>
      <c r="G4540" t="s">
        <v>85</v>
      </c>
      <c r="H4540" t="s">
        <v>86</v>
      </c>
      <c r="I4540" s="12">
        <v>0.79861111111111116</v>
      </c>
      <c r="J4540" t="s">
        <v>87</v>
      </c>
      <c r="K4540" t="s">
        <v>86</v>
      </c>
      <c r="L4540" s="12">
        <v>0.82638888888888884</v>
      </c>
      <c r="M4540" t="s">
        <v>63</v>
      </c>
      <c r="N4540" s="3">
        <v>232</v>
      </c>
      <c r="O4540" t="s">
        <v>24</v>
      </c>
      <c r="P4540" t="s">
        <v>79</v>
      </c>
      <c r="R4540">
        <f>tblDailySchedule[[#This Row],[Capacity Approx]]*'[1]Load Factor Sheet June Acft  '!$B$5</f>
        <v>187.86727272727273</v>
      </c>
      <c r="S4540">
        <f>tblDailySchedule[[#This Row],[Capacity Approx]]*'[1]Load Factor Sheet June Acft  '!$D$5</f>
        <v>203.4218181818182</v>
      </c>
      <c r="T4540" s="22">
        <f>tblDailySchedule[[#This Row],[STD]]</f>
        <v>0.82638888888888884</v>
      </c>
    </row>
    <row r="4541" spans="1:20" hidden="1" x14ac:dyDescent="0.35">
      <c r="A4541" s="11">
        <v>46273</v>
      </c>
      <c r="B4541" s="3">
        <v>2</v>
      </c>
      <c r="C4541" t="s">
        <v>108</v>
      </c>
      <c r="D4541" t="s">
        <v>18</v>
      </c>
      <c r="E4541" s="3">
        <v>24</v>
      </c>
      <c r="F4541" t="s">
        <v>19</v>
      </c>
      <c r="G4541" t="s">
        <v>88</v>
      </c>
      <c r="H4541" t="s">
        <v>89</v>
      </c>
      <c r="I4541" s="12">
        <v>0.83333333333333337</v>
      </c>
      <c r="J4541" t="s">
        <v>90</v>
      </c>
      <c r="K4541" t="s">
        <v>31</v>
      </c>
      <c r="L4541" s="12">
        <v>0.86111111111111116</v>
      </c>
      <c r="M4541" t="s">
        <v>63</v>
      </c>
      <c r="N4541" s="3">
        <v>232</v>
      </c>
      <c r="O4541" t="s">
        <v>24</v>
      </c>
      <c r="P4541" t="s">
        <v>79</v>
      </c>
      <c r="R4541">
        <f>tblDailySchedule[[#This Row],[Capacity Approx]]*'[1]Load Factor Sheet June Acft  '!$B$5</f>
        <v>187.86727272727273</v>
      </c>
      <c r="S4541">
        <f>tblDailySchedule[[#This Row],[Capacity Approx]]*'[1]Load Factor Sheet June Acft  '!$D$5</f>
        <v>203.4218181818182</v>
      </c>
      <c r="T4541" s="22">
        <f>tblDailySchedule[[#This Row],[STD]]</f>
        <v>0.86111111111111116</v>
      </c>
    </row>
    <row r="4542" spans="1:20" hidden="1" x14ac:dyDescent="0.35">
      <c r="A4542" s="11">
        <v>46273</v>
      </c>
      <c r="B4542" s="3">
        <v>2</v>
      </c>
      <c r="C4542" t="s">
        <v>108</v>
      </c>
      <c r="D4542" t="s">
        <v>18</v>
      </c>
      <c r="E4542" s="3">
        <v>25</v>
      </c>
      <c r="F4542" t="s">
        <v>19</v>
      </c>
      <c r="G4542" t="s">
        <v>91</v>
      </c>
      <c r="H4542" t="s">
        <v>61</v>
      </c>
      <c r="I4542" s="12">
        <v>0.85416666666666663</v>
      </c>
      <c r="J4542" t="s">
        <v>92</v>
      </c>
      <c r="K4542" t="s">
        <v>61</v>
      </c>
      <c r="L4542" s="12">
        <v>0.88194444444444442</v>
      </c>
      <c r="M4542" t="s">
        <v>63</v>
      </c>
      <c r="N4542" s="3">
        <v>232</v>
      </c>
      <c r="O4542" t="s">
        <v>24</v>
      </c>
      <c r="P4542" t="s">
        <v>79</v>
      </c>
      <c r="R4542">
        <f>tblDailySchedule[[#This Row],[Capacity Approx]]*'[1]Load Factor Sheet June Acft  '!$B$5</f>
        <v>187.86727272727273</v>
      </c>
      <c r="S4542">
        <f>tblDailySchedule[[#This Row],[Capacity Approx]]*'[1]Load Factor Sheet June Acft  '!$D$5</f>
        <v>203.4218181818182</v>
      </c>
      <c r="T4542" s="22">
        <f>tblDailySchedule[[#This Row],[STD]]</f>
        <v>0.88194444444444442</v>
      </c>
    </row>
    <row r="4543" spans="1:20" hidden="1" x14ac:dyDescent="0.35">
      <c r="A4543" s="11">
        <v>46273</v>
      </c>
      <c r="B4543" s="3">
        <v>2</v>
      </c>
      <c r="C4543" t="s">
        <v>108</v>
      </c>
      <c r="D4543" t="s">
        <v>18</v>
      </c>
      <c r="E4543" s="3">
        <v>26</v>
      </c>
      <c r="F4543" t="s">
        <v>19</v>
      </c>
      <c r="G4543" t="s">
        <v>93</v>
      </c>
      <c r="H4543" t="s">
        <v>31</v>
      </c>
      <c r="I4543" s="12">
        <v>0.86111111111111116</v>
      </c>
      <c r="J4543" t="s">
        <v>94</v>
      </c>
      <c r="K4543" t="s">
        <v>31</v>
      </c>
      <c r="L4543" s="12">
        <v>0.88888888888888884</v>
      </c>
      <c r="M4543" t="s">
        <v>23</v>
      </c>
      <c r="N4543" s="3">
        <v>186</v>
      </c>
      <c r="O4543" t="s">
        <v>24</v>
      </c>
      <c r="P4543" t="s">
        <v>79</v>
      </c>
      <c r="R4543">
        <f>tblDailySchedule[[#This Row],[Capacity Approx]]*'[1]Load Factor Sheet June Acft  '!$B$5</f>
        <v>150.61772727272728</v>
      </c>
      <c r="S4543">
        <f>tblDailySchedule[[#This Row],[Capacity Approx]]*'[1]Load Factor Sheet June Acft  '!$D$5</f>
        <v>163.08818181818182</v>
      </c>
      <c r="T4543" s="22">
        <f>tblDailySchedule[[#This Row],[STD]]</f>
        <v>0.88888888888888884</v>
      </c>
    </row>
    <row r="4544" spans="1:20" hidden="1" x14ac:dyDescent="0.35">
      <c r="A4544" s="11">
        <v>46273</v>
      </c>
      <c r="B4544" s="3">
        <v>2</v>
      </c>
      <c r="C4544" t="s">
        <v>108</v>
      </c>
      <c r="D4544" t="s">
        <v>18</v>
      </c>
      <c r="E4544" s="3">
        <v>27</v>
      </c>
      <c r="F4544" t="s">
        <v>19</v>
      </c>
      <c r="G4544" t="s">
        <v>95</v>
      </c>
      <c r="H4544" t="s">
        <v>21</v>
      </c>
      <c r="I4544" s="12">
        <v>0.86805555555555558</v>
      </c>
      <c r="J4544" t="s">
        <v>96</v>
      </c>
      <c r="K4544" t="s">
        <v>21</v>
      </c>
      <c r="L4544" s="12">
        <v>0.89583333333333337</v>
      </c>
      <c r="M4544" t="s">
        <v>29</v>
      </c>
      <c r="N4544" s="3">
        <v>186</v>
      </c>
      <c r="O4544" t="s">
        <v>24</v>
      </c>
      <c r="P4544" t="s">
        <v>79</v>
      </c>
      <c r="R4544">
        <f>tblDailySchedule[[#This Row],[Capacity Approx]]*'[1]Load Factor Sheet June Acft  '!$B$5</f>
        <v>150.61772727272728</v>
      </c>
      <c r="S4544">
        <f>tblDailySchedule[[#This Row],[Capacity Approx]]*'[1]Load Factor Sheet June Acft  '!$D$5</f>
        <v>163.08818181818182</v>
      </c>
      <c r="T4544" s="22">
        <f>tblDailySchedule[[#This Row],[STD]]</f>
        <v>0.89583333333333337</v>
      </c>
    </row>
    <row r="4545" spans="1:20" hidden="1" x14ac:dyDescent="0.35">
      <c r="A4545" s="11">
        <v>46273</v>
      </c>
      <c r="B4545" s="3">
        <v>2</v>
      </c>
      <c r="C4545" t="s">
        <v>108</v>
      </c>
      <c r="D4545" t="s">
        <v>18</v>
      </c>
      <c r="E4545" s="3">
        <v>28</v>
      </c>
      <c r="F4545" t="s">
        <v>19</v>
      </c>
      <c r="G4545" t="s">
        <v>97</v>
      </c>
      <c r="H4545" t="s">
        <v>49</v>
      </c>
      <c r="I4545" s="12">
        <v>0.90277777777777779</v>
      </c>
      <c r="J4545" t="s">
        <v>97</v>
      </c>
      <c r="K4545" t="s">
        <v>61</v>
      </c>
      <c r="L4545" s="12">
        <v>0.92361111111111116</v>
      </c>
      <c r="M4545" t="s">
        <v>33</v>
      </c>
      <c r="N4545" s="3">
        <v>189</v>
      </c>
      <c r="O4545" t="s">
        <v>24</v>
      </c>
      <c r="P4545" t="s">
        <v>79</v>
      </c>
      <c r="R4545">
        <f>tblDailySchedule[[#This Row],[Capacity Approx]]*'[1]Load Factor Sheet June Acft  '!$B$5</f>
        <v>153.04704545454547</v>
      </c>
      <c r="S4545">
        <f>tblDailySchedule[[#This Row],[Capacity Approx]]*'[1]Load Factor Sheet June Acft  '!$D$5</f>
        <v>165.71863636363636</v>
      </c>
      <c r="T4545" s="22">
        <f>tblDailySchedule[[#This Row],[STD]]</f>
        <v>0.92361111111111116</v>
      </c>
    </row>
    <row r="4546" spans="1:20" hidden="1" x14ac:dyDescent="0.35">
      <c r="A4546" s="11">
        <v>46273</v>
      </c>
      <c r="B4546" s="3">
        <v>2</v>
      </c>
      <c r="C4546" t="s">
        <v>108</v>
      </c>
      <c r="D4546" t="s">
        <v>18</v>
      </c>
      <c r="E4546" s="3">
        <v>29</v>
      </c>
      <c r="F4546" t="s">
        <v>19</v>
      </c>
      <c r="G4546" t="s">
        <v>98</v>
      </c>
      <c r="H4546" t="s">
        <v>21</v>
      </c>
      <c r="I4546" s="12">
        <v>0.92013888888888884</v>
      </c>
      <c r="J4546" t="s">
        <v>99</v>
      </c>
      <c r="K4546" t="s">
        <v>21</v>
      </c>
      <c r="L4546" s="12">
        <v>0.94791666666666663</v>
      </c>
      <c r="M4546" t="s">
        <v>63</v>
      </c>
      <c r="N4546" s="3">
        <v>232</v>
      </c>
      <c r="O4546" t="s">
        <v>24</v>
      </c>
      <c r="P4546" t="s">
        <v>79</v>
      </c>
      <c r="R4546">
        <f>tblDailySchedule[[#This Row],[Capacity Approx]]*'[1]Load Factor Sheet June Acft  '!$B$5</f>
        <v>187.86727272727273</v>
      </c>
      <c r="S4546">
        <f>tblDailySchedule[[#This Row],[Capacity Approx]]*'[1]Load Factor Sheet June Acft  '!$D$5</f>
        <v>203.4218181818182</v>
      </c>
      <c r="T4546" s="22">
        <f>tblDailySchedule[[#This Row],[STD]]</f>
        <v>0.94791666666666663</v>
      </c>
    </row>
    <row r="4547" spans="1:20" hidden="1" x14ac:dyDescent="0.35">
      <c r="A4547" s="11">
        <v>46274</v>
      </c>
      <c r="B4547" s="3">
        <v>3</v>
      </c>
      <c r="C4547" t="s">
        <v>113</v>
      </c>
      <c r="D4547" t="s">
        <v>18</v>
      </c>
      <c r="E4547" s="3">
        <v>2</v>
      </c>
      <c r="F4547" t="s">
        <v>19</v>
      </c>
      <c r="G4547" t="s">
        <v>20</v>
      </c>
      <c r="H4547" t="s">
        <v>21</v>
      </c>
      <c r="I4547" s="12">
        <v>0.31944444444444442</v>
      </c>
      <c r="J4547" t="s">
        <v>22</v>
      </c>
      <c r="K4547" t="s">
        <v>21</v>
      </c>
      <c r="L4547" s="12">
        <v>0.34722222222222221</v>
      </c>
      <c r="M4547" t="s">
        <v>23</v>
      </c>
      <c r="N4547" s="3">
        <v>186</v>
      </c>
      <c r="O4547" t="s">
        <v>24</v>
      </c>
      <c r="P4547" t="s">
        <v>25</v>
      </c>
      <c r="R4547">
        <f>tblDailySchedule[[#This Row],[Capacity Approx]]*'[1]Load Factor Sheet June Acft  '!$B$5</f>
        <v>150.61772727272728</v>
      </c>
      <c r="S4547">
        <f>tblDailySchedule[[#This Row],[Capacity Approx]]*'[1]Load Factor Sheet June Acft  '!$D$5</f>
        <v>163.08818181818182</v>
      </c>
      <c r="T4547" s="22">
        <f>tblDailySchedule[[#This Row],[STD]]</f>
        <v>0.34722222222222221</v>
      </c>
    </row>
    <row r="4548" spans="1:20" hidden="1" x14ac:dyDescent="0.35">
      <c r="A4548" s="11">
        <v>46274</v>
      </c>
      <c r="B4548" s="3">
        <v>3</v>
      </c>
      <c r="C4548" t="s">
        <v>113</v>
      </c>
      <c r="D4548" t="s">
        <v>18</v>
      </c>
      <c r="E4548" s="3">
        <v>3</v>
      </c>
      <c r="F4548" t="s">
        <v>19</v>
      </c>
      <c r="G4548" t="s">
        <v>26</v>
      </c>
      <c r="H4548" t="s">
        <v>27</v>
      </c>
      <c r="I4548" s="12">
        <v>0.3263888888888889</v>
      </c>
      <c r="J4548" t="s">
        <v>28</v>
      </c>
      <c r="K4548" t="s">
        <v>27</v>
      </c>
      <c r="L4548" s="12">
        <v>0.35416666666666669</v>
      </c>
      <c r="M4548" t="s">
        <v>29</v>
      </c>
      <c r="N4548" s="3">
        <v>186</v>
      </c>
      <c r="O4548" t="s">
        <v>24</v>
      </c>
      <c r="P4548" t="s">
        <v>25</v>
      </c>
      <c r="R4548">
        <f>tblDailySchedule[[#This Row],[Capacity Approx]]*'[1]Load Factor Sheet June Acft  '!$B$5</f>
        <v>150.61772727272728</v>
      </c>
      <c r="S4548">
        <f>tblDailySchedule[[#This Row],[Capacity Approx]]*'[1]Load Factor Sheet June Acft  '!$D$5</f>
        <v>163.08818181818182</v>
      </c>
      <c r="T4548" s="22">
        <f>tblDailySchedule[[#This Row],[STD]]</f>
        <v>0.35416666666666669</v>
      </c>
    </row>
    <row r="4549" spans="1:20" hidden="1" x14ac:dyDescent="0.35">
      <c r="A4549" s="11">
        <v>46274</v>
      </c>
      <c r="B4549" s="3">
        <v>3</v>
      </c>
      <c r="C4549" t="s">
        <v>113</v>
      </c>
      <c r="D4549" t="s">
        <v>18</v>
      </c>
      <c r="E4549" s="3">
        <v>4</v>
      </c>
      <c r="F4549" t="s">
        <v>19</v>
      </c>
      <c r="G4549" t="s">
        <v>30</v>
      </c>
      <c r="H4549" t="s">
        <v>31</v>
      </c>
      <c r="I4549" s="12">
        <v>0.34722222222222221</v>
      </c>
      <c r="J4549" t="s">
        <v>32</v>
      </c>
      <c r="K4549" t="s">
        <v>31</v>
      </c>
      <c r="L4549" s="12">
        <v>0.36805555555555558</v>
      </c>
      <c r="M4549" t="s">
        <v>33</v>
      </c>
      <c r="N4549" s="3">
        <v>189</v>
      </c>
      <c r="O4549" t="s">
        <v>24</v>
      </c>
      <c r="P4549" t="s">
        <v>25</v>
      </c>
      <c r="R4549">
        <f>tblDailySchedule[[#This Row],[Capacity Approx]]*'[1]Load Factor Sheet June Acft  '!$B$5</f>
        <v>153.04704545454547</v>
      </c>
      <c r="S4549">
        <f>tblDailySchedule[[#This Row],[Capacity Approx]]*'[1]Load Factor Sheet June Acft  '!$D$5</f>
        <v>165.71863636363636</v>
      </c>
      <c r="T4549" s="22">
        <f>tblDailySchedule[[#This Row],[STD]]</f>
        <v>0.36805555555555558</v>
      </c>
    </row>
    <row r="4550" spans="1:20" hidden="1" x14ac:dyDescent="0.35">
      <c r="A4550" s="13">
        <v>46274</v>
      </c>
      <c r="B4550" s="7">
        <v>3</v>
      </c>
      <c r="C4550" s="14" t="s">
        <v>113</v>
      </c>
      <c r="D4550" s="14" t="s">
        <v>18</v>
      </c>
      <c r="E4550" s="7">
        <v>6</v>
      </c>
      <c r="F4550" s="14" t="s">
        <v>34</v>
      </c>
      <c r="G4550" s="14" t="s">
        <v>35</v>
      </c>
      <c r="H4550" s="14" t="s">
        <v>36</v>
      </c>
      <c r="I4550" s="15">
        <v>0.34722222222222221</v>
      </c>
      <c r="J4550" s="14" t="s">
        <v>37</v>
      </c>
      <c r="K4550" s="14" t="s">
        <v>36</v>
      </c>
      <c r="L4550" s="15">
        <v>0.40972222222222221</v>
      </c>
      <c r="M4550" s="14" t="s">
        <v>38</v>
      </c>
      <c r="N4550" s="7">
        <v>186</v>
      </c>
      <c r="O4550" s="14" t="s">
        <v>39</v>
      </c>
      <c r="P4550" s="14" t="s">
        <v>25</v>
      </c>
      <c r="Q4550" s="14" t="s">
        <v>39</v>
      </c>
      <c r="R4550">
        <f>tblDailySchedule[[#This Row],[Capacity Approx]]*'[1]Load Factor Sheet June Acft  '!$B$5</f>
        <v>150.61772727272728</v>
      </c>
      <c r="S4550">
        <f>tblDailySchedule[[#This Row],[Capacity Approx]]*'[1]Load Factor Sheet June Acft  '!$D$5</f>
        <v>163.08818181818182</v>
      </c>
      <c r="T4550" s="22">
        <f>tblDailySchedule[[#This Row],[STD]]</f>
        <v>0.40972222222222221</v>
      </c>
    </row>
    <row r="4551" spans="1:20" hidden="1" x14ac:dyDescent="0.35">
      <c r="A4551" s="11">
        <v>46274</v>
      </c>
      <c r="B4551" s="3">
        <v>3</v>
      </c>
      <c r="C4551" t="s">
        <v>113</v>
      </c>
      <c r="D4551" t="s">
        <v>18</v>
      </c>
      <c r="E4551" s="3">
        <v>5</v>
      </c>
      <c r="F4551" t="s">
        <v>19</v>
      </c>
      <c r="G4551" t="s">
        <v>40</v>
      </c>
      <c r="H4551" t="s">
        <v>31</v>
      </c>
      <c r="I4551" s="12">
        <v>0.35069444444444442</v>
      </c>
      <c r="J4551" t="s">
        <v>41</v>
      </c>
      <c r="K4551" t="s">
        <v>31</v>
      </c>
      <c r="L4551" s="12">
        <v>0.37152777777777779</v>
      </c>
      <c r="M4551" t="s">
        <v>23</v>
      </c>
      <c r="N4551" s="3">
        <v>186</v>
      </c>
      <c r="O4551" t="s">
        <v>24</v>
      </c>
      <c r="P4551" t="s">
        <v>25</v>
      </c>
      <c r="R4551">
        <f>tblDailySchedule[[#This Row],[Capacity Approx]]*'[1]Load Factor Sheet June Acft  '!$B$5</f>
        <v>150.61772727272728</v>
      </c>
      <c r="S4551">
        <f>tblDailySchedule[[#This Row],[Capacity Approx]]*'[1]Load Factor Sheet June Acft  '!$D$5</f>
        <v>163.08818181818182</v>
      </c>
      <c r="T4551" s="22">
        <f>tblDailySchedule[[#This Row],[STD]]</f>
        <v>0.37152777777777779</v>
      </c>
    </row>
    <row r="4552" spans="1:20" hidden="1" x14ac:dyDescent="0.35">
      <c r="A4552" s="11">
        <v>46274</v>
      </c>
      <c r="B4552" s="3">
        <v>3</v>
      </c>
      <c r="C4552" t="s">
        <v>113</v>
      </c>
      <c r="D4552" t="s">
        <v>18</v>
      </c>
      <c r="E4552" s="3">
        <v>7</v>
      </c>
      <c r="F4552" t="s">
        <v>19</v>
      </c>
      <c r="G4552" t="s">
        <v>42</v>
      </c>
      <c r="H4552" t="s">
        <v>43</v>
      </c>
      <c r="I4552" s="12">
        <v>0.3923611111111111</v>
      </c>
      <c r="J4552" t="s">
        <v>44</v>
      </c>
      <c r="K4552" t="s">
        <v>43</v>
      </c>
      <c r="L4552" s="12">
        <v>0.40277777777777779</v>
      </c>
      <c r="M4552" t="s">
        <v>45</v>
      </c>
      <c r="N4552" s="3">
        <v>9</v>
      </c>
      <c r="O4552" t="s">
        <v>24</v>
      </c>
      <c r="P4552" t="s">
        <v>25</v>
      </c>
      <c r="R4552">
        <f>tblDailySchedule[[#This Row],[Capacity Approx]]*'[1]Load Factor Sheet June Acft  '!$B$5</f>
        <v>7.2879545454545456</v>
      </c>
      <c r="S4552">
        <f>tblDailySchedule[[#This Row],[Capacity Approx]]*'[1]Load Factor Sheet June Acft  '!$D$5</f>
        <v>7.8913636363636366</v>
      </c>
      <c r="T4552" s="22">
        <f>tblDailySchedule[[#This Row],[STD]]</f>
        <v>0.40277777777777779</v>
      </c>
    </row>
    <row r="4553" spans="1:20" hidden="1" x14ac:dyDescent="0.35">
      <c r="A4553" s="11">
        <v>46274</v>
      </c>
      <c r="B4553" s="3">
        <v>3</v>
      </c>
      <c r="C4553" t="s">
        <v>113</v>
      </c>
      <c r="D4553" t="s">
        <v>18</v>
      </c>
      <c r="E4553" s="3">
        <v>8</v>
      </c>
      <c r="F4553" t="s">
        <v>19</v>
      </c>
      <c r="G4553" t="s">
        <v>46</v>
      </c>
      <c r="H4553" t="s">
        <v>31</v>
      </c>
      <c r="I4553" s="12">
        <v>0.4201388888888889</v>
      </c>
      <c r="J4553" t="s">
        <v>47</v>
      </c>
      <c r="K4553" t="s">
        <v>31</v>
      </c>
      <c r="L4553" s="12">
        <v>0.44444444444444442</v>
      </c>
      <c r="M4553" t="s">
        <v>29</v>
      </c>
      <c r="N4553" s="3">
        <v>186</v>
      </c>
      <c r="O4553" t="s">
        <v>24</v>
      </c>
      <c r="P4553" t="s">
        <v>25</v>
      </c>
      <c r="R4553">
        <f>tblDailySchedule[[#This Row],[Capacity Approx]]*'[1]Load Factor Sheet June Acft  '!$B$5</f>
        <v>150.61772727272728</v>
      </c>
      <c r="S4553">
        <f>tblDailySchedule[[#This Row],[Capacity Approx]]*'[1]Load Factor Sheet June Acft  '!$D$5</f>
        <v>163.08818181818182</v>
      </c>
      <c r="T4553" s="22">
        <f>tblDailySchedule[[#This Row],[STD]]</f>
        <v>0.44444444444444442</v>
      </c>
    </row>
    <row r="4554" spans="1:20" hidden="1" x14ac:dyDescent="0.35">
      <c r="A4554" s="11">
        <v>46274</v>
      </c>
      <c r="B4554" s="3">
        <v>3</v>
      </c>
      <c r="C4554" t="s">
        <v>113</v>
      </c>
      <c r="D4554" t="s">
        <v>18</v>
      </c>
      <c r="E4554" s="3">
        <v>9</v>
      </c>
      <c r="F4554" t="s">
        <v>19</v>
      </c>
      <c r="G4554" t="s">
        <v>48</v>
      </c>
      <c r="H4554" t="s">
        <v>49</v>
      </c>
      <c r="I4554" s="12">
        <v>0.4375</v>
      </c>
      <c r="J4554" t="s">
        <v>50</v>
      </c>
      <c r="K4554" t="s">
        <v>49</v>
      </c>
      <c r="L4554" s="12">
        <v>0.45833333333333331</v>
      </c>
      <c r="M4554" t="s">
        <v>51</v>
      </c>
      <c r="N4554" s="3">
        <v>78</v>
      </c>
      <c r="O4554" t="s">
        <v>24</v>
      </c>
      <c r="P4554" t="s">
        <v>25</v>
      </c>
      <c r="R4554">
        <f>tblDailySchedule[[#This Row],[Capacity Approx]]*'[1]Load Factor Sheet June Acft  '!$B$5</f>
        <v>63.162272727272729</v>
      </c>
      <c r="S4554">
        <f>tblDailySchedule[[#This Row],[Capacity Approx]]*'[1]Load Factor Sheet June Acft  '!$D$5</f>
        <v>68.391818181818181</v>
      </c>
      <c r="T4554" s="22">
        <f>tblDailySchedule[[#This Row],[STD]]</f>
        <v>0.45833333333333331</v>
      </c>
    </row>
    <row r="4555" spans="1:20" hidden="1" x14ac:dyDescent="0.35">
      <c r="A4555" s="11">
        <v>46274</v>
      </c>
      <c r="B4555" s="3">
        <v>3</v>
      </c>
      <c r="C4555" t="s">
        <v>113</v>
      </c>
      <c r="D4555" t="s">
        <v>18</v>
      </c>
      <c r="E4555" s="3">
        <v>10</v>
      </c>
      <c r="F4555" t="s">
        <v>19</v>
      </c>
      <c r="G4555" t="s">
        <v>52</v>
      </c>
      <c r="H4555" t="s">
        <v>27</v>
      </c>
      <c r="I4555" s="12">
        <v>0.4826388888888889</v>
      </c>
      <c r="J4555" t="s">
        <v>53</v>
      </c>
      <c r="K4555" t="s">
        <v>27</v>
      </c>
      <c r="L4555" s="12">
        <v>0.51041666666666663</v>
      </c>
      <c r="M4555" t="s">
        <v>23</v>
      </c>
      <c r="N4555" s="3">
        <v>186</v>
      </c>
      <c r="O4555" t="s">
        <v>24</v>
      </c>
      <c r="P4555" t="s">
        <v>25</v>
      </c>
      <c r="R4555">
        <f>tblDailySchedule[[#This Row],[Capacity Approx]]*'[1]Load Factor Sheet June Acft  '!$B$5</f>
        <v>150.61772727272728</v>
      </c>
      <c r="S4555">
        <f>tblDailySchedule[[#This Row],[Capacity Approx]]*'[1]Load Factor Sheet June Acft  '!$D$5</f>
        <v>163.08818181818182</v>
      </c>
      <c r="T4555" s="22">
        <f>tblDailySchedule[[#This Row],[STD]]</f>
        <v>0.51041666666666663</v>
      </c>
    </row>
    <row r="4556" spans="1:20" hidden="1" x14ac:dyDescent="0.35">
      <c r="A4556" s="11">
        <v>46274</v>
      </c>
      <c r="B4556" s="3">
        <v>3</v>
      </c>
      <c r="C4556" t="s">
        <v>113</v>
      </c>
      <c r="D4556" t="s">
        <v>18</v>
      </c>
      <c r="E4556" s="3">
        <v>11</v>
      </c>
      <c r="F4556" t="s">
        <v>19</v>
      </c>
      <c r="G4556" t="s">
        <v>54</v>
      </c>
      <c r="H4556" t="s">
        <v>31</v>
      </c>
      <c r="I4556" s="12">
        <v>0.51388888888888884</v>
      </c>
      <c r="J4556" t="s">
        <v>55</v>
      </c>
      <c r="K4556" t="s">
        <v>31</v>
      </c>
      <c r="L4556" s="12">
        <v>0.54166666666666663</v>
      </c>
      <c r="M4556" t="s">
        <v>23</v>
      </c>
      <c r="N4556" s="3">
        <v>186</v>
      </c>
      <c r="O4556" t="s">
        <v>24</v>
      </c>
      <c r="P4556" t="s">
        <v>56</v>
      </c>
      <c r="R4556">
        <f>tblDailySchedule[[#This Row],[Capacity Approx]]*'[1]Load Factor Sheet June Acft  '!$B$5</f>
        <v>150.61772727272728</v>
      </c>
      <c r="S4556">
        <f>tblDailySchedule[[#This Row],[Capacity Approx]]*'[1]Load Factor Sheet June Acft  '!$D$5</f>
        <v>163.08818181818182</v>
      </c>
      <c r="T4556" s="22">
        <f>tblDailySchedule[[#This Row],[STD]]</f>
        <v>0.54166666666666663</v>
      </c>
    </row>
    <row r="4557" spans="1:20" hidden="1" x14ac:dyDescent="0.35">
      <c r="A4557" s="11">
        <v>46274</v>
      </c>
      <c r="B4557" s="3">
        <v>3</v>
      </c>
      <c r="C4557" t="s">
        <v>113</v>
      </c>
      <c r="D4557" t="s">
        <v>18</v>
      </c>
      <c r="E4557" s="3">
        <v>13</v>
      </c>
      <c r="F4557" t="s">
        <v>19</v>
      </c>
      <c r="G4557" t="s">
        <v>57</v>
      </c>
      <c r="H4557" t="s">
        <v>58</v>
      </c>
      <c r="I4557" s="12">
        <v>0.55902777777777779</v>
      </c>
      <c r="J4557" t="s">
        <v>59</v>
      </c>
      <c r="K4557" t="s">
        <v>58</v>
      </c>
      <c r="L4557" s="12">
        <v>0.57638888888888884</v>
      </c>
      <c r="M4557" t="s">
        <v>51</v>
      </c>
      <c r="N4557" s="3">
        <v>78</v>
      </c>
      <c r="O4557" t="s">
        <v>24</v>
      </c>
      <c r="P4557" t="s">
        <v>56</v>
      </c>
      <c r="R4557">
        <f>tblDailySchedule[[#This Row],[Capacity Approx]]*'[1]Load Factor Sheet June Acft  '!$B$5</f>
        <v>63.162272727272729</v>
      </c>
      <c r="S4557">
        <f>tblDailySchedule[[#This Row],[Capacity Approx]]*'[1]Load Factor Sheet June Acft  '!$D$5</f>
        <v>68.391818181818181</v>
      </c>
      <c r="T4557" s="22">
        <f>tblDailySchedule[[#This Row],[STD]]</f>
        <v>0.57638888888888884</v>
      </c>
    </row>
    <row r="4558" spans="1:20" hidden="1" x14ac:dyDescent="0.35">
      <c r="A4558" s="11">
        <v>46274</v>
      </c>
      <c r="B4558" s="3">
        <v>3</v>
      </c>
      <c r="C4558" t="s">
        <v>113</v>
      </c>
      <c r="D4558" t="s">
        <v>18</v>
      </c>
      <c r="E4558" s="3">
        <v>14</v>
      </c>
      <c r="F4558" t="s">
        <v>19</v>
      </c>
      <c r="G4558" t="s">
        <v>60</v>
      </c>
      <c r="H4558" t="s">
        <v>61</v>
      </c>
      <c r="I4558" s="12">
        <v>0.59027777777777779</v>
      </c>
      <c r="J4558" t="s">
        <v>62</v>
      </c>
      <c r="K4558" t="s">
        <v>61</v>
      </c>
      <c r="L4558" s="12">
        <v>0.62152777777777779</v>
      </c>
      <c r="M4558" t="s">
        <v>63</v>
      </c>
      <c r="N4558" s="3">
        <v>232</v>
      </c>
      <c r="O4558" t="s">
        <v>24</v>
      </c>
      <c r="P4558" t="s">
        <v>56</v>
      </c>
      <c r="R4558">
        <f>tblDailySchedule[[#This Row],[Capacity Approx]]*'[1]Load Factor Sheet June Acft  '!$B$5</f>
        <v>187.86727272727273</v>
      </c>
      <c r="S4558">
        <f>tblDailySchedule[[#This Row],[Capacity Approx]]*'[1]Load Factor Sheet June Acft  '!$D$5</f>
        <v>203.4218181818182</v>
      </c>
      <c r="T4558" s="22">
        <f>tblDailySchedule[[#This Row],[STD]]</f>
        <v>0.62152777777777779</v>
      </c>
    </row>
    <row r="4559" spans="1:20" hidden="1" x14ac:dyDescent="0.35">
      <c r="A4559" s="11">
        <v>46274</v>
      </c>
      <c r="B4559" s="3">
        <v>3</v>
      </c>
      <c r="C4559" t="s">
        <v>113</v>
      </c>
      <c r="D4559" t="s">
        <v>18</v>
      </c>
      <c r="E4559" s="3">
        <v>15</v>
      </c>
      <c r="F4559" t="s">
        <v>19</v>
      </c>
      <c r="G4559" t="s">
        <v>64</v>
      </c>
      <c r="H4559" t="s">
        <v>31</v>
      </c>
      <c r="I4559" s="12">
        <v>0.60069444444444442</v>
      </c>
      <c r="J4559" t="s">
        <v>65</v>
      </c>
      <c r="K4559" t="s">
        <v>66</v>
      </c>
      <c r="L4559" s="12">
        <v>0.62847222222222221</v>
      </c>
      <c r="M4559" t="s">
        <v>63</v>
      </c>
      <c r="N4559" s="3">
        <v>232</v>
      </c>
      <c r="O4559" t="s">
        <v>24</v>
      </c>
      <c r="P4559" t="s">
        <v>56</v>
      </c>
      <c r="R4559">
        <f>tblDailySchedule[[#This Row],[Capacity Approx]]*'[1]Load Factor Sheet June Acft  '!$B$5</f>
        <v>187.86727272727273</v>
      </c>
      <c r="S4559">
        <f>tblDailySchedule[[#This Row],[Capacity Approx]]*'[1]Load Factor Sheet June Acft  '!$D$5</f>
        <v>203.4218181818182</v>
      </c>
      <c r="T4559" s="22">
        <f>tblDailySchedule[[#This Row],[STD]]</f>
        <v>0.62847222222222221</v>
      </c>
    </row>
    <row r="4560" spans="1:20" hidden="1" x14ac:dyDescent="0.35">
      <c r="A4560" s="11">
        <v>46274</v>
      </c>
      <c r="B4560" s="3">
        <v>3</v>
      </c>
      <c r="C4560" t="s">
        <v>113</v>
      </c>
      <c r="D4560" t="s">
        <v>18</v>
      </c>
      <c r="E4560" s="3">
        <v>16</v>
      </c>
      <c r="F4560" t="s">
        <v>19</v>
      </c>
      <c r="G4560" t="s">
        <v>67</v>
      </c>
      <c r="H4560" t="s">
        <v>31</v>
      </c>
      <c r="I4560" s="12">
        <v>0.65625</v>
      </c>
      <c r="J4560" t="s">
        <v>68</v>
      </c>
      <c r="K4560" t="s">
        <v>31</v>
      </c>
      <c r="L4560" s="12">
        <v>0.68402777777777779</v>
      </c>
      <c r="M4560" t="s">
        <v>63</v>
      </c>
      <c r="N4560" s="3">
        <v>232</v>
      </c>
      <c r="O4560" t="s">
        <v>24</v>
      </c>
      <c r="P4560" t="s">
        <v>56</v>
      </c>
      <c r="R4560">
        <f>tblDailySchedule[[#This Row],[Capacity Approx]]*'[1]Load Factor Sheet June Acft  '!$B$5</f>
        <v>187.86727272727273</v>
      </c>
      <c r="S4560">
        <f>tblDailySchedule[[#This Row],[Capacity Approx]]*'[1]Load Factor Sheet June Acft  '!$D$5</f>
        <v>203.4218181818182</v>
      </c>
      <c r="T4560" s="22">
        <f>tblDailySchedule[[#This Row],[STD]]</f>
        <v>0.68402777777777779</v>
      </c>
    </row>
    <row r="4561" spans="1:20" hidden="1" x14ac:dyDescent="0.35">
      <c r="A4561" s="11">
        <v>46274</v>
      </c>
      <c r="B4561" s="3">
        <v>3</v>
      </c>
      <c r="C4561" t="s">
        <v>113</v>
      </c>
      <c r="D4561" t="s">
        <v>18</v>
      </c>
      <c r="E4561" s="3">
        <v>17</v>
      </c>
      <c r="F4561" t="s">
        <v>19</v>
      </c>
      <c r="G4561" t="s">
        <v>69</v>
      </c>
      <c r="H4561" t="s">
        <v>31</v>
      </c>
      <c r="I4561" s="12">
        <v>0.66319444444444442</v>
      </c>
      <c r="J4561" t="s">
        <v>70</v>
      </c>
      <c r="K4561" t="s">
        <v>31</v>
      </c>
      <c r="L4561" s="12">
        <v>0.69097222222222221</v>
      </c>
      <c r="M4561" t="s">
        <v>33</v>
      </c>
      <c r="N4561" s="3">
        <v>189</v>
      </c>
      <c r="O4561" t="s">
        <v>24</v>
      </c>
      <c r="P4561" t="s">
        <v>56</v>
      </c>
      <c r="R4561">
        <f>tblDailySchedule[[#This Row],[Capacity Approx]]*'[1]Load Factor Sheet June Acft  '!$B$5</f>
        <v>153.04704545454547</v>
      </c>
      <c r="S4561">
        <f>tblDailySchedule[[#This Row],[Capacity Approx]]*'[1]Load Factor Sheet June Acft  '!$D$5</f>
        <v>165.71863636363636</v>
      </c>
      <c r="T4561" s="22">
        <f>tblDailySchedule[[#This Row],[STD]]</f>
        <v>0.69097222222222221</v>
      </c>
    </row>
    <row r="4562" spans="1:20" hidden="1" x14ac:dyDescent="0.35">
      <c r="A4562" s="11">
        <v>46274</v>
      </c>
      <c r="B4562" s="3">
        <v>3</v>
      </c>
      <c r="C4562" t="s">
        <v>113</v>
      </c>
      <c r="D4562" t="s">
        <v>18</v>
      </c>
      <c r="E4562" s="3">
        <v>18</v>
      </c>
      <c r="F4562" t="s">
        <v>19</v>
      </c>
      <c r="G4562" t="s">
        <v>71</v>
      </c>
      <c r="H4562" t="s">
        <v>21</v>
      </c>
      <c r="I4562" s="12">
        <v>0.67013888888888884</v>
      </c>
      <c r="J4562" t="s">
        <v>72</v>
      </c>
      <c r="K4562" t="s">
        <v>21</v>
      </c>
      <c r="L4562" s="12">
        <v>0.69791666666666663</v>
      </c>
      <c r="M4562" t="s">
        <v>63</v>
      </c>
      <c r="N4562" s="3">
        <v>232</v>
      </c>
      <c r="O4562" t="s">
        <v>24</v>
      </c>
      <c r="P4562" t="s">
        <v>56</v>
      </c>
      <c r="R4562">
        <f>tblDailySchedule[[#This Row],[Capacity Approx]]*'[1]Load Factor Sheet June Acft  '!$B$5</f>
        <v>187.86727272727273</v>
      </c>
      <c r="S4562">
        <f>tblDailySchedule[[#This Row],[Capacity Approx]]*'[1]Load Factor Sheet June Acft  '!$D$5</f>
        <v>203.4218181818182</v>
      </c>
      <c r="T4562" s="22">
        <f>tblDailySchedule[[#This Row],[STD]]</f>
        <v>0.69791666666666663</v>
      </c>
    </row>
    <row r="4563" spans="1:20" hidden="1" x14ac:dyDescent="0.35">
      <c r="A4563" s="11">
        <v>46274</v>
      </c>
      <c r="B4563" s="3">
        <v>3</v>
      </c>
      <c r="C4563" t="s">
        <v>113</v>
      </c>
      <c r="D4563" t="s">
        <v>18</v>
      </c>
      <c r="E4563" s="3">
        <v>19</v>
      </c>
      <c r="F4563" t="s">
        <v>19</v>
      </c>
      <c r="G4563" t="s">
        <v>73</v>
      </c>
      <c r="H4563" t="s">
        <v>27</v>
      </c>
      <c r="I4563" s="12">
        <v>0.74652777777777779</v>
      </c>
      <c r="J4563" t="s">
        <v>74</v>
      </c>
      <c r="K4563" t="s">
        <v>27</v>
      </c>
      <c r="L4563" s="12">
        <v>0.77430555555555558</v>
      </c>
      <c r="M4563" t="s">
        <v>63</v>
      </c>
      <c r="N4563" s="3">
        <v>232</v>
      </c>
      <c r="O4563" t="s">
        <v>24</v>
      </c>
      <c r="P4563" t="s">
        <v>56</v>
      </c>
      <c r="R4563">
        <f>tblDailySchedule[[#This Row],[Capacity Approx]]*'[1]Load Factor Sheet June Acft  '!$B$5</f>
        <v>187.86727272727273</v>
      </c>
      <c r="S4563">
        <f>tblDailySchedule[[#This Row],[Capacity Approx]]*'[1]Load Factor Sheet June Acft  '!$D$5</f>
        <v>203.4218181818182</v>
      </c>
      <c r="T4563" s="22">
        <f>tblDailySchedule[[#This Row],[STD]]</f>
        <v>0.77430555555555558</v>
      </c>
    </row>
    <row r="4564" spans="1:20" hidden="1" x14ac:dyDescent="0.35">
      <c r="A4564" s="11">
        <v>46274</v>
      </c>
      <c r="B4564" s="3">
        <v>3</v>
      </c>
      <c r="C4564" t="s">
        <v>113</v>
      </c>
      <c r="D4564" t="s">
        <v>18</v>
      </c>
      <c r="E4564" s="3">
        <v>20</v>
      </c>
      <c r="F4564" t="s">
        <v>34</v>
      </c>
      <c r="G4564" t="s">
        <v>75</v>
      </c>
      <c r="H4564" t="s">
        <v>76</v>
      </c>
      <c r="I4564" s="12">
        <v>0.76388888888888884</v>
      </c>
      <c r="J4564" t="s">
        <v>77</v>
      </c>
      <c r="K4564" t="s">
        <v>78</v>
      </c>
      <c r="L4564" s="12">
        <v>0.78472222222222221</v>
      </c>
      <c r="M4564" t="s">
        <v>51</v>
      </c>
      <c r="N4564" s="3">
        <v>78</v>
      </c>
      <c r="O4564" t="s">
        <v>24</v>
      </c>
      <c r="P4564" t="s">
        <v>79</v>
      </c>
      <c r="Q4564" s="16" t="s">
        <v>80</v>
      </c>
      <c r="R4564">
        <f>tblDailySchedule[[#This Row],[Capacity Approx]]*'[1]Load Factor Sheet June Acft  '!$B$5</f>
        <v>63.162272727272729</v>
      </c>
      <c r="S4564">
        <f>tblDailySchedule[[#This Row],[Capacity Approx]]*'[1]Load Factor Sheet June Acft  '!$D$5</f>
        <v>68.391818181818181</v>
      </c>
      <c r="T4564" s="22">
        <f>tblDailySchedule[[#This Row],[STD]]</f>
        <v>0.78472222222222221</v>
      </c>
    </row>
    <row r="4565" spans="1:20" hidden="1" x14ac:dyDescent="0.35">
      <c r="A4565" s="11">
        <v>46274</v>
      </c>
      <c r="B4565" s="3">
        <v>3</v>
      </c>
      <c r="C4565" t="s">
        <v>113</v>
      </c>
      <c r="D4565" t="s">
        <v>18</v>
      </c>
      <c r="E4565" s="3">
        <v>21</v>
      </c>
      <c r="F4565" t="s">
        <v>19</v>
      </c>
      <c r="G4565" t="s">
        <v>81</v>
      </c>
      <c r="H4565" t="s">
        <v>61</v>
      </c>
      <c r="I4565" s="12">
        <v>0.77083333333333337</v>
      </c>
      <c r="J4565" t="s">
        <v>82</v>
      </c>
      <c r="K4565" t="s">
        <v>49</v>
      </c>
      <c r="L4565" s="12">
        <v>0.79166666666666663</v>
      </c>
      <c r="M4565" t="s">
        <v>33</v>
      </c>
      <c r="N4565" s="3">
        <v>189</v>
      </c>
      <c r="O4565" t="s">
        <v>24</v>
      </c>
      <c r="P4565" t="s">
        <v>79</v>
      </c>
      <c r="R4565">
        <f>tblDailySchedule[[#This Row],[Capacity Approx]]*'[1]Load Factor Sheet June Acft  '!$B$5</f>
        <v>153.04704545454547</v>
      </c>
      <c r="S4565">
        <f>tblDailySchedule[[#This Row],[Capacity Approx]]*'[1]Load Factor Sheet June Acft  '!$D$5</f>
        <v>165.71863636363636</v>
      </c>
      <c r="T4565" s="22">
        <f>tblDailySchedule[[#This Row],[STD]]</f>
        <v>0.79166666666666663</v>
      </c>
    </row>
    <row r="4566" spans="1:20" hidden="1" x14ac:dyDescent="0.35">
      <c r="A4566" s="11">
        <v>46274</v>
      </c>
      <c r="B4566" s="3">
        <v>3</v>
      </c>
      <c r="C4566" t="s">
        <v>113</v>
      </c>
      <c r="D4566" t="s">
        <v>18</v>
      </c>
      <c r="E4566" s="3">
        <v>22</v>
      </c>
      <c r="F4566" t="s">
        <v>19</v>
      </c>
      <c r="G4566" t="s">
        <v>83</v>
      </c>
      <c r="H4566" t="s">
        <v>31</v>
      </c>
      <c r="I4566" s="12">
        <v>0.77777777777777779</v>
      </c>
      <c r="J4566" t="s">
        <v>84</v>
      </c>
      <c r="K4566" t="s">
        <v>31</v>
      </c>
      <c r="L4566" s="12">
        <v>0.80555555555555558</v>
      </c>
      <c r="M4566" t="s">
        <v>63</v>
      </c>
      <c r="N4566" s="3">
        <v>232</v>
      </c>
      <c r="O4566" t="s">
        <v>24</v>
      </c>
      <c r="P4566" t="s">
        <v>79</v>
      </c>
      <c r="R4566">
        <f>tblDailySchedule[[#This Row],[Capacity Approx]]*'[1]Load Factor Sheet June Acft  '!$B$5</f>
        <v>187.86727272727273</v>
      </c>
      <c r="S4566">
        <f>tblDailySchedule[[#This Row],[Capacity Approx]]*'[1]Load Factor Sheet June Acft  '!$D$5</f>
        <v>203.4218181818182</v>
      </c>
      <c r="T4566" s="22">
        <f>tblDailySchedule[[#This Row],[STD]]</f>
        <v>0.80555555555555558</v>
      </c>
    </row>
    <row r="4567" spans="1:20" hidden="1" x14ac:dyDescent="0.35">
      <c r="A4567" s="11">
        <v>46274</v>
      </c>
      <c r="B4567" s="3">
        <v>3</v>
      </c>
      <c r="C4567" t="s">
        <v>113</v>
      </c>
      <c r="D4567" t="s">
        <v>18</v>
      </c>
      <c r="E4567" s="3">
        <v>23</v>
      </c>
      <c r="F4567" t="s">
        <v>19</v>
      </c>
      <c r="G4567" t="s">
        <v>85</v>
      </c>
      <c r="H4567" t="s">
        <v>86</v>
      </c>
      <c r="I4567" s="12">
        <v>0.79861111111111116</v>
      </c>
      <c r="J4567" t="s">
        <v>87</v>
      </c>
      <c r="K4567" t="s">
        <v>86</v>
      </c>
      <c r="L4567" s="12">
        <v>0.82638888888888884</v>
      </c>
      <c r="M4567" t="s">
        <v>63</v>
      </c>
      <c r="N4567" s="3">
        <v>232</v>
      </c>
      <c r="O4567" t="s">
        <v>24</v>
      </c>
      <c r="P4567" t="s">
        <v>79</v>
      </c>
      <c r="R4567">
        <f>tblDailySchedule[[#This Row],[Capacity Approx]]*'[1]Load Factor Sheet June Acft  '!$B$5</f>
        <v>187.86727272727273</v>
      </c>
      <c r="S4567">
        <f>tblDailySchedule[[#This Row],[Capacity Approx]]*'[1]Load Factor Sheet June Acft  '!$D$5</f>
        <v>203.4218181818182</v>
      </c>
      <c r="T4567" s="22">
        <f>tblDailySchedule[[#This Row],[STD]]</f>
        <v>0.82638888888888884</v>
      </c>
    </row>
    <row r="4568" spans="1:20" hidden="1" x14ac:dyDescent="0.35">
      <c r="A4568" s="11">
        <v>46274</v>
      </c>
      <c r="B4568" s="3">
        <v>3</v>
      </c>
      <c r="C4568" t="s">
        <v>113</v>
      </c>
      <c r="D4568" t="s">
        <v>18</v>
      </c>
      <c r="E4568" s="3">
        <v>24</v>
      </c>
      <c r="F4568" t="s">
        <v>19</v>
      </c>
      <c r="G4568" t="s">
        <v>88</v>
      </c>
      <c r="H4568" t="s">
        <v>89</v>
      </c>
      <c r="I4568" s="12">
        <v>0.83333333333333337</v>
      </c>
      <c r="J4568" t="s">
        <v>90</v>
      </c>
      <c r="K4568" t="s">
        <v>31</v>
      </c>
      <c r="L4568" s="12">
        <v>0.86111111111111116</v>
      </c>
      <c r="M4568" t="s">
        <v>63</v>
      </c>
      <c r="N4568" s="3">
        <v>232</v>
      </c>
      <c r="O4568" t="s">
        <v>24</v>
      </c>
      <c r="P4568" t="s">
        <v>79</v>
      </c>
      <c r="R4568">
        <f>tblDailySchedule[[#This Row],[Capacity Approx]]*'[1]Load Factor Sheet June Acft  '!$B$5</f>
        <v>187.86727272727273</v>
      </c>
      <c r="S4568">
        <f>tblDailySchedule[[#This Row],[Capacity Approx]]*'[1]Load Factor Sheet June Acft  '!$D$5</f>
        <v>203.4218181818182</v>
      </c>
      <c r="T4568" s="22">
        <f>tblDailySchedule[[#This Row],[STD]]</f>
        <v>0.86111111111111116</v>
      </c>
    </row>
    <row r="4569" spans="1:20" hidden="1" x14ac:dyDescent="0.35">
      <c r="A4569" s="11">
        <v>46274</v>
      </c>
      <c r="B4569" s="3">
        <v>3</v>
      </c>
      <c r="C4569" t="s">
        <v>113</v>
      </c>
      <c r="D4569" t="s">
        <v>18</v>
      </c>
      <c r="E4569" s="3">
        <v>25</v>
      </c>
      <c r="F4569" t="s">
        <v>19</v>
      </c>
      <c r="G4569" t="s">
        <v>91</v>
      </c>
      <c r="H4569" t="s">
        <v>61</v>
      </c>
      <c r="I4569" s="12">
        <v>0.85416666666666663</v>
      </c>
      <c r="J4569" t="s">
        <v>92</v>
      </c>
      <c r="K4569" t="s">
        <v>61</v>
      </c>
      <c r="L4569" s="12">
        <v>0.88194444444444442</v>
      </c>
      <c r="M4569" t="s">
        <v>63</v>
      </c>
      <c r="N4569" s="3">
        <v>232</v>
      </c>
      <c r="O4569" t="s">
        <v>24</v>
      </c>
      <c r="P4569" t="s">
        <v>79</v>
      </c>
      <c r="R4569">
        <f>tblDailySchedule[[#This Row],[Capacity Approx]]*'[1]Load Factor Sheet June Acft  '!$B$5</f>
        <v>187.86727272727273</v>
      </c>
      <c r="S4569">
        <f>tblDailySchedule[[#This Row],[Capacity Approx]]*'[1]Load Factor Sheet June Acft  '!$D$5</f>
        <v>203.4218181818182</v>
      </c>
      <c r="T4569" s="22">
        <f>tblDailySchedule[[#This Row],[STD]]</f>
        <v>0.88194444444444442</v>
      </c>
    </row>
    <row r="4570" spans="1:20" hidden="1" x14ac:dyDescent="0.35">
      <c r="A4570" s="11">
        <v>46274</v>
      </c>
      <c r="B4570" s="3">
        <v>3</v>
      </c>
      <c r="C4570" t="s">
        <v>113</v>
      </c>
      <c r="D4570" t="s">
        <v>18</v>
      </c>
      <c r="E4570" s="3">
        <v>26</v>
      </c>
      <c r="F4570" t="s">
        <v>19</v>
      </c>
      <c r="G4570" t="s">
        <v>93</v>
      </c>
      <c r="H4570" t="s">
        <v>31</v>
      </c>
      <c r="I4570" s="12">
        <v>0.86111111111111116</v>
      </c>
      <c r="J4570" t="s">
        <v>94</v>
      </c>
      <c r="K4570" t="s">
        <v>31</v>
      </c>
      <c r="L4570" s="12">
        <v>0.88888888888888884</v>
      </c>
      <c r="M4570" t="s">
        <v>23</v>
      </c>
      <c r="N4570" s="3">
        <v>186</v>
      </c>
      <c r="O4570" t="s">
        <v>24</v>
      </c>
      <c r="P4570" t="s">
        <v>79</v>
      </c>
      <c r="R4570">
        <f>tblDailySchedule[[#This Row],[Capacity Approx]]*'[1]Load Factor Sheet June Acft  '!$B$5</f>
        <v>150.61772727272728</v>
      </c>
      <c r="S4570">
        <f>tblDailySchedule[[#This Row],[Capacity Approx]]*'[1]Load Factor Sheet June Acft  '!$D$5</f>
        <v>163.08818181818182</v>
      </c>
      <c r="T4570" s="22">
        <f>tblDailySchedule[[#This Row],[STD]]</f>
        <v>0.88888888888888884</v>
      </c>
    </row>
    <row r="4571" spans="1:20" hidden="1" x14ac:dyDescent="0.35">
      <c r="A4571" s="11">
        <v>46274</v>
      </c>
      <c r="B4571" s="3">
        <v>3</v>
      </c>
      <c r="C4571" t="s">
        <v>113</v>
      </c>
      <c r="D4571" t="s">
        <v>18</v>
      </c>
      <c r="E4571" s="3">
        <v>27</v>
      </c>
      <c r="F4571" t="s">
        <v>19</v>
      </c>
      <c r="G4571" t="s">
        <v>95</v>
      </c>
      <c r="H4571" t="s">
        <v>21</v>
      </c>
      <c r="I4571" s="12">
        <v>0.86805555555555558</v>
      </c>
      <c r="J4571" t="s">
        <v>96</v>
      </c>
      <c r="K4571" t="s">
        <v>21</v>
      </c>
      <c r="L4571" s="12">
        <v>0.89583333333333337</v>
      </c>
      <c r="M4571" t="s">
        <v>29</v>
      </c>
      <c r="N4571" s="3">
        <v>186</v>
      </c>
      <c r="O4571" t="s">
        <v>24</v>
      </c>
      <c r="P4571" t="s">
        <v>79</v>
      </c>
      <c r="R4571">
        <f>tblDailySchedule[[#This Row],[Capacity Approx]]*'[1]Load Factor Sheet June Acft  '!$B$5</f>
        <v>150.61772727272728</v>
      </c>
      <c r="S4571">
        <f>tblDailySchedule[[#This Row],[Capacity Approx]]*'[1]Load Factor Sheet June Acft  '!$D$5</f>
        <v>163.08818181818182</v>
      </c>
      <c r="T4571" s="22">
        <f>tblDailySchedule[[#This Row],[STD]]</f>
        <v>0.89583333333333337</v>
      </c>
    </row>
    <row r="4572" spans="1:20" hidden="1" x14ac:dyDescent="0.35">
      <c r="A4572" s="11">
        <v>46274</v>
      </c>
      <c r="B4572" s="3">
        <v>3</v>
      </c>
      <c r="C4572" t="s">
        <v>113</v>
      </c>
      <c r="D4572" t="s">
        <v>18</v>
      </c>
      <c r="E4572" s="3">
        <v>28</v>
      </c>
      <c r="F4572" t="s">
        <v>19</v>
      </c>
      <c r="G4572" t="s">
        <v>97</v>
      </c>
      <c r="H4572" t="s">
        <v>49</v>
      </c>
      <c r="I4572" s="12">
        <v>0.90277777777777779</v>
      </c>
      <c r="J4572" t="s">
        <v>97</v>
      </c>
      <c r="K4572" t="s">
        <v>61</v>
      </c>
      <c r="L4572" s="12">
        <v>0.92361111111111116</v>
      </c>
      <c r="M4572" t="s">
        <v>33</v>
      </c>
      <c r="N4572" s="3">
        <v>189</v>
      </c>
      <c r="O4572" t="s">
        <v>24</v>
      </c>
      <c r="P4572" t="s">
        <v>79</v>
      </c>
      <c r="R4572">
        <f>tblDailySchedule[[#This Row],[Capacity Approx]]*'[1]Load Factor Sheet June Acft  '!$B$5</f>
        <v>153.04704545454547</v>
      </c>
      <c r="S4572">
        <f>tblDailySchedule[[#This Row],[Capacity Approx]]*'[1]Load Factor Sheet June Acft  '!$D$5</f>
        <v>165.71863636363636</v>
      </c>
      <c r="T4572" s="22">
        <f>tblDailySchedule[[#This Row],[STD]]</f>
        <v>0.92361111111111116</v>
      </c>
    </row>
    <row r="4573" spans="1:20" hidden="1" x14ac:dyDescent="0.35">
      <c r="A4573" s="11">
        <v>46274</v>
      </c>
      <c r="B4573" s="3">
        <v>3</v>
      </c>
      <c r="C4573" t="s">
        <v>113</v>
      </c>
      <c r="D4573" t="s">
        <v>18</v>
      </c>
      <c r="E4573" s="3">
        <v>29</v>
      </c>
      <c r="F4573" t="s">
        <v>19</v>
      </c>
      <c r="G4573" t="s">
        <v>98</v>
      </c>
      <c r="H4573" t="s">
        <v>21</v>
      </c>
      <c r="I4573" s="12">
        <v>0.92013888888888884</v>
      </c>
      <c r="J4573" t="s">
        <v>99</v>
      </c>
      <c r="K4573" t="s">
        <v>21</v>
      </c>
      <c r="L4573" s="12">
        <v>0.94791666666666663</v>
      </c>
      <c r="M4573" t="s">
        <v>63</v>
      </c>
      <c r="N4573" s="3">
        <v>232</v>
      </c>
      <c r="O4573" t="s">
        <v>24</v>
      </c>
      <c r="P4573" t="s">
        <v>79</v>
      </c>
      <c r="R4573">
        <f>tblDailySchedule[[#This Row],[Capacity Approx]]*'[1]Load Factor Sheet June Acft  '!$B$5</f>
        <v>187.86727272727273</v>
      </c>
      <c r="S4573">
        <f>tblDailySchedule[[#This Row],[Capacity Approx]]*'[1]Load Factor Sheet June Acft  '!$D$5</f>
        <v>203.4218181818182</v>
      </c>
      <c r="T4573" s="22">
        <f>tblDailySchedule[[#This Row],[STD]]</f>
        <v>0.94791666666666663</v>
      </c>
    </row>
    <row r="4574" spans="1:20" hidden="1" x14ac:dyDescent="0.35">
      <c r="A4574" s="13">
        <v>46274</v>
      </c>
      <c r="B4574" s="7">
        <v>3</v>
      </c>
      <c r="C4574" s="14" t="s">
        <v>113</v>
      </c>
      <c r="D4574" s="14" t="s">
        <v>18</v>
      </c>
      <c r="E4574" s="7">
        <v>30</v>
      </c>
      <c r="F4574" s="14" t="s">
        <v>104</v>
      </c>
      <c r="G4574" s="14" t="s">
        <v>105</v>
      </c>
      <c r="H4574" s="14" t="s">
        <v>106</v>
      </c>
      <c r="I4574" s="15">
        <v>0.92708333333333337</v>
      </c>
      <c r="J4574" s="14" t="s">
        <v>107</v>
      </c>
      <c r="K4574" s="14" t="s">
        <v>106</v>
      </c>
      <c r="L4574" s="15">
        <v>0.95833333333333337</v>
      </c>
      <c r="M4574" s="14" t="s">
        <v>38</v>
      </c>
      <c r="N4574" s="7">
        <v>186</v>
      </c>
      <c r="O4574" s="14" t="s">
        <v>39</v>
      </c>
      <c r="P4574" s="14" t="s">
        <v>79</v>
      </c>
      <c r="Q4574" s="14" t="s">
        <v>39</v>
      </c>
      <c r="R4574">
        <f>tblDailySchedule[[#This Row],[Capacity Approx]]*'[1]Load Factor Sheet June Acft  '!$B$5</f>
        <v>150.61772727272728</v>
      </c>
      <c r="S4574">
        <f>tblDailySchedule[[#This Row],[Capacity Approx]]*'[1]Load Factor Sheet June Acft  '!$D$5</f>
        <v>163.08818181818182</v>
      </c>
      <c r="T4574" s="22">
        <f>tblDailySchedule[[#This Row],[STD]]</f>
        <v>0.95833333333333337</v>
      </c>
    </row>
    <row r="4575" spans="1:20" hidden="1" x14ac:dyDescent="0.35">
      <c r="A4575" s="11">
        <v>46275</v>
      </c>
      <c r="B4575" s="3">
        <v>4</v>
      </c>
      <c r="C4575" t="s">
        <v>114</v>
      </c>
      <c r="D4575" t="s">
        <v>18</v>
      </c>
      <c r="E4575" s="3">
        <v>1</v>
      </c>
      <c r="F4575" t="s">
        <v>101</v>
      </c>
      <c r="G4575" t="s">
        <v>102</v>
      </c>
      <c r="H4575" t="s">
        <v>61</v>
      </c>
      <c r="I4575" s="12">
        <v>0.3125</v>
      </c>
      <c r="J4575" t="s">
        <v>103</v>
      </c>
      <c r="K4575" t="s">
        <v>61</v>
      </c>
      <c r="L4575" s="12">
        <v>0.33333333333333331</v>
      </c>
      <c r="M4575" t="s">
        <v>33</v>
      </c>
      <c r="N4575" s="3">
        <v>189</v>
      </c>
      <c r="O4575" t="s">
        <v>24</v>
      </c>
      <c r="P4575" t="s">
        <v>25</v>
      </c>
      <c r="R4575">
        <f>tblDailySchedule[[#This Row],[Capacity Approx]]*'[1]Load Factor Sheet June Acft  '!$B$5</f>
        <v>153.04704545454547</v>
      </c>
      <c r="S4575">
        <f>tblDailySchedule[[#This Row],[Capacity Approx]]*'[1]Load Factor Sheet June Acft  '!$D$5</f>
        <v>165.71863636363636</v>
      </c>
      <c r="T4575" s="22">
        <f>tblDailySchedule[[#This Row],[STD]]</f>
        <v>0.33333333333333331</v>
      </c>
    </row>
    <row r="4576" spans="1:20" hidden="1" x14ac:dyDescent="0.35">
      <c r="A4576" s="11">
        <v>46275</v>
      </c>
      <c r="B4576" s="3">
        <v>4</v>
      </c>
      <c r="C4576" t="s">
        <v>114</v>
      </c>
      <c r="D4576" t="s">
        <v>18</v>
      </c>
      <c r="E4576" s="3">
        <v>2</v>
      </c>
      <c r="F4576" t="s">
        <v>19</v>
      </c>
      <c r="G4576" t="s">
        <v>20</v>
      </c>
      <c r="H4576" t="s">
        <v>21</v>
      </c>
      <c r="I4576" s="12">
        <v>0.31944444444444442</v>
      </c>
      <c r="J4576" t="s">
        <v>22</v>
      </c>
      <c r="K4576" t="s">
        <v>21</v>
      </c>
      <c r="L4576" s="12">
        <v>0.34722222222222221</v>
      </c>
      <c r="M4576" t="s">
        <v>23</v>
      </c>
      <c r="N4576" s="3">
        <v>186</v>
      </c>
      <c r="O4576" t="s">
        <v>24</v>
      </c>
      <c r="P4576" t="s">
        <v>25</v>
      </c>
      <c r="R4576">
        <f>tblDailySchedule[[#This Row],[Capacity Approx]]*'[1]Load Factor Sheet June Acft  '!$B$5</f>
        <v>150.61772727272728</v>
      </c>
      <c r="S4576">
        <f>tblDailySchedule[[#This Row],[Capacity Approx]]*'[1]Load Factor Sheet June Acft  '!$D$5</f>
        <v>163.08818181818182</v>
      </c>
      <c r="T4576" s="22">
        <f>tblDailySchedule[[#This Row],[STD]]</f>
        <v>0.34722222222222221</v>
      </c>
    </row>
    <row r="4577" spans="1:20" hidden="1" x14ac:dyDescent="0.35">
      <c r="A4577" s="11">
        <v>46275</v>
      </c>
      <c r="B4577" s="3">
        <v>4</v>
      </c>
      <c r="C4577" t="s">
        <v>114</v>
      </c>
      <c r="D4577" t="s">
        <v>18</v>
      </c>
      <c r="E4577" s="3">
        <v>3</v>
      </c>
      <c r="F4577" t="s">
        <v>19</v>
      </c>
      <c r="G4577" t="s">
        <v>26</v>
      </c>
      <c r="H4577" t="s">
        <v>27</v>
      </c>
      <c r="I4577" s="12">
        <v>0.3263888888888889</v>
      </c>
      <c r="J4577" t="s">
        <v>28</v>
      </c>
      <c r="K4577" t="s">
        <v>27</v>
      </c>
      <c r="L4577" s="12">
        <v>0.35416666666666669</v>
      </c>
      <c r="M4577" t="s">
        <v>29</v>
      </c>
      <c r="N4577" s="3">
        <v>186</v>
      </c>
      <c r="O4577" t="s">
        <v>24</v>
      </c>
      <c r="P4577" t="s">
        <v>25</v>
      </c>
      <c r="R4577">
        <f>tblDailySchedule[[#This Row],[Capacity Approx]]*'[1]Load Factor Sheet June Acft  '!$B$5</f>
        <v>150.61772727272728</v>
      </c>
      <c r="S4577">
        <f>tblDailySchedule[[#This Row],[Capacity Approx]]*'[1]Load Factor Sheet June Acft  '!$D$5</f>
        <v>163.08818181818182</v>
      </c>
      <c r="T4577" s="22">
        <f>tblDailySchedule[[#This Row],[STD]]</f>
        <v>0.35416666666666669</v>
      </c>
    </row>
    <row r="4578" spans="1:20" hidden="1" x14ac:dyDescent="0.35">
      <c r="A4578" s="11">
        <v>46275</v>
      </c>
      <c r="B4578" s="3">
        <v>4</v>
      </c>
      <c r="C4578" t="s">
        <v>114</v>
      </c>
      <c r="D4578" t="s">
        <v>18</v>
      </c>
      <c r="E4578" s="3">
        <v>4</v>
      </c>
      <c r="F4578" t="s">
        <v>19</v>
      </c>
      <c r="G4578" t="s">
        <v>30</v>
      </c>
      <c r="H4578" t="s">
        <v>31</v>
      </c>
      <c r="I4578" s="12">
        <v>0.34722222222222221</v>
      </c>
      <c r="J4578" t="s">
        <v>32</v>
      </c>
      <c r="K4578" t="s">
        <v>31</v>
      </c>
      <c r="L4578" s="12">
        <v>0.36805555555555558</v>
      </c>
      <c r="M4578" t="s">
        <v>33</v>
      </c>
      <c r="N4578" s="3">
        <v>189</v>
      </c>
      <c r="O4578" t="s">
        <v>24</v>
      </c>
      <c r="P4578" t="s">
        <v>25</v>
      </c>
      <c r="R4578">
        <f>tblDailySchedule[[#This Row],[Capacity Approx]]*'[1]Load Factor Sheet June Acft  '!$B$5</f>
        <v>153.04704545454547</v>
      </c>
      <c r="S4578">
        <f>tblDailySchedule[[#This Row],[Capacity Approx]]*'[1]Load Factor Sheet June Acft  '!$D$5</f>
        <v>165.71863636363636</v>
      </c>
      <c r="T4578" s="22">
        <f>tblDailySchedule[[#This Row],[STD]]</f>
        <v>0.36805555555555558</v>
      </c>
    </row>
    <row r="4579" spans="1:20" hidden="1" x14ac:dyDescent="0.35">
      <c r="A4579" s="11">
        <v>46275</v>
      </c>
      <c r="B4579" s="3">
        <v>4</v>
      </c>
      <c r="C4579" t="s">
        <v>114</v>
      </c>
      <c r="D4579" t="s">
        <v>18</v>
      </c>
      <c r="E4579" s="3">
        <v>5</v>
      </c>
      <c r="F4579" t="s">
        <v>19</v>
      </c>
      <c r="G4579" t="s">
        <v>40</v>
      </c>
      <c r="H4579" t="s">
        <v>31</v>
      </c>
      <c r="I4579" s="12">
        <v>0.35069444444444442</v>
      </c>
      <c r="J4579" t="s">
        <v>41</v>
      </c>
      <c r="K4579" t="s">
        <v>31</v>
      </c>
      <c r="L4579" s="12">
        <v>0.37152777777777779</v>
      </c>
      <c r="M4579" t="s">
        <v>23</v>
      </c>
      <c r="N4579" s="3">
        <v>186</v>
      </c>
      <c r="O4579" t="s">
        <v>24</v>
      </c>
      <c r="P4579" t="s">
        <v>25</v>
      </c>
      <c r="R4579">
        <f>tblDailySchedule[[#This Row],[Capacity Approx]]*'[1]Load Factor Sheet June Acft  '!$B$5</f>
        <v>150.61772727272728</v>
      </c>
      <c r="S4579">
        <f>tblDailySchedule[[#This Row],[Capacity Approx]]*'[1]Load Factor Sheet June Acft  '!$D$5</f>
        <v>163.08818181818182</v>
      </c>
      <c r="T4579" s="22">
        <f>tblDailySchedule[[#This Row],[STD]]</f>
        <v>0.37152777777777779</v>
      </c>
    </row>
    <row r="4580" spans="1:20" hidden="1" x14ac:dyDescent="0.35">
      <c r="A4580" s="11">
        <v>46275</v>
      </c>
      <c r="B4580" s="3">
        <v>4</v>
      </c>
      <c r="C4580" t="s">
        <v>114</v>
      </c>
      <c r="D4580" t="s">
        <v>18</v>
      </c>
      <c r="E4580" s="3">
        <v>7</v>
      </c>
      <c r="F4580" t="s">
        <v>19</v>
      </c>
      <c r="G4580" t="s">
        <v>42</v>
      </c>
      <c r="H4580" t="s">
        <v>43</v>
      </c>
      <c r="I4580" s="12">
        <v>0.3923611111111111</v>
      </c>
      <c r="J4580" t="s">
        <v>44</v>
      </c>
      <c r="K4580" t="s">
        <v>43</v>
      </c>
      <c r="L4580" s="12">
        <v>0.40277777777777779</v>
      </c>
      <c r="M4580" t="s">
        <v>45</v>
      </c>
      <c r="N4580" s="3">
        <v>9</v>
      </c>
      <c r="O4580" t="s">
        <v>24</v>
      </c>
      <c r="P4580" t="s">
        <v>25</v>
      </c>
      <c r="R4580">
        <f>tblDailySchedule[[#This Row],[Capacity Approx]]*'[1]Load Factor Sheet June Acft  '!$B$5</f>
        <v>7.2879545454545456</v>
      </c>
      <c r="S4580">
        <f>tblDailySchedule[[#This Row],[Capacity Approx]]*'[1]Load Factor Sheet June Acft  '!$D$5</f>
        <v>7.8913636363636366</v>
      </c>
      <c r="T4580" s="22">
        <f>tblDailySchedule[[#This Row],[STD]]</f>
        <v>0.40277777777777779</v>
      </c>
    </row>
    <row r="4581" spans="1:20" hidden="1" x14ac:dyDescent="0.35">
      <c r="A4581" s="11">
        <v>46275</v>
      </c>
      <c r="B4581" s="3">
        <v>4</v>
      </c>
      <c r="C4581" t="s">
        <v>114</v>
      </c>
      <c r="D4581" t="s">
        <v>18</v>
      </c>
      <c r="E4581" s="3">
        <v>8</v>
      </c>
      <c r="F4581" t="s">
        <v>19</v>
      </c>
      <c r="G4581" t="s">
        <v>46</v>
      </c>
      <c r="H4581" t="s">
        <v>31</v>
      </c>
      <c r="I4581" s="12">
        <v>0.4201388888888889</v>
      </c>
      <c r="J4581" t="s">
        <v>47</v>
      </c>
      <c r="K4581" t="s">
        <v>31</v>
      </c>
      <c r="L4581" s="12">
        <v>0.44444444444444442</v>
      </c>
      <c r="M4581" t="s">
        <v>29</v>
      </c>
      <c r="N4581" s="3">
        <v>186</v>
      </c>
      <c r="O4581" t="s">
        <v>24</v>
      </c>
      <c r="P4581" t="s">
        <v>25</v>
      </c>
      <c r="R4581">
        <f>tblDailySchedule[[#This Row],[Capacity Approx]]*'[1]Load Factor Sheet June Acft  '!$B$5</f>
        <v>150.61772727272728</v>
      </c>
      <c r="S4581">
        <f>tblDailySchedule[[#This Row],[Capacity Approx]]*'[1]Load Factor Sheet June Acft  '!$D$5</f>
        <v>163.08818181818182</v>
      </c>
      <c r="T4581" s="22">
        <f>tblDailySchedule[[#This Row],[STD]]</f>
        <v>0.44444444444444442</v>
      </c>
    </row>
    <row r="4582" spans="1:20" hidden="1" x14ac:dyDescent="0.35">
      <c r="A4582" s="11">
        <v>46275</v>
      </c>
      <c r="B4582" s="3">
        <v>4</v>
      </c>
      <c r="C4582" t="s">
        <v>114</v>
      </c>
      <c r="D4582" t="s">
        <v>18</v>
      </c>
      <c r="E4582" s="3">
        <v>9</v>
      </c>
      <c r="F4582" t="s">
        <v>19</v>
      </c>
      <c r="G4582" t="s">
        <v>48</v>
      </c>
      <c r="H4582" t="s">
        <v>49</v>
      </c>
      <c r="I4582" s="12">
        <v>0.4375</v>
      </c>
      <c r="J4582" t="s">
        <v>50</v>
      </c>
      <c r="K4582" t="s">
        <v>49</v>
      </c>
      <c r="L4582" s="12">
        <v>0.45833333333333331</v>
      </c>
      <c r="M4582" t="s">
        <v>51</v>
      </c>
      <c r="N4582" s="3">
        <v>78</v>
      </c>
      <c r="O4582" t="s">
        <v>24</v>
      </c>
      <c r="P4582" t="s">
        <v>25</v>
      </c>
      <c r="R4582">
        <f>tblDailySchedule[[#This Row],[Capacity Approx]]*'[1]Load Factor Sheet June Acft  '!$B$5</f>
        <v>63.162272727272729</v>
      </c>
      <c r="S4582">
        <f>tblDailySchedule[[#This Row],[Capacity Approx]]*'[1]Load Factor Sheet June Acft  '!$D$5</f>
        <v>68.391818181818181</v>
      </c>
      <c r="T4582" s="22">
        <f>tblDailySchedule[[#This Row],[STD]]</f>
        <v>0.45833333333333331</v>
      </c>
    </row>
    <row r="4583" spans="1:20" hidden="1" x14ac:dyDescent="0.35">
      <c r="A4583" s="11">
        <v>46275</v>
      </c>
      <c r="B4583" s="3">
        <v>4</v>
      </c>
      <c r="C4583" t="s">
        <v>114</v>
      </c>
      <c r="D4583" t="s">
        <v>18</v>
      </c>
      <c r="E4583" s="3">
        <v>10</v>
      </c>
      <c r="F4583" t="s">
        <v>19</v>
      </c>
      <c r="G4583" t="s">
        <v>52</v>
      </c>
      <c r="H4583" t="s">
        <v>27</v>
      </c>
      <c r="I4583" s="12">
        <v>0.4826388888888889</v>
      </c>
      <c r="J4583" t="s">
        <v>53</v>
      </c>
      <c r="K4583" t="s">
        <v>27</v>
      </c>
      <c r="L4583" s="12">
        <v>0.51041666666666663</v>
      </c>
      <c r="M4583" t="s">
        <v>23</v>
      </c>
      <c r="N4583" s="3">
        <v>186</v>
      </c>
      <c r="O4583" t="s">
        <v>24</v>
      </c>
      <c r="P4583" t="s">
        <v>25</v>
      </c>
      <c r="R4583">
        <f>tblDailySchedule[[#This Row],[Capacity Approx]]*'[1]Load Factor Sheet June Acft  '!$B$5</f>
        <v>150.61772727272728</v>
      </c>
      <c r="S4583">
        <f>tblDailySchedule[[#This Row],[Capacity Approx]]*'[1]Load Factor Sheet June Acft  '!$D$5</f>
        <v>163.08818181818182</v>
      </c>
      <c r="T4583" s="22">
        <f>tblDailySchedule[[#This Row],[STD]]</f>
        <v>0.51041666666666663</v>
      </c>
    </row>
    <row r="4584" spans="1:20" hidden="1" x14ac:dyDescent="0.35">
      <c r="A4584" s="11">
        <v>46275</v>
      </c>
      <c r="B4584" s="3">
        <v>4</v>
      </c>
      <c r="C4584" t="s">
        <v>114</v>
      </c>
      <c r="D4584" t="s">
        <v>18</v>
      </c>
      <c r="E4584" s="3">
        <v>11</v>
      </c>
      <c r="F4584" t="s">
        <v>19</v>
      </c>
      <c r="G4584" t="s">
        <v>54</v>
      </c>
      <c r="H4584" t="s">
        <v>31</v>
      </c>
      <c r="I4584" s="12">
        <v>0.51388888888888884</v>
      </c>
      <c r="J4584" t="s">
        <v>55</v>
      </c>
      <c r="K4584" t="s">
        <v>31</v>
      </c>
      <c r="L4584" s="12">
        <v>0.54166666666666663</v>
      </c>
      <c r="M4584" t="s">
        <v>23</v>
      </c>
      <c r="N4584" s="3">
        <v>186</v>
      </c>
      <c r="O4584" t="s">
        <v>24</v>
      </c>
      <c r="P4584" t="s">
        <v>56</v>
      </c>
      <c r="R4584">
        <f>tblDailySchedule[[#This Row],[Capacity Approx]]*'[1]Load Factor Sheet June Acft  '!$B$5</f>
        <v>150.61772727272728</v>
      </c>
      <c r="S4584">
        <f>tblDailySchedule[[#This Row],[Capacity Approx]]*'[1]Load Factor Sheet June Acft  '!$D$5</f>
        <v>163.08818181818182</v>
      </c>
      <c r="T4584" s="22">
        <f>tblDailySchedule[[#This Row],[STD]]</f>
        <v>0.54166666666666663</v>
      </c>
    </row>
    <row r="4585" spans="1:20" hidden="1" x14ac:dyDescent="0.35">
      <c r="A4585" s="11">
        <v>46275</v>
      </c>
      <c r="B4585" s="3">
        <v>4</v>
      </c>
      <c r="C4585" t="s">
        <v>114</v>
      </c>
      <c r="D4585" t="s">
        <v>18</v>
      </c>
      <c r="E4585" s="3">
        <v>12</v>
      </c>
      <c r="F4585" t="s">
        <v>109</v>
      </c>
      <c r="G4585" t="s">
        <v>110</v>
      </c>
      <c r="H4585" t="s">
        <v>111</v>
      </c>
      <c r="I4585" s="12">
        <v>0.55555555555555558</v>
      </c>
      <c r="J4585" t="s">
        <v>112</v>
      </c>
      <c r="K4585" t="s">
        <v>111</v>
      </c>
      <c r="L4585" s="12">
        <v>0.56944444444444442</v>
      </c>
      <c r="M4585" t="s">
        <v>51</v>
      </c>
      <c r="N4585" s="3">
        <v>78</v>
      </c>
      <c r="O4585" t="s">
        <v>24</v>
      </c>
      <c r="P4585" t="s">
        <v>56</v>
      </c>
      <c r="R4585">
        <f>tblDailySchedule[[#This Row],[Capacity Approx]]*'[1]Load Factor Sheet June Acft  '!$B$5</f>
        <v>63.162272727272729</v>
      </c>
      <c r="S4585">
        <f>tblDailySchedule[[#This Row],[Capacity Approx]]*'[1]Load Factor Sheet June Acft  '!$D$5</f>
        <v>68.391818181818181</v>
      </c>
      <c r="T4585" s="22">
        <f>tblDailySchedule[[#This Row],[STD]]</f>
        <v>0.56944444444444442</v>
      </c>
    </row>
    <row r="4586" spans="1:20" hidden="1" x14ac:dyDescent="0.35">
      <c r="A4586" s="11">
        <v>46275</v>
      </c>
      <c r="B4586" s="3">
        <v>4</v>
      </c>
      <c r="C4586" t="s">
        <v>114</v>
      </c>
      <c r="D4586" t="s">
        <v>18</v>
      </c>
      <c r="E4586" s="3">
        <v>13</v>
      </c>
      <c r="F4586" t="s">
        <v>19</v>
      </c>
      <c r="G4586" t="s">
        <v>57</v>
      </c>
      <c r="H4586" t="s">
        <v>58</v>
      </c>
      <c r="I4586" s="12">
        <v>0.55902777777777779</v>
      </c>
      <c r="J4586" t="s">
        <v>59</v>
      </c>
      <c r="K4586" t="s">
        <v>58</v>
      </c>
      <c r="L4586" s="12">
        <v>0.57638888888888884</v>
      </c>
      <c r="M4586" t="s">
        <v>51</v>
      </c>
      <c r="N4586" s="3">
        <v>78</v>
      </c>
      <c r="O4586" t="s">
        <v>24</v>
      </c>
      <c r="P4586" t="s">
        <v>56</v>
      </c>
      <c r="R4586">
        <f>tblDailySchedule[[#This Row],[Capacity Approx]]*'[1]Load Factor Sheet June Acft  '!$B$5</f>
        <v>63.162272727272729</v>
      </c>
      <c r="S4586">
        <f>tblDailySchedule[[#This Row],[Capacity Approx]]*'[1]Load Factor Sheet June Acft  '!$D$5</f>
        <v>68.391818181818181</v>
      </c>
      <c r="T4586" s="22">
        <f>tblDailySchedule[[#This Row],[STD]]</f>
        <v>0.57638888888888884</v>
      </c>
    </row>
    <row r="4587" spans="1:20" hidden="1" x14ac:dyDescent="0.35">
      <c r="A4587" s="11">
        <v>46275</v>
      </c>
      <c r="B4587" s="3">
        <v>4</v>
      </c>
      <c r="C4587" t="s">
        <v>114</v>
      </c>
      <c r="D4587" t="s">
        <v>18</v>
      </c>
      <c r="E4587" s="3">
        <v>14</v>
      </c>
      <c r="F4587" t="s">
        <v>19</v>
      </c>
      <c r="G4587" t="s">
        <v>60</v>
      </c>
      <c r="H4587" t="s">
        <v>61</v>
      </c>
      <c r="I4587" s="12">
        <v>0.59027777777777779</v>
      </c>
      <c r="J4587" t="s">
        <v>62</v>
      </c>
      <c r="K4587" t="s">
        <v>61</v>
      </c>
      <c r="L4587" s="12">
        <v>0.62152777777777779</v>
      </c>
      <c r="M4587" t="s">
        <v>63</v>
      </c>
      <c r="N4587" s="3">
        <v>232</v>
      </c>
      <c r="O4587" t="s">
        <v>24</v>
      </c>
      <c r="P4587" t="s">
        <v>56</v>
      </c>
      <c r="R4587">
        <f>tblDailySchedule[[#This Row],[Capacity Approx]]*'[1]Load Factor Sheet June Acft  '!$B$5</f>
        <v>187.86727272727273</v>
      </c>
      <c r="S4587">
        <f>tblDailySchedule[[#This Row],[Capacity Approx]]*'[1]Load Factor Sheet June Acft  '!$D$5</f>
        <v>203.4218181818182</v>
      </c>
      <c r="T4587" s="22">
        <f>tblDailySchedule[[#This Row],[STD]]</f>
        <v>0.62152777777777779</v>
      </c>
    </row>
    <row r="4588" spans="1:20" hidden="1" x14ac:dyDescent="0.35">
      <c r="A4588" s="11">
        <v>46275</v>
      </c>
      <c r="B4588" s="3">
        <v>4</v>
      </c>
      <c r="C4588" t="s">
        <v>114</v>
      </c>
      <c r="D4588" t="s">
        <v>18</v>
      </c>
      <c r="E4588" s="3">
        <v>15</v>
      </c>
      <c r="F4588" t="s">
        <v>19</v>
      </c>
      <c r="G4588" t="s">
        <v>64</v>
      </c>
      <c r="H4588" t="s">
        <v>31</v>
      </c>
      <c r="I4588" s="12">
        <v>0.60069444444444442</v>
      </c>
      <c r="J4588" t="s">
        <v>65</v>
      </c>
      <c r="K4588" t="s">
        <v>66</v>
      </c>
      <c r="L4588" s="12">
        <v>0.62847222222222221</v>
      </c>
      <c r="M4588" t="s">
        <v>63</v>
      </c>
      <c r="N4588" s="3">
        <v>232</v>
      </c>
      <c r="O4588" t="s">
        <v>24</v>
      </c>
      <c r="P4588" t="s">
        <v>56</v>
      </c>
      <c r="R4588">
        <f>tblDailySchedule[[#This Row],[Capacity Approx]]*'[1]Load Factor Sheet June Acft  '!$B$5</f>
        <v>187.86727272727273</v>
      </c>
      <c r="S4588">
        <f>tblDailySchedule[[#This Row],[Capacity Approx]]*'[1]Load Factor Sheet June Acft  '!$D$5</f>
        <v>203.4218181818182</v>
      </c>
      <c r="T4588" s="22">
        <f>tblDailySchedule[[#This Row],[STD]]</f>
        <v>0.62847222222222221</v>
      </c>
    </row>
    <row r="4589" spans="1:20" hidden="1" x14ac:dyDescent="0.35">
      <c r="A4589" s="11">
        <v>46275</v>
      </c>
      <c r="B4589" s="3">
        <v>4</v>
      </c>
      <c r="C4589" t="s">
        <v>114</v>
      </c>
      <c r="D4589" t="s">
        <v>18</v>
      </c>
      <c r="E4589" s="3">
        <v>16</v>
      </c>
      <c r="F4589" t="s">
        <v>19</v>
      </c>
      <c r="G4589" t="s">
        <v>67</v>
      </c>
      <c r="H4589" t="s">
        <v>31</v>
      </c>
      <c r="I4589" s="12">
        <v>0.65625</v>
      </c>
      <c r="J4589" t="s">
        <v>68</v>
      </c>
      <c r="K4589" t="s">
        <v>31</v>
      </c>
      <c r="L4589" s="12">
        <v>0.68402777777777779</v>
      </c>
      <c r="M4589" t="s">
        <v>63</v>
      </c>
      <c r="N4589" s="3">
        <v>232</v>
      </c>
      <c r="O4589" t="s">
        <v>24</v>
      </c>
      <c r="P4589" t="s">
        <v>56</v>
      </c>
      <c r="R4589">
        <f>tblDailySchedule[[#This Row],[Capacity Approx]]*'[1]Load Factor Sheet June Acft  '!$B$5</f>
        <v>187.86727272727273</v>
      </c>
      <c r="S4589">
        <f>tblDailySchedule[[#This Row],[Capacity Approx]]*'[1]Load Factor Sheet June Acft  '!$D$5</f>
        <v>203.4218181818182</v>
      </c>
      <c r="T4589" s="22">
        <f>tblDailySchedule[[#This Row],[STD]]</f>
        <v>0.68402777777777779</v>
      </c>
    </row>
    <row r="4590" spans="1:20" hidden="1" x14ac:dyDescent="0.35">
      <c r="A4590" s="11">
        <v>46275</v>
      </c>
      <c r="B4590" s="3">
        <v>4</v>
      </c>
      <c r="C4590" t="s">
        <v>114</v>
      </c>
      <c r="D4590" t="s">
        <v>18</v>
      </c>
      <c r="E4590" s="3">
        <v>17</v>
      </c>
      <c r="F4590" t="s">
        <v>19</v>
      </c>
      <c r="G4590" t="s">
        <v>69</v>
      </c>
      <c r="H4590" t="s">
        <v>31</v>
      </c>
      <c r="I4590" s="12">
        <v>0.66319444444444442</v>
      </c>
      <c r="J4590" t="s">
        <v>70</v>
      </c>
      <c r="K4590" t="s">
        <v>31</v>
      </c>
      <c r="L4590" s="12">
        <v>0.69097222222222221</v>
      </c>
      <c r="M4590" t="s">
        <v>33</v>
      </c>
      <c r="N4590" s="3">
        <v>189</v>
      </c>
      <c r="O4590" t="s">
        <v>24</v>
      </c>
      <c r="P4590" t="s">
        <v>56</v>
      </c>
      <c r="R4590">
        <f>tblDailySchedule[[#This Row],[Capacity Approx]]*'[1]Load Factor Sheet June Acft  '!$B$5</f>
        <v>153.04704545454547</v>
      </c>
      <c r="S4590">
        <f>tblDailySchedule[[#This Row],[Capacity Approx]]*'[1]Load Factor Sheet June Acft  '!$D$5</f>
        <v>165.71863636363636</v>
      </c>
      <c r="T4590" s="22">
        <f>tblDailySchedule[[#This Row],[STD]]</f>
        <v>0.69097222222222221</v>
      </c>
    </row>
    <row r="4591" spans="1:20" hidden="1" x14ac:dyDescent="0.35">
      <c r="A4591" s="11">
        <v>46275</v>
      </c>
      <c r="B4591" s="3">
        <v>4</v>
      </c>
      <c r="C4591" t="s">
        <v>114</v>
      </c>
      <c r="D4591" t="s">
        <v>18</v>
      </c>
      <c r="E4591" s="3">
        <v>18</v>
      </c>
      <c r="F4591" t="s">
        <v>19</v>
      </c>
      <c r="G4591" t="s">
        <v>71</v>
      </c>
      <c r="H4591" t="s">
        <v>21</v>
      </c>
      <c r="I4591" s="12">
        <v>0.67013888888888884</v>
      </c>
      <c r="J4591" t="s">
        <v>72</v>
      </c>
      <c r="K4591" t="s">
        <v>21</v>
      </c>
      <c r="L4591" s="12">
        <v>0.69791666666666663</v>
      </c>
      <c r="M4591" t="s">
        <v>63</v>
      </c>
      <c r="N4591" s="3">
        <v>232</v>
      </c>
      <c r="O4591" t="s">
        <v>24</v>
      </c>
      <c r="P4591" t="s">
        <v>56</v>
      </c>
      <c r="R4591">
        <f>tblDailySchedule[[#This Row],[Capacity Approx]]*'[1]Load Factor Sheet June Acft  '!$B$5</f>
        <v>187.86727272727273</v>
      </c>
      <c r="S4591">
        <f>tblDailySchedule[[#This Row],[Capacity Approx]]*'[1]Load Factor Sheet June Acft  '!$D$5</f>
        <v>203.4218181818182</v>
      </c>
      <c r="T4591" s="22">
        <f>tblDailySchedule[[#This Row],[STD]]</f>
        <v>0.69791666666666663</v>
      </c>
    </row>
    <row r="4592" spans="1:20" hidden="1" x14ac:dyDescent="0.35">
      <c r="A4592" s="11">
        <v>46275</v>
      </c>
      <c r="B4592" s="3">
        <v>4</v>
      </c>
      <c r="C4592" t="s">
        <v>114</v>
      </c>
      <c r="D4592" t="s">
        <v>18</v>
      </c>
      <c r="E4592" s="3">
        <v>19</v>
      </c>
      <c r="F4592" t="s">
        <v>19</v>
      </c>
      <c r="G4592" t="s">
        <v>73</v>
      </c>
      <c r="H4592" t="s">
        <v>27</v>
      </c>
      <c r="I4592" s="12">
        <v>0.74652777777777779</v>
      </c>
      <c r="J4592" t="s">
        <v>74</v>
      </c>
      <c r="K4592" t="s">
        <v>27</v>
      </c>
      <c r="L4592" s="12">
        <v>0.77430555555555558</v>
      </c>
      <c r="M4592" t="s">
        <v>63</v>
      </c>
      <c r="N4592" s="3">
        <v>232</v>
      </c>
      <c r="O4592" t="s">
        <v>24</v>
      </c>
      <c r="P4592" t="s">
        <v>56</v>
      </c>
      <c r="R4592">
        <f>tblDailySchedule[[#This Row],[Capacity Approx]]*'[1]Load Factor Sheet June Acft  '!$B$5</f>
        <v>187.86727272727273</v>
      </c>
      <c r="S4592">
        <f>tblDailySchedule[[#This Row],[Capacity Approx]]*'[1]Load Factor Sheet June Acft  '!$D$5</f>
        <v>203.4218181818182</v>
      </c>
      <c r="T4592" s="22">
        <f>tblDailySchedule[[#This Row],[STD]]</f>
        <v>0.77430555555555558</v>
      </c>
    </row>
    <row r="4593" spans="1:20" hidden="1" x14ac:dyDescent="0.35">
      <c r="A4593" s="11">
        <v>46275</v>
      </c>
      <c r="B4593" s="3">
        <v>4</v>
      </c>
      <c r="C4593" t="s">
        <v>114</v>
      </c>
      <c r="D4593" t="s">
        <v>18</v>
      </c>
      <c r="E4593" s="3">
        <v>21</v>
      </c>
      <c r="F4593" t="s">
        <v>19</v>
      </c>
      <c r="G4593" t="s">
        <v>81</v>
      </c>
      <c r="H4593" t="s">
        <v>61</v>
      </c>
      <c r="I4593" s="12">
        <v>0.77083333333333337</v>
      </c>
      <c r="J4593" t="s">
        <v>82</v>
      </c>
      <c r="K4593" t="s">
        <v>49</v>
      </c>
      <c r="L4593" s="12">
        <v>0.79166666666666663</v>
      </c>
      <c r="M4593" t="s">
        <v>33</v>
      </c>
      <c r="N4593" s="3">
        <v>189</v>
      </c>
      <c r="O4593" t="s">
        <v>24</v>
      </c>
      <c r="P4593" t="s">
        <v>79</v>
      </c>
      <c r="R4593">
        <f>tblDailySchedule[[#This Row],[Capacity Approx]]*'[1]Load Factor Sheet June Acft  '!$B$5</f>
        <v>153.04704545454547</v>
      </c>
      <c r="S4593">
        <f>tblDailySchedule[[#This Row],[Capacity Approx]]*'[1]Load Factor Sheet June Acft  '!$D$5</f>
        <v>165.71863636363636</v>
      </c>
      <c r="T4593" s="22">
        <f>tblDailySchedule[[#This Row],[STD]]</f>
        <v>0.79166666666666663</v>
      </c>
    </row>
    <row r="4594" spans="1:20" hidden="1" x14ac:dyDescent="0.35">
      <c r="A4594" s="11">
        <v>46275</v>
      </c>
      <c r="B4594" s="3">
        <v>4</v>
      </c>
      <c r="C4594" t="s">
        <v>114</v>
      </c>
      <c r="D4594" t="s">
        <v>18</v>
      </c>
      <c r="E4594" s="3">
        <v>22</v>
      </c>
      <c r="F4594" t="s">
        <v>19</v>
      </c>
      <c r="G4594" t="s">
        <v>83</v>
      </c>
      <c r="H4594" t="s">
        <v>31</v>
      </c>
      <c r="I4594" s="12">
        <v>0.77777777777777779</v>
      </c>
      <c r="J4594" t="s">
        <v>84</v>
      </c>
      <c r="K4594" t="s">
        <v>31</v>
      </c>
      <c r="L4594" s="12">
        <v>0.80555555555555558</v>
      </c>
      <c r="M4594" t="s">
        <v>63</v>
      </c>
      <c r="N4594" s="3">
        <v>232</v>
      </c>
      <c r="O4594" t="s">
        <v>24</v>
      </c>
      <c r="P4594" t="s">
        <v>79</v>
      </c>
      <c r="R4594">
        <f>tblDailySchedule[[#This Row],[Capacity Approx]]*'[1]Load Factor Sheet June Acft  '!$B$5</f>
        <v>187.86727272727273</v>
      </c>
      <c r="S4594">
        <f>tblDailySchedule[[#This Row],[Capacity Approx]]*'[1]Load Factor Sheet June Acft  '!$D$5</f>
        <v>203.4218181818182</v>
      </c>
      <c r="T4594" s="22">
        <f>tblDailySchedule[[#This Row],[STD]]</f>
        <v>0.80555555555555558</v>
      </c>
    </row>
    <row r="4595" spans="1:20" hidden="1" x14ac:dyDescent="0.35">
      <c r="A4595" s="11">
        <v>46275</v>
      </c>
      <c r="B4595" s="3">
        <v>4</v>
      </c>
      <c r="C4595" t="s">
        <v>114</v>
      </c>
      <c r="D4595" t="s">
        <v>18</v>
      </c>
      <c r="E4595" s="3">
        <v>23</v>
      </c>
      <c r="F4595" t="s">
        <v>19</v>
      </c>
      <c r="G4595" t="s">
        <v>85</v>
      </c>
      <c r="H4595" t="s">
        <v>86</v>
      </c>
      <c r="I4595" s="12">
        <v>0.79861111111111116</v>
      </c>
      <c r="J4595" t="s">
        <v>87</v>
      </c>
      <c r="K4595" t="s">
        <v>86</v>
      </c>
      <c r="L4595" s="12">
        <v>0.82638888888888884</v>
      </c>
      <c r="M4595" t="s">
        <v>63</v>
      </c>
      <c r="N4595" s="3">
        <v>232</v>
      </c>
      <c r="O4595" t="s">
        <v>24</v>
      </c>
      <c r="P4595" t="s">
        <v>79</v>
      </c>
      <c r="R4595">
        <f>tblDailySchedule[[#This Row],[Capacity Approx]]*'[1]Load Factor Sheet June Acft  '!$B$5</f>
        <v>187.86727272727273</v>
      </c>
      <c r="S4595">
        <f>tblDailySchedule[[#This Row],[Capacity Approx]]*'[1]Load Factor Sheet June Acft  '!$D$5</f>
        <v>203.4218181818182</v>
      </c>
      <c r="T4595" s="22">
        <f>tblDailySchedule[[#This Row],[STD]]</f>
        <v>0.82638888888888884</v>
      </c>
    </row>
    <row r="4596" spans="1:20" hidden="1" x14ac:dyDescent="0.35">
      <c r="A4596" s="11">
        <v>46275</v>
      </c>
      <c r="B4596" s="3">
        <v>4</v>
      </c>
      <c r="C4596" t="s">
        <v>114</v>
      </c>
      <c r="D4596" t="s">
        <v>18</v>
      </c>
      <c r="E4596" s="3">
        <v>24</v>
      </c>
      <c r="F4596" t="s">
        <v>19</v>
      </c>
      <c r="G4596" t="s">
        <v>88</v>
      </c>
      <c r="H4596" t="s">
        <v>89</v>
      </c>
      <c r="I4596" s="12">
        <v>0.83333333333333337</v>
      </c>
      <c r="J4596" t="s">
        <v>90</v>
      </c>
      <c r="K4596" t="s">
        <v>31</v>
      </c>
      <c r="L4596" s="12">
        <v>0.86111111111111116</v>
      </c>
      <c r="M4596" t="s">
        <v>63</v>
      </c>
      <c r="N4596" s="3">
        <v>232</v>
      </c>
      <c r="O4596" t="s">
        <v>24</v>
      </c>
      <c r="P4596" t="s">
        <v>79</v>
      </c>
      <c r="R4596">
        <f>tblDailySchedule[[#This Row],[Capacity Approx]]*'[1]Load Factor Sheet June Acft  '!$B$5</f>
        <v>187.86727272727273</v>
      </c>
      <c r="S4596">
        <f>tblDailySchedule[[#This Row],[Capacity Approx]]*'[1]Load Factor Sheet June Acft  '!$D$5</f>
        <v>203.4218181818182</v>
      </c>
      <c r="T4596" s="22">
        <f>tblDailySchedule[[#This Row],[STD]]</f>
        <v>0.86111111111111116</v>
      </c>
    </row>
    <row r="4597" spans="1:20" hidden="1" x14ac:dyDescent="0.35">
      <c r="A4597" s="11">
        <v>46275</v>
      </c>
      <c r="B4597" s="3">
        <v>4</v>
      </c>
      <c r="C4597" t="s">
        <v>114</v>
      </c>
      <c r="D4597" t="s">
        <v>18</v>
      </c>
      <c r="E4597" s="3">
        <v>25</v>
      </c>
      <c r="F4597" t="s">
        <v>19</v>
      </c>
      <c r="G4597" t="s">
        <v>91</v>
      </c>
      <c r="H4597" t="s">
        <v>61</v>
      </c>
      <c r="I4597" s="12">
        <v>0.85416666666666663</v>
      </c>
      <c r="J4597" t="s">
        <v>92</v>
      </c>
      <c r="K4597" t="s">
        <v>61</v>
      </c>
      <c r="L4597" s="12">
        <v>0.88194444444444442</v>
      </c>
      <c r="M4597" t="s">
        <v>63</v>
      </c>
      <c r="N4597" s="3">
        <v>232</v>
      </c>
      <c r="O4597" t="s">
        <v>24</v>
      </c>
      <c r="P4597" t="s">
        <v>79</v>
      </c>
      <c r="R4597">
        <f>tblDailySchedule[[#This Row],[Capacity Approx]]*'[1]Load Factor Sheet June Acft  '!$B$5</f>
        <v>187.86727272727273</v>
      </c>
      <c r="S4597">
        <f>tblDailySchedule[[#This Row],[Capacity Approx]]*'[1]Load Factor Sheet June Acft  '!$D$5</f>
        <v>203.4218181818182</v>
      </c>
      <c r="T4597" s="22">
        <f>tblDailySchedule[[#This Row],[STD]]</f>
        <v>0.88194444444444442</v>
      </c>
    </row>
    <row r="4598" spans="1:20" hidden="1" x14ac:dyDescent="0.35">
      <c r="A4598" s="11">
        <v>46275</v>
      </c>
      <c r="B4598" s="3">
        <v>4</v>
      </c>
      <c r="C4598" t="s">
        <v>114</v>
      </c>
      <c r="D4598" t="s">
        <v>18</v>
      </c>
      <c r="E4598" s="3">
        <v>26</v>
      </c>
      <c r="F4598" t="s">
        <v>19</v>
      </c>
      <c r="G4598" t="s">
        <v>93</v>
      </c>
      <c r="H4598" t="s">
        <v>31</v>
      </c>
      <c r="I4598" s="12">
        <v>0.86111111111111116</v>
      </c>
      <c r="J4598" t="s">
        <v>94</v>
      </c>
      <c r="K4598" t="s">
        <v>31</v>
      </c>
      <c r="L4598" s="12">
        <v>0.88888888888888884</v>
      </c>
      <c r="M4598" t="s">
        <v>23</v>
      </c>
      <c r="N4598" s="3">
        <v>186</v>
      </c>
      <c r="O4598" t="s">
        <v>24</v>
      </c>
      <c r="P4598" t="s">
        <v>79</v>
      </c>
      <c r="R4598">
        <f>tblDailySchedule[[#This Row],[Capacity Approx]]*'[1]Load Factor Sheet June Acft  '!$B$5</f>
        <v>150.61772727272728</v>
      </c>
      <c r="S4598">
        <f>tblDailySchedule[[#This Row],[Capacity Approx]]*'[1]Load Factor Sheet June Acft  '!$D$5</f>
        <v>163.08818181818182</v>
      </c>
      <c r="T4598" s="22">
        <f>tblDailySchedule[[#This Row],[STD]]</f>
        <v>0.88888888888888884</v>
      </c>
    </row>
    <row r="4599" spans="1:20" hidden="1" x14ac:dyDescent="0.35">
      <c r="A4599" s="11">
        <v>46275</v>
      </c>
      <c r="B4599" s="3">
        <v>4</v>
      </c>
      <c r="C4599" t="s">
        <v>114</v>
      </c>
      <c r="D4599" t="s">
        <v>18</v>
      </c>
      <c r="E4599" s="3">
        <v>27</v>
      </c>
      <c r="F4599" t="s">
        <v>19</v>
      </c>
      <c r="G4599" t="s">
        <v>95</v>
      </c>
      <c r="H4599" t="s">
        <v>21</v>
      </c>
      <c r="I4599" s="12">
        <v>0.86805555555555558</v>
      </c>
      <c r="J4599" t="s">
        <v>96</v>
      </c>
      <c r="K4599" t="s">
        <v>21</v>
      </c>
      <c r="L4599" s="12">
        <v>0.89583333333333337</v>
      </c>
      <c r="M4599" t="s">
        <v>29</v>
      </c>
      <c r="N4599" s="3">
        <v>186</v>
      </c>
      <c r="O4599" t="s">
        <v>24</v>
      </c>
      <c r="P4599" t="s">
        <v>79</v>
      </c>
      <c r="R4599">
        <f>tblDailySchedule[[#This Row],[Capacity Approx]]*'[1]Load Factor Sheet June Acft  '!$B$5</f>
        <v>150.61772727272728</v>
      </c>
      <c r="S4599">
        <f>tblDailySchedule[[#This Row],[Capacity Approx]]*'[1]Load Factor Sheet June Acft  '!$D$5</f>
        <v>163.08818181818182</v>
      </c>
      <c r="T4599" s="22">
        <f>tblDailySchedule[[#This Row],[STD]]</f>
        <v>0.89583333333333337</v>
      </c>
    </row>
    <row r="4600" spans="1:20" hidden="1" x14ac:dyDescent="0.35">
      <c r="A4600" s="11">
        <v>46275</v>
      </c>
      <c r="B4600" s="3">
        <v>4</v>
      </c>
      <c r="C4600" t="s">
        <v>114</v>
      </c>
      <c r="D4600" t="s">
        <v>18</v>
      </c>
      <c r="E4600" s="3">
        <v>28</v>
      </c>
      <c r="F4600" t="s">
        <v>19</v>
      </c>
      <c r="G4600" t="s">
        <v>97</v>
      </c>
      <c r="H4600" t="s">
        <v>49</v>
      </c>
      <c r="I4600" s="12">
        <v>0.90277777777777779</v>
      </c>
      <c r="J4600" t="s">
        <v>97</v>
      </c>
      <c r="K4600" t="s">
        <v>61</v>
      </c>
      <c r="L4600" s="12">
        <v>0.92361111111111116</v>
      </c>
      <c r="M4600" t="s">
        <v>33</v>
      </c>
      <c r="N4600" s="3">
        <v>189</v>
      </c>
      <c r="O4600" t="s">
        <v>24</v>
      </c>
      <c r="P4600" t="s">
        <v>79</v>
      </c>
      <c r="R4600">
        <f>tblDailySchedule[[#This Row],[Capacity Approx]]*'[1]Load Factor Sheet June Acft  '!$B$5</f>
        <v>153.04704545454547</v>
      </c>
      <c r="S4600">
        <f>tblDailySchedule[[#This Row],[Capacity Approx]]*'[1]Load Factor Sheet June Acft  '!$D$5</f>
        <v>165.71863636363636</v>
      </c>
      <c r="T4600" s="22">
        <f>tblDailySchedule[[#This Row],[STD]]</f>
        <v>0.92361111111111116</v>
      </c>
    </row>
    <row r="4601" spans="1:20" hidden="1" x14ac:dyDescent="0.35">
      <c r="A4601" s="11">
        <v>46275</v>
      </c>
      <c r="B4601" s="3">
        <v>4</v>
      </c>
      <c r="C4601" t="s">
        <v>114</v>
      </c>
      <c r="D4601" t="s">
        <v>18</v>
      </c>
      <c r="E4601" s="3">
        <v>29</v>
      </c>
      <c r="F4601" t="s">
        <v>19</v>
      </c>
      <c r="G4601" t="s">
        <v>98</v>
      </c>
      <c r="H4601" t="s">
        <v>21</v>
      </c>
      <c r="I4601" s="12">
        <v>0.92013888888888884</v>
      </c>
      <c r="J4601" t="s">
        <v>99</v>
      </c>
      <c r="K4601" t="s">
        <v>21</v>
      </c>
      <c r="L4601" s="12">
        <v>0.94791666666666663</v>
      </c>
      <c r="M4601" t="s">
        <v>63</v>
      </c>
      <c r="N4601" s="3">
        <v>232</v>
      </c>
      <c r="O4601" t="s">
        <v>24</v>
      </c>
      <c r="P4601" t="s">
        <v>79</v>
      </c>
      <c r="R4601">
        <f>tblDailySchedule[[#This Row],[Capacity Approx]]*'[1]Load Factor Sheet June Acft  '!$B$5</f>
        <v>187.86727272727273</v>
      </c>
      <c r="S4601">
        <f>tblDailySchedule[[#This Row],[Capacity Approx]]*'[1]Load Factor Sheet June Acft  '!$D$5</f>
        <v>203.4218181818182</v>
      </c>
      <c r="T4601" s="22">
        <f>tblDailySchedule[[#This Row],[STD]]</f>
        <v>0.94791666666666663</v>
      </c>
    </row>
    <row r="4602" spans="1:20" hidden="1" x14ac:dyDescent="0.35">
      <c r="A4602" s="11">
        <v>46276</v>
      </c>
      <c r="B4602" s="3">
        <v>5</v>
      </c>
      <c r="C4602" t="s">
        <v>115</v>
      </c>
      <c r="D4602" t="s">
        <v>18</v>
      </c>
      <c r="E4602" s="3">
        <v>2</v>
      </c>
      <c r="F4602" t="s">
        <v>19</v>
      </c>
      <c r="G4602" t="s">
        <v>20</v>
      </c>
      <c r="H4602" t="s">
        <v>21</v>
      </c>
      <c r="I4602" s="12">
        <v>0.31944444444444442</v>
      </c>
      <c r="J4602" t="s">
        <v>22</v>
      </c>
      <c r="K4602" t="s">
        <v>21</v>
      </c>
      <c r="L4602" s="12">
        <v>0.34722222222222221</v>
      </c>
      <c r="M4602" t="s">
        <v>23</v>
      </c>
      <c r="N4602" s="3">
        <v>186</v>
      </c>
      <c r="O4602" t="s">
        <v>24</v>
      </c>
      <c r="P4602" t="s">
        <v>25</v>
      </c>
      <c r="R4602">
        <f>tblDailySchedule[[#This Row],[Capacity Approx]]*'[1]Load Factor Sheet June Acft  '!$B$5</f>
        <v>150.61772727272728</v>
      </c>
      <c r="S4602">
        <f>tblDailySchedule[[#This Row],[Capacity Approx]]*'[1]Load Factor Sheet June Acft  '!$D$5</f>
        <v>163.08818181818182</v>
      </c>
      <c r="T4602" s="22">
        <f>tblDailySchedule[[#This Row],[STD]]</f>
        <v>0.34722222222222221</v>
      </c>
    </row>
    <row r="4603" spans="1:20" hidden="1" x14ac:dyDescent="0.35">
      <c r="A4603" s="11">
        <v>46276</v>
      </c>
      <c r="B4603" s="3">
        <v>5</v>
      </c>
      <c r="C4603" t="s">
        <v>115</v>
      </c>
      <c r="D4603" t="s">
        <v>18</v>
      </c>
      <c r="E4603" s="3">
        <v>3</v>
      </c>
      <c r="F4603" t="s">
        <v>19</v>
      </c>
      <c r="G4603" t="s">
        <v>26</v>
      </c>
      <c r="H4603" t="s">
        <v>27</v>
      </c>
      <c r="I4603" s="12">
        <v>0.3263888888888889</v>
      </c>
      <c r="J4603" t="s">
        <v>28</v>
      </c>
      <c r="K4603" t="s">
        <v>27</v>
      </c>
      <c r="L4603" s="12">
        <v>0.35416666666666669</v>
      </c>
      <c r="M4603" t="s">
        <v>29</v>
      </c>
      <c r="N4603" s="3">
        <v>186</v>
      </c>
      <c r="O4603" t="s">
        <v>24</v>
      </c>
      <c r="P4603" t="s">
        <v>25</v>
      </c>
      <c r="R4603">
        <f>tblDailySchedule[[#This Row],[Capacity Approx]]*'[1]Load Factor Sheet June Acft  '!$B$5</f>
        <v>150.61772727272728</v>
      </c>
      <c r="S4603">
        <f>tblDailySchedule[[#This Row],[Capacity Approx]]*'[1]Load Factor Sheet June Acft  '!$D$5</f>
        <v>163.08818181818182</v>
      </c>
      <c r="T4603" s="22">
        <f>tblDailySchedule[[#This Row],[STD]]</f>
        <v>0.35416666666666669</v>
      </c>
    </row>
    <row r="4604" spans="1:20" hidden="1" x14ac:dyDescent="0.35">
      <c r="A4604" s="11">
        <v>46276</v>
      </c>
      <c r="B4604" s="3">
        <v>5</v>
      </c>
      <c r="C4604" t="s">
        <v>115</v>
      </c>
      <c r="D4604" t="s">
        <v>18</v>
      </c>
      <c r="E4604" s="3">
        <v>4</v>
      </c>
      <c r="F4604" t="s">
        <v>19</v>
      </c>
      <c r="G4604" t="s">
        <v>30</v>
      </c>
      <c r="H4604" t="s">
        <v>31</v>
      </c>
      <c r="I4604" s="12">
        <v>0.34722222222222221</v>
      </c>
      <c r="J4604" t="s">
        <v>32</v>
      </c>
      <c r="K4604" t="s">
        <v>31</v>
      </c>
      <c r="L4604" s="12">
        <v>0.36805555555555558</v>
      </c>
      <c r="M4604" t="s">
        <v>33</v>
      </c>
      <c r="N4604" s="3">
        <v>189</v>
      </c>
      <c r="O4604" t="s">
        <v>24</v>
      </c>
      <c r="P4604" t="s">
        <v>25</v>
      </c>
      <c r="R4604">
        <f>tblDailySchedule[[#This Row],[Capacity Approx]]*'[1]Load Factor Sheet June Acft  '!$B$5</f>
        <v>153.04704545454547</v>
      </c>
      <c r="S4604">
        <f>tblDailySchedule[[#This Row],[Capacity Approx]]*'[1]Load Factor Sheet June Acft  '!$D$5</f>
        <v>165.71863636363636</v>
      </c>
      <c r="T4604" s="22">
        <f>tblDailySchedule[[#This Row],[STD]]</f>
        <v>0.36805555555555558</v>
      </c>
    </row>
    <row r="4605" spans="1:20" hidden="1" x14ac:dyDescent="0.35">
      <c r="A4605" s="13">
        <v>46276</v>
      </c>
      <c r="B4605" s="7">
        <v>5</v>
      </c>
      <c r="C4605" s="14" t="s">
        <v>115</v>
      </c>
      <c r="D4605" s="14" t="s">
        <v>18</v>
      </c>
      <c r="E4605" s="7">
        <v>6</v>
      </c>
      <c r="F4605" s="14" t="s">
        <v>34</v>
      </c>
      <c r="G4605" s="14" t="s">
        <v>35</v>
      </c>
      <c r="H4605" s="14" t="s">
        <v>36</v>
      </c>
      <c r="I4605" s="15">
        <v>0.34722222222222221</v>
      </c>
      <c r="J4605" s="14" t="s">
        <v>37</v>
      </c>
      <c r="K4605" s="14" t="s">
        <v>36</v>
      </c>
      <c r="L4605" s="15">
        <v>0.40972222222222221</v>
      </c>
      <c r="M4605" s="14" t="s">
        <v>38</v>
      </c>
      <c r="N4605" s="7">
        <v>186</v>
      </c>
      <c r="O4605" s="14" t="s">
        <v>39</v>
      </c>
      <c r="P4605" s="14" t="s">
        <v>25</v>
      </c>
      <c r="Q4605" s="14" t="s">
        <v>39</v>
      </c>
      <c r="R4605">
        <f>tblDailySchedule[[#This Row],[Capacity Approx]]*'[1]Load Factor Sheet June Acft  '!$B$5</f>
        <v>150.61772727272728</v>
      </c>
      <c r="S4605">
        <f>tblDailySchedule[[#This Row],[Capacity Approx]]*'[1]Load Factor Sheet June Acft  '!$D$5</f>
        <v>163.08818181818182</v>
      </c>
      <c r="T4605" s="22">
        <f>tblDailySchedule[[#This Row],[STD]]</f>
        <v>0.40972222222222221</v>
      </c>
    </row>
    <row r="4606" spans="1:20" hidden="1" x14ac:dyDescent="0.35">
      <c r="A4606" s="11">
        <v>46276</v>
      </c>
      <c r="B4606" s="3">
        <v>5</v>
      </c>
      <c r="C4606" t="s">
        <v>115</v>
      </c>
      <c r="D4606" t="s">
        <v>18</v>
      </c>
      <c r="E4606" s="3">
        <v>5</v>
      </c>
      <c r="F4606" t="s">
        <v>19</v>
      </c>
      <c r="G4606" t="s">
        <v>40</v>
      </c>
      <c r="H4606" t="s">
        <v>31</v>
      </c>
      <c r="I4606" s="12">
        <v>0.35069444444444442</v>
      </c>
      <c r="J4606" t="s">
        <v>41</v>
      </c>
      <c r="K4606" t="s">
        <v>31</v>
      </c>
      <c r="L4606" s="12">
        <v>0.37152777777777779</v>
      </c>
      <c r="M4606" t="s">
        <v>23</v>
      </c>
      <c r="N4606" s="3">
        <v>186</v>
      </c>
      <c r="O4606" t="s">
        <v>24</v>
      </c>
      <c r="P4606" t="s">
        <v>25</v>
      </c>
      <c r="R4606">
        <f>tblDailySchedule[[#This Row],[Capacity Approx]]*'[1]Load Factor Sheet June Acft  '!$B$5</f>
        <v>150.61772727272728</v>
      </c>
      <c r="S4606">
        <f>tblDailySchedule[[#This Row],[Capacity Approx]]*'[1]Load Factor Sheet June Acft  '!$D$5</f>
        <v>163.08818181818182</v>
      </c>
      <c r="T4606" s="22">
        <f>tblDailySchedule[[#This Row],[STD]]</f>
        <v>0.37152777777777779</v>
      </c>
    </row>
    <row r="4607" spans="1:20" hidden="1" x14ac:dyDescent="0.35">
      <c r="A4607" s="11">
        <v>46276</v>
      </c>
      <c r="B4607" s="3">
        <v>5</v>
      </c>
      <c r="C4607" t="s">
        <v>115</v>
      </c>
      <c r="D4607" t="s">
        <v>18</v>
      </c>
      <c r="E4607" s="3">
        <v>7</v>
      </c>
      <c r="F4607" t="s">
        <v>19</v>
      </c>
      <c r="G4607" t="s">
        <v>42</v>
      </c>
      <c r="H4607" t="s">
        <v>43</v>
      </c>
      <c r="I4607" s="12">
        <v>0.3923611111111111</v>
      </c>
      <c r="J4607" t="s">
        <v>44</v>
      </c>
      <c r="K4607" t="s">
        <v>43</v>
      </c>
      <c r="L4607" s="12">
        <v>0.40277777777777779</v>
      </c>
      <c r="M4607" t="s">
        <v>45</v>
      </c>
      <c r="N4607" s="3">
        <v>9</v>
      </c>
      <c r="O4607" t="s">
        <v>24</v>
      </c>
      <c r="P4607" t="s">
        <v>25</v>
      </c>
      <c r="R4607">
        <f>tblDailySchedule[[#This Row],[Capacity Approx]]*'[1]Load Factor Sheet June Acft  '!$B$5</f>
        <v>7.2879545454545456</v>
      </c>
      <c r="S4607">
        <f>tblDailySchedule[[#This Row],[Capacity Approx]]*'[1]Load Factor Sheet June Acft  '!$D$5</f>
        <v>7.8913636363636366</v>
      </c>
      <c r="T4607" s="22">
        <f>tblDailySchedule[[#This Row],[STD]]</f>
        <v>0.40277777777777779</v>
      </c>
    </row>
    <row r="4608" spans="1:20" hidden="1" x14ac:dyDescent="0.35">
      <c r="A4608" s="11">
        <v>46276</v>
      </c>
      <c r="B4608" s="3">
        <v>5</v>
      </c>
      <c r="C4608" t="s">
        <v>115</v>
      </c>
      <c r="D4608" t="s">
        <v>18</v>
      </c>
      <c r="E4608" s="3">
        <v>8</v>
      </c>
      <c r="F4608" t="s">
        <v>19</v>
      </c>
      <c r="G4608" t="s">
        <v>46</v>
      </c>
      <c r="H4608" t="s">
        <v>31</v>
      </c>
      <c r="I4608" s="12">
        <v>0.4201388888888889</v>
      </c>
      <c r="J4608" t="s">
        <v>47</v>
      </c>
      <c r="K4608" t="s">
        <v>31</v>
      </c>
      <c r="L4608" s="12">
        <v>0.44444444444444442</v>
      </c>
      <c r="M4608" t="s">
        <v>29</v>
      </c>
      <c r="N4608" s="3">
        <v>186</v>
      </c>
      <c r="O4608" t="s">
        <v>24</v>
      </c>
      <c r="P4608" t="s">
        <v>25</v>
      </c>
      <c r="R4608">
        <f>tblDailySchedule[[#This Row],[Capacity Approx]]*'[1]Load Factor Sheet June Acft  '!$B$5</f>
        <v>150.61772727272728</v>
      </c>
      <c r="S4608">
        <f>tblDailySchedule[[#This Row],[Capacity Approx]]*'[1]Load Factor Sheet June Acft  '!$D$5</f>
        <v>163.08818181818182</v>
      </c>
      <c r="T4608" s="22">
        <f>tblDailySchedule[[#This Row],[STD]]</f>
        <v>0.44444444444444442</v>
      </c>
    </row>
    <row r="4609" spans="1:20" hidden="1" x14ac:dyDescent="0.35">
      <c r="A4609" s="11">
        <v>46276</v>
      </c>
      <c r="B4609" s="3">
        <v>5</v>
      </c>
      <c r="C4609" t="s">
        <v>115</v>
      </c>
      <c r="D4609" t="s">
        <v>18</v>
      </c>
      <c r="E4609" s="3">
        <v>9</v>
      </c>
      <c r="F4609" t="s">
        <v>19</v>
      </c>
      <c r="G4609" t="s">
        <v>48</v>
      </c>
      <c r="H4609" t="s">
        <v>49</v>
      </c>
      <c r="I4609" s="12">
        <v>0.4375</v>
      </c>
      <c r="J4609" t="s">
        <v>50</v>
      </c>
      <c r="K4609" t="s">
        <v>49</v>
      </c>
      <c r="L4609" s="12">
        <v>0.45833333333333331</v>
      </c>
      <c r="M4609" t="s">
        <v>51</v>
      </c>
      <c r="N4609" s="3">
        <v>78</v>
      </c>
      <c r="O4609" t="s">
        <v>24</v>
      </c>
      <c r="P4609" t="s">
        <v>25</v>
      </c>
      <c r="R4609">
        <f>tblDailySchedule[[#This Row],[Capacity Approx]]*'[1]Load Factor Sheet June Acft  '!$B$5</f>
        <v>63.162272727272729</v>
      </c>
      <c r="S4609">
        <f>tblDailySchedule[[#This Row],[Capacity Approx]]*'[1]Load Factor Sheet June Acft  '!$D$5</f>
        <v>68.391818181818181</v>
      </c>
      <c r="T4609" s="22">
        <f>tblDailySchedule[[#This Row],[STD]]</f>
        <v>0.45833333333333331</v>
      </c>
    </row>
    <row r="4610" spans="1:20" hidden="1" x14ac:dyDescent="0.35">
      <c r="A4610" s="11">
        <v>46276</v>
      </c>
      <c r="B4610" s="3">
        <v>5</v>
      </c>
      <c r="C4610" t="s">
        <v>115</v>
      </c>
      <c r="D4610" t="s">
        <v>18</v>
      </c>
      <c r="E4610" s="3">
        <v>10</v>
      </c>
      <c r="F4610" t="s">
        <v>19</v>
      </c>
      <c r="G4610" t="s">
        <v>52</v>
      </c>
      <c r="H4610" t="s">
        <v>27</v>
      </c>
      <c r="I4610" s="12">
        <v>0.4826388888888889</v>
      </c>
      <c r="J4610" t="s">
        <v>53</v>
      </c>
      <c r="K4610" t="s">
        <v>27</v>
      </c>
      <c r="L4610" s="12">
        <v>0.51041666666666663</v>
      </c>
      <c r="M4610" t="s">
        <v>23</v>
      </c>
      <c r="N4610" s="3">
        <v>186</v>
      </c>
      <c r="O4610" t="s">
        <v>24</v>
      </c>
      <c r="P4610" t="s">
        <v>25</v>
      </c>
      <c r="R4610">
        <f>tblDailySchedule[[#This Row],[Capacity Approx]]*'[1]Load Factor Sheet June Acft  '!$B$5</f>
        <v>150.61772727272728</v>
      </c>
      <c r="S4610">
        <f>tblDailySchedule[[#This Row],[Capacity Approx]]*'[1]Load Factor Sheet June Acft  '!$D$5</f>
        <v>163.08818181818182</v>
      </c>
      <c r="T4610" s="22">
        <f>tblDailySchedule[[#This Row],[STD]]</f>
        <v>0.51041666666666663</v>
      </c>
    </row>
    <row r="4611" spans="1:20" hidden="1" x14ac:dyDescent="0.35">
      <c r="A4611" s="11">
        <v>46276</v>
      </c>
      <c r="B4611" s="3">
        <v>5</v>
      </c>
      <c r="C4611" t="s">
        <v>115</v>
      </c>
      <c r="D4611" t="s">
        <v>18</v>
      </c>
      <c r="E4611" s="3">
        <v>11</v>
      </c>
      <c r="F4611" t="s">
        <v>19</v>
      </c>
      <c r="G4611" t="s">
        <v>54</v>
      </c>
      <c r="H4611" t="s">
        <v>31</v>
      </c>
      <c r="I4611" s="12">
        <v>0.51388888888888884</v>
      </c>
      <c r="J4611" t="s">
        <v>55</v>
      </c>
      <c r="K4611" t="s">
        <v>31</v>
      </c>
      <c r="L4611" s="12">
        <v>0.54166666666666663</v>
      </c>
      <c r="M4611" t="s">
        <v>23</v>
      </c>
      <c r="N4611" s="3">
        <v>186</v>
      </c>
      <c r="O4611" t="s">
        <v>24</v>
      </c>
      <c r="P4611" t="s">
        <v>56</v>
      </c>
      <c r="R4611">
        <f>tblDailySchedule[[#This Row],[Capacity Approx]]*'[1]Load Factor Sheet June Acft  '!$B$5</f>
        <v>150.61772727272728</v>
      </c>
      <c r="S4611">
        <f>tblDailySchedule[[#This Row],[Capacity Approx]]*'[1]Load Factor Sheet June Acft  '!$D$5</f>
        <v>163.08818181818182</v>
      </c>
      <c r="T4611" s="22">
        <f>tblDailySchedule[[#This Row],[STD]]</f>
        <v>0.54166666666666663</v>
      </c>
    </row>
    <row r="4612" spans="1:20" hidden="1" x14ac:dyDescent="0.35">
      <c r="A4612" s="11">
        <v>46276</v>
      </c>
      <c r="B4612" s="3">
        <v>5</v>
      </c>
      <c r="C4612" t="s">
        <v>115</v>
      </c>
      <c r="D4612" t="s">
        <v>18</v>
      </c>
      <c r="E4612" s="3">
        <v>13</v>
      </c>
      <c r="F4612" t="s">
        <v>19</v>
      </c>
      <c r="G4612" t="s">
        <v>57</v>
      </c>
      <c r="H4612" t="s">
        <v>58</v>
      </c>
      <c r="I4612" s="12">
        <v>0.55902777777777779</v>
      </c>
      <c r="J4612" t="s">
        <v>59</v>
      </c>
      <c r="K4612" t="s">
        <v>58</v>
      </c>
      <c r="L4612" s="12">
        <v>0.57638888888888884</v>
      </c>
      <c r="M4612" t="s">
        <v>51</v>
      </c>
      <c r="N4612" s="3">
        <v>78</v>
      </c>
      <c r="O4612" t="s">
        <v>24</v>
      </c>
      <c r="P4612" t="s">
        <v>56</v>
      </c>
      <c r="R4612">
        <f>tblDailySchedule[[#This Row],[Capacity Approx]]*'[1]Load Factor Sheet June Acft  '!$B$5</f>
        <v>63.162272727272729</v>
      </c>
      <c r="S4612">
        <f>tblDailySchedule[[#This Row],[Capacity Approx]]*'[1]Load Factor Sheet June Acft  '!$D$5</f>
        <v>68.391818181818181</v>
      </c>
      <c r="T4612" s="22">
        <f>tblDailySchedule[[#This Row],[STD]]</f>
        <v>0.57638888888888884</v>
      </c>
    </row>
    <row r="4613" spans="1:20" hidden="1" x14ac:dyDescent="0.35">
      <c r="A4613" s="11">
        <v>46276</v>
      </c>
      <c r="B4613" s="3">
        <v>5</v>
      </c>
      <c r="C4613" t="s">
        <v>115</v>
      </c>
      <c r="D4613" t="s">
        <v>18</v>
      </c>
      <c r="E4613" s="3">
        <v>14</v>
      </c>
      <c r="F4613" t="s">
        <v>19</v>
      </c>
      <c r="G4613" t="s">
        <v>60</v>
      </c>
      <c r="H4613" t="s">
        <v>61</v>
      </c>
      <c r="I4613" s="12">
        <v>0.59027777777777779</v>
      </c>
      <c r="J4613" t="s">
        <v>62</v>
      </c>
      <c r="K4613" t="s">
        <v>61</v>
      </c>
      <c r="L4613" s="12">
        <v>0.62152777777777779</v>
      </c>
      <c r="M4613" t="s">
        <v>63</v>
      </c>
      <c r="N4613" s="3">
        <v>232</v>
      </c>
      <c r="O4613" t="s">
        <v>24</v>
      </c>
      <c r="P4613" t="s">
        <v>56</v>
      </c>
      <c r="R4613">
        <f>tblDailySchedule[[#This Row],[Capacity Approx]]*'[1]Load Factor Sheet June Acft  '!$B$5</f>
        <v>187.86727272727273</v>
      </c>
      <c r="S4613">
        <f>tblDailySchedule[[#This Row],[Capacity Approx]]*'[1]Load Factor Sheet June Acft  '!$D$5</f>
        <v>203.4218181818182</v>
      </c>
      <c r="T4613" s="22">
        <f>tblDailySchedule[[#This Row],[STD]]</f>
        <v>0.62152777777777779</v>
      </c>
    </row>
    <row r="4614" spans="1:20" hidden="1" x14ac:dyDescent="0.35">
      <c r="A4614" s="11">
        <v>46276</v>
      </c>
      <c r="B4614" s="3">
        <v>5</v>
      </c>
      <c r="C4614" t="s">
        <v>115</v>
      </c>
      <c r="D4614" t="s">
        <v>18</v>
      </c>
      <c r="E4614" s="3">
        <v>15</v>
      </c>
      <c r="F4614" t="s">
        <v>19</v>
      </c>
      <c r="G4614" t="s">
        <v>64</v>
      </c>
      <c r="H4614" t="s">
        <v>31</v>
      </c>
      <c r="I4614" s="12">
        <v>0.60069444444444442</v>
      </c>
      <c r="J4614" t="s">
        <v>65</v>
      </c>
      <c r="K4614" t="s">
        <v>66</v>
      </c>
      <c r="L4614" s="12">
        <v>0.62847222222222221</v>
      </c>
      <c r="M4614" t="s">
        <v>63</v>
      </c>
      <c r="N4614" s="3">
        <v>232</v>
      </c>
      <c r="O4614" t="s">
        <v>24</v>
      </c>
      <c r="P4614" t="s">
        <v>56</v>
      </c>
      <c r="R4614">
        <f>tblDailySchedule[[#This Row],[Capacity Approx]]*'[1]Load Factor Sheet June Acft  '!$B$5</f>
        <v>187.86727272727273</v>
      </c>
      <c r="S4614">
        <f>tblDailySchedule[[#This Row],[Capacity Approx]]*'[1]Load Factor Sheet June Acft  '!$D$5</f>
        <v>203.4218181818182</v>
      </c>
      <c r="T4614" s="22">
        <f>tblDailySchedule[[#This Row],[STD]]</f>
        <v>0.62847222222222221</v>
      </c>
    </row>
    <row r="4615" spans="1:20" hidden="1" x14ac:dyDescent="0.35">
      <c r="A4615" s="11">
        <v>46276</v>
      </c>
      <c r="B4615" s="3">
        <v>5</v>
      </c>
      <c r="C4615" t="s">
        <v>115</v>
      </c>
      <c r="D4615" t="s">
        <v>18</v>
      </c>
      <c r="E4615" s="3">
        <v>16</v>
      </c>
      <c r="F4615" t="s">
        <v>19</v>
      </c>
      <c r="G4615" t="s">
        <v>67</v>
      </c>
      <c r="H4615" t="s">
        <v>31</v>
      </c>
      <c r="I4615" s="12">
        <v>0.65625</v>
      </c>
      <c r="J4615" t="s">
        <v>68</v>
      </c>
      <c r="K4615" t="s">
        <v>31</v>
      </c>
      <c r="L4615" s="12">
        <v>0.68402777777777779</v>
      </c>
      <c r="M4615" t="s">
        <v>63</v>
      </c>
      <c r="N4615" s="3">
        <v>232</v>
      </c>
      <c r="O4615" t="s">
        <v>24</v>
      </c>
      <c r="P4615" t="s">
        <v>56</v>
      </c>
      <c r="R4615">
        <f>tblDailySchedule[[#This Row],[Capacity Approx]]*'[1]Load Factor Sheet June Acft  '!$B$5</f>
        <v>187.86727272727273</v>
      </c>
      <c r="S4615">
        <f>tblDailySchedule[[#This Row],[Capacity Approx]]*'[1]Load Factor Sheet June Acft  '!$D$5</f>
        <v>203.4218181818182</v>
      </c>
      <c r="T4615" s="22">
        <f>tblDailySchedule[[#This Row],[STD]]</f>
        <v>0.68402777777777779</v>
      </c>
    </row>
    <row r="4616" spans="1:20" hidden="1" x14ac:dyDescent="0.35">
      <c r="A4616" s="11">
        <v>46276</v>
      </c>
      <c r="B4616" s="3">
        <v>5</v>
      </c>
      <c r="C4616" t="s">
        <v>115</v>
      </c>
      <c r="D4616" t="s">
        <v>18</v>
      </c>
      <c r="E4616" s="3">
        <v>17</v>
      </c>
      <c r="F4616" t="s">
        <v>19</v>
      </c>
      <c r="G4616" t="s">
        <v>69</v>
      </c>
      <c r="H4616" t="s">
        <v>31</v>
      </c>
      <c r="I4616" s="12">
        <v>0.66319444444444442</v>
      </c>
      <c r="J4616" t="s">
        <v>70</v>
      </c>
      <c r="K4616" t="s">
        <v>31</v>
      </c>
      <c r="L4616" s="12">
        <v>0.69097222222222221</v>
      </c>
      <c r="M4616" t="s">
        <v>33</v>
      </c>
      <c r="N4616" s="3">
        <v>189</v>
      </c>
      <c r="O4616" t="s">
        <v>24</v>
      </c>
      <c r="P4616" t="s">
        <v>56</v>
      </c>
      <c r="R4616">
        <f>tblDailySchedule[[#This Row],[Capacity Approx]]*'[1]Load Factor Sheet June Acft  '!$B$5</f>
        <v>153.04704545454547</v>
      </c>
      <c r="S4616">
        <f>tblDailySchedule[[#This Row],[Capacity Approx]]*'[1]Load Factor Sheet June Acft  '!$D$5</f>
        <v>165.71863636363636</v>
      </c>
      <c r="T4616" s="22">
        <f>tblDailySchedule[[#This Row],[STD]]</f>
        <v>0.69097222222222221</v>
      </c>
    </row>
    <row r="4617" spans="1:20" hidden="1" x14ac:dyDescent="0.35">
      <c r="A4617" s="11">
        <v>46276</v>
      </c>
      <c r="B4617" s="3">
        <v>5</v>
      </c>
      <c r="C4617" t="s">
        <v>115</v>
      </c>
      <c r="D4617" t="s">
        <v>18</v>
      </c>
      <c r="E4617" s="3">
        <v>18</v>
      </c>
      <c r="F4617" t="s">
        <v>19</v>
      </c>
      <c r="G4617" t="s">
        <v>71</v>
      </c>
      <c r="H4617" t="s">
        <v>21</v>
      </c>
      <c r="I4617" s="12">
        <v>0.67013888888888884</v>
      </c>
      <c r="J4617" t="s">
        <v>72</v>
      </c>
      <c r="K4617" t="s">
        <v>21</v>
      </c>
      <c r="L4617" s="12">
        <v>0.69791666666666663</v>
      </c>
      <c r="M4617" t="s">
        <v>63</v>
      </c>
      <c r="N4617" s="3">
        <v>232</v>
      </c>
      <c r="O4617" t="s">
        <v>24</v>
      </c>
      <c r="P4617" t="s">
        <v>56</v>
      </c>
      <c r="R4617">
        <f>tblDailySchedule[[#This Row],[Capacity Approx]]*'[1]Load Factor Sheet June Acft  '!$B$5</f>
        <v>187.86727272727273</v>
      </c>
      <c r="S4617">
        <f>tblDailySchedule[[#This Row],[Capacity Approx]]*'[1]Load Factor Sheet June Acft  '!$D$5</f>
        <v>203.4218181818182</v>
      </c>
      <c r="T4617" s="22">
        <f>tblDailySchedule[[#This Row],[STD]]</f>
        <v>0.69791666666666663</v>
      </c>
    </row>
    <row r="4618" spans="1:20" hidden="1" x14ac:dyDescent="0.35">
      <c r="A4618" s="11">
        <v>46276</v>
      </c>
      <c r="B4618" s="3">
        <v>5</v>
      </c>
      <c r="C4618" t="s">
        <v>115</v>
      </c>
      <c r="D4618" t="s">
        <v>18</v>
      </c>
      <c r="E4618" s="3">
        <v>19</v>
      </c>
      <c r="F4618" t="s">
        <v>19</v>
      </c>
      <c r="G4618" t="s">
        <v>73</v>
      </c>
      <c r="H4618" t="s">
        <v>27</v>
      </c>
      <c r="I4618" s="12">
        <v>0.74652777777777779</v>
      </c>
      <c r="J4618" t="s">
        <v>74</v>
      </c>
      <c r="K4618" t="s">
        <v>27</v>
      </c>
      <c r="L4618" s="12">
        <v>0.77430555555555558</v>
      </c>
      <c r="M4618" t="s">
        <v>63</v>
      </c>
      <c r="N4618" s="3">
        <v>232</v>
      </c>
      <c r="O4618" t="s">
        <v>24</v>
      </c>
      <c r="P4618" t="s">
        <v>56</v>
      </c>
      <c r="R4618">
        <f>tblDailySchedule[[#This Row],[Capacity Approx]]*'[1]Load Factor Sheet June Acft  '!$B$5</f>
        <v>187.86727272727273</v>
      </c>
      <c r="S4618">
        <f>tblDailySchedule[[#This Row],[Capacity Approx]]*'[1]Load Factor Sheet June Acft  '!$D$5</f>
        <v>203.4218181818182</v>
      </c>
      <c r="T4618" s="22">
        <f>tblDailySchedule[[#This Row],[STD]]</f>
        <v>0.77430555555555558</v>
      </c>
    </row>
    <row r="4619" spans="1:20" hidden="1" x14ac:dyDescent="0.35">
      <c r="A4619" s="11">
        <v>46276</v>
      </c>
      <c r="B4619" s="3">
        <v>5</v>
      </c>
      <c r="C4619" t="s">
        <v>115</v>
      </c>
      <c r="D4619" t="s">
        <v>18</v>
      </c>
      <c r="E4619" s="3">
        <v>20</v>
      </c>
      <c r="F4619" t="s">
        <v>34</v>
      </c>
      <c r="G4619" t="s">
        <v>75</v>
      </c>
      <c r="H4619" t="s">
        <v>76</v>
      </c>
      <c r="I4619" s="12">
        <v>0.76388888888888884</v>
      </c>
      <c r="J4619" t="s">
        <v>77</v>
      </c>
      <c r="K4619" t="s">
        <v>78</v>
      </c>
      <c r="L4619" s="12">
        <v>0.78472222222222221</v>
      </c>
      <c r="M4619" t="s">
        <v>51</v>
      </c>
      <c r="N4619" s="3">
        <v>78</v>
      </c>
      <c r="O4619" t="s">
        <v>24</v>
      </c>
      <c r="P4619" t="s">
        <v>79</v>
      </c>
      <c r="Q4619" s="16" t="s">
        <v>80</v>
      </c>
      <c r="R4619">
        <f>tblDailySchedule[[#This Row],[Capacity Approx]]*'[1]Load Factor Sheet June Acft  '!$B$5</f>
        <v>63.162272727272729</v>
      </c>
      <c r="S4619">
        <f>tblDailySchedule[[#This Row],[Capacity Approx]]*'[1]Load Factor Sheet June Acft  '!$D$5</f>
        <v>68.391818181818181</v>
      </c>
      <c r="T4619" s="22">
        <f>tblDailySchedule[[#This Row],[STD]]</f>
        <v>0.78472222222222221</v>
      </c>
    </row>
    <row r="4620" spans="1:20" hidden="1" x14ac:dyDescent="0.35">
      <c r="A4620" s="11">
        <v>46276</v>
      </c>
      <c r="B4620" s="3">
        <v>5</v>
      </c>
      <c r="C4620" t="s">
        <v>115</v>
      </c>
      <c r="D4620" t="s">
        <v>18</v>
      </c>
      <c r="E4620" s="3">
        <v>21</v>
      </c>
      <c r="F4620" t="s">
        <v>19</v>
      </c>
      <c r="G4620" t="s">
        <v>81</v>
      </c>
      <c r="H4620" t="s">
        <v>61</v>
      </c>
      <c r="I4620" s="12">
        <v>0.77083333333333337</v>
      </c>
      <c r="J4620" t="s">
        <v>82</v>
      </c>
      <c r="K4620" t="s">
        <v>49</v>
      </c>
      <c r="L4620" s="12">
        <v>0.79166666666666663</v>
      </c>
      <c r="M4620" t="s">
        <v>33</v>
      </c>
      <c r="N4620" s="3">
        <v>189</v>
      </c>
      <c r="O4620" t="s">
        <v>24</v>
      </c>
      <c r="P4620" t="s">
        <v>79</v>
      </c>
      <c r="R4620">
        <f>tblDailySchedule[[#This Row],[Capacity Approx]]*'[1]Load Factor Sheet June Acft  '!$B$5</f>
        <v>153.04704545454547</v>
      </c>
      <c r="S4620">
        <f>tblDailySchedule[[#This Row],[Capacity Approx]]*'[1]Load Factor Sheet June Acft  '!$D$5</f>
        <v>165.71863636363636</v>
      </c>
      <c r="T4620" s="22">
        <f>tblDailySchedule[[#This Row],[STD]]</f>
        <v>0.79166666666666663</v>
      </c>
    </row>
    <row r="4621" spans="1:20" hidden="1" x14ac:dyDescent="0.35">
      <c r="A4621" s="11">
        <v>46276</v>
      </c>
      <c r="B4621" s="3">
        <v>5</v>
      </c>
      <c r="C4621" t="s">
        <v>115</v>
      </c>
      <c r="D4621" t="s">
        <v>18</v>
      </c>
      <c r="E4621" s="3">
        <v>22</v>
      </c>
      <c r="F4621" t="s">
        <v>19</v>
      </c>
      <c r="G4621" t="s">
        <v>83</v>
      </c>
      <c r="H4621" t="s">
        <v>31</v>
      </c>
      <c r="I4621" s="12">
        <v>0.77777777777777779</v>
      </c>
      <c r="J4621" t="s">
        <v>84</v>
      </c>
      <c r="K4621" t="s">
        <v>31</v>
      </c>
      <c r="L4621" s="12">
        <v>0.80555555555555558</v>
      </c>
      <c r="M4621" t="s">
        <v>63</v>
      </c>
      <c r="N4621" s="3">
        <v>232</v>
      </c>
      <c r="O4621" t="s">
        <v>24</v>
      </c>
      <c r="P4621" t="s">
        <v>79</v>
      </c>
      <c r="R4621">
        <f>tblDailySchedule[[#This Row],[Capacity Approx]]*'[1]Load Factor Sheet June Acft  '!$B$5</f>
        <v>187.86727272727273</v>
      </c>
      <c r="S4621">
        <f>tblDailySchedule[[#This Row],[Capacity Approx]]*'[1]Load Factor Sheet June Acft  '!$D$5</f>
        <v>203.4218181818182</v>
      </c>
      <c r="T4621" s="22">
        <f>tblDailySchedule[[#This Row],[STD]]</f>
        <v>0.80555555555555558</v>
      </c>
    </row>
    <row r="4622" spans="1:20" hidden="1" x14ac:dyDescent="0.35">
      <c r="A4622" s="11">
        <v>46276</v>
      </c>
      <c r="B4622" s="3">
        <v>5</v>
      </c>
      <c r="C4622" t="s">
        <v>115</v>
      </c>
      <c r="D4622" t="s">
        <v>18</v>
      </c>
      <c r="E4622" s="3">
        <v>23</v>
      </c>
      <c r="F4622" t="s">
        <v>19</v>
      </c>
      <c r="G4622" t="s">
        <v>85</v>
      </c>
      <c r="H4622" t="s">
        <v>86</v>
      </c>
      <c r="I4622" s="12">
        <v>0.79861111111111116</v>
      </c>
      <c r="J4622" t="s">
        <v>87</v>
      </c>
      <c r="K4622" t="s">
        <v>86</v>
      </c>
      <c r="L4622" s="12">
        <v>0.82638888888888884</v>
      </c>
      <c r="M4622" t="s">
        <v>63</v>
      </c>
      <c r="N4622" s="3">
        <v>232</v>
      </c>
      <c r="O4622" t="s">
        <v>24</v>
      </c>
      <c r="P4622" t="s">
        <v>79</v>
      </c>
      <c r="R4622">
        <f>tblDailySchedule[[#This Row],[Capacity Approx]]*'[1]Load Factor Sheet June Acft  '!$B$5</f>
        <v>187.86727272727273</v>
      </c>
      <c r="S4622">
        <f>tblDailySchedule[[#This Row],[Capacity Approx]]*'[1]Load Factor Sheet June Acft  '!$D$5</f>
        <v>203.4218181818182</v>
      </c>
      <c r="T4622" s="22">
        <f>tblDailySchedule[[#This Row],[STD]]</f>
        <v>0.82638888888888884</v>
      </c>
    </row>
    <row r="4623" spans="1:20" hidden="1" x14ac:dyDescent="0.35">
      <c r="A4623" s="11">
        <v>46276</v>
      </c>
      <c r="B4623" s="3">
        <v>5</v>
      </c>
      <c r="C4623" t="s">
        <v>115</v>
      </c>
      <c r="D4623" t="s">
        <v>18</v>
      </c>
      <c r="E4623" s="3">
        <v>24</v>
      </c>
      <c r="F4623" t="s">
        <v>19</v>
      </c>
      <c r="G4623" t="s">
        <v>88</v>
      </c>
      <c r="H4623" t="s">
        <v>89</v>
      </c>
      <c r="I4623" s="12">
        <v>0.83333333333333337</v>
      </c>
      <c r="J4623" t="s">
        <v>90</v>
      </c>
      <c r="K4623" t="s">
        <v>31</v>
      </c>
      <c r="L4623" s="12">
        <v>0.86111111111111116</v>
      </c>
      <c r="M4623" t="s">
        <v>63</v>
      </c>
      <c r="N4623" s="3">
        <v>232</v>
      </c>
      <c r="O4623" t="s">
        <v>24</v>
      </c>
      <c r="P4623" t="s">
        <v>79</v>
      </c>
      <c r="R4623">
        <f>tblDailySchedule[[#This Row],[Capacity Approx]]*'[1]Load Factor Sheet June Acft  '!$B$5</f>
        <v>187.86727272727273</v>
      </c>
      <c r="S4623">
        <f>tblDailySchedule[[#This Row],[Capacity Approx]]*'[1]Load Factor Sheet June Acft  '!$D$5</f>
        <v>203.4218181818182</v>
      </c>
      <c r="T4623" s="22">
        <f>tblDailySchedule[[#This Row],[STD]]</f>
        <v>0.86111111111111116</v>
      </c>
    </row>
    <row r="4624" spans="1:20" hidden="1" x14ac:dyDescent="0.35">
      <c r="A4624" s="11">
        <v>46276</v>
      </c>
      <c r="B4624" s="3">
        <v>5</v>
      </c>
      <c r="C4624" t="s">
        <v>115</v>
      </c>
      <c r="D4624" t="s">
        <v>18</v>
      </c>
      <c r="E4624" s="3">
        <v>25</v>
      </c>
      <c r="F4624" t="s">
        <v>19</v>
      </c>
      <c r="G4624" t="s">
        <v>91</v>
      </c>
      <c r="H4624" t="s">
        <v>61</v>
      </c>
      <c r="I4624" s="12">
        <v>0.85416666666666663</v>
      </c>
      <c r="J4624" t="s">
        <v>92</v>
      </c>
      <c r="K4624" t="s">
        <v>61</v>
      </c>
      <c r="L4624" s="12">
        <v>0.88194444444444442</v>
      </c>
      <c r="M4624" t="s">
        <v>63</v>
      </c>
      <c r="N4624" s="3">
        <v>232</v>
      </c>
      <c r="O4624" t="s">
        <v>24</v>
      </c>
      <c r="P4624" t="s">
        <v>79</v>
      </c>
      <c r="R4624">
        <f>tblDailySchedule[[#This Row],[Capacity Approx]]*'[1]Load Factor Sheet June Acft  '!$B$5</f>
        <v>187.86727272727273</v>
      </c>
      <c r="S4624">
        <f>tblDailySchedule[[#This Row],[Capacity Approx]]*'[1]Load Factor Sheet June Acft  '!$D$5</f>
        <v>203.4218181818182</v>
      </c>
      <c r="T4624" s="22">
        <f>tblDailySchedule[[#This Row],[STD]]</f>
        <v>0.88194444444444442</v>
      </c>
    </row>
    <row r="4625" spans="1:20" hidden="1" x14ac:dyDescent="0.35">
      <c r="A4625" s="11">
        <v>46276</v>
      </c>
      <c r="B4625" s="3">
        <v>5</v>
      </c>
      <c r="C4625" t="s">
        <v>115</v>
      </c>
      <c r="D4625" t="s">
        <v>18</v>
      </c>
      <c r="E4625" s="3">
        <v>26</v>
      </c>
      <c r="F4625" t="s">
        <v>19</v>
      </c>
      <c r="G4625" t="s">
        <v>93</v>
      </c>
      <c r="H4625" t="s">
        <v>31</v>
      </c>
      <c r="I4625" s="12">
        <v>0.86111111111111116</v>
      </c>
      <c r="J4625" t="s">
        <v>94</v>
      </c>
      <c r="K4625" t="s">
        <v>31</v>
      </c>
      <c r="L4625" s="12">
        <v>0.88888888888888884</v>
      </c>
      <c r="M4625" t="s">
        <v>23</v>
      </c>
      <c r="N4625" s="3">
        <v>186</v>
      </c>
      <c r="O4625" t="s">
        <v>24</v>
      </c>
      <c r="P4625" t="s">
        <v>79</v>
      </c>
      <c r="R4625">
        <f>tblDailySchedule[[#This Row],[Capacity Approx]]*'[1]Load Factor Sheet June Acft  '!$B$5</f>
        <v>150.61772727272728</v>
      </c>
      <c r="S4625">
        <f>tblDailySchedule[[#This Row],[Capacity Approx]]*'[1]Load Factor Sheet June Acft  '!$D$5</f>
        <v>163.08818181818182</v>
      </c>
      <c r="T4625" s="22">
        <f>tblDailySchedule[[#This Row],[STD]]</f>
        <v>0.88888888888888884</v>
      </c>
    </row>
    <row r="4626" spans="1:20" hidden="1" x14ac:dyDescent="0.35">
      <c r="A4626" s="11">
        <v>46276</v>
      </c>
      <c r="B4626" s="3">
        <v>5</v>
      </c>
      <c r="C4626" t="s">
        <v>115</v>
      </c>
      <c r="D4626" t="s">
        <v>18</v>
      </c>
      <c r="E4626" s="3">
        <v>27</v>
      </c>
      <c r="F4626" t="s">
        <v>19</v>
      </c>
      <c r="G4626" t="s">
        <v>95</v>
      </c>
      <c r="H4626" t="s">
        <v>21</v>
      </c>
      <c r="I4626" s="12">
        <v>0.86805555555555558</v>
      </c>
      <c r="J4626" t="s">
        <v>96</v>
      </c>
      <c r="K4626" t="s">
        <v>21</v>
      </c>
      <c r="L4626" s="12">
        <v>0.89583333333333337</v>
      </c>
      <c r="M4626" t="s">
        <v>29</v>
      </c>
      <c r="N4626" s="3">
        <v>186</v>
      </c>
      <c r="O4626" t="s">
        <v>24</v>
      </c>
      <c r="P4626" t="s">
        <v>79</v>
      </c>
      <c r="R4626">
        <f>tblDailySchedule[[#This Row],[Capacity Approx]]*'[1]Load Factor Sheet June Acft  '!$B$5</f>
        <v>150.61772727272728</v>
      </c>
      <c r="S4626">
        <f>tblDailySchedule[[#This Row],[Capacity Approx]]*'[1]Load Factor Sheet June Acft  '!$D$5</f>
        <v>163.08818181818182</v>
      </c>
      <c r="T4626" s="22">
        <f>tblDailySchedule[[#This Row],[STD]]</f>
        <v>0.89583333333333337</v>
      </c>
    </row>
    <row r="4627" spans="1:20" hidden="1" x14ac:dyDescent="0.35">
      <c r="A4627" s="11">
        <v>46276</v>
      </c>
      <c r="B4627" s="3">
        <v>5</v>
      </c>
      <c r="C4627" t="s">
        <v>115</v>
      </c>
      <c r="D4627" t="s">
        <v>18</v>
      </c>
      <c r="E4627" s="3">
        <v>28</v>
      </c>
      <c r="F4627" t="s">
        <v>19</v>
      </c>
      <c r="G4627" t="s">
        <v>97</v>
      </c>
      <c r="H4627" t="s">
        <v>49</v>
      </c>
      <c r="I4627" s="12">
        <v>0.90277777777777779</v>
      </c>
      <c r="J4627" t="s">
        <v>97</v>
      </c>
      <c r="K4627" t="s">
        <v>61</v>
      </c>
      <c r="L4627" s="12">
        <v>0.92361111111111116</v>
      </c>
      <c r="M4627" t="s">
        <v>33</v>
      </c>
      <c r="N4627" s="3">
        <v>189</v>
      </c>
      <c r="O4627" t="s">
        <v>24</v>
      </c>
      <c r="P4627" t="s">
        <v>79</v>
      </c>
      <c r="R4627">
        <f>tblDailySchedule[[#This Row],[Capacity Approx]]*'[1]Load Factor Sheet June Acft  '!$B$5</f>
        <v>153.04704545454547</v>
      </c>
      <c r="S4627">
        <f>tblDailySchedule[[#This Row],[Capacity Approx]]*'[1]Load Factor Sheet June Acft  '!$D$5</f>
        <v>165.71863636363636</v>
      </c>
      <c r="T4627" s="22">
        <f>tblDailySchedule[[#This Row],[STD]]</f>
        <v>0.92361111111111116</v>
      </c>
    </row>
    <row r="4628" spans="1:20" hidden="1" x14ac:dyDescent="0.35">
      <c r="A4628" s="11">
        <v>46276</v>
      </c>
      <c r="B4628" s="3">
        <v>5</v>
      </c>
      <c r="C4628" t="s">
        <v>115</v>
      </c>
      <c r="D4628" t="s">
        <v>18</v>
      </c>
      <c r="E4628" s="3">
        <v>29</v>
      </c>
      <c r="F4628" t="s">
        <v>19</v>
      </c>
      <c r="G4628" t="s">
        <v>98</v>
      </c>
      <c r="H4628" t="s">
        <v>21</v>
      </c>
      <c r="I4628" s="12">
        <v>0.92013888888888884</v>
      </c>
      <c r="J4628" t="s">
        <v>99</v>
      </c>
      <c r="K4628" t="s">
        <v>21</v>
      </c>
      <c r="L4628" s="12">
        <v>0.94791666666666663</v>
      </c>
      <c r="M4628" t="s">
        <v>63</v>
      </c>
      <c r="N4628" s="3">
        <v>232</v>
      </c>
      <c r="O4628" t="s">
        <v>24</v>
      </c>
      <c r="P4628" t="s">
        <v>79</v>
      </c>
      <c r="R4628">
        <f>tblDailySchedule[[#This Row],[Capacity Approx]]*'[1]Load Factor Sheet June Acft  '!$B$5</f>
        <v>187.86727272727273</v>
      </c>
      <c r="S4628">
        <f>tblDailySchedule[[#This Row],[Capacity Approx]]*'[1]Load Factor Sheet June Acft  '!$D$5</f>
        <v>203.4218181818182</v>
      </c>
      <c r="T4628" s="22">
        <f>tblDailySchedule[[#This Row],[STD]]</f>
        <v>0.94791666666666663</v>
      </c>
    </row>
    <row r="4629" spans="1:20" hidden="1" x14ac:dyDescent="0.35">
      <c r="A4629" s="13">
        <v>46276</v>
      </c>
      <c r="B4629" s="7">
        <v>5</v>
      </c>
      <c r="C4629" s="14" t="s">
        <v>115</v>
      </c>
      <c r="D4629" s="14" t="s">
        <v>18</v>
      </c>
      <c r="E4629" s="7">
        <v>30</v>
      </c>
      <c r="F4629" s="14" t="s">
        <v>104</v>
      </c>
      <c r="G4629" s="14" t="s">
        <v>105</v>
      </c>
      <c r="H4629" s="14" t="s">
        <v>106</v>
      </c>
      <c r="I4629" s="15">
        <v>0.92708333333333337</v>
      </c>
      <c r="J4629" s="14" t="s">
        <v>107</v>
      </c>
      <c r="K4629" s="14" t="s">
        <v>106</v>
      </c>
      <c r="L4629" s="15">
        <v>0.95833333333333337</v>
      </c>
      <c r="M4629" s="14" t="s">
        <v>38</v>
      </c>
      <c r="N4629" s="7">
        <v>186</v>
      </c>
      <c r="O4629" s="14" t="s">
        <v>39</v>
      </c>
      <c r="P4629" s="14" t="s">
        <v>79</v>
      </c>
      <c r="Q4629" s="14" t="s">
        <v>39</v>
      </c>
      <c r="R4629">
        <f>tblDailySchedule[[#This Row],[Capacity Approx]]*'[1]Load Factor Sheet June Acft  '!$B$5</f>
        <v>150.61772727272728</v>
      </c>
      <c r="S4629">
        <f>tblDailySchedule[[#This Row],[Capacity Approx]]*'[1]Load Factor Sheet June Acft  '!$D$5</f>
        <v>163.08818181818182</v>
      </c>
      <c r="T4629" s="22">
        <f>tblDailySchedule[[#This Row],[STD]]</f>
        <v>0.95833333333333337</v>
      </c>
    </row>
    <row r="4630" spans="1:20" hidden="1" x14ac:dyDescent="0.35">
      <c r="A4630" s="11">
        <v>46277</v>
      </c>
      <c r="B4630" s="3">
        <v>6</v>
      </c>
      <c r="C4630" t="s">
        <v>116</v>
      </c>
      <c r="D4630" t="s">
        <v>18</v>
      </c>
      <c r="E4630" s="3">
        <v>1</v>
      </c>
      <c r="F4630" t="s">
        <v>101</v>
      </c>
      <c r="G4630" t="s">
        <v>102</v>
      </c>
      <c r="H4630" t="s">
        <v>61</v>
      </c>
      <c r="I4630" s="12">
        <v>0.3125</v>
      </c>
      <c r="J4630" t="s">
        <v>103</v>
      </c>
      <c r="K4630" t="s">
        <v>61</v>
      </c>
      <c r="L4630" s="12">
        <v>0.33333333333333331</v>
      </c>
      <c r="M4630" t="s">
        <v>33</v>
      </c>
      <c r="N4630" s="3">
        <v>189</v>
      </c>
      <c r="O4630" t="s">
        <v>24</v>
      </c>
      <c r="P4630" t="s">
        <v>25</v>
      </c>
      <c r="R4630">
        <f>tblDailySchedule[[#This Row],[Capacity Approx]]*'[1]Load Factor Sheet June Acft  '!$B$5</f>
        <v>153.04704545454547</v>
      </c>
      <c r="S4630">
        <f>tblDailySchedule[[#This Row],[Capacity Approx]]*'[1]Load Factor Sheet June Acft  '!$D$5</f>
        <v>165.71863636363636</v>
      </c>
      <c r="T4630" s="22">
        <f>tblDailySchedule[[#This Row],[STD]]</f>
        <v>0.33333333333333331</v>
      </c>
    </row>
    <row r="4631" spans="1:20" hidden="1" x14ac:dyDescent="0.35">
      <c r="A4631" s="11">
        <v>46277</v>
      </c>
      <c r="B4631" s="3">
        <v>6</v>
      </c>
      <c r="C4631" t="s">
        <v>116</v>
      </c>
      <c r="D4631" t="s">
        <v>18</v>
      </c>
      <c r="E4631" s="3">
        <v>2</v>
      </c>
      <c r="F4631" t="s">
        <v>19</v>
      </c>
      <c r="G4631" t="s">
        <v>20</v>
      </c>
      <c r="H4631" t="s">
        <v>21</v>
      </c>
      <c r="I4631" s="12">
        <v>0.31944444444444442</v>
      </c>
      <c r="J4631" t="s">
        <v>22</v>
      </c>
      <c r="K4631" t="s">
        <v>21</v>
      </c>
      <c r="L4631" s="12">
        <v>0.34722222222222221</v>
      </c>
      <c r="M4631" t="s">
        <v>23</v>
      </c>
      <c r="N4631" s="3">
        <v>186</v>
      </c>
      <c r="O4631" t="s">
        <v>24</v>
      </c>
      <c r="P4631" t="s">
        <v>25</v>
      </c>
      <c r="R4631">
        <f>tblDailySchedule[[#This Row],[Capacity Approx]]*'[1]Load Factor Sheet June Acft  '!$B$5</f>
        <v>150.61772727272728</v>
      </c>
      <c r="S4631">
        <f>tblDailySchedule[[#This Row],[Capacity Approx]]*'[1]Load Factor Sheet June Acft  '!$D$5</f>
        <v>163.08818181818182</v>
      </c>
      <c r="T4631" s="22">
        <f>tblDailySchedule[[#This Row],[STD]]</f>
        <v>0.34722222222222221</v>
      </c>
    </row>
    <row r="4632" spans="1:20" hidden="1" x14ac:dyDescent="0.35">
      <c r="A4632" s="11">
        <v>46277</v>
      </c>
      <c r="B4632" s="3">
        <v>6</v>
      </c>
      <c r="C4632" t="s">
        <v>116</v>
      </c>
      <c r="D4632" t="s">
        <v>18</v>
      </c>
      <c r="E4632" s="3">
        <v>3</v>
      </c>
      <c r="F4632" t="s">
        <v>19</v>
      </c>
      <c r="G4632" t="s">
        <v>26</v>
      </c>
      <c r="H4632" t="s">
        <v>27</v>
      </c>
      <c r="I4632" s="12">
        <v>0.3263888888888889</v>
      </c>
      <c r="J4632" t="s">
        <v>28</v>
      </c>
      <c r="K4632" t="s">
        <v>27</v>
      </c>
      <c r="L4632" s="12">
        <v>0.35416666666666669</v>
      </c>
      <c r="M4632" t="s">
        <v>29</v>
      </c>
      <c r="N4632" s="3">
        <v>186</v>
      </c>
      <c r="O4632" t="s">
        <v>24</v>
      </c>
      <c r="P4632" t="s">
        <v>25</v>
      </c>
      <c r="R4632">
        <f>tblDailySchedule[[#This Row],[Capacity Approx]]*'[1]Load Factor Sheet June Acft  '!$B$5</f>
        <v>150.61772727272728</v>
      </c>
      <c r="S4632">
        <f>tblDailySchedule[[#This Row],[Capacity Approx]]*'[1]Load Factor Sheet June Acft  '!$D$5</f>
        <v>163.08818181818182</v>
      </c>
      <c r="T4632" s="22">
        <f>tblDailySchedule[[#This Row],[STD]]</f>
        <v>0.35416666666666669</v>
      </c>
    </row>
    <row r="4633" spans="1:20" hidden="1" x14ac:dyDescent="0.35">
      <c r="A4633" s="11">
        <v>46277</v>
      </c>
      <c r="B4633" s="3">
        <v>6</v>
      </c>
      <c r="C4633" t="s">
        <v>116</v>
      </c>
      <c r="D4633" t="s">
        <v>18</v>
      </c>
      <c r="E4633" s="3">
        <v>4</v>
      </c>
      <c r="F4633" t="s">
        <v>19</v>
      </c>
      <c r="G4633" t="s">
        <v>30</v>
      </c>
      <c r="H4633" t="s">
        <v>31</v>
      </c>
      <c r="I4633" s="12">
        <v>0.34722222222222221</v>
      </c>
      <c r="J4633" t="s">
        <v>32</v>
      </c>
      <c r="K4633" t="s">
        <v>31</v>
      </c>
      <c r="L4633" s="12">
        <v>0.36805555555555558</v>
      </c>
      <c r="M4633" t="s">
        <v>33</v>
      </c>
      <c r="N4633" s="3">
        <v>189</v>
      </c>
      <c r="O4633" t="s">
        <v>24</v>
      </c>
      <c r="P4633" t="s">
        <v>25</v>
      </c>
      <c r="R4633">
        <f>tblDailySchedule[[#This Row],[Capacity Approx]]*'[1]Load Factor Sheet June Acft  '!$B$5</f>
        <v>153.04704545454547</v>
      </c>
      <c r="S4633">
        <f>tblDailySchedule[[#This Row],[Capacity Approx]]*'[1]Load Factor Sheet June Acft  '!$D$5</f>
        <v>165.71863636363636</v>
      </c>
      <c r="T4633" s="22">
        <f>tblDailySchedule[[#This Row],[STD]]</f>
        <v>0.36805555555555558</v>
      </c>
    </row>
    <row r="4634" spans="1:20" hidden="1" x14ac:dyDescent="0.35">
      <c r="A4634" s="11">
        <v>46277</v>
      </c>
      <c r="B4634" s="3">
        <v>6</v>
      </c>
      <c r="C4634" t="s">
        <v>116</v>
      </c>
      <c r="D4634" t="s">
        <v>18</v>
      </c>
      <c r="E4634" s="3">
        <v>5</v>
      </c>
      <c r="F4634" t="s">
        <v>19</v>
      </c>
      <c r="G4634" t="s">
        <v>40</v>
      </c>
      <c r="H4634" t="s">
        <v>31</v>
      </c>
      <c r="I4634" s="12">
        <v>0.35069444444444442</v>
      </c>
      <c r="J4634" t="s">
        <v>41</v>
      </c>
      <c r="K4634" t="s">
        <v>31</v>
      </c>
      <c r="L4634" s="12">
        <v>0.37152777777777779</v>
      </c>
      <c r="M4634" t="s">
        <v>23</v>
      </c>
      <c r="N4634" s="3">
        <v>186</v>
      </c>
      <c r="O4634" t="s">
        <v>24</v>
      </c>
      <c r="P4634" t="s">
        <v>25</v>
      </c>
      <c r="R4634">
        <f>tblDailySchedule[[#This Row],[Capacity Approx]]*'[1]Load Factor Sheet June Acft  '!$B$5</f>
        <v>150.61772727272728</v>
      </c>
      <c r="S4634">
        <f>tblDailySchedule[[#This Row],[Capacity Approx]]*'[1]Load Factor Sheet June Acft  '!$D$5</f>
        <v>163.08818181818182</v>
      </c>
      <c r="T4634" s="22">
        <f>tblDailySchedule[[#This Row],[STD]]</f>
        <v>0.37152777777777779</v>
      </c>
    </row>
    <row r="4635" spans="1:20" hidden="1" x14ac:dyDescent="0.35">
      <c r="A4635" s="11">
        <v>46277</v>
      </c>
      <c r="B4635" s="3">
        <v>6</v>
      </c>
      <c r="C4635" t="s">
        <v>116</v>
      </c>
      <c r="D4635" t="s">
        <v>18</v>
      </c>
      <c r="E4635" s="3">
        <v>7</v>
      </c>
      <c r="F4635" t="s">
        <v>19</v>
      </c>
      <c r="G4635" t="s">
        <v>42</v>
      </c>
      <c r="H4635" t="s">
        <v>43</v>
      </c>
      <c r="I4635" s="12">
        <v>0.3923611111111111</v>
      </c>
      <c r="J4635" t="s">
        <v>44</v>
      </c>
      <c r="K4635" t="s">
        <v>43</v>
      </c>
      <c r="L4635" s="12">
        <v>0.40277777777777779</v>
      </c>
      <c r="M4635" t="s">
        <v>45</v>
      </c>
      <c r="N4635" s="3">
        <v>9</v>
      </c>
      <c r="O4635" t="s">
        <v>24</v>
      </c>
      <c r="P4635" t="s">
        <v>25</v>
      </c>
      <c r="R4635">
        <f>tblDailySchedule[[#This Row],[Capacity Approx]]*'[1]Load Factor Sheet June Acft  '!$B$5</f>
        <v>7.2879545454545456</v>
      </c>
      <c r="S4635">
        <f>tblDailySchedule[[#This Row],[Capacity Approx]]*'[1]Load Factor Sheet June Acft  '!$D$5</f>
        <v>7.8913636363636366</v>
      </c>
      <c r="T4635" s="22">
        <f>tblDailySchedule[[#This Row],[STD]]</f>
        <v>0.40277777777777779</v>
      </c>
    </row>
    <row r="4636" spans="1:20" hidden="1" x14ac:dyDescent="0.35">
      <c r="A4636" s="11">
        <v>46277</v>
      </c>
      <c r="B4636" s="3">
        <v>6</v>
      </c>
      <c r="C4636" t="s">
        <v>116</v>
      </c>
      <c r="D4636" t="s">
        <v>18</v>
      </c>
      <c r="E4636" s="3">
        <v>8</v>
      </c>
      <c r="F4636" t="s">
        <v>19</v>
      </c>
      <c r="G4636" t="s">
        <v>46</v>
      </c>
      <c r="H4636" t="s">
        <v>31</v>
      </c>
      <c r="I4636" s="12">
        <v>0.4201388888888889</v>
      </c>
      <c r="J4636" t="s">
        <v>47</v>
      </c>
      <c r="K4636" t="s">
        <v>31</v>
      </c>
      <c r="L4636" s="12">
        <v>0.44444444444444442</v>
      </c>
      <c r="M4636" t="s">
        <v>29</v>
      </c>
      <c r="N4636" s="3">
        <v>186</v>
      </c>
      <c r="O4636" t="s">
        <v>24</v>
      </c>
      <c r="P4636" t="s">
        <v>25</v>
      </c>
      <c r="R4636">
        <f>tblDailySchedule[[#This Row],[Capacity Approx]]*'[1]Load Factor Sheet June Acft  '!$B$5</f>
        <v>150.61772727272728</v>
      </c>
      <c r="S4636">
        <f>tblDailySchedule[[#This Row],[Capacity Approx]]*'[1]Load Factor Sheet June Acft  '!$D$5</f>
        <v>163.08818181818182</v>
      </c>
      <c r="T4636" s="22">
        <f>tblDailySchedule[[#This Row],[STD]]</f>
        <v>0.44444444444444442</v>
      </c>
    </row>
    <row r="4637" spans="1:20" hidden="1" x14ac:dyDescent="0.35">
      <c r="A4637" s="11">
        <v>46277</v>
      </c>
      <c r="B4637" s="3">
        <v>6</v>
      </c>
      <c r="C4637" t="s">
        <v>116</v>
      </c>
      <c r="D4637" t="s">
        <v>18</v>
      </c>
      <c r="E4637" s="3">
        <v>9</v>
      </c>
      <c r="F4637" t="s">
        <v>19</v>
      </c>
      <c r="G4637" t="s">
        <v>48</v>
      </c>
      <c r="H4637" t="s">
        <v>49</v>
      </c>
      <c r="I4637" s="12">
        <v>0.4375</v>
      </c>
      <c r="J4637" t="s">
        <v>50</v>
      </c>
      <c r="K4637" t="s">
        <v>49</v>
      </c>
      <c r="L4637" s="12">
        <v>0.45833333333333331</v>
      </c>
      <c r="M4637" t="s">
        <v>51</v>
      </c>
      <c r="N4637" s="3">
        <v>78</v>
      </c>
      <c r="O4637" t="s">
        <v>24</v>
      </c>
      <c r="P4637" t="s">
        <v>25</v>
      </c>
      <c r="R4637">
        <f>tblDailySchedule[[#This Row],[Capacity Approx]]*'[1]Load Factor Sheet June Acft  '!$B$5</f>
        <v>63.162272727272729</v>
      </c>
      <c r="S4637">
        <f>tblDailySchedule[[#This Row],[Capacity Approx]]*'[1]Load Factor Sheet June Acft  '!$D$5</f>
        <v>68.391818181818181</v>
      </c>
      <c r="T4637" s="22">
        <f>tblDailySchedule[[#This Row],[STD]]</f>
        <v>0.45833333333333331</v>
      </c>
    </row>
    <row r="4638" spans="1:20" hidden="1" x14ac:dyDescent="0.35">
      <c r="A4638" s="11">
        <v>46277</v>
      </c>
      <c r="B4638" s="3">
        <v>6</v>
      </c>
      <c r="C4638" t="s">
        <v>116</v>
      </c>
      <c r="D4638" t="s">
        <v>18</v>
      </c>
      <c r="E4638" s="3">
        <v>10</v>
      </c>
      <c r="F4638" t="s">
        <v>19</v>
      </c>
      <c r="G4638" t="s">
        <v>52</v>
      </c>
      <c r="H4638" t="s">
        <v>27</v>
      </c>
      <c r="I4638" s="12">
        <v>0.4826388888888889</v>
      </c>
      <c r="J4638" t="s">
        <v>53</v>
      </c>
      <c r="K4638" t="s">
        <v>27</v>
      </c>
      <c r="L4638" s="12">
        <v>0.51041666666666663</v>
      </c>
      <c r="M4638" t="s">
        <v>23</v>
      </c>
      <c r="N4638" s="3">
        <v>186</v>
      </c>
      <c r="O4638" t="s">
        <v>24</v>
      </c>
      <c r="P4638" t="s">
        <v>25</v>
      </c>
      <c r="R4638">
        <f>tblDailySchedule[[#This Row],[Capacity Approx]]*'[1]Load Factor Sheet June Acft  '!$B$5</f>
        <v>150.61772727272728</v>
      </c>
      <c r="S4638">
        <f>tblDailySchedule[[#This Row],[Capacity Approx]]*'[1]Load Factor Sheet June Acft  '!$D$5</f>
        <v>163.08818181818182</v>
      </c>
      <c r="T4638" s="22">
        <f>tblDailySchedule[[#This Row],[STD]]</f>
        <v>0.51041666666666663</v>
      </c>
    </row>
    <row r="4639" spans="1:20" hidden="1" x14ac:dyDescent="0.35">
      <c r="A4639" s="11">
        <v>46277</v>
      </c>
      <c r="B4639" s="3">
        <v>6</v>
      </c>
      <c r="C4639" t="s">
        <v>116</v>
      </c>
      <c r="D4639" t="s">
        <v>18</v>
      </c>
      <c r="E4639" s="3">
        <v>11</v>
      </c>
      <c r="F4639" t="s">
        <v>19</v>
      </c>
      <c r="G4639" t="s">
        <v>54</v>
      </c>
      <c r="H4639" t="s">
        <v>31</v>
      </c>
      <c r="I4639" s="12">
        <v>0.51388888888888884</v>
      </c>
      <c r="J4639" t="s">
        <v>55</v>
      </c>
      <c r="K4639" t="s">
        <v>31</v>
      </c>
      <c r="L4639" s="12">
        <v>0.54166666666666663</v>
      </c>
      <c r="M4639" t="s">
        <v>23</v>
      </c>
      <c r="N4639" s="3">
        <v>186</v>
      </c>
      <c r="O4639" t="s">
        <v>24</v>
      </c>
      <c r="P4639" t="s">
        <v>56</v>
      </c>
      <c r="R4639">
        <f>tblDailySchedule[[#This Row],[Capacity Approx]]*'[1]Load Factor Sheet June Acft  '!$B$5</f>
        <v>150.61772727272728</v>
      </c>
      <c r="S4639">
        <f>tblDailySchedule[[#This Row],[Capacity Approx]]*'[1]Load Factor Sheet June Acft  '!$D$5</f>
        <v>163.08818181818182</v>
      </c>
      <c r="T4639" s="22">
        <f>tblDailySchedule[[#This Row],[STD]]</f>
        <v>0.54166666666666663</v>
      </c>
    </row>
    <row r="4640" spans="1:20" hidden="1" x14ac:dyDescent="0.35">
      <c r="A4640" s="11">
        <v>46277</v>
      </c>
      <c r="B4640" s="3">
        <v>6</v>
      </c>
      <c r="C4640" t="s">
        <v>116</v>
      </c>
      <c r="D4640" t="s">
        <v>18</v>
      </c>
      <c r="E4640" s="3">
        <v>12</v>
      </c>
      <c r="F4640" t="s">
        <v>109</v>
      </c>
      <c r="G4640" t="s">
        <v>110</v>
      </c>
      <c r="H4640" t="s">
        <v>111</v>
      </c>
      <c r="I4640" s="12">
        <v>0.55555555555555558</v>
      </c>
      <c r="J4640" t="s">
        <v>112</v>
      </c>
      <c r="K4640" t="s">
        <v>111</v>
      </c>
      <c r="L4640" s="12">
        <v>0.56944444444444442</v>
      </c>
      <c r="M4640" t="s">
        <v>51</v>
      </c>
      <c r="N4640" s="3">
        <v>78</v>
      </c>
      <c r="O4640" t="s">
        <v>24</v>
      </c>
      <c r="P4640" t="s">
        <v>56</v>
      </c>
      <c r="R4640">
        <f>tblDailySchedule[[#This Row],[Capacity Approx]]*'[1]Load Factor Sheet June Acft  '!$B$5</f>
        <v>63.162272727272729</v>
      </c>
      <c r="S4640">
        <f>tblDailySchedule[[#This Row],[Capacity Approx]]*'[1]Load Factor Sheet June Acft  '!$D$5</f>
        <v>68.391818181818181</v>
      </c>
      <c r="T4640" s="22">
        <f>tblDailySchedule[[#This Row],[STD]]</f>
        <v>0.56944444444444442</v>
      </c>
    </row>
    <row r="4641" spans="1:20" hidden="1" x14ac:dyDescent="0.35">
      <c r="A4641" s="11">
        <v>46277</v>
      </c>
      <c r="B4641" s="3">
        <v>6</v>
      </c>
      <c r="C4641" t="s">
        <v>116</v>
      </c>
      <c r="D4641" t="s">
        <v>18</v>
      </c>
      <c r="E4641" s="3">
        <v>13</v>
      </c>
      <c r="F4641" t="s">
        <v>19</v>
      </c>
      <c r="G4641" t="s">
        <v>57</v>
      </c>
      <c r="H4641" t="s">
        <v>58</v>
      </c>
      <c r="I4641" s="12">
        <v>0.55902777777777779</v>
      </c>
      <c r="J4641" t="s">
        <v>59</v>
      </c>
      <c r="K4641" t="s">
        <v>58</v>
      </c>
      <c r="L4641" s="12">
        <v>0.57638888888888884</v>
      </c>
      <c r="M4641" t="s">
        <v>51</v>
      </c>
      <c r="N4641" s="3">
        <v>78</v>
      </c>
      <c r="O4641" t="s">
        <v>24</v>
      </c>
      <c r="P4641" t="s">
        <v>56</v>
      </c>
      <c r="R4641">
        <f>tblDailySchedule[[#This Row],[Capacity Approx]]*'[1]Load Factor Sheet June Acft  '!$B$5</f>
        <v>63.162272727272729</v>
      </c>
      <c r="S4641">
        <f>tblDailySchedule[[#This Row],[Capacity Approx]]*'[1]Load Factor Sheet June Acft  '!$D$5</f>
        <v>68.391818181818181</v>
      </c>
      <c r="T4641" s="22">
        <f>tblDailySchedule[[#This Row],[STD]]</f>
        <v>0.57638888888888884</v>
      </c>
    </row>
    <row r="4642" spans="1:20" hidden="1" x14ac:dyDescent="0.35">
      <c r="A4642" s="11">
        <v>46277</v>
      </c>
      <c r="B4642" s="3">
        <v>6</v>
      </c>
      <c r="C4642" t="s">
        <v>116</v>
      </c>
      <c r="D4642" t="s">
        <v>18</v>
      </c>
      <c r="E4642" s="3">
        <v>14</v>
      </c>
      <c r="F4642" t="s">
        <v>19</v>
      </c>
      <c r="G4642" t="s">
        <v>60</v>
      </c>
      <c r="H4642" t="s">
        <v>61</v>
      </c>
      <c r="I4642" s="12">
        <v>0.59027777777777779</v>
      </c>
      <c r="J4642" t="s">
        <v>62</v>
      </c>
      <c r="K4642" t="s">
        <v>61</v>
      </c>
      <c r="L4642" s="12">
        <v>0.62152777777777779</v>
      </c>
      <c r="M4642" t="s">
        <v>63</v>
      </c>
      <c r="N4642" s="3">
        <v>232</v>
      </c>
      <c r="O4642" t="s">
        <v>24</v>
      </c>
      <c r="P4642" t="s">
        <v>56</v>
      </c>
      <c r="R4642">
        <f>tblDailySchedule[[#This Row],[Capacity Approx]]*'[1]Load Factor Sheet June Acft  '!$B$5</f>
        <v>187.86727272727273</v>
      </c>
      <c r="S4642">
        <f>tblDailySchedule[[#This Row],[Capacity Approx]]*'[1]Load Factor Sheet June Acft  '!$D$5</f>
        <v>203.4218181818182</v>
      </c>
      <c r="T4642" s="22">
        <f>tblDailySchedule[[#This Row],[STD]]</f>
        <v>0.62152777777777779</v>
      </c>
    </row>
    <row r="4643" spans="1:20" hidden="1" x14ac:dyDescent="0.35">
      <c r="A4643" s="11">
        <v>46277</v>
      </c>
      <c r="B4643" s="3">
        <v>6</v>
      </c>
      <c r="C4643" t="s">
        <v>116</v>
      </c>
      <c r="D4643" t="s">
        <v>18</v>
      </c>
      <c r="E4643" s="3">
        <v>15</v>
      </c>
      <c r="F4643" t="s">
        <v>19</v>
      </c>
      <c r="G4643" t="s">
        <v>64</v>
      </c>
      <c r="H4643" t="s">
        <v>31</v>
      </c>
      <c r="I4643" s="12">
        <v>0.60069444444444442</v>
      </c>
      <c r="J4643" t="s">
        <v>65</v>
      </c>
      <c r="K4643" t="s">
        <v>66</v>
      </c>
      <c r="L4643" s="12">
        <v>0.62847222222222221</v>
      </c>
      <c r="M4643" t="s">
        <v>63</v>
      </c>
      <c r="N4643" s="3">
        <v>232</v>
      </c>
      <c r="O4643" t="s">
        <v>24</v>
      </c>
      <c r="P4643" t="s">
        <v>56</v>
      </c>
      <c r="R4643">
        <f>tblDailySchedule[[#This Row],[Capacity Approx]]*'[1]Load Factor Sheet June Acft  '!$B$5</f>
        <v>187.86727272727273</v>
      </c>
      <c r="S4643">
        <f>tblDailySchedule[[#This Row],[Capacity Approx]]*'[1]Load Factor Sheet June Acft  '!$D$5</f>
        <v>203.4218181818182</v>
      </c>
      <c r="T4643" s="22">
        <f>tblDailySchedule[[#This Row],[STD]]</f>
        <v>0.62847222222222221</v>
      </c>
    </row>
    <row r="4644" spans="1:20" hidden="1" x14ac:dyDescent="0.35">
      <c r="A4644" s="11">
        <v>46277</v>
      </c>
      <c r="B4644" s="3">
        <v>6</v>
      </c>
      <c r="C4644" t="s">
        <v>116</v>
      </c>
      <c r="D4644" t="s">
        <v>18</v>
      </c>
      <c r="E4644" s="3">
        <v>16</v>
      </c>
      <c r="F4644" t="s">
        <v>19</v>
      </c>
      <c r="G4644" t="s">
        <v>67</v>
      </c>
      <c r="H4644" t="s">
        <v>31</v>
      </c>
      <c r="I4644" s="12">
        <v>0.65625</v>
      </c>
      <c r="J4644" t="s">
        <v>68</v>
      </c>
      <c r="K4644" t="s">
        <v>31</v>
      </c>
      <c r="L4644" s="12">
        <v>0.68402777777777779</v>
      </c>
      <c r="M4644" t="s">
        <v>63</v>
      </c>
      <c r="N4644" s="3">
        <v>232</v>
      </c>
      <c r="O4644" t="s">
        <v>24</v>
      </c>
      <c r="P4644" t="s">
        <v>56</v>
      </c>
      <c r="R4644">
        <f>tblDailySchedule[[#This Row],[Capacity Approx]]*'[1]Load Factor Sheet June Acft  '!$B$5</f>
        <v>187.86727272727273</v>
      </c>
      <c r="S4644">
        <f>tblDailySchedule[[#This Row],[Capacity Approx]]*'[1]Load Factor Sheet June Acft  '!$D$5</f>
        <v>203.4218181818182</v>
      </c>
      <c r="T4644" s="22">
        <f>tblDailySchedule[[#This Row],[STD]]</f>
        <v>0.68402777777777779</v>
      </c>
    </row>
    <row r="4645" spans="1:20" hidden="1" x14ac:dyDescent="0.35">
      <c r="A4645" s="11">
        <v>46277</v>
      </c>
      <c r="B4645" s="3">
        <v>6</v>
      </c>
      <c r="C4645" t="s">
        <v>116</v>
      </c>
      <c r="D4645" t="s">
        <v>18</v>
      </c>
      <c r="E4645" s="3">
        <v>17</v>
      </c>
      <c r="F4645" t="s">
        <v>19</v>
      </c>
      <c r="G4645" t="s">
        <v>69</v>
      </c>
      <c r="H4645" t="s">
        <v>31</v>
      </c>
      <c r="I4645" s="12">
        <v>0.66319444444444442</v>
      </c>
      <c r="J4645" t="s">
        <v>70</v>
      </c>
      <c r="K4645" t="s">
        <v>31</v>
      </c>
      <c r="L4645" s="12">
        <v>0.69097222222222221</v>
      </c>
      <c r="M4645" t="s">
        <v>33</v>
      </c>
      <c r="N4645" s="3">
        <v>189</v>
      </c>
      <c r="O4645" t="s">
        <v>24</v>
      </c>
      <c r="P4645" t="s">
        <v>56</v>
      </c>
      <c r="R4645">
        <f>tblDailySchedule[[#This Row],[Capacity Approx]]*'[1]Load Factor Sheet June Acft  '!$B$5</f>
        <v>153.04704545454547</v>
      </c>
      <c r="S4645">
        <f>tblDailySchedule[[#This Row],[Capacity Approx]]*'[1]Load Factor Sheet June Acft  '!$D$5</f>
        <v>165.71863636363636</v>
      </c>
      <c r="T4645" s="22">
        <f>tblDailySchedule[[#This Row],[STD]]</f>
        <v>0.69097222222222221</v>
      </c>
    </row>
    <row r="4646" spans="1:20" hidden="1" x14ac:dyDescent="0.35">
      <c r="A4646" s="11">
        <v>46277</v>
      </c>
      <c r="B4646" s="3">
        <v>6</v>
      </c>
      <c r="C4646" t="s">
        <v>116</v>
      </c>
      <c r="D4646" t="s">
        <v>18</v>
      </c>
      <c r="E4646" s="3">
        <v>18</v>
      </c>
      <c r="F4646" t="s">
        <v>19</v>
      </c>
      <c r="G4646" t="s">
        <v>71</v>
      </c>
      <c r="H4646" t="s">
        <v>21</v>
      </c>
      <c r="I4646" s="12">
        <v>0.67013888888888884</v>
      </c>
      <c r="J4646" t="s">
        <v>72</v>
      </c>
      <c r="K4646" t="s">
        <v>21</v>
      </c>
      <c r="L4646" s="12">
        <v>0.69791666666666663</v>
      </c>
      <c r="M4646" t="s">
        <v>63</v>
      </c>
      <c r="N4646" s="3">
        <v>232</v>
      </c>
      <c r="O4646" t="s">
        <v>24</v>
      </c>
      <c r="P4646" t="s">
        <v>56</v>
      </c>
      <c r="R4646">
        <f>tblDailySchedule[[#This Row],[Capacity Approx]]*'[1]Load Factor Sheet June Acft  '!$B$5</f>
        <v>187.86727272727273</v>
      </c>
      <c r="S4646">
        <f>tblDailySchedule[[#This Row],[Capacity Approx]]*'[1]Load Factor Sheet June Acft  '!$D$5</f>
        <v>203.4218181818182</v>
      </c>
      <c r="T4646" s="22">
        <f>tblDailySchedule[[#This Row],[STD]]</f>
        <v>0.69791666666666663</v>
      </c>
    </row>
    <row r="4647" spans="1:20" hidden="1" x14ac:dyDescent="0.35">
      <c r="A4647" s="11">
        <v>46277</v>
      </c>
      <c r="B4647" s="3">
        <v>6</v>
      </c>
      <c r="C4647" t="s">
        <v>116</v>
      </c>
      <c r="D4647" t="s">
        <v>18</v>
      </c>
      <c r="E4647" s="3">
        <v>19</v>
      </c>
      <c r="F4647" t="s">
        <v>19</v>
      </c>
      <c r="G4647" t="s">
        <v>73</v>
      </c>
      <c r="H4647" t="s">
        <v>27</v>
      </c>
      <c r="I4647" s="12">
        <v>0.74652777777777779</v>
      </c>
      <c r="J4647" t="s">
        <v>74</v>
      </c>
      <c r="K4647" t="s">
        <v>27</v>
      </c>
      <c r="L4647" s="12">
        <v>0.77430555555555558</v>
      </c>
      <c r="M4647" t="s">
        <v>63</v>
      </c>
      <c r="N4647" s="3">
        <v>232</v>
      </c>
      <c r="O4647" t="s">
        <v>24</v>
      </c>
      <c r="P4647" t="s">
        <v>56</v>
      </c>
      <c r="R4647">
        <f>tblDailySchedule[[#This Row],[Capacity Approx]]*'[1]Load Factor Sheet June Acft  '!$B$5</f>
        <v>187.86727272727273</v>
      </c>
      <c r="S4647">
        <f>tblDailySchedule[[#This Row],[Capacity Approx]]*'[1]Load Factor Sheet June Acft  '!$D$5</f>
        <v>203.4218181818182</v>
      </c>
      <c r="T4647" s="22">
        <f>tblDailySchedule[[#This Row],[STD]]</f>
        <v>0.77430555555555558</v>
      </c>
    </row>
    <row r="4648" spans="1:20" hidden="1" x14ac:dyDescent="0.35">
      <c r="A4648" s="11">
        <v>46277</v>
      </c>
      <c r="B4648" s="3">
        <v>6</v>
      </c>
      <c r="C4648" t="s">
        <v>116</v>
      </c>
      <c r="D4648" t="s">
        <v>18</v>
      </c>
      <c r="E4648" s="3">
        <v>21</v>
      </c>
      <c r="F4648" t="s">
        <v>19</v>
      </c>
      <c r="G4648" t="s">
        <v>81</v>
      </c>
      <c r="H4648" t="s">
        <v>61</v>
      </c>
      <c r="I4648" s="12">
        <v>0.77083333333333337</v>
      </c>
      <c r="J4648" t="s">
        <v>82</v>
      </c>
      <c r="K4648" t="s">
        <v>49</v>
      </c>
      <c r="L4648" s="12">
        <v>0.79166666666666663</v>
      </c>
      <c r="M4648" t="s">
        <v>33</v>
      </c>
      <c r="N4648" s="3">
        <v>189</v>
      </c>
      <c r="O4648" t="s">
        <v>24</v>
      </c>
      <c r="P4648" t="s">
        <v>79</v>
      </c>
      <c r="R4648">
        <f>tblDailySchedule[[#This Row],[Capacity Approx]]*'[1]Load Factor Sheet June Acft  '!$B$5</f>
        <v>153.04704545454547</v>
      </c>
      <c r="S4648">
        <f>tblDailySchedule[[#This Row],[Capacity Approx]]*'[1]Load Factor Sheet June Acft  '!$D$5</f>
        <v>165.71863636363636</v>
      </c>
      <c r="T4648" s="22">
        <f>tblDailySchedule[[#This Row],[STD]]</f>
        <v>0.79166666666666663</v>
      </c>
    </row>
    <row r="4649" spans="1:20" hidden="1" x14ac:dyDescent="0.35">
      <c r="A4649" s="11">
        <v>46277</v>
      </c>
      <c r="B4649" s="3">
        <v>6</v>
      </c>
      <c r="C4649" t="s">
        <v>116</v>
      </c>
      <c r="D4649" t="s">
        <v>18</v>
      </c>
      <c r="E4649" s="3">
        <v>22</v>
      </c>
      <c r="F4649" t="s">
        <v>19</v>
      </c>
      <c r="G4649" t="s">
        <v>83</v>
      </c>
      <c r="H4649" t="s">
        <v>31</v>
      </c>
      <c r="I4649" s="12">
        <v>0.77777777777777779</v>
      </c>
      <c r="J4649" t="s">
        <v>84</v>
      </c>
      <c r="K4649" t="s">
        <v>31</v>
      </c>
      <c r="L4649" s="12">
        <v>0.80555555555555558</v>
      </c>
      <c r="M4649" t="s">
        <v>63</v>
      </c>
      <c r="N4649" s="3">
        <v>232</v>
      </c>
      <c r="O4649" t="s">
        <v>24</v>
      </c>
      <c r="P4649" t="s">
        <v>79</v>
      </c>
      <c r="R4649">
        <f>tblDailySchedule[[#This Row],[Capacity Approx]]*'[1]Load Factor Sheet June Acft  '!$B$5</f>
        <v>187.86727272727273</v>
      </c>
      <c r="S4649">
        <f>tblDailySchedule[[#This Row],[Capacity Approx]]*'[1]Load Factor Sheet June Acft  '!$D$5</f>
        <v>203.4218181818182</v>
      </c>
      <c r="T4649" s="22">
        <f>tblDailySchedule[[#This Row],[STD]]</f>
        <v>0.80555555555555558</v>
      </c>
    </row>
    <row r="4650" spans="1:20" hidden="1" x14ac:dyDescent="0.35">
      <c r="A4650" s="11">
        <v>46277</v>
      </c>
      <c r="B4650" s="3">
        <v>6</v>
      </c>
      <c r="C4650" t="s">
        <v>116</v>
      </c>
      <c r="D4650" t="s">
        <v>18</v>
      </c>
      <c r="E4650" s="3">
        <v>23</v>
      </c>
      <c r="F4650" t="s">
        <v>19</v>
      </c>
      <c r="G4650" t="s">
        <v>85</v>
      </c>
      <c r="H4650" t="s">
        <v>86</v>
      </c>
      <c r="I4650" s="12">
        <v>0.79861111111111116</v>
      </c>
      <c r="J4650" t="s">
        <v>87</v>
      </c>
      <c r="K4650" t="s">
        <v>86</v>
      </c>
      <c r="L4650" s="12">
        <v>0.82638888888888884</v>
      </c>
      <c r="M4650" t="s">
        <v>63</v>
      </c>
      <c r="N4650" s="3">
        <v>232</v>
      </c>
      <c r="O4650" t="s">
        <v>24</v>
      </c>
      <c r="P4650" t="s">
        <v>79</v>
      </c>
      <c r="R4650">
        <f>tblDailySchedule[[#This Row],[Capacity Approx]]*'[1]Load Factor Sheet June Acft  '!$B$5</f>
        <v>187.86727272727273</v>
      </c>
      <c r="S4650">
        <f>tblDailySchedule[[#This Row],[Capacity Approx]]*'[1]Load Factor Sheet June Acft  '!$D$5</f>
        <v>203.4218181818182</v>
      </c>
      <c r="T4650" s="22">
        <f>tblDailySchedule[[#This Row],[STD]]</f>
        <v>0.82638888888888884</v>
      </c>
    </row>
    <row r="4651" spans="1:20" hidden="1" x14ac:dyDescent="0.35">
      <c r="A4651" s="11">
        <v>46277</v>
      </c>
      <c r="B4651" s="3">
        <v>6</v>
      </c>
      <c r="C4651" t="s">
        <v>116</v>
      </c>
      <c r="D4651" t="s">
        <v>18</v>
      </c>
      <c r="E4651" s="3">
        <v>24</v>
      </c>
      <c r="F4651" t="s">
        <v>19</v>
      </c>
      <c r="G4651" t="s">
        <v>88</v>
      </c>
      <c r="H4651" t="s">
        <v>89</v>
      </c>
      <c r="I4651" s="12">
        <v>0.83333333333333337</v>
      </c>
      <c r="J4651" t="s">
        <v>90</v>
      </c>
      <c r="K4651" t="s">
        <v>31</v>
      </c>
      <c r="L4651" s="12">
        <v>0.86111111111111116</v>
      </c>
      <c r="M4651" t="s">
        <v>63</v>
      </c>
      <c r="N4651" s="3">
        <v>232</v>
      </c>
      <c r="O4651" t="s">
        <v>24</v>
      </c>
      <c r="P4651" t="s">
        <v>79</v>
      </c>
      <c r="R4651">
        <f>tblDailySchedule[[#This Row],[Capacity Approx]]*'[1]Load Factor Sheet June Acft  '!$B$5</f>
        <v>187.86727272727273</v>
      </c>
      <c r="S4651">
        <f>tblDailySchedule[[#This Row],[Capacity Approx]]*'[1]Load Factor Sheet June Acft  '!$D$5</f>
        <v>203.4218181818182</v>
      </c>
      <c r="T4651" s="22">
        <f>tblDailySchedule[[#This Row],[STD]]</f>
        <v>0.86111111111111116</v>
      </c>
    </row>
    <row r="4652" spans="1:20" hidden="1" x14ac:dyDescent="0.35">
      <c r="A4652" s="11">
        <v>46277</v>
      </c>
      <c r="B4652" s="3">
        <v>6</v>
      </c>
      <c r="C4652" t="s">
        <v>116</v>
      </c>
      <c r="D4652" t="s">
        <v>18</v>
      </c>
      <c r="E4652" s="3">
        <v>25</v>
      </c>
      <c r="F4652" t="s">
        <v>19</v>
      </c>
      <c r="G4652" t="s">
        <v>91</v>
      </c>
      <c r="H4652" t="s">
        <v>61</v>
      </c>
      <c r="I4652" s="12">
        <v>0.85416666666666663</v>
      </c>
      <c r="J4652" t="s">
        <v>92</v>
      </c>
      <c r="K4652" t="s">
        <v>61</v>
      </c>
      <c r="L4652" s="12">
        <v>0.88194444444444442</v>
      </c>
      <c r="M4652" t="s">
        <v>63</v>
      </c>
      <c r="N4652" s="3">
        <v>232</v>
      </c>
      <c r="O4652" t="s">
        <v>24</v>
      </c>
      <c r="P4652" t="s">
        <v>79</v>
      </c>
      <c r="R4652">
        <f>tblDailySchedule[[#This Row],[Capacity Approx]]*'[1]Load Factor Sheet June Acft  '!$B$5</f>
        <v>187.86727272727273</v>
      </c>
      <c r="S4652">
        <f>tblDailySchedule[[#This Row],[Capacity Approx]]*'[1]Load Factor Sheet June Acft  '!$D$5</f>
        <v>203.4218181818182</v>
      </c>
      <c r="T4652" s="22">
        <f>tblDailySchedule[[#This Row],[STD]]</f>
        <v>0.88194444444444442</v>
      </c>
    </row>
    <row r="4653" spans="1:20" hidden="1" x14ac:dyDescent="0.35">
      <c r="A4653" s="11">
        <v>46277</v>
      </c>
      <c r="B4653" s="3">
        <v>6</v>
      </c>
      <c r="C4653" t="s">
        <v>116</v>
      </c>
      <c r="D4653" t="s">
        <v>18</v>
      </c>
      <c r="E4653" s="3">
        <v>26</v>
      </c>
      <c r="F4653" t="s">
        <v>19</v>
      </c>
      <c r="G4653" t="s">
        <v>93</v>
      </c>
      <c r="H4653" t="s">
        <v>31</v>
      </c>
      <c r="I4653" s="12">
        <v>0.86111111111111116</v>
      </c>
      <c r="J4653" t="s">
        <v>94</v>
      </c>
      <c r="K4653" t="s">
        <v>31</v>
      </c>
      <c r="L4653" s="12">
        <v>0.88888888888888884</v>
      </c>
      <c r="M4653" t="s">
        <v>23</v>
      </c>
      <c r="N4653" s="3">
        <v>186</v>
      </c>
      <c r="O4653" t="s">
        <v>24</v>
      </c>
      <c r="P4653" t="s">
        <v>79</v>
      </c>
      <c r="R4653">
        <f>tblDailySchedule[[#This Row],[Capacity Approx]]*'[1]Load Factor Sheet June Acft  '!$B$5</f>
        <v>150.61772727272728</v>
      </c>
      <c r="S4653">
        <f>tblDailySchedule[[#This Row],[Capacity Approx]]*'[1]Load Factor Sheet June Acft  '!$D$5</f>
        <v>163.08818181818182</v>
      </c>
      <c r="T4653" s="22">
        <f>tblDailySchedule[[#This Row],[STD]]</f>
        <v>0.88888888888888884</v>
      </c>
    </row>
    <row r="4654" spans="1:20" hidden="1" x14ac:dyDescent="0.35">
      <c r="A4654" s="11">
        <v>46277</v>
      </c>
      <c r="B4654" s="3">
        <v>6</v>
      </c>
      <c r="C4654" t="s">
        <v>116</v>
      </c>
      <c r="D4654" t="s">
        <v>18</v>
      </c>
      <c r="E4654" s="3">
        <v>27</v>
      </c>
      <c r="F4654" t="s">
        <v>19</v>
      </c>
      <c r="G4654" t="s">
        <v>95</v>
      </c>
      <c r="H4654" t="s">
        <v>21</v>
      </c>
      <c r="I4654" s="12">
        <v>0.86805555555555558</v>
      </c>
      <c r="J4654" t="s">
        <v>96</v>
      </c>
      <c r="K4654" t="s">
        <v>21</v>
      </c>
      <c r="L4654" s="12">
        <v>0.89583333333333337</v>
      </c>
      <c r="M4654" t="s">
        <v>29</v>
      </c>
      <c r="N4654" s="3">
        <v>186</v>
      </c>
      <c r="O4654" t="s">
        <v>24</v>
      </c>
      <c r="P4654" t="s">
        <v>79</v>
      </c>
      <c r="R4654">
        <f>tblDailySchedule[[#This Row],[Capacity Approx]]*'[1]Load Factor Sheet June Acft  '!$B$5</f>
        <v>150.61772727272728</v>
      </c>
      <c r="S4654">
        <f>tblDailySchedule[[#This Row],[Capacity Approx]]*'[1]Load Factor Sheet June Acft  '!$D$5</f>
        <v>163.08818181818182</v>
      </c>
      <c r="T4654" s="22">
        <f>tblDailySchedule[[#This Row],[STD]]</f>
        <v>0.89583333333333337</v>
      </c>
    </row>
    <row r="4655" spans="1:20" hidden="1" x14ac:dyDescent="0.35">
      <c r="A4655" s="11">
        <v>46277</v>
      </c>
      <c r="B4655" s="3">
        <v>6</v>
      </c>
      <c r="C4655" t="s">
        <v>116</v>
      </c>
      <c r="D4655" t="s">
        <v>18</v>
      </c>
      <c r="E4655" s="3">
        <v>28</v>
      </c>
      <c r="F4655" t="s">
        <v>19</v>
      </c>
      <c r="G4655" t="s">
        <v>97</v>
      </c>
      <c r="H4655" t="s">
        <v>49</v>
      </c>
      <c r="I4655" s="12">
        <v>0.90277777777777779</v>
      </c>
      <c r="J4655" t="s">
        <v>97</v>
      </c>
      <c r="K4655" t="s">
        <v>61</v>
      </c>
      <c r="L4655" s="12">
        <v>0.92361111111111116</v>
      </c>
      <c r="M4655" t="s">
        <v>33</v>
      </c>
      <c r="N4655" s="3">
        <v>189</v>
      </c>
      <c r="O4655" t="s">
        <v>24</v>
      </c>
      <c r="P4655" t="s">
        <v>79</v>
      </c>
      <c r="R4655">
        <f>tblDailySchedule[[#This Row],[Capacity Approx]]*'[1]Load Factor Sheet June Acft  '!$B$5</f>
        <v>153.04704545454547</v>
      </c>
      <c r="S4655">
        <f>tblDailySchedule[[#This Row],[Capacity Approx]]*'[1]Load Factor Sheet June Acft  '!$D$5</f>
        <v>165.71863636363636</v>
      </c>
      <c r="T4655" s="22">
        <f>tblDailySchedule[[#This Row],[STD]]</f>
        <v>0.92361111111111116</v>
      </c>
    </row>
    <row r="4656" spans="1:20" hidden="1" x14ac:dyDescent="0.35">
      <c r="A4656" s="11">
        <v>46277</v>
      </c>
      <c r="B4656" s="3">
        <v>6</v>
      </c>
      <c r="C4656" t="s">
        <v>116</v>
      </c>
      <c r="D4656" t="s">
        <v>18</v>
      </c>
      <c r="E4656" s="3">
        <v>29</v>
      </c>
      <c r="F4656" t="s">
        <v>19</v>
      </c>
      <c r="G4656" t="s">
        <v>98</v>
      </c>
      <c r="H4656" t="s">
        <v>21</v>
      </c>
      <c r="I4656" s="12">
        <v>0.92013888888888884</v>
      </c>
      <c r="J4656" t="s">
        <v>99</v>
      </c>
      <c r="K4656" t="s">
        <v>21</v>
      </c>
      <c r="L4656" s="12">
        <v>0.94791666666666663</v>
      </c>
      <c r="M4656" t="s">
        <v>63</v>
      </c>
      <c r="N4656" s="3">
        <v>232</v>
      </c>
      <c r="O4656" t="s">
        <v>24</v>
      </c>
      <c r="P4656" t="s">
        <v>79</v>
      </c>
      <c r="R4656">
        <f>tblDailySchedule[[#This Row],[Capacity Approx]]*'[1]Load Factor Sheet June Acft  '!$B$5</f>
        <v>187.86727272727273</v>
      </c>
      <c r="S4656">
        <f>tblDailySchedule[[#This Row],[Capacity Approx]]*'[1]Load Factor Sheet June Acft  '!$D$5</f>
        <v>203.4218181818182</v>
      </c>
      <c r="T4656" s="22">
        <f>tblDailySchedule[[#This Row],[STD]]</f>
        <v>0.94791666666666663</v>
      </c>
    </row>
    <row r="4657" spans="1:20" hidden="1" x14ac:dyDescent="0.35">
      <c r="A4657" s="13">
        <v>46277</v>
      </c>
      <c r="B4657" s="7">
        <v>6</v>
      </c>
      <c r="C4657" s="14" t="s">
        <v>116</v>
      </c>
      <c r="D4657" s="14" t="s">
        <v>18</v>
      </c>
      <c r="E4657" s="7">
        <v>30</v>
      </c>
      <c r="F4657" s="14" t="s">
        <v>104</v>
      </c>
      <c r="G4657" s="14" t="s">
        <v>105</v>
      </c>
      <c r="H4657" s="14" t="s">
        <v>106</v>
      </c>
      <c r="I4657" s="15">
        <v>0.92708333333333337</v>
      </c>
      <c r="J4657" s="14" t="s">
        <v>107</v>
      </c>
      <c r="K4657" s="14" t="s">
        <v>106</v>
      </c>
      <c r="L4657" s="15">
        <v>0.95833333333333337</v>
      </c>
      <c r="M4657" s="14" t="s">
        <v>38</v>
      </c>
      <c r="N4657" s="7">
        <v>186</v>
      </c>
      <c r="O4657" s="14" t="s">
        <v>39</v>
      </c>
      <c r="P4657" s="14" t="s">
        <v>79</v>
      </c>
      <c r="Q4657" s="14" t="s">
        <v>39</v>
      </c>
      <c r="R4657">
        <f>tblDailySchedule[[#This Row],[Capacity Approx]]*'[1]Load Factor Sheet June Acft  '!$B$5</f>
        <v>150.61772727272728</v>
      </c>
      <c r="S4657">
        <f>tblDailySchedule[[#This Row],[Capacity Approx]]*'[1]Load Factor Sheet June Acft  '!$D$5</f>
        <v>163.08818181818182</v>
      </c>
      <c r="T4657" s="22">
        <f>tblDailySchedule[[#This Row],[STD]]</f>
        <v>0.95833333333333337</v>
      </c>
    </row>
    <row r="4658" spans="1:20" hidden="1" x14ac:dyDescent="0.35">
      <c r="A4658" s="11">
        <v>46278</v>
      </c>
      <c r="B4658" s="3">
        <v>7</v>
      </c>
      <c r="C4658" t="s">
        <v>17</v>
      </c>
      <c r="D4658" t="s">
        <v>18</v>
      </c>
      <c r="E4658" s="3">
        <v>2</v>
      </c>
      <c r="F4658" t="s">
        <v>19</v>
      </c>
      <c r="G4658" t="s">
        <v>20</v>
      </c>
      <c r="H4658" t="s">
        <v>21</v>
      </c>
      <c r="I4658" s="12">
        <v>0.31944444444444442</v>
      </c>
      <c r="J4658" t="s">
        <v>22</v>
      </c>
      <c r="K4658" t="s">
        <v>21</v>
      </c>
      <c r="L4658" s="12">
        <v>0.34722222222222221</v>
      </c>
      <c r="M4658" t="s">
        <v>23</v>
      </c>
      <c r="N4658" s="3">
        <v>186</v>
      </c>
      <c r="O4658" t="s">
        <v>24</v>
      </c>
      <c r="P4658" t="s">
        <v>25</v>
      </c>
      <c r="R4658">
        <f>tblDailySchedule[[#This Row],[Capacity Approx]]*'[1]Load Factor Sheet June Acft  '!$B$5</f>
        <v>150.61772727272728</v>
      </c>
      <c r="S4658">
        <f>tblDailySchedule[[#This Row],[Capacity Approx]]*'[1]Load Factor Sheet June Acft  '!$D$5</f>
        <v>163.08818181818182</v>
      </c>
      <c r="T4658" s="22">
        <f>tblDailySchedule[[#This Row],[STD]]</f>
        <v>0.34722222222222221</v>
      </c>
    </row>
    <row r="4659" spans="1:20" hidden="1" x14ac:dyDescent="0.35">
      <c r="A4659" s="11">
        <v>46278</v>
      </c>
      <c r="B4659" s="3">
        <v>7</v>
      </c>
      <c r="C4659" t="s">
        <v>17</v>
      </c>
      <c r="D4659" t="s">
        <v>18</v>
      </c>
      <c r="E4659" s="3">
        <v>3</v>
      </c>
      <c r="F4659" t="s">
        <v>19</v>
      </c>
      <c r="G4659" t="s">
        <v>26</v>
      </c>
      <c r="H4659" t="s">
        <v>27</v>
      </c>
      <c r="I4659" s="12">
        <v>0.3263888888888889</v>
      </c>
      <c r="J4659" t="s">
        <v>28</v>
      </c>
      <c r="K4659" t="s">
        <v>27</v>
      </c>
      <c r="L4659" s="12">
        <v>0.35416666666666669</v>
      </c>
      <c r="M4659" t="s">
        <v>29</v>
      </c>
      <c r="N4659" s="3">
        <v>186</v>
      </c>
      <c r="O4659" t="s">
        <v>24</v>
      </c>
      <c r="P4659" t="s">
        <v>25</v>
      </c>
      <c r="R4659">
        <f>tblDailySchedule[[#This Row],[Capacity Approx]]*'[1]Load Factor Sheet June Acft  '!$B$5</f>
        <v>150.61772727272728</v>
      </c>
      <c r="S4659">
        <f>tblDailySchedule[[#This Row],[Capacity Approx]]*'[1]Load Factor Sheet June Acft  '!$D$5</f>
        <v>163.08818181818182</v>
      </c>
      <c r="T4659" s="22">
        <f>tblDailySchedule[[#This Row],[STD]]</f>
        <v>0.35416666666666669</v>
      </c>
    </row>
    <row r="4660" spans="1:20" hidden="1" x14ac:dyDescent="0.35">
      <c r="A4660" s="11">
        <v>46278</v>
      </c>
      <c r="B4660" s="3">
        <v>7</v>
      </c>
      <c r="C4660" t="s">
        <v>17</v>
      </c>
      <c r="D4660" t="s">
        <v>18</v>
      </c>
      <c r="E4660" s="3">
        <v>4</v>
      </c>
      <c r="F4660" t="s">
        <v>19</v>
      </c>
      <c r="G4660" t="s">
        <v>30</v>
      </c>
      <c r="H4660" t="s">
        <v>31</v>
      </c>
      <c r="I4660" s="12">
        <v>0.34722222222222221</v>
      </c>
      <c r="J4660" t="s">
        <v>32</v>
      </c>
      <c r="K4660" t="s">
        <v>31</v>
      </c>
      <c r="L4660" s="12">
        <v>0.36805555555555558</v>
      </c>
      <c r="M4660" t="s">
        <v>33</v>
      </c>
      <c r="N4660" s="3">
        <v>189</v>
      </c>
      <c r="O4660" t="s">
        <v>24</v>
      </c>
      <c r="P4660" t="s">
        <v>25</v>
      </c>
      <c r="R4660">
        <f>tblDailySchedule[[#This Row],[Capacity Approx]]*'[1]Load Factor Sheet June Acft  '!$B$5</f>
        <v>153.04704545454547</v>
      </c>
      <c r="S4660">
        <f>tblDailySchedule[[#This Row],[Capacity Approx]]*'[1]Load Factor Sheet June Acft  '!$D$5</f>
        <v>165.71863636363636</v>
      </c>
      <c r="T4660" s="22">
        <f>tblDailySchedule[[#This Row],[STD]]</f>
        <v>0.36805555555555558</v>
      </c>
    </row>
    <row r="4661" spans="1:20" hidden="1" x14ac:dyDescent="0.35">
      <c r="A4661" s="13">
        <v>46278</v>
      </c>
      <c r="B4661" s="7">
        <v>7</v>
      </c>
      <c r="C4661" s="14" t="s">
        <v>17</v>
      </c>
      <c r="D4661" s="14" t="s">
        <v>18</v>
      </c>
      <c r="E4661" s="7">
        <v>6</v>
      </c>
      <c r="F4661" s="14" t="s">
        <v>34</v>
      </c>
      <c r="G4661" s="14" t="s">
        <v>35</v>
      </c>
      <c r="H4661" s="14" t="s">
        <v>36</v>
      </c>
      <c r="I4661" s="15">
        <v>0.34722222222222221</v>
      </c>
      <c r="J4661" s="14" t="s">
        <v>37</v>
      </c>
      <c r="K4661" s="14" t="s">
        <v>36</v>
      </c>
      <c r="L4661" s="15">
        <v>0.40972222222222221</v>
      </c>
      <c r="M4661" s="14" t="s">
        <v>38</v>
      </c>
      <c r="N4661" s="7">
        <v>186</v>
      </c>
      <c r="O4661" s="14" t="s">
        <v>39</v>
      </c>
      <c r="P4661" s="14" t="s">
        <v>25</v>
      </c>
      <c r="Q4661" s="14" t="s">
        <v>39</v>
      </c>
      <c r="R4661">
        <f>tblDailySchedule[[#This Row],[Capacity Approx]]*'[1]Load Factor Sheet June Acft  '!$B$5</f>
        <v>150.61772727272728</v>
      </c>
      <c r="S4661">
        <f>tblDailySchedule[[#This Row],[Capacity Approx]]*'[1]Load Factor Sheet June Acft  '!$D$5</f>
        <v>163.08818181818182</v>
      </c>
      <c r="T4661" s="22">
        <f>tblDailySchedule[[#This Row],[STD]]</f>
        <v>0.40972222222222221</v>
      </c>
    </row>
    <row r="4662" spans="1:20" hidden="1" x14ac:dyDescent="0.35">
      <c r="A4662" s="11">
        <v>46278</v>
      </c>
      <c r="B4662" s="3">
        <v>7</v>
      </c>
      <c r="C4662" t="s">
        <v>17</v>
      </c>
      <c r="D4662" t="s">
        <v>18</v>
      </c>
      <c r="E4662" s="3">
        <v>5</v>
      </c>
      <c r="F4662" t="s">
        <v>19</v>
      </c>
      <c r="G4662" t="s">
        <v>40</v>
      </c>
      <c r="H4662" t="s">
        <v>31</v>
      </c>
      <c r="I4662" s="12">
        <v>0.35069444444444442</v>
      </c>
      <c r="J4662" t="s">
        <v>41</v>
      </c>
      <c r="K4662" t="s">
        <v>31</v>
      </c>
      <c r="L4662" s="12">
        <v>0.37152777777777779</v>
      </c>
      <c r="M4662" t="s">
        <v>23</v>
      </c>
      <c r="N4662" s="3">
        <v>186</v>
      </c>
      <c r="O4662" t="s">
        <v>24</v>
      </c>
      <c r="P4662" t="s">
        <v>25</v>
      </c>
      <c r="R4662">
        <f>tblDailySchedule[[#This Row],[Capacity Approx]]*'[1]Load Factor Sheet June Acft  '!$B$5</f>
        <v>150.61772727272728</v>
      </c>
      <c r="S4662">
        <f>tblDailySchedule[[#This Row],[Capacity Approx]]*'[1]Load Factor Sheet June Acft  '!$D$5</f>
        <v>163.08818181818182</v>
      </c>
      <c r="T4662" s="22">
        <f>tblDailySchedule[[#This Row],[STD]]</f>
        <v>0.37152777777777779</v>
      </c>
    </row>
    <row r="4663" spans="1:20" hidden="1" x14ac:dyDescent="0.35">
      <c r="A4663" s="11">
        <v>46278</v>
      </c>
      <c r="B4663" s="3">
        <v>7</v>
      </c>
      <c r="C4663" t="s">
        <v>17</v>
      </c>
      <c r="D4663" t="s">
        <v>18</v>
      </c>
      <c r="E4663" s="3">
        <v>7</v>
      </c>
      <c r="F4663" t="s">
        <v>19</v>
      </c>
      <c r="G4663" t="s">
        <v>42</v>
      </c>
      <c r="H4663" t="s">
        <v>43</v>
      </c>
      <c r="I4663" s="12">
        <v>0.3923611111111111</v>
      </c>
      <c r="J4663" t="s">
        <v>44</v>
      </c>
      <c r="K4663" t="s">
        <v>43</v>
      </c>
      <c r="L4663" s="12">
        <v>0.40277777777777779</v>
      </c>
      <c r="M4663" t="s">
        <v>45</v>
      </c>
      <c r="N4663" s="3">
        <v>9</v>
      </c>
      <c r="O4663" t="s">
        <v>24</v>
      </c>
      <c r="P4663" t="s">
        <v>25</v>
      </c>
      <c r="R4663">
        <f>tblDailySchedule[[#This Row],[Capacity Approx]]*'[1]Load Factor Sheet June Acft  '!$B$5</f>
        <v>7.2879545454545456</v>
      </c>
      <c r="S4663">
        <f>tblDailySchedule[[#This Row],[Capacity Approx]]*'[1]Load Factor Sheet June Acft  '!$D$5</f>
        <v>7.8913636363636366</v>
      </c>
      <c r="T4663" s="22">
        <f>tblDailySchedule[[#This Row],[STD]]</f>
        <v>0.40277777777777779</v>
      </c>
    </row>
    <row r="4664" spans="1:20" hidden="1" x14ac:dyDescent="0.35">
      <c r="A4664" s="11">
        <v>46278</v>
      </c>
      <c r="B4664" s="3">
        <v>7</v>
      </c>
      <c r="C4664" t="s">
        <v>17</v>
      </c>
      <c r="D4664" t="s">
        <v>18</v>
      </c>
      <c r="E4664" s="3">
        <v>8</v>
      </c>
      <c r="F4664" t="s">
        <v>19</v>
      </c>
      <c r="G4664" t="s">
        <v>46</v>
      </c>
      <c r="H4664" t="s">
        <v>31</v>
      </c>
      <c r="I4664" s="12">
        <v>0.4201388888888889</v>
      </c>
      <c r="J4664" t="s">
        <v>47</v>
      </c>
      <c r="K4664" t="s">
        <v>31</v>
      </c>
      <c r="L4664" s="12">
        <v>0.44444444444444442</v>
      </c>
      <c r="M4664" t="s">
        <v>29</v>
      </c>
      <c r="N4664" s="3">
        <v>186</v>
      </c>
      <c r="O4664" t="s">
        <v>24</v>
      </c>
      <c r="P4664" t="s">
        <v>25</v>
      </c>
      <c r="R4664">
        <f>tblDailySchedule[[#This Row],[Capacity Approx]]*'[1]Load Factor Sheet June Acft  '!$B$5</f>
        <v>150.61772727272728</v>
      </c>
      <c r="S4664">
        <f>tblDailySchedule[[#This Row],[Capacity Approx]]*'[1]Load Factor Sheet June Acft  '!$D$5</f>
        <v>163.08818181818182</v>
      </c>
      <c r="T4664" s="22">
        <f>tblDailySchedule[[#This Row],[STD]]</f>
        <v>0.44444444444444442</v>
      </c>
    </row>
    <row r="4665" spans="1:20" hidden="1" x14ac:dyDescent="0.35">
      <c r="A4665" s="11">
        <v>46278</v>
      </c>
      <c r="B4665" s="3">
        <v>7</v>
      </c>
      <c r="C4665" t="s">
        <v>17</v>
      </c>
      <c r="D4665" t="s">
        <v>18</v>
      </c>
      <c r="E4665" s="3">
        <v>9</v>
      </c>
      <c r="F4665" t="s">
        <v>19</v>
      </c>
      <c r="G4665" t="s">
        <v>48</v>
      </c>
      <c r="H4665" t="s">
        <v>49</v>
      </c>
      <c r="I4665" s="12">
        <v>0.4375</v>
      </c>
      <c r="J4665" t="s">
        <v>50</v>
      </c>
      <c r="K4665" t="s">
        <v>49</v>
      </c>
      <c r="L4665" s="12">
        <v>0.45833333333333331</v>
      </c>
      <c r="M4665" t="s">
        <v>51</v>
      </c>
      <c r="N4665" s="3">
        <v>78</v>
      </c>
      <c r="O4665" t="s">
        <v>24</v>
      </c>
      <c r="P4665" t="s">
        <v>25</v>
      </c>
      <c r="R4665">
        <f>tblDailySchedule[[#This Row],[Capacity Approx]]*'[1]Load Factor Sheet June Acft  '!$B$5</f>
        <v>63.162272727272729</v>
      </c>
      <c r="S4665">
        <f>tblDailySchedule[[#This Row],[Capacity Approx]]*'[1]Load Factor Sheet June Acft  '!$D$5</f>
        <v>68.391818181818181</v>
      </c>
      <c r="T4665" s="22">
        <f>tblDailySchedule[[#This Row],[STD]]</f>
        <v>0.45833333333333331</v>
      </c>
    </row>
    <row r="4666" spans="1:20" hidden="1" x14ac:dyDescent="0.35">
      <c r="A4666" s="11">
        <v>46278</v>
      </c>
      <c r="B4666" s="3">
        <v>7</v>
      </c>
      <c r="C4666" t="s">
        <v>17</v>
      </c>
      <c r="D4666" t="s">
        <v>18</v>
      </c>
      <c r="E4666" s="3">
        <v>10</v>
      </c>
      <c r="F4666" t="s">
        <v>19</v>
      </c>
      <c r="G4666" t="s">
        <v>52</v>
      </c>
      <c r="H4666" t="s">
        <v>27</v>
      </c>
      <c r="I4666" s="12">
        <v>0.4826388888888889</v>
      </c>
      <c r="J4666" t="s">
        <v>53</v>
      </c>
      <c r="K4666" t="s">
        <v>27</v>
      </c>
      <c r="L4666" s="12">
        <v>0.51041666666666663</v>
      </c>
      <c r="M4666" t="s">
        <v>23</v>
      </c>
      <c r="N4666" s="3">
        <v>186</v>
      </c>
      <c r="O4666" t="s">
        <v>24</v>
      </c>
      <c r="P4666" t="s">
        <v>25</v>
      </c>
      <c r="R4666">
        <f>tblDailySchedule[[#This Row],[Capacity Approx]]*'[1]Load Factor Sheet June Acft  '!$B$5</f>
        <v>150.61772727272728</v>
      </c>
      <c r="S4666">
        <f>tblDailySchedule[[#This Row],[Capacity Approx]]*'[1]Load Factor Sheet June Acft  '!$D$5</f>
        <v>163.08818181818182</v>
      </c>
      <c r="T4666" s="22">
        <f>tblDailySchedule[[#This Row],[STD]]</f>
        <v>0.51041666666666663</v>
      </c>
    </row>
    <row r="4667" spans="1:20" hidden="1" x14ac:dyDescent="0.35">
      <c r="A4667" s="11">
        <v>46278</v>
      </c>
      <c r="B4667" s="3">
        <v>7</v>
      </c>
      <c r="C4667" t="s">
        <v>17</v>
      </c>
      <c r="D4667" t="s">
        <v>18</v>
      </c>
      <c r="E4667" s="3">
        <v>11</v>
      </c>
      <c r="F4667" t="s">
        <v>19</v>
      </c>
      <c r="G4667" t="s">
        <v>54</v>
      </c>
      <c r="H4667" t="s">
        <v>31</v>
      </c>
      <c r="I4667" s="12">
        <v>0.51388888888888884</v>
      </c>
      <c r="J4667" t="s">
        <v>55</v>
      </c>
      <c r="K4667" t="s">
        <v>31</v>
      </c>
      <c r="L4667" s="12">
        <v>0.54166666666666663</v>
      </c>
      <c r="M4667" t="s">
        <v>23</v>
      </c>
      <c r="N4667" s="3">
        <v>186</v>
      </c>
      <c r="O4667" t="s">
        <v>24</v>
      </c>
      <c r="P4667" t="s">
        <v>56</v>
      </c>
      <c r="R4667">
        <f>tblDailySchedule[[#This Row],[Capacity Approx]]*'[1]Load Factor Sheet June Acft  '!$B$5</f>
        <v>150.61772727272728</v>
      </c>
      <c r="S4667">
        <f>tblDailySchedule[[#This Row],[Capacity Approx]]*'[1]Load Factor Sheet June Acft  '!$D$5</f>
        <v>163.08818181818182</v>
      </c>
      <c r="T4667" s="22">
        <f>tblDailySchedule[[#This Row],[STD]]</f>
        <v>0.54166666666666663</v>
      </c>
    </row>
    <row r="4668" spans="1:20" hidden="1" x14ac:dyDescent="0.35">
      <c r="A4668" s="11">
        <v>46278</v>
      </c>
      <c r="B4668" s="3">
        <v>7</v>
      </c>
      <c r="C4668" t="s">
        <v>17</v>
      </c>
      <c r="D4668" t="s">
        <v>18</v>
      </c>
      <c r="E4668" s="3">
        <v>13</v>
      </c>
      <c r="F4668" t="s">
        <v>19</v>
      </c>
      <c r="G4668" t="s">
        <v>57</v>
      </c>
      <c r="H4668" t="s">
        <v>58</v>
      </c>
      <c r="I4668" s="12">
        <v>0.55902777777777779</v>
      </c>
      <c r="J4668" t="s">
        <v>59</v>
      </c>
      <c r="K4668" t="s">
        <v>58</v>
      </c>
      <c r="L4668" s="12">
        <v>0.57638888888888884</v>
      </c>
      <c r="M4668" t="s">
        <v>51</v>
      </c>
      <c r="N4668" s="3">
        <v>78</v>
      </c>
      <c r="O4668" t="s">
        <v>24</v>
      </c>
      <c r="P4668" t="s">
        <v>56</v>
      </c>
      <c r="R4668">
        <f>tblDailySchedule[[#This Row],[Capacity Approx]]*'[1]Load Factor Sheet June Acft  '!$B$5</f>
        <v>63.162272727272729</v>
      </c>
      <c r="S4668">
        <f>tblDailySchedule[[#This Row],[Capacity Approx]]*'[1]Load Factor Sheet June Acft  '!$D$5</f>
        <v>68.391818181818181</v>
      </c>
      <c r="T4668" s="22">
        <f>tblDailySchedule[[#This Row],[STD]]</f>
        <v>0.57638888888888884</v>
      </c>
    </row>
    <row r="4669" spans="1:20" hidden="1" x14ac:dyDescent="0.35">
      <c r="A4669" s="11">
        <v>46278</v>
      </c>
      <c r="B4669" s="3">
        <v>7</v>
      </c>
      <c r="C4669" t="s">
        <v>17</v>
      </c>
      <c r="D4669" t="s">
        <v>18</v>
      </c>
      <c r="E4669" s="3">
        <v>14</v>
      </c>
      <c r="F4669" t="s">
        <v>19</v>
      </c>
      <c r="G4669" t="s">
        <v>60</v>
      </c>
      <c r="H4669" t="s">
        <v>61</v>
      </c>
      <c r="I4669" s="12">
        <v>0.59027777777777779</v>
      </c>
      <c r="J4669" t="s">
        <v>62</v>
      </c>
      <c r="K4669" t="s">
        <v>61</v>
      </c>
      <c r="L4669" s="12">
        <v>0.62152777777777779</v>
      </c>
      <c r="M4669" t="s">
        <v>63</v>
      </c>
      <c r="N4669" s="3">
        <v>232</v>
      </c>
      <c r="O4669" t="s">
        <v>24</v>
      </c>
      <c r="P4669" t="s">
        <v>56</v>
      </c>
      <c r="R4669">
        <f>tblDailySchedule[[#This Row],[Capacity Approx]]*'[1]Load Factor Sheet June Acft  '!$B$5</f>
        <v>187.86727272727273</v>
      </c>
      <c r="S4669">
        <f>tblDailySchedule[[#This Row],[Capacity Approx]]*'[1]Load Factor Sheet June Acft  '!$D$5</f>
        <v>203.4218181818182</v>
      </c>
      <c r="T4669" s="22">
        <f>tblDailySchedule[[#This Row],[STD]]</f>
        <v>0.62152777777777779</v>
      </c>
    </row>
    <row r="4670" spans="1:20" hidden="1" x14ac:dyDescent="0.35">
      <c r="A4670" s="11">
        <v>46278</v>
      </c>
      <c r="B4670" s="3">
        <v>7</v>
      </c>
      <c r="C4670" t="s">
        <v>17</v>
      </c>
      <c r="D4670" t="s">
        <v>18</v>
      </c>
      <c r="E4670" s="3">
        <v>15</v>
      </c>
      <c r="F4670" t="s">
        <v>19</v>
      </c>
      <c r="G4670" t="s">
        <v>64</v>
      </c>
      <c r="H4670" t="s">
        <v>31</v>
      </c>
      <c r="I4670" s="12">
        <v>0.60069444444444442</v>
      </c>
      <c r="J4670" t="s">
        <v>65</v>
      </c>
      <c r="K4670" t="s">
        <v>66</v>
      </c>
      <c r="L4670" s="12">
        <v>0.62847222222222221</v>
      </c>
      <c r="M4670" t="s">
        <v>63</v>
      </c>
      <c r="N4670" s="3">
        <v>232</v>
      </c>
      <c r="O4670" t="s">
        <v>24</v>
      </c>
      <c r="P4670" t="s">
        <v>56</v>
      </c>
      <c r="R4670">
        <f>tblDailySchedule[[#This Row],[Capacity Approx]]*'[1]Load Factor Sheet June Acft  '!$B$5</f>
        <v>187.86727272727273</v>
      </c>
      <c r="S4670">
        <f>tblDailySchedule[[#This Row],[Capacity Approx]]*'[1]Load Factor Sheet June Acft  '!$D$5</f>
        <v>203.4218181818182</v>
      </c>
      <c r="T4670" s="22">
        <f>tblDailySchedule[[#This Row],[STD]]</f>
        <v>0.62847222222222221</v>
      </c>
    </row>
    <row r="4671" spans="1:20" hidden="1" x14ac:dyDescent="0.35">
      <c r="A4671" s="11">
        <v>46278</v>
      </c>
      <c r="B4671" s="3">
        <v>7</v>
      </c>
      <c r="C4671" t="s">
        <v>17</v>
      </c>
      <c r="D4671" t="s">
        <v>18</v>
      </c>
      <c r="E4671" s="3">
        <v>16</v>
      </c>
      <c r="F4671" t="s">
        <v>19</v>
      </c>
      <c r="G4671" t="s">
        <v>67</v>
      </c>
      <c r="H4671" t="s">
        <v>31</v>
      </c>
      <c r="I4671" s="12">
        <v>0.65625</v>
      </c>
      <c r="J4671" t="s">
        <v>68</v>
      </c>
      <c r="K4671" t="s">
        <v>31</v>
      </c>
      <c r="L4671" s="12">
        <v>0.68402777777777779</v>
      </c>
      <c r="M4671" t="s">
        <v>63</v>
      </c>
      <c r="N4671" s="3">
        <v>232</v>
      </c>
      <c r="O4671" t="s">
        <v>24</v>
      </c>
      <c r="P4671" t="s">
        <v>56</v>
      </c>
      <c r="R4671">
        <f>tblDailySchedule[[#This Row],[Capacity Approx]]*'[1]Load Factor Sheet June Acft  '!$B$5</f>
        <v>187.86727272727273</v>
      </c>
      <c r="S4671">
        <f>tblDailySchedule[[#This Row],[Capacity Approx]]*'[1]Load Factor Sheet June Acft  '!$D$5</f>
        <v>203.4218181818182</v>
      </c>
      <c r="T4671" s="22">
        <f>tblDailySchedule[[#This Row],[STD]]</f>
        <v>0.68402777777777779</v>
      </c>
    </row>
    <row r="4672" spans="1:20" hidden="1" x14ac:dyDescent="0.35">
      <c r="A4672" s="11">
        <v>46278</v>
      </c>
      <c r="B4672" s="3">
        <v>7</v>
      </c>
      <c r="C4672" t="s">
        <v>17</v>
      </c>
      <c r="D4672" t="s">
        <v>18</v>
      </c>
      <c r="E4672" s="3">
        <v>17</v>
      </c>
      <c r="F4672" t="s">
        <v>19</v>
      </c>
      <c r="G4672" t="s">
        <v>69</v>
      </c>
      <c r="H4672" t="s">
        <v>31</v>
      </c>
      <c r="I4672" s="12">
        <v>0.66319444444444442</v>
      </c>
      <c r="J4672" t="s">
        <v>70</v>
      </c>
      <c r="K4672" t="s">
        <v>31</v>
      </c>
      <c r="L4672" s="12">
        <v>0.69097222222222221</v>
      </c>
      <c r="M4672" t="s">
        <v>33</v>
      </c>
      <c r="N4672" s="3">
        <v>189</v>
      </c>
      <c r="O4672" t="s">
        <v>24</v>
      </c>
      <c r="P4672" t="s">
        <v>56</v>
      </c>
      <c r="R4672">
        <f>tblDailySchedule[[#This Row],[Capacity Approx]]*'[1]Load Factor Sheet June Acft  '!$B$5</f>
        <v>153.04704545454547</v>
      </c>
      <c r="S4672">
        <f>tblDailySchedule[[#This Row],[Capacity Approx]]*'[1]Load Factor Sheet June Acft  '!$D$5</f>
        <v>165.71863636363636</v>
      </c>
      <c r="T4672" s="22">
        <f>tblDailySchedule[[#This Row],[STD]]</f>
        <v>0.69097222222222221</v>
      </c>
    </row>
    <row r="4673" spans="1:20" hidden="1" x14ac:dyDescent="0.35">
      <c r="A4673" s="11">
        <v>46278</v>
      </c>
      <c r="B4673" s="3">
        <v>7</v>
      </c>
      <c r="C4673" t="s">
        <v>17</v>
      </c>
      <c r="D4673" t="s">
        <v>18</v>
      </c>
      <c r="E4673" s="3">
        <v>18</v>
      </c>
      <c r="F4673" t="s">
        <v>19</v>
      </c>
      <c r="G4673" t="s">
        <v>71</v>
      </c>
      <c r="H4673" t="s">
        <v>21</v>
      </c>
      <c r="I4673" s="12">
        <v>0.67013888888888884</v>
      </c>
      <c r="J4673" t="s">
        <v>72</v>
      </c>
      <c r="K4673" t="s">
        <v>21</v>
      </c>
      <c r="L4673" s="12">
        <v>0.69791666666666663</v>
      </c>
      <c r="M4673" t="s">
        <v>63</v>
      </c>
      <c r="N4673" s="3">
        <v>232</v>
      </c>
      <c r="O4673" t="s">
        <v>24</v>
      </c>
      <c r="P4673" t="s">
        <v>56</v>
      </c>
      <c r="R4673">
        <f>tblDailySchedule[[#This Row],[Capacity Approx]]*'[1]Load Factor Sheet June Acft  '!$B$5</f>
        <v>187.86727272727273</v>
      </c>
      <c r="S4673">
        <f>tblDailySchedule[[#This Row],[Capacity Approx]]*'[1]Load Factor Sheet June Acft  '!$D$5</f>
        <v>203.4218181818182</v>
      </c>
      <c r="T4673" s="22">
        <f>tblDailySchedule[[#This Row],[STD]]</f>
        <v>0.69791666666666663</v>
      </c>
    </row>
    <row r="4674" spans="1:20" hidden="1" x14ac:dyDescent="0.35">
      <c r="A4674" s="11">
        <v>46278</v>
      </c>
      <c r="B4674" s="3">
        <v>7</v>
      </c>
      <c r="C4674" t="s">
        <v>17</v>
      </c>
      <c r="D4674" t="s">
        <v>18</v>
      </c>
      <c r="E4674" s="3">
        <v>19</v>
      </c>
      <c r="F4674" t="s">
        <v>19</v>
      </c>
      <c r="G4674" t="s">
        <v>73</v>
      </c>
      <c r="H4674" t="s">
        <v>27</v>
      </c>
      <c r="I4674" s="12">
        <v>0.74652777777777779</v>
      </c>
      <c r="J4674" t="s">
        <v>74</v>
      </c>
      <c r="K4674" t="s">
        <v>27</v>
      </c>
      <c r="L4674" s="12">
        <v>0.77430555555555558</v>
      </c>
      <c r="M4674" t="s">
        <v>63</v>
      </c>
      <c r="N4674" s="3">
        <v>232</v>
      </c>
      <c r="O4674" t="s">
        <v>24</v>
      </c>
      <c r="P4674" t="s">
        <v>56</v>
      </c>
      <c r="R4674">
        <f>tblDailySchedule[[#This Row],[Capacity Approx]]*'[1]Load Factor Sheet June Acft  '!$B$5</f>
        <v>187.86727272727273</v>
      </c>
      <c r="S4674">
        <f>tblDailySchedule[[#This Row],[Capacity Approx]]*'[1]Load Factor Sheet June Acft  '!$D$5</f>
        <v>203.4218181818182</v>
      </c>
      <c r="T4674" s="22">
        <f>tblDailySchedule[[#This Row],[STD]]</f>
        <v>0.77430555555555558</v>
      </c>
    </row>
    <row r="4675" spans="1:20" hidden="1" x14ac:dyDescent="0.35">
      <c r="A4675" s="11">
        <v>46278</v>
      </c>
      <c r="B4675" s="3">
        <v>7</v>
      </c>
      <c r="C4675" t="s">
        <v>17</v>
      </c>
      <c r="D4675" t="s">
        <v>18</v>
      </c>
      <c r="E4675" s="3">
        <v>20</v>
      </c>
      <c r="F4675" t="s">
        <v>34</v>
      </c>
      <c r="G4675" t="s">
        <v>75</v>
      </c>
      <c r="H4675" t="s">
        <v>76</v>
      </c>
      <c r="I4675" s="12">
        <v>0.76388888888888884</v>
      </c>
      <c r="J4675" t="s">
        <v>77</v>
      </c>
      <c r="K4675" t="s">
        <v>78</v>
      </c>
      <c r="L4675" s="12">
        <v>0.78472222222222221</v>
      </c>
      <c r="M4675" t="s">
        <v>51</v>
      </c>
      <c r="N4675" s="3">
        <v>78</v>
      </c>
      <c r="O4675" t="s">
        <v>24</v>
      </c>
      <c r="P4675" t="s">
        <v>79</v>
      </c>
      <c r="Q4675" s="16" t="s">
        <v>80</v>
      </c>
      <c r="R4675">
        <f>tblDailySchedule[[#This Row],[Capacity Approx]]*'[1]Load Factor Sheet June Acft  '!$B$5</f>
        <v>63.162272727272729</v>
      </c>
      <c r="S4675">
        <f>tblDailySchedule[[#This Row],[Capacity Approx]]*'[1]Load Factor Sheet June Acft  '!$D$5</f>
        <v>68.391818181818181</v>
      </c>
      <c r="T4675" s="22">
        <f>tblDailySchedule[[#This Row],[STD]]</f>
        <v>0.78472222222222221</v>
      </c>
    </row>
    <row r="4676" spans="1:20" hidden="1" x14ac:dyDescent="0.35">
      <c r="A4676" s="11">
        <v>46278</v>
      </c>
      <c r="B4676" s="3">
        <v>7</v>
      </c>
      <c r="C4676" t="s">
        <v>17</v>
      </c>
      <c r="D4676" t="s">
        <v>18</v>
      </c>
      <c r="E4676" s="3">
        <v>21</v>
      </c>
      <c r="F4676" t="s">
        <v>19</v>
      </c>
      <c r="G4676" t="s">
        <v>81</v>
      </c>
      <c r="H4676" t="s">
        <v>61</v>
      </c>
      <c r="I4676" s="12">
        <v>0.77083333333333337</v>
      </c>
      <c r="J4676" t="s">
        <v>82</v>
      </c>
      <c r="K4676" t="s">
        <v>49</v>
      </c>
      <c r="L4676" s="12">
        <v>0.79166666666666663</v>
      </c>
      <c r="M4676" t="s">
        <v>33</v>
      </c>
      <c r="N4676" s="3">
        <v>189</v>
      </c>
      <c r="O4676" t="s">
        <v>24</v>
      </c>
      <c r="P4676" t="s">
        <v>79</v>
      </c>
      <c r="R4676">
        <f>tblDailySchedule[[#This Row],[Capacity Approx]]*'[1]Load Factor Sheet June Acft  '!$B$5</f>
        <v>153.04704545454547</v>
      </c>
      <c r="S4676">
        <f>tblDailySchedule[[#This Row],[Capacity Approx]]*'[1]Load Factor Sheet June Acft  '!$D$5</f>
        <v>165.71863636363636</v>
      </c>
      <c r="T4676" s="22">
        <f>tblDailySchedule[[#This Row],[STD]]</f>
        <v>0.79166666666666663</v>
      </c>
    </row>
    <row r="4677" spans="1:20" hidden="1" x14ac:dyDescent="0.35">
      <c r="A4677" s="11">
        <v>46278</v>
      </c>
      <c r="B4677" s="3">
        <v>7</v>
      </c>
      <c r="C4677" t="s">
        <v>17</v>
      </c>
      <c r="D4677" t="s">
        <v>18</v>
      </c>
      <c r="E4677" s="3">
        <v>22</v>
      </c>
      <c r="F4677" t="s">
        <v>19</v>
      </c>
      <c r="G4677" t="s">
        <v>83</v>
      </c>
      <c r="H4677" t="s">
        <v>31</v>
      </c>
      <c r="I4677" s="12">
        <v>0.77777777777777779</v>
      </c>
      <c r="J4677" t="s">
        <v>84</v>
      </c>
      <c r="K4677" t="s">
        <v>31</v>
      </c>
      <c r="L4677" s="12">
        <v>0.80555555555555558</v>
      </c>
      <c r="M4677" t="s">
        <v>63</v>
      </c>
      <c r="N4677" s="3">
        <v>232</v>
      </c>
      <c r="O4677" t="s">
        <v>24</v>
      </c>
      <c r="P4677" t="s">
        <v>79</v>
      </c>
      <c r="R4677">
        <f>tblDailySchedule[[#This Row],[Capacity Approx]]*'[1]Load Factor Sheet June Acft  '!$B$5</f>
        <v>187.86727272727273</v>
      </c>
      <c r="S4677">
        <f>tblDailySchedule[[#This Row],[Capacity Approx]]*'[1]Load Factor Sheet June Acft  '!$D$5</f>
        <v>203.4218181818182</v>
      </c>
      <c r="T4677" s="22">
        <f>tblDailySchedule[[#This Row],[STD]]</f>
        <v>0.80555555555555558</v>
      </c>
    </row>
    <row r="4678" spans="1:20" hidden="1" x14ac:dyDescent="0.35">
      <c r="A4678" s="11">
        <v>46278</v>
      </c>
      <c r="B4678" s="3">
        <v>7</v>
      </c>
      <c r="C4678" t="s">
        <v>17</v>
      </c>
      <c r="D4678" t="s">
        <v>18</v>
      </c>
      <c r="E4678" s="3">
        <v>23</v>
      </c>
      <c r="F4678" t="s">
        <v>19</v>
      </c>
      <c r="G4678" t="s">
        <v>85</v>
      </c>
      <c r="H4678" t="s">
        <v>86</v>
      </c>
      <c r="I4678" s="12">
        <v>0.79861111111111116</v>
      </c>
      <c r="J4678" t="s">
        <v>87</v>
      </c>
      <c r="K4678" t="s">
        <v>86</v>
      </c>
      <c r="L4678" s="12">
        <v>0.82638888888888884</v>
      </c>
      <c r="M4678" t="s">
        <v>63</v>
      </c>
      <c r="N4678" s="3">
        <v>232</v>
      </c>
      <c r="O4678" t="s">
        <v>24</v>
      </c>
      <c r="P4678" t="s">
        <v>79</v>
      </c>
      <c r="R4678">
        <f>tblDailySchedule[[#This Row],[Capacity Approx]]*'[1]Load Factor Sheet June Acft  '!$B$5</f>
        <v>187.86727272727273</v>
      </c>
      <c r="S4678">
        <f>tblDailySchedule[[#This Row],[Capacity Approx]]*'[1]Load Factor Sheet June Acft  '!$D$5</f>
        <v>203.4218181818182</v>
      </c>
      <c r="T4678" s="22">
        <f>tblDailySchedule[[#This Row],[STD]]</f>
        <v>0.82638888888888884</v>
      </c>
    </row>
    <row r="4679" spans="1:20" hidden="1" x14ac:dyDescent="0.35">
      <c r="A4679" s="11">
        <v>46278</v>
      </c>
      <c r="B4679" s="3">
        <v>7</v>
      </c>
      <c r="C4679" t="s">
        <v>17</v>
      </c>
      <c r="D4679" t="s">
        <v>18</v>
      </c>
      <c r="E4679" s="3">
        <v>24</v>
      </c>
      <c r="F4679" t="s">
        <v>19</v>
      </c>
      <c r="G4679" t="s">
        <v>88</v>
      </c>
      <c r="H4679" t="s">
        <v>89</v>
      </c>
      <c r="I4679" s="12">
        <v>0.83333333333333337</v>
      </c>
      <c r="J4679" t="s">
        <v>90</v>
      </c>
      <c r="K4679" t="s">
        <v>31</v>
      </c>
      <c r="L4679" s="12">
        <v>0.86111111111111116</v>
      </c>
      <c r="M4679" t="s">
        <v>63</v>
      </c>
      <c r="N4679" s="3">
        <v>232</v>
      </c>
      <c r="O4679" t="s">
        <v>24</v>
      </c>
      <c r="P4679" t="s">
        <v>79</v>
      </c>
      <c r="R4679">
        <f>tblDailySchedule[[#This Row],[Capacity Approx]]*'[1]Load Factor Sheet June Acft  '!$B$5</f>
        <v>187.86727272727273</v>
      </c>
      <c r="S4679">
        <f>tblDailySchedule[[#This Row],[Capacity Approx]]*'[1]Load Factor Sheet June Acft  '!$D$5</f>
        <v>203.4218181818182</v>
      </c>
      <c r="T4679" s="22">
        <f>tblDailySchedule[[#This Row],[STD]]</f>
        <v>0.86111111111111116</v>
      </c>
    </row>
    <row r="4680" spans="1:20" hidden="1" x14ac:dyDescent="0.35">
      <c r="A4680" s="11">
        <v>46278</v>
      </c>
      <c r="B4680" s="3">
        <v>7</v>
      </c>
      <c r="C4680" t="s">
        <v>17</v>
      </c>
      <c r="D4680" t="s">
        <v>18</v>
      </c>
      <c r="E4680" s="3">
        <v>25</v>
      </c>
      <c r="F4680" t="s">
        <v>19</v>
      </c>
      <c r="G4680" t="s">
        <v>91</v>
      </c>
      <c r="H4680" t="s">
        <v>61</v>
      </c>
      <c r="I4680" s="12">
        <v>0.85416666666666663</v>
      </c>
      <c r="J4680" t="s">
        <v>92</v>
      </c>
      <c r="K4680" t="s">
        <v>61</v>
      </c>
      <c r="L4680" s="12">
        <v>0.88194444444444442</v>
      </c>
      <c r="M4680" t="s">
        <v>63</v>
      </c>
      <c r="N4680" s="3">
        <v>232</v>
      </c>
      <c r="O4680" t="s">
        <v>24</v>
      </c>
      <c r="P4680" t="s">
        <v>79</v>
      </c>
      <c r="R4680">
        <f>tblDailySchedule[[#This Row],[Capacity Approx]]*'[1]Load Factor Sheet June Acft  '!$B$5</f>
        <v>187.86727272727273</v>
      </c>
      <c r="S4680">
        <f>tblDailySchedule[[#This Row],[Capacity Approx]]*'[1]Load Factor Sheet June Acft  '!$D$5</f>
        <v>203.4218181818182</v>
      </c>
      <c r="T4680" s="22">
        <f>tblDailySchedule[[#This Row],[STD]]</f>
        <v>0.88194444444444442</v>
      </c>
    </row>
    <row r="4681" spans="1:20" hidden="1" x14ac:dyDescent="0.35">
      <c r="A4681" s="11">
        <v>46278</v>
      </c>
      <c r="B4681" s="3">
        <v>7</v>
      </c>
      <c r="C4681" t="s">
        <v>17</v>
      </c>
      <c r="D4681" t="s">
        <v>18</v>
      </c>
      <c r="E4681" s="3">
        <v>26</v>
      </c>
      <c r="F4681" t="s">
        <v>19</v>
      </c>
      <c r="G4681" t="s">
        <v>93</v>
      </c>
      <c r="H4681" t="s">
        <v>31</v>
      </c>
      <c r="I4681" s="12">
        <v>0.86111111111111116</v>
      </c>
      <c r="J4681" t="s">
        <v>94</v>
      </c>
      <c r="K4681" t="s">
        <v>31</v>
      </c>
      <c r="L4681" s="12">
        <v>0.88888888888888884</v>
      </c>
      <c r="M4681" t="s">
        <v>23</v>
      </c>
      <c r="N4681" s="3">
        <v>186</v>
      </c>
      <c r="O4681" t="s">
        <v>24</v>
      </c>
      <c r="P4681" t="s">
        <v>79</v>
      </c>
      <c r="R4681">
        <f>tblDailySchedule[[#This Row],[Capacity Approx]]*'[1]Load Factor Sheet June Acft  '!$B$5</f>
        <v>150.61772727272728</v>
      </c>
      <c r="S4681">
        <f>tblDailySchedule[[#This Row],[Capacity Approx]]*'[1]Load Factor Sheet June Acft  '!$D$5</f>
        <v>163.08818181818182</v>
      </c>
      <c r="T4681" s="22">
        <f>tblDailySchedule[[#This Row],[STD]]</f>
        <v>0.88888888888888884</v>
      </c>
    </row>
    <row r="4682" spans="1:20" hidden="1" x14ac:dyDescent="0.35">
      <c r="A4682" s="11">
        <v>46278</v>
      </c>
      <c r="B4682" s="3">
        <v>7</v>
      </c>
      <c r="C4682" t="s">
        <v>17</v>
      </c>
      <c r="D4682" t="s">
        <v>18</v>
      </c>
      <c r="E4682" s="3">
        <v>27</v>
      </c>
      <c r="F4682" t="s">
        <v>19</v>
      </c>
      <c r="G4682" t="s">
        <v>95</v>
      </c>
      <c r="H4682" t="s">
        <v>21</v>
      </c>
      <c r="I4682" s="12">
        <v>0.86805555555555558</v>
      </c>
      <c r="J4682" t="s">
        <v>96</v>
      </c>
      <c r="K4682" t="s">
        <v>21</v>
      </c>
      <c r="L4682" s="12">
        <v>0.89583333333333337</v>
      </c>
      <c r="M4682" t="s">
        <v>29</v>
      </c>
      <c r="N4682" s="3">
        <v>186</v>
      </c>
      <c r="O4682" t="s">
        <v>24</v>
      </c>
      <c r="P4682" t="s">
        <v>79</v>
      </c>
      <c r="R4682">
        <f>tblDailySchedule[[#This Row],[Capacity Approx]]*'[1]Load Factor Sheet June Acft  '!$B$5</f>
        <v>150.61772727272728</v>
      </c>
      <c r="S4682">
        <f>tblDailySchedule[[#This Row],[Capacity Approx]]*'[1]Load Factor Sheet June Acft  '!$D$5</f>
        <v>163.08818181818182</v>
      </c>
      <c r="T4682" s="22">
        <f>tblDailySchedule[[#This Row],[STD]]</f>
        <v>0.89583333333333337</v>
      </c>
    </row>
    <row r="4683" spans="1:20" hidden="1" x14ac:dyDescent="0.35">
      <c r="A4683" s="11">
        <v>46278</v>
      </c>
      <c r="B4683" s="3">
        <v>7</v>
      </c>
      <c r="C4683" t="s">
        <v>17</v>
      </c>
      <c r="D4683" t="s">
        <v>18</v>
      </c>
      <c r="E4683" s="3">
        <v>28</v>
      </c>
      <c r="F4683" t="s">
        <v>19</v>
      </c>
      <c r="G4683" t="s">
        <v>97</v>
      </c>
      <c r="H4683" t="s">
        <v>49</v>
      </c>
      <c r="I4683" s="12">
        <v>0.90277777777777779</v>
      </c>
      <c r="J4683" t="s">
        <v>97</v>
      </c>
      <c r="K4683" t="s">
        <v>61</v>
      </c>
      <c r="L4683" s="12">
        <v>0.92361111111111116</v>
      </c>
      <c r="M4683" t="s">
        <v>33</v>
      </c>
      <c r="N4683" s="3">
        <v>189</v>
      </c>
      <c r="O4683" t="s">
        <v>24</v>
      </c>
      <c r="P4683" t="s">
        <v>79</v>
      </c>
      <c r="R4683">
        <f>tblDailySchedule[[#This Row],[Capacity Approx]]*'[1]Load Factor Sheet June Acft  '!$B$5</f>
        <v>153.04704545454547</v>
      </c>
      <c r="S4683">
        <f>tblDailySchedule[[#This Row],[Capacity Approx]]*'[1]Load Factor Sheet June Acft  '!$D$5</f>
        <v>165.71863636363636</v>
      </c>
      <c r="T4683" s="22">
        <f>tblDailySchedule[[#This Row],[STD]]</f>
        <v>0.92361111111111116</v>
      </c>
    </row>
    <row r="4684" spans="1:20" hidden="1" x14ac:dyDescent="0.35">
      <c r="A4684" s="11">
        <v>46278</v>
      </c>
      <c r="B4684" s="3">
        <v>7</v>
      </c>
      <c r="C4684" t="s">
        <v>17</v>
      </c>
      <c r="D4684" t="s">
        <v>18</v>
      </c>
      <c r="E4684" s="3">
        <v>29</v>
      </c>
      <c r="F4684" t="s">
        <v>19</v>
      </c>
      <c r="G4684" t="s">
        <v>98</v>
      </c>
      <c r="H4684" t="s">
        <v>21</v>
      </c>
      <c r="I4684" s="12">
        <v>0.92013888888888884</v>
      </c>
      <c r="J4684" t="s">
        <v>99</v>
      </c>
      <c r="K4684" t="s">
        <v>21</v>
      </c>
      <c r="L4684" s="12">
        <v>0.94791666666666663</v>
      </c>
      <c r="M4684" t="s">
        <v>63</v>
      </c>
      <c r="N4684" s="3">
        <v>232</v>
      </c>
      <c r="O4684" t="s">
        <v>24</v>
      </c>
      <c r="P4684" t="s">
        <v>79</v>
      </c>
      <c r="R4684">
        <f>tblDailySchedule[[#This Row],[Capacity Approx]]*'[1]Load Factor Sheet June Acft  '!$B$5</f>
        <v>187.86727272727273</v>
      </c>
      <c r="S4684">
        <f>tblDailySchedule[[#This Row],[Capacity Approx]]*'[1]Load Factor Sheet June Acft  '!$D$5</f>
        <v>203.4218181818182</v>
      </c>
      <c r="T4684" s="22">
        <f>tblDailySchedule[[#This Row],[STD]]</f>
        <v>0.94791666666666663</v>
      </c>
    </row>
    <row r="4685" spans="1:20" hidden="1" x14ac:dyDescent="0.35">
      <c r="A4685" s="11">
        <v>46279</v>
      </c>
      <c r="B4685" s="3">
        <v>1</v>
      </c>
      <c r="C4685" t="s">
        <v>100</v>
      </c>
      <c r="D4685" t="s">
        <v>18</v>
      </c>
      <c r="E4685" s="3">
        <v>1</v>
      </c>
      <c r="F4685" t="s">
        <v>101</v>
      </c>
      <c r="G4685" t="s">
        <v>102</v>
      </c>
      <c r="H4685" t="s">
        <v>61</v>
      </c>
      <c r="I4685" s="12">
        <v>0.3125</v>
      </c>
      <c r="J4685" t="s">
        <v>103</v>
      </c>
      <c r="K4685" t="s">
        <v>61</v>
      </c>
      <c r="L4685" s="12">
        <v>0.33333333333333331</v>
      </c>
      <c r="M4685" t="s">
        <v>33</v>
      </c>
      <c r="N4685" s="3">
        <v>189</v>
      </c>
      <c r="O4685" t="s">
        <v>24</v>
      </c>
      <c r="P4685" t="s">
        <v>25</v>
      </c>
      <c r="R4685">
        <f>tblDailySchedule[[#This Row],[Capacity Approx]]*'[1]Load Factor Sheet June Acft  '!$B$5</f>
        <v>153.04704545454547</v>
      </c>
      <c r="S4685">
        <f>tblDailySchedule[[#This Row],[Capacity Approx]]*'[1]Load Factor Sheet June Acft  '!$D$5</f>
        <v>165.71863636363636</v>
      </c>
      <c r="T4685" s="22">
        <f>tblDailySchedule[[#This Row],[STD]]</f>
        <v>0.33333333333333331</v>
      </c>
    </row>
    <row r="4686" spans="1:20" hidden="1" x14ac:dyDescent="0.35">
      <c r="A4686" s="11">
        <v>46279</v>
      </c>
      <c r="B4686" s="3">
        <v>1</v>
      </c>
      <c r="C4686" t="s">
        <v>100</v>
      </c>
      <c r="D4686" t="s">
        <v>18</v>
      </c>
      <c r="E4686" s="3">
        <v>2</v>
      </c>
      <c r="F4686" t="s">
        <v>19</v>
      </c>
      <c r="G4686" t="s">
        <v>20</v>
      </c>
      <c r="H4686" t="s">
        <v>21</v>
      </c>
      <c r="I4686" s="12">
        <v>0.31944444444444442</v>
      </c>
      <c r="J4686" t="s">
        <v>22</v>
      </c>
      <c r="K4686" t="s">
        <v>21</v>
      </c>
      <c r="L4686" s="12">
        <v>0.34722222222222221</v>
      </c>
      <c r="M4686" t="s">
        <v>23</v>
      </c>
      <c r="N4686" s="3">
        <v>186</v>
      </c>
      <c r="O4686" t="s">
        <v>24</v>
      </c>
      <c r="P4686" t="s">
        <v>25</v>
      </c>
      <c r="R4686">
        <f>tblDailySchedule[[#This Row],[Capacity Approx]]*'[1]Load Factor Sheet June Acft  '!$B$5</f>
        <v>150.61772727272728</v>
      </c>
      <c r="S4686">
        <f>tblDailySchedule[[#This Row],[Capacity Approx]]*'[1]Load Factor Sheet June Acft  '!$D$5</f>
        <v>163.08818181818182</v>
      </c>
      <c r="T4686" s="22">
        <f>tblDailySchedule[[#This Row],[STD]]</f>
        <v>0.34722222222222221</v>
      </c>
    </row>
    <row r="4687" spans="1:20" hidden="1" x14ac:dyDescent="0.35">
      <c r="A4687" s="11">
        <v>46279</v>
      </c>
      <c r="B4687" s="3">
        <v>1</v>
      </c>
      <c r="C4687" t="s">
        <v>100</v>
      </c>
      <c r="D4687" t="s">
        <v>18</v>
      </c>
      <c r="E4687" s="3">
        <v>3</v>
      </c>
      <c r="F4687" t="s">
        <v>19</v>
      </c>
      <c r="G4687" t="s">
        <v>26</v>
      </c>
      <c r="H4687" t="s">
        <v>27</v>
      </c>
      <c r="I4687" s="12">
        <v>0.3263888888888889</v>
      </c>
      <c r="J4687" t="s">
        <v>28</v>
      </c>
      <c r="K4687" t="s">
        <v>27</v>
      </c>
      <c r="L4687" s="12">
        <v>0.35416666666666669</v>
      </c>
      <c r="M4687" t="s">
        <v>29</v>
      </c>
      <c r="N4687" s="3">
        <v>186</v>
      </c>
      <c r="O4687" t="s">
        <v>24</v>
      </c>
      <c r="P4687" t="s">
        <v>25</v>
      </c>
      <c r="R4687">
        <f>tblDailySchedule[[#This Row],[Capacity Approx]]*'[1]Load Factor Sheet June Acft  '!$B$5</f>
        <v>150.61772727272728</v>
      </c>
      <c r="S4687">
        <f>tblDailySchedule[[#This Row],[Capacity Approx]]*'[1]Load Factor Sheet June Acft  '!$D$5</f>
        <v>163.08818181818182</v>
      </c>
      <c r="T4687" s="22">
        <f>tblDailySchedule[[#This Row],[STD]]</f>
        <v>0.35416666666666669</v>
      </c>
    </row>
    <row r="4688" spans="1:20" hidden="1" x14ac:dyDescent="0.35">
      <c r="A4688" s="11">
        <v>46279</v>
      </c>
      <c r="B4688" s="3">
        <v>1</v>
      </c>
      <c r="C4688" t="s">
        <v>100</v>
      </c>
      <c r="D4688" t="s">
        <v>18</v>
      </c>
      <c r="E4688" s="3">
        <v>4</v>
      </c>
      <c r="F4688" t="s">
        <v>19</v>
      </c>
      <c r="G4688" t="s">
        <v>30</v>
      </c>
      <c r="H4688" t="s">
        <v>31</v>
      </c>
      <c r="I4688" s="12">
        <v>0.34722222222222221</v>
      </c>
      <c r="J4688" t="s">
        <v>32</v>
      </c>
      <c r="K4688" t="s">
        <v>31</v>
      </c>
      <c r="L4688" s="12">
        <v>0.36805555555555558</v>
      </c>
      <c r="M4688" t="s">
        <v>33</v>
      </c>
      <c r="N4688" s="3">
        <v>189</v>
      </c>
      <c r="O4688" t="s">
        <v>24</v>
      </c>
      <c r="P4688" t="s">
        <v>25</v>
      </c>
      <c r="R4688">
        <f>tblDailySchedule[[#This Row],[Capacity Approx]]*'[1]Load Factor Sheet June Acft  '!$B$5</f>
        <v>153.04704545454547</v>
      </c>
      <c r="S4688">
        <f>tblDailySchedule[[#This Row],[Capacity Approx]]*'[1]Load Factor Sheet June Acft  '!$D$5</f>
        <v>165.71863636363636</v>
      </c>
      <c r="T4688" s="22">
        <f>tblDailySchedule[[#This Row],[STD]]</f>
        <v>0.36805555555555558</v>
      </c>
    </row>
    <row r="4689" spans="1:20" hidden="1" x14ac:dyDescent="0.35">
      <c r="A4689" s="13">
        <v>46279</v>
      </c>
      <c r="B4689" s="7">
        <v>1</v>
      </c>
      <c r="C4689" s="14" t="s">
        <v>100</v>
      </c>
      <c r="D4689" s="14" t="s">
        <v>18</v>
      </c>
      <c r="E4689" s="7">
        <v>6</v>
      </c>
      <c r="F4689" s="14" t="s">
        <v>34</v>
      </c>
      <c r="G4689" s="14" t="s">
        <v>35</v>
      </c>
      <c r="H4689" s="14" t="s">
        <v>36</v>
      </c>
      <c r="I4689" s="15">
        <v>0.34722222222222221</v>
      </c>
      <c r="J4689" s="14" t="s">
        <v>37</v>
      </c>
      <c r="K4689" s="14" t="s">
        <v>36</v>
      </c>
      <c r="L4689" s="15">
        <v>0.40972222222222221</v>
      </c>
      <c r="M4689" s="14" t="s">
        <v>38</v>
      </c>
      <c r="N4689" s="7">
        <v>186</v>
      </c>
      <c r="O4689" s="14" t="s">
        <v>39</v>
      </c>
      <c r="P4689" s="14" t="s">
        <v>25</v>
      </c>
      <c r="Q4689" s="14" t="s">
        <v>39</v>
      </c>
      <c r="R4689">
        <f>tblDailySchedule[[#This Row],[Capacity Approx]]*'[1]Load Factor Sheet June Acft  '!$B$5</f>
        <v>150.61772727272728</v>
      </c>
      <c r="S4689">
        <f>tblDailySchedule[[#This Row],[Capacity Approx]]*'[1]Load Factor Sheet June Acft  '!$D$5</f>
        <v>163.08818181818182</v>
      </c>
      <c r="T4689" s="22">
        <f>tblDailySchedule[[#This Row],[STD]]</f>
        <v>0.40972222222222221</v>
      </c>
    </row>
    <row r="4690" spans="1:20" hidden="1" x14ac:dyDescent="0.35">
      <c r="A4690" s="11">
        <v>46279</v>
      </c>
      <c r="B4690" s="3">
        <v>1</v>
      </c>
      <c r="C4690" t="s">
        <v>100</v>
      </c>
      <c r="D4690" t="s">
        <v>18</v>
      </c>
      <c r="E4690" s="3">
        <v>5</v>
      </c>
      <c r="F4690" t="s">
        <v>19</v>
      </c>
      <c r="G4690" t="s">
        <v>40</v>
      </c>
      <c r="H4690" t="s">
        <v>31</v>
      </c>
      <c r="I4690" s="12">
        <v>0.35069444444444442</v>
      </c>
      <c r="J4690" t="s">
        <v>41</v>
      </c>
      <c r="K4690" t="s">
        <v>31</v>
      </c>
      <c r="L4690" s="12">
        <v>0.37152777777777779</v>
      </c>
      <c r="M4690" t="s">
        <v>23</v>
      </c>
      <c r="N4690" s="3">
        <v>186</v>
      </c>
      <c r="O4690" t="s">
        <v>24</v>
      </c>
      <c r="P4690" t="s">
        <v>25</v>
      </c>
      <c r="R4690">
        <f>tblDailySchedule[[#This Row],[Capacity Approx]]*'[1]Load Factor Sheet June Acft  '!$B$5</f>
        <v>150.61772727272728</v>
      </c>
      <c r="S4690">
        <f>tblDailySchedule[[#This Row],[Capacity Approx]]*'[1]Load Factor Sheet June Acft  '!$D$5</f>
        <v>163.08818181818182</v>
      </c>
      <c r="T4690" s="22">
        <f>tblDailySchedule[[#This Row],[STD]]</f>
        <v>0.37152777777777779</v>
      </c>
    </row>
    <row r="4691" spans="1:20" hidden="1" x14ac:dyDescent="0.35">
      <c r="A4691" s="11">
        <v>46279</v>
      </c>
      <c r="B4691" s="3">
        <v>1</v>
      </c>
      <c r="C4691" t="s">
        <v>100</v>
      </c>
      <c r="D4691" t="s">
        <v>18</v>
      </c>
      <c r="E4691" s="3">
        <v>7</v>
      </c>
      <c r="F4691" t="s">
        <v>19</v>
      </c>
      <c r="G4691" t="s">
        <v>42</v>
      </c>
      <c r="H4691" t="s">
        <v>43</v>
      </c>
      <c r="I4691" s="12">
        <v>0.3923611111111111</v>
      </c>
      <c r="J4691" t="s">
        <v>44</v>
      </c>
      <c r="K4691" t="s">
        <v>43</v>
      </c>
      <c r="L4691" s="12">
        <v>0.40277777777777779</v>
      </c>
      <c r="M4691" t="s">
        <v>45</v>
      </c>
      <c r="N4691" s="3">
        <v>9</v>
      </c>
      <c r="O4691" t="s">
        <v>24</v>
      </c>
      <c r="P4691" t="s">
        <v>25</v>
      </c>
      <c r="R4691">
        <f>tblDailySchedule[[#This Row],[Capacity Approx]]*'[1]Load Factor Sheet June Acft  '!$B$5</f>
        <v>7.2879545454545456</v>
      </c>
      <c r="S4691">
        <f>tblDailySchedule[[#This Row],[Capacity Approx]]*'[1]Load Factor Sheet June Acft  '!$D$5</f>
        <v>7.8913636363636366</v>
      </c>
      <c r="T4691" s="22">
        <f>tblDailySchedule[[#This Row],[STD]]</f>
        <v>0.40277777777777779</v>
      </c>
    </row>
    <row r="4692" spans="1:20" hidden="1" x14ac:dyDescent="0.35">
      <c r="A4692" s="11">
        <v>46279</v>
      </c>
      <c r="B4692" s="3">
        <v>1</v>
      </c>
      <c r="C4692" t="s">
        <v>100</v>
      </c>
      <c r="D4692" t="s">
        <v>18</v>
      </c>
      <c r="E4692" s="3">
        <v>8</v>
      </c>
      <c r="F4692" t="s">
        <v>19</v>
      </c>
      <c r="G4692" t="s">
        <v>46</v>
      </c>
      <c r="H4692" t="s">
        <v>31</v>
      </c>
      <c r="I4692" s="12">
        <v>0.4201388888888889</v>
      </c>
      <c r="J4692" t="s">
        <v>47</v>
      </c>
      <c r="K4692" t="s">
        <v>31</v>
      </c>
      <c r="L4692" s="12">
        <v>0.44444444444444442</v>
      </c>
      <c r="M4692" t="s">
        <v>29</v>
      </c>
      <c r="N4692" s="3">
        <v>186</v>
      </c>
      <c r="O4692" t="s">
        <v>24</v>
      </c>
      <c r="P4692" t="s">
        <v>25</v>
      </c>
      <c r="R4692">
        <f>tblDailySchedule[[#This Row],[Capacity Approx]]*'[1]Load Factor Sheet June Acft  '!$B$5</f>
        <v>150.61772727272728</v>
      </c>
      <c r="S4692">
        <f>tblDailySchedule[[#This Row],[Capacity Approx]]*'[1]Load Factor Sheet June Acft  '!$D$5</f>
        <v>163.08818181818182</v>
      </c>
      <c r="T4692" s="22">
        <f>tblDailySchedule[[#This Row],[STD]]</f>
        <v>0.44444444444444442</v>
      </c>
    </row>
    <row r="4693" spans="1:20" hidden="1" x14ac:dyDescent="0.35">
      <c r="A4693" s="11">
        <v>46279</v>
      </c>
      <c r="B4693" s="3">
        <v>1</v>
      </c>
      <c r="C4693" t="s">
        <v>100</v>
      </c>
      <c r="D4693" t="s">
        <v>18</v>
      </c>
      <c r="E4693" s="3">
        <v>9</v>
      </c>
      <c r="F4693" t="s">
        <v>19</v>
      </c>
      <c r="G4693" t="s">
        <v>48</v>
      </c>
      <c r="H4693" t="s">
        <v>49</v>
      </c>
      <c r="I4693" s="12">
        <v>0.4375</v>
      </c>
      <c r="J4693" t="s">
        <v>50</v>
      </c>
      <c r="K4693" t="s">
        <v>49</v>
      </c>
      <c r="L4693" s="12">
        <v>0.45833333333333331</v>
      </c>
      <c r="M4693" t="s">
        <v>51</v>
      </c>
      <c r="N4693" s="3">
        <v>78</v>
      </c>
      <c r="O4693" t="s">
        <v>24</v>
      </c>
      <c r="P4693" t="s">
        <v>25</v>
      </c>
      <c r="R4693">
        <f>tblDailySchedule[[#This Row],[Capacity Approx]]*'[1]Load Factor Sheet June Acft  '!$B$5</f>
        <v>63.162272727272729</v>
      </c>
      <c r="S4693">
        <f>tblDailySchedule[[#This Row],[Capacity Approx]]*'[1]Load Factor Sheet June Acft  '!$D$5</f>
        <v>68.391818181818181</v>
      </c>
      <c r="T4693" s="22">
        <f>tblDailySchedule[[#This Row],[STD]]</f>
        <v>0.45833333333333331</v>
      </c>
    </row>
    <row r="4694" spans="1:20" hidden="1" x14ac:dyDescent="0.35">
      <c r="A4694" s="11">
        <v>46279</v>
      </c>
      <c r="B4694" s="3">
        <v>1</v>
      </c>
      <c r="C4694" t="s">
        <v>100</v>
      </c>
      <c r="D4694" t="s">
        <v>18</v>
      </c>
      <c r="E4694" s="3">
        <v>10</v>
      </c>
      <c r="F4694" t="s">
        <v>19</v>
      </c>
      <c r="G4694" t="s">
        <v>52</v>
      </c>
      <c r="H4694" t="s">
        <v>27</v>
      </c>
      <c r="I4694" s="12">
        <v>0.4826388888888889</v>
      </c>
      <c r="J4694" t="s">
        <v>53</v>
      </c>
      <c r="K4694" t="s">
        <v>27</v>
      </c>
      <c r="L4694" s="12">
        <v>0.51041666666666663</v>
      </c>
      <c r="M4694" t="s">
        <v>23</v>
      </c>
      <c r="N4694" s="3">
        <v>186</v>
      </c>
      <c r="O4694" t="s">
        <v>24</v>
      </c>
      <c r="P4694" t="s">
        <v>25</v>
      </c>
      <c r="R4694">
        <f>tblDailySchedule[[#This Row],[Capacity Approx]]*'[1]Load Factor Sheet June Acft  '!$B$5</f>
        <v>150.61772727272728</v>
      </c>
      <c r="S4694">
        <f>tblDailySchedule[[#This Row],[Capacity Approx]]*'[1]Load Factor Sheet June Acft  '!$D$5</f>
        <v>163.08818181818182</v>
      </c>
      <c r="T4694" s="22">
        <f>tblDailySchedule[[#This Row],[STD]]</f>
        <v>0.51041666666666663</v>
      </c>
    </row>
    <row r="4695" spans="1:20" hidden="1" x14ac:dyDescent="0.35">
      <c r="A4695" s="11">
        <v>46279</v>
      </c>
      <c r="B4695" s="3">
        <v>1</v>
      </c>
      <c r="C4695" t="s">
        <v>100</v>
      </c>
      <c r="D4695" t="s">
        <v>18</v>
      </c>
      <c r="E4695" s="3">
        <v>11</v>
      </c>
      <c r="F4695" t="s">
        <v>19</v>
      </c>
      <c r="G4695" t="s">
        <v>54</v>
      </c>
      <c r="H4695" t="s">
        <v>31</v>
      </c>
      <c r="I4695" s="12">
        <v>0.51388888888888884</v>
      </c>
      <c r="J4695" t="s">
        <v>55</v>
      </c>
      <c r="K4695" t="s">
        <v>31</v>
      </c>
      <c r="L4695" s="12">
        <v>0.54166666666666663</v>
      </c>
      <c r="M4695" t="s">
        <v>23</v>
      </c>
      <c r="N4695" s="3">
        <v>186</v>
      </c>
      <c r="O4695" t="s">
        <v>24</v>
      </c>
      <c r="P4695" t="s">
        <v>56</v>
      </c>
      <c r="R4695">
        <f>tblDailySchedule[[#This Row],[Capacity Approx]]*'[1]Load Factor Sheet June Acft  '!$B$5</f>
        <v>150.61772727272728</v>
      </c>
      <c r="S4695">
        <f>tblDailySchedule[[#This Row],[Capacity Approx]]*'[1]Load Factor Sheet June Acft  '!$D$5</f>
        <v>163.08818181818182</v>
      </c>
      <c r="T4695" s="22">
        <f>tblDailySchedule[[#This Row],[STD]]</f>
        <v>0.54166666666666663</v>
      </c>
    </row>
    <row r="4696" spans="1:20" hidden="1" x14ac:dyDescent="0.35">
      <c r="A4696" s="11">
        <v>46279</v>
      </c>
      <c r="B4696" s="3">
        <v>1</v>
      </c>
      <c r="C4696" t="s">
        <v>100</v>
      </c>
      <c r="D4696" t="s">
        <v>18</v>
      </c>
      <c r="E4696" s="3">
        <v>13</v>
      </c>
      <c r="F4696" t="s">
        <v>19</v>
      </c>
      <c r="G4696" t="s">
        <v>57</v>
      </c>
      <c r="H4696" t="s">
        <v>58</v>
      </c>
      <c r="I4696" s="12">
        <v>0.55902777777777779</v>
      </c>
      <c r="J4696" t="s">
        <v>59</v>
      </c>
      <c r="K4696" t="s">
        <v>58</v>
      </c>
      <c r="L4696" s="12">
        <v>0.57638888888888884</v>
      </c>
      <c r="M4696" t="s">
        <v>51</v>
      </c>
      <c r="N4696" s="3">
        <v>78</v>
      </c>
      <c r="O4696" t="s">
        <v>24</v>
      </c>
      <c r="P4696" t="s">
        <v>56</v>
      </c>
      <c r="R4696">
        <f>tblDailySchedule[[#This Row],[Capacity Approx]]*'[1]Load Factor Sheet June Acft  '!$B$5</f>
        <v>63.162272727272729</v>
      </c>
      <c r="S4696">
        <f>tblDailySchedule[[#This Row],[Capacity Approx]]*'[1]Load Factor Sheet June Acft  '!$D$5</f>
        <v>68.391818181818181</v>
      </c>
      <c r="T4696" s="22">
        <f>tblDailySchedule[[#This Row],[STD]]</f>
        <v>0.57638888888888884</v>
      </c>
    </row>
    <row r="4697" spans="1:20" hidden="1" x14ac:dyDescent="0.35">
      <c r="A4697" s="11">
        <v>46279</v>
      </c>
      <c r="B4697" s="3">
        <v>1</v>
      </c>
      <c r="C4697" t="s">
        <v>100</v>
      </c>
      <c r="D4697" t="s">
        <v>18</v>
      </c>
      <c r="E4697" s="3">
        <v>14</v>
      </c>
      <c r="F4697" t="s">
        <v>19</v>
      </c>
      <c r="G4697" t="s">
        <v>60</v>
      </c>
      <c r="H4697" t="s">
        <v>61</v>
      </c>
      <c r="I4697" s="12">
        <v>0.59027777777777779</v>
      </c>
      <c r="J4697" t="s">
        <v>62</v>
      </c>
      <c r="K4697" t="s">
        <v>61</v>
      </c>
      <c r="L4697" s="12">
        <v>0.62152777777777779</v>
      </c>
      <c r="M4697" t="s">
        <v>63</v>
      </c>
      <c r="N4697" s="3">
        <v>232</v>
      </c>
      <c r="O4697" t="s">
        <v>24</v>
      </c>
      <c r="P4697" t="s">
        <v>56</v>
      </c>
      <c r="R4697">
        <f>tblDailySchedule[[#This Row],[Capacity Approx]]*'[1]Load Factor Sheet June Acft  '!$B$5</f>
        <v>187.86727272727273</v>
      </c>
      <c r="S4697">
        <f>tblDailySchedule[[#This Row],[Capacity Approx]]*'[1]Load Factor Sheet June Acft  '!$D$5</f>
        <v>203.4218181818182</v>
      </c>
      <c r="T4697" s="22">
        <f>tblDailySchedule[[#This Row],[STD]]</f>
        <v>0.62152777777777779</v>
      </c>
    </row>
    <row r="4698" spans="1:20" hidden="1" x14ac:dyDescent="0.35">
      <c r="A4698" s="11">
        <v>46279</v>
      </c>
      <c r="B4698" s="3">
        <v>1</v>
      </c>
      <c r="C4698" t="s">
        <v>100</v>
      </c>
      <c r="D4698" t="s">
        <v>18</v>
      </c>
      <c r="E4698" s="3">
        <v>15</v>
      </c>
      <c r="F4698" t="s">
        <v>19</v>
      </c>
      <c r="G4698" t="s">
        <v>64</v>
      </c>
      <c r="H4698" t="s">
        <v>31</v>
      </c>
      <c r="I4698" s="12">
        <v>0.60069444444444442</v>
      </c>
      <c r="J4698" t="s">
        <v>65</v>
      </c>
      <c r="K4698" t="s">
        <v>66</v>
      </c>
      <c r="L4698" s="12">
        <v>0.62847222222222221</v>
      </c>
      <c r="M4698" t="s">
        <v>63</v>
      </c>
      <c r="N4698" s="3">
        <v>232</v>
      </c>
      <c r="O4698" t="s">
        <v>24</v>
      </c>
      <c r="P4698" t="s">
        <v>56</v>
      </c>
      <c r="R4698">
        <f>tblDailySchedule[[#This Row],[Capacity Approx]]*'[1]Load Factor Sheet June Acft  '!$B$5</f>
        <v>187.86727272727273</v>
      </c>
      <c r="S4698">
        <f>tblDailySchedule[[#This Row],[Capacity Approx]]*'[1]Load Factor Sheet June Acft  '!$D$5</f>
        <v>203.4218181818182</v>
      </c>
      <c r="T4698" s="22">
        <f>tblDailySchedule[[#This Row],[STD]]</f>
        <v>0.62847222222222221</v>
      </c>
    </row>
    <row r="4699" spans="1:20" hidden="1" x14ac:dyDescent="0.35">
      <c r="A4699" s="11">
        <v>46279</v>
      </c>
      <c r="B4699" s="3">
        <v>1</v>
      </c>
      <c r="C4699" t="s">
        <v>100</v>
      </c>
      <c r="D4699" t="s">
        <v>18</v>
      </c>
      <c r="E4699" s="3">
        <v>16</v>
      </c>
      <c r="F4699" t="s">
        <v>19</v>
      </c>
      <c r="G4699" t="s">
        <v>67</v>
      </c>
      <c r="H4699" t="s">
        <v>31</v>
      </c>
      <c r="I4699" s="12">
        <v>0.65625</v>
      </c>
      <c r="J4699" t="s">
        <v>68</v>
      </c>
      <c r="K4699" t="s">
        <v>31</v>
      </c>
      <c r="L4699" s="12">
        <v>0.68402777777777779</v>
      </c>
      <c r="M4699" t="s">
        <v>63</v>
      </c>
      <c r="N4699" s="3">
        <v>232</v>
      </c>
      <c r="O4699" t="s">
        <v>24</v>
      </c>
      <c r="P4699" t="s">
        <v>56</v>
      </c>
      <c r="R4699">
        <f>tblDailySchedule[[#This Row],[Capacity Approx]]*'[1]Load Factor Sheet June Acft  '!$B$5</f>
        <v>187.86727272727273</v>
      </c>
      <c r="S4699">
        <f>tblDailySchedule[[#This Row],[Capacity Approx]]*'[1]Load Factor Sheet June Acft  '!$D$5</f>
        <v>203.4218181818182</v>
      </c>
      <c r="T4699" s="22">
        <f>tblDailySchedule[[#This Row],[STD]]</f>
        <v>0.68402777777777779</v>
      </c>
    </row>
    <row r="4700" spans="1:20" hidden="1" x14ac:dyDescent="0.35">
      <c r="A4700" s="11">
        <v>46279</v>
      </c>
      <c r="B4700" s="3">
        <v>1</v>
      </c>
      <c r="C4700" t="s">
        <v>100</v>
      </c>
      <c r="D4700" t="s">
        <v>18</v>
      </c>
      <c r="E4700" s="3">
        <v>17</v>
      </c>
      <c r="F4700" t="s">
        <v>19</v>
      </c>
      <c r="G4700" t="s">
        <v>69</v>
      </c>
      <c r="H4700" t="s">
        <v>31</v>
      </c>
      <c r="I4700" s="12">
        <v>0.66319444444444442</v>
      </c>
      <c r="J4700" t="s">
        <v>70</v>
      </c>
      <c r="K4700" t="s">
        <v>31</v>
      </c>
      <c r="L4700" s="12">
        <v>0.69097222222222221</v>
      </c>
      <c r="M4700" t="s">
        <v>33</v>
      </c>
      <c r="N4700" s="3">
        <v>189</v>
      </c>
      <c r="O4700" t="s">
        <v>24</v>
      </c>
      <c r="P4700" t="s">
        <v>56</v>
      </c>
      <c r="R4700">
        <f>tblDailySchedule[[#This Row],[Capacity Approx]]*'[1]Load Factor Sheet June Acft  '!$B$5</f>
        <v>153.04704545454547</v>
      </c>
      <c r="S4700">
        <f>tblDailySchedule[[#This Row],[Capacity Approx]]*'[1]Load Factor Sheet June Acft  '!$D$5</f>
        <v>165.71863636363636</v>
      </c>
      <c r="T4700" s="22">
        <f>tblDailySchedule[[#This Row],[STD]]</f>
        <v>0.69097222222222221</v>
      </c>
    </row>
    <row r="4701" spans="1:20" hidden="1" x14ac:dyDescent="0.35">
      <c r="A4701" s="11">
        <v>46279</v>
      </c>
      <c r="B4701" s="3">
        <v>1</v>
      </c>
      <c r="C4701" t="s">
        <v>100</v>
      </c>
      <c r="D4701" t="s">
        <v>18</v>
      </c>
      <c r="E4701" s="3">
        <v>18</v>
      </c>
      <c r="F4701" t="s">
        <v>19</v>
      </c>
      <c r="G4701" t="s">
        <v>71</v>
      </c>
      <c r="H4701" t="s">
        <v>21</v>
      </c>
      <c r="I4701" s="12">
        <v>0.67013888888888884</v>
      </c>
      <c r="J4701" t="s">
        <v>72</v>
      </c>
      <c r="K4701" t="s">
        <v>21</v>
      </c>
      <c r="L4701" s="12">
        <v>0.69791666666666663</v>
      </c>
      <c r="M4701" t="s">
        <v>63</v>
      </c>
      <c r="N4701" s="3">
        <v>232</v>
      </c>
      <c r="O4701" t="s">
        <v>24</v>
      </c>
      <c r="P4701" t="s">
        <v>56</v>
      </c>
      <c r="R4701">
        <f>tblDailySchedule[[#This Row],[Capacity Approx]]*'[1]Load Factor Sheet June Acft  '!$B$5</f>
        <v>187.86727272727273</v>
      </c>
      <c r="S4701">
        <f>tblDailySchedule[[#This Row],[Capacity Approx]]*'[1]Load Factor Sheet June Acft  '!$D$5</f>
        <v>203.4218181818182</v>
      </c>
      <c r="T4701" s="22">
        <f>tblDailySchedule[[#This Row],[STD]]</f>
        <v>0.69791666666666663</v>
      </c>
    </row>
    <row r="4702" spans="1:20" hidden="1" x14ac:dyDescent="0.35">
      <c r="A4702" s="11">
        <v>46279</v>
      </c>
      <c r="B4702" s="3">
        <v>1</v>
      </c>
      <c r="C4702" t="s">
        <v>100</v>
      </c>
      <c r="D4702" t="s">
        <v>18</v>
      </c>
      <c r="E4702" s="3">
        <v>19</v>
      </c>
      <c r="F4702" t="s">
        <v>19</v>
      </c>
      <c r="G4702" t="s">
        <v>73</v>
      </c>
      <c r="H4702" t="s">
        <v>27</v>
      </c>
      <c r="I4702" s="12">
        <v>0.74652777777777779</v>
      </c>
      <c r="J4702" t="s">
        <v>74</v>
      </c>
      <c r="K4702" t="s">
        <v>27</v>
      </c>
      <c r="L4702" s="12">
        <v>0.77430555555555558</v>
      </c>
      <c r="M4702" t="s">
        <v>63</v>
      </c>
      <c r="N4702" s="3">
        <v>232</v>
      </c>
      <c r="O4702" t="s">
        <v>24</v>
      </c>
      <c r="P4702" t="s">
        <v>56</v>
      </c>
      <c r="R4702">
        <f>tblDailySchedule[[#This Row],[Capacity Approx]]*'[1]Load Factor Sheet June Acft  '!$B$5</f>
        <v>187.86727272727273</v>
      </c>
      <c r="S4702">
        <f>tblDailySchedule[[#This Row],[Capacity Approx]]*'[1]Load Factor Sheet June Acft  '!$D$5</f>
        <v>203.4218181818182</v>
      </c>
      <c r="T4702" s="22">
        <f>tblDailySchedule[[#This Row],[STD]]</f>
        <v>0.77430555555555558</v>
      </c>
    </row>
    <row r="4703" spans="1:20" hidden="1" x14ac:dyDescent="0.35">
      <c r="A4703" s="11">
        <v>46279</v>
      </c>
      <c r="B4703" s="3">
        <v>1</v>
      </c>
      <c r="C4703" t="s">
        <v>100</v>
      </c>
      <c r="D4703" t="s">
        <v>18</v>
      </c>
      <c r="E4703" s="3">
        <v>20</v>
      </c>
      <c r="F4703" t="s">
        <v>34</v>
      </c>
      <c r="G4703" t="s">
        <v>75</v>
      </c>
      <c r="H4703" t="s">
        <v>76</v>
      </c>
      <c r="I4703" s="12">
        <v>0.76388888888888884</v>
      </c>
      <c r="J4703" t="s">
        <v>77</v>
      </c>
      <c r="K4703" t="s">
        <v>78</v>
      </c>
      <c r="L4703" s="12">
        <v>0.78472222222222221</v>
      </c>
      <c r="M4703" t="s">
        <v>51</v>
      </c>
      <c r="N4703" s="3">
        <v>78</v>
      </c>
      <c r="O4703" t="s">
        <v>24</v>
      </c>
      <c r="P4703" t="s">
        <v>79</v>
      </c>
      <c r="Q4703" s="16" t="s">
        <v>80</v>
      </c>
      <c r="R4703">
        <f>tblDailySchedule[[#This Row],[Capacity Approx]]*'[1]Load Factor Sheet June Acft  '!$B$5</f>
        <v>63.162272727272729</v>
      </c>
      <c r="S4703">
        <f>tblDailySchedule[[#This Row],[Capacity Approx]]*'[1]Load Factor Sheet June Acft  '!$D$5</f>
        <v>68.391818181818181</v>
      </c>
      <c r="T4703" s="22">
        <f>tblDailySchedule[[#This Row],[STD]]</f>
        <v>0.78472222222222221</v>
      </c>
    </row>
    <row r="4704" spans="1:20" hidden="1" x14ac:dyDescent="0.35">
      <c r="A4704" s="11">
        <v>46279</v>
      </c>
      <c r="B4704" s="3">
        <v>1</v>
      </c>
      <c r="C4704" t="s">
        <v>100</v>
      </c>
      <c r="D4704" t="s">
        <v>18</v>
      </c>
      <c r="E4704" s="3">
        <v>21</v>
      </c>
      <c r="F4704" t="s">
        <v>19</v>
      </c>
      <c r="G4704" t="s">
        <v>81</v>
      </c>
      <c r="H4704" t="s">
        <v>61</v>
      </c>
      <c r="I4704" s="12">
        <v>0.77083333333333337</v>
      </c>
      <c r="J4704" t="s">
        <v>82</v>
      </c>
      <c r="K4704" t="s">
        <v>49</v>
      </c>
      <c r="L4704" s="12">
        <v>0.79166666666666663</v>
      </c>
      <c r="M4704" t="s">
        <v>33</v>
      </c>
      <c r="N4704" s="3">
        <v>189</v>
      </c>
      <c r="O4704" t="s">
        <v>24</v>
      </c>
      <c r="P4704" t="s">
        <v>79</v>
      </c>
      <c r="R4704">
        <f>tblDailySchedule[[#This Row],[Capacity Approx]]*'[1]Load Factor Sheet June Acft  '!$B$5</f>
        <v>153.04704545454547</v>
      </c>
      <c r="S4704">
        <f>tblDailySchedule[[#This Row],[Capacity Approx]]*'[1]Load Factor Sheet June Acft  '!$D$5</f>
        <v>165.71863636363636</v>
      </c>
      <c r="T4704" s="22">
        <f>tblDailySchedule[[#This Row],[STD]]</f>
        <v>0.79166666666666663</v>
      </c>
    </row>
    <row r="4705" spans="1:20" hidden="1" x14ac:dyDescent="0.35">
      <c r="A4705" s="11">
        <v>46279</v>
      </c>
      <c r="B4705" s="3">
        <v>1</v>
      </c>
      <c r="C4705" t="s">
        <v>100</v>
      </c>
      <c r="D4705" t="s">
        <v>18</v>
      </c>
      <c r="E4705" s="3">
        <v>22</v>
      </c>
      <c r="F4705" t="s">
        <v>19</v>
      </c>
      <c r="G4705" t="s">
        <v>83</v>
      </c>
      <c r="H4705" t="s">
        <v>31</v>
      </c>
      <c r="I4705" s="12">
        <v>0.77777777777777779</v>
      </c>
      <c r="J4705" t="s">
        <v>84</v>
      </c>
      <c r="K4705" t="s">
        <v>31</v>
      </c>
      <c r="L4705" s="12">
        <v>0.80555555555555558</v>
      </c>
      <c r="M4705" t="s">
        <v>63</v>
      </c>
      <c r="N4705" s="3">
        <v>232</v>
      </c>
      <c r="O4705" t="s">
        <v>24</v>
      </c>
      <c r="P4705" t="s">
        <v>79</v>
      </c>
      <c r="R4705">
        <f>tblDailySchedule[[#This Row],[Capacity Approx]]*'[1]Load Factor Sheet June Acft  '!$B$5</f>
        <v>187.86727272727273</v>
      </c>
      <c r="S4705">
        <f>tblDailySchedule[[#This Row],[Capacity Approx]]*'[1]Load Factor Sheet June Acft  '!$D$5</f>
        <v>203.4218181818182</v>
      </c>
      <c r="T4705" s="22">
        <f>tblDailySchedule[[#This Row],[STD]]</f>
        <v>0.80555555555555558</v>
      </c>
    </row>
    <row r="4706" spans="1:20" hidden="1" x14ac:dyDescent="0.35">
      <c r="A4706" s="11">
        <v>46279</v>
      </c>
      <c r="B4706" s="3">
        <v>1</v>
      </c>
      <c r="C4706" t="s">
        <v>100</v>
      </c>
      <c r="D4706" t="s">
        <v>18</v>
      </c>
      <c r="E4706" s="3">
        <v>23</v>
      </c>
      <c r="F4706" t="s">
        <v>19</v>
      </c>
      <c r="G4706" t="s">
        <v>85</v>
      </c>
      <c r="H4706" t="s">
        <v>86</v>
      </c>
      <c r="I4706" s="12">
        <v>0.79861111111111116</v>
      </c>
      <c r="J4706" t="s">
        <v>87</v>
      </c>
      <c r="K4706" t="s">
        <v>86</v>
      </c>
      <c r="L4706" s="12">
        <v>0.82638888888888884</v>
      </c>
      <c r="M4706" t="s">
        <v>63</v>
      </c>
      <c r="N4706" s="3">
        <v>232</v>
      </c>
      <c r="O4706" t="s">
        <v>24</v>
      </c>
      <c r="P4706" t="s">
        <v>79</v>
      </c>
      <c r="R4706">
        <f>tblDailySchedule[[#This Row],[Capacity Approx]]*'[1]Load Factor Sheet June Acft  '!$B$5</f>
        <v>187.86727272727273</v>
      </c>
      <c r="S4706">
        <f>tblDailySchedule[[#This Row],[Capacity Approx]]*'[1]Load Factor Sheet June Acft  '!$D$5</f>
        <v>203.4218181818182</v>
      </c>
      <c r="T4706" s="22">
        <f>tblDailySchedule[[#This Row],[STD]]</f>
        <v>0.82638888888888884</v>
      </c>
    </row>
    <row r="4707" spans="1:20" hidden="1" x14ac:dyDescent="0.35">
      <c r="A4707" s="11">
        <v>46279</v>
      </c>
      <c r="B4707" s="3">
        <v>1</v>
      </c>
      <c r="C4707" t="s">
        <v>100</v>
      </c>
      <c r="D4707" t="s">
        <v>18</v>
      </c>
      <c r="E4707" s="3">
        <v>24</v>
      </c>
      <c r="F4707" t="s">
        <v>19</v>
      </c>
      <c r="G4707" t="s">
        <v>88</v>
      </c>
      <c r="H4707" t="s">
        <v>89</v>
      </c>
      <c r="I4707" s="12">
        <v>0.83333333333333337</v>
      </c>
      <c r="J4707" t="s">
        <v>90</v>
      </c>
      <c r="K4707" t="s">
        <v>31</v>
      </c>
      <c r="L4707" s="12">
        <v>0.86111111111111116</v>
      </c>
      <c r="M4707" t="s">
        <v>63</v>
      </c>
      <c r="N4707" s="3">
        <v>232</v>
      </c>
      <c r="O4707" t="s">
        <v>24</v>
      </c>
      <c r="P4707" t="s">
        <v>79</v>
      </c>
      <c r="R4707">
        <f>tblDailySchedule[[#This Row],[Capacity Approx]]*'[1]Load Factor Sheet June Acft  '!$B$5</f>
        <v>187.86727272727273</v>
      </c>
      <c r="S4707">
        <f>tblDailySchedule[[#This Row],[Capacity Approx]]*'[1]Load Factor Sheet June Acft  '!$D$5</f>
        <v>203.4218181818182</v>
      </c>
      <c r="T4707" s="22">
        <f>tblDailySchedule[[#This Row],[STD]]</f>
        <v>0.86111111111111116</v>
      </c>
    </row>
    <row r="4708" spans="1:20" hidden="1" x14ac:dyDescent="0.35">
      <c r="A4708" s="11">
        <v>46279</v>
      </c>
      <c r="B4708" s="3">
        <v>1</v>
      </c>
      <c r="C4708" t="s">
        <v>100</v>
      </c>
      <c r="D4708" t="s">
        <v>18</v>
      </c>
      <c r="E4708" s="3">
        <v>25</v>
      </c>
      <c r="F4708" t="s">
        <v>19</v>
      </c>
      <c r="G4708" t="s">
        <v>91</v>
      </c>
      <c r="H4708" t="s">
        <v>61</v>
      </c>
      <c r="I4708" s="12">
        <v>0.85416666666666663</v>
      </c>
      <c r="J4708" t="s">
        <v>92</v>
      </c>
      <c r="K4708" t="s">
        <v>61</v>
      </c>
      <c r="L4708" s="12">
        <v>0.88194444444444442</v>
      </c>
      <c r="M4708" t="s">
        <v>63</v>
      </c>
      <c r="N4708" s="3">
        <v>232</v>
      </c>
      <c r="O4708" t="s">
        <v>24</v>
      </c>
      <c r="P4708" t="s">
        <v>79</v>
      </c>
      <c r="R4708">
        <f>tblDailySchedule[[#This Row],[Capacity Approx]]*'[1]Load Factor Sheet June Acft  '!$B$5</f>
        <v>187.86727272727273</v>
      </c>
      <c r="S4708">
        <f>tblDailySchedule[[#This Row],[Capacity Approx]]*'[1]Load Factor Sheet June Acft  '!$D$5</f>
        <v>203.4218181818182</v>
      </c>
      <c r="T4708" s="22">
        <f>tblDailySchedule[[#This Row],[STD]]</f>
        <v>0.88194444444444442</v>
      </c>
    </row>
    <row r="4709" spans="1:20" hidden="1" x14ac:dyDescent="0.35">
      <c r="A4709" s="11">
        <v>46279</v>
      </c>
      <c r="B4709" s="3">
        <v>1</v>
      </c>
      <c r="C4709" t="s">
        <v>100</v>
      </c>
      <c r="D4709" t="s">
        <v>18</v>
      </c>
      <c r="E4709" s="3">
        <v>26</v>
      </c>
      <c r="F4709" t="s">
        <v>19</v>
      </c>
      <c r="G4709" t="s">
        <v>93</v>
      </c>
      <c r="H4709" t="s">
        <v>31</v>
      </c>
      <c r="I4709" s="12">
        <v>0.86111111111111116</v>
      </c>
      <c r="J4709" t="s">
        <v>94</v>
      </c>
      <c r="K4709" t="s">
        <v>31</v>
      </c>
      <c r="L4709" s="12">
        <v>0.88888888888888884</v>
      </c>
      <c r="M4709" t="s">
        <v>23</v>
      </c>
      <c r="N4709" s="3">
        <v>186</v>
      </c>
      <c r="O4709" t="s">
        <v>24</v>
      </c>
      <c r="P4709" t="s">
        <v>79</v>
      </c>
      <c r="R4709">
        <f>tblDailySchedule[[#This Row],[Capacity Approx]]*'[1]Load Factor Sheet June Acft  '!$B$5</f>
        <v>150.61772727272728</v>
      </c>
      <c r="S4709">
        <f>tblDailySchedule[[#This Row],[Capacity Approx]]*'[1]Load Factor Sheet June Acft  '!$D$5</f>
        <v>163.08818181818182</v>
      </c>
      <c r="T4709" s="22">
        <f>tblDailySchedule[[#This Row],[STD]]</f>
        <v>0.88888888888888884</v>
      </c>
    </row>
    <row r="4710" spans="1:20" hidden="1" x14ac:dyDescent="0.35">
      <c r="A4710" s="11">
        <v>46279</v>
      </c>
      <c r="B4710" s="3">
        <v>1</v>
      </c>
      <c r="C4710" t="s">
        <v>100</v>
      </c>
      <c r="D4710" t="s">
        <v>18</v>
      </c>
      <c r="E4710" s="3">
        <v>27</v>
      </c>
      <c r="F4710" t="s">
        <v>19</v>
      </c>
      <c r="G4710" t="s">
        <v>95</v>
      </c>
      <c r="H4710" t="s">
        <v>21</v>
      </c>
      <c r="I4710" s="12">
        <v>0.86805555555555558</v>
      </c>
      <c r="J4710" t="s">
        <v>96</v>
      </c>
      <c r="K4710" t="s">
        <v>21</v>
      </c>
      <c r="L4710" s="12">
        <v>0.89583333333333337</v>
      </c>
      <c r="M4710" t="s">
        <v>29</v>
      </c>
      <c r="N4710" s="3">
        <v>186</v>
      </c>
      <c r="O4710" t="s">
        <v>24</v>
      </c>
      <c r="P4710" t="s">
        <v>79</v>
      </c>
      <c r="R4710">
        <f>tblDailySchedule[[#This Row],[Capacity Approx]]*'[1]Load Factor Sheet June Acft  '!$B$5</f>
        <v>150.61772727272728</v>
      </c>
      <c r="S4710">
        <f>tblDailySchedule[[#This Row],[Capacity Approx]]*'[1]Load Factor Sheet June Acft  '!$D$5</f>
        <v>163.08818181818182</v>
      </c>
      <c r="T4710" s="22">
        <f>tblDailySchedule[[#This Row],[STD]]</f>
        <v>0.89583333333333337</v>
      </c>
    </row>
    <row r="4711" spans="1:20" hidden="1" x14ac:dyDescent="0.35">
      <c r="A4711" s="11">
        <v>46279</v>
      </c>
      <c r="B4711" s="3">
        <v>1</v>
      </c>
      <c r="C4711" t="s">
        <v>100</v>
      </c>
      <c r="D4711" t="s">
        <v>18</v>
      </c>
      <c r="E4711" s="3">
        <v>28</v>
      </c>
      <c r="F4711" t="s">
        <v>19</v>
      </c>
      <c r="G4711" t="s">
        <v>97</v>
      </c>
      <c r="H4711" t="s">
        <v>49</v>
      </c>
      <c r="I4711" s="12">
        <v>0.90277777777777779</v>
      </c>
      <c r="J4711" t="s">
        <v>97</v>
      </c>
      <c r="K4711" t="s">
        <v>61</v>
      </c>
      <c r="L4711" s="12">
        <v>0.92361111111111116</v>
      </c>
      <c r="M4711" t="s">
        <v>33</v>
      </c>
      <c r="N4711" s="3">
        <v>189</v>
      </c>
      <c r="O4711" t="s">
        <v>24</v>
      </c>
      <c r="P4711" t="s">
        <v>79</v>
      </c>
      <c r="R4711">
        <f>tblDailySchedule[[#This Row],[Capacity Approx]]*'[1]Load Factor Sheet June Acft  '!$B$5</f>
        <v>153.04704545454547</v>
      </c>
      <c r="S4711">
        <f>tblDailySchedule[[#This Row],[Capacity Approx]]*'[1]Load Factor Sheet June Acft  '!$D$5</f>
        <v>165.71863636363636</v>
      </c>
      <c r="T4711" s="22">
        <f>tblDailySchedule[[#This Row],[STD]]</f>
        <v>0.92361111111111116</v>
      </c>
    </row>
    <row r="4712" spans="1:20" hidden="1" x14ac:dyDescent="0.35">
      <c r="A4712" s="11">
        <v>46279</v>
      </c>
      <c r="B4712" s="3">
        <v>1</v>
      </c>
      <c r="C4712" t="s">
        <v>100</v>
      </c>
      <c r="D4712" t="s">
        <v>18</v>
      </c>
      <c r="E4712" s="3">
        <v>29</v>
      </c>
      <c r="F4712" t="s">
        <v>19</v>
      </c>
      <c r="G4712" t="s">
        <v>98</v>
      </c>
      <c r="H4712" t="s">
        <v>21</v>
      </c>
      <c r="I4712" s="12">
        <v>0.92013888888888884</v>
      </c>
      <c r="J4712" t="s">
        <v>99</v>
      </c>
      <c r="K4712" t="s">
        <v>21</v>
      </c>
      <c r="L4712" s="12">
        <v>0.94791666666666663</v>
      </c>
      <c r="M4712" t="s">
        <v>63</v>
      </c>
      <c r="N4712" s="3">
        <v>232</v>
      </c>
      <c r="O4712" t="s">
        <v>24</v>
      </c>
      <c r="P4712" t="s">
        <v>79</v>
      </c>
      <c r="R4712">
        <f>tblDailySchedule[[#This Row],[Capacity Approx]]*'[1]Load Factor Sheet June Acft  '!$B$5</f>
        <v>187.86727272727273</v>
      </c>
      <c r="S4712">
        <f>tblDailySchedule[[#This Row],[Capacity Approx]]*'[1]Load Factor Sheet June Acft  '!$D$5</f>
        <v>203.4218181818182</v>
      </c>
      <c r="T4712" s="22">
        <f>tblDailySchedule[[#This Row],[STD]]</f>
        <v>0.94791666666666663</v>
      </c>
    </row>
    <row r="4713" spans="1:20" hidden="1" x14ac:dyDescent="0.35">
      <c r="A4713" s="13">
        <v>46279</v>
      </c>
      <c r="B4713" s="7">
        <v>1</v>
      </c>
      <c r="C4713" s="14" t="s">
        <v>100</v>
      </c>
      <c r="D4713" s="14" t="s">
        <v>18</v>
      </c>
      <c r="E4713" s="7">
        <v>30</v>
      </c>
      <c r="F4713" s="14" t="s">
        <v>104</v>
      </c>
      <c r="G4713" s="14" t="s">
        <v>105</v>
      </c>
      <c r="H4713" s="14" t="s">
        <v>106</v>
      </c>
      <c r="I4713" s="15">
        <v>0.92708333333333337</v>
      </c>
      <c r="J4713" s="14" t="s">
        <v>107</v>
      </c>
      <c r="K4713" s="14" t="s">
        <v>106</v>
      </c>
      <c r="L4713" s="15">
        <v>0.95833333333333337</v>
      </c>
      <c r="M4713" s="14" t="s">
        <v>38</v>
      </c>
      <c r="N4713" s="7">
        <v>186</v>
      </c>
      <c r="O4713" s="14" t="s">
        <v>39</v>
      </c>
      <c r="P4713" s="14" t="s">
        <v>79</v>
      </c>
      <c r="Q4713" s="14" t="s">
        <v>39</v>
      </c>
      <c r="R4713">
        <f>tblDailySchedule[[#This Row],[Capacity Approx]]*'[1]Load Factor Sheet June Acft  '!$B$5</f>
        <v>150.61772727272728</v>
      </c>
      <c r="S4713">
        <f>tblDailySchedule[[#This Row],[Capacity Approx]]*'[1]Load Factor Sheet June Acft  '!$D$5</f>
        <v>163.08818181818182</v>
      </c>
      <c r="T4713" s="22">
        <f>tblDailySchedule[[#This Row],[STD]]</f>
        <v>0.95833333333333337</v>
      </c>
    </row>
    <row r="4714" spans="1:20" hidden="1" x14ac:dyDescent="0.35">
      <c r="A4714" s="11">
        <v>46280</v>
      </c>
      <c r="B4714" s="3">
        <v>2</v>
      </c>
      <c r="C4714" t="s">
        <v>108</v>
      </c>
      <c r="D4714" t="s">
        <v>18</v>
      </c>
      <c r="E4714" s="3">
        <v>1</v>
      </c>
      <c r="F4714" t="s">
        <v>101</v>
      </c>
      <c r="G4714" t="s">
        <v>102</v>
      </c>
      <c r="H4714" t="s">
        <v>61</v>
      </c>
      <c r="I4714" s="12">
        <v>0.3125</v>
      </c>
      <c r="J4714" t="s">
        <v>103</v>
      </c>
      <c r="K4714" t="s">
        <v>61</v>
      </c>
      <c r="L4714" s="12">
        <v>0.33333333333333331</v>
      </c>
      <c r="M4714" t="s">
        <v>33</v>
      </c>
      <c r="N4714" s="3">
        <v>189</v>
      </c>
      <c r="O4714" t="s">
        <v>24</v>
      </c>
      <c r="P4714" t="s">
        <v>25</v>
      </c>
      <c r="R4714">
        <f>tblDailySchedule[[#This Row],[Capacity Approx]]*'[1]Load Factor Sheet June Acft  '!$B$5</f>
        <v>153.04704545454547</v>
      </c>
      <c r="S4714">
        <f>tblDailySchedule[[#This Row],[Capacity Approx]]*'[1]Load Factor Sheet June Acft  '!$D$5</f>
        <v>165.71863636363636</v>
      </c>
      <c r="T4714" s="22">
        <f>tblDailySchedule[[#This Row],[STD]]</f>
        <v>0.33333333333333331</v>
      </c>
    </row>
    <row r="4715" spans="1:20" hidden="1" x14ac:dyDescent="0.35">
      <c r="A4715" s="11">
        <v>46280</v>
      </c>
      <c r="B4715" s="3">
        <v>2</v>
      </c>
      <c r="C4715" t="s">
        <v>108</v>
      </c>
      <c r="D4715" t="s">
        <v>18</v>
      </c>
      <c r="E4715" s="3">
        <v>2</v>
      </c>
      <c r="F4715" t="s">
        <v>19</v>
      </c>
      <c r="G4715" t="s">
        <v>20</v>
      </c>
      <c r="H4715" t="s">
        <v>21</v>
      </c>
      <c r="I4715" s="12">
        <v>0.31944444444444442</v>
      </c>
      <c r="J4715" t="s">
        <v>22</v>
      </c>
      <c r="K4715" t="s">
        <v>21</v>
      </c>
      <c r="L4715" s="12">
        <v>0.34722222222222221</v>
      </c>
      <c r="M4715" t="s">
        <v>23</v>
      </c>
      <c r="N4715" s="3">
        <v>186</v>
      </c>
      <c r="O4715" t="s">
        <v>24</v>
      </c>
      <c r="P4715" t="s">
        <v>25</v>
      </c>
      <c r="R4715">
        <f>tblDailySchedule[[#This Row],[Capacity Approx]]*'[1]Load Factor Sheet June Acft  '!$B$5</f>
        <v>150.61772727272728</v>
      </c>
      <c r="S4715">
        <f>tblDailySchedule[[#This Row],[Capacity Approx]]*'[1]Load Factor Sheet June Acft  '!$D$5</f>
        <v>163.08818181818182</v>
      </c>
      <c r="T4715" s="22">
        <f>tblDailySchedule[[#This Row],[STD]]</f>
        <v>0.34722222222222221</v>
      </c>
    </row>
    <row r="4716" spans="1:20" hidden="1" x14ac:dyDescent="0.35">
      <c r="A4716" s="11">
        <v>46280</v>
      </c>
      <c r="B4716" s="3">
        <v>2</v>
      </c>
      <c r="C4716" t="s">
        <v>108</v>
      </c>
      <c r="D4716" t="s">
        <v>18</v>
      </c>
      <c r="E4716" s="3">
        <v>3</v>
      </c>
      <c r="F4716" t="s">
        <v>19</v>
      </c>
      <c r="G4716" t="s">
        <v>26</v>
      </c>
      <c r="H4716" t="s">
        <v>27</v>
      </c>
      <c r="I4716" s="12">
        <v>0.3263888888888889</v>
      </c>
      <c r="J4716" t="s">
        <v>28</v>
      </c>
      <c r="K4716" t="s">
        <v>27</v>
      </c>
      <c r="L4716" s="12">
        <v>0.35416666666666669</v>
      </c>
      <c r="M4716" t="s">
        <v>29</v>
      </c>
      <c r="N4716" s="3">
        <v>186</v>
      </c>
      <c r="O4716" t="s">
        <v>24</v>
      </c>
      <c r="P4716" t="s">
        <v>25</v>
      </c>
      <c r="R4716">
        <f>tblDailySchedule[[#This Row],[Capacity Approx]]*'[1]Load Factor Sheet June Acft  '!$B$5</f>
        <v>150.61772727272728</v>
      </c>
      <c r="S4716">
        <f>tblDailySchedule[[#This Row],[Capacity Approx]]*'[1]Load Factor Sheet June Acft  '!$D$5</f>
        <v>163.08818181818182</v>
      </c>
      <c r="T4716" s="22">
        <f>tblDailySchedule[[#This Row],[STD]]</f>
        <v>0.35416666666666669</v>
      </c>
    </row>
    <row r="4717" spans="1:20" hidden="1" x14ac:dyDescent="0.35">
      <c r="A4717" s="11">
        <v>46280</v>
      </c>
      <c r="B4717" s="3">
        <v>2</v>
      </c>
      <c r="C4717" t="s">
        <v>108</v>
      </c>
      <c r="D4717" t="s">
        <v>18</v>
      </c>
      <c r="E4717" s="3">
        <v>4</v>
      </c>
      <c r="F4717" t="s">
        <v>19</v>
      </c>
      <c r="G4717" t="s">
        <v>30</v>
      </c>
      <c r="H4717" t="s">
        <v>31</v>
      </c>
      <c r="I4717" s="12">
        <v>0.34722222222222221</v>
      </c>
      <c r="J4717" t="s">
        <v>32</v>
      </c>
      <c r="K4717" t="s">
        <v>31</v>
      </c>
      <c r="L4717" s="12">
        <v>0.36805555555555558</v>
      </c>
      <c r="M4717" t="s">
        <v>33</v>
      </c>
      <c r="N4717" s="3">
        <v>189</v>
      </c>
      <c r="O4717" t="s">
        <v>24</v>
      </c>
      <c r="P4717" t="s">
        <v>25</v>
      </c>
      <c r="R4717">
        <f>tblDailySchedule[[#This Row],[Capacity Approx]]*'[1]Load Factor Sheet June Acft  '!$B$5</f>
        <v>153.04704545454547</v>
      </c>
      <c r="S4717">
        <f>tblDailySchedule[[#This Row],[Capacity Approx]]*'[1]Load Factor Sheet June Acft  '!$D$5</f>
        <v>165.71863636363636</v>
      </c>
      <c r="T4717" s="22">
        <f>tblDailySchedule[[#This Row],[STD]]</f>
        <v>0.36805555555555558</v>
      </c>
    </row>
    <row r="4718" spans="1:20" hidden="1" x14ac:dyDescent="0.35">
      <c r="A4718" s="11">
        <v>46280</v>
      </c>
      <c r="B4718" s="3">
        <v>2</v>
      </c>
      <c r="C4718" t="s">
        <v>108</v>
      </c>
      <c r="D4718" t="s">
        <v>18</v>
      </c>
      <c r="E4718" s="3">
        <v>5</v>
      </c>
      <c r="F4718" t="s">
        <v>19</v>
      </c>
      <c r="G4718" t="s">
        <v>40</v>
      </c>
      <c r="H4718" t="s">
        <v>31</v>
      </c>
      <c r="I4718" s="12">
        <v>0.35069444444444442</v>
      </c>
      <c r="J4718" t="s">
        <v>41</v>
      </c>
      <c r="K4718" t="s">
        <v>31</v>
      </c>
      <c r="L4718" s="12">
        <v>0.37152777777777779</v>
      </c>
      <c r="M4718" t="s">
        <v>23</v>
      </c>
      <c r="N4718" s="3">
        <v>186</v>
      </c>
      <c r="O4718" t="s">
        <v>24</v>
      </c>
      <c r="P4718" t="s">
        <v>25</v>
      </c>
      <c r="R4718">
        <f>tblDailySchedule[[#This Row],[Capacity Approx]]*'[1]Load Factor Sheet June Acft  '!$B$5</f>
        <v>150.61772727272728</v>
      </c>
      <c r="S4718">
        <f>tblDailySchedule[[#This Row],[Capacity Approx]]*'[1]Load Factor Sheet June Acft  '!$D$5</f>
        <v>163.08818181818182</v>
      </c>
      <c r="T4718" s="22">
        <f>tblDailySchedule[[#This Row],[STD]]</f>
        <v>0.37152777777777779</v>
      </c>
    </row>
    <row r="4719" spans="1:20" hidden="1" x14ac:dyDescent="0.35">
      <c r="A4719" s="11">
        <v>46280</v>
      </c>
      <c r="B4719" s="3">
        <v>2</v>
      </c>
      <c r="C4719" t="s">
        <v>108</v>
      </c>
      <c r="D4719" t="s">
        <v>18</v>
      </c>
      <c r="E4719" s="3">
        <v>7</v>
      </c>
      <c r="F4719" t="s">
        <v>19</v>
      </c>
      <c r="G4719" t="s">
        <v>42</v>
      </c>
      <c r="H4719" t="s">
        <v>43</v>
      </c>
      <c r="I4719" s="12">
        <v>0.3923611111111111</v>
      </c>
      <c r="J4719" t="s">
        <v>44</v>
      </c>
      <c r="K4719" t="s">
        <v>43</v>
      </c>
      <c r="L4719" s="12">
        <v>0.40277777777777779</v>
      </c>
      <c r="M4719" t="s">
        <v>45</v>
      </c>
      <c r="N4719" s="3">
        <v>9</v>
      </c>
      <c r="O4719" t="s">
        <v>24</v>
      </c>
      <c r="P4719" t="s">
        <v>25</v>
      </c>
      <c r="R4719">
        <f>tblDailySchedule[[#This Row],[Capacity Approx]]*'[1]Load Factor Sheet June Acft  '!$B$5</f>
        <v>7.2879545454545456</v>
      </c>
      <c r="S4719">
        <f>tblDailySchedule[[#This Row],[Capacity Approx]]*'[1]Load Factor Sheet June Acft  '!$D$5</f>
        <v>7.8913636363636366</v>
      </c>
      <c r="T4719" s="22">
        <f>tblDailySchedule[[#This Row],[STD]]</f>
        <v>0.40277777777777779</v>
      </c>
    </row>
    <row r="4720" spans="1:20" hidden="1" x14ac:dyDescent="0.35">
      <c r="A4720" s="11">
        <v>46280</v>
      </c>
      <c r="B4720" s="3">
        <v>2</v>
      </c>
      <c r="C4720" t="s">
        <v>108</v>
      </c>
      <c r="D4720" t="s">
        <v>18</v>
      </c>
      <c r="E4720" s="3">
        <v>8</v>
      </c>
      <c r="F4720" t="s">
        <v>19</v>
      </c>
      <c r="G4720" t="s">
        <v>46</v>
      </c>
      <c r="H4720" t="s">
        <v>31</v>
      </c>
      <c r="I4720" s="12">
        <v>0.4201388888888889</v>
      </c>
      <c r="J4720" t="s">
        <v>47</v>
      </c>
      <c r="K4720" t="s">
        <v>31</v>
      </c>
      <c r="L4720" s="12">
        <v>0.44444444444444442</v>
      </c>
      <c r="M4720" t="s">
        <v>29</v>
      </c>
      <c r="N4720" s="3">
        <v>186</v>
      </c>
      <c r="O4720" t="s">
        <v>24</v>
      </c>
      <c r="P4720" t="s">
        <v>25</v>
      </c>
      <c r="R4720">
        <f>tblDailySchedule[[#This Row],[Capacity Approx]]*'[1]Load Factor Sheet June Acft  '!$B$5</f>
        <v>150.61772727272728</v>
      </c>
      <c r="S4720">
        <f>tblDailySchedule[[#This Row],[Capacity Approx]]*'[1]Load Factor Sheet June Acft  '!$D$5</f>
        <v>163.08818181818182</v>
      </c>
      <c r="T4720" s="22">
        <f>tblDailySchedule[[#This Row],[STD]]</f>
        <v>0.44444444444444442</v>
      </c>
    </row>
    <row r="4721" spans="1:20" hidden="1" x14ac:dyDescent="0.35">
      <c r="A4721" s="11">
        <v>46280</v>
      </c>
      <c r="B4721" s="3">
        <v>2</v>
      </c>
      <c r="C4721" t="s">
        <v>108</v>
      </c>
      <c r="D4721" t="s">
        <v>18</v>
      </c>
      <c r="E4721" s="3">
        <v>9</v>
      </c>
      <c r="F4721" t="s">
        <v>19</v>
      </c>
      <c r="G4721" t="s">
        <v>48</v>
      </c>
      <c r="H4721" t="s">
        <v>49</v>
      </c>
      <c r="I4721" s="12">
        <v>0.4375</v>
      </c>
      <c r="J4721" t="s">
        <v>50</v>
      </c>
      <c r="K4721" t="s">
        <v>49</v>
      </c>
      <c r="L4721" s="12">
        <v>0.45833333333333331</v>
      </c>
      <c r="M4721" t="s">
        <v>51</v>
      </c>
      <c r="N4721" s="3">
        <v>78</v>
      </c>
      <c r="O4721" t="s">
        <v>24</v>
      </c>
      <c r="P4721" t="s">
        <v>25</v>
      </c>
      <c r="R4721">
        <f>tblDailySchedule[[#This Row],[Capacity Approx]]*'[1]Load Factor Sheet June Acft  '!$B$5</f>
        <v>63.162272727272729</v>
      </c>
      <c r="S4721">
        <f>tblDailySchedule[[#This Row],[Capacity Approx]]*'[1]Load Factor Sheet June Acft  '!$D$5</f>
        <v>68.391818181818181</v>
      </c>
      <c r="T4721" s="22">
        <f>tblDailySchedule[[#This Row],[STD]]</f>
        <v>0.45833333333333331</v>
      </c>
    </row>
    <row r="4722" spans="1:20" hidden="1" x14ac:dyDescent="0.35">
      <c r="A4722" s="11">
        <v>46280</v>
      </c>
      <c r="B4722" s="3">
        <v>2</v>
      </c>
      <c r="C4722" t="s">
        <v>108</v>
      </c>
      <c r="D4722" t="s">
        <v>18</v>
      </c>
      <c r="E4722" s="3">
        <v>10</v>
      </c>
      <c r="F4722" t="s">
        <v>19</v>
      </c>
      <c r="G4722" t="s">
        <v>52</v>
      </c>
      <c r="H4722" t="s">
        <v>27</v>
      </c>
      <c r="I4722" s="12">
        <v>0.4826388888888889</v>
      </c>
      <c r="J4722" t="s">
        <v>53</v>
      </c>
      <c r="K4722" t="s">
        <v>27</v>
      </c>
      <c r="L4722" s="12">
        <v>0.51041666666666663</v>
      </c>
      <c r="M4722" t="s">
        <v>23</v>
      </c>
      <c r="N4722" s="3">
        <v>186</v>
      </c>
      <c r="O4722" t="s">
        <v>24</v>
      </c>
      <c r="P4722" t="s">
        <v>25</v>
      </c>
      <c r="R4722">
        <f>tblDailySchedule[[#This Row],[Capacity Approx]]*'[1]Load Factor Sheet June Acft  '!$B$5</f>
        <v>150.61772727272728</v>
      </c>
      <c r="S4722">
        <f>tblDailySchedule[[#This Row],[Capacity Approx]]*'[1]Load Factor Sheet June Acft  '!$D$5</f>
        <v>163.08818181818182</v>
      </c>
      <c r="T4722" s="22">
        <f>tblDailySchedule[[#This Row],[STD]]</f>
        <v>0.51041666666666663</v>
      </c>
    </row>
    <row r="4723" spans="1:20" hidden="1" x14ac:dyDescent="0.35">
      <c r="A4723" s="11">
        <v>46280</v>
      </c>
      <c r="B4723" s="3">
        <v>2</v>
      </c>
      <c r="C4723" t="s">
        <v>108</v>
      </c>
      <c r="D4723" t="s">
        <v>18</v>
      </c>
      <c r="E4723" s="3">
        <v>11</v>
      </c>
      <c r="F4723" t="s">
        <v>19</v>
      </c>
      <c r="G4723" t="s">
        <v>54</v>
      </c>
      <c r="H4723" t="s">
        <v>31</v>
      </c>
      <c r="I4723" s="12">
        <v>0.51388888888888884</v>
      </c>
      <c r="J4723" t="s">
        <v>55</v>
      </c>
      <c r="K4723" t="s">
        <v>31</v>
      </c>
      <c r="L4723" s="12">
        <v>0.54166666666666663</v>
      </c>
      <c r="M4723" t="s">
        <v>23</v>
      </c>
      <c r="N4723" s="3">
        <v>186</v>
      </c>
      <c r="O4723" t="s">
        <v>24</v>
      </c>
      <c r="P4723" t="s">
        <v>56</v>
      </c>
      <c r="R4723">
        <f>tblDailySchedule[[#This Row],[Capacity Approx]]*'[1]Load Factor Sheet June Acft  '!$B$5</f>
        <v>150.61772727272728</v>
      </c>
      <c r="S4723">
        <f>tblDailySchedule[[#This Row],[Capacity Approx]]*'[1]Load Factor Sheet June Acft  '!$D$5</f>
        <v>163.08818181818182</v>
      </c>
      <c r="T4723" s="22">
        <f>tblDailySchedule[[#This Row],[STD]]</f>
        <v>0.54166666666666663</v>
      </c>
    </row>
    <row r="4724" spans="1:20" hidden="1" x14ac:dyDescent="0.35">
      <c r="A4724" s="11">
        <v>46280</v>
      </c>
      <c r="B4724" s="3">
        <v>2</v>
      </c>
      <c r="C4724" t="s">
        <v>108</v>
      </c>
      <c r="D4724" t="s">
        <v>18</v>
      </c>
      <c r="E4724" s="3">
        <v>12</v>
      </c>
      <c r="F4724" t="s">
        <v>109</v>
      </c>
      <c r="G4724" t="s">
        <v>110</v>
      </c>
      <c r="H4724" t="s">
        <v>111</v>
      </c>
      <c r="I4724" s="12">
        <v>0.55555555555555558</v>
      </c>
      <c r="J4724" t="s">
        <v>112</v>
      </c>
      <c r="K4724" t="s">
        <v>111</v>
      </c>
      <c r="L4724" s="12">
        <v>0.56944444444444442</v>
      </c>
      <c r="M4724" t="s">
        <v>51</v>
      </c>
      <c r="N4724" s="3">
        <v>78</v>
      </c>
      <c r="O4724" t="s">
        <v>24</v>
      </c>
      <c r="P4724" t="s">
        <v>56</v>
      </c>
      <c r="R4724">
        <f>tblDailySchedule[[#This Row],[Capacity Approx]]*'[1]Load Factor Sheet June Acft  '!$B$5</f>
        <v>63.162272727272729</v>
      </c>
      <c r="S4724">
        <f>tblDailySchedule[[#This Row],[Capacity Approx]]*'[1]Load Factor Sheet June Acft  '!$D$5</f>
        <v>68.391818181818181</v>
      </c>
      <c r="T4724" s="22">
        <f>tblDailySchedule[[#This Row],[STD]]</f>
        <v>0.56944444444444442</v>
      </c>
    </row>
    <row r="4725" spans="1:20" hidden="1" x14ac:dyDescent="0.35">
      <c r="A4725" s="11">
        <v>46280</v>
      </c>
      <c r="B4725" s="3">
        <v>2</v>
      </c>
      <c r="C4725" t="s">
        <v>108</v>
      </c>
      <c r="D4725" t="s">
        <v>18</v>
      </c>
      <c r="E4725" s="3">
        <v>13</v>
      </c>
      <c r="F4725" t="s">
        <v>19</v>
      </c>
      <c r="G4725" t="s">
        <v>57</v>
      </c>
      <c r="H4725" t="s">
        <v>58</v>
      </c>
      <c r="I4725" s="12">
        <v>0.55902777777777779</v>
      </c>
      <c r="J4725" t="s">
        <v>59</v>
      </c>
      <c r="K4725" t="s">
        <v>58</v>
      </c>
      <c r="L4725" s="12">
        <v>0.57638888888888884</v>
      </c>
      <c r="M4725" t="s">
        <v>51</v>
      </c>
      <c r="N4725" s="3">
        <v>78</v>
      </c>
      <c r="O4725" t="s">
        <v>24</v>
      </c>
      <c r="P4725" t="s">
        <v>56</v>
      </c>
      <c r="R4725">
        <f>tblDailySchedule[[#This Row],[Capacity Approx]]*'[1]Load Factor Sheet June Acft  '!$B$5</f>
        <v>63.162272727272729</v>
      </c>
      <c r="S4725">
        <f>tblDailySchedule[[#This Row],[Capacity Approx]]*'[1]Load Factor Sheet June Acft  '!$D$5</f>
        <v>68.391818181818181</v>
      </c>
      <c r="T4725" s="22">
        <f>tblDailySchedule[[#This Row],[STD]]</f>
        <v>0.57638888888888884</v>
      </c>
    </row>
    <row r="4726" spans="1:20" hidden="1" x14ac:dyDescent="0.35">
      <c r="A4726" s="11">
        <v>46280</v>
      </c>
      <c r="B4726" s="3">
        <v>2</v>
      </c>
      <c r="C4726" t="s">
        <v>108</v>
      </c>
      <c r="D4726" t="s">
        <v>18</v>
      </c>
      <c r="E4726" s="3">
        <v>14</v>
      </c>
      <c r="F4726" t="s">
        <v>19</v>
      </c>
      <c r="G4726" t="s">
        <v>60</v>
      </c>
      <c r="H4726" t="s">
        <v>61</v>
      </c>
      <c r="I4726" s="12">
        <v>0.59027777777777779</v>
      </c>
      <c r="J4726" t="s">
        <v>62</v>
      </c>
      <c r="K4726" t="s">
        <v>61</v>
      </c>
      <c r="L4726" s="12">
        <v>0.62152777777777779</v>
      </c>
      <c r="M4726" t="s">
        <v>63</v>
      </c>
      <c r="N4726" s="3">
        <v>232</v>
      </c>
      <c r="O4726" t="s">
        <v>24</v>
      </c>
      <c r="P4726" t="s">
        <v>56</v>
      </c>
      <c r="R4726">
        <f>tblDailySchedule[[#This Row],[Capacity Approx]]*'[1]Load Factor Sheet June Acft  '!$B$5</f>
        <v>187.86727272727273</v>
      </c>
      <c r="S4726">
        <f>tblDailySchedule[[#This Row],[Capacity Approx]]*'[1]Load Factor Sheet June Acft  '!$D$5</f>
        <v>203.4218181818182</v>
      </c>
      <c r="T4726" s="22">
        <f>tblDailySchedule[[#This Row],[STD]]</f>
        <v>0.62152777777777779</v>
      </c>
    </row>
    <row r="4727" spans="1:20" hidden="1" x14ac:dyDescent="0.35">
      <c r="A4727" s="11">
        <v>46280</v>
      </c>
      <c r="B4727" s="3">
        <v>2</v>
      </c>
      <c r="C4727" t="s">
        <v>108</v>
      </c>
      <c r="D4727" t="s">
        <v>18</v>
      </c>
      <c r="E4727" s="3">
        <v>15</v>
      </c>
      <c r="F4727" t="s">
        <v>19</v>
      </c>
      <c r="G4727" t="s">
        <v>64</v>
      </c>
      <c r="H4727" t="s">
        <v>31</v>
      </c>
      <c r="I4727" s="12">
        <v>0.60069444444444442</v>
      </c>
      <c r="J4727" t="s">
        <v>65</v>
      </c>
      <c r="K4727" t="s">
        <v>66</v>
      </c>
      <c r="L4727" s="12">
        <v>0.62847222222222221</v>
      </c>
      <c r="M4727" t="s">
        <v>63</v>
      </c>
      <c r="N4727" s="3">
        <v>232</v>
      </c>
      <c r="O4727" t="s">
        <v>24</v>
      </c>
      <c r="P4727" t="s">
        <v>56</v>
      </c>
      <c r="R4727">
        <f>tblDailySchedule[[#This Row],[Capacity Approx]]*'[1]Load Factor Sheet June Acft  '!$B$5</f>
        <v>187.86727272727273</v>
      </c>
      <c r="S4727">
        <f>tblDailySchedule[[#This Row],[Capacity Approx]]*'[1]Load Factor Sheet June Acft  '!$D$5</f>
        <v>203.4218181818182</v>
      </c>
      <c r="T4727" s="22">
        <f>tblDailySchedule[[#This Row],[STD]]</f>
        <v>0.62847222222222221</v>
      </c>
    </row>
    <row r="4728" spans="1:20" hidden="1" x14ac:dyDescent="0.35">
      <c r="A4728" s="11">
        <v>46280</v>
      </c>
      <c r="B4728" s="3">
        <v>2</v>
      </c>
      <c r="C4728" t="s">
        <v>108</v>
      </c>
      <c r="D4728" t="s">
        <v>18</v>
      </c>
      <c r="E4728" s="3">
        <v>16</v>
      </c>
      <c r="F4728" t="s">
        <v>19</v>
      </c>
      <c r="G4728" t="s">
        <v>67</v>
      </c>
      <c r="H4728" t="s">
        <v>31</v>
      </c>
      <c r="I4728" s="12">
        <v>0.65625</v>
      </c>
      <c r="J4728" t="s">
        <v>68</v>
      </c>
      <c r="K4728" t="s">
        <v>31</v>
      </c>
      <c r="L4728" s="12">
        <v>0.68402777777777779</v>
      </c>
      <c r="M4728" t="s">
        <v>63</v>
      </c>
      <c r="N4728" s="3">
        <v>232</v>
      </c>
      <c r="O4728" t="s">
        <v>24</v>
      </c>
      <c r="P4728" t="s">
        <v>56</v>
      </c>
      <c r="R4728">
        <f>tblDailySchedule[[#This Row],[Capacity Approx]]*'[1]Load Factor Sheet June Acft  '!$B$5</f>
        <v>187.86727272727273</v>
      </c>
      <c r="S4728">
        <f>tblDailySchedule[[#This Row],[Capacity Approx]]*'[1]Load Factor Sheet June Acft  '!$D$5</f>
        <v>203.4218181818182</v>
      </c>
      <c r="T4728" s="22">
        <f>tblDailySchedule[[#This Row],[STD]]</f>
        <v>0.68402777777777779</v>
      </c>
    </row>
    <row r="4729" spans="1:20" hidden="1" x14ac:dyDescent="0.35">
      <c r="A4729" s="11">
        <v>46280</v>
      </c>
      <c r="B4729" s="3">
        <v>2</v>
      </c>
      <c r="C4729" t="s">
        <v>108</v>
      </c>
      <c r="D4729" t="s">
        <v>18</v>
      </c>
      <c r="E4729" s="3">
        <v>17</v>
      </c>
      <c r="F4729" t="s">
        <v>19</v>
      </c>
      <c r="G4729" t="s">
        <v>69</v>
      </c>
      <c r="H4729" t="s">
        <v>31</v>
      </c>
      <c r="I4729" s="12">
        <v>0.66319444444444442</v>
      </c>
      <c r="J4729" t="s">
        <v>70</v>
      </c>
      <c r="K4729" t="s">
        <v>31</v>
      </c>
      <c r="L4729" s="12">
        <v>0.69097222222222221</v>
      </c>
      <c r="M4729" t="s">
        <v>33</v>
      </c>
      <c r="N4729" s="3">
        <v>189</v>
      </c>
      <c r="O4729" t="s">
        <v>24</v>
      </c>
      <c r="P4729" t="s">
        <v>56</v>
      </c>
      <c r="R4729">
        <f>tblDailySchedule[[#This Row],[Capacity Approx]]*'[1]Load Factor Sheet June Acft  '!$B$5</f>
        <v>153.04704545454547</v>
      </c>
      <c r="S4729">
        <f>tblDailySchedule[[#This Row],[Capacity Approx]]*'[1]Load Factor Sheet June Acft  '!$D$5</f>
        <v>165.71863636363636</v>
      </c>
      <c r="T4729" s="22">
        <f>tblDailySchedule[[#This Row],[STD]]</f>
        <v>0.69097222222222221</v>
      </c>
    </row>
    <row r="4730" spans="1:20" hidden="1" x14ac:dyDescent="0.35">
      <c r="A4730" s="11">
        <v>46280</v>
      </c>
      <c r="B4730" s="3">
        <v>2</v>
      </c>
      <c r="C4730" t="s">
        <v>108</v>
      </c>
      <c r="D4730" t="s">
        <v>18</v>
      </c>
      <c r="E4730" s="3">
        <v>18</v>
      </c>
      <c r="F4730" t="s">
        <v>19</v>
      </c>
      <c r="G4730" t="s">
        <v>71</v>
      </c>
      <c r="H4730" t="s">
        <v>21</v>
      </c>
      <c r="I4730" s="12">
        <v>0.67013888888888884</v>
      </c>
      <c r="J4730" t="s">
        <v>72</v>
      </c>
      <c r="K4730" t="s">
        <v>21</v>
      </c>
      <c r="L4730" s="12">
        <v>0.69791666666666663</v>
      </c>
      <c r="M4730" t="s">
        <v>63</v>
      </c>
      <c r="N4730" s="3">
        <v>232</v>
      </c>
      <c r="O4730" t="s">
        <v>24</v>
      </c>
      <c r="P4730" t="s">
        <v>56</v>
      </c>
      <c r="R4730">
        <f>tblDailySchedule[[#This Row],[Capacity Approx]]*'[1]Load Factor Sheet June Acft  '!$B$5</f>
        <v>187.86727272727273</v>
      </c>
      <c r="S4730">
        <f>tblDailySchedule[[#This Row],[Capacity Approx]]*'[1]Load Factor Sheet June Acft  '!$D$5</f>
        <v>203.4218181818182</v>
      </c>
      <c r="T4730" s="22">
        <f>tblDailySchedule[[#This Row],[STD]]</f>
        <v>0.69791666666666663</v>
      </c>
    </row>
    <row r="4731" spans="1:20" hidden="1" x14ac:dyDescent="0.35">
      <c r="A4731" s="11">
        <v>46280</v>
      </c>
      <c r="B4731" s="3">
        <v>2</v>
      </c>
      <c r="C4731" t="s">
        <v>108</v>
      </c>
      <c r="D4731" t="s">
        <v>18</v>
      </c>
      <c r="E4731" s="3">
        <v>19</v>
      </c>
      <c r="F4731" t="s">
        <v>19</v>
      </c>
      <c r="G4731" t="s">
        <v>73</v>
      </c>
      <c r="H4731" t="s">
        <v>27</v>
      </c>
      <c r="I4731" s="12">
        <v>0.74652777777777779</v>
      </c>
      <c r="J4731" t="s">
        <v>74</v>
      </c>
      <c r="K4731" t="s">
        <v>27</v>
      </c>
      <c r="L4731" s="12">
        <v>0.77430555555555558</v>
      </c>
      <c r="M4731" t="s">
        <v>63</v>
      </c>
      <c r="N4731" s="3">
        <v>232</v>
      </c>
      <c r="O4731" t="s">
        <v>24</v>
      </c>
      <c r="P4731" t="s">
        <v>56</v>
      </c>
      <c r="R4731">
        <f>tblDailySchedule[[#This Row],[Capacity Approx]]*'[1]Load Factor Sheet June Acft  '!$B$5</f>
        <v>187.86727272727273</v>
      </c>
      <c r="S4731">
        <f>tblDailySchedule[[#This Row],[Capacity Approx]]*'[1]Load Factor Sheet June Acft  '!$D$5</f>
        <v>203.4218181818182</v>
      </c>
      <c r="T4731" s="22">
        <f>tblDailySchedule[[#This Row],[STD]]</f>
        <v>0.77430555555555558</v>
      </c>
    </row>
    <row r="4732" spans="1:20" hidden="1" x14ac:dyDescent="0.35">
      <c r="A4732" s="11">
        <v>46280</v>
      </c>
      <c r="B4732" s="3">
        <v>2</v>
      </c>
      <c r="C4732" t="s">
        <v>108</v>
      </c>
      <c r="D4732" t="s">
        <v>18</v>
      </c>
      <c r="E4732" s="3">
        <v>21</v>
      </c>
      <c r="F4732" t="s">
        <v>19</v>
      </c>
      <c r="G4732" t="s">
        <v>81</v>
      </c>
      <c r="H4732" t="s">
        <v>61</v>
      </c>
      <c r="I4732" s="12">
        <v>0.77083333333333337</v>
      </c>
      <c r="J4732" t="s">
        <v>82</v>
      </c>
      <c r="K4732" t="s">
        <v>49</v>
      </c>
      <c r="L4732" s="12">
        <v>0.79166666666666663</v>
      </c>
      <c r="M4732" t="s">
        <v>33</v>
      </c>
      <c r="N4732" s="3">
        <v>189</v>
      </c>
      <c r="O4732" t="s">
        <v>24</v>
      </c>
      <c r="P4732" t="s">
        <v>79</v>
      </c>
      <c r="R4732">
        <f>tblDailySchedule[[#This Row],[Capacity Approx]]*'[1]Load Factor Sheet June Acft  '!$B$5</f>
        <v>153.04704545454547</v>
      </c>
      <c r="S4732">
        <f>tblDailySchedule[[#This Row],[Capacity Approx]]*'[1]Load Factor Sheet June Acft  '!$D$5</f>
        <v>165.71863636363636</v>
      </c>
      <c r="T4732" s="22">
        <f>tblDailySchedule[[#This Row],[STD]]</f>
        <v>0.79166666666666663</v>
      </c>
    </row>
    <row r="4733" spans="1:20" hidden="1" x14ac:dyDescent="0.35">
      <c r="A4733" s="11">
        <v>46280</v>
      </c>
      <c r="B4733" s="3">
        <v>2</v>
      </c>
      <c r="C4733" t="s">
        <v>108</v>
      </c>
      <c r="D4733" t="s">
        <v>18</v>
      </c>
      <c r="E4733" s="3">
        <v>22</v>
      </c>
      <c r="F4733" t="s">
        <v>19</v>
      </c>
      <c r="G4733" t="s">
        <v>83</v>
      </c>
      <c r="H4733" t="s">
        <v>31</v>
      </c>
      <c r="I4733" s="12">
        <v>0.77777777777777779</v>
      </c>
      <c r="J4733" t="s">
        <v>84</v>
      </c>
      <c r="K4733" t="s">
        <v>31</v>
      </c>
      <c r="L4733" s="12">
        <v>0.80555555555555558</v>
      </c>
      <c r="M4733" t="s">
        <v>63</v>
      </c>
      <c r="N4733" s="3">
        <v>232</v>
      </c>
      <c r="O4733" t="s">
        <v>24</v>
      </c>
      <c r="P4733" t="s">
        <v>79</v>
      </c>
      <c r="R4733">
        <f>tblDailySchedule[[#This Row],[Capacity Approx]]*'[1]Load Factor Sheet June Acft  '!$B$5</f>
        <v>187.86727272727273</v>
      </c>
      <c r="S4733">
        <f>tblDailySchedule[[#This Row],[Capacity Approx]]*'[1]Load Factor Sheet June Acft  '!$D$5</f>
        <v>203.4218181818182</v>
      </c>
      <c r="T4733" s="22">
        <f>tblDailySchedule[[#This Row],[STD]]</f>
        <v>0.80555555555555558</v>
      </c>
    </row>
    <row r="4734" spans="1:20" hidden="1" x14ac:dyDescent="0.35">
      <c r="A4734" s="11">
        <v>46280</v>
      </c>
      <c r="B4734" s="3">
        <v>2</v>
      </c>
      <c r="C4734" t="s">
        <v>108</v>
      </c>
      <c r="D4734" t="s">
        <v>18</v>
      </c>
      <c r="E4734" s="3">
        <v>23</v>
      </c>
      <c r="F4734" t="s">
        <v>19</v>
      </c>
      <c r="G4734" t="s">
        <v>85</v>
      </c>
      <c r="H4734" t="s">
        <v>86</v>
      </c>
      <c r="I4734" s="12">
        <v>0.79861111111111116</v>
      </c>
      <c r="J4734" t="s">
        <v>87</v>
      </c>
      <c r="K4734" t="s">
        <v>86</v>
      </c>
      <c r="L4734" s="12">
        <v>0.82638888888888884</v>
      </c>
      <c r="M4734" t="s">
        <v>63</v>
      </c>
      <c r="N4734" s="3">
        <v>232</v>
      </c>
      <c r="O4734" t="s">
        <v>24</v>
      </c>
      <c r="P4734" t="s">
        <v>79</v>
      </c>
      <c r="R4734">
        <f>tblDailySchedule[[#This Row],[Capacity Approx]]*'[1]Load Factor Sheet June Acft  '!$B$5</f>
        <v>187.86727272727273</v>
      </c>
      <c r="S4734">
        <f>tblDailySchedule[[#This Row],[Capacity Approx]]*'[1]Load Factor Sheet June Acft  '!$D$5</f>
        <v>203.4218181818182</v>
      </c>
      <c r="T4734" s="22">
        <f>tblDailySchedule[[#This Row],[STD]]</f>
        <v>0.82638888888888884</v>
      </c>
    </row>
    <row r="4735" spans="1:20" hidden="1" x14ac:dyDescent="0.35">
      <c r="A4735" s="11">
        <v>46280</v>
      </c>
      <c r="B4735" s="3">
        <v>2</v>
      </c>
      <c r="C4735" t="s">
        <v>108</v>
      </c>
      <c r="D4735" t="s">
        <v>18</v>
      </c>
      <c r="E4735" s="3">
        <v>24</v>
      </c>
      <c r="F4735" t="s">
        <v>19</v>
      </c>
      <c r="G4735" t="s">
        <v>88</v>
      </c>
      <c r="H4735" t="s">
        <v>89</v>
      </c>
      <c r="I4735" s="12">
        <v>0.83333333333333337</v>
      </c>
      <c r="J4735" t="s">
        <v>90</v>
      </c>
      <c r="K4735" t="s">
        <v>31</v>
      </c>
      <c r="L4735" s="12">
        <v>0.86111111111111116</v>
      </c>
      <c r="M4735" t="s">
        <v>63</v>
      </c>
      <c r="N4735" s="3">
        <v>232</v>
      </c>
      <c r="O4735" t="s">
        <v>24</v>
      </c>
      <c r="P4735" t="s">
        <v>79</v>
      </c>
      <c r="R4735">
        <f>tblDailySchedule[[#This Row],[Capacity Approx]]*'[1]Load Factor Sheet June Acft  '!$B$5</f>
        <v>187.86727272727273</v>
      </c>
      <c r="S4735">
        <f>tblDailySchedule[[#This Row],[Capacity Approx]]*'[1]Load Factor Sheet June Acft  '!$D$5</f>
        <v>203.4218181818182</v>
      </c>
      <c r="T4735" s="22">
        <f>tblDailySchedule[[#This Row],[STD]]</f>
        <v>0.86111111111111116</v>
      </c>
    </row>
    <row r="4736" spans="1:20" hidden="1" x14ac:dyDescent="0.35">
      <c r="A4736" s="11">
        <v>46280</v>
      </c>
      <c r="B4736" s="3">
        <v>2</v>
      </c>
      <c r="C4736" t="s">
        <v>108</v>
      </c>
      <c r="D4736" t="s">
        <v>18</v>
      </c>
      <c r="E4736" s="3">
        <v>25</v>
      </c>
      <c r="F4736" t="s">
        <v>19</v>
      </c>
      <c r="G4736" t="s">
        <v>91</v>
      </c>
      <c r="H4736" t="s">
        <v>61</v>
      </c>
      <c r="I4736" s="12">
        <v>0.85416666666666663</v>
      </c>
      <c r="J4736" t="s">
        <v>92</v>
      </c>
      <c r="K4736" t="s">
        <v>61</v>
      </c>
      <c r="L4736" s="12">
        <v>0.88194444444444442</v>
      </c>
      <c r="M4736" t="s">
        <v>63</v>
      </c>
      <c r="N4736" s="3">
        <v>232</v>
      </c>
      <c r="O4736" t="s">
        <v>24</v>
      </c>
      <c r="P4736" t="s">
        <v>79</v>
      </c>
      <c r="R4736">
        <f>tblDailySchedule[[#This Row],[Capacity Approx]]*'[1]Load Factor Sheet June Acft  '!$B$5</f>
        <v>187.86727272727273</v>
      </c>
      <c r="S4736">
        <f>tblDailySchedule[[#This Row],[Capacity Approx]]*'[1]Load Factor Sheet June Acft  '!$D$5</f>
        <v>203.4218181818182</v>
      </c>
      <c r="T4736" s="22">
        <f>tblDailySchedule[[#This Row],[STD]]</f>
        <v>0.88194444444444442</v>
      </c>
    </row>
    <row r="4737" spans="1:20" hidden="1" x14ac:dyDescent="0.35">
      <c r="A4737" s="11">
        <v>46280</v>
      </c>
      <c r="B4737" s="3">
        <v>2</v>
      </c>
      <c r="C4737" t="s">
        <v>108</v>
      </c>
      <c r="D4737" t="s">
        <v>18</v>
      </c>
      <c r="E4737" s="3">
        <v>26</v>
      </c>
      <c r="F4737" t="s">
        <v>19</v>
      </c>
      <c r="G4737" t="s">
        <v>93</v>
      </c>
      <c r="H4737" t="s">
        <v>31</v>
      </c>
      <c r="I4737" s="12">
        <v>0.86111111111111116</v>
      </c>
      <c r="J4737" t="s">
        <v>94</v>
      </c>
      <c r="K4737" t="s">
        <v>31</v>
      </c>
      <c r="L4737" s="12">
        <v>0.88888888888888884</v>
      </c>
      <c r="M4737" t="s">
        <v>23</v>
      </c>
      <c r="N4737" s="3">
        <v>186</v>
      </c>
      <c r="O4737" t="s">
        <v>24</v>
      </c>
      <c r="P4737" t="s">
        <v>79</v>
      </c>
      <c r="R4737">
        <f>tblDailySchedule[[#This Row],[Capacity Approx]]*'[1]Load Factor Sheet June Acft  '!$B$5</f>
        <v>150.61772727272728</v>
      </c>
      <c r="S4737">
        <f>tblDailySchedule[[#This Row],[Capacity Approx]]*'[1]Load Factor Sheet June Acft  '!$D$5</f>
        <v>163.08818181818182</v>
      </c>
      <c r="T4737" s="22">
        <f>tblDailySchedule[[#This Row],[STD]]</f>
        <v>0.88888888888888884</v>
      </c>
    </row>
    <row r="4738" spans="1:20" hidden="1" x14ac:dyDescent="0.35">
      <c r="A4738" s="11">
        <v>46280</v>
      </c>
      <c r="B4738" s="3">
        <v>2</v>
      </c>
      <c r="C4738" t="s">
        <v>108</v>
      </c>
      <c r="D4738" t="s">
        <v>18</v>
      </c>
      <c r="E4738" s="3">
        <v>27</v>
      </c>
      <c r="F4738" t="s">
        <v>19</v>
      </c>
      <c r="G4738" t="s">
        <v>95</v>
      </c>
      <c r="H4738" t="s">
        <v>21</v>
      </c>
      <c r="I4738" s="12">
        <v>0.86805555555555558</v>
      </c>
      <c r="J4738" t="s">
        <v>96</v>
      </c>
      <c r="K4738" t="s">
        <v>21</v>
      </c>
      <c r="L4738" s="12">
        <v>0.89583333333333337</v>
      </c>
      <c r="M4738" t="s">
        <v>29</v>
      </c>
      <c r="N4738" s="3">
        <v>186</v>
      </c>
      <c r="O4738" t="s">
        <v>24</v>
      </c>
      <c r="P4738" t="s">
        <v>79</v>
      </c>
      <c r="R4738">
        <f>tblDailySchedule[[#This Row],[Capacity Approx]]*'[1]Load Factor Sheet June Acft  '!$B$5</f>
        <v>150.61772727272728</v>
      </c>
      <c r="S4738">
        <f>tblDailySchedule[[#This Row],[Capacity Approx]]*'[1]Load Factor Sheet June Acft  '!$D$5</f>
        <v>163.08818181818182</v>
      </c>
      <c r="T4738" s="22">
        <f>tblDailySchedule[[#This Row],[STD]]</f>
        <v>0.89583333333333337</v>
      </c>
    </row>
    <row r="4739" spans="1:20" hidden="1" x14ac:dyDescent="0.35">
      <c r="A4739" s="11">
        <v>46280</v>
      </c>
      <c r="B4739" s="3">
        <v>2</v>
      </c>
      <c r="C4739" t="s">
        <v>108</v>
      </c>
      <c r="D4739" t="s">
        <v>18</v>
      </c>
      <c r="E4739" s="3">
        <v>28</v>
      </c>
      <c r="F4739" t="s">
        <v>19</v>
      </c>
      <c r="G4739" t="s">
        <v>97</v>
      </c>
      <c r="H4739" t="s">
        <v>49</v>
      </c>
      <c r="I4739" s="12">
        <v>0.90277777777777779</v>
      </c>
      <c r="J4739" t="s">
        <v>97</v>
      </c>
      <c r="K4739" t="s">
        <v>61</v>
      </c>
      <c r="L4739" s="12">
        <v>0.92361111111111116</v>
      </c>
      <c r="M4739" t="s">
        <v>33</v>
      </c>
      <c r="N4739" s="3">
        <v>189</v>
      </c>
      <c r="O4739" t="s">
        <v>24</v>
      </c>
      <c r="P4739" t="s">
        <v>79</v>
      </c>
      <c r="R4739">
        <f>tblDailySchedule[[#This Row],[Capacity Approx]]*'[1]Load Factor Sheet June Acft  '!$B$5</f>
        <v>153.04704545454547</v>
      </c>
      <c r="S4739">
        <f>tblDailySchedule[[#This Row],[Capacity Approx]]*'[1]Load Factor Sheet June Acft  '!$D$5</f>
        <v>165.71863636363636</v>
      </c>
      <c r="T4739" s="22">
        <f>tblDailySchedule[[#This Row],[STD]]</f>
        <v>0.92361111111111116</v>
      </c>
    </row>
    <row r="4740" spans="1:20" hidden="1" x14ac:dyDescent="0.35">
      <c r="A4740" s="11">
        <v>46280</v>
      </c>
      <c r="B4740" s="3">
        <v>2</v>
      </c>
      <c r="C4740" t="s">
        <v>108</v>
      </c>
      <c r="D4740" t="s">
        <v>18</v>
      </c>
      <c r="E4740" s="3">
        <v>29</v>
      </c>
      <c r="F4740" t="s">
        <v>19</v>
      </c>
      <c r="G4740" t="s">
        <v>98</v>
      </c>
      <c r="H4740" t="s">
        <v>21</v>
      </c>
      <c r="I4740" s="12">
        <v>0.92013888888888884</v>
      </c>
      <c r="J4740" t="s">
        <v>99</v>
      </c>
      <c r="K4740" t="s">
        <v>21</v>
      </c>
      <c r="L4740" s="12">
        <v>0.94791666666666663</v>
      </c>
      <c r="M4740" t="s">
        <v>63</v>
      </c>
      <c r="N4740" s="3">
        <v>232</v>
      </c>
      <c r="O4740" t="s">
        <v>24</v>
      </c>
      <c r="P4740" t="s">
        <v>79</v>
      </c>
      <c r="R4740">
        <f>tblDailySchedule[[#This Row],[Capacity Approx]]*'[1]Load Factor Sheet June Acft  '!$B$5</f>
        <v>187.86727272727273</v>
      </c>
      <c r="S4740">
        <f>tblDailySchedule[[#This Row],[Capacity Approx]]*'[1]Load Factor Sheet June Acft  '!$D$5</f>
        <v>203.4218181818182</v>
      </c>
      <c r="T4740" s="22">
        <f>tblDailySchedule[[#This Row],[STD]]</f>
        <v>0.94791666666666663</v>
      </c>
    </row>
    <row r="4741" spans="1:20" hidden="1" x14ac:dyDescent="0.35">
      <c r="A4741" s="11">
        <v>46281</v>
      </c>
      <c r="B4741" s="3">
        <v>3</v>
      </c>
      <c r="C4741" t="s">
        <v>113</v>
      </c>
      <c r="D4741" t="s">
        <v>18</v>
      </c>
      <c r="E4741" s="3">
        <v>2</v>
      </c>
      <c r="F4741" t="s">
        <v>19</v>
      </c>
      <c r="G4741" t="s">
        <v>20</v>
      </c>
      <c r="H4741" t="s">
        <v>21</v>
      </c>
      <c r="I4741" s="12">
        <v>0.31944444444444442</v>
      </c>
      <c r="J4741" t="s">
        <v>22</v>
      </c>
      <c r="K4741" t="s">
        <v>21</v>
      </c>
      <c r="L4741" s="12">
        <v>0.34722222222222221</v>
      </c>
      <c r="M4741" t="s">
        <v>23</v>
      </c>
      <c r="N4741" s="3">
        <v>186</v>
      </c>
      <c r="O4741" t="s">
        <v>24</v>
      </c>
      <c r="P4741" t="s">
        <v>25</v>
      </c>
      <c r="R4741">
        <f>tblDailySchedule[[#This Row],[Capacity Approx]]*'[1]Load Factor Sheet June Acft  '!$B$5</f>
        <v>150.61772727272728</v>
      </c>
      <c r="S4741">
        <f>tblDailySchedule[[#This Row],[Capacity Approx]]*'[1]Load Factor Sheet June Acft  '!$D$5</f>
        <v>163.08818181818182</v>
      </c>
      <c r="T4741" s="22">
        <f>tblDailySchedule[[#This Row],[STD]]</f>
        <v>0.34722222222222221</v>
      </c>
    </row>
    <row r="4742" spans="1:20" hidden="1" x14ac:dyDescent="0.35">
      <c r="A4742" s="11">
        <v>46281</v>
      </c>
      <c r="B4742" s="3">
        <v>3</v>
      </c>
      <c r="C4742" t="s">
        <v>113</v>
      </c>
      <c r="D4742" t="s">
        <v>18</v>
      </c>
      <c r="E4742" s="3">
        <v>3</v>
      </c>
      <c r="F4742" t="s">
        <v>19</v>
      </c>
      <c r="G4742" t="s">
        <v>26</v>
      </c>
      <c r="H4742" t="s">
        <v>27</v>
      </c>
      <c r="I4742" s="12">
        <v>0.3263888888888889</v>
      </c>
      <c r="J4742" t="s">
        <v>28</v>
      </c>
      <c r="K4742" t="s">
        <v>27</v>
      </c>
      <c r="L4742" s="12">
        <v>0.35416666666666669</v>
      </c>
      <c r="M4742" t="s">
        <v>29</v>
      </c>
      <c r="N4742" s="3">
        <v>186</v>
      </c>
      <c r="O4742" t="s">
        <v>24</v>
      </c>
      <c r="P4742" t="s">
        <v>25</v>
      </c>
      <c r="R4742">
        <f>tblDailySchedule[[#This Row],[Capacity Approx]]*'[1]Load Factor Sheet June Acft  '!$B$5</f>
        <v>150.61772727272728</v>
      </c>
      <c r="S4742">
        <f>tblDailySchedule[[#This Row],[Capacity Approx]]*'[1]Load Factor Sheet June Acft  '!$D$5</f>
        <v>163.08818181818182</v>
      </c>
      <c r="T4742" s="22">
        <f>tblDailySchedule[[#This Row],[STD]]</f>
        <v>0.35416666666666669</v>
      </c>
    </row>
    <row r="4743" spans="1:20" hidden="1" x14ac:dyDescent="0.35">
      <c r="A4743" s="11">
        <v>46281</v>
      </c>
      <c r="B4743" s="3">
        <v>3</v>
      </c>
      <c r="C4743" t="s">
        <v>113</v>
      </c>
      <c r="D4743" t="s">
        <v>18</v>
      </c>
      <c r="E4743" s="3">
        <v>4</v>
      </c>
      <c r="F4743" t="s">
        <v>19</v>
      </c>
      <c r="G4743" t="s">
        <v>30</v>
      </c>
      <c r="H4743" t="s">
        <v>31</v>
      </c>
      <c r="I4743" s="12">
        <v>0.34722222222222221</v>
      </c>
      <c r="J4743" t="s">
        <v>32</v>
      </c>
      <c r="K4743" t="s">
        <v>31</v>
      </c>
      <c r="L4743" s="12">
        <v>0.36805555555555558</v>
      </c>
      <c r="M4743" t="s">
        <v>33</v>
      </c>
      <c r="N4743" s="3">
        <v>189</v>
      </c>
      <c r="O4743" t="s">
        <v>24</v>
      </c>
      <c r="P4743" t="s">
        <v>25</v>
      </c>
      <c r="R4743">
        <f>tblDailySchedule[[#This Row],[Capacity Approx]]*'[1]Load Factor Sheet June Acft  '!$B$5</f>
        <v>153.04704545454547</v>
      </c>
      <c r="S4743">
        <f>tblDailySchedule[[#This Row],[Capacity Approx]]*'[1]Load Factor Sheet June Acft  '!$D$5</f>
        <v>165.71863636363636</v>
      </c>
      <c r="T4743" s="22">
        <f>tblDailySchedule[[#This Row],[STD]]</f>
        <v>0.36805555555555558</v>
      </c>
    </row>
    <row r="4744" spans="1:20" hidden="1" x14ac:dyDescent="0.35">
      <c r="A4744" s="13">
        <v>46281</v>
      </c>
      <c r="B4744" s="7">
        <v>3</v>
      </c>
      <c r="C4744" s="14" t="s">
        <v>113</v>
      </c>
      <c r="D4744" s="14" t="s">
        <v>18</v>
      </c>
      <c r="E4744" s="7">
        <v>6</v>
      </c>
      <c r="F4744" s="14" t="s">
        <v>34</v>
      </c>
      <c r="G4744" s="14" t="s">
        <v>35</v>
      </c>
      <c r="H4744" s="14" t="s">
        <v>36</v>
      </c>
      <c r="I4744" s="15">
        <v>0.34722222222222221</v>
      </c>
      <c r="J4744" s="14" t="s">
        <v>37</v>
      </c>
      <c r="K4744" s="14" t="s">
        <v>36</v>
      </c>
      <c r="L4744" s="15">
        <v>0.40972222222222221</v>
      </c>
      <c r="M4744" s="14" t="s">
        <v>38</v>
      </c>
      <c r="N4744" s="7">
        <v>186</v>
      </c>
      <c r="O4744" s="14" t="s">
        <v>39</v>
      </c>
      <c r="P4744" s="14" t="s">
        <v>25</v>
      </c>
      <c r="Q4744" s="14" t="s">
        <v>39</v>
      </c>
      <c r="R4744">
        <f>tblDailySchedule[[#This Row],[Capacity Approx]]*'[1]Load Factor Sheet June Acft  '!$B$5</f>
        <v>150.61772727272728</v>
      </c>
      <c r="S4744">
        <f>tblDailySchedule[[#This Row],[Capacity Approx]]*'[1]Load Factor Sheet June Acft  '!$D$5</f>
        <v>163.08818181818182</v>
      </c>
      <c r="T4744" s="22">
        <f>tblDailySchedule[[#This Row],[STD]]</f>
        <v>0.40972222222222221</v>
      </c>
    </row>
    <row r="4745" spans="1:20" hidden="1" x14ac:dyDescent="0.35">
      <c r="A4745" s="11">
        <v>46281</v>
      </c>
      <c r="B4745" s="3">
        <v>3</v>
      </c>
      <c r="C4745" t="s">
        <v>113</v>
      </c>
      <c r="D4745" t="s">
        <v>18</v>
      </c>
      <c r="E4745" s="3">
        <v>5</v>
      </c>
      <c r="F4745" t="s">
        <v>19</v>
      </c>
      <c r="G4745" t="s">
        <v>40</v>
      </c>
      <c r="H4745" t="s">
        <v>31</v>
      </c>
      <c r="I4745" s="12">
        <v>0.35069444444444442</v>
      </c>
      <c r="J4745" t="s">
        <v>41</v>
      </c>
      <c r="K4745" t="s">
        <v>31</v>
      </c>
      <c r="L4745" s="12">
        <v>0.37152777777777779</v>
      </c>
      <c r="M4745" t="s">
        <v>23</v>
      </c>
      <c r="N4745" s="3">
        <v>186</v>
      </c>
      <c r="O4745" t="s">
        <v>24</v>
      </c>
      <c r="P4745" t="s">
        <v>25</v>
      </c>
      <c r="R4745">
        <f>tblDailySchedule[[#This Row],[Capacity Approx]]*'[1]Load Factor Sheet June Acft  '!$B$5</f>
        <v>150.61772727272728</v>
      </c>
      <c r="S4745">
        <f>tblDailySchedule[[#This Row],[Capacity Approx]]*'[1]Load Factor Sheet June Acft  '!$D$5</f>
        <v>163.08818181818182</v>
      </c>
      <c r="T4745" s="22">
        <f>tblDailySchedule[[#This Row],[STD]]</f>
        <v>0.37152777777777779</v>
      </c>
    </row>
    <row r="4746" spans="1:20" hidden="1" x14ac:dyDescent="0.35">
      <c r="A4746" s="11">
        <v>46281</v>
      </c>
      <c r="B4746" s="3">
        <v>3</v>
      </c>
      <c r="C4746" t="s">
        <v>113</v>
      </c>
      <c r="D4746" t="s">
        <v>18</v>
      </c>
      <c r="E4746" s="3">
        <v>7</v>
      </c>
      <c r="F4746" t="s">
        <v>19</v>
      </c>
      <c r="G4746" t="s">
        <v>42</v>
      </c>
      <c r="H4746" t="s">
        <v>43</v>
      </c>
      <c r="I4746" s="12">
        <v>0.3923611111111111</v>
      </c>
      <c r="J4746" t="s">
        <v>44</v>
      </c>
      <c r="K4746" t="s">
        <v>43</v>
      </c>
      <c r="L4746" s="12">
        <v>0.40277777777777779</v>
      </c>
      <c r="M4746" t="s">
        <v>45</v>
      </c>
      <c r="N4746" s="3">
        <v>9</v>
      </c>
      <c r="O4746" t="s">
        <v>24</v>
      </c>
      <c r="P4746" t="s">
        <v>25</v>
      </c>
      <c r="R4746">
        <f>tblDailySchedule[[#This Row],[Capacity Approx]]*'[1]Load Factor Sheet June Acft  '!$B$5</f>
        <v>7.2879545454545456</v>
      </c>
      <c r="S4746">
        <f>tblDailySchedule[[#This Row],[Capacity Approx]]*'[1]Load Factor Sheet June Acft  '!$D$5</f>
        <v>7.8913636363636366</v>
      </c>
      <c r="T4746" s="22">
        <f>tblDailySchedule[[#This Row],[STD]]</f>
        <v>0.40277777777777779</v>
      </c>
    </row>
    <row r="4747" spans="1:20" hidden="1" x14ac:dyDescent="0.35">
      <c r="A4747" s="11">
        <v>46281</v>
      </c>
      <c r="B4747" s="3">
        <v>3</v>
      </c>
      <c r="C4747" t="s">
        <v>113</v>
      </c>
      <c r="D4747" t="s">
        <v>18</v>
      </c>
      <c r="E4747" s="3">
        <v>8</v>
      </c>
      <c r="F4747" t="s">
        <v>19</v>
      </c>
      <c r="G4747" t="s">
        <v>46</v>
      </c>
      <c r="H4747" t="s">
        <v>31</v>
      </c>
      <c r="I4747" s="12">
        <v>0.4201388888888889</v>
      </c>
      <c r="J4747" t="s">
        <v>47</v>
      </c>
      <c r="K4747" t="s">
        <v>31</v>
      </c>
      <c r="L4747" s="12">
        <v>0.44444444444444442</v>
      </c>
      <c r="M4747" t="s">
        <v>29</v>
      </c>
      <c r="N4747" s="3">
        <v>186</v>
      </c>
      <c r="O4747" t="s">
        <v>24</v>
      </c>
      <c r="P4747" t="s">
        <v>25</v>
      </c>
      <c r="R4747">
        <f>tblDailySchedule[[#This Row],[Capacity Approx]]*'[1]Load Factor Sheet June Acft  '!$B$5</f>
        <v>150.61772727272728</v>
      </c>
      <c r="S4747">
        <f>tblDailySchedule[[#This Row],[Capacity Approx]]*'[1]Load Factor Sheet June Acft  '!$D$5</f>
        <v>163.08818181818182</v>
      </c>
      <c r="T4747" s="22">
        <f>tblDailySchedule[[#This Row],[STD]]</f>
        <v>0.44444444444444442</v>
      </c>
    </row>
    <row r="4748" spans="1:20" hidden="1" x14ac:dyDescent="0.35">
      <c r="A4748" s="11">
        <v>46281</v>
      </c>
      <c r="B4748" s="3">
        <v>3</v>
      </c>
      <c r="C4748" t="s">
        <v>113</v>
      </c>
      <c r="D4748" t="s">
        <v>18</v>
      </c>
      <c r="E4748" s="3">
        <v>9</v>
      </c>
      <c r="F4748" t="s">
        <v>19</v>
      </c>
      <c r="G4748" t="s">
        <v>48</v>
      </c>
      <c r="H4748" t="s">
        <v>49</v>
      </c>
      <c r="I4748" s="12">
        <v>0.4375</v>
      </c>
      <c r="J4748" t="s">
        <v>50</v>
      </c>
      <c r="K4748" t="s">
        <v>49</v>
      </c>
      <c r="L4748" s="12">
        <v>0.45833333333333331</v>
      </c>
      <c r="M4748" t="s">
        <v>51</v>
      </c>
      <c r="N4748" s="3">
        <v>78</v>
      </c>
      <c r="O4748" t="s">
        <v>24</v>
      </c>
      <c r="P4748" t="s">
        <v>25</v>
      </c>
      <c r="R4748">
        <f>tblDailySchedule[[#This Row],[Capacity Approx]]*'[1]Load Factor Sheet June Acft  '!$B$5</f>
        <v>63.162272727272729</v>
      </c>
      <c r="S4748">
        <f>tblDailySchedule[[#This Row],[Capacity Approx]]*'[1]Load Factor Sheet June Acft  '!$D$5</f>
        <v>68.391818181818181</v>
      </c>
      <c r="T4748" s="22">
        <f>tblDailySchedule[[#This Row],[STD]]</f>
        <v>0.45833333333333331</v>
      </c>
    </row>
    <row r="4749" spans="1:20" hidden="1" x14ac:dyDescent="0.35">
      <c r="A4749" s="11">
        <v>46281</v>
      </c>
      <c r="B4749" s="3">
        <v>3</v>
      </c>
      <c r="C4749" t="s">
        <v>113</v>
      </c>
      <c r="D4749" t="s">
        <v>18</v>
      </c>
      <c r="E4749" s="3">
        <v>10</v>
      </c>
      <c r="F4749" t="s">
        <v>19</v>
      </c>
      <c r="G4749" t="s">
        <v>52</v>
      </c>
      <c r="H4749" t="s">
        <v>27</v>
      </c>
      <c r="I4749" s="12">
        <v>0.4826388888888889</v>
      </c>
      <c r="J4749" t="s">
        <v>53</v>
      </c>
      <c r="K4749" t="s">
        <v>27</v>
      </c>
      <c r="L4749" s="12">
        <v>0.51041666666666663</v>
      </c>
      <c r="M4749" t="s">
        <v>23</v>
      </c>
      <c r="N4749" s="3">
        <v>186</v>
      </c>
      <c r="O4749" t="s">
        <v>24</v>
      </c>
      <c r="P4749" t="s">
        <v>25</v>
      </c>
      <c r="R4749">
        <f>tblDailySchedule[[#This Row],[Capacity Approx]]*'[1]Load Factor Sheet June Acft  '!$B$5</f>
        <v>150.61772727272728</v>
      </c>
      <c r="S4749">
        <f>tblDailySchedule[[#This Row],[Capacity Approx]]*'[1]Load Factor Sheet June Acft  '!$D$5</f>
        <v>163.08818181818182</v>
      </c>
      <c r="T4749" s="22">
        <f>tblDailySchedule[[#This Row],[STD]]</f>
        <v>0.51041666666666663</v>
      </c>
    </row>
    <row r="4750" spans="1:20" hidden="1" x14ac:dyDescent="0.35">
      <c r="A4750" s="11">
        <v>46281</v>
      </c>
      <c r="B4750" s="3">
        <v>3</v>
      </c>
      <c r="C4750" t="s">
        <v>113</v>
      </c>
      <c r="D4750" t="s">
        <v>18</v>
      </c>
      <c r="E4750" s="3">
        <v>11</v>
      </c>
      <c r="F4750" t="s">
        <v>19</v>
      </c>
      <c r="G4750" t="s">
        <v>54</v>
      </c>
      <c r="H4750" t="s">
        <v>31</v>
      </c>
      <c r="I4750" s="12">
        <v>0.51388888888888884</v>
      </c>
      <c r="J4750" t="s">
        <v>55</v>
      </c>
      <c r="K4750" t="s">
        <v>31</v>
      </c>
      <c r="L4750" s="12">
        <v>0.54166666666666663</v>
      </c>
      <c r="M4750" t="s">
        <v>23</v>
      </c>
      <c r="N4750" s="3">
        <v>186</v>
      </c>
      <c r="O4750" t="s">
        <v>24</v>
      </c>
      <c r="P4750" t="s">
        <v>56</v>
      </c>
      <c r="R4750">
        <f>tblDailySchedule[[#This Row],[Capacity Approx]]*'[1]Load Factor Sheet June Acft  '!$B$5</f>
        <v>150.61772727272728</v>
      </c>
      <c r="S4750">
        <f>tblDailySchedule[[#This Row],[Capacity Approx]]*'[1]Load Factor Sheet June Acft  '!$D$5</f>
        <v>163.08818181818182</v>
      </c>
      <c r="T4750" s="22">
        <f>tblDailySchedule[[#This Row],[STD]]</f>
        <v>0.54166666666666663</v>
      </c>
    </row>
    <row r="4751" spans="1:20" hidden="1" x14ac:dyDescent="0.35">
      <c r="A4751" s="11">
        <v>46281</v>
      </c>
      <c r="B4751" s="3">
        <v>3</v>
      </c>
      <c r="C4751" t="s">
        <v>113</v>
      </c>
      <c r="D4751" t="s">
        <v>18</v>
      </c>
      <c r="E4751" s="3">
        <v>13</v>
      </c>
      <c r="F4751" t="s">
        <v>19</v>
      </c>
      <c r="G4751" t="s">
        <v>57</v>
      </c>
      <c r="H4751" t="s">
        <v>58</v>
      </c>
      <c r="I4751" s="12">
        <v>0.55902777777777779</v>
      </c>
      <c r="J4751" t="s">
        <v>59</v>
      </c>
      <c r="K4751" t="s">
        <v>58</v>
      </c>
      <c r="L4751" s="12">
        <v>0.57638888888888884</v>
      </c>
      <c r="M4751" t="s">
        <v>51</v>
      </c>
      <c r="N4751" s="3">
        <v>78</v>
      </c>
      <c r="O4751" t="s">
        <v>24</v>
      </c>
      <c r="P4751" t="s">
        <v>56</v>
      </c>
      <c r="R4751">
        <f>tblDailySchedule[[#This Row],[Capacity Approx]]*'[1]Load Factor Sheet June Acft  '!$B$5</f>
        <v>63.162272727272729</v>
      </c>
      <c r="S4751">
        <f>tblDailySchedule[[#This Row],[Capacity Approx]]*'[1]Load Factor Sheet June Acft  '!$D$5</f>
        <v>68.391818181818181</v>
      </c>
      <c r="T4751" s="22">
        <f>tblDailySchedule[[#This Row],[STD]]</f>
        <v>0.57638888888888884</v>
      </c>
    </row>
    <row r="4752" spans="1:20" hidden="1" x14ac:dyDescent="0.35">
      <c r="A4752" s="11">
        <v>46281</v>
      </c>
      <c r="B4752" s="3">
        <v>3</v>
      </c>
      <c r="C4752" t="s">
        <v>113</v>
      </c>
      <c r="D4752" t="s">
        <v>18</v>
      </c>
      <c r="E4752" s="3">
        <v>14</v>
      </c>
      <c r="F4752" t="s">
        <v>19</v>
      </c>
      <c r="G4752" t="s">
        <v>60</v>
      </c>
      <c r="H4752" t="s">
        <v>61</v>
      </c>
      <c r="I4752" s="12">
        <v>0.59027777777777779</v>
      </c>
      <c r="J4752" t="s">
        <v>62</v>
      </c>
      <c r="K4752" t="s">
        <v>61</v>
      </c>
      <c r="L4752" s="12">
        <v>0.62152777777777779</v>
      </c>
      <c r="M4752" t="s">
        <v>63</v>
      </c>
      <c r="N4752" s="3">
        <v>232</v>
      </c>
      <c r="O4752" t="s">
        <v>24</v>
      </c>
      <c r="P4752" t="s">
        <v>56</v>
      </c>
      <c r="R4752">
        <f>tblDailySchedule[[#This Row],[Capacity Approx]]*'[1]Load Factor Sheet June Acft  '!$B$5</f>
        <v>187.86727272727273</v>
      </c>
      <c r="S4752">
        <f>tblDailySchedule[[#This Row],[Capacity Approx]]*'[1]Load Factor Sheet June Acft  '!$D$5</f>
        <v>203.4218181818182</v>
      </c>
      <c r="T4752" s="22">
        <f>tblDailySchedule[[#This Row],[STD]]</f>
        <v>0.62152777777777779</v>
      </c>
    </row>
    <row r="4753" spans="1:20" hidden="1" x14ac:dyDescent="0.35">
      <c r="A4753" s="11">
        <v>46281</v>
      </c>
      <c r="B4753" s="3">
        <v>3</v>
      </c>
      <c r="C4753" t="s">
        <v>113</v>
      </c>
      <c r="D4753" t="s">
        <v>18</v>
      </c>
      <c r="E4753" s="3">
        <v>15</v>
      </c>
      <c r="F4753" t="s">
        <v>19</v>
      </c>
      <c r="G4753" t="s">
        <v>64</v>
      </c>
      <c r="H4753" t="s">
        <v>31</v>
      </c>
      <c r="I4753" s="12">
        <v>0.60069444444444442</v>
      </c>
      <c r="J4753" t="s">
        <v>65</v>
      </c>
      <c r="K4753" t="s">
        <v>66</v>
      </c>
      <c r="L4753" s="12">
        <v>0.62847222222222221</v>
      </c>
      <c r="M4753" t="s">
        <v>63</v>
      </c>
      <c r="N4753" s="3">
        <v>232</v>
      </c>
      <c r="O4753" t="s">
        <v>24</v>
      </c>
      <c r="P4753" t="s">
        <v>56</v>
      </c>
      <c r="R4753">
        <f>tblDailySchedule[[#This Row],[Capacity Approx]]*'[1]Load Factor Sheet June Acft  '!$B$5</f>
        <v>187.86727272727273</v>
      </c>
      <c r="S4753">
        <f>tblDailySchedule[[#This Row],[Capacity Approx]]*'[1]Load Factor Sheet June Acft  '!$D$5</f>
        <v>203.4218181818182</v>
      </c>
      <c r="T4753" s="22">
        <f>tblDailySchedule[[#This Row],[STD]]</f>
        <v>0.62847222222222221</v>
      </c>
    </row>
    <row r="4754" spans="1:20" hidden="1" x14ac:dyDescent="0.35">
      <c r="A4754" s="11">
        <v>46281</v>
      </c>
      <c r="B4754" s="3">
        <v>3</v>
      </c>
      <c r="C4754" t="s">
        <v>113</v>
      </c>
      <c r="D4754" t="s">
        <v>18</v>
      </c>
      <c r="E4754" s="3">
        <v>16</v>
      </c>
      <c r="F4754" t="s">
        <v>19</v>
      </c>
      <c r="G4754" t="s">
        <v>67</v>
      </c>
      <c r="H4754" t="s">
        <v>31</v>
      </c>
      <c r="I4754" s="12">
        <v>0.65625</v>
      </c>
      <c r="J4754" t="s">
        <v>68</v>
      </c>
      <c r="K4754" t="s">
        <v>31</v>
      </c>
      <c r="L4754" s="12">
        <v>0.68402777777777779</v>
      </c>
      <c r="M4754" t="s">
        <v>63</v>
      </c>
      <c r="N4754" s="3">
        <v>232</v>
      </c>
      <c r="O4754" t="s">
        <v>24</v>
      </c>
      <c r="P4754" t="s">
        <v>56</v>
      </c>
      <c r="R4754">
        <f>tblDailySchedule[[#This Row],[Capacity Approx]]*'[1]Load Factor Sheet June Acft  '!$B$5</f>
        <v>187.86727272727273</v>
      </c>
      <c r="S4754">
        <f>tblDailySchedule[[#This Row],[Capacity Approx]]*'[1]Load Factor Sheet June Acft  '!$D$5</f>
        <v>203.4218181818182</v>
      </c>
      <c r="T4754" s="22">
        <f>tblDailySchedule[[#This Row],[STD]]</f>
        <v>0.68402777777777779</v>
      </c>
    </row>
    <row r="4755" spans="1:20" hidden="1" x14ac:dyDescent="0.35">
      <c r="A4755" s="11">
        <v>46281</v>
      </c>
      <c r="B4755" s="3">
        <v>3</v>
      </c>
      <c r="C4755" t="s">
        <v>113</v>
      </c>
      <c r="D4755" t="s">
        <v>18</v>
      </c>
      <c r="E4755" s="3">
        <v>17</v>
      </c>
      <c r="F4755" t="s">
        <v>19</v>
      </c>
      <c r="G4755" t="s">
        <v>69</v>
      </c>
      <c r="H4755" t="s">
        <v>31</v>
      </c>
      <c r="I4755" s="12">
        <v>0.66319444444444442</v>
      </c>
      <c r="J4755" t="s">
        <v>70</v>
      </c>
      <c r="K4755" t="s">
        <v>31</v>
      </c>
      <c r="L4755" s="12">
        <v>0.69097222222222221</v>
      </c>
      <c r="M4755" t="s">
        <v>33</v>
      </c>
      <c r="N4755" s="3">
        <v>189</v>
      </c>
      <c r="O4755" t="s">
        <v>24</v>
      </c>
      <c r="P4755" t="s">
        <v>56</v>
      </c>
      <c r="R4755">
        <f>tblDailySchedule[[#This Row],[Capacity Approx]]*'[1]Load Factor Sheet June Acft  '!$B$5</f>
        <v>153.04704545454547</v>
      </c>
      <c r="S4755">
        <f>tblDailySchedule[[#This Row],[Capacity Approx]]*'[1]Load Factor Sheet June Acft  '!$D$5</f>
        <v>165.71863636363636</v>
      </c>
      <c r="T4755" s="22">
        <f>tblDailySchedule[[#This Row],[STD]]</f>
        <v>0.69097222222222221</v>
      </c>
    </row>
    <row r="4756" spans="1:20" hidden="1" x14ac:dyDescent="0.35">
      <c r="A4756" s="11">
        <v>46281</v>
      </c>
      <c r="B4756" s="3">
        <v>3</v>
      </c>
      <c r="C4756" t="s">
        <v>113</v>
      </c>
      <c r="D4756" t="s">
        <v>18</v>
      </c>
      <c r="E4756" s="3">
        <v>18</v>
      </c>
      <c r="F4756" t="s">
        <v>19</v>
      </c>
      <c r="G4756" t="s">
        <v>71</v>
      </c>
      <c r="H4756" t="s">
        <v>21</v>
      </c>
      <c r="I4756" s="12">
        <v>0.67013888888888884</v>
      </c>
      <c r="J4756" t="s">
        <v>72</v>
      </c>
      <c r="K4756" t="s">
        <v>21</v>
      </c>
      <c r="L4756" s="12">
        <v>0.69791666666666663</v>
      </c>
      <c r="M4756" t="s">
        <v>63</v>
      </c>
      <c r="N4756" s="3">
        <v>232</v>
      </c>
      <c r="O4756" t="s">
        <v>24</v>
      </c>
      <c r="P4756" t="s">
        <v>56</v>
      </c>
      <c r="R4756">
        <f>tblDailySchedule[[#This Row],[Capacity Approx]]*'[1]Load Factor Sheet June Acft  '!$B$5</f>
        <v>187.86727272727273</v>
      </c>
      <c r="S4756">
        <f>tblDailySchedule[[#This Row],[Capacity Approx]]*'[1]Load Factor Sheet June Acft  '!$D$5</f>
        <v>203.4218181818182</v>
      </c>
      <c r="T4756" s="22">
        <f>tblDailySchedule[[#This Row],[STD]]</f>
        <v>0.69791666666666663</v>
      </c>
    </row>
    <row r="4757" spans="1:20" hidden="1" x14ac:dyDescent="0.35">
      <c r="A4757" s="11">
        <v>46281</v>
      </c>
      <c r="B4757" s="3">
        <v>3</v>
      </c>
      <c r="C4757" t="s">
        <v>113</v>
      </c>
      <c r="D4757" t="s">
        <v>18</v>
      </c>
      <c r="E4757" s="3">
        <v>19</v>
      </c>
      <c r="F4757" t="s">
        <v>19</v>
      </c>
      <c r="G4757" t="s">
        <v>73</v>
      </c>
      <c r="H4757" t="s">
        <v>27</v>
      </c>
      <c r="I4757" s="12">
        <v>0.74652777777777779</v>
      </c>
      <c r="J4757" t="s">
        <v>74</v>
      </c>
      <c r="K4757" t="s">
        <v>27</v>
      </c>
      <c r="L4757" s="12">
        <v>0.77430555555555558</v>
      </c>
      <c r="M4757" t="s">
        <v>63</v>
      </c>
      <c r="N4757" s="3">
        <v>232</v>
      </c>
      <c r="O4757" t="s">
        <v>24</v>
      </c>
      <c r="P4757" t="s">
        <v>56</v>
      </c>
      <c r="R4757">
        <f>tblDailySchedule[[#This Row],[Capacity Approx]]*'[1]Load Factor Sheet June Acft  '!$B$5</f>
        <v>187.86727272727273</v>
      </c>
      <c r="S4757">
        <f>tblDailySchedule[[#This Row],[Capacity Approx]]*'[1]Load Factor Sheet June Acft  '!$D$5</f>
        <v>203.4218181818182</v>
      </c>
      <c r="T4757" s="22">
        <f>tblDailySchedule[[#This Row],[STD]]</f>
        <v>0.77430555555555558</v>
      </c>
    </row>
    <row r="4758" spans="1:20" hidden="1" x14ac:dyDescent="0.35">
      <c r="A4758" s="11">
        <v>46281</v>
      </c>
      <c r="B4758" s="3">
        <v>3</v>
      </c>
      <c r="C4758" t="s">
        <v>113</v>
      </c>
      <c r="D4758" t="s">
        <v>18</v>
      </c>
      <c r="E4758" s="3">
        <v>20</v>
      </c>
      <c r="F4758" t="s">
        <v>34</v>
      </c>
      <c r="G4758" t="s">
        <v>75</v>
      </c>
      <c r="H4758" t="s">
        <v>76</v>
      </c>
      <c r="I4758" s="12">
        <v>0.76388888888888884</v>
      </c>
      <c r="J4758" t="s">
        <v>77</v>
      </c>
      <c r="K4758" t="s">
        <v>78</v>
      </c>
      <c r="L4758" s="12">
        <v>0.78472222222222221</v>
      </c>
      <c r="M4758" t="s">
        <v>51</v>
      </c>
      <c r="N4758" s="3">
        <v>78</v>
      </c>
      <c r="O4758" t="s">
        <v>24</v>
      </c>
      <c r="P4758" t="s">
        <v>79</v>
      </c>
      <c r="Q4758" s="16" t="s">
        <v>80</v>
      </c>
      <c r="R4758">
        <f>tblDailySchedule[[#This Row],[Capacity Approx]]*'[1]Load Factor Sheet June Acft  '!$B$5</f>
        <v>63.162272727272729</v>
      </c>
      <c r="S4758">
        <f>tblDailySchedule[[#This Row],[Capacity Approx]]*'[1]Load Factor Sheet June Acft  '!$D$5</f>
        <v>68.391818181818181</v>
      </c>
      <c r="T4758" s="22">
        <f>tblDailySchedule[[#This Row],[STD]]</f>
        <v>0.78472222222222221</v>
      </c>
    </row>
    <row r="4759" spans="1:20" hidden="1" x14ac:dyDescent="0.35">
      <c r="A4759" s="11">
        <v>46281</v>
      </c>
      <c r="B4759" s="3">
        <v>3</v>
      </c>
      <c r="C4759" t="s">
        <v>113</v>
      </c>
      <c r="D4759" t="s">
        <v>18</v>
      </c>
      <c r="E4759" s="3">
        <v>21</v>
      </c>
      <c r="F4759" t="s">
        <v>19</v>
      </c>
      <c r="G4759" t="s">
        <v>81</v>
      </c>
      <c r="H4759" t="s">
        <v>61</v>
      </c>
      <c r="I4759" s="12">
        <v>0.77083333333333337</v>
      </c>
      <c r="J4759" t="s">
        <v>82</v>
      </c>
      <c r="K4759" t="s">
        <v>49</v>
      </c>
      <c r="L4759" s="12">
        <v>0.79166666666666663</v>
      </c>
      <c r="M4759" t="s">
        <v>33</v>
      </c>
      <c r="N4759" s="3">
        <v>189</v>
      </c>
      <c r="O4759" t="s">
        <v>24</v>
      </c>
      <c r="P4759" t="s">
        <v>79</v>
      </c>
      <c r="R4759">
        <f>tblDailySchedule[[#This Row],[Capacity Approx]]*'[1]Load Factor Sheet June Acft  '!$B$5</f>
        <v>153.04704545454547</v>
      </c>
      <c r="S4759">
        <f>tblDailySchedule[[#This Row],[Capacity Approx]]*'[1]Load Factor Sheet June Acft  '!$D$5</f>
        <v>165.71863636363636</v>
      </c>
      <c r="T4759" s="22">
        <f>tblDailySchedule[[#This Row],[STD]]</f>
        <v>0.79166666666666663</v>
      </c>
    </row>
    <row r="4760" spans="1:20" hidden="1" x14ac:dyDescent="0.35">
      <c r="A4760" s="11">
        <v>46281</v>
      </c>
      <c r="B4760" s="3">
        <v>3</v>
      </c>
      <c r="C4760" t="s">
        <v>113</v>
      </c>
      <c r="D4760" t="s">
        <v>18</v>
      </c>
      <c r="E4760" s="3">
        <v>22</v>
      </c>
      <c r="F4760" t="s">
        <v>19</v>
      </c>
      <c r="G4760" t="s">
        <v>83</v>
      </c>
      <c r="H4760" t="s">
        <v>31</v>
      </c>
      <c r="I4760" s="12">
        <v>0.77777777777777779</v>
      </c>
      <c r="J4760" t="s">
        <v>84</v>
      </c>
      <c r="K4760" t="s">
        <v>31</v>
      </c>
      <c r="L4760" s="12">
        <v>0.80555555555555558</v>
      </c>
      <c r="M4760" t="s">
        <v>63</v>
      </c>
      <c r="N4760" s="3">
        <v>232</v>
      </c>
      <c r="O4760" t="s">
        <v>24</v>
      </c>
      <c r="P4760" t="s">
        <v>79</v>
      </c>
      <c r="R4760">
        <f>tblDailySchedule[[#This Row],[Capacity Approx]]*'[1]Load Factor Sheet June Acft  '!$B$5</f>
        <v>187.86727272727273</v>
      </c>
      <c r="S4760">
        <f>tblDailySchedule[[#This Row],[Capacity Approx]]*'[1]Load Factor Sheet June Acft  '!$D$5</f>
        <v>203.4218181818182</v>
      </c>
      <c r="T4760" s="22">
        <f>tblDailySchedule[[#This Row],[STD]]</f>
        <v>0.80555555555555558</v>
      </c>
    </row>
    <row r="4761" spans="1:20" hidden="1" x14ac:dyDescent="0.35">
      <c r="A4761" s="11">
        <v>46281</v>
      </c>
      <c r="B4761" s="3">
        <v>3</v>
      </c>
      <c r="C4761" t="s">
        <v>113</v>
      </c>
      <c r="D4761" t="s">
        <v>18</v>
      </c>
      <c r="E4761" s="3">
        <v>23</v>
      </c>
      <c r="F4761" t="s">
        <v>19</v>
      </c>
      <c r="G4761" t="s">
        <v>85</v>
      </c>
      <c r="H4761" t="s">
        <v>86</v>
      </c>
      <c r="I4761" s="12">
        <v>0.79861111111111116</v>
      </c>
      <c r="J4761" t="s">
        <v>87</v>
      </c>
      <c r="K4761" t="s">
        <v>86</v>
      </c>
      <c r="L4761" s="12">
        <v>0.82638888888888884</v>
      </c>
      <c r="M4761" t="s">
        <v>63</v>
      </c>
      <c r="N4761" s="3">
        <v>232</v>
      </c>
      <c r="O4761" t="s">
        <v>24</v>
      </c>
      <c r="P4761" t="s">
        <v>79</v>
      </c>
      <c r="R4761">
        <f>tblDailySchedule[[#This Row],[Capacity Approx]]*'[1]Load Factor Sheet June Acft  '!$B$5</f>
        <v>187.86727272727273</v>
      </c>
      <c r="S4761">
        <f>tblDailySchedule[[#This Row],[Capacity Approx]]*'[1]Load Factor Sheet June Acft  '!$D$5</f>
        <v>203.4218181818182</v>
      </c>
      <c r="T4761" s="22">
        <f>tblDailySchedule[[#This Row],[STD]]</f>
        <v>0.82638888888888884</v>
      </c>
    </row>
    <row r="4762" spans="1:20" hidden="1" x14ac:dyDescent="0.35">
      <c r="A4762" s="11">
        <v>46281</v>
      </c>
      <c r="B4762" s="3">
        <v>3</v>
      </c>
      <c r="C4762" t="s">
        <v>113</v>
      </c>
      <c r="D4762" t="s">
        <v>18</v>
      </c>
      <c r="E4762" s="3">
        <v>24</v>
      </c>
      <c r="F4762" t="s">
        <v>19</v>
      </c>
      <c r="G4762" t="s">
        <v>88</v>
      </c>
      <c r="H4762" t="s">
        <v>89</v>
      </c>
      <c r="I4762" s="12">
        <v>0.83333333333333337</v>
      </c>
      <c r="J4762" t="s">
        <v>90</v>
      </c>
      <c r="K4762" t="s">
        <v>31</v>
      </c>
      <c r="L4762" s="12">
        <v>0.86111111111111116</v>
      </c>
      <c r="M4762" t="s">
        <v>63</v>
      </c>
      <c r="N4762" s="3">
        <v>232</v>
      </c>
      <c r="O4762" t="s">
        <v>24</v>
      </c>
      <c r="P4762" t="s">
        <v>79</v>
      </c>
      <c r="R4762">
        <f>tblDailySchedule[[#This Row],[Capacity Approx]]*'[1]Load Factor Sheet June Acft  '!$B$5</f>
        <v>187.86727272727273</v>
      </c>
      <c r="S4762">
        <f>tblDailySchedule[[#This Row],[Capacity Approx]]*'[1]Load Factor Sheet June Acft  '!$D$5</f>
        <v>203.4218181818182</v>
      </c>
      <c r="T4762" s="22">
        <f>tblDailySchedule[[#This Row],[STD]]</f>
        <v>0.86111111111111116</v>
      </c>
    </row>
    <row r="4763" spans="1:20" hidden="1" x14ac:dyDescent="0.35">
      <c r="A4763" s="11">
        <v>46281</v>
      </c>
      <c r="B4763" s="3">
        <v>3</v>
      </c>
      <c r="C4763" t="s">
        <v>113</v>
      </c>
      <c r="D4763" t="s">
        <v>18</v>
      </c>
      <c r="E4763" s="3">
        <v>25</v>
      </c>
      <c r="F4763" t="s">
        <v>19</v>
      </c>
      <c r="G4763" t="s">
        <v>91</v>
      </c>
      <c r="H4763" t="s">
        <v>61</v>
      </c>
      <c r="I4763" s="12">
        <v>0.85416666666666663</v>
      </c>
      <c r="J4763" t="s">
        <v>92</v>
      </c>
      <c r="K4763" t="s">
        <v>61</v>
      </c>
      <c r="L4763" s="12">
        <v>0.88194444444444442</v>
      </c>
      <c r="M4763" t="s">
        <v>63</v>
      </c>
      <c r="N4763" s="3">
        <v>232</v>
      </c>
      <c r="O4763" t="s">
        <v>24</v>
      </c>
      <c r="P4763" t="s">
        <v>79</v>
      </c>
      <c r="R4763">
        <f>tblDailySchedule[[#This Row],[Capacity Approx]]*'[1]Load Factor Sheet June Acft  '!$B$5</f>
        <v>187.86727272727273</v>
      </c>
      <c r="S4763">
        <f>tblDailySchedule[[#This Row],[Capacity Approx]]*'[1]Load Factor Sheet June Acft  '!$D$5</f>
        <v>203.4218181818182</v>
      </c>
      <c r="T4763" s="22">
        <f>tblDailySchedule[[#This Row],[STD]]</f>
        <v>0.88194444444444442</v>
      </c>
    </row>
    <row r="4764" spans="1:20" hidden="1" x14ac:dyDescent="0.35">
      <c r="A4764" s="11">
        <v>46281</v>
      </c>
      <c r="B4764" s="3">
        <v>3</v>
      </c>
      <c r="C4764" t="s">
        <v>113</v>
      </c>
      <c r="D4764" t="s">
        <v>18</v>
      </c>
      <c r="E4764" s="3">
        <v>26</v>
      </c>
      <c r="F4764" t="s">
        <v>19</v>
      </c>
      <c r="G4764" t="s">
        <v>93</v>
      </c>
      <c r="H4764" t="s">
        <v>31</v>
      </c>
      <c r="I4764" s="12">
        <v>0.86111111111111116</v>
      </c>
      <c r="J4764" t="s">
        <v>94</v>
      </c>
      <c r="K4764" t="s">
        <v>31</v>
      </c>
      <c r="L4764" s="12">
        <v>0.88888888888888884</v>
      </c>
      <c r="M4764" t="s">
        <v>23</v>
      </c>
      <c r="N4764" s="3">
        <v>186</v>
      </c>
      <c r="O4764" t="s">
        <v>24</v>
      </c>
      <c r="P4764" t="s">
        <v>79</v>
      </c>
      <c r="R4764">
        <f>tblDailySchedule[[#This Row],[Capacity Approx]]*'[1]Load Factor Sheet June Acft  '!$B$5</f>
        <v>150.61772727272728</v>
      </c>
      <c r="S4764">
        <f>tblDailySchedule[[#This Row],[Capacity Approx]]*'[1]Load Factor Sheet June Acft  '!$D$5</f>
        <v>163.08818181818182</v>
      </c>
      <c r="T4764" s="22">
        <f>tblDailySchedule[[#This Row],[STD]]</f>
        <v>0.88888888888888884</v>
      </c>
    </row>
    <row r="4765" spans="1:20" hidden="1" x14ac:dyDescent="0.35">
      <c r="A4765" s="11">
        <v>46281</v>
      </c>
      <c r="B4765" s="3">
        <v>3</v>
      </c>
      <c r="C4765" t="s">
        <v>113</v>
      </c>
      <c r="D4765" t="s">
        <v>18</v>
      </c>
      <c r="E4765" s="3">
        <v>27</v>
      </c>
      <c r="F4765" t="s">
        <v>19</v>
      </c>
      <c r="G4765" t="s">
        <v>95</v>
      </c>
      <c r="H4765" t="s">
        <v>21</v>
      </c>
      <c r="I4765" s="12">
        <v>0.86805555555555558</v>
      </c>
      <c r="J4765" t="s">
        <v>96</v>
      </c>
      <c r="K4765" t="s">
        <v>21</v>
      </c>
      <c r="L4765" s="12">
        <v>0.89583333333333337</v>
      </c>
      <c r="M4765" t="s">
        <v>29</v>
      </c>
      <c r="N4765" s="3">
        <v>186</v>
      </c>
      <c r="O4765" t="s">
        <v>24</v>
      </c>
      <c r="P4765" t="s">
        <v>79</v>
      </c>
      <c r="R4765">
        <f>tblDailySchedule[[#This Row],[Capacity Approx]]*'[1]Load Factor Sheet June Acft  '!$B$5</f>
        <v>150.61772727272728</v>
      </c>
      <c r="S4765">
        <f>tblDailySchedule[[#This Row],[Capacity Approx]]*'[1]Load Factor Sheet June Acft  '!$D$5</f>
        <v>163.08818181818182</v>
      </c>
      <c r="T4765" s="22">
        <f>tblDailySchedule[[#This Row],[STD]]</f>
        <v>0.89583333333333337</v>
      </c>
    </row>
    <row r="4766" spans="1:20" hidden="1" x14ac:dyDescent="0.35">
      <c r="A4766" s="11">
        <v>46281</v>
      </c>
      <c r="B4766" s="3">
        <v>3</v>
      </c>
      <c r="C4766" t="s">
        <v>113</v>
      </c>
      <c r="D4766" t="s">
        <v>18</v>
      </c>
      <c r="E4766" s="3">
        <v>28</v>
      </c>
      <c r="F4766" t="s">
        <v>19</v>
      </c>
      <c r="G4766" t="s">
        <v>97</v>
      </c>
      <c r="H4766" t="s">
        <v>49</v>
      </c>
      <c r="I4766" s="12">
        <v>0.90277777777777779</v>
      </c>
      <c r="J4766" t="s">
        <v>97</v>
      </c>
      <c r="K4766" t="s">
        <v>61</v>
      </c>
      <c r="L4766" s="12">
        <v>0.92361111111111116</v>
      </c>
      <c r="M4766" t="s">
        <v>33</v>
      </c>
      <c r="N4766" s="3">
        <v>189</v>
      </c>
      <c r="O4766" t="s">
        <v>24</v>
      </c>
      <c r="P4766" t="s">
        <v>79</v>
      </c>
      <c r="R4766">
        <f>tblDailySchedule[[#This Row],[Capacity Approx]]*'[1]Load Factor Sheet June Acft  '!$B$5</f>
        <v>153.04704545454547</v>
      </c>
      <c r="S4766">
        <f>tblDailySchedule[[#This Row],[Capacity Approx]]*'[1]Load Factor Sheet June Acft  '!$D$5</f>
        <v>165.71863636363636</v>
      </c>
      <c r="T4766" s="22">
        <f>tblDailySchedule[[#This Row],[STD]]</f>
        <v>0.92361111111111116</v>
      </c>
    </row>
    <row r="4767" spans="1:20" hidden="1" x14ac:dyDescent="0.35">
      <c r="A4767" s="11">
        <v>46281</v>
      </c>
      <c r="B4767" s="3">
        <v>3</v>
      </c>
      <c r="C4767" t="s">
        <v>113</v>
      </c>
      <c r="D4767" t="s">
        <v>18</v>
      </c>
      <c r="E4767" s="3">
        <v>29</v>
      </c>
      <c r="F4767" t="s">
        <v>19</v>
      </c>
      <c r="G4767" t="s">
        <v>98</v>
      </c>
      <c r="H4767" t="s">
        <v>21</v>
      </c>
      <c r="I4767" s="12">
        <v>0.92013888888888884</v>
      </c>
      <c r="J4767" t="s">
        <v>99</v>
      </c>
      <c r="K4767" t="s">
        <v>21</v>
      </c>
      <c r="L4767" s="12">
        <v>0.94791666666666663</v>
      </c>
      <c r="M4767" t="s">
        <v>63</v>
      </c>
      <c r="N4767" s="3">
        <v>232</v>
      </c>
      <c r="O4767" t="s">
        <v>24</v>
      </c>
      <c r="P4767" t="s">
        <v>79</v>
      </c>
      <c r="R4767">
        <f>tblDailySchedule[[#This Row],[Capacity Approx]]*'[1]Load Factor Sheet June Acft  '!$B$5</f>
        <v>187.86727272727273</v>
      </c>
      <c r="S4767">
        <f>tblDailySchedule[[#This Row],[Capacity Approx]]*'[1]Load Factor Sheet June Acft  '!$D$5</f>
        <v>203.4218181818182</v>
      </c>
      <c r="T4767" s="22">
        <f>tblDailySchedule[[#This Row],[STD]]</f>
        <v>0.94791666666666663</v>
      </c>
    </row>
    <row r="4768" spans="1:20" hidden="1" x14ac:dyDescent="0.35">
      <c r="A4768" s="13">
        <v>46281</v>
      </c>
      <c r="B4768" s="7">
        <v>3</v>
      </c>
      <c r="C4768" s="14" t="s">
        <v>113</v>
      </c>
      <c r="D4768" s="14" t="s">
        <v>18</v>
      </c>
      <c r="E4768" s="7">
        <v>30</v>
      </c>
      <c r="F4768" s="14" t="s">
        <v>104</v>
      </c>
      <c r="G4768" s="14" t="s">
        <v>105</v>
      </c>
      <c r="H4768" s="14" t="s">
        <v>106</v>
      </c>
      <c r="I4768" s="15">
        <v>0.92708333333333337</v>
      </c>
      <c r="J4768" s="14" t="s">
        <v>107</v>
      </c>
      <c r="K4768" s="14" t="s">
        <v>106</v>
      </c>
      <c r="L4768" s="15">
        <v>0.95833333333333337</v>
      </c>
      <c r="M4768" s="14" t="s">
        <v>38</v>
      </c>
      <c r="N4768" s="7">
        <v>186</v>
      </c>
      <c r="O4768" s="14" t="s">
        <v>39</v>
      </c>
      <c r="P4768" s="14" t="s">
        <v>79</v>
      </c>
      <c r="Q4768" s="14" t="s">
        <v>39</v>
      </c>
      <c r="R4768">
        <f>tblDailySchedule[[#This Row],[Capacity Approx]]*'[1]Load Factor Sheet June Acft  '!$B$5</f>
        <v>150.61772727272728</v>
      </c>
      <c r="S4768">
        <f>tblDailySchedule[[#This Row],[Capacity Approx]]*'[1]Load Factor Sheet June Acft  '!$D$5</f>
        <v>163.08818181818182</v>
      </c>
      <c r="T4768" s="22">
        <f>tblDailySchedule[[#This Row],[STD]]</f>
        <v>0.95833333333333337</v>
      </c>
    </row>
    <row r="4769" spans="1:20" hidden="1" x14ac:dyDescent="0.35">
      <c r="A4769" s="11">
        <v>46282</v>
      </c>
      <c r="B4769" s="3">
        <v>4</v>
      </c>
      <c r="C4769" t="s">
        <v>114</v>
      </c>
      <c r="D4769" t="s">
        <v>18</v>
      </c>
      <c r="E4769" s="3">
        <v>1</v>
      </c>
      <c r="F4769" t="s">
        <v>101</v>
      </c>
      <c r="G4769" t="s">
        <v>102</v>
      </c>
      <c r="H4769" t="s">
        <v>61</v>
      </c>
      <c r="I4769" s="12">
        <v>0.3125</v>
      </c>
      <c r="J4769" t="s">
        <v>103</v>
      </c>
      <c r="K4769" t="s">
        <v>61</v>
      </c>
      <c r="L4769" s="12">
        <v>0.33333333333333331</v>
      </c>
      <c r="M4769" t="s">
        <v>33</v>
      </c>
      <c r="N4769" s="3">
        <v>189</v>
      </c>
      <c r="O4769" t="s">
        <v>24</v>
      </c>
      <c r="P4769" t="s">
        <v>25</v>
      </c>
      <c r="R4769">
        <f>tblDailySchedule[[#This Row],[Capacity Approx]]*'[1]Load Factor Sheet June Acft  '!$B$5</f>
        <v>153.04704545454547</v>
      </c>
      <c r="S4769">
        <f>tblDailySchedule[[#This Row],[Capacity Approx]]*'[1]Load Factor Sheet June Acft  '!$D$5</f>
        <v>165.71863636363636</v>
      </c>
      <c r="T4769" s="22">
        <f>tblDailySchedule[[#This Row],[STD]]</f>
        <v>0.33333333333333331</v>
      </c>
    </row>
    <row r="4770" spans="1:20" hidden="1" x14ac:dyDescent="0.35">
      <c r="A4770" s="11">
        <v>46282</v>
      </c>
      <c r="B4770" s="3">
        <v>4</v>
      </c>
      <c r="C4770" t="s">
        <v>114</v>
      </c>
      <c r="D4770" t="s">
        <v>18</v>
      </c>
      <c r="E4770" s="3">
        <v>2</v>
      </c>
      <c r="F4770" t="s">
        <v>19</v>
      </c>
      <c r="G4770" t="s">
        <v>20</v>
      </c>
      <c r="H4770" t="s">
        <v>21</v>
      </c>
      <c r="I4770" s="12">
        <v>0.31944444444444442</v>
      </c>
      <c r="J4770" t="s">
        <v>22</v>
      </c>
      <c r="K4770" t="s">
        <v>21</v>
      </c>
      <c r="L4770" s="12">
        <v>0.34722222222222221</v>
      </c>
      <c r="M4770" t="s">
        <v>23</v>
      </c>
      <c r="N4770" s="3">
        <v>186</v>
      </c>
      <c r="O4770" t="s">
        <v>24</v>
      </c>
      <c r="P4770" t="s">
        <v>25</v>
      </c>
      <c r="R4770">
        <f>tblDailySchedule[[#This Row],[Capacity Approx]]*'[1]Load Factor Sheet June Acft  '!$B$5</f>
        <v>150.61772727272728</v>
      </c>
      <c r="S4770">
        <f>tblDailySchedule[[#This Row],[Capacity Approx]]*'[1]Load Factor Sheet June Acft  '!$D$5</f>
        <v>163.08818181818182</v>
      </c>
      <c r="T4770" s="22">
        <f>tblDailySchedule[[#This Row],[STD]]</f>
        <v>0.34722222222222221</v>
      </c>
    </row>
    <row r="4771" spans="1:20" hidden="1" x14ac:dyDescent="0.35">
      <c r="A4771" s="11">
        <v>46282</v>
      </c>
      <c r="B4771" s="3">
        <v>4</v>
      </c>
      <c r="C4771" t="s">
        <v>114</v>
      </c>
      <c r="D4771" t="s">
        <v>18</v>
      </c>
      <c r="E4771" s="3">
        <v>3</v>
      </c>
      <c r="F4771" t="s">
        <v>19</v>
      </c>
      <c r="G4771" t="s">
        <v>26</v>
      </c>
      <c r="H4771" t="s">
        <v>27</v>
      </c>
      <c r="I4771" s="12">
        <v>0.3263888888888889</v>
      </c>
      <c r="J4771" t="s">
        <v>28</v>
      </c>
      <c r="K4771" t="s">
        <v>27</v>
      </c>
      <c r="L4771" s="12">
        <v>0.35416666666666669</v>
      </c>
      <c r="M4771" t="s">
        <v>29</v>
      </c>
      <c r="N4771" s="3">
        <v>186</v>
      </c>
      <c r="O4771" t="s">
        <v>24</v>
      </c>
      <c r="P4771" t="s">
        <v>25</v>
      </c>
      <c r="R4771">
        <f>tblDailySchedule[[#This Row],[Capacity Approx]]*'[1]Load Factor Sheet June Acft  '!$B$5</f>
        <v>150.61772727272728</v>
      </c>
      <c r="S4771">
        <f>tblDailySchedule[[#This Row],[Capacity Approx]]*'[1]Load Factor Sheet June Acft  '!$D$5</f>
        <v>163.08818181818182</v>
      </c>
      <c r="T4771" s="22">
        <f>tblDailySchedule[[#This Row],[STD]]</f>
        <v>0.35416666666666669</v>
      </c>
    </row>
    <row r="4772" spans="1:20" hidden="1" x14ac:dyDescent="0.35">
      <c r="A4772" s="11">
        <v>46282</v>
      </c>
      <c r="B4772" s="3">
        <v>4</v>
      </c>
      <c r="C4772" t="s">
        <v>114</v>
      </c>
      <c r="D4772" t="s">
        <v>18</v>
      </c>
      <c r="E4772" s="3">
        <v>4</v>
      </c>
      <c r="F4772" t="s">
        <v>19</v>
      </c>
      <c r="G4772" t="s">
        <v>30</v>
      </c>
      <c r="H4772" t="s">
        <v>31</v>
      </c>
      <c r="I4772" s="12">
        <v>0.34722222222222221</v>
      </c>
      <c r="J4772" t="s">
        <v>32</v>
      </c>
      <c r="K4772" t="s">
        <v>31</v>
      </c>
      <c r="L4772" s="12">
        <v>0.36805555555555558</v>
      </c>
      <c r="M4772" t="s">
        <v>33</v>
      </c>
      <c r="N4772" s="3">
        <v>189</v>
      </c>
      <c r="O4772" t="s">
        <v>24</v>
      </c>
      <c r="P4772" t="s">
        <v>25</v>
      </c>
      <c r="R4772">
        <f>tblDailySchedule[[#This Row],[Capacity Approx]]*'[1]Load Factor Sheet June Acft  '!$B$5</f>
        <v>153.04704545454547</v>
      </c>
      <c r="S4772">
        <f>tblDailySchedule[[#This Row],[Capacity Approx]]*'[1]Load Factor Sheet June Acft  '!$D$5</f>
        <v>165.71863636363636</v>
      </c>
      <c r="T4772" s="22">
        <f>tblDailySchedule[[#This Row],[STD]]</f>
        <v>0.36805555555555558</v>
      </c>
    </row>
    <row r="4773" spans="1:20" hidden="1" x14ac:dyDescent="0.35">
      <c r="A4773" s="11">
        <v>46282</v>
      </c>
      <c r="B4773" s="3">
        <v>4</v>
      </c>
      <c r="C4773" t="s">
        <v>114</v>
      </c>
      <c r="D4773" t="s">
        <v>18</v>
      </c>
      <c r="E4773" s="3">
        <v>5</v>
      </c>
      <c r="F4773" t="s">
        <v>19</v>
      </c>
      <c r="G4773" t="s">
        <v>40</v>
      </c>
      <c r="H4773" t="s">
        <v>31</v>
      </c>
      <c r="I4773" s="12">
        <v>0.35069444444444442</v>
      </c>
      <c r="J4773" t="s">
        <v>41</v>
      </c>
      <c r="K4773" t="s">
        <v>31</v>
      </c>
      <c r="L4773" s="12">
        <v>0.37152777777777779</v>
      </c>
      <c r="M4773" t="s">
        <v>23</v>
      </c>
      <c r="N4773" s="3">
        <v>186</v>
      </c>
      <c r="O4773" t="s">
        <v>24</v>
      </c>
      <c r="P4773" t="s">
        <v>25</v>
      </c>
      <c r="R4773">
        <f>tblDailySchedule[[#This Row],[Capacity Approx]]*'[1]Load Factor Sheet June Acft  '!$B$5</f>
        <v>150.61772727272728</v>
      </c>
      <c r="S4773">
        <f>tblDailySchedule[[#This Row],[Capacity Approx]]*'[1]Load Factor Sheet June Acft  '!$D$5</f>
        <v>163.08818181818182</v>
      </c>
      <c r="T4773" s="22">
        <f>tblDailySchedule[[#This Row],[STD]]</f>
        <v>0.37152777777777779</v>
      </c>
    </row>
    <row r="4774" spans="1:20" hidden="1" x14ac:dyDescent="0.35">
      <c r="A4774" s="11">
        <v>46282</v>
      </c>
      <c r="B4774" s="3">
        <v>4</v>
      </c>
      <c r="C4774" t="s">
        <v>114</v>
      </c>
      <c r="D4774" t="s">
        <v>18</v>
      </c>
      <c r="E4774" s="3">
        <v>7</v>
      </c>
      <c r="F4774" t="s">
        <v>19</v>
      </c>
      <c r="G4774" t="s">
        <v>42</v>
      </c>
      <c r="H4774" t="s">
        <v>43</v>
      </c>
      <c r="I4774" s="12">
        <v>0.3923611111111111</v>
      </c>
      <c r="J4774" t="s">
        <v>44</v>
      </c>
      <c r="K4774" t="s">
        <v>43</v>
      </c>
      <c r="L4774" s="12">
        <v>0.40277777777777779</v>
      </c>
      <c r="M4774" t="s">
        <v>45</v>
      </c>
      <c r="N4774" s="3">
        <v>9</v>
      </c>
      <c r="O4774" t="s">
        <v>24</v>
      </c>
      <c r="P4774" t="s">
        <v>25</v>
      </c>
      <c r="R4774">
        <f>tblDailySchedule[[#This Row],[Capacity Approx]]*'[1]Load Factor Sheet June Acft  '!$B$5</f>
        <v>7.2879545454545456</v>
      </c>
      <c r="S4774">
        <f>tblDailySchedule[[#This Row],[Capacity Approx]]*'[1]Load Factor Sheet June Acft  '!$D$5</f>
        <v>7.8913636363636366</v>
      </c>
      <c r="T4774" s="22">
        <f>tblDailySchedule[[#This Row],[STD]]</f>
        <v>0.40277777777777779</v>
      </c>
    </row>
    <row r="4775" spans="1:20" hidden="1" x14ac:dyDescent="0.35">
      <c r="A4775" s="11">
        <v>46282</v>
      </c>
      <c r="B4775" s="3">
        <v>4</v>
      </c>
      <c r="C4775" t="s">
        <v>114</v>
      </c>
      <c r="D4775" t="s">
        <v>18</v>
      </c>
      <c r="E4775" s="3">
        <v>8</v>
      </c>
      <c r="F4775" t="s">
        <v>19</v>
      </c>
      <c r="G4775" t="s">
        <v>46</v>
      </c>
      <c r="H4775" t="s">
        <v>31</v>
      </c>
      <c r="I4775" s="12">
        <v>0.4201388888888889</v>
      </c>
      <c r="J4775" t="s">
        <v>47</v>
      </c>
      <c r="K4775" t="s">
        <v>31</v>
      </c>
      <c r="L4775" s="12">
        <v>0.44444444444444442</v>
      </c>
      <c r="M4775" t="s">
        <v>29</v>
      </c>
      <c r="N4775" s="3">
        <v>186</v>
      </c>
      <c r="O4775" t="s">
        <v>24</v>
      </c>
      <c r="P4775" t="s">
        <v>25</v>
      </c>
      <c r="R4775">
        <f>tblDailySchedule[[#This Row],[Capacity Approx]]*'[1]Load Factor Sheet June Acft  '!$B$5</f>
        <v>150.61772727272728</v>
      </c>
      <c r="S4775">
        <f>tblDailySchedule[[#This Row],[Capacity Approx]]*'[1]Load Factor Sheet June Acft  '!$D$5</f>
        <v>163.08818181818182</v>
      </c>
      <c r="T4775" s="22">
        <f>tblDailySchedule[[#This Row],[STD]]</f>
        <v>0.44444444444444442</v>
      </c>
    </row>
    <row r="4776" spans="1:20" hidden="1" x14ac:dyDescent="0.35">
      <c r="A4776" s="11">
        <v>46282</v>
      </c>
      <c r="B4776" s="3">
        <v>4</v>
      </c>
      <c r="C4776" t="s">
        <v>114</v>
      </c>
      <c r="D4776" t="s">
        <v>18</v>
      </c>
      <c r="E4776" s="3">
        <v>9</v>
      </c>
      <c r="F4776" t="s">
        <v>19</v>
      </c>
      <c r="G4776" t="s">
        <v>48</v>
      </c>
      <c r="H4776" t="s">
        <v>49</v>
      </c>
      <c r="I4776" s="12">
        <v>0.4375</v>
      </c>
      <c r="J4776" t="s">
        <v>50</v>
      </c>
      <c r="K4776" t="s">
        <v>49</v>
      </c>
      <c r="L4776" s="12">
        <v>0.45833333333333331</v>
      </c>
      <c r="M4776" t="s">
        <v>51</v>
      </c>
      <c r="N4776" s="3">
        <v>78</v>
      </c>
      <c r="O4776" t="s">
        <v>24</v>
      </c>
      <c r="P4776" t="s">
        <v>25</v>
      </c>
      <c r="R4776">
        <f>tblDailySchedule[[#This Row],[Capacity Approx]]*'[1]Load Factor Sheet June Acft  '!$B$5</f>
        <v>63.162272727272729</v>
      </c>
      <c r="S4776">
        <f>tblDailySchedule[[#This Row],[Capacity Approx]]*'[1]Load Factor Sheet June Acft  '!$D$5</f>
        <v>68.391818181818181</v>
      </c>
      <c r="T4776" s="22">
        <f>tblDailySchedule[[#This Row],[STD]]</f>
        <v>0.45833333333333331</v>
      </c>
    </row>
    <row r="4777" spans="1:20" hidden="1" x14ac:dyDescent="0.35">
      <c r="A4777" s="11">
        <v>46282</v>
      </c>
      <c r="B4777" s="3">
        <v>4</v>
      </c>
      <c r="C4777" t="s">
        <v>114</v>
      </c>
      <c r="D4777" t="s">
        <v>18</v>
      </c>
      <c r="E4777" s="3">
        <v>10</v>
      </c>
      <c r="F4777" t="s">
        <v>19</v>
      </c>
      <c r="G4777" t="s">
        <v>52</v>
      </c>
      <c r="H4777" t="s">
        <v>27</v>
      </c>
      <c r="I4777" s="12">
        <v>0.4826388888888889</v>
      </c>
      <c r="J4777" t="s">
        <v>53</v>
      </c>
      <c r="K4777" t="s">
        <v>27</v>
      </c>
      <c r="L4777" s="12">
        <v>0.51041666666666663</v>
      </c>
      <c r="M4777" t="s">
        <v>23</v>
      </c>
      <c r="N4777" s="3">
        <v>186</v>
      </c>
      <c r="O4777" t="s">
        <v>24</v>
      </c>
      <c r="P4777" t="s">
        <v>25</v>
      </c>
      <c r="R4777">
        <f>tblDailySchedule[[#This Row],[Capacity Approx]]*'[1]Load Factor Sheet June Acft  '!$B$5</f>
        <v>150.61772727272728</v>
      </c>
      <c r="S4777">
        <f>tblDailySchedule[[#This Row],[Capacity Approx]]*'[1]Load Factor Sheet June Acft  '!$D$5</f>
        <v>163.08818181818182</v>
      </c>
      <c r="T4777" s="22">
        <f>tblDailySchedule[[#This Row],[STD]]</f>
        <v>0.51041666666666663</v>
      </c>
    </row>
    <row r="4778" spans="1:20" hidden="1" x14ac:dyDescent="0.35">
      <c r="A4778" s="11">
        <v>46282</v>
      </c>
      <c r="B4778" s="3">
        <v>4</v>
      </c>
      <c r="C4778" t="s">
        <v>114</v>
      </c>
      <c r="D4778" t="s">
        <v>18</v>
      </c>
      <c r="E4778" s="3">
        <v>11</v>
      </c>
      <c r="F4778" t="s">
        <v>19</v>
      </c>
      <c r="G4778" t="s">
        <v>54</v>
      </c>
      <c r="H4778" t="s">
        <v>31</v>
      </c>
      <c r="I4778" s="12">
        <v>0.51388888888888884</v>
      </c>
      <c r="J4778" t="s">
        <v>55</v>
      </c>
      <c r="K4778" t="s">
        <v>31</v>
      </c>
      <c r="L4778" s="12">
        <v>0.54166666666666663</v>
      </c>
      <c r="M4778" t="s">
        <v>23</v>
      </c>
      <c r="N4778" s="3">
        <v>186</v>
      </c>
      <c r="O4778" t="s">
        <v>24</v>
      </c>
      <c r="P4778" t="s">
        <v>56</v>
      </c>
      <c r="R4778">
        <f>tblDailySchedule[[#This Row],[Capacity Approx]]*'[1]Load Factor Sheet June Acft  '!$B$5</f>
        <v>150.61772727272728</v>
      </c>
      <c r="S4778">
        <f>tblDailySchedule[[#This Row],[Capacity Approx]]*'[1]Load Factor Sheet June Acft  '!$D$5</f>
        <v>163.08818181818182</v>
      </c>
      <c r="T4778" s="22">
        <f>tblDailySchedule[[#This Row],[STD]]</f>
        <v>0.54166666666666663</v>
      </c>
    </row>
    <row r="4779" spans="1:20" hidden="1" x14ac:dyDescent="0.35">
      <c r="A4779" s="11">
        <v>46282</v>
      </c>
      <c r="B4779" s="3">
        <v>4</v>
      </c>
      <c r="C4779" t="s">
        <v>114</v>
      </c>
      <c r="D4779" t="s">
        <v>18</v>
      </c>
      <c r="E4779" s="3">
        <v>12</v>
      </c>
      <c r="F4779" t="s">
        <v>109</v>
      </c>
      <c r="G4779" t="s">
        <v>110</v>
      </c>
      <c r="H4779" t="s">
        <v>111</v>
      </c>
      <c r="I4779" s="12">
        <v>0.55555555555555558</v>
      </c>
      <c r="J4779" t="s">
        <v>112</v>
      </c>
      <c r="K4779" t="s">
        <v>111</v>
      </c>
      <c r="L4779" s="12">
        <v>0.56944444444444442</v>
      </c>
      <c r="M4779" t="s">
        <v>51</v>
      </c>
      <c r="N4779" s="3">
        <v>78</v>
      </c>
      <c r="O4779" t="s">
        <v>24</v>
      </c>
      <c r="P4779" t="s">
        <v>56</v>
      </c>
      <c r="R4779">
        <f>tblDailySchedule[[#This Row],[Capacity Approx]]*'[1]Load Factor Sheet June Acft  '!$B$5</f>
        <v>63.162272727272729</v>
      </c>
      <c r="S4779">
        <f>tblDailySchedule[[#This Row],[Capacity Approx]]*'[1]Load Factor Sheet June Acft  '!$D$5</f>
        <v>68.391818181818181</v>
      </c>
      <c r="T4779" s="22">
        <f>tblDailySchedule[[#This Row],[STD]]</f>
        <v>0.56944444444444442</v>
      </c>
    </row>
    <row r="4780" spans="1:20" hidden="1" x14ac:dyDescent="0.35">
      <c r="A4780" s="11">
        <v>46282</v>
      </c>
      <c r="B4780" s="3">
        <v>4</v>
      </c>
      <c r="C4780" t="s">
        <v>114</v>
      </c>
      <c r="D4780" t="s">
        <v>18</v>
      </c>
      <c r="E4780" s="3">
        <v>13</v>
      </c>
      <c r="F4780" t="s">
        <v>19</v>
      </c>
      <c r="G4780" t="s">
        <v>57</v>
      </c>
      <c r="H4780" t="s">
        <v>58</v>
      </c>
      <c r="I4780" s="12">
        <v>0.55902777777777779</v>
      </c>
      <c r="J4780" t="s">
        <v>59</v>
      </c>
      <c r="K4780" t="s">
        <v>58</v>
      </c>
      <c r="L4780" s="12">
        <v>0.57638888888888884</v>
      </c>
      <c r="M4780" t="s">
        <v>51</v>
      </c>
      <c r="N4780" s="3">
        <v>78</v>
      </c>
      <c r="O4780" t="s">
        <v>24</v>
      </c>
      <c r="P4780" t="s">
        <v>56</v>
      </c>
      <c r="R4780">
        <f>tblDailySchedule[[#This Row],[Capacity Approx]]*'[1]Load Factor Sheet June Acft  '!$B$5</f>
        <v>63.162272727272729</v>
      </c>
      <c r="S4780">
        <f>tblDailySchedule[[#This Row],[Capacity Approx]]*'[1]Load Factor Sheet June Acft  '!$D$5</f>
        <v>68.391818181818181</v>
      </c>
      <c r="T4780" s="22">
        <f>tblDailySchedule[[#This Row],[STD]]</f>
        <v>0.57638888888888884</v>
      </c>
    </row>
    <row r="4781" spans="1:20" hidden="1" x14ac:dyDescent="0.35">
      <c r="A4781" s="11">
        <v>46282</v>
      </c>
      <c r="B4781" s="3">
        <v>4</v>
      </c>
      <c r="C4781" t="s">
        <v>114</v>
      </c>
      <c r="D4781" t="s">
        <v>18</v>
      </c>
      <c r="E4781" s="3">
        <v>14</v>
      </c>
      <c r="F4781" t="s">
        <v>19</v>
      </c>
      <c r="G4781" t="s">
        <v>60</v>
      </c>
      <c r="H4781" t="s">
        <v>61</v>
      </c>
      <c r="I4781" s="12">
        <v>0.59027777777777779</v>
      </c>
      <c r="J4781" t="s">
        <v>62</v>
      </c>
      <c r="K4781" t="s">
        <v>61</v>
      </c>
      <c r="L4781" s="12">
        <v>0.62152777777777779</v>
      </c>
      <c r="M4781" t="s">
        <v>63</v>
      </c>
      <c r="N4781" s="3">
        <v>232</v>
      </c>
      <c r="O4781" t="s">
        <v>24</v>
      </c>
      <c r="P4781" t="s">
        <v>56</v>
      </c>
      <c r="R4781">
        <f>tblDailySchedule[[#This Row],[Capacity Approx]]*'[1]Load Factor Sheet June Acft  '!$B$5</f>
        <v>187.86727272727273</v>
      </c>
      <c r="S4781">
        <f>tblDailySchedule[[#This Row],[Capacity Approx]]*'[1]Load Factor Sheet June Acft  '!$D$5</f>
        <v>203.4218181818182</v>
      </c>
      <c r="T4781" s="22">
        <f>tblDailySchedule[[#This Row],[STD]]</f>
        <v>0.62152777777777779</v>
      </c>
    </row>
    <row r="4782" spans="1:20" hidden="1" x14ac:dyDescent="0.35">
      <c r="A4782" s="11">
        <v>46282</v>
      </c>
      <c r="B4782" s="3">
        <v>4</v>
      </c>
      <c r="C4782" t="s">
        <v>114</v>
      </c>
      <c r="D4782" t="s">
        <v>18</v>
      </c>
      <c r="E4782" s="3">
        <v>15</v>
      </c>
      <c r="F4782" t="s">
        <v>19</v>
      </c>
      <c r="G4782" t="s">
        <v>64</v>
      </c>
      <c r="H4782" t="s">
        <v>31</v>
      </c>
      <c r="I4782" s="12">
        <v>0.60069444444444442</v>
      </c>
      <c r="J4782" t="s">
        <v>65</v>
      </c>
      <c r="K4782" t="s">
        <v>66</v>
      </c>
      <c r="L4782" s="12">
        <v>0.62847222222222221</v>
      </c>
      <c r="M4782" t="s">
        <v>63</v>
      </c>
      <c r="N4782" s="3">
        <v>232</v>
      </c>
      <c r="O4782" t="s">
        <v>24</v>
      </c>
      <c r="P4782" t="s">
        <v>56</v>
      </c>
      <c r="R4782">
        <f>tblDailySchedule[[#This Row],[Capacity Approx]]*'[1]Load Factor Sheet June Acft  '!$B$5</f>
        <v>187.86727272727273</v>
      </c>
      <c r="S4782">
        <f>tblDailySchedule[[#This Row],[Capacity Approx]]*'[1]Load Factor Sheet June Acft  '!$D$5</f>
        <v>203.4218181818182</v>
      </c>
      <c r="T4782" s="22">
        <f>tblDailySchedule[[#This Row],[STD]]</f>
        <v>0.62847222222222221</v>
      </c>
    </row>
    <row r="4783" spans="1:20" hidden="1" x14ac:dyDescent="0.35">
      <c r="A4783" s="11">
        <v>46282</v>
      </c>
      <c r="B4783" s="3">
        <v>4</v>
      </c>
      <c r="C4783" t="s">
        <v>114</v>
      </c>
      <c r="D4783" t="s">
        <v>18</v>
      </c>
      <c r="E4783" s="3">
        <v>16</v>
      </c>
      <c r="F4783" t="s">
        <v>19</v>
      </c>
      <c r="G4783" t="s">
        <v>67</v>
      </c>
      <c r="H4783" t="s">
        <v>31</v>
      </c>
      <c r="I4783" s="12">
        <v>0.65625</v>
      </c>
      <c r="J4783" t="s">
        <v>68</v>
      </c>
      <c r="K4783" t="s">
        <v>31</v>
      </c>
      <c r="L4783" s="12">
        <v>0.68402777777777779</v>
      </c>
      <c r="M4783" t="s">
        <v>63</v>
      </c>
      <c r="N4783" s="3">
        <v>232</v>
      </c>
      <c r="O4783" t="s">
        <v>24</v>
      </c>
      <c r="P4783" t="s">
        <v>56</v>
      </c>
      <c r="R4783">
        <f>tblDailySchedule[[#This Row],[Capacity Approx]]*'[1]Load Factor Sheet June Acft  '!$B$5</f>
        <v>187.86727272727273</v>
      </c>
      <c r="S4783">
        <f>tblDailySchedule[[#This Row],[Capacity Approx]]*'[1]Load Factor Sheet June Acft  '!$D$5</f>
        <v>203.4218181818182</v>
      </c>
      <c r="T4783" s="22">
        <f>tblDailySchedule[[#This Row],[STD]]</f>
        <v>0.68402777777777779</v>
      </c>
    </row>
    <row r="4784" spans="1:20" hidden="1" x14ac:dyDescent="0.35">
      <c r="A4784" s="11">
        <v>46282</v>
      </c>
      <c r="B4784" s="3">
        <v>4</v>
      </c>
      <c r="C4784" t="s">
        <v>114</v>
      </c>
      <c r="D4784" t="s">
        <v>18</v>
      </c>
      <c r="E4784" s="3">
        <v>17</v>
      </c>
      <c r="F4784" t="s">
        <v>19</v>
      </c>
      <c r="G4784" t="s">
        <v>69</v>
      </c>
      <c r="H4784" t="s">
        <v>31</v>
      </c>
      <c r="I4784" s="12">
        <v>0.66319444444444442</v>
      </c>
      <c r="J4784" t="s">
        <v>70</v>
      </c>
      <c r="K4784" t="s">
        <v>31</v>
      </c>
      <c r="L4784" s="12">
        <v>0.69097222222222221</v>
      </c>
      <c r="M4784" t="s">
        <v>33</v>
      </c>
      <c r="N4784" s="3">
        <v>189</v>
      </c>
      <c r="O4784" t="s">
        <v>24</v>
      </c>
      <c r="P4784" t="s">
        <v>56</v>
      </c>
      <c r="R4784">
        <f>tblDailySchedule[[#This Row],[Capacity Approx]]*'[1]Load Factor Sheet June Acft  '!$B$5</f>
        <v>153.04704545454547</v>
      </c>
      <c r="S4784">
        <f>tblDailySchedule[[#This Row],[Capacity Approx]]*'[1]Load Factor Sheet June Acft  '!$D$5</f>
        <v>165.71863636363636</v>
      </c>
      <c r="T4784" s="22">
        <f>tblDailySchedule[[#This Row],[STD]]</f>
        <v>0.69097222222222221</v>
      </c>
    </row>
    <row r="4785" spans="1:20" hidden="1" x14ac:dyDescent="0.35">
      <c r="A4785" s="11">
        <v>46282</v>
      </c>
      <c r="B4785" s="3">
        <v>4</v>
      </c>
      <c r="C4785" t="s">
        <v>114</v>
      </c>
      <c r="D4785" t="s">
        <v>18</v>
      </c>
      <c r="E4785" s="3">
        <v>18</v>
      </c>
      <c r="F4785" t="s">
        <v>19</v>
      </c>
      <c r="G4785" t="s">
        <v>71</v>
      </c>
      <c r="H4785" t="s">
        <v>21</v>
      </c>
      <c r="I4785" s="12">
        <v>0.67013888888888884</v>
      </c>
      <c r="J4785" t="s">
        <v>72</v>
      </c>
      <c r="K4785" t="s">
        <v>21</v>
      </c>
      <c r="L4785" s="12">
        <v>0.69791666666666663</v>
      </c>
      <c r="M4785" t="s">
        <v>63</v>
      </c>
      <c r="N4785" s="3">
        <v>232</v>
      </c>
      <c r="O4785" t="s">
        <v>24</v>
      </c>
      <c r="P4785" t="s">
        <v>56</v>
      </c>
      <c r="R4785">
        <f>tblDailySchedule[[#This Row],[Capacity Approx]]*'[1]Load Factor Sheet June Acft  '!$B$5</f>
        <v>187.86727272727273</v>
      </c>
      <c r="S4785">
        <f>tblDailySchedule[[#This Row],[Capacity Approx]]*'[1]Load Factor Sheet June Acft  '!$D$5</f>
        <v>203.4218181818182</v>
      </c>
      <c r="T4785" s="22">
        <f>tblDailySchedule[[#This Row],[STD]]</f>
        <v>0.69791666666666663</v>
      </c>
    </row>
    <row r="4786" spans="1:20" hidden="1" x14ac:dyDescent="0.35">
      <c r="A4786" s="11">
        <v>46282</v>
      </c>
      <c r="B4786" s="3">
        <v>4</v>
      </c>
      <c r="C4786" t="s">
        <v>114</v>
      </c>
      <c r="D4786" t="s">
        <v>18</v>
      </c>
      <c r="E4786" s="3">
        <v>19</v>
      </c>
      <c r="F4786" t="s">
        <v>19</v>
      </c>
      <c r="G4786" t="s">
        <v>73</v>
      </c>
      <c r="H4786" t="s">
        <v>27</v>
      </c>
      <c r="I4786" s="12">
        <v>0.74652777777777779</v>
      </c>
      <c r="J4786" t="s">
        <v>74</v>
      </c>
      <c r="K4786" t="s">
        <v>27</v>
      </c>
      <c r="L4786" s="12">
        <v>0.77430555555555558</v>
      </c>
      <c r="M4786" t="s">
        <v>63</v>
      </c>
      <c r="N4786" s="3">
        <v>232</v>
      </c>
      <c r="O4786" t="s">
        <v>24</v>
      </c>
      <c r="P4786" t="s">
        <v>56</v>
      </c>
      <c r="R4786">
        <f>tblDailySchedule[[#This Row],[Capacity Approx]]*'[1]Load Factor Sheet June Acft  '!$B$5</f>
        <v>187.86727272727273</v>
      </c>
      <c r="S4786">
        <f>tblDailySchedule[[#This Row],[Capacity Approx]]*'[1]Load Factor Sheet June Acft  '!$D$5</f>
        <v>203.4218181818182</v>
      </c>
      <c r="T4786" s="22">
        <f>tblDailySchedule[[#This Row],[STD]]</f>
        <v>0.77430555555555558</v>
      </c>
    </row>
    <row r="4787" spans="1:20" hidden="1" x14ac:dyDescent="0.35">
      <c r="A4787" s="11">
        <v>46282</v>
      </c>
      <c r="B4787" s="3">
        <v>4</v>
      </c>
      <c r="C4787" t="s">
        <v>114</v>
      </c>
      <c r="D4787" t="s">
        <v>18</v>
      </c>
      <c r="E4787" s="3">
        <v>21</v>
      </c>
      <c r="F4787" t="s">
        <v>19</v>
      </c>
      <c r="G4787" t="s">
        <v>81</v>
      </c>
      <c r="H4787" t="s">
        <v>61</v>
      </c>
      <c r="I4787" s="12">
        <v>0.77083333333333337</v>
      </c>
      <c r="J4787" t="s">
        <v>82</v>
      </c>
      <c r="K4787" t="s">
        <v>49</v>
      </c>
      <c r="L4787" s="12">
        <v>0.79166666666666663</v>
      </c>
      <c r="M4787" t="s">
        <v>33</v>
      </c>
      <c r="N4787" s="3">
        <v>189</v>
      </c>
      <c r="O4787" t="s">
        <v>24</v>
      </c>
      <c r="P4787" t="s">
        <v>79</v>
      </c>
      <c r="R4787">
        <f>tblDailySchedule[[#This Row],[Capacity Approx]]*'[1]Load Factor Sheet June Acft  '!$B$5</f>
        <v>153.04704545454547</v>
      </c>
      <c r="S4787">
        <f>tblDailySchedule[[#This Row],[Capacity Approx]]*'[1]Load Factor Sheet June Acft  '!$D$5</f>
        <v>165.71863636363636</v>
      </c>
      <c r="T4787" s="22">
        <f>tblDailySchedule[[#This Row],[STD]]</f>
        <v>0.79166666666666663</v>
      </c>
    </row>
    <row r="4788" spans="1:20" hidden="1" x14ac:dyDescent="0.35">
      <c r="A4788" s="11">
        <v>46282</v>
      </c>
      <c r="B4788" s="3">
        <v>4</v>
      </c>
      <c r="C4788" t="s">
        <v>114</v>
      </c>
      <c r="D4788" t="s">
        <v>18</v>
      </c>
      <c r="E4788" s="3">
        <v>22</v>
      </c>
      <c r="F4788" t="s">
        <v>19</v>
      </c>
      <c r="G4788" t="s">
        <v>83</v>
      </c>
      <c r="H4788" t="s">
        <v>31</v>
      </c>
      <c r="I4788" s="12">
        <v>0.77777777777777779</v>
      </c>
      <c r="J4788" t="s">
        <v>84</v>
      </c>
      <c r="K4788" t="s">
        <v>31</v>
      </c>
      <c r="L4788" s="12">
        <v>0.80555555555555558</v>
      </c>
      <c r="M4788" t="s">
        <v>63</v>
      </c>
      <c r="N4788" s="3">
        <v>232</v>
      </c>
      <c r="O4788" t="s">
        <v>24</v>
      </c>
      <c r="P4788" t="s">
        <v>79</v>
      </c>
      <c r="R4788">
        <f>tblDailySchedule[[#This Row],[Capacity Approx]]*'[1]Load Factor Sheet June Acft  '!$B$5</f>
        <v>187.86727272727273</v>
      </c>
      <c r="S4788">
        <f>tblDailySchedule[[#This Row],[Capacity Approx]]*'[1]Load Factor Sheet June Acft  '!$D$5</f>
        <v>203.4218181818182</v>
      </c>
      <c r="T4788" s="22">
        <f>tblDailySchedule[[#This Row],[STD]]</f>
        <v>0.80555555555555558</v>
      </c>
    </row>
    <row r="4789" spans="1:20" hidden="1" x14ac:dyDescent="0.35">
      <c r="A4789" s="11">
        <v>46282</v>
      </c>
      <c r="B4789" s="3">
        <v>4</v>
      </c>
      <c r="C4789" t="s">
        <v>114</v>
      </c>
      <c r="D4789" t="s">
        <v>18</v>
      </c>
      <c r="E4789" s="3">
        <v>23</v>
      </c>
      <c r="F4789" t="s">
        <v>19</v>
      </c>
      <c r="G4789" t="s">
        <v>85</v>
      </c>
      <c r="H4789" t="s">
        <v>86</v>
      </c>
      <c r="I4789" s="12">
        <v>0.79861111111111116</v>
      </c>
      <c r="J4789" t="s">
        <v>87</v>
      </c>
      <c r="K4789" t="s">
        <v>86</v>
      </c>
      <c r="L4789" s="12">
        <v>0.82638888888888884</v>
      </c>
      <c r="M4789" t="s">
        <v>63</v>
      </c>
      <c r="N4789" s="3">
        <v>232</v>
      </c>
      <c r="O4789" t="s">
        <v>24</v>
      </c>
      <c r="P4789" t="s">
        <v>79</v>
      </c>
      <c r="R4789">
        <f>tblDailySchedule[[#This Row],[Capacity Approx]]*'[1]Load Factor Sheet June Acft  '!$B$5</f>
        <v>187.86727272727273</v>
      </c>
      <c r="S4789">
        <f>tblDailySchedule[[#This Row],[Capacity Approx]]*'[1]Load Factor Sheet June Acft  '!$D$5</f>
        <v>203.4218181818182</v>
      </c>
      <c r="T4789" s="22">
        <f>tblDailySchedule[[#This Row],[STD]]</f>
        <v>0.82638888888888884</v>
      </c>
    </row>
    <row r="4790" spans="1:20" hidden="1" x14ac:dyDescent="0.35">
      <c r="A4790" s="11">
        <v>46282</v>
      </c>
      <c r="B4790" s="3">
        <v>4</v>
      </c>
      <c r="C4790" t="s">
        <v>114</v>
      </c>
      <c r="D4790" t="s">
        <v>18</v>
      </c>
      <c r="E4790" s="3">
        <v>24</v>
      </c>
      <c r="F4790" t="s">
        <v>19</v>
      </c>
      <c r="G4790" t="s">
        <v>88</v>
      </c>
      <c r="H4790" t="s">
        <v>89</v>
      </c>
      <c r="I4790" s="12">
        <v>0.83333333333333337</v>
      </c>
      <c r="J4790" t="s">
        <v>90</v>
      </c>
      <c r="K4790" t="s">
        <v>31</v>
      </c>
      <c r="L4790" s="12">
        <v>0.86111111111111116</v>
      </c>
      <c r="M4790" t="s">
        <v>63</v>
      </c>
      <c r="N4790" s="3">
        <v>232</v>
      </c>
      <c r="O4790" t="s">
        <v>24</v>
      </c>
      <c r="P4790" t="s">
        <v>79</v>
      </c>
      <c r="R4790">
        <f>tblDailySchedule[[#This Row],[Capacity Approx]]*'[1]Load Factor Sheet June Acft  '!$B$5</f>
        <v>187.86727272727273</v>
      </c>
      <c r="S4790">
        <f>tblDailySchedule[[#This Row],[Capacity Approx]]*'[1]Load Factor Sheet June Acft  '!$D$5</f>
        <v>203.4218181818182</v>
      </c>
      <c r="T4790" s="22">
        <f>tblDailySchedule[[#This Row],[STD]]</f>
        <v>0.86111111111111116</v>
      </c>
    </row>
    <row r="4791" spans="1:20" hidden="1" x14ac:dyDescent="0.35">
      <c r="A4791" s="11">
        <v>46282</v>
      </c>
      <c r="B4791" s="3">
        <v>4</v>
      </c>
      <c r="C4791" t="s">
        <v>114</v>
      </c>
      <c r="D4791" t="s">
        <v>18</v>
      </c>
      <c r="E4791" s="3">
        <v>25</v>
      </c>
      <c r="F4791" t="s">
        <v>19</v>
      </c>
      <c r="G4791" t="s">
        <v>91</v>
      </c>
      <c r="H4791" t="s">
        <v>61</v>
      </c>
      <c r="I4791" s="12">
        <v>0.85416666666666663</v>
      </c>
      <c r="J4791" t="s">
        <v>92</v>
      </c>
      <c r="K4791" t="s">
        <v>61</v>
      </c>
      <c r="L4791" s="12">
        <v>0.88194444444444442</v>
      </c>
      <c r="M4791" t="s">
        <v>63</v>
      </c>
      <c r="N4791" s="3">
        <v>232</v>
      </c>
      <c r="O4791" t="s">
        <v>24</v>
      </c>
      <c r="P4791" t="s">
        <v>79</v>
      </c>
      <c r="R4791">
        <f>tblDailySchedule[[#This Row],[Capacity Approx]]*'[1]Load Factor Sheet June Acft  '!$B$5</f>
        <v>187.86727272727273</v>
      </c>
      <c r="S4791">
        <f>tblDailySchedule[[#This Row],[Capacity Approx]]*'[1]Load Factor Sheet June Acft  '!$D$5</f>
        <v>203.4218181818182</v>
      </c>
      <c r="T4791" s="22">
        <f>tblDailySchedule[[#This Row],[STD]]</f>
        <v>0.88194444444444442</v>
      </c>
    </row>
    <row r="4792" spans="1:20" hidden="1" x14ac:dyDescent="0.35">
      <c r="A4792" s="11">
        <v>46282</v>
      </c>
      <c r="B4792" s="3">
        <v>4</v>
      </c>
      <c r="C4792" t="s">
        <v>114</v>
      </c>
      <c r="D4792" t="s">
        <v>18</v>
      </c>
      <c r="E4792" s="3">
        <v>26</v>
      </c>
      <c r="F4792" t="s">
        <v>19</v>
      </c>
      <c r="G4792" t="s">
        <v>93</v>
      </c>
      <c r="H4792" t="s">
        <v>31</v>
      </c>
      <c r="I4792" s="12">
        <v>0.86111111111111116</v>
      </c>
      <c r="J4792" t="s">
        <v>94</v>
      </c>
      <c r="K4792" t="s">
        <v>31</v>
      </c>
      <c r="L4792" s="12">
        <v>0.88888888888888884</v>
      </c>
      <c r="M4792" t="s">
        <v>23</v>
      </c>
      <c r="N4792" s="3">
        <v>186</v>
      </c>
      <c r="O4792" t="s">
        <v>24</v>
      </c>
      <c r="P4792" t="s">
        <v>79</v>
      </c>
      <c r="R4792">
        <f>tblDailySchedule[[#This Row],[Capacity Approx]]*'[1]Load Factor Sheet June Acft  '!$B$5</f>
        <v>150.61772727272728</v>
      </c>
      <c r="S4792">
        <f>tblDailySchedule[[#This Row],[Capacity Approx]]*'[1]Load Factor Sheet June Acft  '!$D$5</f>
        <v>163.08818181818182</v>
      </c>
      <c r="T4792" s="22">
        <f>tblDailySchedule[[#This Row],[STD]]</f>
        <v>0.88888888888888884</v>
      </c>
    </row>
    <row r="4793" spans="1:20" hidden="1" x14ac:dyDescent="0.35">
      <c r="A4793" s="11">
        <v>46282</v>
      </c>
      <c r="B4793" s="3">
        <v>4</v>
      </c>
      <c r="C4793" t="s">
        <v>114</v>
      </c>
      <c r="D4793" t="s">
        <v>18</v>
      </c>
      <c r="E4793" s="3">
        <v>27</v>
      </c>
      <c r="F4793" t="s">
        <v>19</v>
      </c>
      <c r="G4793" t="s">
        <v>95</v>
      </c>
      <c r="H4793" t="s">
        <v>21</v>
      </c>
      <c r="I4793" s="12">
        <v>0.86805555555555558</v>
      </c>
      <c r="J4793" t="s">
        <v>96</v>
      </c>
      <c r="K4793" t="s">
        <v>21</v>
      </c>
      <c r="L4793" s="12">
        <v>0.89583333333333337</v>
      </c>
      <c r="M4793" t="s">
        <v>29</v>
      </c>
      <c r="N4793" s="3">
        <v>186</v>
      </c>
      <c r="O4793" t="s">
        <v>24</v>
      </c>
      <c r="P4793" t="s">
        <v>79</v>
      </c>
      <c r="R4793">
        <f>tblDailySchedule[[#This Row],[Capacity Approx]]*'[1]Load Factor Sheet June Acft  '!$B$5</f>
        <v>150.61772727272728</v>
      </c>
      <c r="S4793">
        <f>tblDailySchedule[[#This Row],[Capacity Approx]]*'[1]Load Factor Sheet June Acft  '!$D$5</f>
        <v>163.08818181818182</v>
      </c>
      <c r="T4793" s="22">
        <f>tblDailySchedule[[#This Row],[STD]]</f>
        <v>0.89583333333333337</v>
      </c>
    </row>
    <row r="4794" spans="1:20" hidden="1" x14ac:dyDescent="0.35">
      <c r="A4794" s="11">
        <v>46282</v>
      </c>
      <c r="B4794" s="3">
        <v>4</v>
      </c>
      <c r="C4794" t="s">
        <v>114</v>
      </c>
      <c r="D4794" t="s">
        <v>18</v>
      </c>
      <c r="E4794" s="3">
        <v>28</v>
      </c>
      <c r="F4794" t="s">
        <v>19</v>
      </c>
      <c r="G4794" t="s">
        <v>97</v>
      </c>
      <c r="H4794" t="s">
        <v>49</v>
      </c>
      <c r="I4794" s="12">
        <v>0.90277777777777779</v>
      </c>
      <c r="J4794" t="s">
        <v>97</v>
      </c>
      <c r="K4794" t="s">
        <v>61</v>
      </c>
      <c r="L4794" s="12">
        <v>0.92361111111111116</v>
      </c>
      <c r="M4794" t="s">
        <v>33</v>
      </c>
      <c r="N4794" s="3">
        <v>189</v>
      </c>
      <c r="O4794" t="s">
        <v>24</v>
      </c>
      <c r="P4794" t="s">
        <v>79</v>
      </c>
      <c r="R4794">
        <f>tblDailySchedule[[#This Row],[Capacity Approx]]*'[1]Load Factor Sheet June Acft  '!$B$5</f>
        <v>153.04704545454547</v>
      </c>
      <c r="S4794">
        <f>tblDailySchedule[[#This Row],[Capacity Approx]]*'[1]Load Factor Sheet June Acft  '!$D$5</f>
        <v>165.71863636363636</v>
      </c>
      <c r="T4794" s="22">
        <f>tblDailySchedule[[#This Row],[STD]]</f>
        <v>0.92361111111111116</v>
      </c>
    </row>
    <row r="4795" spans="1:20" hidden="1" x14ac:dyDescent="0.35">
      <c r="A4795" s="11">
        <v>46282</v>
      </c>
      <c r="B4795" s="3">
        <v>4</v>
      </c>
      <c r="C4795" t="s">
        <v>114</v>
      </c>
      <c r="D4795" t="s">
        <v>18</v>
      </c>
      <c r="E4795" s="3">
        <v>29</v>
      </c>
      <c r="F4795" t="s">
        <v>19</v>
      </c>
      <c r="G4795" t="s">
        <v>98</v>
      </c>
      <c r="H4795" t="s">
        <v>21</v>
      </c>
      <c r="I4795" s="12">
        <v>0.92013888888888884</v>
      </c>
      <c r="J4795" t="s">
        <v>99</v>
      </c>
      <c r="K4795" t="s">
        <v>21</v>
      </c>
      <c r="L4795" s="12">
        <v>0.94791666666666663</v>
      </c>
      <c r="M4795" t="s">
        <v>63</v>
      </c>
      <c r="N4795" s="3">
        <v>232</v>
      </c>
      <c r="O4795" t="s">
        <v>24</v>
      </c>
      <c r="P4795" t="s">
        <v>79</v>
      </c>
      <c r="R4795">
        <f>tblDailySchedule[[#This Row],[Capacity Approx]]*'[1]Load Factor Sheet June Acft  '!$B$5</f>
        <v>187.86727272727273</v>
      </c>
      <c r="S4795">
        <f>tblDailySchedule[[#This Row],[Capacity Approx]]*'[1]Load Factor Sheet June Acft  '!$D$5</f>
        <v>203.4218181818182</v>
      </c>
      <c r="T4795" s="22">
        <f>tblDailySchedule[[#This Row],[STD]]</f>
        <v>0.94791666666666663</v>
      </c>
    </row>
    <row r="4796" spans="1:20" hidden="1" x14ac:dyDescent="0.35">
      <c r="A4796" s="11">
        <v>46283</v>
      </c>
      <c r="B4796" s="3">
        <v>5</v>
      </c>
      <c r="C4796" t="s">
        <v>115</v>
      </c>
      <c r="D4796" t="s">
        <v>18</v>
      </c>
      <c r="E4796" s="3">
        <v>2</v>
      </c>
      <c r="F4796" t="s">
        <v>19</v>
      </c>
      <c r="G4796" t="s">
        <v>20</v>
      </c>
      <c r="H4796" t="s">
        <v>21</v>
      </c>
      <c r="I4796" s="12">
        <v>0.31944444444444442</v>
      </c>
      <c r="J4796" t="s">
        <v>22</v>
      </c>
      <c r="K4796" t="s">
        <v>21</v>
      </c>
      <c r="L4796" s="12">
        <v>0.34722222222222221</v>
      </c>
      <c r="M4796" t="s">
        <v>23</v>
      </c>
      <c r="N4796" s="3">
        <v>186</v>
      </c>
      <c r="O4796" t="s">
        <v>24</v>
      </c>
      <c r="P4796" t="s">
        <v>25</v>
      </c>
      <c r="R4796">
        <f>tblDailySchedule[[#This Row],[Capacity Approx]]*'[1]Load Factor Sheet June Acft  '!$B$5</f>
        <v>150.61772727272728</v>
      </c>
      <c r="S4796">
        <f>tblDailySchedule[[#This Row],[Capacity Approx]]*'[1]Load Factor Sheet June Acft  '!$D$5</f>
        <v>163.08818181818182</v>
      </c>
      <c r="T4796" s="22">
        <f>tblDailySchedule[[#This Row],[STD]]</f>
        <v>0.34722222222222221</v>
      </c>
    </row>
    <row r="4797" spans="1:20" hidden="1" x14ac:dyDescent="0.35">
      <c r="A4797" s="11">
        <v>46283</v>
      </c>
      <c r="B4797" s="3">
        <v>5</v>
      </c>
      <c r="C4797" t="s">
        <v>115</v>
      </c>
      <c r="D4797" t="s">
        <v>18</v>
      </c>
      <c r="E4797" s="3">
        <v>3</v>
      </c>
      <c r="F4797" t="s">
        <v>19</v>
      </c>
      <c r="G4797" t="s">
        <v>26</v>
      </c>
      <c r="H4797" t="s">
        <v>27</v>
      </c>
      <c r="I4797" s="12">
        <v>0.3263888888888889</v>
      </c>
      <c r="J4797" t="s">
        <v>28</v>
      </c>
      <c r="K4797" t="s">
        <v>27</v>
      </c>
      <c r="L4797" s="12">
        <v>0.35416666666666669</v>
      </c>
      <c r="M4797" t="s">
        <v>29</v>
      </c>
      <c r="N4797" s="3">
        <v>186</v>
      </c>
      <c r="O4797" t="s">
        <v>24</v>
      </c>
      <c r="P4797" t="s">
        <v>25</v>
      </c>
      <c r="R4797">
        <f>tblDailySchedule[[#This Row],[Capacity Approx]]*'[1]Load Factor Sheet June Acft  '!$B$5</f>
        <v>150.61772727272728</v>
      </c>
      <c r="S4797">
        <f>tblDailySchedule[[#This Row],[Capacity Approx]]*'[1]Load Factor Sheet June Acft  '!$D$5</f>
        <v>163.08818181818182</v>
      </c>
      <c r="T4797" s="22">
        <f>tblDailySchedule[[#This Row],[STD]]</f>
        <v>0.35416666666666669</v>
      </c>
    </row>
    <row r="4798" spans="1:20" hidden="1" x14ac:dyDescent="0.35">
      <c r="A4798" s="11">
        <v>46283</v>
      </c>
      <c r="B4798" s="3">
        <v>5</v>
      </c>
      <c r="C4798" t="s">
        <v>115</v>
      </c>
      <c r="D4798" t="s">
        <v>18</v>
      </c>
      <c r="E4798" s="3">
        <v>4</v>
      </c>
      <c r="F4798" t="s">
        <v>19</v>
      </c>
      <c r="G4798" t="s">
        <v>30</v>
      </c>
      <c r="H4798" t="s">
        <v>31</v>
      </c>
      <c r="I4798" s="12">
        <v>0.34722222222222221</v>
      </c>
      <c r="J4798" t="s">
        <v>32</v>
      </c>
      <c r="K4798" t="s">
        <v>31</v>
      </c>
      <c r="L4798" s="12">
        <v>0.36805555555555558</v>
      </c>
      <c r="M4798" t="s">
        <v>33</v>
      </c>
      <c r="N4798" s="3">
        <v>189</v>
      </c>
      <c r="O4798" t="s">
        <v>24</v>
      </c>
      <c r="P4798" t="s">
        <v>25</v>
      </c>
      <c r="R4798">
        <f>tblDailySchedule[[#This Row],[Capacity Approx]]*'[1]Load Factor Sheet June Acft  '!$B$5</f>
        <v>153.04704545454547</v>
      </c>
      <c r="S4798">
        <f>tblDailySchedule[[#This Row],[Capacity Approx]]*'[1]Load Factor Sheet June Acft  '!$D$5</f>
        <v>165.71863636363636</v>
      </c>
      <c r="T4798" s="22">
        <f>tblDailySchedule[[#This Row],[STD]]</f>
        <v>0.36805555555555558</v>
      </c>
    </row>
    <row r="4799" spans="1:20" hidden="1" x14ac:dyDescent="0.35">
      <c r="A4799" s="13">
        <v>46283</v>
      </c>
      <c r="B4799" s="7">
        <v>5</v>
      </c>
      <c r="C4799" s="14" t="s">
        <v>115</v>
      </c>
      <c r="D4799" s="14" t="s">
        <v>18</v>
      </c>
      <c r="E4799" s="7">
        <v>6</v>
      </c>
      <c r="F4799" s="14" t="s">
        <v>34</v>
      </c>
      <c r="G4799" s="14" t="s">
        <v>35</v>
      </c>
      <c r="H4799" s="14" t="s">
        <v>36</v>
      </c>
      <c r="I4799" s="15">
        <v>0.34722222222222221</v>
      </c>
      <c r="J4799" s="14" t="s">
        <v>37</v>
      </c>
      <c r="K4799" s="14" t="s">
        <v>36</v>
      </c>
      <c r="L4799" s="15">
        <v>0.40972222222222221</v>
      </c>
      <c r="M4799" s="14" t="s">
        <v>38</v>
      </c>
      <c r="N4799" s="7">
        <v>186</v>
      </c>
      <c r="O4799" s="14" t="s">
        <v>39</v>
      </c>
      <c r="P4799" s="14" t="s">
        <v>25</v>
      </c>
      <c r="Q4799" s="14" t="s">
        <v>39</v>
      </c>
      <c r="R4799">
        <f>tblDailySchedule[[#This Row],[Capacity Approx]]*'[1]Load Factor Sheet June Acft  '!$B$5</f>
        <v>150.61772727272728</v>
      </c>
      <c r="S4799">
        <f>tblDailySchedule[[#This Row],[Capacity Approx]]*'[1]Load Factor Sheet June Acft  '!$D$5</f>
        <v>163.08818181818182</v>
      </c>
      <c r="T4799" s="22">
        <f>tblDailySchedule[[#This Row],[STD]]</f>
        <v>0.40972222222222221</v>
      </c>
    </row>
    <row r="4800" spans="1:20" hidden="1" x14ac:dyDescent="0.35">
      <c r="A4800" s="11">
        <v>46283</v>
      </c>
      <c r="B4800" s="3">
        <v>5</v>
      </c>
      <c r="C4800" t="s">
        <v>115</v>
      </c>
      <c r="D4800" t="s">
        <v>18</v>
      </c>
      <c r="E4800" s="3">
        <v>5</v>
      </c>
      <c r="F4800" t="s">
        <v>19</v>
      </c>
      <c r="G4800" t="s">
        <v>40</v>
      </c>
      <c r="H4800" t="s">
        <v>31</v>
      </c>
      <c r="I4800" s="12">
        <v>0.35069444444444442</v>
      </c>
      <c r="J4800" t="s">
        <v>41</v>
      </c>
      <c r="K4800" t="s">
        <v>31</v>
      </c>
      <c r="L4800" s="12">
        <v>0.37152777777777779</v>
      </c>
      <c r="M4800" t="s">
        <v>23</v>
      </c>
      <c r="N4800" s="3">
        <v>186</v>
      </c>
      <c r="O4800" t="s">
        <v>24</v>
      </c>
      <c r="P4800" t="s">
        <v>25</v>
      </c>
      <c r="R4800">
        <f>tblDailySchedule[[#This Row],[Capacity Approx]]*'[1]Load Factor Sheet June Acft  '!$B$5</f>
        <v>150.61772727272728</v>
      </c>
      <c r="S4800">
        <f>tblDailySchedule[[#This Row],[Capacity Approx]]*'[1]Load Factor Sheet June Acft  '!$D$5</f>
        <v>163.08818181818182</v>
      </c>
      <c r="T4800" s="22">
        <f>tblDailySchedule[[#This Row],[STD]]</f>
        <v>0.37152777777777779</v>
      </c>
    </row>
    <row r="4801" spans="1:20" hidden="1" x14ac:dyDescent="0.35">
      <c r="A4801" s="11">
        <v>46283</v>
      </c>
      <c r="B4801" s="3">
        <v>5</v>
      </c>
      <c r="C4801" t="s">
        <v>115</v>
      </c>
      <c r="D4801" t="s">
        <v>18</v>
      </c>
      <c r="E4801" s="3">
        <v>7</v>
      </c>
      <c r="F4801" t="s">
        <v>19</v>
      </c>
      <c r="G4801" t="s">
        <v>42</v>
      </c>
      <c r="H4801" t="s">
        <v>43</v>
      </c>
      <c r="I4801" s="12">
        <v>0.3923611111111111</v>
      </c>
      <c r="J4801" t="s">
        <v>44</v>
      </c>
      <c r="K4801" t="s">
        <v>43</v>
      </c>
      <c r="L4801" s="12">
        <v>0.40277777777777779</v>
      </c>
      <c r="M4801" t="s">
        <v>45</v>
      </c>
      <c r="N4801" s="3">
        <v>9</v>
      </c>
      <c r="O4801" t="s">
        <v>24</v>
      </c>
      <c r="P4801" t="s">
        <v>25</v>
      </c>
      <c r="R4801">
        <f>tblDailySchedule[[#This Row],[Capacity Approx]]*'[1]Load Factor Sheet June Acft  '!$B$5</f>
        <v>7.2879545454545456</v>
      </c>
      <c r="S4801">
        <f>tblDailySchedule[[#This Row],[Capacity Approx]]*'[1]Load Factor Sheet June Acft  '!$D$5</f>
        <v>7.8913636363636366</v>
      </c>
      <c r="T4801" s="22">
        <f>tblDailySchedule[[#This Row],[STD]]</f>
        <v>0.40277777777777779</v>
      </c>
    </row>
    <row r="4802" spans="1:20" hidden="1" x14ac:dyDescent="0.35">
      <c r="A4802" s="11">
        <v>46283</v>
      </c>
      <c r="B4802" s="3">
        <v>5</v>
      </c>
      <c r="C4802" t="s">
        <v>115</v>
      </c>
      <c r="D4802" t="s">
        <v>18</v>
      </c>
      <c r="E4802" s="3">
        <v>8</v>
      </c>
      <c r="F4802" t="s">
        <v>19</v>
      </c>
      <c r="G4802" t="s">
        <v>46</v>
      </c>
      <c r="H4802" t="s">
        <v>31</v>
      </c>
      <c r="I4802" s="12">
        <v>0.4201388888888889</v>
      </c>
      <c r="J4802" t="s">
        <v>47</v>
      </c>
      <c r="K4802" t="s">
        <v>31</v>
      </c>
      <c r="L4802" s="12">
        <v>0.44444444444444442</v>
      </c>
      <c r="M4802" t="s">
        <v>29</v>
      </c>
      <c r="N4802" s="3">
        <v>186</v>
      </c>
      <c r="O4802" t="s">
        <v>24</v>
      </c>
      <c r="P4802" t="s">
        <v>25</v>
      </c>
      <c r="R4802">
        <f>tblDailySchedule[[#This Row],[Capacity Approx]]*'[1]Load Factor Sheet June Acft  '!$B$5</f>
        <v>150.61772727272728</v>
      </c>
      <c r="S4802">
        <f>tblDailySchedule[[#This Row],[Capacity Approx]]*'[1]Load Factor Sheet June Acft  '!$D$5</f>
        <v>163.08818181818182</v>
      </c>
      <c r="T4802" s="22">
        <f>tblDailySchedule[[#This Row],[STD]]</f>
        <v>0.44444444444444442</v>
      </c>
    </row>
    <row r="4803" spans="1:20" hidden="1" x14ac:dyDescent="0.35">
      <c r="A4803" s="11">
        <v>46283</v>
      </c>
      <c r="B4803" s="3">
        <v>5</v>
      </c>
      <c r="C4803" t="s">
        <v>115</v>
      </c>
      <c r="D4803" t="s">
        <v>18</v>
      </c>
      <c r="E4803" s="3">
        <v>9</v>
      </c>
      <c r="F4803" t="s">
        <v>19</v>
      </c>
      <c r="G4803" t="s">
        <v>48</v>
      </c>
      <c r="H4803" t="s">
        <v>49</v>
      </c>
      <c r="I4803" s="12">
        <v>0.4375</v>
      </c>
      <c r="J4803" t="s">
        <v>50</v>
      </c>
      <c r="K4803" t="s">
        <v>49</v>
      </c>
      <c r="L4803" s="12">
        <v>0.45833333333333331</v>
      </c>
      <c r="M4803" t="s">
        <v>51</v>
      </c>
      <c r="N4803" s="3">
        <v>78</v>
      </c>
      <c r="O4803" t="s">
        <v>24</v>
      </c>
      <c r="P4803" t="s">
        <v>25</v>
      </c>
      <c r="R4803">
        <f>tblDailySchedule[[#This Row],[Capacity Approx]]*'[1]Load Factor Sheet June Acft  '!$B$5</f>
        <v>63.162272727272729</v>
      </c>
      <c r="S4803">
        <f>tblDailySchedule[[#This Row],[Capacity Approx]]*'[1]Load Factor Sheet June Acft  '!$D$5</f>
        <v>68.391818181818181</v>
      </c>
      <c r="T4803" s="22">
        <f>tblDailySchedule[[#This Row],[STD]]</f>
        <v>0.45833333333333331</v>
      </c>
    </row>
    <row r="4804" spans="1:20" hidden="1" x14ac:dyDescent="0.35">
      <c r="A4804" s="11">
        <v>46283</v>
      </c>
      <c r="B4804" s="3">
        <v>5</v>
      </c>
      <c r="C4804" t="s">
        <v>115</v>
      </c>
      <c r="D4804" t="s">
        <v>18</v>
      </c>
      <c r="E4804" s="3">
        <v>10</v>
      </c>
      <c r="F4804" t="s">
        <v>19</v>
      </c>
      <c r="G4804" t="s">
        <v>52</v>
      </c>
      <c r="H4804" t="s">
        <v>27</v>
      </c>
      <c r="I4804" s="12">
        <v>0.4826388888888889</v>
      </c>
      <c r="J4804" t="s">
        <v>53</v>
      </c>
      <c r="K4804" t="s">
        <v>27</v>
      </c>
      <c r="L4804" s="12">
        <v>0.51041666666666663</v>
      </c>
      <c r="M4804" t="s">
        <v>23</v>
      </c>
      <c r="N4804" s="3">
        <v>186</v>
      </c>
      <c r="O4804" t="s">
        <v>24</v>
      </c>
      <c r="P4804" t="s">
        <v>25</v>
      </c>
      <c r="R4804">
        <f>tblDailySchedule[[#This Row],[Capacity Approx]]*'[1]Load Factor Sheet June Acft  '!$B$5</f>
        <v>150.61772727272728</v>
      </c>
      <c r="S4804">
        <f>tblDailySchedule[[#This Row],[Capacity Approx]]*'[1]Load Factor Sheet June Acft  '!$D$5</f>
        <v>163.08818181818182</v>
      </c>
      <c r="T4804" s="22">
        <f>tblDailySchedule[[#This Row],[STD]]</f>
        <v>0.51041666666666663</v>
      </c>
    </row>
    <row r="4805" spans="1:20" hidden="1" x14ac:dyDescent="0.35">
      <c r="A4805" s="11">
        <v>46283</v>
      </c>
      <c r="B4805" s="3">
        <v>5</v>
      </c>
      <c r="C4805" t="s">
        <v>115</v>
      </c>
      <c r="D4805" t="s">
        <v>18</v>
      </c>
      <c r="E4805" s="3">
        <v>11</v>
      </c>
      <c r="F4805" t="s">
        <v>19</v>
      </c>
      <c r="G4805" t="s">
        <v>54</v>
      </c>
      <c r="H4805" t="s">
        <v>31</v>
      </c>
      <c r="I4805" s="12">
        <v>0.51388888888888884</v>
      </c>
      <c r="J4805" t="s">
        <v>55</v>
      </c>
      <c r="K4805" t="s">
        <v>31</v>
      </c>
      <c r="L4805" s="12">
        <v>0.54166666666666663</v>
      </c>
      <c r="M4805" t="s">
        <v>23</v>
      </c>
      <c r="N4805" s="3">
        <v>186</v>
      </c>
      <c r="O4805" t="s">
        <v>24</v>
      </c>
      <c r="P4805" t="s">
        <v>56</v>
      </c>
      <c r="R4805">
        <f>tblDailySchedule[[#This Row],[Capacity Approx]]*'[1]Load Factor Sheet June Acft  '!$B$5</f>
        <v>150.61772727272728</v>
      </c>
      <c r="S4805">
        <f>tblDailySchedule[[#This Row],[Capacity Approx]]*'[1]Load Factor Sheet June Acft  '!$D$5</f>
        <v>163.08818181818182</v>
      </c>
      <c r="T4805" s="22">
        <f>tblDailySchedule[[#This Row],[STD]]</f>
        <v>0.54166666666666663</v>
      </c>
    </row>
    <row r="4806" spans="1:20" hidden="1" x14ac:dyDescent="0.35">
      <c r="A4806" s="11">
        <v>46283</v>
      </c>
      <c r="B4806" s="3">
        <v>5</v>
      </c>
      <c r="C4806" t="s">
        <v>115</v>
      </c>
      <c r="D4806" t="s">
        <v>18</v>
      </c>
      <c r="E4806" s="3">
        <v>13</v>
      </c>
      <c r="F4806" t="s">
        <v>19</v>
      </c>
      <c r="G4806" t="s">
        <v>57</v>
      </c>
      <c r="H4806" t="s">
        <v>58</v>
      </c>
      <c r="I4806" s="12">
        <v>0.55902777777777779</v>
      </c>
      <c r="J4806" t="s">
        <v>59</v>
      </c>
      <c r="K4806" t="s">
        <v>58</v>
      </c>
      <c r="L4806" s="12">
        <v>0.57638888888888884</v>
      </c>
      <c r="M4806" t="s">
        <v>51</v>
      </c>
      <c r="N4806" s="3">
        <v>78</v>
      </c>
      <c r="O4806" t="s">
        <v>24</v>
      </c>
      <c r="P4806" t="s">
        <v>56</v>
      </c>
      <c r="R4806">
        <f>tblDailySchedule[[#This Row],[Capacity Approx]]*'[1]Load Factor Sheet June Acft  '!$B$5</f>
        <v>63.162272727272729</v>
      </c>
      <c r="S4806">
        <f>tblDailySchedule[[#This Row],[Capacity Approx]]*'[1]Load Factor Sheet June Acft  '!$D$5</f>
        <v>68.391818181818181</v>
      </c>
      <c r="T4806" s="22">
        <f>tblDailySchedule[[#This Row],[STD]]</f>
        <v>0.57638888888888884</v>
      </c>
    </row>
    <row r="4807" spans="1:20" hidden="1" x14ac:dyDescent="0.35">
      <c r="A4807" s="11">
        <v>46283</v>
      </c>
      <c r="B4807" s="3">
        <v>5</v>
      </c>
      <c r="C4807" t="s">
        <v>115</v>
      </c>
      <c r="D4807" t="s">
        <v>18</v>
      </c>
      <c r="E4807" s="3">
        <v>14</v>
      </c>
      <c r="F4807" t="s">
        <v>19</v>
      </c>
      <c r="G4807" t="s">
        <v>60</v>
      </c>
      <c r="H4807" t="s">
        <v>61</v>
      </c>
      <c r="I4807" s="12">
        <v>0.59027777777777779</v>
      </c>
      <c r="J4807" t="s">
        <v>62</v>
      </c>
      <c r="K4807" t="s">
        <v>61</v>
      </c>
      <c r="L4807" s="12">
        <v>0.62152777777777779</v>
      </c>
      <c r="M4807" t="s">
        <v>63</v>
      </c>
      <c r="N4807" s="3">
        <v>232</v>
      </c>
      <c r="O4807" t="s">
        <v>24</v>
      </c>
      <c r="P4807" t="s">
        <v>56</v>
      </c>
      <c r="R4807">
        <f>tblDailySchedule[[#This Row],[Capacity Approx]]*'[1]Load Factor Sheet June Acft  '!$B$5</f>
        <v>187.86727272727273</v>
      </c>
      <c r="S4807">
        <f>tblDailySchedule[[#This Row],[Capacity Approx]]*'[1]Load Factor Sheet June Acft  '!$D$5</f>
        <v>203.4218181818182</v>
      </c>
      <c r="T4807" s="22">
        <f>tblDailySchedule[[#This Row],[STD]]</f>
        <v>0.62152777777777779</v>
      </c>
    </row>
    <row r="4808" spans="1:20" hidden="1" x14ac:dyDescent="0.35">
      <c r="A4808" s="11">
        <v>46283</v>
      </c>
      <c r="B4808" s="3">
        <v>5</v>
      </c>
      <c r="C4808" t="s">
        <v>115</v>
      </c>
      <c r="D4808" t="s">
        <v>18</v>
      </c>
      <c r="E4808" s="3">
        <v>15</v>
      </c>
      <c r="F4808" t="s">
        <v>19</v>
      </c>
      <c r="G4808" t="s">
        <v>64</v>
      </c>
      <c r="H4808" t="s">
        <v>31</v>
      </c>
      <c r="I4808" s="12">
        <v>0.60069444444444442</v>
      </c>
      <c r="J4808" t="s">
        <v>65</v>
      </c>
      <c r="K4808" t="s">
        <v>66</v>
      </c>
      <c r="L4808" s="12">
        <v>0.62847222222222221</v>
      </c>
      <c r="M4808" t="s">
        <v>63</v>
      </c>
      <c r="N4808" s="3">
        <v>232</v>
      </c>
      <c r="O4808" t="s">
        <v>24</v>
      </c>
      <c r="P4808" t="s">
        <v>56</v>
      </c>
      <c r="R4808">
        <f>tblDailySchedule[[#This Row],[Capacity Approx]]*'[1]Load Factor Sheet June Acft  '!$B$5</f>
        <v>187.86727272727273</v>
      </c>
      <c r="S4808">
        <f>tblDailySchedule[[#This Row],[Capacity Approx]]*'[1]Load Factor Sheet June Acft  '!$D$5</f>
        <v>203.4218181818182</v>
      </c>
      <c r="T4808" s="22">
        <f>tblDailySchedule[[#This Row],[STD]]</f>
        <v>0.62847222222222221</v>
      </c>
    </row>
    <row r="4809" spans="1:20" hidden="1" x14ac:dyDescent="0.35">
      <c r="A4809" s="11">
        <v>46283</v>
      </c>
      <c r="B4809" s="3">
        <v>5</v>
      </c>
      <c r="C4809" t="s">
        <v>115</v>
      </c>
      <c r="D4809" t="s">
        <v>18</v>
      </c>
      <c r="E4809" s="3">
        <v>16</v>
      </c>
      <c r="F4809" t="s">
        <v>19</v>
      </c>
      <c r="G4809" t="s">
        <v>67</v>
      </c>
      <c r="H4809" t="s">
        <v>31</v>
      </c>
      <c r="I4809" s="12">
        <v>0.65625</v>
      </c>
      <c r="J4809" t="s">
        <v>68</v>
      </c>
      <c r="K4809" t="s">
        <v>31</v>
      </c>
      <c r="L4809" s="12">
        <v>0.68402777777777779</v>
      </c>
      <c r="M4809" t="s">
        <v>63</v>
      </c>
      <c r="N4809" s="3">
        <v>232</v>
      </c>
      <c r="O4809" t="s">
        <v>24</v>
      </c>
      <c r="P4809" t="s">
        <v>56</v>
      </c>
      <c r="R4809">
        <f>tblDailySchedule[[#This Row],[Capacity Approx]]*'[1]Load Factor Sheet June Acft  '!$B$5</f>
        <v>187.86727272727273</v>
      </c>
      <c r="S4809">
        <f>tblDailySchedule[[#This Row],[Capacity Approx]]*'[1]Load Factor Sheet June Acft  '!$D$5</f>
        <v>203.4218181818182</v>
      </c>
      <c r="T4809" s="22">
        <f>tblDailySchedule[[#This Row],[STD]]</f>
        <v>0.68402777777777779</v>
      </c>
    </row>
    <row r="4810" spans="1:20" hidden="1" x14ac:dyDescent="0.35">
      <c r="A4810" s="11">
        <v>46283</v>
      </c>
      <c r="B4810" s="3">
        <v>5</v>
      </c>
      <c r="C4810" t="s">
        <v>115</v>
      </c>
      <c r="D4810" t="s">
        <v>18</v>
      </c>
      <c r="E4810" s="3">
        <v>17</v>
      </c>
      <c r="F4810" t="s">
        <v>19</v>
      </c>
      <c r="G4810" t="s">
        <v>69</v>
      </c>
      <c r="H4810" t="s">
        <v>31</v>
      </c>
      <c r="I4810" s="12">
        <v>0.66319444444444442</v>
      </c>
      <c r="J4810" t="s">
        <v>70</v>
      </c>
      <c r="K4810" t="s">
        <v>31</v>
      </c>
      <c r="L4810" s="12">
        <v>0.69097222222222221</v>
      </c>
      <c r="M4810" t="s">
        <v>33</v>
      </c>
      <c r="N4810" s="3">
        <v>189</v>
      </c>
      <c r="O4810" t="s">
        <v>24</v>
      </c>
      <c r="P4810" t="s">
        <v>56</v>
      </c>
      <c r="R4810">
        <f>tblDailySchedule[[#This Row],[Capacity Approx]]*'[1]Load Factor Sheet June Acft  '!$B$5</f>
        <v>153.04704545454547</v>
      </c>
      <c r="S4810">
        <f>tblDailySchedule[[#This Row],[Capacity Approx]]*'[1]Load Factor Sheet June Acft  '!$D$5</f>
        <v>165.71863636363636</v>
      </c>
      <c r="T4810" s="22">
        <f>tblDailySchedule[[#This Row],[STD]]</f>
        <v>0.69097222222222221</v>
      </c>
    </row>
    <row r="4811" spans="1:20" hidden="1" x14ac:dyDescent="0.35">
      <c r="A4811" s="11">
        <v>46283</v>
      </c>
      <c r="B4811" s="3">
        <v>5</v>
      </c>
      <c r="C4811" t="s">
        <v>115</v>
      </c>
      <c r="D4811" t="s">
        <v>18</v>
      </c>
      <c r="E4811" s="3">
        <v>18</v>
      </c>
      <c r="F4811" t="s">
        <v>19</v>
      </c>
      <c r="G4811" t="s">
        <v>71</v>
      </c>
      <c r="H4811" t="s">
        <v>21</v>
      </c>
      <c r="I4811" s="12">
        <v>0.67013888888888884</v>
      </c>
      <c r="J4811" t="s">
        <v>72</v>
      </c>
      <c r="K4811" t="s">
        <v>21</v>
      </c>
      <c r="L4811" s="12">
        <v>0.69791666666666663</v>
      </c>
      <c r="M4811" t="s">
        <v>63</v>
      </c>
      <c r="N4811" s="3">
        <v>232</v>
      </c>
      <c r="O4811" t="s">
        <v>24</v>
      </c>
      <c r="P4811" t="s">
        <v>56</v>
      </c>
      <c r="R4811">
        <f>tblDailySchedule[[#This Row],[Capacity Approx]]*'[1]Load Factor Sheet June Acft  '!$B$5</f>
        <v>187.86727272727273</v>
      </c>
      <c r="S4811">
        <f>tblDailySchedule[[#This Row],[Capacity Approx]]*'[1]Load Factor Sheet June Acft  '!$D$5</f>
        <v>203.4218181818182</v>
      </c>
      <c r="T4811" s="22">
        <f>tblDailySchedule[[#This Row],[STD]]</f>
        <v>0.69791666666666663</v>
      </c>
    </row>
    <row r="4812" spans="1:20" hidden="1" x14ac:dyDescent="0.35">
      <c r="A4812" s="11">
        <v>46283</v>
      </c>
      <c r="B4812" s="3">
        <v>5</v>
      </c>
      <c r="C4812" t="s">
        <v>115</v>
      </c>
      <c r="D4812" t="s">
        <v>18</v>
      </c>
      <c r="E4812" s="3">
        <v>19</v>
      </c>
      <c r="F4812" t="s">
        <v>19</v>
      </c>
      <c r="G4812" t="s">
        <v>73</v>
      </c>
      <c r="H4812" t="s">
        <v>27</v>
      </c>
      <c r="I4812" s="12">
        <v>0.74652777777777779</v>
      </c>
      <c r="J4812" t="s">
        <v>74</v>
      </c>
      <c r="K4812" t="s">
        <v>27</v>
      </c>
      <c r="L4812" s="12">
        <v>0.77430555555555558</v>
      </c>
      <c r="M4812" t="s">
        <v>63</v>
      </c>
      <c r="N4812" s="3">
        <v>232</v>
      </c>
      <c r="O4812" t="s">
        <v>24</v>
      </c>
      <c r="P4812" t="s">
        <v>56</v>
      </c>
      <c r="R4812">
        <f>tblDailySchedule[[#This Row],[Capacity Approx]]*'[1]Load Factor Sheet June Acft  '!$B$5</f>
        <v>187.86727272727273</v>
      </c>
      <c r="S4812">
        <f>tblDailySchedule[[#This Row],[Capacity Approx]]*'[1]Load Factor Sheet June Acft  '!$D$5</f>
        <v>203.4218181818182</v>
      </c>
      <c r="T4812" s="22">
        <f>tblDailySchedule[[#This Row],[STD]]</f>
        <v>0.77430555555555558</v>
      </c>
    </row>
    <row r="4813" spans="1:20" hidden="1" x14ac:dyDescent="0.35">
      <c r="A4813" s="11">
        <v>46283</v>
      </c>
      <c r="B4813" s="3">
        <v>5</v>
      </c>
      <c r="C4813" t="s">
        <v>115</v>
      </c>
      <c r="D4813" t="s">
        <v>18</v>
      </c>
      <c r="E4813" s="3">
        <v>20</v>
      </c>
      <c r="F4813" t="s">
        <v>34</v>
      </c>
      <c r="G4813" t="s">
        <v>75</v>
      </c>
      <c r="H4813" t="s">
        <v>76</v>
      </c>
      <c r="I4813" s="12">
        <v>0.76388888888888884</v>
      </c>
      <c r="J4813" t="s">
        <v>77</v>
      </c>
      <c r="K4813" t="s">
        <v>78</v>
      </c>
      <c r="L4813" s="12">
        <v>0.78472222222222221</v>
      </c>
      <c r="M4813" t="s">
        <v>51</v>
      </c>
      <c r="N4813" s="3">
        <v>78</v>
      </c>
      <c r="O4813" t="s">
        <v>24</v>
      </c>
      <c r="P4813" t="s">
        <v>79</v>
      </c>
      <c r="Q4813" s="16" t="s">
        <v>80</v>
      </c>
      <c r="R4813">
        <f>tblDailySchedule[[#This Row],[Capacity Approx]]*'[1]Load Factor Sheet June Acft  '!$B$5</f>
        <v>63.162272727272729</v>
      </c>
      <c r="S4813">
        <f>tblDailySchedule[[#This Row],[Capacity Approx]]*'[1]Load Factor Sheet June Acft  '!$D$5</f>
        <v>68.391818181818181</v>
      </c>
      <c r="T4813" s="22">
        <f>tblDailySchedule[[#This Row],[STD]]</f>
        <v>0.78472222222222221</v>
      </c>
    </row>
    <row r="4814" spans="1:20" hidden="1" x14ac:dyDescent="0.35">
      <c r="A4814" s="11">
        <v>46283</v>
      </c>
      <c r="B4814" s="3">
        <v>5</v>
      </c>
      <c r="C4814" t="s">
        <v>115</v>
      </c>
      <c r="D4814" t="s">
        <v>18</v>
      </c>
      <c r="E4814" s="3">
        <v>21</v>
      </c>
      <c r="F4814" t="s">
        <v>19</v>
      </c>
      <c r="G4814" t="s">
        <v>81</v>
      </c>
      <c r="H4814" t="s">
        <v>61</v>
      </c>
      <c r="I4814" s="12">
        <v>0.77083333333333337</v>
      </c>
      <c r="J4814" t="s">
        <v>82</v>
      </c>
      <c r="K4814" t="s">
        <v>49</v>
      </c>
      <c r="L4814" s="12">
        <v>0.79166666666666663</v>
      </c>
      <c r="M4814" t="s">
        <v>33</v>
      </c>
      <c r="N4814" s="3">
        <v>189</v>
      </c>
      <c r="O4814" t="s">
        <v>24</v>
      </c>
      <c r="P4814" t="s">
        <v>79</v>
      </c>
      <c r="R4814">
        <f>tblDailySchedule[[#This Row],[Capacity Approx]]*'[1]Load Factor Sheet June Acft  '!$B$5</f>
        <v>153.04704545454547</v>
      </c>
      <c r="S4814">
        <f>tblDailySchedule[[#This Row],[Capacity Approx]]*'[1]Load Factor Sheet June Acft  '!$D$5</f>
        <v>165.71863636363636</v>
      </c>
      <c r="T4814" s="22">
        <f>tblDailySchedule[[#This Row],[STD]]</f>
        <v>0.79166666666666663</v>
      </c>
    </row>
    <row r="4815" spans="1:20" hidden="1" x14ac:dyDescent="0.35">
      <c r="A4815" s="11">
        <v>46283</v>
      </c>
      <c r="B4815" s="3">
        <v>5</v>
      </c>
      <c r="C4815" t="s">
        <v>115</v>
      </c>
      <c r="D4815" t="s">
        <v>18</v>
      </c>
      <c r="E4815" s="3">
        <v>22</v>
      </c>
      <c r="F4815" t="s">
        <v>19</v>
      </c>
      <c r="G4815" t="s">
        <v>83</v>
      </c>
      <c r="H4815" t="s">
        <v>31</v>
      </c>
      <c r="I4815" s="12">
        <v>0.77777777777777779</v>
      </c>
      <c r="J4815" t="s">
        <v>84</v>
      </c>
      <c r="K4815" t="s">
        <v>31</v>
      </c>
      <c r="L4815" s="12">
        <v>0.80555555555555558</v>
      </c>
      <c r="M4815" t="s">
        <v>63</v>
      </c>
      <c r="N4815" s="3">
        <v>232</v>
      </c>
      <c r="O4815" t="s">
        <v>24</v>
      </c>
      <c r="P4815" t="s">
        <v>79</v>
      </c>
      <c r="R4815">
        <f>tblDailySchedule[[#This Row],[Capacity Approx]]*'[1]Load Factor Sheet June Acft  '!$B$5</f>
        <v>187.86727272727273</v>
      </c>
      <c r="S4815">
        <f>tblDailySchedule[[#This Row],[Capacity Approx]]*'[1]Load Factor Sheet June Acft  '!$D$5</f>
        <v>203.4218181818182</v>
      </c>
      <c r="T4815" s="22">
        <f>tblDailySchedule[[#This Row],[STD]]</f>
        <v>0.80555555555555558</v>
      </c>
    </row>
    <row r="4816" spans="1:20" hidden="1" x14ac:dyDescent="0.35">
      <c r="A4816" s="11">
        <v>46283</v>
      </c>
      <c r="B4816" s="3">
        <v>5</v>
      </c>
      <c r="C4816" t="s">
        <v>115</v>
      </c>
      <c r="D4816" t="s">
        <v>18</v>
      </c>
      <c r="E4816" s="3">
        <v>23</v>
      </c>
      <c r="F4816" t="s">
        <v>19</v>
      </c>
      <c r="G4816" t="s">
        <v>85</v>
      </c>
      <c r="H4816" t="s">
        <v>86</v>
      </c>
      <c r="I4816" s="12">
        <v>0.79861111111111116</v>
      </c>
      <c r="J4816" t="s">
        <v>87</v>
      </c>
      <c r="K4816" t="s">
        <v>86</v>
      </c>
      <c r="L4816" s="12">
        <v>0.82638888888888884</v>
      </c>
      <c r="M4816" t="s">
        <v>63</v>
      </c>
      <c r="N4816" s="3">
        <v>232</v>
      </c>
      <c r="O4816" t="s">
        <v>24</v>
      </c>
      <c r="P4816" t="s">
        <v>79</v>
      </c>
      <c r="R4816">
        <f>tblDailySchedule[[#This Row],[Capacity Approx]]*'[1]Load Factor Sheet June Acft  '!$B$5</f>
        <v>187.86727272727273</v>
      </c>
      <c r="S4816">
        <f>tblDailySchedule[[#This Row],[Capacity Approx]]*'[1]Load Factor Sheet June Acft  '!$D$5</f>
        <v>203.4218181818182</v>
      </c>
      <c r="T4816" s="22">
        <f>tblDailySchedule[[#This Row],[STD]]</f>
        <v>0.82638888888888884</v>
      </c>
    </row>
    <row r="4817" spans="1:20" hidden="1" x14ac:dyDescent="0.35">
      <c r="A4817" s="11">
        <v>46283</v>
      </c>
      <c r="B4817" s="3">
        <v>5</v>
      </c>
      <c r="C4817" t="s">
        <v>115</v>
      </c>
      <c r="D4817" t="s">
        <v>18</v>
      </c>
      <c r="E4817" s="3">
        <v>24</v>
      </c>
      <c r="F4817" t="s">
        <v>19</v>
      </c>
      <c r="G4817" t="s">
        <v>88</v>
      </c>
      <c r="H4817" t="s">
        <v>89</v>
      </c>
      <c r="I4817" s="12">
        <v>0.83333333333333337</v>
      </c>
      <c r="J4817" t="s">
        <v>90</v>
      </c>
      <c r="K4817" t="s">
        <v>31</v>
      </c>
      <c r="L4817" s="12">
        <v>0.86111111111111116</v>
      </c>
      <c r="M4817" t="s">
        <v>63</v>
      </c>
      <c r="N4817" s="3">
        <v>232</v>
      </c>
      <c r="O4817" t="s">
        <v>24</v>
      </c>
      <c r="P4817" t="s">
        <v>79</v>
      </c>
      <c r="R4817">
        <f>tblDailySchedule[[#This Row],[Capacity Approx]]*'[1]Load Factor Sheet June Acft  '!$B$5</f>
        <v>187.86727272727273</v>
      </c>
      <c r="S4817">
        <f>tblDailySchedule[[#This Row],[Capacity Approx]]*'[1]Load Factor Sheet June Acft  '!$D$5</f>
        <v>203.4218181818182</v>
      </c>
      <c r="T4817" s="22">
        <f>tblDailySchedule[[#This Row],[STD]]</f>
        <v>0.86111111111111116</v>
      </c>
    </row>
    <row r="4818" spans="1:20" hidden="1" x14ac:dyDescent="0.35">
      <c r="A4818" s="11">
        <v>46283</v>
      </c>
      <c r="B4818" s="3">
        <v>5</v>
      </c>
      <c r="C4818" t="s">
        <v>115</v>
      </c>
      <c r="D4818" t="s">
        <v>18</v>
      </c>
      <c r="E4818" s="3">
        <v>25</v>
      </c>
      <c r="F4818" t="s">
        <v>19</v>
      </c>
      <c r="G4818" t="s">
        <v>91</v>
      </c>
      <c r="H4818" t="s">
        <v>61</v>
      </c>
      <c r="I4818" s="12">
        <v>0.85416666666666663</v>
      </c>
      <c r="J4818" t="s">
        <v>92</v>
      </c>
      <c r="K4818" t="s">
        <v>61</v>
      </c>
      <c r="L4818" s="12">
        <v>0.88194444444444442</v>
      </c>
      <c r="M4818" t="s">
        <v>63</v>
      </c>
      <c r="N4818" s="3">
        <v>232</v>
      </c>
      <c r="O4818" t="s">
        <v>24</v>
      </c>
      <c r="P4818" t="s">
        <v>79</v>
      </c>
      <c r="R4818">
        <f>tblDailySchedule[[#This Row],[Capacity Approx]]*'[1]Load Factor Sheet June Acft  '!$B$5</f>
        <v>187.86727272727273</v>
      </c>
      <c r="S4818">
        <f>tblDailySchedule[[#This Row],[Capacity Approx]]*'[1]Load Factor Sheet June Acft  '!$D$5</f>
        <v>203.4218181818182</v>
      </c>
      <c r="T4818" s="22">
        <f>tblDailySchedule[[#This Row],[STD]]</f>
        <v>0.88194444444444442</v>
      </c>
    </row>
    <row r="4819" spans="1:20" hidden="1" x14ac:dyDescent="0.35">
      <c r="A4819" s="11">
        <v>46283</v>
      </c>
      <c r="B4819" s="3">
        <v>5</v>
      </c>
      <c r="C4819" t="s">
        <v>115</v>
      </c>
      <c r="D4819" t="s">
        <v>18</v>
      </c>
      <c r="E4819" s="3">
        <v>26</v>
      </c>
      <c r="F4819" t="s">
        <v>19</v>
      </c>
      <c r="G4819" t="s">
        <v>93</v>
      </c>
      <c r="H4819" t="s">
        <v>31</v>
      </c>
      <c r="I4819" s="12">
        <v>0.86111111111111116</v>
      </c>
      <c r="J4819" t="s">
        <v>94</v>
      </c>
      <c r="K4819" t="s">
        <v>31</v>
      </c>
      <c r="L4819" s="12">
        <v>0.88888888888888884</v>
      </c>
      <c r="M4819" t="s">
        <v>23</v>
      </c>
      <c r="N4819" s="3">
        <v>186</v>
      </c>
      <c r="O4819" t="s">
        <v>24</v>
      </c>
      <c r="P4819" t="s">
        <v>79</v>
      </c>
      <c r="R4819">
        <f>tblDailySchedule[[#This Row],[Capacity Approx]]*'[1]Load Factor Sheet June Acft  '!$B$5</f>
        <v>150.61772727272728</v>
      </c>
      <c r="S4819">
        <f>tblDailySchedule[[#This Row],[Capacity Approx]]*'[1]Load Factor Sheet June Acft  '!$D$5</f>
        <v>163.08818181818182</v>
      </c>
      <c r="T4819" s="22">
        <f>tblDailySchedule[[#This Row],[STD]]</f>
        <v>0.88888888888888884</v>
      </c>
    </row>
    <row r="4820" spans="1:20" hidden="1" x14ac:dyDescent="0.35">
      <c r="A4820" s="11">
        <v>46283</v>
      </c>
      <c r="B4820" s="3">
        <v>5</v>
      </c>
      <c r="C4820" t="s">
        <v>115</v>
      </c>
      <c r="D4820" t="s">
        <v>18</v>
      </c>
      <c r="E4820" s="3">
        <v>27</v>
      </c>
      <c r="F4820" t="s">
        <v>19</v>
      </c>
      <c r="G4820" t="s">
        <v>95</v>
      </c>
      <c r="H4820" t="s">
        <v>21</v>
      </c>
      <c r="I4820" s="12">
        <v>0.86805555555555558</v>
      </c>
      <c r="J4820" t="s">
        <v>96</v>
      </c>
      <c r="K4820" t="s">
        <v>21</v>
      </c>
      <c r="L4820" s="12">
        <v>0.89583333333333337</v>
      </c>
      <c r="M4820" t="s">
        <v>29</v>
      </c>
      <c r="N4820" s="3">
        <v>186</v>
      </c>
      <c r="O4820" t="s">
        <v>24</v>
      </c>
      <c r="P4820" t="s">
        <v>79</v>
      </c>
      <c r="R4820">
        <f>tblDailySchedule[[#This Row],[Capacity Approx]]*'[1]Load Factor Sheet June Acft  '!$B$5</f>
        <v>150.61772727272728</v>
      </c>
      <c r="S4820">
        <f>tblDailySchedule[[#This Row],[Capacity Approx]]*'[1]Load Factor Sheet June Acft  '!$D$5</f>
        <v>163.08818181818182</v>
      </c>
      <c r="T4820" s="22">
        <f>tblDailySchedule[[#This Row],[STD]]</f>
        <v>0.89583333333333337</v>
      </c>
    </row>
    <row r="4821" spans="1:20" hidden="1" x14ac:dyDescent="0.35">
      <c r="A4821" s="11">
        <v>46283</v>
      </c>
      <c r="B4821" s="3">
        <v>5</v>
      </c>
      <c r="C4821" t="s">
        <v>115</v>
      </c>
      <c r="D4821" t="s">
        <v>18</v>
      </c>
      <c r="E4821" s="3">
        <v>28</v>
      </c>
      <c r="F4821" t="s">
        <v>19</v>
      </c>
      <c r="G4821" t="s">
        <v>97</v>
      </c>
      <c r="H4821" t="s">
        <v>49</v>
      </c>
      <c r="I4821" s="12">
        <v>0.90277777777777779</v>
      </c>
      <c r="J4821" t="s">
        <v>97</v>
      </c>
      <c r="K4821" t="s">
        <v>61</v>
      </c>
      <c r="L4821" s="12">
        <v>0.92361111111111116</v>
      </c>
      <c r="M4821" t="s">
        <v>33</v>
      </c>
      <c r="N4821" s="3">
        <v>189</v>
      </c>
      <c r="O4821" t="s">
        <v>24</v>
      </c>
      <c r="P4821" t="s">
        <v>79</v>
      </c>
      <c r="R4821">
        <f>tblDailySchedule[[#This Row],[Capacity Approx]]*'[1]Load Factor Sheet June Acft  '!$B$5</f>
        <v>153.04704545454547</v>
      </c>
      <c r="S4821">
        <f>tblDailySchedule[[#This Row],[Capacity Approx]]*'[1]Load Factor Sheet June Acft  '!$D$5</f>
        <v>165.71863636363636</v>
      </c>
      <c r="T4821" s="22">
        <f>tblDailySchedule[[#This Row],[STD]]</f>
        <v>0.92361111111111116</v>
      </c>
    </row>
    <row r="4822" spans="1:20" hidden="1" x14ac:dyDescent="0.35">
      <c r="A4822" s="11">
        <v>46283</v>
      </c>
      <c r="B4822" s="3">
        <v>5</v>
      </c>
      <c r="C4822" t="s">
        <v>115</v>
      </c>
      <c r="D4822" t="s">
        <v>18</v>
      </c>
      <c r="E4822" s="3">
        <v>29</v>
      </c>
      <c r="F4822" t="s">
        <v>19</v>
      </c>
      <c r="G4822" t="s">
        <v>98</v>
      </c>
      <c r="H4822" t="s">
        <v>21</v>
      </c>
      <c r="I4822" s="12">
        <v>0.92013888888888884</v>
      </c>
      <c r="J4822" t="s">
        <v>99</v>
      </c>
      <c r="K4822" t="s">
        <v>21</v>
      </c>
      <c r="L4822" s="12">
        <v>0.94791666666666663</v>
      </c>
      <c r="M4822" t="s">
        <v>63</v>
      </c>
      <c r="N4822" s="3">
        <v>232</v>
      </c>
      <c r="O4822" t="s">
        <v>24</v>
      </c>
      <c r="P4822" t="s">
        <v>79</v>
      </c>
      <c r="R4822">
        <f>tblDailySchedule[[#This Row],[Capacity Approx]]*'[1]Load Factor Sheet June Acft  '!$B$5</f>
        <v>187.86727272727273</v>
      </c>
      <c r="S4822">
        <f>tblDailySchedule[[#This Row],[Capacity Approx]]*'[1]Load Factor Sheet June Acft  '!$D$5</f>
        <v>203.4218181818182</v>
      </c>
      <c r="T4822" s="22">
        <f>tblDailySchedule[[#This Row],[STD]]</f>
        <v>0.94791666666666663</v>
      </c>
    </row>
    <row r="4823" spans="1:20" hidden="1" x14ac:dyDescent="0.35">
      <c r="A4823" s="13">
        <v>46283</v>
      </c>
      <c r="B4823" s="7">
        <v>5</v>
      </c>
      <c r="C4823" s="14" t="s">
        <v>115</v>
      </c>
      <c r="D4823" s="14" t="s">
        <v>18</v>
      </c>
      <c r="E4823" s="7">
        <v>30</v>
      </c>
      <c r="F4823" s="14" t="s">
        <v>104</v>
      </c>
      <c r="G4823" s="14" t="s">
        <v>105</v>
      </c>
      <c r="H4823" s="14" t="s">
        <v>106</v>
      </c>
      <c r="I4823" s="15">
        <v>0.92708333333333337</v>
      </c>
      <c r="J4823" s="14" t="s">
        <v>107</v>
      </c>
      <c r="K4823" s="14" t="s">
        <v>106</v>
      </c>
      <c r="L4823" s="15">
        <v>0.95833333333333337</v>
      </c>
      <c r="M4823" s="14" t="s">
        <v>38</v>
      </c>
      <c r="N4823" s="7">
        <v>186</v>
      </c>
      <c r="O4823" s="14" t="s">
        <v>39</v>
      </c>
      <c r="P4823" s="14" t="s">
        <v>79</v>
      </c>
      <c r="Q4823" s="14" t="s">
        <v>39</v>
      </c>
      <c r="R4823">
        <f>tblDailySchedule[[#This Row],[Capacity Approx]]*'[1]Load Factor Sheet June Acft  '!$B$5</f>
        <v>150.61772727272728</v>
      </c>
      <c r="S4823">
        <f>tblDailySchedule[[#This Row],[Capacity Approx]]*'[1]Load Factor Sheet June Acft  '!$D$5</f>
        <v>163.08818181818182</v>
      </c>
      <c r="T4823" s="22">
        <f>tblDailySchedule[[#This Row],[STD]]</f>
        <v>0.95833333333333337</v>
      </c>
    </row>
    <row r="4824" spans="1:20" hidden="1" x14ac:dyDescent="0.35">
      <c r="A4824" s="11">
        <v>46284</v>
      </c>
      <c r="B4824" s="3">
        <v>6</v>
      </c>
      <c r="C4824" t="s">
        <v>116</v>
      </c>
      <c r="D4824" t="s">
        <v>18</v>
      </c>
      <c r="E4824" s="3">
        <v>1</v>
      </c>
      <c r="F4824" t="s">
        <v>101</v>
      </c>
      <c r="G4824" t="s">
        <v>102</v>
      </c>
      <c r="H4824" t="s">
        <v>61</v>
      </c>
      <c r="I4824" s="12">
        <v>0.3125</v>
      </c>
      <c r="J4824" t="s">
        <v>103</v>
      </c>
      <c r="K4824" t="s">
        <v>61</v>
      </c>
      <c r="L4824" s="12">
        <v>0.33333333333333331</v>
      </c>
      <c r="M4824" t="s">
        <v>33</v>
      </c>
      <c r="N4824" s="3">
        <v>189</v>
      </c>
      <c r="O4824" t="s">
        <v>24</v>
      </c>
      <c r="P4824" t="s">
        <v>25</v>
      </c>
      <c r="R4824">
        <f>tblDailySchedule[[#This Row],[Capacity Approx]]*'[1]Load Factor Sheet June Acft  '!$B$5</f>
        <v>153.04704545454547</v>
      </c>
      <c r="S4824">
        <f>tblDailySchedule[[#This Row],[Capacity Approx]]*'[1]Load Factor Sheet June Acft  '!$D$5</f>
        <v>165.71863636363636</v>
      </c>
      <c r="T4824" s="22">
        <f>tblDailySchedule[[#This Row],[STD]]</f>
        <v>0.33333333333333331</v>
      </c>
    </row>
    <row r="4825" spans="1:20" hidden="1" x14ac:dyDescent="0.35">
      <c r="A4825" s="11">
        <v>46284</v>
      </c>
      <c r="B4825" s="3">
        <v>6</v>
      </c>
      <c r="C4825" t="s">
        <v>116</v>
      </c>
      <c r="D4825" t="s">
        <v>18</v>
      </c>
      <c r="E4825" s="3">
        <v>2</v>
      </c>
      <c r="F4825" t="s">
        <v>19</v>
      </c>
      <c r="G4825" t="s">
        <v>20</v>
      </c>
      <c r="H4825" t="s">
        <v>21</v>
      </c>
      <c r="I4825" s="12">
        <v>0.31944444444444442</v>
      </c>
      <c r="J4825" t="s">
        <v>22</v>
      </c>
      <c r="K4825" t="s">
        <v>21</v>
      </c>
      <c r="L4825" s="12">
        <v>0.34722222222222221</v>
      </c>
      <c r="M4825" t="s">
        <v>23</v>
      </c>
      <c r="N4825" s="3">
        <v>186</v>
      </c>
      <c r="O4825" t="s">
        <v>24</v>
      </c>
      <c r="P4825" t="s">
        <v>25</v>
      </c>
      <c r="R4825">
        <f>tblDailySchedule[[#This Row],[Capacity Approx]]*'[1]Load Factor Sheet June Acft  '!$B$5</f>
        <v>150.61772727272728</v>
      </c>
      <c r="S4825">
        <f>tblDailySchedule[[#This Row],[Capacity Approx]]*'[1]Load Factor Sheet June Acft  '!$D$5</f>
        <v>163.08818181818182</v>
      </c>
      <c r="T4825" s="22">
        <f>tblDailySchedule[[#This Row],[STD]]</f>
        <v>0.34722222222222221</v>
      </c>
    </row>
    <row r="4826" spans="1:20" hidden="1" x14ac:dyDescent="0.35">
      <c r="A4826" s="11">
        <v>46284</v>
      </c>
      <c r="B4826" s="3">
        <v>6</v>
      </c>
      <c r="C4826" t="s">
        <v>116</v>
      </c>
      <c r="D4826" t="s">
        <v>18</v>
      </c>
      <c r="E4826" s="3">
        <v>3</v>
      </c>
      <c r="F4826" t="s">
        <v>19</v>
      </c>
      <c r="G4826" t="s">
        <v>26</v>
      </c>
      <c r="H4826" t="s">
        <v>27</v>
      </c>
      <c r="I4826" s="12">
        <v>0.3263888888888889</v>
      </c>
      <c r="J4826" t="s">
        <v>28</v>
      </c>
      <c r="K4826" t="s">
        <v>27</v>
      </c>
      <c r="L4826" s="12">
        <v>0.35416666666666669</v>
      </c>
      <c r="M4826" t="s">
        <v>29</v>
      </c>
      <c r="N4826" s="3">
        <v>186</v>
      </c>
      <c r="O4826" t="s">
        <v>24</v>
      </c>
      <c r="P4826" t="s">
        <v>25</v>
      </c>
      <c r="R4826">
        <f>tblDailySchedule[[#This Row],[Capacity Approx]]*'[1]Load Factor Sheet June Acft  '!$B$5</f>
        <v>150.61772727272728</v>
      </c>
      <c r="S4826">
        <f>tblDailySchedule[[#This Row],[Capacity Approx]]*'[1]Load Factor Sheet June Acft  '!$D$5</f>
        <v>163.08818181818182</v>
      </c>
      <c r="T4826" s="22">
        <f>tblDailySchedule[[#This Row],[STD]]</f>
        <v>0.35416666666666669</v>
      </c>
    </row>
    <row r="4827" spans="1:20" hidden="1" x14ac:dyDescent="0.35">
      <c r="A4827" s="11">
        <v>46284</v>
      </c>
      <c r="B4827" s="3">
        <v>6</v>
      </c>
      <c r="C4827" t="s">
        <v>116</v>
      </c>
      <c r="D4827" t="s">
        <v>18</v>
      </c>
      <c r="E4827" s="3">
        <v>4</v>
      </c>
      <c r="F4827" t="s">
        <v>19</v>
      </c>
      <c r="G4827" t="s">
        <v>30</v>
      </c>
      <c r="H4827" t="s">
        <v>31</v>
      </c>
      <c r="I4827" s="12">
        <v>0.34722222222222221</v>
      </c>
      <c r="J4827" t="s">
        <v>32</v>
      </c>
      <c r="K4827" t="s">
        <v>31</v>
      </c>
      <c r="L4827" s="12">
        <v>0.36805555555555558</v>
      </c>
      <c r="M4827" t="s">
        <v>33</v>
      </c>
      <c r="N4827" s="3">
        <v>189</v>
      </c>
      <c r="O4827" t="s">
        <v>24</v>
      </c>
      <c r="P4827" t="s">
        <v>25</v>
      </c>
      <c r="R4827">
        <f>tblDailySchedule[[#This Row],[Capacity Approx]]*'[1]Load Factor Sheet June Acft  '!$B$5</f>
        <v>153.04704545454547</v>
      </c>
      <c r="S4827">
        <f>tblDailySchedule[[#This Row],[Capacity Approx]]*'[1]Load Factor Sheet June Acft  '!$D$5</f>
        <v>165.71863636363636</v>
      </c>
      <c r="T4827" s="22">
        <f>tblDailySchedule[[#This Row],[STD]]</f>
        <v>0.36805555555555558</v>
      </c>
    </row>
    <row r="4828" spans="1:20" hidden="1" x14ac:dyDescent="0.35">
      <c r="A4828" s="11">
        <v>46284</v>
      </c>
      <c r="B4828" s="3">
        <v>6</v>
      </c>
      <c r="C4828" t="s">
        <v>116</v>
      </c>
      <c r="D4828" t="s">
        <v>18</v>
      </c>
      <c r="E4828" s="3">
        <v>5</v>
      </c>
      <c r="F4828" t="s">
        <v>19</v>
      </c>
      <c r="G4828" t="s">
        <v>40</v>
      </c>
      <c r="H4828" t="s">
        <v>31</v>
      </c>
      <c r="I4828" s="12">
        <v>0.35069444444444442</v>
      </c>
      <c r="J4828" t="s">
        <v>41</v>
      </c>
      <c r="K4828" t="s">
        <v>31</v>
      </c>
      <c r="L4828" s="12">
        <v>0.37152777777777779</v>
      </c>
      <c r="M4828" t="s">
        <v>23</v>
      </c>
      <c r="N4828" s="3">
        <v>186</v>
      </c>
      <c r="O4828" t="s">
        <v>24</v>
      </c>
      <c r="P4828" t="s">
        <v>25</v>
      </c>
      <c r="R4828">
        <f>tblDailySchedule[[#This Row],[Capacity Approx]]*'[1]Load Factor Sheet June Acft  '!$B$5</f>
        <v>150.61772727272728</v>
      </c>
      <c r="S4828">
        <f>tblDailySchedule[[#This Row],[Capacity Approx]]*'[1]Load Factor Sheet June Acft  '!$D$5</f>
        <v>163.08818181818182</v>
      </c>
      <c r="T4828" s="22">
        <f>tblDailySchedule[[#This Row],[STD]]</f>
        <v>0.37152777777777779</v>
      </c>
    </row>
    <row r="4829" spans="1:20" hidden="1" x14ac:dyDescent="0.35">
      <c r="A4829" s="11">
        <v>46284</v>
      </c>
      <c r="B4829" s="3">
        <v>6</v>
      </c>
      <c r="C4829" t="s">
        <v>116</v>
      </c>
      <c r="D4829" t="s">
        <v>18</v>
      </c>
      <c r="E4829" s="3">
        <v>7</v>
      </c>
      <c r="F4829" t="s">
        <v>19</v>
      </c>
      <c r="G4829" t="s">
        <v>42</v>
      </c>
      <c r="H4829" t="s">
        <v>43</v>
      </c>
      <c r="I4829" s="12">
        <v>0.3923611111111111</v>
      </c>
      <c r="J4829" t="s">
        <v>44</v>
      </c>
      <c r="K4829" t="s">
        <v>43</v>
      </c>
      <c r="L4829" s="12">
        <v>0.40277777777777779</v>
      </c>
      <c r="M4829" t="s">
        <v>45</v>
      </c>
      <c r="N4829" s="3">
        <v>9</v>
      </c>
      <c r="O4829" t="s">
        <v>24</v>
      </c>
      <c r="P4829" t="s">
        <v>25</v>
      </c>
      <c r="R4829">
        <f>tblDailySchedule[[#This Row],[Capacity Approx]]*'[1]Load Factor Sheet June Acft  '!$B$5</f>
        <v>7.2879545454545456</v>
      </c>
      <c r="S4829">
        <f>tblDailySchedule[[#This Row],[Capacity Approx]]*'[1]Load Factor Sheet June Acft  '!$D$5</f>
        <v>7.8913636363636366</v>
      </c>
      <c r="T4829" s="22">
        <f>tblDailySchedule[[#This Row],[STD]]</f>
        <v>0.40277777777777779</v>
      </c>
    </row>
    <row r="4830" spans="1:20" hidden="1" x14ac:dyDescent="0.35">
      <c r="A4830" s="11">
        <v>46284</v>
      </c>
      <c r="B4830" s="3">
        <v>6</v>
      </c>
      <c r="C4830" t="s">
        <v>116</v>
      </c>
      <c r="D4830" t="s">
        <v>18</v>
      </c>
      <c r="E4830" s="3">
        <v>8</v>
      </c>
      <c r="F4830" t="s">
        <v>19</v>
      </c>
      <c r="G4830" t="s">
        <v>46</v>
      </c>
      <c r="H4830" t="s">
        <v>31</v>
      </c>
      <c r="I4830" s="12">
        <v>0.4201388888888889</v>
      </c>
      <c r="J4830" t="s">
        <v>47</v>
      </c>
      <c r="K4830" t="s">
        <v>31</v>
      </c>
      <c r="L4830" s="12">
        <v>0.44444444444444442</v>
      </c>
      <c r="M4830" t="s">
        <v>29</v>
      </c>
      <c r="N4830" s="3">
        <v>186</v>
      </c>
      <c r="O4830" t="s">
        <v>24</v>
      </c>
      <c r="P4830" t="s">
        <v>25</v>
      </c>
      <c r="R4830">
        <f>tblDailySchedule[[#This Row],[Capacity Approx]]*'[1]Load Factor Sheet June Acft  '!$B$5</f>
        <v>150.61772727272728</v>
      </c>
      <c r="S4830">
        <f>tblDailySchedule[[#This Row],[Capacity Approx]]*'[1]Load Factor Sheet June Acft  '!$D$5</f>
        <v>163.08818181818182</v>
      </c>
      <c r="T4830" s="22">
        <f>tblDailySchedule[[#This Row],[STD]]</f>
        <v>0.44444444444444442</v>
      </c>
    </row>
    <row r="4831" spans="1:20" hidden="1" x14ac:dyDescent="0.35">
      <c r="A4831" s="11">
        <v>46284</v>
      </c>
      <c r="B4831" s="3">
        <v>6</v>
      </c>
      <c r="C4831" t="s">
        <v>116</v>
      </c>
      <c r="D4831" t="s">
        <v>18</v>
      </c>
      <c r="E4831" s="3">
        <v>9</v>
      </c>
      <c r="F4831" t="s">
        <v>19</v>
      </c>
      <c r="G4831" t="s">
        <v>48</v>
      </c>
      <c r="H4831" t="s">
        <v>49</v>
      </c>
      <c r="I4831" s="12">
        <v>0.4375</v>
      </c>
      <c r="J4831" t="s">
        <v>50</v>
      </c>
      <c r="K4831" t="s">
        <v>49</v>
      </c>
      <c r="L4831" s="12">
        <v>0.45833333333333331</v>
      </c>
      <c r="M4831" t="s">
        <v>51</v>
      </c>
      <c r="N4831" s="3">
        <v>78</v>
      </c>
      <c r="O4831" t="s">
        <v>24</v>
      </c>
      <c r="P4831" t="s">
        <v>25</v>
      </c>
      <c r="R4831">
        <f>tblDailySchedule[[#This Row],[Capacity Approx]]*'[1]Load Factor Sheet June Acft  '!$B$5</f>
        <v>63.162272727272729</v>
      </c>
      <c r="S4831">
        <f>tblDailySchedule[[#This Row],[Capacity Approx]]*'[1]Load Factor Sheet June Acft  '!$D$5</f>
        <v>68.391818181818181</v>
      </c>
      <c r="T4831" s="22">
        <f>tblDailySchedule[[#This Row],[STD]]</f>
        <v>0.45833333333333331</v>
      </c>
    </row>
    <row r="4832" spans="1:20" hidden="1" x14ac:dyDescent="0.35">
      <c r="A4832" s="11">
        <v>46284</v>
      </c>
      <c r="B4832" s="3">
        <v>6</v>
      </c>
      <c r="C4832" t="s">
        <v>116</v>
      </c>
      <c r="D4832" t="s">
        <v>18</v>
      </c>
      <c r="E4832" s="3">
        <v>10</v>
      </c>
      <c r="F4832" t="s">
        <v>19</v>
      </c>
      <c r="G4832" t="s">
        <v>52</v>
      </c>
      <c r="H4832" t="s">
        <v>27</v>
      </c>
      <c r="I4832" s="12">
        <v>0.4826388888888889</v>
      </c>
      <c r="J4832" t="s">
        <v>53</v>
      </c>
      <c r="K4832" t="s">
        <v>27</v>
      </c>
      <c r="L4832" s="12">
        <v>0.51041666666666663</v>
      </c>
      <c r="M4832" t="s">
        <v>23</v>
      </c>
      <c r="N4832" s="3">
        <v>186</v>
      </c>
      <c r="O4832" t="s">
        <v>24</v>
      </c>
      <c r="P4832" t="s">
        <v>25</v>
      </c>
      <c r="R4832">
        <f>tblDailySchedule[[#This Row],[Capacity Approx]]*'[1]Load Factor Sheet June Acft  '!$B$5</f>
        <v>150.61772727272728</v>
      </c>
      <c r="S4832">
        <f>tblDailySchedule[[#This Row],[Capacity Approx]]*'[1]Load Factor Sheet June Acft  '!$D$5</f>
        <v>163.08818181818182</v>
      </c>
      <c r="T4832" s="22">
        <f>tblDailySchedule[[#This Row],[STD]]</f>
        <v>0.51041666666666663</v>
      </c>
    </row>
    <row r="4833" spans="1:20" hidden="1" x14ac:dyDescent="0.35">
      <c r="A4833" s="11">
        <v>46284</v>
      </c>
      <c r="B4833" s="3">
        <v>6</v>
      </c>
      <c r="C4833" t="s">
        <v>116</v>
      </c>
      <c r="D4833" t="s">
        <v>18</v>
      </c>
      <c r="E4833" s="3">
        <v>11</v>
      </c>
      <c r="F4833" t="s">
        <v>19</v>
      </c>
      <c r="G4833" t="s">
        <v>54</v>
      </c>
      <c r="H4833" t="s">
        <v>31</v>
      </c>
      <c r="I4833" s="12">
        <v>0.51388888888888884</v>
      </c>
      <c r="J4833" t="s">
        <v>55</v>
      </c>
      <c r="K4833" t="s">
        <v>31</v>
      </c>
      <c r="L4833" s="12">
        <v>0.54166666666666663</v>
      </c>
      <c r="M4833" t="s">
        <v>23</v>
      </c>
      <c r="N4833" s="3">
        <v>186</v>
      </c>
      <c r="O4833" t="s">
        <v>24</v>
      </c>
      <c r="P4833" t="s">
        <v>56</v>
      </c>
      <c r="R4833">
        <f>tblDailySchedule[[#This Row],[Capacity Approx]]*'[1]Load Factor Sheet June Acft  '!$B$5</f>
        <v>150.61772727272728</v>
      </c>
      <c r="S4833">
        <f>tblDailySchedule[[#This Row],[Capacity Approx]]*'[1]Load Factor Sheet June Acft  '!$D$5</f>
        <v>163.08818181818182</v>
      </c>
      <c r="T4833" s="22">
        <f>tblDailySchedule[[#This Row],[STD]]</f>
        <v>0.54166666666666663</v>
      </c>
    </row>
    <row r="4834" spans="1:20" hidden="1" x14ac:dyDescent="0.35">
      <c r="A4834" s="11">
        <v>46284</v>
      </c>
      <c r="B4834" s="3">
        <v>6</v>
      </c>
      <c r="C4834" t="s">
        <v>116</v>
      </c>
      <c r="D4834" t="s">
        <v>18</v>
      </c>
      <c r="E4834" s="3">
        <v>12</v>
      </c>
      <c r="F4834" t="s">
        <v>109</v>
      </c>
      <c r="G4834" t="s">
        <v>110</v>
      </c>
      <c r="H4834" t="s">
        <v>111</v>
      </c>
      <c r="I4834" s="12">
        <v>0.55555555555555558</v>
      </c>
      <c r="J4834" t="s">
        <v>112</v>
      </c>
      <c r="K4834" t="s">
        <v>111</v>
      </c>
      <c r="L4834" s="12">
        <v>0.56944444444444442</v>
      </c>
      <c r="M4834" t="s">
        <v>51</v>
      </c>
      <c r="N4834" s="3">
        <v>78</v>
      </c>
      <c r="O4834" t="s">
        <v>24</v>
      </c>
      <c r="P4834" t="s">
        <v>56</v>
      </c>
      <c r="R4834">
        <f>tblDailySchedule[[#This Row],[Capacity Approx]]*'[1]Load Factor Sheet June Acft  '!$B$5</f>
        <v>63.162272727272729</v>
      </c>
      <c r="S4834">
        <f>tblDailySchedule[[#This Row],[Capacity Approx]]*'[1]Load Factor Sheet June Acft  '!$D$5</f>
        <v>68.391818181818181</v>
      </c>
      <c r="T4834" s="22">
        <f>tblDailySchedule[[#This Row],[STD]]</f>
        <v>0.56944444444444442</v>
      </c>
    </row>
    <row r="4835" spans="1:20" hidden="1" x14ac:dyDescent="0.35">
      <c r="A4835" s="11">
        <v>46284</v>
      </c>
      <c r="B4835" s="3">
        <v>6</v>
      </c>
      <c r="C4835" t="s">
        <v>116</v>
      </c>
      <c r="D4835" t="s">
        <v>18</v>
      </c>
      <c r="E4835" s="3">
        <v>13</v>
      </c>
      <c r="F4835" t="s">
        <v>19</v>
      </c>
      <c r="G4835" t="s">
        <v>57</v>
      </c>
      <c r="H4835" t="s">
        <v>58</v>
      </c>
      <c r="I4835" s="12">
        <v>0.55902777777777779</v>
      </c>
      <c r="J4835" t="s">
        <v>59</v>
      </c>
      <c r="K4835" t="s">
        <v>58</v>
      </c>
      <c r="L4835" s="12">
        <v>0.57638888888888884</v>
      </c>
      <c r="M4835" t="s">
        <v>51</v>
      </c>
      <c r="N4835" s="3">
        <v>78</v>
      </c>
      <c r="O4835" t="s">
        <v>24</v>
      </c>
      <c r="P4835" t="s">
        <v>56</v>
      </c>
      <c r="R4835">
        <f>tblDailySchedule[[#This Row],[Capacity Approx]]*'[1]Load Factor Sheet June Acft  '!$B$5</f>
        <v>63.162272727272729</v>
      </c>
      <c r="S4835">
        <f>tblDailySchedule[[#This Row],[Capacity Approx]]*'[1]Load Factor Sheet June Acft  '!$D$5</f>
        <v>68.391818181818181</v>
      </c>
      <c r="T4835" s="22">
        <f>tblDailySchedule[[#This Row],[STD]]</f>
        <v>0.57638888888888884</v>
      </c>
    </row>
    <row r="4836" spans="1:20" hidden="1" x14ac:dyDescent="0.35">
      <c r="A4836" s="11">
        <v>46284</v>
      </c>
      <c r="B4836" s="3">
        <v>6</v>
      </c>
      <c r="C4836" t="s">
        <v>116</v>
      </c>
      <c r="D4836" t="s">
        <v>18</v>
      </c>
      <c r="E4836" s="3">
        <v>14</v>
      </c>
      <c r="F4836" t="s">
        <v>19</v>
      </c>
      <c r="G4836" t="s">
        <v>60</v>
      </c>
      <c r="H4836" t="s">
        <v>61</v>
      </c>
      <c r="I4836" s="12">
        <v>0.59027777777777779</v>
      </c>
      <c r="J4836" t="s">
        <v>62</v>
      </c>
      <c r="K4836" t="s">
        <v>61</v>
      </c>
      <c r="L4836" s="12">
        <v>0.62152777777777779</v>
      </c>
      <c r="M4836" t="s">
        <v>63</v>
      </c>
      <c r="N4836" s="3">
        <v>232</v>
      </c>
      <c r="O4836" t="s">
        <v>24</v>
      </c>
      <c r="P4836" t="s">
        <v>56</v>
      </c>
      <c r="R4836">
        <f>tblDailySchedule[[#This Row],[Capacity Approx]]*'[1]Load Factor Sheet June Acft  '!$B$5</f>
        <v>187.86727272727273</v>
      </c>
      <c r="S4836">
        <f>tblDailySchedule[[#This Row],[Capacity Approx]]*'[1]Load Factor Sheet June Acft  '!$D$5</f>
        <v>203.4218181818182</v>
      </c>
      <c r="T4836" s="22">
        <f>tblDailySchedule[[#This Row],[STD]]</f>
        <v>0.62152777777777779</v>
      </c>
    </row>
    <row r="4837" spans="1:20" hidden="1" x14ac:dyDescent="0.35">
      <c r="A4837" s="11">
        <v>46284</v>
      </c>
      <c r="B4837" s="3">
        <v>6</v>
      </c>
      <c r="C4837" t="s">
        <v>116</v>
      </c>
      <c r="D4837" t="s">
        <v>18</v>
      </c>
      <c r="E4837" s="3">
        <v>15</v>
      </c>
      <c r="F4837" t="s">
        <v>19</v>
      </c>
      <c r="G4837" t="s">
        <v>64</v>
      </c>
      <c r="H4837" t="s">
        <v>31</v>
      </c>
      <c r="I4837" s="12">
        <v>0.60069444444444442</v>
      </c>
      <c r="J4837" t="s">
        <v>65</v>
      </c>
      <c r="K4837" t="s">
        <v>66</v>
      </c>
      <c r="L4837" s="12">
        <v>0.62847222222222221</v>
      </c>
      <c r="M4837" t="s">
        <v>63</v>
      </c>
      <c r="N4837" s="3">
        <v>232</v>
      </c>
      <c r="O4837" t="s">
        <v>24</v>
      </c>
      <c r="P4837" t="s">
        <v>56</v>
      </c>
      <c r="R4837">
        <f>tblDailySchedule[[#This Row],[Capacity Approx]]*'[1]Load Factor Sheet June Acft  '!$B$5</f>
        <v>187.86727272727273</v>
      </c>
      <c r="S4837">
        <f>tblDailySchedule[[#This Row],[Capacity Approx]]*'[1]Load Factor Sheet June Acft  '!$D$5</f>
        <v>203.4218181818182</v>
      </c>
      <c r="T4837" s="22">
        <f>tblDailySchedule[[#This Row],[STD]]</f>
        <v>0.62847222222222221</v>
      </c>
    </row>
    <row r="4838" spans="1:20" hidden="1" x14ac:dyDescent="0.35">
      <c r="A4838" s="11">
        <v>46284</v>
      </c>
      <c r="B4838" s="3">
        <v>6</v>
      </c>
      <c r="C4838" t="s">
        <v>116</v>
      </c>
      <c r="D4838" t="s">
        <v>18</v>
      </c>
      <c r="E4838" s="3">
        <v>16</v>
      </c>
      <c r="F4838" t="s">
        <v>19</v>
      </c>
      <c r="G4838" t="s">
        <v>67</v>
      </c>
      <c r="H4838" t="s">
        <v>31</v>
      </c>
      <c r="I4838" s="12">
        <v>0.65625</v>
      </c>
      <c r="J4838" t="s">
        <v>68</v>
      </c>
      <c r="K4838" t="s">
        <v>31</v>
      </c>
      <c r="L4838" s="12">
        <v>0.68402777777777779</v>
      </c>
      <c r="M4838" t="s">
        <v>63</v>
      </c>
      <c r="N4838" s="3">
        <v>232</v>
      </c>
      <c r="O4838" t="s">
        <v>24</v>
      </c>
      <c r="P4838" t="s">
        <v>56</v>
      </c>
      <c r="R4838">
        <f>tblDailySchedule[[#This Row],[Capacity Approx]]*'[1]Load Factor Sheet June Acft  '!$B$5</f>
        <v>187.86727272727273</v>
      </c>
      <c r="S4838">
        <f>tblDailySchedule[[#This Row],[Capacity Approx]]*'[1]Load Factor Sheet June Acft  '!$D$5</f>
        <v>203.4218181818182</v>
      </c>
      <c r="T4838" s="22">
        <f>tblDailySchedule[[#This Row],[STD]]</f>
        <v>0.68402777777777779</v>
      </c>
    </row>
    <row r="4839" spans="1:20" hidden="1" x14ac:dyDescent="0.35">
      <c r="A4839" s="11">
        <v>46284</v>
      </c>
      <c r="B4839" s="3">
        <v>6</v>
      </c>
      <c r="C4839" t="s">
        <v>116</v>
      </c>
      <c r="D4839" t="s">
        <v>18</v>
      </c>
      <c r="E4839" s="3">
        <v>17</v>
      </c>
      <c r="F4839" t="s">
        <v>19</v>
      </c>
      <c r="G4839" t="s">
        <v>69</v>
      </c>
      <c r="H4839" t="s">
        <v>31</v>
      </c>
      <c r="I4839" s="12">
        <v>0.66319444444444442</v>
      </c>
      <c r="J4839" t="s">
        <v>70</v>
      </c>
      <c r="K4839" t="s">
        <v>31</v>
      </c>
      <c r="L4839" s="12">
        <v>0.69097222222222221</v>
      </c>
      <c r="M4839" t="s">
        <v>33</v>
      </c>
      <c r="N4839" s="3">
        <v>189</v>
      </c>
      <c r="O4839" t="s">
        <v>24</v>
      </c>
      <c r="P4839" t="s">
        <v>56</v>
      </c>
      <c r="R4839">
        <f>tblDailySchedule[[#This Row],[Capacity Approx]]*'[1]Load Factor Sheet June Acft  '!$B$5</f>
        <v>153.04704545454547</v>
      </c>
      <c r="S4839">
        <f>tblDailySchedule[[#This Row],[Capacity Approx]]*'[1]Load Factor Sheet June Acft  '!$D$5</f>
        <v>165.71863636363636</v>
      </c>
      <c r="T4839" s="22">
        <f>tblDailySchedule[[#This Row],[STD]]</f>
        <v>0.69097222222222221</v>
      </c>
    </row>
    <row r="4840" spans="1:20" hidden="1" x14ac:dyDescent="0.35">
      <c r="A4840" s="11">
        <v>46284</v>
      </c>
      <c r="B4840" s="3">
        <v>6</v>
      </c>
      <c r="C4840" t="s">
        <v>116</v>
      </c>
      <c r="D4840" t="s">
        <v>18</v>
      </c>
      <c r="E4840" s="3">
        <v>18</v>
      </c>
      <c r="F4840" t="s">
        <v>19</v>
      </c>
      <c r="G4840" t="s">
        <v>71</v>
      </c>
      <c r="H4840" t="s">
        <v>21</v>
      </c>
      <c r="I4840" s="12">
        <v>0.67013888888888884</v>
      </c>
      <c r="J4840" t="s">
        <v>72</v>
      </c>
      <c r="K4840" t="s">
        <v>21</v>
      </c>
      <c r="L4840" s="12">
        <v>0.69791666666666663</v>
      </c>
      <c r="M4840" t="s">
        <v>63</v>
      </c>
      <c r="N4840" s="3">
        <v>232</v>
      </c>
      <c r="O4840" t="s">
        <v>24</v>
      </c>
      <c r="P4840" t="s">
        <v>56</v>
      </c>
      <c r="R4840">
        <f>tblDailySchedule[[#This Row],[Capacity Approx]]*'[1]Load Factor Sheet June Acft  '!$B$5</f>
        <v>187.86727272727273</v>
      </c>
      <c r="S4840">
        <f>tblDailySchedule[[#This Row],[Capacity Approx]]*'[1]Load Factor Sheet June Acft  '!$D$5</f>
        <v>203.4218181818182</v>
      </c>
      <c r="T4840" s="22">
        <f>tblDailySchedule[[#This Row],[STD]]</f>
        <v>0.69791666666666663</v>
      </c>
    </row>
    <row r="4841" spans="1:20" hidden="1" x14ac:dyDescent="0.35">
      <c r="A4841" s="11">
        <v>46284</v>
      </c>
      <c r="B4841" s="3">
        <v>6</v>
      </c>
      <c r="C4841" t="s">
        <v>116</v>
      </c>
      <c r="D4841" t="s">
        <v>18</v>
      </c>
      <c r="E4841" s="3">
        <v>19</v>
      </c>
      <c r="F4841" t="s">
        <v>19</v>
      </c>
      <c r="G4841" t="s">
        <v>73</v>
      </c>
      <c r="H4841" t="s">
        <v>27</v>
      </c>
      <c r="I4841" s="12">
        <v>0.74652777777777779</v>
      </c>
      <c r="J4841" t="s">
        <v>74</v>
      </c>
      <c r="K4841" t="s">
        <v>27</v>
      </c>
      <c r="L4841" s="12">
        <v>0.77430555555555558</v>
      </c>
      <c r="M4841" t="s">
        <v>63</v>
      </c>
      <c r="N4841" s="3">
        <v>232</v>
      </c>
      <c r="O4841" t="s">
        <v>24</v>
      </c>
      <c r="P4841" t="s">
        <v>56</v>
      </c>
      <c r="R4841">
        <f>tblDailySchedule[[#This Row],[Capacity Approx]]*'[1]Load Factor Sheet June Acft  '!$B$5</f>
        <v>187.86727272727273</v>
      </c>
      <c r="S4841">
        <f>tblDailySchedule[[#This Row],[Capacity Approx]]*'[1]Load Factor Sheet June Acft  '!$D$5</f>
        <v>203.4218181818182</v>
      </c>
      <c r="T4841" s="22">
        <f>tblDailySchedule[[#This Row],[STD]]</f>
        <v>0.77430555555555558</v>
      </c>
    </row>
    <row r="4842" spans="1:20" hidden="1" x14ac:dyDescent="0.35">
      <c r="A4842" s="11">
        <v>46284</v>
      </c>
      <c r="B4842" s="3">
        <v>6</v>
      </c>
      <c r="C4842" t="s">
        <v>116</v>
      </c>
      <c r="D4842" t="s">
        <v>18</v>
      </c>
      <c r="E4842" s="3">
        <v>21</v>
      </c>
      <c r="F4842" t="s">
        <v>19</v>
      </c>
      <c r="G4842" t="s">
        <v>81</v>
      </c>
      <c r="H4842" t="s">
        <v>61</v>
      </c>
      <c r="I4842" s="12">
        <v>0.77083333333333337</v>
      </c>
      <c r="J4842" t="s">
        <v>82</v>
      </c>
      <c r="K4842" t="s">
        <v>49</v>
      </c>
      <c r="L4842" s="12">
        <v>0.79166666666666663</v>
      </c>
      <c r="M4842" t="s">
        <v>33</v>
      </c>
      <c r="N4842" s="3">
        <v>189</v>
      </c>
      <c r="O4842" t="s">
        <v>24</v>
      </c>
      <c r="P4842" t="s">
        <v>79</v>
      </c>
      <c r="R4842">
        <f>tblDailySchedule[[#This Row],[Capacity Approx]]*'[1]Load Factor Sheet June Acft  '!$B$5</f>
        <v>153.04704545454547</v>
      </c>
      <c r="S4842">
        <f>tblDailySchedule[[#This Row],[Capacity Approx]]*'[1]Load Factor Sheet June Acft  '!$D$5</f>
        <v>165.71863636363636</v>
      </c>
      <c r="T4842" s="22">
        <f>tblDailySchedule[[#This Row],[STD]]</f>
        <v>0.79166666666666663</v>
      </c>
    </row>
    <row r="4843" spans="1:20" hidden="1" x14ac:dyDescent="0.35">
      <c r="A4843" s="11">
        <v>46284</v>
      </c>
      <c r="B4843" s="3">
        <v>6</v>
      </c>
      <c r="C4843" t="s">
        <v>116</v>
      </c>
      <c r="D4843" t="s">
        <v>18</v>
      </c>
      <c r="E4843" s="3">
        <v>22</v>
      </c>
      <c r="F4843" t="s">
        <v>19</v>
      </c>
      <c r="G4843" t="s">
        <v>83</v>
      </c>
      <c r="H4843" t="s">
        <v>31</v>
      </c>
      <c r="I4843" s="12">
        <v>0.77777777777777779</v>
      </c>
      <c r="J4843" t="s">
        <v>84</v>
      </c>
      <c r="K4843" t="s">
        <v>31</v>
      </c>
      <c r="L4843" s="12">
        <v>0.80555555555555558</v>
      </c>
      <c r="M4843" t="s">
        <v>63</v>
      </c>
      <c r="N4843" s="3">
        <v>232</v>
      </c>
      <c r="O4843" t="s">
        <v>24</v>
      </c>
      <c r="P4843" t="s">
        <v>79</v>
      </c>
      <c r="R4843">
        <f>tblDailySchedule[[#This Row],[Capacity Approx]]*'[1]Load Factor Sheet June Acft  '!$B$5</f>
        <v>187.86727272727273</v>
      </c>
      <c r="S4843">
        <f>tblDailySchedule[[#This Row],[Capacity Approx]]*'[1]Load Factor Sheet June Acft  '!$D$5</f>
        <v>203.4218181818182</v>
      </c>
      <c r="T4843" s="22">
        <f>tblDailySchedule[[#This Row],[STD]]</f>
        <v>0.80555555555555558</v>
      </c>
    </row>
    <row r="4844" spans="1:20" hidden="1" x14ac:dyDescent="0.35">
      <c r="A4844" s="11">
        <v>46284</v>
      </c>
      <c r="B4844" s="3">
        <v>6</v>
      </c>
      <c r="C4844" t="s">
        <v>116</v>
      </c>
      <c r="D4844" t="s">
        <v>18</v>
      </c>
      <c r="E4844" s="3">
        <v>23</v>
      </c>
      <c r="F4844" t="s">
        <v>19</v>
      </c>
      <c r="G4844" t="s">
        <v>85</v>
      </c>
      <c r="H4844" t="s">
        <v>86</v>
      </c>
      <c r="I4844" s="12">
        <v>0.79861111111111116</v>
      </c>
      <c r="J4844" t="s">
        <v>87</v>
      </c>
      <c r="K4844" t="s">
        <v>86</v>
      </c>
      <c r="L4844" s="12">
        <v>0.82638888888888884</v>
      </c>
      <c r="M4844" t="s">
        <v>63</v>
      </c>
      <c r="N4844" s="3">
        <v>232</v>
      </c>
      <c r="O4844" t="s">
        <v>24</v>
      </c>
      <c r="P4844" t="s">
        <v>79</v>
      </c>
      <c r="R4844">
        <f>tblDailySchedule[[#This Row],[Capacity Approx]]*'[1]Load Factor Sheet June Acft  '!$B$5</f>
        <v>187.86727272727273</v>
      </c>
      <c r="S4844">
        <f>tblDailySchedule[[#This Row],[Capacity Approx]]*'[1]Load Factor Sheet June Acft  '!$D$5</f>
        <v>203.4218181818182</v>
      </c>
      <c r="T4844" s="22">
        <f>tblDailySchedule[[#This Row],[STD]]</f>
        <v>0.82638888888888884</v>
      </c>
    </row>
    <row r="4845" spans="1:20" hidden="1" x14ac:dyDescent="0.35">
      <c r="A4845" s="11">
        <v>46284</v>
      </c>
      <c r="B4845" s="3">
        <v>6</v>
      </c>
      <c r="C4845" t="s">
        <v>116</v>
      </c>
      <c r="D4845" t="s">
        <v>18</v>
      </c>
      <c r="E4845" s="3">
        <v>24</v>
      </c>
      <c r="F4845" t="s">
        <v>19</v>
      </c>
      <c r="G4845" t="s">
        <v>88</v>
      </c>
      <c r="H4845" t="s">
        <v>89</v>
      </c>
      <c r="I4845" s="12">
        <v>0.83333333333333337</v>
      </c>
      <c r="J4845" t="s">
        <v>90</v>
      </c>
      <c r="K4845" t="s">
        <v>31</v>
      </c>
      <c r="L4845" s="12">
        <v>0.86111111111111116</v>
      </c>
      <c r="M4845" t="s">
        <v>63</v>
      </c>
      <c r="N4845" s="3">
        <v>232</v>
      </c>
      <c r="O4845" t="s">
        <v>24</v>
      </c>
      <c r="P4845" t="s">
        <v>79</v>
      </c>
      <c r="R4845">
        <f>tblDailySchedule[[#This Row],[Capacity Approx]]*'[1]Load Factor Sheet June Acft  '!$B$5</f>
        <v>187.86727272727273</v>
      </c>
      <c r="S4845">
        <f>tblDailySchedule[[#This Row],[Capacity Approx]]*'[1]Load Factor Sheet June Acft  '!$D$5</f>
        <v>203.4218181818182</v>
      </c>
      <c r="T4845" s="22">
        <f>tblDailySchedule[[#This Row],[STD]]</f>
        <v>0.86111111111111116</v>
      </c>
    </row>
    <row r="4846" spans="1:20" hidden="1" x14ac:dyDescent="0.35">
      <c r="A4846" s="11">
        <v>46284</v>
      </c>
      <c r="B4846" s="3">
        <v>6</v>
      </c>
      <c r="C4846" t="s">
        <v>116</v>
      </c>
      <c r="D4846" t="s">
        <v>18</v>
      </c>
      <c r="E4846" s="3">
        <v>25</v>
      </c>
      <c r="F4846" t="s">
        <v>19</v>
      </c>
      <c r="G4846" t="s">
        <v>91</v>
      </c>
      <c r="H4846" t="s">
        <v>61</v>
      </c>
      <c r="I4846" s="12">
        <v>0.85416666666666663</v>
      </c>
      <c r="J4846" t="s">
        <v>92</v>
      </c>
      <c r="K4846" t="s">
        <v>61</v>
      </c>
      <c r="L4846" s="12">
        <v>0.88194444444444442</v>
      </c>
      <c r="M4846" t="s">
        <v>63</v>
      </c>
      <c r="N4846" s="3">
        <v>232</v>
      </c>
      <c r="O4846" t="s">
        <v>24</v>
      </c>
      <c r="P4846" t="s">
        <v>79</v>
      </c>
      <c r="R4846">
        <f>tblDailySchedule[[#This Row],[Capacity Approx]]*'[1]Load Factor Sheet June Acft  '!$B$5</f>
        <v>187.86727272727273</v>
      </c>
      <c r="S4846">
        <f>tblDailySchedule[[#This Row],[Capacity Approx]]*'[1]Load Factor Sheet June Acft  '!$D$5</f>
        <v>203.4218181818182</v>
      </c>
      <c r="T4846" s="22">
        <f>tblDailySchedule[[#This Row],[STD]]</f>
        <v>0.88194444444444442</v>
      </c>
    </row>
    <row r="4847" spans="1:20" hidden="1" x14ac:dyDescent="0.35">
      <c r="A4847" s="11">
        <v>46284</v>
      </c>
      <c r="B4847" s="3">
        <v>6</v>
      </c>
      <c r="C4847" t="s">
        <v>116</v>
      </c>
      <c r="D4847" t="s">
        <v>18</v>
      </c>
      <c r="E4847" s="3">
        <v>26</v>
      </c>
      <c r="F4847" t="s">
        <v>19</v>
      </c>
      <c r="G4847" t="s">
        <v>93</v>
      </c>
      <c r="H4847" t="s">
        <v>31</v>
      </c>
      <c r="I4847" s="12">
        <v>0.86111111111111116</v>
      </c>
      <c r="J4847" t="s">
        <v>94</v>
      </c>
      <c r="K4847" t="s">
        <v>31</v>
      </c>
      <c r="L4847" s="12">
        <v>0.88888888888888884</v>
      </c>
      <c r="M4847" t="s">
        <v>23</v>
      </c>
      <c r="N4847" s="3">
        <v>186</v>
      </c>
      <c r="O4847" t="s">
        <v>24</v>
      </c>
      <c r="P4847" t="s">
        <v>79</v>
      </c>
      <c r="R4847">
        <f>tblDailySchedule[[#This Row],[Capacity Approx]]*'[1]Load Factor Sheet June Acft  '!$B$5</f>
        <v>150.61772727272728</v>
      </c>
      <c r="S4847">
        <f>tblDailySchedule[[#This Row],[Capacity Approx]]*'[1]Load Factor Sheet June Acft  '!$D$5</f>
        <v>163.08818181818182</v>
      </c>
      <c r="T4847" s="22">
        <f>tblDailySchedule[[#This Row],[STD]]</f>
        <v>0.88888888888888884</v>
      </c>
    </row>
    <row r="4848" spans="1:20" hidden="1" x14ac:dyDescent="0.35">
      <c r="A4848" s="11">
        <v>46284</v>
      </c>
      <c r="B4848" s="3">
        <v>6</v>
      </c>
      <c r="C4848" t="s">
        <v>116</v>
      </c>
      <c r="D4848" t="s">
        <v>18</v>
      </c>
      <c r="E4848" s="3">
        <v>27</v>
      </c>
      <c r="F4848" t="s">
        <v>19</v>
      </c>
      <c r="G4848" t="s">
        <v>95</v>
      </c>
      <c r="H4848" t="s">
        <v>21</v>
      </c>
      <c r="I4848" s="12">
        <v>0.86805555555555558</v>
      </c>
      <c r="J4848" t="s">
        <v>96</v>
      </c>
      <c r="K4848" t="s">
        <v>21</v>
      </c>
      <c r="L4848" s="12">
        <v>0.89583333333333337</v>
      </c>
      <c r="M4848" t="s">
        <v>29</v>
      </c>
      <c r="N4848" s="3">
        <v>186</v>
      </c>
      <c r="O4848" t="s">
        <v>24</v>
      </c>
      <c r="P4848" t="s">
        <v>79</v>
      </c>
      <c r="R4848">
        <f>tblDailySchedule[[#This Row],[Capacity Approx]]*'[1]Load Factor Sheet June Acft  '!$B$5</f>
        <v>150.61772727272728</v>
      </c>
      <c r="S4848">
        <f>tblDailySchedule[[#This Row],[Capacity Approx]]*'[1]Load Factor Sheet June Acft  '!$D$5</f>
        <v>163.08818181818182</v>
      </c>
      <c r="T4848" s="22">
        <f>tblDailySchedule[[#This Row],[STD]]</f>
        <v>0.89583333333333337</v>
      </c>
    </row>
    <row r="4849" spans="1:20" hidden="1" x14ac:dyDescent="0.35">
      <c r="A4849" s="11">
        <v>46284</v>
      </c>
      <c r="B4849" s="3">
        <v>6</v>
      </c>
      <c r="C4849" t="s">
        <v>116</v>
      </c>
      <c r="D4849" t="s">
        <v>18</v>
      </c>
      <c r="E4849" s="3">
        <v>28</v>
      </c>
      <c r="F4849" t="s">
        <v>19</v>
      </c>
      <c r="G4849" t="s">
        <v>97</v>
      </c>
      <c r="H4849" t="s">
        <v>49</v>
      </c>
      <c r="I4849" s="12">
        <v>0.90277777777777779</v>
      </c>
      <c r="J4849" t="s">
        <v>97</v>
      </c>
      <c r="K4849" t="s">
        <v>61</v>
      </c>
      <c r="L4849" s="12">
        <v>0.92361111111111116</v>
      </c>
      <c r="M4849" t="s">
        <v>33</v>
      </c>
      <c r="N4849" s="3">
        <v>189</v>
      </c>
      <c r="O4849" t="s">
        <v>24</v>
      </c>
      <c r="P4849" t="s">
        <v>79</v>
      </c>
      <c r="R4849">
        <f>tblDailySchedule[[#This Row],[Capacity Approx]]*'[1]Load Factor Sheet June Acft  '!$B$5</f>
        <v>153.04704545454547</v>
      </c>
      <c r="S4849">
        <f>tblDailySchedule[[#This Row],[Capacity Approx]]*'[1]Load Factor Sheet June Acft  '!$D$5</f>
        <v>165.71863636363636</v>
      </c>
      <c r="T4849" s="22">
        <f>tblDailySchedule[[#This Row],[STD]]</f>
        <v>0.92361111111111116</v>
      </c>
    </row>
    <row r="4850" spans="1:20" hidden="1" x14ac:dyDescent="0.35">
      <c r="A4850" s="11">
        <v>46284</v>
      </c>
      <c r="B4850" s="3">
        <v>6</v>
      </c>
      <c r="C4850" t="s">
        <v>116</v>
      </c>
      <c r="D4850" t="s">
        <v>18</v>
      </c>
      <c r="E4850" s="3">
        <v>29</v>
      </c>
      <c r="F4850" t="s">
        <v>19</v>
      </c>
      <c r="G4850" t="s">
        <v>98</v>
      </c>
      <c r="H4850" t="s">
        <v>21</v>
      </c>
      <c r="I4850" s="12">
        <v>0.92013888888888884</v>
      </c>
      <c r="J4850" t="s">
        <v>99</v>
      </c>
      <c r="K4850" t="s">
        <v>21</v>
      </c>
      <c r="L4850" s="12">
        <v>0.94791666666666663</v>
      </c>
      <c r="M4850" t="s">
        <v>63</v>
      </c>
      <c r="N4850" s="3">
        <v>232</v>
      </c>
      <c r="O4850" t="s">
        <v>24</v>
      </c>
      <c r="P4850" t="s">
        <v>79</v>
      </c>
      <c r="R4850">
        <f>tblDailySchedule[[#This Row],[Capacity Approx]]*'[1]Load Factor Sheet June Acft  '!$B$5</f>
        <v>187.86727272727273</v>
      </c>
      <c r="S4850">
        <f>tblDailySchedule[[#This Row],[Capacity Approx]]*'[1]Load Factor Sheet June Acft  '!$D$5</f>
        <v>203.4218181818182</v>
      </c>
      <c r="T4850" s="22">
        <f>tblDailySchedule[[#This Row],[STD]]</f>
        <v>0.94791666666666663</v>
      </c>
    </row>
    <row r="4851" spans="1:20" hidden="1" x14ac:dyDescent="0.35">
      <c r="A4851" s="13">
        <v>46284</v>
      </c>
      <c r="B4851" s="7">
        <v>6</v>
      </c>
      <c r="C4851" s="14" t="s">
        <v>116</v>
      </c>
      <c r="D4851" s="14" t="s">
        <v>18</v>
      </c>
      <c r="E4851" s="7">
        <v>30</v>
      </c>
      <c r="F4851" s="14" t="s">
        <v>104</v>
      </c>
      <c r="G4851" s="14" t="s">
        <v>105</v>
      </c>
      <c r="H4851" s="14" t="s">
        <v>106</v>
      </c>
      <c r="I4851" s="15">
        <v>0.92708333333333337</v>
      </c>
      <c r="J4851" s="14" t="s">
        <v>107</v>
      </c>
      <c r="K4851" s="14" t="s">
        <v>106</v>
      </c>
      <c r="L4851" s="15">
        <v>0.95833333333333337</v>
      </c>
      <c r="M4851" s="14" t="s">
        <v>38</v>
      </c>
      <c r="N4851" s="7">
        <v>186</v>
      </c>
      <c r="O4851" s="14" t="s">
        <v>39</v>
      </c>
      <c r="P4851" s="14" t="s">
        <v>79</v>
      </c>
      <c r="Q4851" s="14" t="s">
        <v>39</v>
      </c>
      <c r="R4851">
        <f>tblDailySchedule[[#This Row],[Capacity Approx]]*'[1]Load Factor Sheet June Acft  '!$B$5</f>
        <v>150.61772727272728</v>
      </c>
      <c r="S4851">
        <f>tblDailySchedule[[#This Row],[Capacity Approx]]*'[1]Load Factor Sheet June Acft  '!$D$5</f>
        <v>163.08818181818182</v>
      </c>
      <c r="T4851" s="22">
        <f>tblDailySchedule[[#This Row],[STD]]</f>
        <v>0.95833333333333337</v>
      </c>
    </row>
    <row r="4852" spans="1:20" hidden="1" x14ac:dyDescent="0.35">
      <c r="A4852" s="11">
        <v>46285</v>
      </c>
      <c r="B4852" s="3">
        <v>7</v>
      </c>
      <c r="C4852" t="s">
        <v>17</v>
      </c>
      <c r="D4852" t="s">
        <v>18</v>
      </c>
      <c r="E4852" s="3">
        <v>2</v>
      </c>
      <c r="F4852" t="s">
        <v>19</v>
      </c>
      <c r="G4852" t="s">
        <v>20</v>
      </c>
      <c r="H4852" t="s">
        <v>21</v>
      </c>
      <c r="I4852" s="12">
        <v>0.31944444444444442</v>
      </c>
      <c r="J4852" t="s">
        <v>22</v>
      </c>
      <c r="K4852" t="s">
        <v>21</v>
      </c>
      <c r="L4852" s="12">
        <v>0.34722222222222221</v>
      </c>
      <c r="M4852" t="s">
        <v>23</v>
      </c>
      <c r="N4852" s="3">
        <v>186</v>
      </c>
      <c r="O4852" t="s">
        <v>24</v>
      </c>
      <c r="P4852" t="s">
        <v>25</v>
      </c>
      <c r="R4852">
        <f>tblDailySchedule[[#This Row],[Capacity Approx]]*'[1]Load Factor Sheet June Acft  '!$B$5</f>
        <v>150.61772727272728</v>
      </c>
      <c r="S4852">
        <f>tblDailySchedule[[#This Row],[Capacity Approx]]*'[1]Load Factor Sheet June Acft  '!$D$5</f>
        <v>163.08818181818182</v>
      </c>
      <c r="T4852" s="22">
        <f>tblDailySchedule[[#This Row],[STD]]</f>
        <v>0.34722222222222221</v>
      </c>
    </row>
    <row r="4853" spans="1:20" hidden="1" x14ac:dyDescent="0.35">
      <c r="A4853" s="11">
        <v>46285</v>
      </c>
      <c r="B4853" s="3">
        <v>7</v>
      </c>
      <c r="C4853" t="s">
        <v>17</v>
      </c>
      <c r="D4853" t="s">
        <v>18</v>
      </c>
      <c r="E4853" s="3">
        <v>3</v>
      </c>
      <c r="F4853" t="s">
        <v>19</v>
      </c>
      <c r="G4853" t="s">
        <v>26</v>
      </c>
      <c r="H4853" t="s">
        <v>27</v>
      </c>
      <c r="I4853" s="12">
        <v>0.3263888888888889</v>
      </c>
      <c r="J4853" t="s">
        <v>28</v>
      </c>
      <c r="K4853" t="s">
        <v>27</v>
      </c>
      <c r="L4853" s="12">
        <v>0.35416666666666669</v>
      </c>
      <c r="M4853" t="s">
        <v>29</v>
      </c>
      <c r="N4853" s="3">
        <v>186</v>
      </c>
      <c r="O4853" t="s">
        <v>24</v>
      </c>
      <c r="P4853" t="s">
        <v>25</v>
      </c>
      <c r="R4853">
        <f>tblDailySchedule[[#This Row],[Capacity Approx]]*'[1]Load Factor Sheet June Acft  '!$B$5</f>
        <v>150.61772727272728</v>
      </c>
      <c r="S4853">
        <f>tblDailySchedule[[#This Row],[Capacity Approx]]*'[1]Load Factor Sheet June Acft  '!$D$5</f>
        <v>163.08818181818182</v>
      </c>
      <c r="T4853" s="22">
        <f>tblDailySchedule[[#This Row],[STD]]</f>
        <v>0.35416666666666669</v>
      </c>
    </row>
    <row r="4854" spans="1:20" hidden="1" x14ac:dyDescent="0.35">
      <c r="A4854" s="11">
        <v>46285</v>
      </c>
      <c r="B4854" s="3">
        <v>7</v>
      </c>
      <c r="C4854" t="s">
        <v>17</v>
      </c>
      <c r="D4854" t="s">
        <v>18</v>
      </c>
      <c r="E4854" s="3">
        <v>4</v>
      </c>
      <c r="F4854" t="s">
        <v>19</v>
      </c>
      <c r="G4854" t="s">
        <v>30</v>
      </c>
      <c r="H4854" t="s">
        <v>31</v>
      </c>
      <c r="I4854" s="12">
        <v>0.34722222222222221</v>
      </c>
      <c r="J4854" t="s">
        <v>32</v>
      </c>
      <c r="K4854" t="s">
        <v>31</v>
      </c>
      <c r="L4854" s="12">
        <v>0.36805555555555558</v>
      </c>
      <c r="M4854" t="s">
        <v>33</v>
      </c>
      <c r="N4854" s="3">
        <v>189</v>
      </c>
      <c r="O4854" t="s">
        <v>24</v>
      </c>
      <c r="P4854" t="s">
        <v>25</v>
      </c>
      <c r="R4854">
        <f>tblDailySchedule[[#This Row],[Capacity Approx]]*'[1]Load Factor Sheet June Acft  '!$B$5</f>
        <v>153.04704545454547</v>
      </c>
      <c r="S4854">
        <f>tblDailySchedule[[#This Row],[Capacity Approx]]*'[1]Load Factor Sheet June Acft  '!$D$5</f>
        <v>165.71863636363636</v>
      </c>
      <c r="T4854" s="22">
        <f>tblDailySchedule[[#This Row],[STD]]</f>
        <v>0.36805555555555558</v>
      </c>
    </row>
    <row r="4855" spans="1:20" hidden="1" x14ac:dyDescent="0.35">
      <c r="A4855" s="13">
        <v>46285</v>
      </c>
      <c r="B4855" s="7">
        <v>7</v>
      </c>
      <c r="C4855" s="14" t="s">
        <v>17</v>
      </c>
      <c r="D4855" s="14" t="s">
        <v>18</v>
      </c>
      <c r="E4855" s="7">
        <v>6</v>
      </c>
      <c r="F4855" s="14" t="s">
        <v>34</v>
      </c>
      <c r="G4855" s="14" t="s">
        <v>35</v>
      </c>
      <c r="H4855" s="14" t="s">
        <v>36</v>
      </c>
      <c r="I4855" s="15">
        <v>0.34722222222222221</v>
      </c>
      <c r="J4855" s="14" t="s">
        <v>37</v>
      </c>
      <c r="K4855" s="14" t="s">
        <v>36</v>
      </c>
      <c r="L4855" s="15">
        <v>0.40972222222222221</v>
      </c>
      <c r="M4855" s="14" t="s">
        <v>38</v>
      </c>
      <c r="N4855" s="7">
        <v>186</v>
      </c>
      <c r="O4855" s="14" t="s">
        <v>39</v>
      </c>
      <c r="P4855" s="14" t="s">
        <v>25</v>
      </c>
      <c r="Q4855" s="14" t="s">
        <v>39</v>
      </c>
      <c r="R4855">
        <f>tblDailySchedule[[#This Row],[Capacity Approx]]*'[1]Load Factor Sheet June Acft  '!$B$5</f>
        <v>150.61772727272728</v>
      </c>
      <c r="S4855">
        <f>tblDailySchedule[[#This Row],[Capacity Approx]]*'[1]Load Factor Sheet June Acft  '!$D$5</f>
        <v>163.08818181818182</v>
      </c>
      <c r="T4855" s="22">
        <f>tblDailySchedule[[#This Row],[STD]]</f>
        <v>0.40972222222222221</v>
      </c>
    </row>
    <row r="4856" spans="1:20" hidden="1" x14ac:dyDescent="0.35">
      <c r="A4856" s="11">
        <v>46285</v>
      </c>
      <c r="B4856" s="3">
        <v>7</v>
      </c>
      <c r="C4856" t="s">
        <v>17</v>
      </c>
      <c r="D4856" t="s">
        <v>18</v>
      </c>
      <c r="E4856" s="3">
        <v>5</v>
      </c>
      <c r="F4856" t="s">
        <v>19</v>
      </c>
      <c r="G4856" t="s">
        <v>40</v>
      </c>
      <c r="H4856" t="s">
        <v>31</v>
      </c>
      <c r="I4856" s="12">
        <v>0.35069444444444442</v>
      </c>
      <c r="J4856" t="s">
        <v>41</v>
      </c>
      <c r="K4856" t="s">
        <v>31</v>
      </c>
      <c r="L4856" s="12">
        <v>0.37152777777777779</v>
      </c>
      <c r="M4856" t="s">
        <v>23</v>
      </c>
      <c r="N4856" s="3">
        <v>186</v>
      </c>
      <c r="O4856" t="s">
        <v>24</v>
      </c>
      <c r="P4856" t="s">
        <v>25</v>
      </c>
      <c r="R4856">
        <f>tblDailySchedule[[#This Row],[Capacity Approx]]*'[1]Load Factor Sheet June Acft  '!$B$5</f>
        <v>150.61772727272728</v>
      </c>
      <c r="S4856">
        <f>tblDailySchedule[[#This Row],[Capacity Approx]]*'[1]Load Factor Sheet June Acft  '!$D$5</f>
        <v>163.08818181818182</v>
      </c>
      <c r="T4856" s="22">
        <f>tblDailySchedule[[#This Row],[STD]]</f>
        <v>0.37152777777777779</v>
      </c>
    </row>
    <row r="4857" spans="1:20" hidden="1" x14ac:dyDescent="0.35">
      <c r="A4857" s="11">
        <v>46285</v>
      </c>
      <c r="B4857" s="3">
        <v>7</v>
      </c>
      <c r="C4857" t="s">
        <v>17</v>
      </c>
      <c r="D4857" t="s">
        <v>18</v>
      </c>
      <c r="E4857" s="3">
        <v>7</v>
      </c>
      <c r="F4857" t="s">
        <v>19</v>
      </c>
      <c r="G4857" t="s">
        <v>42</v>
      </c>
      <c r="H4857" t="s">
        <v>43</v>
      </c>
      <c r="I4857" s="12">
        <v>0.3923611111111111</v>
      </c>
      <c r="J4857" t="s">
        <v>44</v>
      </c>
      <c r="K4857" t="s">
        <v>43</v>
      </c>
      <c r="L4857" s="12">
        <v>0.40277777777777779</v>
      </c>
      <c r="M4857" t="s">
        <v>45</v>
      </c>
      <c r="N4857" s="3">
        <v>9</v>
      </c>
      <c r="O4857" t="s">
        <v>24</v>
      </c>
      <c r="P4857" t="s">
        <v>25</v>
      </c>
      <c r="R4857">
        <f>tblDailySchedule[[#This Row],[Capacity Approx]]*'[1]Load Factor Sheet June Acft  '!$B$5</f>
        <v>7.2879545454545456</v>
      </c>
      <c r="S4857">
        <f>tblDailySchedule[[#This Row],[Capacity Approx]]*'[1]Load Factor Sheet June Acft  '!$D$5</f>
        <v>7.8913636363636366</v>
      </c>
      <c r="T4857" s="22">
        <f>tblDailySchedule[[#This Row],[STD]]</f>
        <v>0.40277777777777779</v>
      </c>
    </row>
    <row r="4858" spans="1:20" hidden="1" x14ac:dyDescent="0.35">
      <c r="A4858" s="11">
        <v>46285</v>
      </c>
      <c r="B4858" s="3">
        <v>7</v>
      </c>
      <c r="C4858" t="s">
        <v>17</v>
      </c>
      <c r="D4858" t="s">
        <v>18</v>
      </c>
      <c r="E4858" s="3">
        <v>8</v>
      </c>
      <c r="F4858" t="s">
        <v>19</v>
      </c>
      <c r="G4858" t="s">
        <v>46</v>
      </c>
      <c r="H4858" t="s">
        <v>31</v>
      </c>
      <c r="I4858" s="12">
        <v>0.4201388888888889</v>
      </c>
      <c r="J4858" t="s">
        <v>47</v>
      </c>
      <c r="K4858" t="s">
        <v>31</v>
      </c>
      <c r="L4858" s="12">
        <v>0.44444444444444442</v>
      </c>
      <c r="M4858" t="s">
        <v>29</v>
      </c>
      <c r="N4858" s="3">
        <v>186</v>
      </c>
      <c r="O4858" t="s">
        <v>24</v>
      </c>
      <c r="P4858" t="s">
        <v>25</v>
      </c>
      <c r="R4858">
        <f>tblDailySchedule[[#This Row],[Capacity Approx]]*'[1]Load Factor Sheet June Acft  '!$B$5</f>
        <v>150.61772727272728</v>
      </c>
      <c r="S4858">
        <f>tblDailySchedule[[#This Row],[Capacity Approx]]*'[1]Load Factor Sheet June Acft  '!$D$5</f>
        <v>163.08818181818182</v>
      </c>
      <c r="T4858" s="22">
        <f>tblDailySchedule[[#This Row],[STD]]</f>
        <v>0.44444444444444442</v>
      </c>
    </row>
    <row r="4859" spans="1:20" hidden="1" x14ac:dyDescent="0.35">
      <c r="A4859" s="11">
        <v>46285</v>
      </c>
      <c r="B4859" s="3">
        <v>7</v>
      </c>
      <c r="C4859" t="s">
        <v>17</v>
      </c>
      <c r="D4859" t="s">
        <v>18</v>
      </c>
      <c r="E4859" s="3">
        <v>9</v>
      </c>
      <c r="F4859" t="s">
        <v>19</v>
      </c>
      <c r="G4859" t="s">
        <v>48</v>
      </c>
      <c r="H4859" t="s">
        <v>49</v>
      </c>
      <c r="I4859" s="12">
        <v>0.4375</v>
      </c>
      <c r="J4859" t="s">
        <v>50</v>
      </c>
      <c r="K4859" t="s">
        <v>49</v>
      </c>
      <c r="L4859" s="12">
        <v>0.45833333333333331</v>
      </c>
      <c r="M4859" t="s">
        <v>51</v>
      </c>
      <c r="N4859" s="3">
        <v>78</v>
      </c>
      <c r="O4859" t="s">
        <v>24</v>
      </c>
      <c r="P4859" t="s">
        <v>25</v>
      </c>
      <c r="R4859">
        <f>tblDailySchedule[[#This Row],[Capacity Approx]]*'[1]Load Factor Sheet June Acft  '!$B$5</f>
        <v>63.162272727272729</v>
      </c>
      <c r="S4859">
        <f>tblDailySchedule[[#This Row],[Capacity Approx]]*'[1]Load Factor Sheet June Acft  '!$D$5</f>
        <v>68.391818181818181</v>
      </c>
      <c r="T4859" s="22">
        <f>tblDailySchedule[[#This Row],[STD]]</f>
        <v>0.45833333333333331</v>
      </c>
    </row>
    <row r="4860" spans="1:20" hidden="1" x14ac:dyDescent="0.35">
      <c r="A4860" s="11">
        <v>46285</v>
      </c>
      <c r="B4860" s="3">
        <v>7</v>
      </c>
      <c r="C4860" t="s">
        <v>17</v>
      </c>
      <c r="D4860" t="s">
        <v>18</v>
      </c>
      <c r="E4860" s="3">
        <v>10</v>
      </c>
      <c r="F4860" t="s">
        <v>19</v>
      </c>
      <c r="G4860" t="s">
        <v>52</v>
      </c>
      <c r="H4860" t="s">
        <v>27</v>
      </c>
      <c r="I4860" s="12">
        <v>0.4826388888888889</v>
      </c>
      <c r="J4860" t="s">
        <v>53</v>
      </c>
      <c r="K4860" t="s">
        <v>27</v>
      </c>
      <c r="L4860" s="12">
        <v>0.51041666666666663</v>
      </c>
      <c r="M4860" t="s">
        <v>23</v>
      </c>
      <c r="N4860" s="3">
        <v>186</v>
      </c>
      <c r="O4860" t="s">
        <v>24</v>
      </c>
      <c r="P4860" t="s">
        <v>25</v>
      </c>
      <c r="R4860">
        <f>tblDailySchedule[[#This Row],[Capacity Approx]]*'[1]Load Factor Sheet June Acft  '!$B$5</f>
        <v>150.61772727272728</v>
      </c>
      <c r="S4860">
        <f>tblDailySchedule[[#This Row],[Capacity Approx]]*'[1]Load Factor Sheet June Acft  '!$D$5</f>
        <v>163.08818181818182</v>
      </c>
      <c r="T4860" s="22">
        <f>tblDailySchedule[[#This Row],[STD]]</f>
        <v>0.51041666666666663</v>
      </c>
    </row>
    <row r="4861" spans="1:20" hidden="1" x14ac:dyDescent="0.35">
      <c r="A4861" s="11">
        <v>46285</v>
      </c>
      <c r="B4861" s="3">
        <v>7</v>
      </c>
      <c r="C4861" t="s">
        <v>17</v>
      </c>
      <c r="D4861" t="s">
        <v>18</v>
      </c>
      <c r="E4861" s="3">
        <v>11</v>
      </c>
      <c r="F4861" t="s">
        <v>19</v>
      </c>
      <c r="G4861" t="s">
        <v>54</v>
      </c>
      <c r="H4861" t="s">
        <v>31</v>
      </c>
      <c r="I4861" s="12">
        <v>0.51388888888888884</v>
      </c>
      <c r="J4861" t="s">
        <v>55</v>
      </c>
      <c r="K4861" t="s">
        <v>31</v>
      </c>
      <c r="L4861" s="12">
        <v>0.54166666666666663</v>
      </c>
      <c r="M4861" t="s">
        <v>23</v>
      </c>
      <c r="N4861" s="3">
        <v>186</v>
      </c>
      <c r="O4861" t="s">
        <v>24</v>
      </c>
      <c r="P4861" t="s">
        <v>56</v>
      </c>
      <c r="R4861">
        <f>tblDailySchedule[[#This Row],[Capacity Approx]]*'[1]Load Factor Sheet June Acft  '!$B$5</f>
        <v>150.61772727272728</v>
      </c>
      <c r="S4861">
        <f>tblDailySchedule[[#This Row],[Capacity Approx]]*'[1]Load Factor Sheet June Acft  '!$D$5</f>
        <v>163.08818181818182</v>
      </c>
      <c r="T4861" s="22">
        <f>tblDailySchedule[[#This Row],[STD]]</f>
        <v>0.54166666666666663</v>
      </c>
    </row>
    <row r="4862" spans="1:20" hidden="1" x14ac:dyDescent="0.35">
      <c r="A4862" s="11">
        <v>46285</v>
      </c>
      <c r="B4862" s="3">
        <v>7</v>
      </c>
      <c r="C4862" t="s">
        <v>17</v>
      </c>
      <c r="D4862" t="s">
        <v>18</v>
      </c>
      <c r="E4862" s="3">
        <v>13</v>
      </c>
      <c r="F4862" t="s">
        <v>19</v>
      </c>
      <c r="G4862" t="s">
        <v>57</v>
      </c>
      <c r="H4862" t="s">
        <v>58</v>
      </c>
      <c r="I4862" s="12">
        <v>0.55902777777777779</v>
      </c>
      <c r="J4862" t="s">
        <v>59</v>
      </c>
      <c r="K4862" t="s">
        <v>58</v>
      </c>
      <c r="L4862" s="12">
        <v>0.57638888888888884</v>
      </c>
      <c r="M4862" t="s">
        <v>51</v>
      </c>
      <c r="N4862" s="3">
        <v>78</v>
      </c>
      <c r="O4862" t="s">
        <v>24</v>
      </c>
      <c r="P4862" t="s">
        <v>56</v>
      </c>
      <c r="R4862">
        <f>tblDailySchedule[[#This Row],[Capacity Approx]]*'[1]Load Factor Sheet June Acft  '!$B$5</f>
        <v>63.162272727272729</v>
      </c>
      <c r="S4862">
        <f>tblDailySchedule[[#This Row],[Capacity Approx]]*'[1]Load Factor Sheet June Acft  '!$D$5</f>
        <v>68.391818181818181</v>
      </c>
      <c r="T4862" s="22">
        <f>tblDailySchedule[[#This Row],[STD]]</f>
        <v>0.57638888888888884</v>
      </c>
    </row>
    <row r="4863" spans="1:20" hidden="1" x14ac:dyDescent="0.35">
      <c r="A4863" s="11">
        <v>46285</v>
      </c>
      <c r="B4863" s="3">
        <v>7</v>
      </c>
      <c r="C4863" t="s">
        <v>17</v>
      </c>
      <c r="D4863" t="s">
        <v>18</v>
      </c>
      <c r="E4863" s="3">
        <v>14</v>
      </c>
      <c r="F4863" t="s">
        <v>19</v>
      </c>
      <c r="G4863" t="s">
        <v>60</v>
      </c>
      <c r="H4863" t="s">
        <v>61</v>
      </c>
      <c r="I4863" s="12">
        <v>0.59027777777777779</v>
      </c>
      <c r="J4863" t="s">
        <v>62</v>
      </c>
      <c r="K4863" t="s">
        <v>61</v>
      </c>
      <c r="L4863" s="12">
        <v>0.62152777777777779</v>
      </c>
      <c r="M4863" t="s">
        <v>63</v>
      </c>
      <c r="N4863" s="3">
        <v>232</v>
      </c>
      <c r="O4863" t="s">
        <v>24</v>
      </c>
      <c r="P4863" t="s">
        <v>56</v>
      </c>
      <c r="R4863">
        <f>tblDailySchedule[[#This Row],[Capacity Approx]]*'[1]Load Factor Sheet June Acft  '!$B$5</f>
        <v>187.86727272727273</v>
      </c>
      <c r="S4863">
        <f>tblDailySchedule[[#This Row],[Capacity Approx]]*'[1]Load Factor Sheet June Acft  '!$D$5</f>
        <v>203.4218181818182</v>
      </c>
      <c r="T4863" s="22">
        <f>tblDailySchedule[[#This Row],[STD]]</f>
        <v>0.62152777777777779</v>
      </c>
    </row>
    <row r="4864" spans="1:20" hidden="1" x14ac:dyDescent="0.35">
      <c r="A4864" s="11">
        <v>46285</v>
      </c>
      <c r="B4864" s="3">
        <v>7</v>
      </c>
      <c r="C4864" t="s">
        <v>17</v>
      </c>
      <c r="D4864" t="s">
        <v>18</v>
      </c>
      <c r="E4864" s="3">
        <v>15</v>
      </c>
      <c r="F4864" t="s">
        <v>19</v>
      </c>
      <c r="G4864" t="s">
        <v>64</v>
      </c>
      <c r="H4864" t="s">
        <v>31</v>
      </c>
      <c r="I4864" s="12">
        <v>0.60069444444444442</v>
      </c>
      <c r="J4864" t="s">
        <v>65</v>
      </c>
      <c r="K4864" t="s">
        <v>66</v>
      </c>
      <c r="L4864" s="12">
        <v>0.62847222222222221</v>
      </c>
      <c r="M4864" t="s">
        <v>63</v>
      </c>
      <c r="N4864" s="3">
        <v>232</v>
      </c>
      <c r="O4864" t="s">
        <v>24</v>
      </c>
      <c r="P4864" t="s">
        <v>56</v>
      </c>
      <c r="R4864">
        <f>tblDailySchedule[[#This Row],[Capacity Approx]]*'[1]Load Factor Sheet June Acft  '!$B$5</f>
        <v>187.86727272727273</v>
      </c>
      <c r="S4864">
        <f>tblDailySchedule[[#This Row],[Capacity Approx]]*'[1]Load Factor Sheet June Acft  '!$D$5</f>
        <v>203.4218181818182</v>
      </c>
      <c r="T4864" s="22">
        <f>tblDailySchedule[[#This Row],[STD]]</f>
        <v>0.62847222222222221</v>
      </c>
    </row>
    <row r="4865" spans="1:20" hidden="1" x14ac:dyDescent="0.35">
      <c r="A4865" s="11">
        <v>46285</v>
      </c>
      <c r="B4865" s="3">
        <v>7</v>
      </c>
      <c r="C4865" t="s">
        <v>17</v>
      </c>
      <c r="D4865" t="s">
        <v>18</v>
      </c>
      <c r="E4865" s="3">
        <v>16</v>
      </c>
      <c r="F4865" t="s">
        <v>19</v>
      </c>
      <c r="G4865" t="s">
        <v>67</v>
      </c>
      <c r="H4865" t="s">
        <v>31</v>
      </c>
      <c r="I4865" s="12">
        <v>0.65625</v>
      </c>
      <c r="J4865" t="s">
        <v>68</v>
      </c>
      <c r="K4865" t="s">
        <v>31</v>
      </c>
      <c r="L4865" s="12">
        <v>0.68402777777777779</v>
      </c>
      <c r="M4865" t="s">
        <v>63</v>
      </c>
      <c r="N4865" s="3">
        <v>232</v>
      </c>
      <c r="O4865" t="s">
        <v>24</v>
      </c>
      <c r="P4865" t="s">
        <v>56</v>
      </c>
      <c r="R4865">
        <f>tblDailySchedule[[#This Row],[Capacity Approx]]*'[1]Load Factor Sheet June Acft  '!$B$5</f>
        <v>187.86727272727273</v>
      </c>
      <c r="S4865">
        <f>tblDailySchedule[[#This Row],[Capacity Approx]]*'[1]Load Factor Sheet June Acft  '!$D$5</f>
        <v>203.4218181818182</v>
      </c>
      <c r="T4865" s="22">
        <f>tblDailySchedule[[#This Row],[STD]]</f>
        <v>0.68402777777777779</v>
      </c>
    </row>
    <row r="4866" spans="1:20" hidden="1" x14ac:dyDescent="0.35">
      <c r="A4866" s="11">
        <v>46285</v>
      </c>
      <c r="B4866" s="3">
        <v>7</v>
      </c>
      <c r="C4866" t="s">
        <v>17</v>
      </c>
      <c r="D4866" t="s">
        <v>18</v>
      </c>
      <c r="E4866" s="3">
        <v>17</v>
      </c>
      <c r="F4866" t="s">
        <v>19</v>
      </c>
      <c r="G4866" t="s">
        <v>69</v>
      </c>
      <c r="H4866" t="s">
        <v>31</v>
      </c>
      <c r="I4866" s="12">
        <v>0.66319444444444442</v>
      </c>
      <c r="J4866" t="s">
        <v>70</v>
      </c>
      <c r="K4866" t="s">
        <v>31</v>
      </c>
      <c r="L4866" s="12">
        <v>0.69097222222222221</v>
      </c>
      <c r="M4866" t="s">
        <v>33</v>
      </c>
      <c r="N4866" s="3">
        <v>189</v>
      </c>
      <c r="O4866" t="s">
        <v>24</v>
      </c>
      <c r="P4866" t="s">
        <v>56</v>
      </c>
      <c r="R4866">
        <f>tblDailySchedule[[#This Row],[Capacity Approx]]*'[1]Load Factor Sheet June Acft  '!$B$5</f>
        <v>153.04704545454547</v>
      </c>
      <c r="S4866">
        <f>tblDailySchedule[[#This Row],[Capacity Approx]]*'[1]Load Factor Sheet June Acft  '!$D$5</f>
        <v>165.71863636363636</v>
      </c>
      <c r="T4866" s="22">
        <f>tblDailySchedule[[#This Row],[STD]]</f>
        <v>0.69097222222222221</v>
      </c>
    </row>
    <row r="4867" spans="1:20" hidden="1" x14ac:dyDescent="0.35">
      <c r="A4867" s="11">
        <v>46285</v>
      </c>
      <c r="B4867" s="3">
        <v>7</v>
      </c>
      <c r="C4867" t="s">
        <v>17</v>
      </c>
      <c r="D4867" t="s">
        <v>18</v>
      </c>
      <c r="E4867" s="3">
        <v>18</v>
      </c>
      <c r="F4867" t="s">
        <v>19</v>
      </c>
      <c r="G4867" t="s">
        <v>71</v>
      </c>
      <c r="H4867" t="s">
        <v>21</v>
      </c>
      <c r="I4867" s="12">
        <v>0.67013888888888884</v>
      </c>
      <c r="J4867" t="s">
        <v>72</v>
      </c>
      <c r="K4867" t="s">
        <v>21</v>
      </c>
      <c r="L4867" s="12">
        <v>0.69791666666666663</v>
      </c>
      <c r="M4867" t="s">
        <v>63</v>
      </c>
      <c r="N4867" s="3">
        <v>232</v>
      </c>
      <c r="O4867" t="s">
        <v>24</v>
      </c>
      <c r="P4867" t="s">
        <v>56</v>
      </c>
      <c r="R4867">
        <f>tblDailySchedule[[#This Row],[Capacity Approx]]*'[1]Load Factor Sheet June Acft  '!$B$5</f>
        <v>187.86727272727273</v>
      </c>
      <c r="S4867">
        <f>tblDailySchedule[[#This Row],[Capacity Approx]]*'[1]Load Factor Sheet June Acft  '!$D$5</f>
        <v>203.4218181818182</v>
      </c>
      <c r="T4867" s="22">
        <f>tblDailySchedule[[#This Row],[STD]]</f>
        <v>0.69791666666666663</v>
      </c>
    </row>
    <row r="4868" spans="1:20" hidden="1" x14ac:dyDescent="0.35">
      <c r="A4868" s="11">
        <v>46285</v>
      </c>
      <c r="B4868" s="3">
        <v>7</v>
      </c>
      <c r="C4868" t="s">
        <v>17</v>
      </c>
      <c r="D4868" t="s">
        <v>18</v>
      </c>
      <c r="E4868" s="3">
        <v>19</v>
      </c>
      <c r="F4868" t="s">
        <v>19</v>
      </c>
      <c r="G4868" t="s">
        <v>73</v>
      </c>
      <c r="H4868" t="s">
        <v>27</v>
      </c>
      <c r="I4868" s="12">
        <v>0.74652777777777779</v>
      </c>
      <c r="J4868" t="s">
        <v>74</v>
      </c>
      <c r="K4868" t="s">
        <v>27</v>
      </c>
      <c r="L4868" s="12">
        <v>0.77430555555555558</v>
      </c>
      <c r="M4868" t="s">
        <v>63</v>
      </c>
      <c r="N4868" s="3">
        <v>232</v>
      </c>
      <c r="O4868" t="s">
        <v>24</v>
      </c>
      <c r="P4868" t="s">
        <v>56</v>
      </c>
      <c r="R4868">
        <f>tblDailySchedule[[#This Row],[Capacity Approx]]*'[1]Load Factor Sheet June Acft  '!$B$5</f>
        <v>187.86727272727273</v>
      </c>
      <c r="S4868">
        <f>tblDailySchedule[[#This Row],[Capacity Approx]]*'[1]Load Factor Sheet June Acft  '!$D$5</f>
        <v>203.4218181818182</v>
      </c>
      <c r="T4868" s="22">
        <f>tblDailySchedule[[#This Row],[STD]]</f>
        <v>0.77430555555555558</v>
      </c>
    </row>
    <row r="4869" spans="1:20" hidden="1" x14ac:dyDescent="0.35">
      <c r="A4869" s="11">
        <v>46285</v>
      </c>
      <c r="B4869" s="3">
        <v>7</v>
      </c>
      <c r="C4869" t="s">
        <v>17</v>
      </c>
      <c r="D4869" t="s">
        <v>18</v>
      </c>
      <c r="E4869" s="3">
        <v>20</v>
      </c>
      <c r="F4869" t="s">
        <v>34</v>
      </c>
      <c r="G4869" t="s">
        <v>75</v>
      </c>
      <c r="H4869" t="s">
        <v>76</v>
      </c>
      <c r="I4869" s="12">
        <v>0.76388888888888884</v>
      </c>
      <c r="J4869" t="s">
        <v>77</v>
      </c>
      <c r="K4869" t="s">
        <v>78</v>
      </c>
      <c r="L4869" s="12">
        <v>0.78472222222222221</v>
      </c>
      <c r="M4869" t="s">
        <v>51</v>
      </c>
      <c r="N4869" s="3">
        <v>78</v>
      </c>
      <c r="O4869" t="s">
        <v>24</v>
      </c>
      <c r="P4869" t="s">
        <v>79</v>
      </c>
      <c r="Q4869" s="16" t="s">
        <v>80</v>
      </c>
      <c r="R4869">
        <f>tblDailySchedule[[#This Row],[Capacity Approx]]*'[1]Load Factor Sheet June Acft  '!$B$5</f>
        <v>63.162272727272729</v>
      </c>
      <c r="S4869">
        <f>tblDailySchedule[[#This Row],[Capacity Approx]]*'[1]Load Factor Sheet June Acft  '!$D$5</f>
        <v>68.391818181818181</v>
      </c>
      <c r="T4869" s="22">
        <f>tblDailySchedule[[#This Row],[STD]]</f>
        <v>0.78472222222222221</v>
      </c>
    </row>
    <row r="4870" spans="1:20" hidden="1" x14ac:dyDescent="0.35">
      <c r="A4870" s="11">
        <v>46285</v>
      </c>
      <c r="B4870" s="3">
        <v>7</v>
      </c>
      <c r="C4870" t="s">
        <v>17</v>
      </c>
      <c r="D4870" t="s">
        <v>18</v>
      </c>
      <c r="E4870" s="3">
        <v>21</v>
      </c>
      <c r="F4870" t="s">
        <v>19</v>
      </c>
      <c r="G4870" t="s">
        <v>81</v>
      </c>
      <c r="H4870" t="s">
        <v>61</v>
      </c>
      <c r="I4870" s="12">
        <v>0.77083333333333337</v>
      </c>
      <c r="J4870" t="s">
        <v>82</v>
      </c>
      <c r="K4870" t="s">
        <v>49</v>
      </c>
      <c r="L4870" s="12">
        <v>0.79166666666666663</v>
      </c>
      <c r="M4870" t="s">
        <v>33</v>
      </c>
      <c r="N4870" s="3">
        <v>189</v>
      </c>
      <c r="O4870" t="s">
        <v>24</v>
      </c>
      <c r="P4870" t="s">
        <v>79</v>
      </c>
      <c r="R4870">
        <f>tblDailySchedule[[#This Row],[Capacity Approx]]*'[1]Load Factor Sheet June Acft  '!$B$5</f>
        <v>153.04704545454547</v>
      </c>
      <c r="S4870">
        <f>tblDailySchedule[[#This Row],[Capacity Approx]]*'[1]Load Factor Sheet June Acft  '!$D$5</f>
        <v>165.71863636363636</v>
      </c>
      <c r="T4870" s="22">
        <f>tblDailySchedule[[#This Row],[STD]]</f>
        <v>0.79166666666666663</v>
      </c>
    </row>
    <row r="4871" spans="1:20" hidden="1" x14ac:dyDescent="0.35">
      <c r="A4871" s="11">
        <v>46285</v>
      </c>
      <c r="B4871" s="3">
        <v>7</v>
      </c>
      <c r="C4871" t="s">
        <v>17</v>
      </c>
      <c r="D4871" t="s">
        <v>18</v>
      </c>
      <c r="E4871" s="3">
        <v>22</v>
      </c>
      <c r="F4871" t="s">
        <v>19</v>
      </c>
      <c r="G4871" t="s">
        <v>83</v>
      </c>
      <c r="H4871" t="s">
        <v>31</v>
      </c>
      <c r="I4871" s="12">
        <v>0.77777777777777779</v>
      </c>
      <c r="J4871" t="s">
        <v>84</v>
      </c>
      <c r="K4871" t="s">
        <v>31</v>
      </c>
      <c r="L4871" s="12">
        <v>0.80555555555555558</v>
      </c>
      <c r="M4871" t="s">
        <v>63</v>
      </c>
      <c r="N4871" s="3">
        <v>232</v>
      </c>
      <c r="O4871" t="s">
        <v>24</v>
      </c>
      <c r="P4871" t="s">
        <v>79</v>
      </c>
      <c r="R4871">
        <f>tblDailySchedule[[#This Row],[Capacity Approx]]*'[1]Load Factor Sheet June Acft  '!$B$5</f>
        <v>187.86727272727273</v>
      </c>
      <c r="S4871">
        <f>tblDailySchedule[[#This Row],[Capacity Approx]]*'[1]Load Factor Sheet June Acft  '!$D$5</f>
        <v>203.4218181818182</v>
      </c>
      <c r="T4871" s="22">
        <f>tblDailySchedule[[#This Row],[STD]]</f>
        <v>0.80555555555555558</v>
      </c>
    </row>
    <row r="4872" spans="1:20" hidden="1" x14ac:dyDescent="0.35">
      <c r="A4872" s="11">
        <v>46285</v>
      </c>
      <c r="B4872" s="3">
        <v>7</v>
      </c>
      <c r="C4872" t="s">
        <v>17</v>
      </c>
      <c r="D4872" t="s">
        <v>18</v>
      </c>
      <c r="E4872" s="3">
        <v>23</v>
      </c>
      <c r="F4872" t="s">
        <v>19</v>
      </c>
      <c r="G4872" t="s">
        <v>85</v>
      </c>
      <c r="H4872" t="s">
        <v>86</v>
      </c>
      <c r="I4872" s="12">
        <v>0.79861111111111116</v>
      </c>
      <c r="J4872" t="s">
        <v>87</v>
      </c>
      <c r="K4872" t="s">
        <v>86</v>
      </c>
      <c r="L4872" s="12">
        <v>0.82638888888888884</v>
      </c>
      <c r="M4872" t="s">
        <v>63</v>
      </c>
      <c r="N4872" s="3">
        <v>232</v>
      </c>
      <c r="O4872" t="s">
        <v>24</v>
      </c>
      <c r="P4872" t="s">
        <v>79</v>
      </c>
      <c r="R4872">
        <f>tblDailySchedule[[#This Row],[Capacity Approx]]*'[1]Load Factor Sheet June Acft  '!$B$5</f>
        <v>187.86727272727273</v>
      </c>
      <c r="S4872">
        <f>tblDailySchedule[[#This Row],[Capacity Approx]]*'[1]Load Factor Sheet June Acft  '!$D$5</f>
        <v>203.4218181818182</v>
      </c>
      <c r="T4872" s="22">
        <f>tblDailySchedule[[#This Row],[STD]]</f>
        <v>0.82638888888888884</v>
      </c>
    </row>
    <row r="4873" spans="1:20" hidden="1" x14ac:dyDescent="0.35">
      <c r="A4873" s="11">
        <v>46285</v>
      </c>
      <c r="B4873" s="3">
        <v>7</v>
      </c>
      <c r="C4873" t="s">
        <v>17</v>
      </c>
      <c r="D4873" t="s">
        <v>18</v>
      </c>
      <c r="E4873" s="3">
        <v>24</v>
      </c>
      <c r="F4873" t="s">
        <v>19</v>
      </c>
      <c r="G4873" t="s">
        <v>88</v>
      </c>
      <c r="H4873" t="s">
        <v>89</v>
      </c>
      <c r="I4873" s="12">
        <v>0.83333333333333337</v>
      </c>
      <c r="J4873" t="s">
        <v>90</v>
      </c>
      <c r="K4873" t="s">
        <v>31</v>
      </c>
      <c r="L4873" s="12">
        <v>0.86111111111111116</v>
      </c>
      <c r="M4873" t="s">
        <v>63</v>
      </c>
      <c r="N4873" s="3">
        <v>232</v>
      </c>
      <c r="O4873" t="s">
        <v>24</v>
      </c>
      <c r="P4873" t="s">
        <v>79</v>
      </c>
      <c r="R4873">
        <f>tblDailySchedule[[#This Row],[Capacity Approx]]*'[1]Load Factor Sheet June Acft  '!$B$5</f>
        <v>187.86727272727273</v>
      </c>
      <c r="S4873">
        <f>tblDailySchedule[[#This Row],[Capacity Approx]]*'[1]Load Factor Sheet June Acft  '!$D$5</f>
        <v>203.4218181818182</v>
      </c>
      <c r="T4873" s="22">
        <f>tblDailySchedule[[#This Row],[STD]]</f>
        <v>0.86111111111111116</v>
      </c>
    </row>
    <row r="4874" spans="1:20" hidden="1" x14ac:dyDescent="0.35">
      <c r="A4874" s="11">
        <v>46285</v>
      </c>
      <c r="B4874" s="3">
        <v>7</v>
      </c>
      <c r="C4874" t="s">
        <v>17</v>
      </c>
      <c r="D4874" t="s">
        <v>18</v>
      </c>
      <c r="E4874" s="3">
        <v>25</v>
      </c>
      <c r="F4874" t="s">
        <v>19</v>
      </c>
      <c r="G4874" t="s">
        <v>91</v>
      </c>
      <c r="H4874" t="s">
        <v>61</v>
      </c>
      <c r="I4874" s="12">
        <v>0.85416666666666663</v>
      </c>
      <c r="J4874" t="s">
        <v>92</v>
      </c>
      <c r="K4874" t="s">
        <v>61</v>
      </c>
      <c r="L4874" s="12">
        <v>0.88194444444444442</v>
      </c>
      <c r="M4874" t="s">
        <v>63</v>
      </c>
      <c r="N4874" s="3">
        <v>232</v>
      </c>
      <c r="O4874" t="s">
        <v>24</v>
      </c>
      <c r="P4874" t="s">
        <v>79</v>
      </c>
      <c r="R4874">
        <f>tblDailySchedule[[#This Row],[Capacity Approx]]*'[1]Load Factor Sheet June Acft  '!$B$5</f>
        <v>187.86727272727273</v>
      </c>
      <c r="S4874">
        <f>tblDailySchedule[[#This Row],[Capacity Approx]]*'[1]Load Factor Sheet June Acft  '!$D$5</f>
        <v>203.4218181818182</v>
      </c>
      <c r="T4874" s="22">
        <f>tblDailySchedule[[#This Row],[STD]]</f>
        <v>0.88194444444444442</v>
      </c>
    </row>
    <row r="4875" spans="1:20" hidden="1" x14ac:dyDescent="0.35">
      <c r="A4875" s="11">
        <v>46285</v>
      </c>
      <c r="B4875" s="3">
        <v>7</v>
      </c>
      <c r="C4875" t="s">
        <v>17</v>
      </c>
      <c r="D4875" t="s">
        <v>18</v>
      </c>
      <c r="E4875" s="3">
        <v>26</v>
      </c>
      <c r="F4875" t="s">
        <v>19</v>
      </c>
      <c r="G4875" t="s">
        <v>93</v>
      </c>
      <c r="H4875" t="s">
        <v>31</v>
      </c>
      <c r="I4875" s="12">
        <v>0.86111111111111116</v>
      </c>
      <c r="J4875" t="s">
        <v>94</v>
      </c>
      <c r="K4875" t="s">
        <v>31</v>
      </c>
      <c r="L4875" s="12">
        <v>0.88888888888888884</v>
      </c>
      <c r="M4875" t="s">
        <v>23</v>
      </c>
      <c r="N4875" s="3">
        <v>186</v>
      </c>
      <c r="O4875" t="s">
        <v>24</v>
      </c>
      <c r="P4875" t="s">
        <v>79</v>
      </c>
      <c r="R4875">
        <f>tblDailySchedule[[#This Row],[Capacity Approx]]*'[1]Load Factor Sheet June Acft  '!$B$5</f>
        <v>150.61772727272728</v>
      </c>
      <c r="S4875">
        <f>tblDailySchedule[[#This Row],[Capacity Approx]]*'[1]Load Factor Sheet June Acft  '!$D$5</f>
        <v>163.08818181818182</v>
      </c>
      <c r="T4875" s="22">
        <f>tblDailySchedule[[#This Row],[STD]]</f>
        <v>0.88888888888888884</v>
      </c>
    </row>
    <row r="4876" spans="1:20" hidden="1" x14ac:dyDescent="0.35">
      <c r="A4876" s="11">
        <v>46285</v>
      </c>
      <c r="B4876" s="3">
        <v>7</v>
      </c>
      <c r="C4876" t="s">
        <v>17</v>
      </c>
      <c r="D4876" t="s">
        <v>18</v>
      </c>
      <c r="E4876" s="3">
        <v>27</v>
      </c>
      <c r="F4876" t="s">
        <v>19</v>
      </c>
      <c r="G4876" t="s">
        <v>95</v>
      </c>
      <c r="H4876" t="s">
        <v>21</v>
      </c>
      <c r="I4876" s="12">
        <v>0.86805555555555558</v>
      </c>
      <c r="J4876" t="s">
        <v>96</v>
      </c>
      <c r="K4876" t="s">
        <v>21</v>
      </c>
      <c r="L4876" s="12">
        <v>0.89583333333333337</v>
      </c>
      <c r="M4876" t="s">
        <v>29</v>
      </c>
      <c r="N4876" s="3">
        <v>186</v>
      </c>
      <c r="O4876" t="s">
        <v>24</v>
      </c>
      <c r="P4876" t="s">
        <v>79</v>
      </c>
      <c r="R4876">
        <f>tblDailySchedule[[#This Row],[Capacity Approx]]*'[1]Load Factor Sheet June Acft  '!$B$5</f>
        <v>150.61772727272728</v>
      </c>
      <c r="S4876">
        <f>tblDailySchedule[[#This Row],[Capacity Approx]]*'[1]Load Factor Sheet June Acft  '!$D$5</f>
        <v>163.08818181818182</v>
      </c>
      <c r="T4876" s="22">
        <f>tblDailySchedule[[#This Row],[STD]]</f>
        <v>0.89583333333333337</v>
      </c>
    </row>
    <row r="4877" spans="1:20" hidden="1" x14ac:dyDescent="0.35">
      <c r="A4877" s="11">
        <v>46285</v>
      </c>
      <c r="B4877" s="3">
        <v>7</v>
      </c>
      <c r="C4877" t="s">
        <v>17</v>
      </c>
      <c r="D4877" t="s">
        <v>18</v>
      </c>
      <c r="E4877" s="3">
        <v>28</v>
      </c>
      <c r="F4877" t="s">
        <v>19</v>
      </c>
      <c r="G4877" t="s">
        <v>97</v>
      </c>
      <c r="H4877" t="s">
        <v>49</v>
      </c>
      <c r="I4877" s="12">
        <v>0.90277777777777779</v>
      </c>
      <c r="J4877" t="s">
        <v>97</v>
      </c>
      <c r="K4877" t="s">
        <v>61</v>
      </c>
      <c r="L4877" s="12">
        <v>0.92361111111111116</v>
      </c>
      <c r="M4877" t="s">
        <v>33</v>
      </c>
      <c r="N4877" s="3">
        <v>189</v>
      </c>
      <c r="O4877" t="s">
        <v>24</v>
      </c>
      <c r="P4877" t="s">
        <v>79</v>
      </c>
      <c r="R4877">
        <f>tblDailySchedule[[#This Row],[Capacity Approx]]*'[1]Load Factor Sheet June Acft  '!$B$5</f>
        <v>153.04704545454547</v>
      </c>
      <c r="S4877">
        <f>tblDailySchedule[[#This Row],[Capacity Approx]]*'[1]Load Factor Sheet June Acft  '!$D$5</f>
        <v>165.71863636363636</v>
      </c>
      <c r="T4877" s="22">
        <f>tblDailySchedule[[#This Row],[STD]]</f>
        <v>0.92361111111111116</v>
      </c>
    </row>
    <row r="4878" spans="1:20" hidden="1" x14ac:dyDescent="0.35">
      <c r="A4878" s="11">
        <v>46285</v>
      </c>
      <c r="B4878" s="3">
        <v>7</v>
      </c>
      <c r="C4878" t="s">
        <v>17</v>
      </c>
      <c r="D4878" t="s">
        <v>18</v>
      </c>
      <c r="E4878" s="3">
        <v>29</v>
      </c>
      <c r="F4878" t="s">
        <v>19</v>
      </c>
      <c r="G4878" t="s">
        <v>98</v>
      </c>
      <c r="H4878" t="s">
        <v>21</v>
      </c>
      <c r="I4878" s="12">
        <v>0.92013888888888884</v>
      </c>
      <c r="J4878" t="s">
        <v>99</v>
      </c>
      <c r="K4878" t="s">
        <v>21</v>
      </c>
      <c r="L4878" s="12">
        <v>0.94791666666666663</v>
      </c>
      <c r="M4878" t="s">
        <v>63</v>
      </c>
      <c r="N4878" s="3">
        <v>232</v>
      </c>
      <c r="O4878" t="s">
        <v>24</v>
      </c>
      <c r="P4878" t="s">
        <v>79</v>
      </c>
      <c r="R4878">
        <f>tblDailySchedule[[#This Row],[Capacity Approx]]*'[1]Load Factor Sheet June Acft  '!$B$5</f>
        <v>187.86727272727273</v>
      </c>
      <c r="S4878">
        <f>tblDailySchedule[[#This Row],[Capacity Approx]]*'[1]Load Factor Sheet June Acft  '!$D$5</f>
        <v>203.4218181818182</v>
      </c>
      <c r="T4878" s="22">
        <f>tblDailySchedule[[#This Row],[STD]]</f>
        <v>0.94791666666666663</v>
      </c>
    </row>
    <row r="4879" spans="1:20" hidden="1" x14ac:dyDescent="0.35">
      <c r="A4879" s="11">
        <v>46286</v>
      </c>
      <c r="B4879" s="3">
        <v>1</v>
      </c>
      <c r="C4879" t="s">
        <v>100</v>
      </c>
      <c r="D4879" t="s">
        <v>18</v>
      </c>
      <c r="E4879" s="3">
        <v>1</v>
      </c>
      <c r="F4879" t="s">
        <v>101</v>
      </c>
      <c r="G4879" t="s">
        <v>102</v>
      </c>
      <c r="H4879" t="s">
        <v>61</v>
      </c>
      <c r="I4879" s="12">
        <v>0.3125</v>
      </c>
      <c r="J4879" t="s">
        <v>103</v>
      </c>
      <c r="K4879" t="s">
        <v>61</v>
      </c>
      <c r="L4879" s="12">
        <v>0.33333333333333331</v>
      </c>
      <c r="M4879" t="s">
        <v>33</v>
      </c>
      <c r="N4879" s="3">
        <v>189</v>
      </c>
      <c r="O4879" t="s">
        <v>24</v>
      </c>
      <c r="P4879" t="s">
        <v>25</v>
      </c>
      <c r="R4879">
        <f>tblDailySchedule[[#This Row],[Capacity Approx]]*'[1]Load Factor Sheet June Acft  '!$B$5</f>
        <v>153.04704545454547</v>
      </c>
      <c r="S4879">
        <f>tblDailySchedule[[#This Row],[Capacity Approx]]*'[1]Load Factor Sheet June Acft  '!$D$5</f>
        <v>165.71863636363636</v>
      </c>
      <c r="T4879" s="22">
        <f>tblDailySchedule[[#This Row],[STD]]</f>
        <v>0.33333333333333331</v>
      </c>
    </row>
    <row r="4880" spans="1:20" hidden="1" x14ac:dyDescent="0.35">
      <c r="A4880" s="11">
        <v>46286</v>
      </c>
      <c r="B4880" s="3">
        <v>1</v>
      </c>
      <c r="C4880" t="s">
        <v>100</v>
      </c>
      <c r="D4880" t="s">
        <v>18</v>
      </c>
      <c r="E4880" s="3">
        <v>2</v>
      </c>
      <c r="F4880" t="s">
        <v>19</v>
      </c>
      <c r="G4880" t="s">
        <v>20</v>
      </c>
      <c r="H4880" t="s">
        <v>21</v>
      </c>
      <c r="I4880" s="12">
        <v>0.31944444444444442</v>
      </c>
      <c r="J4880" t="s">
        <v>22</v>
      </c>
      <c r="K4880" t="s">
        <v>21</v>
      </c>
      <c r="L4880" s="12">
        <v>0.34722222222222221</v>
      </c>
      <c r="M4880" t="s">
        <v>23</v>
      </c>
      <c r="N4880" s="3">
        <v>186</v>
      </c>
      <c r="O4880" t="s">
        <v>24</v>
      </c>
      <c r="P4880" t="s">
        <v>25</v>
      </c>
      <c r="R4880">
        <f>tblDailySchedule[[#This Row],[Capacity Approx]]*'[1]Load Factor Sheet June Acft  '!$B$5</f>
        <v>150.61772727272728</v>
      </c>
      <c r="S4880">
        <f>tblDailySchedule[[#This Row],[Capacity Approx]]*'[1]Load Factor Sheet June Acft  '!$D$5</f>
        <v>163.08818181818182</v>
      </c>
      <c r="T4880" s="22">
        <f>tblDailySchedule[[#This Row],[STD]]</f>
        <v>0.34722222222222221</v>
      </c>
    </row>
    <row r="4881" spans="1:20" hidden="1" x14ac:dyDescent="0.35">
      <c r="A4881" s="11">
        <v>46286</v>
      </c>
      <c r="B4881" s="3">
        <v>1</v>
      </c>
      <c r="C4881" t="s">
        <v>100</v>
      </c>
      <c r="D4881" t="s">
        <v>18</v>
      </c>
      <c r="E4881" s="3">
        <v>3</v>
      </c>
      <c r="F4881" t="s">
        <v>19</v>
      </c>
      <c r="G4881" t="s">
        <v>26</v>
      </c>
      <c r="H4881" t="s">
        <v>27</v>
      </c>
      <c r="I4881" s="12">
        <v>0.3263888888888889</v>
      </c>
      <c r="J4881" t="s">
        <v>28</v>
      </c>
      <c r="K4881" t="s">
        <v>27</v>
      </c>
      <c r="L4881" s="12">
        <v>0.35416666666666669</v>
      </c>
      <c r="M4881" t="s">
        <v>29</v>
      </c>
      <c r="N4881" s="3">
        <v>186</v>
      </c>
      <c r="O4881" t="s">
        <v>24</v>
      </c>
      <c r="P4881" t="s">
        <v>25</v>
      </c>
      <c r="R4881">
        <f>tblDailySchedule[[#This Row],[Capacity Approx]]*'[1]Load Factor Sheet June Acft  '!$B$5</f>
        <v>150.61772727272728</v>
      </c>
      <c r="S4881">
        <f>tblDailySchedule[[#This Row],[Capacity Approx]]*'[1]Load Factor Sheet June Acft  '!$D$5</f>
        <v>163.08818181818182</v>
      </c>
      <c r="T4881" s="22">
        <f>tblDailySchedule[[#This Row],[STD]]</f>
        <v>0.35416666666666669</v>
      </c>
    </row>
    <row r="4882" spans="1:20" hidden="1" x14ac:dyDescent="0.35">
      <c r="A4882" s="11">
        <v>46286</v>
      </c>
      <c r="B4882" s="3">
        <v>1</v>
      </c>
      <c r="C4882" t="s">
        <v>100</v>
      </c>
      <c r="D4882" t="s">
        <v>18</v>
      </c>
      <c r="E4882" s="3">
        <v>4</v>
      </c>
      <c r="F4882" t="s">
        <v>19</v>
      </c>
      <c r="G4882" t="s">
        <v>30</v>
      </c>
      <c r="H4882" t="s">
        <v>31</v>
      </c>
      <c r="I4882" s="12">
        <v>0.34722222222222221</v>
      </c>
      <c r="J4882" t="s">
        <v>32</v>
      </c>
      <c r="K4882" t="s">
        <v>31</v>
      </c>
      <c r="L4882" s="12">
        <v>0.36805555555555558</v>
      </c>
      <c r="M4882" t="s">
        <v>33</v>
      </c>
      <c r="N4882" s="3">
        <v>189</v>
      </c>
      <c r="O4882" t="s">
        <v>24</v>
      </c>
      <c r="P4882" t="s">
        <v>25</v>
      </c>
      <c r="R4882">
        <f>tblDailySchedule[[#This Row],[Capacity Approx]]*'[1]Load Factor Sheet June Acft  '!$B$5</f>
        <v>153.04704545454547</v>
      </c>
      <c r="S4882">
        <f>tblDailySchedule[[#This Row],[Capacity Approx]]*'[1]Load Factor Sheet June Acft  '!$D$5</f>
        <v>165.71863636363636</v>
      </c>
      <c r="T4882" s="22">
        <f>tblDailySchedule[[#This Row],[STD]]</f>
        <v>0.36805555555555558</v>
      </c>
    </row>
    <row r="4883" spans="1:20" hidden="1" x14ac:dyDescent="0.35">
      <c r="A4883" s="13">
        <v>46286</v>
      </c>
      <c r="B4883" s="7">
        <v>1</v>
      </c>
      <c r="C4883" s="14" t="s">
        <v>100</v>
      </c>
      <c r="D4883" s="14" t="s">
        <v>18</v>
      </c>
      <c r="E4883" s="7">
        <v>6</v>
      </c>
      <c r="F4883" s="14" t="s">
        <v>34</v>
      </c>
      <c r="G4883" s="14" t="s">
        <v>35</v>
      </c>
      <c r="H4883" s="14" t="s">
        <v>36</v>
      </c>
      <c r="I4883" s="15">
        <v>0.34722222222222221</v>
      </c>
      <c r="J4883" s="14" t="s">
        <v>37</v>
      </c>
      <c r="K4883" s="14" t="s">
        <v>36</v>
      </c>
      <c r="L4883" s="15">
        <v>0.40972222222222221</v>
      </c>
      <c r="M4883" s="14" t="s">
        <v>38</v>
      </c>
      <c r="N4883" s="7">
        <v>186</v>
      </c>
      <c r="O4883" s="14" t="s">
        <v>39</v>
      </c>
      <c r="P4883" s="14" t="s">
        <v>25</v>
      </c>
      <c r="Q4883" s="14" t="s">
        <v>39</v>
      </c>
      <c r="R4883">
        <f>tblDailySchedule[[#This Row],[Capacity Approx]]*'[1]Load Factor Sheet June Acft  '!$B$5</f>
        <v>150.61772727272728</v>
      </c>
      <c r="S4883">
        <f>tblDailySchedule[[#This Row],[Capacity Approx]]*'[1]Load Factor Sheet June Acft  '!$D$5</f>
        <v>163.08818181818182</v>
      </c>
      <c r="T4883" s="22">
        <f>tblDailySchedule[[#This Row],[STD]]</f>
        <v>0.40972222222222221</v>
      </c>
    </row>
    <row r="4884" spans="1:20" hidden="1" x14ac:dyDescent="0.35">
      <c r="A4884" s="11">
        <v>46286</v>
      </c>
      <c r="B4884" s="3">
        <v>1</v>
      </c>
      <c r="C4884" t="s">
        <v>100</v>
      </c>
      <c r="D4884" t="s">
        <v>18</v>
      </c>
      <c r="E4884" s="3">
        <v>5</v>
      </c>
      <c r="F4884" t="s">
        <v>19</v>
      </c>
      <c r="G4884" t="s">
        <v>40</v>
      </c>
      <c r="H4884" t="s">
        <v>31</v>
      </c>
      <c r="I4884" s="12">
        <v>0.35069444444444442</v>
      </c>
      <c r="J4884" t="s">
        <v>41</v>
      </c>
      <c r="K4884" t="s">
        <v>31</v>
      </c>
      <c r="L4884" s="12">
        <v>0.37152777777777779</v>
      </c>
      <c r="M4884" t="s">
        <v>23</v>
      </c>
      <c r="N4884" s="3">
        <v>186</v>
      </c>
      <c r="O4884" t="s">
        <v>24</v>
      </c>
      <c r="P4884" t="s">
        <v>25</v>
      </c>
      <c r="R4884">
        <f>tblDailySchedule[[#This Row],[Capacity Approx]]*'[1]Load Factor Sheet June Acft  '!$B$5</f>
        <v>150.61772727272728</v>
      </c>
      <c r="S4884">
        <f>tblDailySchedule[[#This Row],[Capacity Approx]]*'[1]Load Factor Sheet June Acft  '!$D$5</f>
        <v>163.08818181818182</v>
      </c>
      <c r="T4884" s="22">
        <f>tblDailySchedule[[#This Row],[STD]]</f>
        <v>0.37152777777777779</v>
      </c>
    </row>
    <row r="4885" spans="1:20" hidden="1" x14ac:dyDescent="0.35">
      <c r="A4885" s="11">
        <v>46286</v>
      </c>
      <c r="B4885" s="3">
        <v>1</v>
      </c>
      <c r="C4885" t="s">
        <v>100</v>
      </c>
      <c r="D4885" t="s">
        <v>18</v>
      </c>
      <c r="E4885" s="3">
        <v>7</v>
      </c>
      <c r="F4885" t="s">
        <v>19</v>
      </c>
      <c r="G4885" t="s">
        <v>42</v>
      </c>
      <c r="H4885" t="s">
        <v>43</v>
      </c>
      <c r="I4885" s="12">
        <v>0.3923611111111111</v>
      </c>
      <c r="J4885" t="s">
        <v>44</v>
      </c>
      <c r="K4885" t="s">
        <v>43</v>
      </c>
      <c r="L4885" s="12">
        <v>0.40277777777777779</v>
      </c>
      <c r="M4885" t="s">
        <v>45</v>
      </c>
      <c r="N4885" s="3">
        <v>9</v>
      </c>
      <c r="O4885" t="s">
        <v>24</v>
      </c>
      <c r="P4885" t="s">
        <v>25</v>
      </c>
      <c r="R4885">
        <f>tblDailySchedule[[#This Row],[Capacity Approx]]*'[1]Load Factor Sheet June Acft  '!$B$5</f>
        <v>7.2879545454545456</v>
      </c>
      <c r="S4885">
        <f>tblDailySchedule[[#This Row],[Capacity Approx]]*'[1]Load Factor Sheet June Acft  '!$D$5</f>
        <v>7.8913636363636366</v>
      </c>
      <c r="T4885" s="22">
        <f>tblDailySchedule[[#This Row],[STD]]</f>
        <v>0.40277777777777779</v>
      </c>
    </row>
    <row r="4886" spans="1:20" hidden="1" x14ac:dyDescent="0.35">
      <c r="A4886" s="11">
        <v>46286</v>
      </c>
      <c r="B4886" s="3">
        <v>1</v>
      </c>
      <c r="C4886" t="s">
        <v>100</v>
      </c>
      <c r="D4886" t="s">
        <v>18</v>
      </c>
      <c r="E4886" s="3">
        <v>8</v>
      </c>
      <c r="F4886" t="s">
        <v>19</v>
      </c>
      <c r="G4886" t="s">
        <v>46</v>
      </c>
      <c r="H4886" t="s">
        <v>31</v>
      </c>
      <c r="I4886" s="12">
        <v>0.4201388888888889</v>
      </c>
      <c r="J4886" t="s">
        <v>47</v>
      </c>
      <c r="K4886" t="s">
        <v>31</v>
      </c>
      <c r="L4886" s="12">
        <v>0.44444444444444442</v>
      </c>
      <c r="M4886" t="s">
        <v>29</v>
      </c>
      <c r="N4886" s="3">
        <v>186</v>
      </c>
      <c r="O4886" t="s">
        <v>24</v>
      </c>
      <c r="P4886" t="s">
        <v>25</v>
      </c>
      <c r="R4886">
        <f>tblDailySchedule[[#This Row],[Capacity Approx]]*'[1]Load Factor Sheet June Acft  '!$B$5</f>
        <v>150.61772727272728</v>
      </c>
      <c r="S4886">
        <f>tblDailySchedule[[#This Row],[Capacity Approx]]*'[1]Load Factor Sheet June Acft  '!$D$5</f>
        <v>163.08818181818182</v>
      </c>
      <c r="T4886" s="22">
        <f>tblDailySchedule[[#This Row],[STD]]</f>
        <v>0.44444444444444442</v>
      </c>
    </row>
    <row r="4887" spans="1:20" hidden="1" x14ac:dyDescent="0.35">
      <c r="A4887" s="11">
        <v>46286</v>
      </c>
      <c r="B4887" s="3">
        <v>1</v>
      </c>
      <c r="C4887" t="s">
        <v>100</v>
      </c>
      <c r="D4887" t="s">
        <v>18</v>
      </c>
      <c r="E4887" s="3">
        <v>9</v>
      </c>
      <c r="F4887" t="s">
        <v>19</v>
      </c>
      <c r="G4887" t="s">
        <v>48</v>
      </c>
      <c r="H4887" t="s">
        <v>49</v>
      </c>
      <c r="I4887" s="12">
        <v>0.4375</v>
      </c>
      <c r="J4887" t="s">
        <v>50</v>
      </c>
      <c r="K4887" t="s">
        <v>49</v>
      </c>
      <c r="L4887" s="12">
        <v>0.45833333333333331</v>
      </c>
      <c r="M4887" t="s">
        <v>51</v>
      </c>
      <c r="N4887" s="3">
        <v>78</v>
      </c>
      <c r="O4887" t="s">
        <v>24</v>
      </c>
      <c r="P4887" t="s">
        <v>25</v>
      </c>
      <c r="R4887">
        <f>tblDailySchedule[[#This Row],[Capacity Approx]]*'[1]Load Factor Sheet June Acft  '!$B$5</f>
        <v>63.162272727272729</v>
      </c>
      <c r="S4887">
        <f>tblDailySchedule[[#This Row],[Capacity Approx]]*'[1]Load Factor Sheet June Acft  '!$D$5</f>
        <v>68.391818181818181</v>
      </c>
      <c r="T4887" s="22">
        <f>tblDailySchedule[[#This Row],[STD]]</f>
        <v>0.45833333333333331</v>
      </c>
    </row>
    <row r="4888" spans="1:20" hidden="1" x14ac:dyDescent="0.35">
      <c r="A4888" s="11">
        <v>46286</v>
      </c>
      <c r="B4888" s="3">
        <v>1</v>
      </c>
      <c r="C4888" t="s">
        <v>100</v>
      </c>
      <c r="D4888" t="s">
        <v>18</v>
      </c>
      <c r="E4888" s="3">
        <v>10</v>
      </c>
      <c r="F4888" t="s">
        <v>19</v>
      </c>
      <c r="G4888" t="s">
        <v>52</v>
      </c>
      <c r="H4888" t="s">
        <v>27</v>
      </c>
      <c r="I4888" s="12">
        <v>0.4826388888888889</v>
      </c>
      <c r="J4888" t="s">
        <v>53</v>
      </c>
      <c r="K4888" t="s">
        <v>27</v>
      </c>
      <c r="L4888" s="12">
        <v>0.51041666666666663</v>
      </c>
      <c r="M4888" t="s">
        <v>23</v>
      </c>
      <c r="N4888" s="3">
        <v>186</v>
      </c>
      <c r="O4888" t="s">
        <v>24</v>
      </c>
      <c r="P4888" t="s">
        <v>25</v>
      </c>
      <c r="R4888">
        <f>tblDailySchedule[[#This Row],[Capacity Approx]]*'[1]Load Factor Sheet June Acft  '!$B$5</f>
        <v>150.61772727272728</v>
      </c>
      <c r="S4888">
        <f>tblDailySchedule[[#This Row],[Capacity Approx]]*'[1]Load Factor Sheet June Acft  '!$D$5</f>
        <v>163.08818181818182</v>
      </c>
      <c r="T4888" s="22">
        <f>tblDailySchedule[[#This Row],[STD]]</f>
        <v>0.51041666666666663</v>
      </c>
    </row>
    <row r="4889" spans="1:20" hidden="1" x14ac:dyDescent="0.35">
      <c r="A4889" s="11">
        <v>46286</v>
      </c>
      <c r="B4889" s="3">
        <v>1</v>
      </c>
      <c r="C4889" t="s">
        <v>100</v>
      </c>
      <c r="D4889" t="s">
        <v>18</v>
      </c>
      <c r="E4889" s="3">
        <v>11</v>
      </c>
      <c r="F4889" t="s">
        <v>19</v>
      </c>
      <c r="G4889" t="s">
        <v>54</v>
      </c>
      <c r="H4889" t="s">
        <v>31</v>
      </c>
      <c r="I4889" s="12">
        <v>0.51388888888888884</v>
      </c>
      <c r="J4889" t="s">
        <v>55</v>
      </c>
      <c r="K4889" t="s">
        <v>31</v>
      </c>
      <c r="L4889" s="12">
        <v>0.54166666666666663</v>
      </c>
      <c r="M4889" t="s">
        <v>23</v>
      </c>
      <c r="N4889" s="3">
        <v>186</v>
      </c>
      <c r="O4889" t="s">
        <v>24</v>
      </c>
      <c r="P4889" t="s">
        <v>56</v>
      </c>
      <c r="R4889">
        <f>tblDailySchedule[[#This Row],[Capacity Approx]]*'[1]Load Factor Sheet June Acft  '!$B$5</f>
        <v>150.61772727272728</v>
      </c>
      <c r="S4889">
        <f>tblDailySchedule[[#This Row],[Capacity Approx]]*'[1]Load Factor Sheet June Acft  '!$D$5</f>
        <v>163.08818181818182</v>
      </c>
      <c r="T4889" s="22">
        <f>tblDailySchedule[[#This Row],[STD]]</f>
        <v>0.54166666666666663</v>
      </c>
    </row>
    <row r="4890" spans="1:20" hidden="1" x14ac:dyDescent="0.35">
      <c r="A4890" s="11">
        <v>46286</v>
      </c>
      <c r="B4890" s="3">
        <v>1</v>
      </c>
      <c r="C4890" t="s">
        <v>100</v>
      </c>
      <c r="D4890" t="s">
        <v>18</v>
      </c>
      <c r="E4890" s="3">
        <v>13</v>
      </c>
      <c r="F4890" t="s">
        <v>19</v>
      </c>
      <c r="G4890" t="s">
        <v>57</v>
      </c>
      <c r="H4890" t="s">
        <v>58</v>
      </c>
      <c r="I4890" s="12">
        <v>0.55902777777777779</v>
      </c>
      <c r="J4890" t="s">
        <v>59</v>
      </c>
      <c r="K4890" t="s">
        <v>58</v>
      </c>
      <c r="L4890" s="12">
        <v>0.57638888888888884</v>
      </c>
      <c r="M4890" t="s">
        <v>51</v>
      </c>
      <c r="N4890" s="3">
        <v>78</v>
      </c>
      <c r="O4890" t="s">
        <v>24</v>
      </c>
      <c r="P4890" t="s">
        <v>56</v>
      </c>
      <c r="R4890">
        <f>tblDailySchedule[[#This Row],[Capacity Approx]]*'[1]Load Factor Sheet June Acft  '!$B$5</f>
        <v>63.162272727272729</v>
      </c>
      <c r="S4890">
        <f>tblDailySchedule[[#This Row],[Capacity Approx]]*'[1]Load Factor Sheet June Acft  '!$D$5</f>
        <v>68.391818181818181</v>
      </c>
      <c r="T4890" s="22">
        <f>tblDailySchedule[[#This Row],[STD]]</f>
        <v>0.57638888888888884</v>
      </c>
    </row>
    <row r="4891" spans="1:20" hidden="1" x14ac:dyDescent="0.35">
      <c r="A4891" s="11">
        <v>46286</v>
      </c>
      <c r="B4891" s="3">
        <v>1</v>
      </c>
      <c r="C4891" t="s">
        <v>100</v>
      </c>
      <c r="D4891" t="s">
        <v>18</v>
      </c>
      <c r="E4891" s="3">
        <v>14</v>
      </c>
      <c r="F4891" t="s">
        <v>19</v>
      </c>
      <c r="G4891" t="s">
        <v>60</v>
      </c>
      <c r="H4891" t="s">
        <v>61</v>
      </c>
      <c r="I4891" s="12">
        <v>0.59027777777777779</v>
      </c>
      <c r="J4891" t="s">
        <v>62</v>
      </c>
      <c r="K4891" t="s">
        <v>61</v>
      </c>
      <c r="L4891" s="12">
        <v>0.62152777777777779</v>
      </c>
      <c r="M4891" t="s">
        <v>63</v>
      </c>
      <c r="N4891" s="3">
        <v>232</v>
      </c>
      <c r="O4891" t="s">
        <v>24</v>
      </c>
      <c r="P4891" t="s">
        <v>56</v>
      </c>
      <c r="R4891">
        <f>tblDailySchedule[[#This Row],[Capacity Approx]]*'[1]Load Factor Sheet June Acft  '!$B$5</f>
        <v>187.86727272727273</v>
      </c>
      <c r="S4891">
        <f>tblDailySchedule[[#This Row],[Capacity Approx]]*'[1]Load Factor Sheet June Acft  '!$D$5</f>
        <v>203.4218181818182</v>
      </c>
      <c r="T4891" s="22">
        <f>tblDailySchedule[[#This Row],[STD]]</f>
        <v>0.62152777777777779</v>
      </c>
    </row>
    <row r="4892" spans="1:20" hidden="1" x14ac:dyDescent="0.35">
      <c r="A4892" s="11">
        <v>46286</v>
      </c>
      <c r="B4892" s="3">
        <v>1</v>
      </c>
      <c r="C4892" t="s">
        <v>100</v>
      </c>
      <c r="D4892" t="s">
        <v>18</v>
      </c>
      <c r="E4892" s="3">
        <v>15</v>
      </c>
      <c r="F4892" t="s">
        <v>19</v>
      </c>
      <c r="G4892" t="s">
        <v>64</v>
      </c>
      <c r="H4892" t="s">
        <v>31</v>
      </c>
      <c r="I4892" s="12">
        <v>0.60069444444444442</v>
      </c>
      <c r="J4892" t="s">
        <v>65</v>
      </c>
      <c r="K4892" t="s">
        <v>66</v>
      </c>
      <c r="L4892" s="12">
        <v>0.62847222222222221</v>
      </c>
      <c r="M4892" t="s">
        <v>63</v>
      </c>
      <c r="N4892" s="3">
        <v>232</v>
      </c>
      <c r="O4892" t="s">
        <v>24</v>
      </c>
      <c r="P4892" t="s">
        <v>56</v>
      </c>
      <c r="R4892">
        <f>tblDailySchedule[[#This Row],[Capacity Approx]]*'[1]Load Factor Sheet June Acft  '!$B$5</f>
        <v>187.86727272727273</v>
      </c>
      <c r="S4892">
        <f>tblDailySchedule[[#This Row],[Capacity Approx]]*'[1]Load Factor Sheet June Acft  '!$D$5</f>
        <v>203.4218181818182</v>
      </c>
      <c r="T4892" s="22">
        <f>tblDailySchedule[[#This Row],[STD]]</f>
        <v>0.62847222222222221</v>
      </c>
    </row>
    <row r="4893" spans="1:20" hidden="1" x14ac:dyDescent="0.35">
      <c r="A4893" s="11">
        <v>46286</v>
      </c>
      <c r="B4893" s="3">
        <v>1</v>
      </c>
      <c r="C4893" t="s">
        <v>100</v>
      </c>
      <c r="D4893" t="s">
        <v>18</v>
      </c>
      <c r="E4893" s="3">
        <v>16</v>
      </c>
      <c r="F4893" t="s">
        <v>19</v>
      </c>
      <c r="G4893" t="s">
        <v>67</v>
      </c>
      <c r="H4893" t="s">
        <v>31</v>
      </c>
      <c r="I4893" s="12">
        <v>0.65625</v>
      </c>
      <c r="J4893" t="s">
        <v>68</v>
      </c>
      <c r="K4893" t="s">
        <v>31</v>
      </c>
      <c r="L4893" s="12">
        <v>0.68402777777777779</v>
      </c>
      <c r="M4893" t="s">
        <v>63</v>
      </c>
      <c r="N4893" s="3">
        <v>232</v>
      </c>
      <c r="O4893" t="s">
        <v>24</v>
      </c>
      <c r="P4893" t="s">
        <v>56</v>
      </c>
      <c r="R4893">
        <f>tblDailySchedule[[#This Row],[Capacity Approx]]*'[1]Load Factor Sheet June Acft  '!$B$5</f>
        <v>187.86727272727273</v>
      </c>
      <c r="S4893">
        <f>tblDailySchedule[[#This Row],[Capacity Approx]]*'[1]Load Factor Sheet June Acft  '!$D$5</f>
        <v>203.4218181818182</v>
      </c>
      <c r="T4893" s="22">
        <f>tblDailySchedule[[#This Row],[STD]]</f>
        <v>0.68402777777777779</v>
      </c>
    </row>
    <row r="4894" spans="1:20" hidden="1" x14ac:dyDescent="0.35">
      <c r="A4894" s="11">
        <v>46286</v>
      </c>
      <c r="B4894" s="3">
        <v>1</v>
      </c>
      <c r="C4894" t="s">
        <v>100</v>
      </c>
      <c r="D4894" t="s">
        <v>18</v>
      </c>
      <c r="E4894" s="3">
        <v>17</v>
      </c>
      <c r="F4894" t="s">
        <v>19</v>
      </c>
      <c r="G4894" t="s">
        <v>69</v>
      </c>
      <c r="H4894" t="s">
        <v>31</v>
      </c>
      <c r="I4894" s="12">
        <v>0.66319444444444442</v>
      </c>
      <c r="J4894" t="s">
        <v>70</v>
      </c>
      <c r="K4894" t="s">
        <v>31</v>
      </c>
      <c r="L4894" s="12">
        <v>0.69097222222222221</v>
      </c>
      <c r="M4894" t="s">
        <v>33</v>
      </c>
      <c r="N4894" s="3">
        <v>189</v>
      </c>
      <c r="O4894" t="s">
        <v>24</v>
      </c>
      <c r="P4894" t="s">
        <v>56</v>
      </c>
      <c r="R4894">
        <f>tblDailySchedule[[#This Row],[Capacity Approx]]*'[1]Load Factor Sheet June Acft  '!$B$5</f>
        <v>153.04704545454547</v>
      </c>
      <c r="S4894">
        <f>tblDailySchedule[[#This Row],[Capacity Approx]]*'[1]Load Factor Sheet June Acft  '!$D$5</f>
        <v>165.71863636363636</v>
      </c>
      <c r="T4894" s="22">
        <f>tblDailySchedule[[#This Row],[STD]]</f>
        <v>0.69097222222222221</v>
      </c>
    </row>
    <row r="4895" spans="1:20" hidden="1" x14ac:dyDescent="0.35">
      <c r="A4895" s="11">
        <v>46286</v>
      </c>
      <c r="B4895" s="3">
        <v>1</v>
      </c>
      <c r="C4895" t="s">
        <v>100</v>
      </c>
      <c r="D4895" t="s">
        <v>18</v>
      </c>
      <c r="E4895" s="3">
        <v>18</v>
      </c>
      <c r="F4895" t="s">
        <v>19</v>
      </c>
      <c r="G4895" t="s">
        <v>71</v>
      </c>
      <c r="H4895" t="s">
        <v>21</v>
      </c>
      <c r="I4895" s="12">
        <v>0.67013888888888884</v>
      </c>
      <c r="J4895" t="s">
        <v>72</v>
      </c>
      <c r="K4895" t="s">
        <v>21</v>
      </c>
      <c r="L4895" s="12">
        <v>0.69791666666666663</v>
      </c>
      <c r="M4895" t="s">
        <v>63</v>
      </c>
      <c r="N4895" s="3">
        <v>232</v>
      </c>
      <c r="O4895" t="s">
        <v>24</v>
      </c>
      <c r="P4895" t="s">
        <v>56</v>
      </c>
      <c r="R4895">
        <f>tblDailySchedule[[#This Row],[Capacity Approx]]*'[1]Load Factor Sheet June Acft  '!$B$5</f>
        <v>187.86727272727273</v>
      </c>
      <c r="S4895">
        <f>tblDailySchedule[[#This Row],[Capacity Approx]]*'[1]Load Factor Sheet June Acft  '!$D$5</f>
        <v>203.4218181818182</v>
      </c>
      <c r="T4895" s="22">
        <f>tblDailySchedule[[#This Row],[STD]]</f>
        <v>0.69791666666666663</v>
      </c>
    </row>
    <row r="4896" spans="1:20" hidden="1" x14ac:dyDescent="0.35">
      <c r="A4896" s="11">
        <v>46286</v>
      </c>
      <c r="B4896" s="3">
        <v>1</v>
      </c>
      <c r="C4896" t="s">
        <v>100</v>
      </c>
      <c r="D4896" t="s">
        <v>18</v>
      </c>
      <c r="E4896" s="3">
        <v>19</v>
      </c>
      <c r="F4896" t="s">
        <v>19</v>
      </c>
      <c r="G4896" t="s">
        <v>73</v>
      </c>
      <c r="H4896" t="s">
        <v>27</v>
      </c>
      <c r="I4896" s="12">
        <v>0.74652777777777779</v>
      </c>
      <c r="J4896" t="s">
        <v>74</v>
      </c>
      <c r="K4896" t="s">
        <v>27</v>
      </c>
      <c r="L4896" s="12">
        <v>0.77430555555555558</v>
      </c>
      <c r="M4896" t="s">
        <v>63</v>
      </c>
      <c r="N4896" s="3">
        <v>232</v>
      </c>
      <c r="O4896" t="s">
        <v>24</v>
      </c>
      <c r="P4896" t="s">
        <v>56</v>
      </c>
      <c r="R4896">
        <f>tblDailySchedule[[#This Row],[Capacity Approx]]*'[1]Load Factor Sheet June Acft  '!$B$5</f>
        <v>187.86727272727273</v>
      </c>
      <c r="S4896">
        <f>tblDailySchedule[[#This Row],[Capacity Approx]]*'[1]Load Factor Sheet June Acft  '!$D$5</f>
        <v>203.4218181818182</v>
      </c>
      <c r="T4896" s="22">
        <f>tblDailySchedule[[#This Row],[STD]]</f>
        <v>0.77430555555555558</v>
      </c>
    </row>
    <row r="4897" spans="1:20" hidden="1" x14ac:dyDescent="0.35">
      <c r="A4897" s="11">
        <v>46286</v>
      </c>
      <c r="B4897" s="3">
        <v>1</v>
      </c>
      <c r="C4897" t="s">
        <v>100</v>
      </c>
      <c r="D4897" t="s">
        <v>18</v>
      </c>
      <c r="E4897" s="3">
        <v>20</v>
      </c>
      <c r="F4897" t="s">
        <v>34</v>
      </c>
      <c r="G4897" t="s">
        <v>75</v>
      </c>
      <c r="H4897" t="s">
        <v>76</v>
      </c>
      <c r="I4897" s="12">
        <v>0.76388888888888884</v>
      </c>
      <c r="J4897" t="s">
        <v>77</v>
      </c>
      <c r="K4897" t="s">
        <v>78</v>
      </c>
      <c r="L4897" s="12">
        <v>0.78472222222222221</v>
      </c>
      <c r="M4897" t="s">
        <v>51</v>
      </c>
      <c r="N4897" s="3">
        <v>78</v>
      </c>
      <c r="O4897" t="s">
        <v>24</v>
      </c>
      <c r="P4897" t="s">
        <v>79</v>
      </c>
      <c r="Q4897" s="16" t="s">
        <v>80</v>
      </c>
      <c r="R4897">
        <f>tblDailySchedule[[#This Row],[Capacity Approx]]*'[1]Load Factor Sheet June Acft  '!$B$5</f>
        <v>63.162272727272729</v>
      </c>
      <c r="S4897">
        <f>tblDailySchedule[[#This Row],[Capacity Approx]]*'[1]Load Factor Sheet June Acft  '!$D$5</f>
        <v>68.391818181818181</v>
      </c>
      <c r="T4897" s="22">
        <f>tblDailySchedule[[#This Row],[STD]]</f>
        <v>0.78472222222222221</v>
      </c>
    </row>
    <row r="4898" spans="1:20" hidden="1" x14ac:dyDescent="0.35">
      <c r="A4898" s="11">
        <v>46286</v>
      </c>
      <c r="B4898" s="3">
        <v>1</v>
      </c>
      <c r="C4898" t="s">
        <v>100</v>
      </c>
      <c r="D4898" t="s">
        <v>18</v>
      </c>
      <c r="E4898" s="3">
        <v>21</v>
      </c>
      <c r="F4898" t="s">
        <v>19</v>
      </c>
      <c r="G4898" t="s">
        <v>81</v>
      </c>
      <c r="H4898" t="s">
        <v>61</v>
      </c>
      <c r="I4898" s="12">
        <v>0.77083333333333337</v>
      </c>
      <c r="J4898" t="s">
        <v>82</v>
      </c>
      <c r="K4898" t="s">
        <v>49</v>
      </c>
      <c r="L4898" s="12">
        <v>0.79166666666666663</v>
      </c>
      <c r="M4898" t="s">
        <v>33</v>
      </c>
      <c r="N4898" s="3">
        <v>189</v>
      </c>
      <c r="O4898" t="s">
        <v>24</v>
      </c>
      <c r="P4898" t="s">
        <v>79</v>
      </c>
      <c r="R4898">
        <f>tblDailySchedule[[#This Row],[Capacity Approx]]*'[1]Load Factor Sheet June Acft  '!$B$5</f>
        <v>153.04704545454547</v>
      </c>
      <c r="S4898">
        <f>tblDailySchedule[[#This Row],[Capacity Approx]]*'[1]Load Factor Sheet June Acft  '!$D$5</f>
        <v>165.71863636363636</v>
      </c>
      <c r="T4898" s="22">
        <f>tblDailySchedule[[#This Row],[STD]]</f>
        <v>0.79166666666666663</v>
      </c>
    </row>
    <row r="4899" spans="1:20" hidden="1" x14ac:dyDescent="0.35">
      <c r="A4899" s="11">
        <v>46286</v>
      </c>
      <c r="B4899" s="3">
        <v>1</v>
      </c>
      <c r="C4899" t="s">
        <v>100</v>
      </c>
      <c r="D4899" t="s">
        <v>18</v>
      </c>
      <c r="E4899" s="3">
        <v>22</v>
      </c>
      <c r="F4899" t="s">
        <v>19</v>
      </c>
      <c r="G4899" t="s">
        <v>83</v>
      </c>
      <c r="H4899" t="s">
        <v>31</v>
      </c>
      <c r="I4899" s="12">
        <v>0.77777777777777779</v>
      </c>
      <c r="J4899" t="s">
        <v>84</v>
      </c>
      <c r="K4899" t="s">
        <v>31</v>
      </c>
      <c r="L4899" s="12">
        <v>0.80555555555555558</v>
      </c>
      <c r="M4899" t="s">
        <v>63</v>
      </c>
      <c r="N4899" s="3">
        <v>232</v>
      </c>
      <c r="O4899" t="s">
        <v>24</v>
      </c>
      <c r="P4899" t="s">
        <v>79</v>
      </c>
      <c r="R4899">
        <f>tblDailySchedule[[#This Row],[Capacity Approx]]*'[1]Load Factor Sheet June Acft  '!$B$5</f>
        <v>187.86727272727273</v>
      </c>
      <c r="S4899">
        <f>tblDailySchedule[[#This Row],[Capacity Approx]]*'[1]Load Factor Sheet June Acft  '!$D$5</f>
        <v>203.4218181818182</v>
      </c>
      <c r="T4899" s="22">
        <f>tblDailySchedule[[#This Row],[STD]]</f>
        <v>0.80555555555555558</v>
      </c>
    </row>
    <row r="4900" spans="1:20" hidden="1" x14ac:dyDescent="0.35">
      <c r="A4900" s="11">
        <v>46286</v>
      </c>
      <c r="B4900" s="3">
        <v>1</v>
      </c>
      <c r="C4900" t="s">
        <v>100</v>
      </c>
      <c r="D4900" t="s">
        <v>18</v>
      </c>
      <c r="E4900" s="3">
        <v>23</v>
      </c>
      <c r="F4900" t="s">
        <v>19</v>
      </c>
      <c r="G4900" t="s">
        <v>85</v>
      </c>
      <c r="H4900" t="s">
        <v>86</v>
      </c>
      <c r="I4900" s="12">
        <v>0.79861111111111116</v>
      </c>
      <c r="J4900" t="s">
        <v>87</v>
      </c>
      <c r="K4900" t="s">
        <v>86</v>
      </c>
      <c r="L4900" s="12">
        <v>0.82638888888888884</v>
      </c>
      <c r="M4900" t="s">
        <v>63</v>
      </c>
      <c r="N4900" s="3">
        <v>232</v>
      </c>
      <c r="O4900" t="s">
        <v>24</v>
      </c>
      <c r="P4900" t="s">
        <v>79</v>
      </c>
      <c r="R4900">
        <f>tblDailySchedule[[#This Row],[Capacity Approx]]*'[1]Load Factor Sheet June Acft  '!$B$5</f>
        <v>187.86727272727273</v>
      </c>
      <c r="S4900">
        <f>tblDailySchedule[[#This Row],[Capacity Approx]]*'[1]Load Factor Sheet June Acft  '!$D$5</f>
        <v>203.4218181818182</v>
      </c>
      <c r="T4900" s="22">
        <f>tblDailySchedule[[#This Row],[STD]]</f>
        <v>0.82638888888888884</v>
      </c>
    </row>
    <row r="4901" spans="1:20" hidden="1" x14ac:dyDescent="0.35">
      <c r="A4901" s="11">
        <v>46286</v>
      </c>
      <c r="B4901" s="3">
        <v>1</v>
      </c>
      <c r="C4901" t="s">
        <v>100</v>
      </c>
      <c r="D4901" t="s">
        <v>18</v>
      </c>
      <c r="E4901" s="3">
        <v>24</v>
      </c>
      <c r="F4901" t="s">
        <v>19</v>
      </c>
      <c r="G4901" t="s">
        <v>88</v>
      </c>
      <c r="H4901" t="s">
        <v>89</v>
      </c>
      <c r="I4901" s="12">
        <v>0.83333333333333337</v>
      </c>
      <c r="J4901" t="s">
        <v>90</v>
      </c>
      <c r="K4901" t="s">
        <v>31</v>
      </c>
      <c r="L4901" s="12">
        <v>0.86111111111111116</v>
      </c>
      <c r="M4901" t="s">
        <v>63</v>
      </c>
      <c r="N4901" s="3">
        <v>232</v>
      </c>
      <c r="O4901" t="s">
        <v>24</v>
      </c>
      <c r="P4901" t="s">
        <v>79</v>
      </c>
      <c r="R4901">
        <f>tblDailySchedule[[#This Row],[Capacity Approx]]*'[1]Load Factor Sheet June Acft  '!$B$5</f>
        <v>187.86727272727273</v>
      </c>
      <c r="S4901">
        <f>tblDailySchedule[[#This Row],[Capacity Approx]]*'[1]Load Factor Sheet June Acft  '!$D$5</f>
        <v>203.4218181818182</v>
      </c>
      <c r="T4901" s="22">
        <f>tblDailySchedule[[#This Row],[STD]]</f>
        <v>0.86111111111111116</v>
      </c>
    </row>
    <row r="4902" spans="1:20" hidden="1" x14ac:dyDescent="0.35">
      <c r="A4902" s="11">
        <v>46286</v>
      </c>
      <c r="B4902" s="3">
        <v>1</v>
      </c>
      <c r="C4902" t="s">
        <v>100</v>
      </c>
      <c r="D4902" t="s">
        <v>18</v>
      </c>
      <c r="E4902" s="3">
        <v>25</v>
      </c>
      <c r="F4902" t="s">
        <v>19</v>
      </c>
      <c r="G4902" t="s">
        <v>91</v>
      </c>
      <c r="H4902" t="s">
        <v>61</v>
      </c>
      <c r="I4902" s="12">
        <v>0.85416666666666663</v>
      </c>
      <c r="J4902" t="s">
        <v>92</v>
      </c>
      <c r="K4902" t="s">
        <v>61</v>
      </c>
      <c r="L4902" s="12">
        <v>0.88194444444444442</v>
      </c>
      <c r="M4902" t="s">
        <v>63</v>
      </c>
      <c r="N4902" s="3">
        <v>232</v>
      </c>
      <c r="O4902" t="s">
        <v>24</v>
      </c>
      <c r="P4902" t="s">
        <v>79</v>
      </c>
      <c r="R4902">
        <f>tblDailySchedule[[#This Row],[Capacity Approx]]*'[1]Load Factor Sheet June Acft  '!$B$5</f>
        <v>187.86727272727273</v>
      </c>
      <c r="S4902">
        <f>tblDailySchedule[[#This Row],[Capacity Approx]]*'[1]Load Factor Sheet June Acft  '!$D$5</f>
        <v>203.4218181818182</v>
      </c>
      <c r="T4902" s="22">
        <f>tblDailySchedule[[#This Row],[STD]]</f>
        <v>0.88194444444444442</v>
      </c>
    </row>
    <row r="4903" spans="1:20" hidden="1" x14ac:dyDescent="0.35">
      <c r="A4903" s="11">
        <v>46286</v>
      </c>
      <c r="B4903" s="3">
        <v>1</v>
      </c>
      <c r="C4903" t="s">
        <v>100</v>
      </c>
      <c r="D4903" t="s">
        <v>18</v>
      </c>
      <c r="E4903" s="3">
        <v>26</v>
      </c>
      <c r="F4903" t="s">
        <v>19</v>
      </c>
      <c r="G4903" t="s">
        <v>93</v>
      </c>
      <c r="H4903" t="s">
        <v>31</v>
      </c>
      <c r="I4903" s="12">
        <v>0.86111111111111116</v>
      </c>
      <c r="J4903" t="s">
        <v>94</v>
      </c>
      <c r="K4903" t="s">
        <v>31</v>
      </c>
      <c r="L4903" s="12">
        <v>0.88888888888888884</v>
      </c>
      <c r="M4903" t="s">
        <v>23</v>
      </c>
      <c r="N4903" s="3">
        <v>186</v>
      </c>
      <c r="O4903" t="s">
        <v>24</v>
      </c>
      <c r="P4903" t="s">
        <v>79</v>
      </c>
      <c r="R4903">
        <f>tblDailySchedule[[#This Row],[Capacity Approx]]*'[1]Load Factor Sheet June Acft  '!$B$5</f>
        <v>150.61772727272728</v>
      </c>
      <c r="S4903">
        <f>tblDailySchedule[[#This Row],[Capacity Approx]]*'[1]Load Factor Sheet June Acft  '!$D$5</f>
        <v>163.08818181818182</v>
      </c>
      <c r="T4903" s="22">
        <f>tblDailySchedule[[#This Row],[STD]]</f>
        <v>0.88888888888888884</v>
      </c>
    </row>
    <row r="4904" spans="1:20" hidden="1" x14ac:dyDescent="0.35">
      <c r="A4904" s="11">
        <v>46286</v>
      </c>
      <c r="B4904" s="3">
        <v>1</v>
      </c>
      <c r="C4904" t="s">
        <v>100</v>
      </c>
      <c r="D4904" t="s">
        <v>18</v>
      </c>
      <c r="E4904" s="3">
        <v>27</v>
      </c>
      <c r="F4904" t="s">
        <v>19</v>
      </c>
      <c r="G4904" t="s">
        <v>95</v>
      </c>
      <c r="H4904" t="s">
        <v>21</v>
      </c>
      <c r="I4904" s="12">
        <v>0.86805555555555558</v>
      </c>
      <c r="J4904" t="s">
        <v>96</v>
      </c>
      <c r="K4904" t="s">
        <v>21</v>
      </c>
      <c r="L4904" s="12">
        <v>0.89583333333333337</v>
      </c>
      <c r="M4904" t="s">
        <v>29</v>
      </c>
      <c r="N4904" s="3">
        <v>186</v>
      </c>
      <c r="O4904" t="s">
        <v>24</v>
      </c>
      <c r="P4904" t="s">
        <v>79</v>
      </c>
      <c r="R4904">
        <f>tblDailySchedule[[#This Row],[Capacity Approx]]*'[1]Load Factor Sheet June Acft  '!$B$5</f>
        <v>150.61772727272728</v>
      </c>
      <c r="S4904">
        <f>tblDailySchedule[[#This Row],[Capacity Approx]]*'[1]Load Factor Sheet June Acft  '!$D$5</f>
        <v>163.08818181818182</v>
      </c>
      <c r="T4904" s="22">
        <f>tblDailySchedule[[#This Row],[STD]]</f>
        <v>0.89583333333333337</v>
      </c>
    </row>
    <row r="4905" spans="1:20" hidden="1" x14ac:dyDescent="0.35">
      <c r="A4905" s="11">
        <v>46286</v>
      </c>
      <c r="B4905" s="3">
        <v>1</v>
      </c>
      <c r="C4905" t="s">
        <v>100</v>
      </c>
      <c r="D4905" t="s">
        <v>18</v>
      </c>
      <c r="E4905" s="3">
        <v>28</v>
      </c>
      <c r="F4905" t="s">
        <v>19</v>
      </c>
      <c r="G4905" t="s">
        <v>97</v>
      </c>
      <c r="H4905" t="s">
        <v>49</v>
      </c>
      <c r="I4905" s="12">
        <v>0.90277777777777779</v>
      </c>
      <c r="J4905" t="s">
        <v>97</v>
      </c>
      <c r="K4905" t="s">
        <v>61</v>
      </c>
      <c r="L4905" s="12">
        <v>0.92361111111111116</v>
      </c>
      <c r="M4905" t="s">
        <v>33</v>
      </c>
      <c r="N4905" s="3">
        <v>189</v>
      </c>
      <c r="O4905" t="s">
        <v>24</v>
      </c>
      <c r="P4905" t="s">
        <v>79</v>
      </c>
      <c r="R4905">
        <f>tblDailySchedule[[#This Row],[Capacity Approx]]*'[1]Load Factor Sheet June Acft  '!$B$5</f>
        <v>153.04704545454547</v>
      </c>
      <c r="S4905">
        <f>tblDailySchedule[[#This Row],[Capacity Approx]]*'[1]Load Factor Sheet June Acft  '!$D$5</f>
        <v>165.71863636363636</v>
      </c>
      <c r="T4905" s="22">
        <f>tblDailySchedule[[#This Row],[STD]]</f>
        <v>0.92361111111111116</v>
      </c>
    </row>
    <row r="4906" spans="1:20" hidden="1" x14ac:dyDescent="0.35">
      <c r="A4906" s="11">
        <v>46286</v>
      </c>
      <c r="B4906" s="3">
        <v>1</v>
      </c>
      <c r="C4906" t="s">
        <v>100</v>
      </c>
      <c r="D4906" t="s">
        <v>18</v>
      </c>
      <c r="E4906" s="3">
        <v>29</v>
      </c>
      <c r="F4906" t="s">
        <v>19</v>
      </c>
      <c r="G4906" t="s">
        <v>98</v>
      </c>
      <c r="H4906" t="s">
        <v>21</v>
      </c>
      <c r="I4906" s="12">
        <v>0.92013888888888884</v>
      </c>
      <c r="J4906" t="s">
        <v>99</v>
      </c>
      <c r="K4906" t="s">
        <v>21</v>
      </c>
      <c r="L4906" s="12">
        <v>0.94791666666666663</v>
      </c>
      <c r="M4906" t="s">
        <v>63</v>
      </c>
      <c r="N4906" s="3">
        <v>232</v>
      </c>
      <c r="O4906" t="s">
        <v>24</v>
      </c>
      <c r="P4906" t="s">
        <v>79</v>
      </c>
      <c r="R4906">
        <f>tblDailySchedule[[#This Row],[Capacity Approx]]*'[1]Load Factor Sheet June Acft  '!$B$5</f>
        <v>187.86727272727273</v>
      </c>
      <c r="S4906">
        <f>tblDailySchedule[[#This Row],[Capacity Approx]]*'[1]Load Factor Sheet June Acft  '!$D$5</f>
        <v>203.4218181818182</v>
      </c>
      <c r="T4906" s="22">
        <f>tblDailySchedule[[#This Row],[STD]]</f>
        <v>0.94791666666666663</v>
      </c>
    </row>
    <row r="4907" spans="1:20" hidden="1" x14ac:dyDescent="0.35">
      <c r="A4907" s="13">
        <v>46286</v>
      </c>
      <c r="B4907" s="7">
        <v>1</v>
      </c>
      <c r="C4907" s="14" t="s">
        <v>100</v>
      </c>
      <c r="D4907" s="14" t="s">
        <v>18</v>
      </c>
      <c r="E4907" s="7">
        <v>30</v>
      </c>
      <c r="F4907" s="14" t="s">
        <v>104</v>
      </c>
      <c r="G4907" s="14" t="s">
        <v>105</v>
      </c>
      <c r="H4907" s="14" t="s">
        <v>106</v>
      </c>
      <c r="I4907" s="15">
        <v>0.92708333333333337</v>
      </c>
      <c r="J4907" s="14" t="s">
        <v>107</v>
      </c>
      <c r="K4907" s="14" t="s">
        <v>106</v>
      </c>
      <c r="L4907" s="15">
        <v>0.95833333333333337</v>
      </c>
      <c r="M4907" s="14" t="s">
        <v>38</v>
      </c>
      <c r="N4907" s="7">
        <v>186</v>
      </c>
      <c r="O4907" s="14" t="s">
        <v>39</v>
      </c>
      <c r="P4907" s="14" t="s">
        <v>79</v>
      </c>
      <c r="Q4907" s="14" t="s">
        <v>39</v>
      </c>
      <c r="R4907">
        <f>tblDailySchedule[[#This Row],[Capacity Approx]]*'[1]Load Factor Sheet June Acft  '!$B$5</f>
        <v>150.61772727272728</v>
      </c>
      <c r="S4907">
        <f>tblDailySchedule[[#This Row],[Capacity Approx]]*'[1]Load Factor Sheet June Acft  '!$D$5</f>
        <v>163.08818181818182</v>
      </c>
      <c r="T4907" s="22">
        <f>tblDailySchedule[[#This Row],[STD]]</f>
        <v>0.95833333333333337</v>
      </c>
    </row>
    <row r="4908" spans="1:20" hidden="1" x14ac:dyDescent="0.35">
      <c r="A4908" s="11">
        <v>46287</v>
      </c>
      <c r="B4908" s="3">
        <v>2</v>
      </c>
      <c r="C4908" t="s">
        <v>108</v>
      </c>
      <c r="D4908" t="s">
        <v>18</v>
      </c>
      <c r="E4908" s="3">
        <v>1</v>
      </c>
      <c r="F4908" t="s">
        <v>101</v>
      </c>
      <c r="G4908" t="s">
        <v>102</v>
      </c>
      <c r="H4908" t="s">
        <v>61</v>
      </c>
      <c r="I4908" s="12">
        <v>0.3125</v>
      </c>
      <c r="J4908" t="s">
        <v>103</v>
      </c>
      <c r="K4908" t="s">
        <v>61</v>
      </c>
      <c r="L4908" s="12">
        <v>0.33333333333333331</v>
      </c>
      <c r="M4908" t="s">
        <v>33</v>
      </c>
      <c r="N4908" s="3">
        <v>189</v>
      </c>
      <c r="O4908" t="s">
        <v>24</v>
      </c>
      <c r="P4908" t="s">
        <v>25</v>
      </c>
      <c r="R4908">
        <f>tblDailySchedule[[#This Row],[Capacity Approx]]*'[1]Load Factor Sheet June Acft  '!$B$5</f>
        <v>153.04704545454547</v>
      </c>
      <c r="S4908">
        <f>tblDailySchedule[[#This Row],[Capacity Approx]]*'[1]Load Factor Sheet June Acft  '!$D$5</f>
        <v>165.71863636363636</v>
      </c>
      <c r="T4908" s="22">
        <f>tblDailySchedule[[#This Row],[STD]]</f>
        <v>0.33333333333333331</v>
      </c>
    </row>
    <row r="4909" spans="1:20" hidden="1" x14ac:dyDescent="0.35">
      <c r="A4909" s="11">
        <v>46287</v>
      </c>
      <c r="B4909" s="3">
        <v>2</v>
      </c>
      <c r="C4909" t="s">
        <v>108</v>
      </c>
      <c r="D4909" t="s">
        <v>18</v>
      </c>
      <c r="E4909" s="3">
        <v>2</v>
      </c>
      <c r="F4909" t="s">
        <v>19</v>
      </c>
      <c r="G4909" t="s">
        <v>20</v>
      </c>
      <c r="H4909" t="s">
        <v>21</v>
      </c>
      <c r="I4909" s="12">
        <v>0.31944444444444442</v>
      </c>
      <c r="J4909" t="s">
        <v>22</v>
      </c>
      <c r="K4909" t="s">
        <v>21</v>
      </c>
      <c r="L4909" s="12">
        <v>0.34722222222222221</v>
      </c>
      <c r="M4909" t="s">
        <v>23</v>
      </c>
      <c r="N4909" s="3">
        <v>186</v>
      </c>
      <c r="O4909" t="s">
        <v>24</v>
      </c>
      <c r="P4909" t="s">
        <v>25</v>
      </c>
      <c r="R4909">
        <f>tblDailySchedule[[#This Row],[Capacity Approx]]*'[1]Load Factor Sheet June Acft  '!$B$5</f>
        <v>150.61772727272728</v>
      </c>
      <c r="S4909">
        <f>tblDailySchedule[[#This Row],[Capacity Approx]]*'[1]Load Factor Sheet June Acft  '!$D$5</f>
        <v>163.08818181818182</v>
      </c>
      <c r="T4909" s="22">
        <f>tblDailySchedule[[#This Row],[STD]]</f>
        <v>0.34722222222222221</v>
      </c>
    </row>
    <row r="4910" spans="1:20" hidden="1" x14ac:dyDescent="0.35">
      <c r="A4910" s="11">
        <v>46287</v>
      </c>
      <c r="B4910" s="3">
        <v>2</v>
      </c>
      <c r="C4910" t="s">
        <v>108</v>
      </c>
      <c r="D4910" t="s">
        <v>18</v>
      </c>
      <c r="E4910" s="3">
        <v>3</v>
      </c>
      <c r="F4910" t="s">
        <v>19</v>
      </c>
      <c r="G4910" t="s">
        <v>26</v>
      </c>
      <c r="H4910" t="s">
        <v>27</v>
      </c>
      <c r="I4910" s="12">
        <v>0.3263888888888889</v>
      </c>
      <c r="J4910" t="s">
        <v>28</v>
      </c>
      <c r="K4910" t="s">
        <v>27</v>
      </c>
      <c r="L4910" s="12">
        <v>0.35416666666666669</v>
      </c>
      <c r="M4910" t="s">
        <v>29</v>
      </c>
      <c r="N4910" s="3">
        <v>186</v>
      </c>
      <c r="O4910" t="s">
        <v>24</v>
      </c>
      <c r="P4910" t="s">
        <v>25</v>
      </c>
      <c r="R4910">
        <f>tblDailySchedule[[#This Row],[Capacity Approx]]*'[1]Load Factor Sheet June Acft  '!$B$5</f>
        <v>150.61772727272728</v>
      </c>
      <c r="S4910">
        <f>tblDailySchedule[[#This Row],[Capacity Approx]]*'[1]Load Factor Sheet June Acft  '!$D$5</f>
        <v>163.08818181818182</v>
      </c>
      <c r="T4910" s="22">
        <f>tblDailySchedule[[#This Row],[STD]]</f>
        <v>0.35416666666666669</v>
      </c>
    </row>
    <row r="4911" spans="1:20" hidden="1" x14ac:dyDescent="0.35">
      <c r="A4911" s="11">
        <v>46287</v>
      </c>
      <c r="B4911" s="3">
        <v>2</v>
      </c>
      <c r="C4911" t="s">
        <v>108</v>
      </c>
      <c r="D4911" t="s">
        <v>18</v>
      </c>
      <c r="E4911" s="3">
        <v>4</v>
      </c>
      <c r="F4911" t="s">
        <v>19</v>
      </c>
      <c r="G4911" t="s">
        <v>30</v>
      </c>
      <c r="H4911" t="s">
        <v>31</v>
      </c>
      <c r="I4911" s="12">
        <v>0.34722222222222221</v>
      </c>
      <c r="J4911" t="s">
        <v>32</v>
      </c>
      <c r="K4911" t="s">
        <v>31</v>
      </c>
      <c r="L4911" s="12">
        <v>0.36805555555555558</v>
      </c>
      <c r="M4911" t="s">
        <v>33</v>
      </c>
      <c r="N4911" s="3">
        <v>189</v>
      </c>
      <c r="O4911" t="s">
        <v>24</v>
      </c>
      <c r="P4911" t="s">
        <v>25</v>
      </c>
      <c r="R4911">
        <f>tblDailySchedule[[#This Row],[Capacity Approx]]*'[1]Load Factor Sheet June Acft  '!$B$5</f>
        <v>153.04704545454547</v>
      </c>
      <c r="S4911">
        <f>tblDailySchedule[[#This Row],[Capacity Approx]]*'[1]Load Factor Sheet June Acft  '!$D$5</f>
        <v>165.71863636363636</v>
      </c>
      <c r="T4911" s="22">
        <f>tblDailySchedule[[#This Row],[STD]]</f>
        <v>0.36805555555555558</v>
      </c>
    </row>
    <row r="4912" spans="1:20" hidden="1" x14ac:dyDescent="0.35">
      <c r="A4912" s="11">
        <v>46287</v>
      </c>
      <c r="B4912" s="3">
        <v>2</v>
      </c>
      <c r="C4912" t="s">
        <v>108</v>
      </c>
      <c r="D4912" t="s">
        <v>18</v>
      </c>
      <c r="E4912" s="3">
        <v>5</v>
      </c>
      <c r="F4912" t="s">
        <v>19</v>
      </c>
      <c r="G4912" t="s">
        <v>40</v>
      </c>
      <c r="H4912" t="s">
        <v>31</v>
      </c>
      <c r="I4912" s="12">
        <v>0.35069444444444442</v>
      </c>
      <c r="J4912" t="s">
        <v>41</v>
      </c>
      <c r="K4912" t="s">
        <v>31</v>
      </c>
      <c r="L4912" s="12">
        <v>0.37152777777777779</v>
      </c>
      <c r="M4912" t="s">
        <v>23</v>
      </c>
      <c r="N4912" s="3">
        <v>186</v>
      </c>
      <c r="O4912" t="s">
        <v>24</v>
      </c>
      <c r="P4912" t="s">
        <v>25</v>
      </c>
      <c r="R4912">
        <f>tblDailySchedule[[#This Row],[Capacity Approx]]*'[1]Load Factor Sheet June Acft  '!$B$5</f>
        <v>150.61772727272728</v>
      </c>
      <c r="S4912">
        <f>tblDailySchedule[[#This Row],[Capacity Approx]]*'[1]Load Factor Sheet June Acft  '!$D$5</f>
        <v>163.08818181818182</v>
      </c>
      <c r="T4912" s="22">
        <f>tblDailySchedule[[#This Row],[STD]]</f>
        <v>0.37152777777777779</v>
      </c>
    </row>
    <row r="4913" spans="1:20" hidden="1" x14ac:dyDescent="0.35">
      <c r="A4913" s="11">
        <v>46287</v>
      </c>
      <c r="B4913" s="3">
        <v>2</v>
      </c>
      <c r="C4913" t="s">
        <v>108</v>
      </c>
      <c r="D4913" t="s">
        <v>18</v>
      </c>
      <c r="E4913" s="3">
        <v>7</v>
      </c>
      <c r="F4913" t="s">
        <v>19</v>
      </c>
      <c r="G4913" t="s">
        <v>42</v>
      </c>
      <c r="H4913" t="s">
        <v>43</v>
      </c>
      <c r="I4913" s="12">
        <v>0.3923611111111111</v>
      </c>
      <c r="J4913" t="s">
        <v>44</v>
      </c>
      <c r="K4913" t="s">
        <v>43</v>
      </c>
      <c r="L4913" s="12">
        <v>0.40277777777777779</v>
      </c>
      <c r="M4913" t="s">
        <v>45</v>
      </c>
      <c r="N4913" s="3">
        <v>9</v>
      </c>
      <c r="O4913" t="s">
        <v>24</v>
      </c>
      <c r="P4913" t="s">
        <v>25</v>
      </c>
      <c r="R4913">
        <f>tblDailySchedule[[#This Row],[Capacity Approx]]*'[1]Load Factor Sheet June Acft  '!$B$5</f>
        <v>7.2879545454545456</v>
      </c>
      <c r="S4913">
        <f>tblDailySchedule[[#This Row],[Capacity Approx]]*'[1]Load Factor Sheet June Acft  '!$D$5</f>
        <v>7.8913636363636366</v>
      </c>
      <c r="T4913" s="22">
        <f>tblDailySchedule[[#This Row],[STD]]</f>
        <v>0.40277777777777779</v>
      </c>
    </row>
    <row r="4914" spans="1:20" hidden="1" x14ac:dyDescent="0.35">
      <c r="A4914" s="11">
        <v>46287</v>
      </c>
      <c r="B4914" s="3">
        <v>2</v>
      </c>
      <c r="C4914" t="s">
        <v>108</v>
      </c>
      <c r="D4914" t="s">
        <v>18</v>
      </c>
      <c r="E4914" s="3">
        <v>8</v>
      </c>
      <c r="F4914" t="s">
        <v>19</v>
      </c>
      <c r="G4914" t="s">
        <v>46</v>
      </c>
      <c r="H4914" t="s">
        <v>31</v>
      </c>
      <c r="I4914" s="12">
        <v>0.4201388888888889</v>
      </c>
      <c r="J4914" t="s">
        <v>47</v>
      </c>
      <c r="K4914" t="s">
        <v>31</v>
      </c>
      <c r="L4914" s="12">
        <v>0.44444444444444442</v>
      </c>
      <c r="M4914" t="s">
        <v>29</v>
      </c>
      <c r="N4914" s="3">
        <v>186</v>
      </c>
      <c r="O4914" t="s">
        <v>24</v>
      </c>
      <c r="P4914" t="s">
        <v>25</v>
      </c>
      <c r="R4914">
        <f>tblDailySchedule[[#This Row],[Capacity Approx]]*'[1]Load Factor Sheet June Acft  '!$B$5</f>
        <v>150.61772727272728</v>
      </c>
      <c r="S4914">
        <f>tblDailySchedule[[#This Row],[Capacity Approx]]*'[1]Load Factor Sheet June Acft  '!$D$5</f>
        <v>163.08818181818182</v>
      </c>
      <c r="T4914" s="22">
        <f>tblDailySchedule[[#This Row],[STD]]</f>
        <v>0.44444444444444442</v>
      </c>
    </row>
    <row r="4915" spans="1:20" hidden="1" x14ac:dyDescent="0.35">
      <c r="A4915" s="11">
        <v>46287</v>
      </c>
      <c r="B4915" s="3">
        <v>2</v>
      </c>
      <c r="C4915" t="s">
        <v>108</v>
      </c>
      <c r="D4915" t="s">
        <v>18</v>
      </c>
      <c r="E4915" s="3">
        <v>9</v>
      </c>
      <c r="F4915" t="s">
        <v>19</v>
      </c>
      <c r="G4915" t="s">
        <v>48</v>
      </c>
      <c r="H4915" t="s">
        <v>49</v>
      </c>
      <c r="I4915" s="12">
        <v>0.4375</v>
      </c>
      <c r="J4915" t="s">
        <v>50</v>
      </c>
      <c r="K4915" t="s">
        <v>49</v>
      </c>
      <c r="L4915" s="12">
        <v>0.45833333333333331</v>
      </c>
      <c r="M4915" t="s">
        <v>51</v>
      </c>
      <c r="N4915" s="3">
        <v>78</v>
      </c>
      <c r="O4915" t="s">
        <v>24</v>
      </c>
      <c r="P4915" t="s">
        <v>25</v>
      </c>
      <c r="R4915">
        <f>tblDailySchedule[[#This Row],[Capacity Approx]]*'[1]Load Factor Sheet June Acft  '!$B$5</f>
        <v>63.162272727272729</v>
      </c>
      <c r="S4915">
        <f>tblDailySchedule[[#This Row],[Capacity Approx]]*'[1]Load Factor Sheet June Acft  '!$D$5</f>
        <v>68.391818181818181</v>
      </c>
      <c r="T4915" s="22">
        <f>tblDailySchedule[[#This Row],[STD]]</f>
        <v>0.45833333333333331</v>
      </c>
    </row>
    <row r="4916" spans="1:20" hidden="1" x14ac:dyDescent="0.35">
      <c r="A4916" s="11">
        <v>46287</v>
      </c>
      <c r="B4916" s="3">
        <v>2</v>
      </c>
      <c r="C4916" t="s">
        <v>108</v>
      </c>
      <c r="D4916" t="s">
        <v>18</v>
      </c>
      <c r="E4916" s="3">
        <v>10</v>
      </c>
      <c r="F4916" t="s">
        <v>19</v>
      </c>
      <c r="G4916" t="s">
        <v>52</v>
      </c>
      <c r="H4916" t="s">
        <v>27</v>
      </c>
      <c r="I4916" s="12">
        <v>0.4826388888888889</v>
      </c>
      <c r="J4916" t="s">
        <v>53</v>
      </c>
      <c r="K4916" t="s">
        <v>27</v>
      </c>
      <c r="L4916" s="12">
        <v>0.51041666666666663</v>
      </c>
      <c r="M4916" t="s">
        <v>23</v>
      </c>
      <c r="N4916" s="3">
        <v>186</v>
      </c>
      <c r="O4916" t="s">
        <v>24</v>
      </c>
      <c r="P4916" t="s">
        <v>25</v>
      </c>
      <c r="R4916">
        <f>tblDailySchedule[[#This Row],[Capacity Approx]]*'[1]Load Factor Sheet June Acft  '!$B$5</f>
        <v>150.61772727272728</v>
      </c>
      <c r="S4916">
        <f>tblDailySchedule[[#This Row],[Capacity Approx]]*'[1]Load Factor Sheet June Acft  '!$D$5</f>
        <v>163.08818181818182</v>
      </c>
      <c r="T4916" s="22">
        <f>tblDailySchedule[[#This Row],[STD]]</f>
        <v>0.51041666666666663</v>
      </c>
    </row>
    <row r="4917" spans="1:20" hidden="1" x14ac:dyDescent="0.35">
      <c r="A4917" s="11">
        <v>46287</v>
      </c>
      <c r="B4917" s="3">
        <v>2</v>
      </c>
      <c r="C4917" t="s">
        <v>108</v>
      </c>
      <c r="D4917" t="s">
        <v>18</v>
      </c>
      <c r="E4917" s="3">
        <v>11</v>
      </c>
      <c r="F4917" t="s">
        <v>19</v>
      </c>
      <c r="G4917" t="s">
        <v>54</v>
      </c>
      <c r="H4917" t="s">
        <v>31</v>
      </c>
      <c r="I4917" s="12">
        <v>0.51388888888888884</v>
      </c>
      <c r="J4917" t="s">
        <v>55</v>
      </c>
      <c r="K4917" t="s">
        <v>31</v>
      </c>
      <c r="L4917" s="12">
        <v>0.54166666666666663</v>
      </c>
      <c r="M4917" t="s">
        <v>23</v>
      </c>
      <c r="N4917" s="3">
        <v>186</v>
      </c>
      <c r="O4917" t="s">
        <v>24</v>
      </c>
      <c r="P4917" t="s">
        <v>56</v>
      </c>
      <c r="R4917">
        <f>tblDailySchedule[[#This Row],[Capacity Approx]]*'[1]Load Factor Sheet June Acft  '!$B$5</f>
        <v>150.61772727272728</v>
      </c>
      <c r="S4917">
        <f>tblDailySchedule[[#This Row],[Capacity Approx]]*'[1]Load Factor Sheet June Acft  '!$D$5</f>
        <v>163.08818181818182</v>
      </c>
      <c r="T4917" s="22">
        <f>tblDailySchedule[[#This Row],[STD]]</f>
        <v>0.54166666666666663</v>
      </c>
    </row>
    <row r="4918" spans="1:20" hidden="1" x14ac:dyDescent="0.35">
      <c r="A4918" s="11">
        <v>46287</v>
      </c>
      <c r="B4918" s="3">
        <v>2</v>
      </c>
      <c r="C4918" t="s">
        <v>108</v>
      </c>
      <c r="D4918" t="s">
        <v>18</v>
      </c>
      <c r="E4918" s="3">
        <v>12</v>
      </c>
      <c r="F4918" t="s">
        <v>109</v>
      </c>
      <c r="G4918" t="s">
        <v>110</v>
      </c>
      <c r="H4918" t="s">
        <v>111</v>
      </c>
      <c r="I4918" s="12">
        <v>0.55555555555555558</v>
      </c>
      <c r="J4918" t="s">
        <v>112</v>
      </c>
      <c r="K4918" t="s">
        <v>111</v>
      </c>
      <c r="L4918" s="12">
        <v>0.56944444444444442</v>
      </c>
      <c r="M4918" t="s">
        <v>51</v>
      </c>
      <c r="N4918" s="3">
        <v>78</v>
      </c>
      <c r="O4918" t="s">
        <v>24</v>
      </c>
      <c r="P4918" t="s">
        <v>56</v>
      </c>
      <c r="R4918">
        <f>tblDailySchedule[[#This Row],[Capacity Approx]]*'[1]Load Factor Sheet June Acft  '!$B$5</f>
        <v>63.162272727272729</v>
      </c>
      <c r="S4918">
        <f>tblDailySchedule[[#This Row],[Capacity Approx]]*'[1]Load Factor Sheet June Acft  '!$D$5</f>
        <v>68.391818181818181</v>
      </c>
      <c r="T4918" s="22">
        <f>tblDailySchedule[[#This Row],[STD]]</f>
        <v>0.56944444444444442</v>
      </c>
    </row>
    <row r="4919" spans="1:20" hidden="1" x14ac:dyDescent="0.35">
      <c r="A4919" s="11">
        <v>46287</v>
      </c>
      <c r="B4919" s="3">
        <v>2</v>
      </c>
      <c r="C4919" t="s">
        <v>108</v>
      </c>
      <c r="D4919" t="s">
        <v>18</v>
      </c>
      <c r="E4919" s="3">
        <v>13</v>
      </c>
      <c r="F4919" t="s">
        <v>19</v>
      </c>
      <c r="G4919" t="s">
        <v>57</v>
      </c>
      <c r="H4919" t="s">
        <v>58</v>
      </c>
      <c r="I4919" s="12">
        <v>0.55902777777777779</v>
      </c>
      <c r="J4919" t="s">
        <v>59</v>
      </c>
      <c r="K4919" t="s">
        <v>58</v>
      </c>
      <c r="L4919" s="12">
        <v>0.57638888888888884</v>
      </c>
      <c r="M4919" t="s">
        <v>51</v>
      </c>
      <c r="N4919" s="3">
        <v>78</v>
      </c>
      <c r="O4919" t="s">
        <v>24</v>
      </c>
      <c r="P4919" t="s">
        <v>56</v>
      </c>
      <c r="R4919">
        <f>tblDailySchedule[[#This Row],[Capacity Approx]]*'[1]Load Factor Sheet June Acft  '!$B$5</f>
        <v>63.162272727272729</v>
      </c>
      <c r="S4919">
        <f>tblDailySchedule[[#This Row],[Capacity Approx]]*'[1]Load Factor Sheet June Acft  '!$D$5</f>
        <v>68.391818181818181</v>
      </c>
      <c r="T4919" s="22">
        <f>tblDailySchedule[[#This Row],[STD]]</f>
        <v>0.57638888888888884</v>
      </c>
    </row>
    <row r="4920" spans="1:20" hidden="1" x14ac:dyDescent="0.35">
      <c r="A4920" s="11">
        <v>46287</v>
      </c>
      <c r="B4920" s="3">
        <v>2</v>
      </c>
      <c r="C4920" t="s">
        <v>108</v>
      </c>
      <c r="D4920" t="s">
        <v>18</v>
      </c>
      <c r="E4920" s="3">
        <v>14</v>
      </c>
      <c r="F4920" t="s">
        <v>19</v>
      </c>
      <c r="G4920" t="s">
        <v>60</v>
      </c>
      <c r="H4920" t="s">
        <v>61</v>
      </c>
      <c r="I4920" s="12">
        <v>0.59027777777777779</v>
      </c>
      <c r="J4920" t="s">
        <v>62</v>
      </c>
      <c r="K4920" t="s">
        <v>61</v>
      </c>
      <c r="L4920" s="12">
        <v>0.62152777777777779</v>
      </c>
      <c r="M4920" t="s">
        <v>63</v>
      </c>
      <c r="N4920" s="3">
        <v>232</v>
      </c>
      <c r="O4920" t="s">
        <v>24</v>
      </c>
      <c r="P4920" t="s">
        <v>56</v>
      </c>
      <c r="R4920">
        <f>tblDailySchedule[[#This Row],[Capacity Approx]]*'[1]Load Factor Sheet June Acft  '!$B$5</f>
        <v>187.86727272727273</v>
      </c>
      <c r="S4920">
        <f>tblDailySchedule[[#This Row],[Capacity Approx]]*'[1]Load Factor Sheet June Acft  '!$D$5</f>
        <v>203.4218181818182</v>
      </c>
      <c r="T4920" s="22">
        <f>tblDailySchedule[[#This Row],[STD]]</f>
        <v>0.62152777777777779</v>
      </c>
    </row>
    <row r="4921" spans="1:20" hidden="1" x14ac:dyDescent="0.35">
      <c r="A4921" s="11">
        <v>46287</v>
      </c>
      <c r="B4921" s="3">
        <v>2</v>
      </c>
      <c r="C4921" t="s">
        <v>108</v>
      </c>
      <c r="D4921" t="s">
        <v>18</v>
      </c>
      <c r="E4921" s="3">
        <v>15</v>
      </c>
      <c r="F4921" t="s">
        <v>19</v>
      </c>
      <c r="G4921" t="s">
        <v>64</v>
      </c>
      <c r="H4921" t="s">
        <v>31</v>
      </c>
      <c r="I4921" s="12">
        <v>0.60069444444444442</v>
      </c>
      <c r="J4921" t="s">
        <v>65</v>
      </c>
      <c r="K4921" t="s">
        <v>66</v>
      </c>
      <c r="L4921" s="12">
        <v>0.62847222222222221</v>
      </c>
      <c r="M4921" t="s">
        <v>63</v>
      </c>
      <c r="N4921" s="3">
        <v>232</v>
      </c>
      <c r="O4921" t="s">
        <v>24</v>
      </c>
      <c r="P4921" t="s">
        <v>56</v>
      </c>
      <c r="R4921">
        <f>tblDailySchedule[[#This Row],[Capacity Approx]]*'[1]Load Factor Sheet June Acft  '!$B$5</f>
        <v>187.86727272727273</v>
      </c>
      <c r="S4921">
        <f>tblDailySchedule[[#This Row],[Capacity Approx]]*'[1]Load Factor Sheet June Acft  '!$D$5</f>
        <v>203.4218181818182</v>
      </c>
      <c r="T4921" s="22">
        <f>tblDailySchedule[[#This Row],[STD]]</f>
        <v>0.62847222222222221</v>
      </c>
    </row>
    <row r="4922" spans="1:20" hidden="1" x14ac:dyDescent="0.35">
      <c r="A4922" s="11">
        <v>46287</v>
      </c>
      <c r="B4922" s="3">
        <v>2</v>
      </c>
      <c r="C4922" t="s">
        <v>108</v>
      </c>
      <c r="D4922" t="s">
        <v>18</v>
      </c>
      <c r="E4922" s="3">
        <v>16</v>
      </c>
      <c r="F4922" t="s">
        <v>19</v>
      </c>
      <c r="G4922" t="s">
        <v>67</v>
      </c>
      <c r="H4922" t="s">
        <v>31</v>
      </c>
      <c r="I4922" s="12">
        <v>0.65625</v>
      </c>
      <c r="J4922" t="s">
        <v>68</v>
      </c>
      <c r="K4922" t="s">
        <v>31</v>
      </c>
      <c r="L4922" s="12">
        <v>0.68402777777777779</v>
      </c>
      <c r="M4922" t="s">
        <v>63</v>
      </c>
      <c r="N4922" s="3">
        <v>232</v>
      </c>
      <c r="O4922" t="s">
        <v>24</v>
      </c>
      <c r="P4922" t="s">
        <v>56</v>
      </c>
      <c r="R4922">
        <f>tblDailySchedule[[#This Row],[Capacity Approx]]*'[1]Load Factor Sheet June Acft  '!$B$5</f>
        <v>187.86727272727273</v>
      </c>
      <c r="S4922">
        <f>tblDailySchedule[[#This Row],[Capacity Approx]]*'[1]Load Factor Sheet June Acft  '!$D$5</f>
        <v>203.4218181818182</v>
      </c>
      <c r="T4922" s="22">
        <f>tblDailySchedule[[#This Row],[STD]]</f>
        <v>0.68402777777777779</v>
      </c>
    </row>
    <row r="4923" spans="1:20" hidden="1" x14ac:dyDescent="0.35">
      <c r="A4923" s="11">
        <v>46287</v>
      </c>
      <c r="B4923" s="3">
        <v>2</v>
      </c>
      <c r="C4923" t="s">
        <v>108</v>
      </c>
      <c r="D4923" t="s">
        <v>18</v>
      </c>
      <c r="E4923" s="3">
        <v>17</v>
      </c>
      <c r="F4923" t="s">
        <v>19</v>
      </c>
      <c r="G4923" t="s">
        <v>69</v>
      </c>
      <c r="H4923" t="s">
        <v>31</v>
      </c>
      <c r="I4923" s="12">
        <v>0.66319444444444442</v>
      </c>
      <c r="J4923" t="s">
        <v>70</v>
      </c>
      <c r="K4923" t="s">
        <v>31</v>
      </c>
      <c r="L4923" s="12">
        <v>0.69097222222222221</v>
      </c>
      <c r="M4923" t="s">
        <v>33</v>
      </c>
      <c r="N4923" s="3">
        <v>189</v>
      </c>
      <c r="O4923" t="s">
        <v>24</v>
      </c>
      <c r="P4923" t="s">
        <v>56</v>
      </c>
      <c r="R4923">
        <f>tblDailySchedule[[#This Row],[Capacity Approx]]*'[1]Load Factor Sheet June Acft  '!$B$5</f>
        <v>153.04704545454547</v>
      </c>
      <c r="S4923">
        <f>tblDailySchedule[[#This Row],[Capacity Approx]]*'[1]Load Factor Sheet June Acft  '!$D$5</f>
        <v>165.71863636363636</v>
      </c>
      <c r="T4923" s="22">
        <f>tblDailySchedule[[#This Row],[STD]]</f>
        <v>0.69097222222222221</v>
      </c>
    </row>
    <row r="4924" spans="1:20" hidden="1" x14ac:dyDescent="0.35">
      <c r="A4924" s="11">
        <v>46287</v>
      </c>
      <c r="B4924" s="3">
        <v>2</v>
      </c>
      <c r="C4924" t="s">
        <v>108</v>
      </c>
      <c r="D4924" t="s">
        <v>18</v>
      </c>
      <c r="E4924" s="3">
        <v>18</v>
      </c>
      <c r="F4924" t="s">
        <v>19</v>
      </c>
      <c r="G4924" t="s">
        <v>71</v>
      </c>
      <c r="H4924" t="s">
        <v>21</v>
      </c>
      <c r="I4924" s="12">
        <v>0.67013888888888884</v>
      </c>
      <c r="J4924" t="s">
        <v>72</v>
      </c>
      <c r="K4924" t="s">
        <v>21</v>
      </c>
      <c r="L4924" s="12">
        <v>0.69791666666666663</v>
      </c>
      <c r="M4924" t="s">
        <v>63</v>
      </c>
      <c r="N4924" s="3">
        <v>232</v>
      </c>
      <c r="O4924" t="s">
        <v>24</v>
      </c>
      <c r="P4924" t="s">
        <v>56</v>
      </c>
      <c r="R4924">
        <f>tblDailySchedule[[#This Row],[Capacity Approx]]*'[1]Load Factor Sheet June Acft  '!$B$5</f>
        <v>187.86727272727273</v>
      </c>
      <c r="S4924">
        <f>tblDailySchedule[[#This Row],[Capacity Approx]]*'[1]Load Factor Sheet June Acft  '!$D$5</f>
        <v>203.4218181818182</v>
      </c>
      <c r="T4924" s="22">
        <f>tblDailySchedule[[#This Row],[STD]]</f>
        <v>0.69791666666666663</v>
      </c>
    </row>
    <row r="4925" spans="1:20" hidden="1" x14ac:dyDescent="0.35">
      <c r="A4925" s="11">
        <v>46287</v>
      </c>
      <c r="B4925" s="3">
        <v>2</v>
      </c>
      <c r="C4925" t="s">
        <v>108</v>
      </c>
      <c r="D4925" t="s">
        <v>18</v>
      </c>
      <c r="E4925" s="3">
        <v>19</v>
      </c>
      <c r="F4925" t="s">
        <v>19</v>
      </c>
      <c r="G4925" t="s">
        <v>73</v>
      </c>
      <c r="H4925" t="s">
        <v>27</v>
      </c>
      <c r="I4925" s="12">
        <v>0.74652777777777779</v>
      </c>
      <c r="J4925" t="s">
        <v>74</v>
      </c>
      <c r="K4925" t="s">
        <v>27</v>
      </c>
      <c r="L4925" s="12">
        <v>0.77430555555555558</v>
      </c>
      <c r="M4925" t="s">
        <v>63</v>
      </c>
      <c r="N4925" s="3">
        <v>232</v>
      </c>
      <c r="O4925" t="s">
        <v>24</v>
      </c>
      <c r="P4925" t="s">
        <v>56</v>
      </c>
      <c r="R4925">
        <f>tblDailySchedule[[#This Row],[Capacity Approx]]*'[1]Load Factor Sheet June Acft  '!$B$5</f>
        <v>187.86727272727273</v>
      </c>
      <c r="S4925">
        <f>tblDailySchedule[[#This Row],[Capacity Approx]]*'[1]Load Factor Sheet June Acft  '!$D$5</f>
        <v>203.4218181818182</v>
      </c>
      <c r="T4925" s="22">
        <f>tblDailySchedule[[#This Row],[STD]]</f>
        <v>0.77430555555555558</v>
      </c>
    </row>
    <row r="4926" spans="1:20" hidden="1" x14ac:dyDescent="0.35">
      <c r="A4926" s="11">
        <v>46287</v>
      </c>
      <c r="B4926" s="3">
        <v>2</v>
      </c>
      <c r="C4926" t="s">
        <v>108</v>
      </c>
      <c r="D4926" t="s">
        <v>18</v>
      </c>
      <c r="E4926" s="3">
        <v>21</v>
      </c>
      <c r="F4926" t="s">
        <v>19</v>
      </c>
      <c r="G4926" t="s">
        <v>81</v>
      </c>
      <c r="H4926" t="s">
        <v>61</v>
      </c>
      <c r="I4926" s="12">
        <v>0.77083333333333337</v>
      </c>
      <c r="J4926" t="s">
        <v>82</v>
      </c>
      <c r="K4926" t="s">
        <v>49</v>
      </c>
      <c r="L4926" s="12">
        <v>0.79166666666666663</v>
      </c>
      <c r="M4926" t="s">
        <v>33</v>
      </c>
      <c r="N4926" s="3">
        <v>189</v>
      </c>
      <c r="O4926" t="s">
        <v>24</v>
      </c>
      <c r="P4926" t="s">
        <v>79</v>
      </c>
      <c r="R4926">
        <f>tblDailySchedule[[#This Row],[Capacity Approx]]*'[1]Load Factor Sheet June Acft  '!$B$5</f>
        <v>153.04704545454547</v>
      </c>
      <c r="S4926">
        <f>tblDailySchedule[[#This Row],[Capacity Approx]]*'[1]Load Factor Sheet June Acft  '!$D$5</f>
        <v>165.71863636363636</v>
      </c>
      <c r="T4926" s="22">
        <f>tblDailySchedule[[#This Row],[STD]]</f>
        <v>0.79166666666666663</v>
      </c>
    </row>
    <row r="4927" spans="1:20" hidden="1" x14ac:dyDescent="0.35">
      <c r="A4927" s="11">
        <v>46287</v>
      </c>
      <c r="B4927" s="3">
        <v>2</v>
      </c>
      <c r="C4927" t="s">
        <v>108</v>
      </c>
      <c r="D4927" t="s">
        <v>18</v>
      </c>
      <c r="E4927" s="3">
        <v>22</v>
      </c>
      <c r="F4927" t="s">
        <v>19</v>
      </c>
      <c r="G4927" t="s">
        <v>83</v>
      </c>
      <c r="H4927" t="s">
        <v>31</v>
      </c>
      <c r="I4927" s="12">
        <v>0.77777777777777779</v>
      </c>
      <c r="J4927" t="s">
        <v>84</v>
      </c>
      <c r="K4927" t="s">
        <v>31</v>
      </c>
      <c r="L4927" s="12">
        <v>0.80555555555555558</v>
      </c>
      <c r="M4927" t="s">
        <v>63</v>
      </c>
      <c r="N4927" s="3">
        <v>232</v>
      </c>
      <c r="O4927" t="s">
        <v>24</v>
      </c>
      <c r="P4927" t="s">
        <v>79</v>
      </c>
      <c r="R4927">
        <f>tblDailySchedule[[#This Row],[Capacity Approx]]*'[1]Load Factor Sheet June Acft  '!$B$5</f>
        <v>187.86727272727273</v>
      </c>
      <c r="S4927">
        <f>tblDailySchedule[[#This Row],[Capacity Approx]]*'[1]Load Factor Sheet June Acft  '!$D$5</f>
        <v>203.4218181818182</v>
      </c>
      <c r="T4927" s="22">
        <f>tblDailySchedule[[#This Row],[STD]]</f>
        <v>0.80555555555555558</v>
      </c>
    </row>
    <row r="4928" spans="1:20" hidden="1" x14ac:dyDescent="0.35">
      <c r="A4928" s="11">
        <v>46287</v>
      </c>
      <c r="B4928" s="3">
        <v>2</v>
      </c>
      <c r="C4928" t="s">
        <v>108</v>
      </c>
      <c r="D4928" t="s">
        <v>18</v>
      </c>
      <c r="E4928" s="3">
        <v>23</v>
      </c>
      <c r="F4928" t="s">
        <v>19</v>
      </c>
      <c r="G4928" t="s">
        <v>85</v>
      </c>
      <c r="H4928" t="s">
        <v>86</v>
      </c>
      <c r="I4928" s="12">
        <v>0.79861111111111116</v>
      </c>
      <c r="J4928" t="s">
        <v>87</v>
      </c>
      <c r="K4928" t="s">
        <v>86</v>
      </c>
      <c r="L4928" s="12">
        <v>0.82638888888888884</v>
      </c>
      <c r="M4928" t="s">
        <v>63</v>
      </c>
      <c r="N4928" s="3">
        <v>232</v>
      </c>
      <c r="O4928" t="s">
        <v>24</v>
      </c>
      <c r="P4928" t="s">
        <v>79</v>
      </c>
      <c r="R4928">
        <f>tblDailySchedule[[#This Row],[Capacity Approx]]*'[1]Load Factor Sheet June Acft  '!$B$5</f>
        <v>187.86727272727273</v>
      </c>
      <c r="S4928">
        <f>tblDailySchedule[[#This Row],[Capacity Approx]]*'[1]Load Factor Sheet June Acft  '!$D$5</f>
        <v>203.4218181818182</v>
      </c>
      <c r="T4928" s="22">
        <f>tblDailySchedule[[#This Row],[STD]]</f>
        <v>0.82638888888888884</v>
      </c>
    </row>
    <row r="4929" spans="1:20" hidden="1" x14ac:dyDescent="0.35">
      <c r="A4929" s="11">
        <v>46287</v>
      </c>
      <c r="B4929" s="3">
        <v>2</v>
      </c>
      <c r="C4929" t="s">
        <v>108</v>
      </c>
      <c r="D4929" t="s">
        <v>18</v>
      </c>
      <c r="E4929" s="3">
        <v>24</v>
      </c>
      <c r="F4929" t="s">
        <v>19</v>
      </c>
      <c r="G4929" t="s">
        <v>88</v>
      </c>
      <c r="H4929" t="s">
        <v>89</v>
      </c>
      <c r="I4929" s="12">
        <v>0.83333333333333337</v>
      </c>
      <c r="J4929" t="s">
        <v>90</v>
      </c>
      <c r="K4929" t="s">
        <v>31</v>
      </c>
      <c r="L4929" s="12">
        <v>0.86111111111111116</v>
      </c>
      <c r="M4929" t="s">
        <v>63</v>
      </c>
      <c r="N4929" s="3">
        <v>232</v>
      </c>
      <c r="O4929" t="s">
        <v>24</v>
      </c>
      <c r="P4929" t="s">
        <v>79</v>
      </c>
      <c r="R4929">
        <f>tblDailySchedule[[#This Row],[Capacity Approx]]*'[1]Load Factor Sheet June Acft  '!$B$5</f>
        <v>187.86727272727273</v>
      </c>
      <c r="S4929">
        <f>tblDailySchedule[[#This Row],[Capacity Approx]]*'[1]Load Factor Sheet June Acft  '!$D$5</f>
        <v>203.4218181818182</v>
      </c>
      <c r="T4929" s="22">
        <f>tblDailySchedule[[#This Row],[STD]]</f>
        <v>0.86111111111111116</v>
      </c>
    </row>
    <row r="4930" spans="1:20" hidden="1" x14ac:dyDescent="0.35">
      <c r="A4930" s="11">
        <v>46287</v>
      </c>
      <c r="B4930" s="3">
        <v>2</v>
      </c>
      <c r="C4930" t="s">
        <v>108</v>
      </c>
      <c r="D4930" t="s">
        <v>18</v>
      </c>
      <c r="E4930" s="3">
        <v>25</v>
      </c>
      <c r="F4930" t="s">
        <v>19</v>
      </c>
      <c r="G4930" t="s">
        <v>91</v>
      </c>
      <c r="H4930" t="s">
        <v>61</v>
      </c>
      <c r="I4930" s="12">
        <v>0.85416666666666663</v>
      </c>
      <c r="J4930" t="s">
        <v>92</v>
      </c>
      <c r="K4930" t="s">
        <v>61</v>
      </c>
      <c r="L4930" s="12">
        <v>0.88194444444444442</v>
      </c>
      <c r="M4930" t="s">
        <v>63</v>
      </c>
      <c r="N4930" s="3">
        <v>232</v>
      </c>
      <c r="O4930" t="s">
        <v>24</v>
      </c>
      <c r="P4930" t="s">
        <v>79</v>
      </c>
      <c r="R4930">
        <f>tblDailySchedule[[#This Row],[Capacity Approx]]*'[1]Load Factor Sheet June Acft  '!$B$5</f>
        <v>187.86727272727273</v>
      </c>
      <c r="S4930">
        <f>tblDailySchedule[[#This Row],[Capacity Approx]]*'[1]Load Factor Sheet June Acft  '!$D$5</f>
        <v>203.4218181818182</v>
      </c>
      <c r="T4930" s="22">
        <f>tblDailySchedule[[#This Row],[STD]]</f>
        <v>0.88194444444444442</v>
      </c>
    </row>
    <row r="4931" spans="1:20" hidden="1" x14ac:dyDescent="0.35">
      <c r="A4931" s="11">
        <v>46287</v>
      </c>
      <c r="B4931" s="3">
        <v>2</v>
      </c>
      <c r="C4931" t="s">
        <v>108</v>
      </c>
      <c r="D4931" t="s">
        <v>18</v>
      </c>
      <c r="E4931" s="3">
        <v>26</v>
      </c>
      <c r="F4931" t="s">
        <v>19</v>
      </c>
      <c r="G4931" t="s">
        <v>93</v>
      </c>
      <c r="H4931" t="s">
        <v>31</v>
      </c>
      <c r="I4931" s="12">
        <v>0.86111111111111116</v>
      </c>
      <c r="J4931" t="s">
        <v>94</v>
      </c>
      <c r="K4931" t="s">
        <v>31</v>
      </c>
      <c r="L4931" s="12">
        <v>0.88888888888888884</v>
      </c>
      <c r="M4931" t="s">
        <v>23</v>
      </c>
      <c r="N4931" s="3">
        <v>186</v>
      </c>
      <c r="O4931" t="s">
        <v>24</v>
      </c>
      <c r="P4931" t="s">
        <v>79</v>
      </c>
      <c r="R4931">
        <f>tblDailySchedule[[#This Row],[Capacity Approx]]*'[1]Load Factor Sheet June Acft  '!$B$5</f>
        <v>150.61772727272728</v>
      </c>
      <c r="S4931">
        <f>tblDailySchedule[[#This Row],[Capacity Approx]]*'[1]Load Factor Sheet June Acft  '!$D$5</f>
        <v>163.08818181818182</v>
      </c>
      <c r="T4931" s="22">
        <f>tblDailySchedule[[#This Row],[STD]]</f>
        <v>0.88888888888888884</v>
      </c>
    </row>
    <row r="4932" spans="1:20" hidden="1" x14ac:dyDescent="0.35">
      <c r="A4932" s="11">
        <v>46287</v>
      </c>
      <c r="B4932" s="3">
        <v>2</v>
      </c>
      <c r="C4932" t="s">
        <v>108</v>
      </c>
      <c r="D4932" t="s">
        <v>18</v>
      </c>
      <c r="E4932" s="3">
        <v>27</v>
      </c>
      <c r="F4932" t="s">
        <v>19</v>
      </c>
      <c r="G4932" t="s">
        <v>95</v>
      </c>
      <c r="H4932" t="s">
        <v>21</v>
      </c>
      <c r="I4932" s="12">
        <v>0.86805555555555558</v>
      </c>
      <c r="J4932" t="s">
        <v>96</v>
      </c>
      <c r="K4932" t="s">
        <v>21</v>
      </c>
      <c r="L4932" s="12">
        <v>0.89583333333333337</v>
      </c>
      <c r="M4932" t="s">
        <v>29</v>
      </c>
      <c r="N4932" s="3">
        <v>186</v>
      </c>
      <c r="O4932" t="s">
        <v>24</v>
      </c>
      <c r="P4932" t="s">
        <v>79</v>
      </c>
      <c r="R4932">
        <f>tblDailySchedule[[#This Row],[Capacity Approx]]*'[1]Load Factor Sheet June Acft  '!$B$5</f>
        <v>150.61772727272728</v>
      </c>
      <c r="S4932">
        <f>tblDailySchedule[[#This Row],[Capacity Approx]]*'[1]Load Factor Sheet June Acft  '!$D$5</f>
        <v>163.08818181818182</v>
      </c>
      <c r="T4932" s="22">
        <f>tblDailySchedule[[#This Row],[STD]]</f>
        <v>0.89583333333333337</v>
      </c>
    </row>
    <row r="4933" spans="1:20" hidden="1" x14ac:dyDescent="0.35">
      <c r="A4933" s="11">
        <v>46287</v>
      </c>
      <c r="B4933" s="3">
        <v>2</v>
      </c>
      <c r="C4933" t="s">
        <v>108</v>
      </c>
      <c r="D4933" t="s">
        <v>18</v>
      </c>
      <c r="E4933" s="3">
        <v>28</v>
      </c>
      <c r="F4933" t="s">
        <v>19</v>
      </c>
      <c r="G4933" t="s">
        <v>97</v>
      </c>
      <c r="H4933" t="s">
        <v>49</v>
      </c>
      <c r="I4933" s="12">
        <v>0.90277777777777779</v>
      </c>
      <c r="J4933" t="s">
        <v>97</v>
      </c>
      <c r="K4933" t="s">
        <v>61</v>
      </c>
      <c r="L4933" s="12">
        <v>0.92361111111111116</v>
      </c>
      <c r="M4933" t="s">
        <v>33</v>
      </c>
      <c r="N4933" s="3">
        <v>189</v>
      </c>
      <c r="O4933" t="s">
        <v>24</v>
      </c>
      <c r="P4933" t="s">
        <v>79</v>
      </c>
      <c r="R4933">
        <f>tblDailySchedule[[#This Row],[Capacity Approx]]*'[1]Load Factor Sheet June Acft  '!$B$5</f>
        <v>153.04704545454547</v>
      </c>
      <c r="S4933">
        <f>tblDailySchedule[[#This Row],[Capacity Approx]]*'[1]Load Factor Sheet June Acft  '!$D$5</f>
        <v>165.71863636363636</v>
      </c>
      <c r="T4933" s="22">
        <f>tblDailySchedule[[#This Row],[STD]]</f>
        <v>0.92361111111111116</v>
      </c>
    </row>
    <row r="4934" spans="1:20" hidden="1" x14ac:dyDescent="0.35">
      <c r="A4934" s="11">
        <v>46287</v>
      </c>
      <c r="B4934" s="3">
        <v>2</v>
      </c>
      <c r="C4934" t="s">
        <v>108</v>
      </c>
      <c r="D4934" t="s">
        <v>18</v>
      </c>
      <c r="E4934" s="3">
        <v>29</v>
      </c>
      <c r="F4934" t="s">
        <v>19</v>
      </c>
      <c r="G4934" t="s">
        <v>98</v>
      </c>
      <c r="H4934" t="s">
        <v>21</v>
      </c>
      <c r="I4934" s="12">
        <v>0.92013888888888884</v>
      </c>
      <c r="J4934" t="s">
        <v>99</v>
      </c>
      <c r="K4934" t="s">
        <v>21</v>
      </c>
      <c r="L4934" s="12">
        <v>0.94791666666666663</v>
      </c>
      <c r="M4934" t="s">
        <v>63</v>
      </c>
      <c r="N4934" s="3">
        <v>232</v>
      </c>
      <c r="O4934" t="s">
        <v>24</v>
      </c>
      <c r="P4934" t="s">
        <v>79</v>
      </c>
      <c r="R4934">
        <f>tblDailySchedule[[#This Row],[Capacity Approx]]*'[1]Load Factor Sheet June Acft  '!$B$5</f>
        <v>187.86727272727273</v>
      </c>
      <c r="S4934">
        <f>tblDailySchedule[[#This Row],[Capacity Approx]]*'[1]Load Factor Sheet June Acft  '!$D$5</f>
        <v>203.4218181818182</v>
      </c>
      <c r="T4934" s="22">
        <f>tblDailySchedule[[#This Row],[STD]]</f>
        <v>0.94791666666666663</v>
      </c>
    </row>
    <row r="4935" spans="1:20" hidden="1" x14ac:dyDescent="0.35">
      <c r="A4935" s="11">
        <v>46288</v>
      </c>
      <c r="B4935" s="3">
        <v>3</v>
      </c>
      <c r="C4935" t="s">
        <v>113</v>
      </c>
      <c r="D4935" t="s">
        <v>18</v>
      </c>
      <c r="E4935" s="3">
        <v>2</v>
      </c>
      <c r="F4935" t="s">
        <v>19</v>
      </c>
      <c r="G4935" t="s">
        <v>20</v>
      </c>
      <c r="H4935" t="s">
        <v>21</v>
      </c>
      <c r="I4935" s="12">
        <v>0.31944444444444442</v>
      </c>
      <c r="J4935" t="s">
        <v>22</v>
      </c>
      <c r="K4935" t="s">
        <v>21</v>
      </c>
      <c r="L4935" s="12">
        <v>0.34722222222222221</v>
      </c>
      <c r="M4935" t="s">
        <v>23</v>
      </c>
      <c r="N4935" s="3">
        <v>186</v>
      </c>
      <c r="O4935" t="s">
        <v>24</v>
      </c>
      <c r="P4935" t="s">
        <v>25</v>
      </c>
      <c r="R4935">
        <f>tblDailySchedule[[#This Row],[Capacity Approx]]*'[1]Load Factor Sheet June Acft  '!$B$5</f>
        <v>150.61772727272728</v>
      </c>
      <c r="S4935">
        <f>tblDailySchedule[[#This Row],[Capacity Approx]]*'[1]Load Factor Sheet June Acft  '!$D$5</f>
        <v>163.08818181818182</v>
      </c>
      <c r="T4935" s="22">
        <f>tblDailySchedule[[#This Row],[STD]]</f>
        <v>0.34722222222222221</v>
      </c>
    </row>
    <row r="4936" spans="1:20" hidden="1" x14ac:dyDescent="0.35">
      <c r="A4936" s="11">
        <v>46288</v>
      </c>
      <c r="B4936" s="3">
        <v>3</v>
      </c>
      <c r="C4936" t="s">
        <v>113</v>
      </c>
      <c r="D4936" t="s">
        <v>18</v>
      </c>
      <c r="E4936" s="3">
        <v>3</v>
      </c>
      <c r="F4936" t="s">
        <v>19</v>
      </c>
      <c r="G4936" t="s">
        <v>26</v>
      </c>
      <c r="H4936" t="s">
        <v>27</v>
      </c>
      <c r="I4936" s="12">
        <v>0.3263888888888889</v>
      </c>
      <c r="J4936" t="s">
        <v>28</v>
      </c>
      <c r="K4936" t="s">
        <v>27</v>
      </c>
      <c r="L4936" s="12">
        <v>0.35416666666666669</v>
      </c>
      <c r="M4936" t="s">
        <v>29</v>
      </c>
      <c r="N4936" s="3">
        <v>186</v>
      </c>
      <c r="O4936" t="s">
        <v>24</v>
      </c>
      <c r="P4936" t="s">
        <v>25</v>
      </c>
      <c r="R4936">
        <f>tblDailySchedule[[#This Row],[Capacity Approx]]*'[1]Load Factor Sheet June Acft  '!$B$5</f>
        <v>150.61772727272728</v>
      </c>
      <c r="S4936">
        <f>tblDailySchedule[[#This Row],[Capacity Approx]]*'[1]Load Factor Sheet June Acft  '!$D$5</f>
        <v>163.08818181818182</v>
      </c>
      <c r="T4936" s="22">
        <f>tblDailySchedule[[#This Row],[STD]]</f>
        <v>0.35416666666666669</v>
      </c>
    </row>
    <row r="4937" spans="1:20" hidden="1" x14ac:dyDescent="0.35">
      <c r="A4937" s="11">
        <v>46288</v>
      </c>
      <c r="B4937" s="3">
        <v>3</v>
      </c>
      <c r="C4937" t="s">
        <v>113</v>
      </c>
      <c r="D4937" t="s">
        <v>18</v>
      </c>
      <c r="E4937" s="3">
        <v>4</v>
      </c>
      <c r="F4937" t="s">
        <v>19</v>
      </c>
      <c r="G4937" t="s">
        <v>30</v>
      </c>
      <c r="H4937" t="s">
        <v>31</v>
      </c>
      <c r="I4937" s="12">
        <v>0.34722222222222221</v>
      </c>
      <c r="J4937" t="s">
        <v>32</v>
      </c>
      <c r="K4937" t="s">
        <v>31</v>
      </c>
      <c r="L4937" s="12">
        <v>0.36805555555555558</v>
      </c>
      <c r="M4937" t="s">
        <v>33</v>
      </c>
      <c r="N4937" s="3">
        <v>189</v>
      </c>
      <c r="O4937" t="s">
        <v>24</v>
      </c>
      <c r="P4937" t="s">
        <v>25</v>
      </c>
      <c r="R4937">
        <f>tblDailySchedule[[#This Row],[Capacity Approx]]*'[1]Load Factor Sheet June Acft  '!$B$5</f>
        <v>153.04704545454547</v>
      </c>
      <c r="S4937">
        <f>tblDailySchedule[[#This Row],[Capacity Approx]]*'[1]Load Factor Sheet June Acft  '!$D$5</f>
        <v>165.71863636363636</v>
      </c>
      <c r="T4937" s="22">
        <f>tblDailySchedule[[#This Row],[STD]]</f>
        <v>0.36805555555555558</v>
      </c>
    </row>
    <row r="4938" spans="1:20" hidden="1" x14ac:dyDescent="0.35">
      <c r="A4938" s="13">
        <v>46288</v>
      </c>
      <c r="B4938" s="7">
        <v>3</v>
      </c>
      <c r="C4938" s="14" t="s">
        <v>113</v>
      </c>
      <c r="D4938" s="14" t="s">
        <v>18</v>
      </c>
      <c r="E4938" s="7">
        <v>6</v>
      </c>
      <c r="F4938" s="14" t="s">
        <v>34</v>
      </c>
      <c r="G4938" s="14" t="s">
        <v>35</v>
      </c>
      <c r="H4938" s="14" t="s">
        <v>36</v>
      </c>
      <c r="I4938" s="15">
        <v>0.34722222222222221</v>
      </c>
      <c r="J4938" s="14" t="s">
        <v>37</v>
      </c>
      <c r="K4938" s="14" t="s">
        <v>36</v>
      </c>
      <c r="L4938" s="15">
        <v>0.40972222222222221</v>
      </c>
      <c r="M4938" s="14" t="s">
        <v>38</v>
      </c>
      <c r="N4938" s="7">
        <v>186</v>
      </c>
      <c r="O4938" s="14" t="s">
        <v>39</v>
      </c>
      <c r="P4938" s="14" t="s">
        <v>25</v>
      </c>
      <c r="Q4938" s="14" t="s">
        <v>39</v>
      </c>
      <c r="R4938">
        <f>tblDailySchedule[[#This Row],[Capacity Approx]]*'[1]Load Factor Sheet June Acft  '!$B$5</f>
        <v>150.61772727272728</v>
      </c>
      <c r="S4938">
        <f>tblDailySchedule[[#This Row],[Capacity Approx]]*'[1]Load Factor Sheet June Acft  '!$D$5</f>
        <v>163.08818181818182</v>
      </c>
      <c r="T4938" s="22">
        <f>tblDailySchedule[[#This Row],[STD]]</f>
        <v>0.40972222222222221</v>
      </c>
    </row>
    <row r="4939" spans="1:20" hidden="1" x14ac:dyDescent="0.35">
      <c r="A4939" s="11">
        <v>46288</v>
      </c>
      <c r="B4939" s="3">
        <v>3</v>
      </c>
      <c r="C4939" t="s">
        <v>113</v>
      </c>
      <c r="D4939" t="s">
        <v>18</v>
      </c>
      <c r="E4939" s="3">
        <v>5</v>
      </c>
      <c r="F4939" t="s">
        <v>19</v>
      </c>
      <c r="G4939" t="s">
        <v>40</v>
      </c>
      <c r="H4939" t="s">
        <v>31</v>
      </c>
      <c r="I4939" s="12">
        <v>0.35069444444444442</v>
      </c>
      <c r="J4939" t="s">
        <v>41</v>
      </c>
      <c r="K4939" t="s">
        <v>31</v>
      </c>
      <c r="L4939" s="12">
        <v>0.37152777777777779</v>
      </c>
      <c r="M4939" t="s">
        <v>23</v>
      </c>
      <c r="N4939" s="3">
        <v>186</v>
      </c>
      <c r="O4939" t="s">
        <v>24</v>
      </c>
      <c r="P4939" t="s">
        <v>25</v>
      </c>
      <c r="R4939">
        <f>tblDailySchedule[[#This Row],[Capacity Approx]]*'[1]Load Factor Sheet June Acft  '!$B$5</f>
        <v>150.61772727272728</v>
      </c>
      <c r="S4939">
        <f>tblDailySchedule[[#This Row],[Capacity Approx]]*'[1]Load Factor Sheet June Acft  '!$D$5</f>
        <v>163.08818181818182</v>
      </c>
      <c r="T4939" s="22">
        <f>tblDailySchedule[[#This Row],[STD]]</f>
        <v>0.37152777777777779</v>
      </c>
    </row>
    <row r="4940" spans="1:20" hidden="1" x14ac:dyDescent="0.35">
      <c r="A4940" s="11">
        <v>46288</v>
      </c>
      <c r="B4940" s="3">
        <v>3</v>
      </c>
      <c r="C4940" t="s">
        <v>113</v>
      </c>
      <c r="D4940" t="s">
        <v>18</v>
      </c>
      <c r="E4940" s="3">
        <v>7</v>
      </c>
      <c r="F4940" t="s">
        <v>19</v>
      </c>
      <c r="G4940" t="s">
        <v>42</v>
      </c>
      <c r="H4940" t="s">
        <v>43</v>
      </c>
      <c r="I4940" s="12">
        <v>0.3923611111111111</v>
      </c>
      <c r="J4940" t="s">
        <v>44</v>
      </c>
      <c r="K4940" t="s">
        <v>43</v>
      </c>
      <c r="L4940" s="12">
        <v>0.40277777777777779</v>
      </c>
      <c r="M4940" t="s">
        <v>45</v>
      </c>
      <c r="N4940" s="3">
        <v>9</v>
      </c>
      <c r="O4940" t="s">
        <v>24</v>
      </c>
      <c r="P4940" t="s">
        <v>25</v>
      </c>
      <c r="R4940">
        <f>tblDailySchedule[[#This Row],[Capacity Approx]]*'[1]Load Factor Sheet June Acft  '!$B$5</f>
        <v>7.2879545454545456</v>
      </c>
      <c r="S4940">
        <f>tblDailySchedule[[#This Row],[Capacity Approx]]*'[1]Load Factor Sheet June Acft  '!$D$5</f>
        <v>7.8913636363636366</v>
      </c>
      <c r="T4940" s="22">
        <f>tblDailySchedule[[#This Row],[STD]]</f>
        <v>0.40277777777777779</v>
      </c>
    </row>
    <row r="4941" spans="1:20" hidden="1" x14ac:dyDescent="0.35">
      <c r="A4941" s="11">
        <v>46288</v>
      </c>
      <c r="B4941" s="3">
        <v>3</v>
      </c>
      <c r="C4941" t="s">
        <v>113</v>
      </c>
      <c r="D4941" t="s">
        <v>18</v>
      </c>
      <c r="E4941" s="3">
        <v>8</v>
      </c>
      <c r="F4941" t="s">
        <v>19</v>
      </c>
      <c r="G4941" t="s">
        <v>46</v>
      </c>
      <c r="H4941" t="s">
        <v>31</v>
      </c>
      <c r="I4941" s="12">
        <v>0.4201388888888889</v>
      </c>
      <c r="J4941" t="s">
        <v>47</v>
      </c>
      <c r="K4941" t="s">
        <v>31</v>
      </c>
      <c r="L4941" s="12">
        <v>0.44444444444444442</v>
      </c>
      <c r="M4941" t="s">
        <v>29</v>
      </c>
      <c r="N4941" s="3">
        <v>186</v>
      </c>
      <c r="O4941" t="s">
        <v>24</v>
      </c>
      <c r="P4941" t="s">
        <v>25</v>
      </c>
      <c r="R4941">
        <f>tblDailySchedule[[#This Row],[Capacity Approx]]*'[1]Load Factor Sheet June Acft  '!$B$5</f>
        <v>150.61772727272728</v>
      </c>
      <c r="S4941">
        <f>tblDailySchedule[[#This Row],[Capacity Approx]]*'[1]Load Factor Sheet June Acft  '!$D$5</f>
        <v>163.08818181818182</v>
      </c>
      <c r="T4941" s="22">
        <f>tblDailySchedule[[#This Row],[STD]]</f>
        <v>0.44444444444444442</v>
      </c>
    </row>
    <row r="4942" spans="1:20" hidden="1" x14ac:dyDescent="0.35">
      <c r="A4942" s="11">
        <v>46288</v>
      </c>
      <c r="B4942" s="3">
        <v>3</v>
      </c>
      <c r="C4942" t="s">
        <v>113</v>
      </c>
      <c r="D4942" t="s">
        <v>18</v>
      </c>
      <c r="E4942" s="3">
        <v>9</v>
      </c>
      <c r="F4942" t="s">
        <v>19</v>
      </c>
      <c r="G4942" t="s">
        <v>48</v>
      </c>
      <c r="H4942" t="s">
        <v>49</v>
      </c>
      <c r="I4942" s="12">
        <v>0.4375</v>
      </c>
      <c r="J4942" t="s">
        <v>50</v>
      </c>
      <c r="K4942" t="s">
        <v>49</v>
      </c>
      <c r="L4942" s="12">
        <v>0.45833333333333331</v>
      </c>
      <c r="M4942" t="s">
        <v>51</v>
      </c>
      <c r="N4942" s="3">
        <v>78</v>
      </c>
      <c r="O4942" t="s">
        <v>24</v>
      </c>
      <c r="P4942" t="s">
        <v>25</v>
      </c>
      <c r="R4942">
        <f>tblDailySchedule[[#This Row],[Capacity Approx]]*'[1]Load Factor Sheet June Acft  '!$B$5</f>
        <v>63.162272727272729</v>
      </c>
      <c r="S4942">
        <f>tblDailySchedule[[#This Row],[Capacity Approx]]*'[1]Load Factor Sheet June Acft  '!$D$5</f>
        <v>68.391818181818181</v>
      </c>
      <c r="T4942" s="22">
        <f>tblDailySchedule[[#This Row],[STD]]</f>
        <v>0.45833333333333331</v>
      </c>
    </row>
    <row r="4943" spans="1:20" hidden="1" x14ac:dyDescent="0.35">
      <c r="A4943" s="11">
        <v>46288</v>
      </c>
      <c r="B4943" s="3">
        <v>3</v>
      </c>
      <c r="C4943" t="s">
        <v>113</v>
      </c>
      <c r="D4943" t="s">
        <v>18</v>
      </c>
      <c r="E4943" s="3">
        <v>10</v>
      </c>
      <c r="F4943" t="s">
        <v>19</v>
      </c>
      <c r="G4943" t="s">
        <v>52</v>
      </c>
      <c r="H4943" t="s">
        <v>27</v>
      </c>
      <c r="I4943" s="12">
        <v>0.4826388888888889</v>
      </c>
      <c r="J4943" t="s">
        <v>53</v>
      </c>
      <c r="K4943" t="s">
        <v>27</v>
      </c>
      <c r="L4943" s="12">
        <v>0.51041666666666663</v>
      </c>
      <c r="M4943" t="s">
        <v>23</v>
      </c>
      <c r="N4943" s="3">
        <v>186</v>
      </c>
      <c r="O4943" t="s">
        <v>24</v>
      </c>
      <c r="P4943" t="s">
        <v>25</v>
      </c>
      <c r="R4943">
        <f>tblDailySchedule[[#This Row],[Capacity Approx]]*'[1]Load Factor Sheet June Acft  '!$B$5</f>
        <v>150.61772727272728</v>
      </c>
      <c r="S4943">
        <f>tblDailySchedule[[#This Row],[Capacity Approx]]*'[1]Load Factor Sheet June Acft  '!$D$5</f>
        <v>163.08818181818182</v>
      </c>
      <c r="T4943" s="22">
        <f>tblDailySchedule[[#This Row],[STD]]</f>
        <v>0.51041666666666663</v>
      </c>
    </row>
    <row r="4944" spans="1:20" hidden="1" x14ac:dyDescent="0.35">
      <c r="A4944" s="11">
        <v>46288</v>
      </c>
      <c r="B4944" s="3">
        <v>3</v>
      </c>
      <c r="C4944" t="s">
        <v>113</v>
      </c>
      <c r="D4944" t="s">
        <v>18</v>
      </c>
      <c r="E4944" s="3">
        <v>11</v>
      </c>
      <c r="F4944" t="s">
        <v>19</v>
      </c>
      <c r="G4944" t="s">
        <v>54</v>
      </c>
      <c r="H4944" t="s">
        <v>31</v>
      </c>
      <c r="I4944" s="12">
        <v>0.51388888888888884</v>
      </c>
      <c r="J4944" t="s">
        <v>55</v>
      </c>
      <c r="K4944" t="s">
        <v>31</v>
      </c>
      <c r="L4944" s="12">
        <v>0.54166666666666663</v>
      </c>
      <c r="M4944" t="s">
        <v>23</v>
      </c>
      <c r="N4944" s="3">
        <v>186</v>
      </c>
      <c r="O4944" t="s">
        <v>24</v>
      </c>
      <c r="P4944" t="s">
        <v>56</v>
      </c>
      <c r="R4944">
        <f>tblDailySchedule[[#This Row],[Capacity Approx]]*'[1]Load Factor Sheet June Acft  '!$B$5</f>
        <v>150.61772727272728</v>
      </c>
      <c r="S4944">
        <f>tblDailySchedule[[#This Row],[Capacity Approx]]*'[1]Load Factor Sheet June Acft  '!$D$5</f>
        <v>163.08818181818182</v>
      </c>
      <c r="T4944" s="22">
        <f>tblDailySchedule[[#This Row],[STD]]</f>
        <v>0.54166666666666663</v>
      </c>
    </row>
    <row r="4945" spans="1:20" hidden="1" x14ac:dyDescent="0.35">
      <c r="A4945" s="11">
        <v>46288</v>
      </c>
      <c r="B4945" s="3">
        <v>3</v>
      </c>
      <c r="C4945" t="s">
        <v>113</v>
      </c>
      <c r="D4945" t="s">
        <v>18</v>
      </c>
      <c r="E4945" s="3">
        <v>13</v>
      </c>
      <c r="F4945" t="s">
        <v>19</v>
      </c>
      <c r="G4945" t="s">
        <v>57</v>
      </c>
      <c r="H4945" t="s">
        <v>58</v>
      </c>
      <c r="I4945" s="12">
        <v>0.55902777777777779</v>
      </c>
      <c r="J4945" t="s">
        <v>59</v>
      </c>
      <c r="K4945" t="s">
        <v>58</v>
      </c>
      <c r="L4945" s="12">
        <v>0.57638888888888884</v>
      </c>
      <c r="M4945" t="s">
        <v>51</v>
      </c>
      <c r="N4945" s="3">
        <v>78</v>
      </c>
      <c r="O4945" t="s">
        <v>24</v>
      </c>
      <c r="P4945" t="s">
        <v>56</v>
      </c>
      <c r="R4945">
        <f>tblDailySchedule[[#This Row],[Capacity Approx]]*'[1]Load Factor Sheet June Acft  '!$B$5</f>
        <v>63.162272727272729</v>
      </c>
      <c r="S4945">
        <f>tblDailySchedule[[#This Row],[Capacity Approx]]*'[1]Load Factor Sheet June Acft  '!$D$5</f>
        <v>68.391818181818181</v>
      </c>
      <c r="T4945" s="22">
        <f>tblDailySchedule[[#This Row],[STD]]</f>
        <v>0.57638888888888884</v>
      </c>
    </row>
    <row r="4946" spans="1:20" hidden="1" x14ac:dyDescent="0.35">
      <c r="A4946" s="11">
        <v>46288</v>
      </c>
      <c r="B4946" s="3">
        <v>3</v>
      </c>
      <c r="C4946" t="s">
        <v>113</v>
      </c>
      <c r="D4946" t="s">
        <v>18</v>
      </c>
      <c r="E4946" s="3">
        <v>14</v>
      </c>
      <c r="F4946" t="s">
        <v>19</v>
      </c>
      <c r="G4946" t="s">
        <v>60</v>
      </c>
      <c r="H4946" t="s">
        <v>61</v>
      </c>
      <c r="I4946" s="12">
        <v>0.59027777777777779</v>
      </c>
      <c r="J4946" t="s">
        <v>62</v>
      </c>
      <c r="K4946" t="s">
        <v>61</v>
      </c>
      <c r="L4946" s="12">
        <v>0.62152777777777779</v>
      </c>
      <c r="M4946" t="s">
        <v>63</v>
      </c>
      <c r="N4946" s="3">
        <v>232</v>
      </c>
      <c r="O4946" t="s">
        <v>24</v>
      </c>
      <c r="P4946" t="s">
        <v>56</v>
      </c>
      <c r="R4946">
        <f>tblDailySchedule[[#This Row],[Capacity Approx]]*'[1]Load Factor Sheet June Acft  '!$B$5</f>
        <v>187.86727272727273</v>
      </c>
      <c r="S4946">
        <f>tblDailySchedule[[#This Row],[Capacity Approx]]*'[1]Load Factor Sheet June Acft  '!$D$5</f>
        <v>203.4218181818182</v>
      </c>
      <c r="T4946" s="22">
        <f>tblDailySchedule[[#This Row],[STD]]</f>
        <v>0.62152777777777779</v>
      </c>
    </row>
    <row r="4947" spans="1:20" hidden="1" x14ac:dyDescent="0.35">
      <c r="A4947" s="11">
        <v>46288</v>
      </c>
      <c r="B4947" s="3">
        <v>3</v>
      </c>
      <c r="C4947" t="s">
        <v>113</v>
      </c>
      <c r="D4947" t="s">
        <v>18</v>
      </c>
      <c r="E4947" s="3">
        <v>15</v>
      </c>
      <c r="F4947" t="s">
        <v>19</v>
      </c>
      <c r="G4947" t="s">
        <v>64</v>
      </c>
      <c r="H4947" t="s">
        <v>31</v>
      </c>
      <c r="I4947" s="12">
        <v>0.60069444444444442</v>
      </c>
      <c r="J4947" t="s">
        <v>65</v>
      </c>
      <c r="K4947" t="s">
        <v>66</v>
      </c>
      <c r="L4947" s="12">
        <v>0.62847222222222221</v>
      </c>
      <c r="M4947" t="s">
        <v>63</v>
      </c>
      <c r="N4947" s="3">
        <v>232</v>
      </c>
      <c r="O4947" t="s">
        <v>24</v>
      </c>
      <c r="P4947" t="s">
        <v>56</v>
      </c>
      <c r="R4947">
        <f>tblDailySchedule[[#This Row],[Capacity Approx]]*'[1]Load Factor Sheet June Acft  '!$B$5</f>
        <v>187.86727272727273</v>
      </c>
      <c r="S4947">
        <f>tblDailySchedule[[#This Row],[Capacity Approx]]*'[1]Load Factor Sheet June Acft  '!$D$5</f>
        <v>203.4218181818182</v>
      </c>
      <c r="T4947" s="22">
        <f>tblDailySchedule[[#This Row],[STD]]</f>
        <v>0.62847222222222221</v>
      </c>
    </row>
    <row r="4948" spans="1:20" hidden="1" x14ac:dyDescent="0.35">
      <c r="A4948" s="11">
        <v>46288</v>
      </c>
      <c r="B4948" s="3">
        <v>3</v>
      </c>
      <c r="C4948" t="s">
        <v>113</v>
      </c>
      <c r="D4948" t="s">
        <v>18</v>
      </c>
      <c r="E4948" s="3">
        <v>16</v>
      </c>
      <c r="F4948" t="s">
        <v>19</v>
      </c>
      <c r="G4948" t="s">
        <v>67</v>
      </c>
      <c r="H4948" t="s">
        <v>31</v>
      </c>
      <c r="I4948" s="12">
        <v>0.65625</v>
      </c>
      <c r="J4948" t="s">
        <v>68</v>
      </c>
      <c r="K4948" t="s">
        <v>31</v>
      </c>
      <c r="L4948" s="12">
        <v>0.68402777777777779</v>
      </c>
      <c r="M4948" t="s">
        <v>63</v>
      </c>
      <c r="N4948" s="3">
        <v>232</v>
      </c>
      <c r="O4948" t="s">
        <v>24</v>
      </c>
      <c r="P4948" t="s">
        <v>56</v>
      </c>
      <c r="R4948">
        <f>tblDailySchedule[[#This Row],[Capacity Approx]]*'[1]Load Factor Sheet June Acft  '!$B$5</f>
        <v>187.86727272727273</v>
      </c>
      <c r="S4948">
        <f>tblDailySchedule[[#This Row],[Capacity Approx]]*'[1]Load Factor Sheet June Acft  '!$D$5</f>
        <v>203.4218181818182</v>
      </c>
      <c r="T4948" s="22">
        <f>tblDailySchedule[[#This Row],[STD]]</f>
        <v>0.68402777777777779</v>
      </c>
    </row>
    <row r="4949" spans="1:20" hidden="1" x14ac:dyDescent="0.35">
      <c r="A4949" s="11">
        <v>46288</v>
      </c>
      <c r="B4949" s="3">
        <v>3</v>
      </c>
      <c r="C4949" t="s">
        <v>113</v>
      </c>
      <c r="D4949" t="s">
        <v>18</v>
      </c>
      <c r="E4949" s="3">
        <v>17</v>
      </c>
      <c r="F4949" t="s">
        <v>19</v>
      </c>
      <c r="G4949" t="s">
        <v>69</v>
      </c>
      <c r="H4949" t="s">
        <v>31</v>
      </c>
      <c r="I4949" s="12">
        <v>0.66319444444444442</v>
      </c>
      <c r="J4949" t="s">
        <v>70</v>
      </c>
      <c r="K4949" t="s">
        <v>31</v>
      </c>
      <c r="L4949" s="12">
        <v>0.69097222222222221</v>
      </c>
      <c r="M4949" t="s">
        <v>33</v>
      </c>
      <c r="N4949" s="3">
        <v>189</v>
      </c>
      <c r="O4949" t="s">
        <v>24</v>
      </c>
      <c r="P4949" t="s">
        <v>56</v>
      </c>
      <c r="R4949">
        <f>tblDailySchedule[[#This Row],[Capacity Approx]]*'[1]Load Factor Sheet June Acft  '!$B$5</f>
        <v>153.04704545454547</v>
      </c>
      <c r="S4949">
        <f>tblDailySchedule[[#This Row],[Capacity Approx]]*'[1]Load Factor Sheet June Acft  '!$D$5</f>
        <v>165.71863636363636</v>
      </c>
      <c r="T4949" s="22">
        <f>tblDailySchedule[[#This Row],[STD]]</f>
        <v>0.69097222222222221</v>
      </c>
    </row>
    <row r="4950" spans="1:20" hidden="1" x14ac:dyDescent="0.35">
      <c r="A4950" s="11">
        <v>46288</v>
      </c>
      <c r="B4950" s="3">
        <v>3</v>
      </c>
      <c r="C4950" t="s">
        <v>113</v>
      </c>
      <c r="D4950" t="s">
        <v>18</v>
      </c>
      <c r="E4950" s="3">
        <v>18</v>
      </c>
      <c r="F4950" t="s">
        <v>19</v>
      </c>
      <c r="G4950" t="s">
        <v>71</v>
      </c>
      <c r="H4950" t="s">
        <v>21</v>
      </c>
      <c r="I4950" s="12">
        <v>0.67013888888888884</v>
      </c>
      <c r="J4950" t="s">
        <v>72</v>
      </c>
      <c r="K4950" t="s">
        <v>21</v>
      </c>
      <c r="L4950" s="12">
        <v>0.69791666666666663</v>
      </c>
      <c r="M4950" t="s">
        <v>63</v>
      </c>
      <c r="N4950" s="3">
        <v>232</v>
      </c>
      <c r="O4950" t="s">
        <v>24</v>
      </c>
      <c r="P4950" t="s">
        <v>56</v>
      </c>
      <c r="R4950">
        <f>tblDailySchedule[[#This Row],[Capacity Approx]]*'[1]Load Factor Sheet June Acft  '!$B$5</f>
        <v>187.86727272727273</v>
      </c>
      <c r="S4950">
        <f>tblDailySchedule[[#This Row],[Capacity Approx]]*'[1]Load Factor Sheet June Acft  '!$D$5</f>
        <v>203.4218181818182</v>
      </c>
      <c r="T4950" s="22">
        <f>tblDailySchedule[[#This Row],[STD]]</f>
        <v>0.69791666666666663</v>
      </c>
    </row>
    <row r="4951" spans="1:20" hidden="1" x14ac:dyDescent="0.35">
      <c r="A4951" s="11">
        <v>46288</v>
      </c>
      <c r="B4951" s="3">
        <v>3</v>
      </c>
      <c r="C4951" t="s">
        <v>113</v>
      </c>
      <c r="D4951" t="s">
        <v>18</v>
      </c>
      <c r="E4951" s="3">
        <v>19</v>
      </c>
      <c r="F4951" t="s">
        <v>19</v>
      </c>
      <c r="G4951" t="s">
        <v>73</v>
      </c>
      <c r="H4951" t="s">
        <v>27</v>
      </c>
      <c r="I4951" s="12">
        <v>0.74652777777777779</v>
      </c>
      <c r="J4951" t="s">
        <v>74</v>
      </c>
      <c r="K4951" t="s">
        <v>27</v>
      </c>
      <c r="L4951" s="12">
        <v>0.77430555555555558</v>
      </c>
      <c r="M4951" t="s">
        <v>63</v>
      </c>
      <c r="N4951" s="3">
        <v>232</v>
      </c>
      <c r="O4951" t="s">
        <v>24</v>
      </c>
      <c r="P4951" t="s">
        <v>56</v>
      </c>
      <c r="R4951">
        <f>tblDailySchedule[[#This Row],[Capacity Approx]]*'[1]Load Factor Sheet June Acft  '!$B$5</f>
        <v>187.86727272727273</v>
      </c>
      <c r="S4951">
        <f>tblDailySchedule[[#This Row],[Capacity Approx]]*'[1]Load Factor Sheet June Acft  '!$D$5</f>
        <v>203.4218181818182</v>
      </c>
      <c r="T4951" s="22">
        <f>tblDailySchedule[[#This Row],[STD]]</f>
        <v>0.77430555555555558</v>
      </c>
    </row>
    <row r="4952" spans="1:20" hidden="1" x14ac:dyDescent="0.35">
      <c r="A4952" s="11">
        <v>46288</v>
      </c>
      <c r="B4952" s="3">
        <v>3</v>
      </c>
      <c r="C4952" t="s">
        <v>113</v>
      </c>
      <c r="D4952" t="s">
        <v>18</v>
      </c>
      <c r="E4952" s="3">
        <v>20</v>
      </c>
      <c r="F4952" t="s">
        <v>34</v>
      </c>
      <c r="G4952" t="s">
        <v>75</v>
      </c>
      <c r="H4952" t="s">
        <v>76</v>
      </c>
      <c r="I4952" s="12">
        <v>0.76388888888888884</v>
      </c>
      <c r="J4952" t="s">
        <v>77</v>
      </c>
      <c r="K4952" t="s">
        <v>78</v>
      </c>
      <c r="L4952" s="12">
        <v>0.78472222222222221</v>
      </c>
      <c r="M4952" t="s">
        <v>51</v>
      </c>
      <c r="N4952" s="3">
        <v>78</v>
      </c>
      <c r="O4952" t="s">
        <v>24</v>
      </c>
      <c r="P4952" t="s">
        <v>79</v>
      </c>
      <c r="Q4952" s="16" t="s">
        <v>80</v>
      </c>
      <c r="R4952">
        <f>tblDailySchedule[[#This Row],[Capacity Approx]]*'[1]Load Factor Sheet June Acft  '!$B$5</f>
        <v>63.162272727272729</v>
      </c>
      <c r="S4952">
        <f>tblDailySchedule[[#This Row],[Capacity Approx]]*'[1]Load Factor Sheet June Acft  '!$D$5</f>
        <v>68.391818181818181</v>
      </c>
      <c r="T4952" s="22">
        <f>tblDailySchedule[[#This Row],[STD]]</f>
        <v>0.78472222222222221</v>
      </c>
    </row>
    <row r="4953" spans="1:20" hidden="1" x14ac:dyDescent="0.35">
      <c r="A4953" s="11">
        <v>46288</v>
      </c>
      <c r="B4953" s="3">
        <v>3</v>
      </c>
      <c r="C4953" t="s">
        <v>113</v>
      </c>
      <c r="D4953" t="s">
        <v>18</v>
      </c>
      <c r="E4953" s="3">
        <v>21</v>
      </c>
      <c r="F4953" t="s">
        <v>19</v>
      </c>
      <c r="G4953" t="s">
        <v>81</v>
      </c>
      <c r="H4953" t="s">
        <v>61</v>
      </c>
      <c r="I4953" s="12">
        <v>0.77083333333333337</v>
      </c>
      <c r="J4953" t="s">
        <v>82</v>
      </c>
      <c r="K4953" t="s">
        <v>49</v>
      </c>
      <c r="L4953" s="12">
        <v>0.79166666666666663</v>
      </c>
      <c r="M4953" t="s">
        <v>33</v>
      </c>
      <c r="N4953" s="3">
        <v>189</v>
      </c>
      <c r="O4953" t="s">
        <v>24</v>
      </c>
      <c r="P4953" t="s">
        <v>79</v>
      </c>
      <c r="R4953">
        <f>tblDailySchedule[[#This Row],[Capacity Approx]]*'[1]Load Factor Sheet June Acft  '!$B$5</f>
        <v>153.04704545454547</v>
      </c>
      <c r="S4953">
        <f>tblDailySchedule[[#This Row],[Capacity Approx]]*'[1]Load Factor Sheet June Acft  '!$D$5</f>
        <v>165.71863636363636</v>
      </c>
      <c r="T4953" s="22">
        <f>tblDailySchedule[[#This Row],[STD]]</f>
        <v>0.79166666666666663</v>
      </c>
    </row>
    <row r="4954" spans="1:20" hidden="1" x14ac:dyDescent="0.35">
      <c r="A4954" s="11">
        <v>46288</v>
      </c>
      <c r="B4954" s="3">
        <v>3</v>
      </c>
      <c r="C4954" t="s">
        <v>113</v>
      </c>
      <c r="D4954" t="s">
        <v>18</v>
      </c>
      <c r="E4954" s="3">
        <v>22</v>
      </c>
      <c r="F4954" t="s">
        <v>19</v>
      </c>
      <c r="G4954" t="s">
        <v>83</v>
      </c>
      <c r="H4954" t="s">
        <v>31</v>
      </c>
      <c r="I4954" s="12">
        <v>0.77777777777777779</v>
      </c>
      <c r="J4954" t="s">
        <v>84</v>
      </c>
      <c r="K4954" t="s">
        <v>31</v>
      </c>
      <c r="L4954" s="12">
        <v>0.80555555555555558</v>
      </c>
      <c r="M4954" t="s">
        <v>63</v>
      </c>
      <c r="N4954" s="3">
        <v>232</v>
      </c>
      <c r="O4954" t="s">
        <v>24</v>
      </c>
      <c r="P4954" t="s">
        <v>79</v>
      </c>
      <c r="R4954">
        <f>tblDailySchedule[[#This Row],[Capacity Approx]]*'[1]Load Factor Sheet June Acft  '!$B$5</f>
        <v>187.86727272727273</v>
      </c>
      <c r="S4954">
        <f>tblDailySchedule[[#This Row],[Capacity Approx]]*'[1]Load Factor Sheet June Acft  '!$D$5</f>
        <v>203.4218181818182</v>
      </c>
      <c r="T4954" s="22">
        <f>tblDailySchedule[[#This Row],[STD]]</f>
        <v>0.80555555555555558</v>
      </c>
    </row>
    <row r="4955" spans="1:20" hidden="1" x14ac:dyDescent="0.35">
      <c r="A4955" s="11">
        <v>46288</v>
      </c>
      <c r="B4955" s="3">
        <v>3</v>
      </c>
      <c r="C4955" t="s">
        <v>113</v>
      </c>
      <c r="D4955" t="s">
        <v>18</v>
      </c>
      <c r="E4955" s="3">
        <v>23</v>
      </c>
      <c r="F4955" t="s">
        <v>19</v>
      </c>
      <c r="G4955" t="s">
        <v>85</v>
      </c>
      <c r="H4955" t="s">
        <v>86</v>
      </c>
      <c r="I4955" s="12">
        <v>0.79861111111111116</v>
      </c>
      <c r="J4955" t="s">
        <v>87</v>
      </c>
      <c r="K4955" t="s">
        <v>86</v>
      </c>
      <c r="L4955" s="12">
        <v>0.82638888888888884</v>
      </c>
      <c r="M4955" t="s">
        <v>63</v>
      </c>
      <c r="N4955" s="3">
        <v>232</v>
      </c>
      <c r="O4955" t="s">
        <v>24</v>
      </c>
      <c r="P4955" t="s">
        <v>79</v>
      </c>
      <c r="R4955">
        <f>tblDailySchedule[[#This Row],[Capacity Approx]]*'[1]Load Factor Sheet June Acft  '!$B$5</f>
        <v>187.86727272727273</v>
      </c>
      <c r="S4955">
        <f>tblDailySchedule[[#This Row],[Capacity Approx]]*'[1]Load Factor Sheet June Acft  '!$D$5</f>
        <v>203.4218181818182</v>
      </c>
      <c r="T4955" s="22">
        <f>tblDailySchedule[[#This Row],[STD]]</f>
        <v>0.82638888888888884</v>
      </c>
    </row>
    <row r="4956" spans="1:20" hidden="1" x14ac:dyDescent="0.35">
      <c r="A4956" s="11">
        <v>46288</v>
      </c>
      <c r="B4956" s="3">
        <v>3</v>
      </c>
      <c r="C4956" t="s">
        <v>113</v>
      </c>
      <c r="D4956" t="s">
        <v>18</v>
      </c>
      <c r="E4956" s="3">
        <v>24</v>
      </c>
      <c r="F4956" t="s">
        <v>19</v>
      </c>
      <c r="G4956" t="s">
        <v>88</v>
      </c>
      <c r="H4956" t="s">
        <v>89</v>
      </c>
      <c r="I4956" s="12">
        <v>0.83333333333333337</v>
      </c>
      <c r="J4956" t="s">
        <v>90</v>
      </c>
      <c r="K4956" t="s">
        <v>31</v>
      </c>
      <c r="L4956" s="12">
        <v>0.86111111111111116</v>
      </c>
      <c r="M4956" t="s">
        <v>63</v>
      </c>
      <c r="N4956" s="3">
        <v>232</v>
      </c>
      <c r="O4956" t="s">
        <v>24</v>
      </c>
      <c r="P4956" t="s">
        <v>79</v>
      </c>
      <c r="R4956">
        <f>tblDailySchedule[[#This Row],[Capacity Approx]]*'[1]Load Factor Sheet June Acft  '!$B$5</f>
        <v>187.86727272727273</v>
      </c>
      <c r="S4956">
        <f>tblDailySchedule[[#This Row],[Capacity Approx]]*'[1]Load Factor Sheet June Acft  '!$D$5</f>
        <v>203.4218181818182</v>
      </c>
      <c r="T4956" s="22">
        <f>tblDailySchedule[[#This Row],[STD]]</f>
        <v>0.86111111111111116</v>
      </c>
    </row>
    <row r="4957" spans="1:20" hidden="1" x14ac:dyDescent="0.35">
      <c r="A4957" s="11">
        <v>46288</v>
      </c>
      <c r="B4957" s="3">
        <v>3</v>
      </c>
      <c r="C4957" t="s">
        <v>113</v>
      </c>
      <c r="D4957" t="s">
        <v>18</v>
      </c>
      <c r="E4957" s="3">
        <v>25</v>
      </c>
      <c r="F4957" t="s">
        <v>19</v>
      </c>
      <c r="G4957" t="s">
        <v>91</v>
      </c>
      <c r="H4957" t="s">
        <v>61</v>
      </c>
      <c r="I4957" s="12">
        <v>0.85416666666666663</v>
      </c>
      <c r="J4957" t="s">
        <v>92</v>
      </c>
      <c r="K4957" t="s">
        <v>61</v>
      </c>
      <c r="L4957" s="12">
        <v>0.88194444444444442</v>
      </c>
      <c r="M4957" t="s">
        <v>63</v>
      </c>
      <c r="N4957" s="3">
        <v>232</v>
      </c>
      <c r="O4957" t="s">
        <v>24</v>
      </c>
      <c r="P4957" t="s">
        <v>79</v>
      </c>
      <c r="R4957">
        <f>tblDailySchedule[[#This Row],[Capacity Approx]]*'[1]Load Factor Sheet June Acft  '!$B$5</f>
        <v>187.86727272727273</v>
      </c>
      <c r="S4957">
        <f>tblDailySchedule[[#This Row],[Capacity Approx]]*'[1]Load Factor Sheet June Acft  '!$D$5</f>
        <v>203.4218181818182</v>
      </c>
      <c r="T4957" s="22">
        <f>tblDailySchedule[[#This Row],[STD]]</f>
        <v>0.88194444444444442</v>
      </c>
    </row>
    <row r="4958" spans="1:20" hidden="1" x14ac:dyDescent="0.35">
      <c r="A4958" s="11">
        <v>46288</v>
      </c>
      <c r="B4958" s="3">
        <v>3</v>
      </c>
      <c r="C4958" t="s">
        <v>113</v>
      </c>
      <c r="D4958" t="s">
        <v>18</v>
      </c>
      <c r="E4958" s="3">
        <v>26</v>
      </c>
      <c r="F4958" t="s">
        <v>19</v>
      </c>
      <c r="G4958" t="s">
        <v>93</v>
      </c>
      <c r="H4958" t="s">
        <v>31</v>
      </c>
      <c r="I4958" s="12">
        <v>0.86111111111111116</v>
      </c>
      <c r="J4958" t="s">
        <v>94</v>
      </c>
      <c r="K4958" t="s">
        <v>31</v>
      </c>
      <c r="L4958" s="12">
        <v>0.88888888888888884</v>
      </c>
      <c r="M4958" t="s">
        <v>23</v>
      </c>
      <c r="N4958" s="3">
        <v>186</v>
      </c>
      <c r="O4958" t="s">
        <v>24</v>
      </c>
      <c r="P4958" t="s">
        <v>79</v>
      </c>
      <c r="R4958">
        <f>tblDailySchedule[[#This Row],[Capacity Approx]]*'[1]Load Factor Sheet June Acft  '!$B$5</f>
        <v>150.61772727272728</v>
      </c>
      <c r="S4958">
        <f>tblDailySchedule[[#This Row],[Capacity Approx]]*'[1]Load Factor Sheet June Acft  '!$D$5</f>
        <v>163.08818181818182</v>
      </c>
      <c r="T4958" s="22">
        <f>tblDailySchedule[[#This Row],[STD]]</f>
        <v>0.88888888888888884</v>
      </c>
    </row>
    <row r="4959" spans="1:20" hidden="1" x14ac:dyDescent="0.35">
      <c r="A4959" s="11">
        <v>46288</v>
      </c>
      <c r="B4959" s="3">
        <v>3</v>
      </c>
      <c r="C4959" t="s">
        <v>113</v>
      </c>
      <c r="D4959" t="s">
        <v>18</v>
      </c>
      <c r="E4959" s="3">
        <v>27</v>
      </c>
      <c r="F4959" t="s">
        <v>19</v>
      </c>
      <c r="G4959" t="s">
        <v>95</v>
      </c>
      <c r="H4959" t="s">
        <v>21</v>
      </c>
      <c r="I4959" s="12">
        <v>0.86805555555555558</v>
      </c>
      <c r="J4959" t="s">
        <v>96</v>
      </c>
      <c r="K4959" t="s">
        <v>21</v>
      </c>
      <c r="L4959" s="12">
        <v>0.89583333333333337</v>
      </c>
      <c r="M4959" t="s">
        <v>29</v>
      </c>
      <c r="N4959" s="3">
        <v>186</v>
      </c>
      <c r="O4959" t="s">
        <v>24</v>
      </c>
      <c r="P4959" t="s">
        <v>79</v>
      </c>
      <c r="R4959">
        <f>tblDailySchedule[[#This Row],[Capacity Approx]]*'[1]Load Factor Sheet June Acft  '!$B$5</f>
        <v>150.61772727272728</v>
      </c>
      <c r="S4959">
        <f>tblDailySchedule[[#This Row],[Capacity Approx]]*'[1]Load Factor Sheet June Acft  '!$D$5</f>
        <v>163.08818181818182</v>
      </c>
      <c r="T4959" s="22">
        <f>tblDailySchedule[[#This Row],[STD]]</f>
        <v>0.89583333333333337</v>
      </c>
    </row>
    <row r="4960" spans="1:20" hidden="1" x14ac:dyDescent="0.35">
      <c r="A4960" s="11">
        <v>46288</v>
      </c>
      <c r="B4960" s="3">
        <v>3</v>
      </c>
      <c r="C4960" t="s">
        <v>113</v>
      </c>
      <c r="D4960" t="s">
        <v>18</v>
      </c>
      <c r="E4960" s="3">
        <v>28</v>
      </c>
      <c r="F4960" t="s">
        <v>19</v>
      </c>
      <c r="G4960" t="s">
        <v>97</v>
      </c>
      <c r="H4960" t="s">
        <v>49</v>
      </c>
      <c r="I4960" s="12">
        <v>0.90277777777777779</v>
      </c>
      <c r="J4960" t="s">
        <v>97</v>
      </c>
      <c r="K4960" t="s">
        <v>61</v>
      </c>
      <c r="L4960" s="12">
        <v>0.92361111111111116</v>
      </c>
      <c r="M4960" t="s">
        <v>33</v>
      </c>
      <c r="N4960" s="3">
        <v>189</v>
      </c>
      <c r="O4960" t="s">
        <v>24</v>
      </c>
      <c r="P4960" t="s">
        <v>79</v>
      </c>
      <c r="R4960">
        <f>tblDailySchedule[[#This Row],[Capacity Approx]]*'[1]Load Factor Sheet June Acft  '!$B$5</f>
        <v>153.04704545454547</v>
      </c>
      <c r="S4960">
        <f>tblDailySchedule[[#This Row],[Capacity Approx]]*'[1]Load Factor Sheet June Acft  '!$D$5</f>
        <v>165.71863636363636</v>
      </c>
      <c r="T4960" s="22">
        <f>tblDailySchedule[[#This Row],[STD]]</f>
        <v>0.92361111111111116</v>
      </c>
    </row>
    <row r="4961" spans="1:20" hidden="1" x14ac:dyDescent="0.35">
      <c r="A4961" s="11">
        <v>46288</v>
      </c>
      <c r="B4961" s="3">
        <v>3</v>
      </c>
      <c r="C4961" t="s">
        <v>113</v>
      </c>
      <c r="D4961" t="s">
        <v>18</v>
      </c>
      <c r="E4961" s="3">
        <v>29</v>
      </c>
      <c r="F4961" t="s">
        <v>19</v>
      </c>
      <c r="G4961" t="s">
        <v>98</v>
      </c>
      <c r="H4961" t="s">
        <v>21</v>
      </c>
      <c r="I4961" s="12">
        <v>0.92013888888888884</v>
      </c>
      <c r="J4961" t="s">
        <v>99</v>
      </c>
      <c r="K4961" t="s">
        <v>21</v>
      </c>
      <c r="L4961" s="12">
        <v>0.94791666666666663</v>
      </c>
      <c r="M4961" t="s">
        <v>63</v>
      </c>
      <c r="N4961" s="3">
        <v>232</v>
      </c>
      <c r="O4961" t="s">
        <v>24</v>
      </c>
      <c r="P4961" t="s">
        <v>79</v>
      </c>
      <c r="R4961">
        <f>tblDailySchedule[[#This Row],[Capacity Approx]]*'[1]Load Factor Sheet June Acft  '!$B$5</f>
        <v>187.86727272727273</v>
      </c>
      <c r="S4961">
        <f>tblDailySchedule[[#This Row],[Capacity Approx]]*'[1]Load Factor Sheet June Acft  '!$D$5</f>
        <v>203.4218181818182</v>
      </c>
      <c r="T4961" s="22">
        <f>tblDailySchedule[[#This Row],[STD]]</f>
        <v>0.94791666666666663</v>
      </c>
    </row>
    <row r="4962" spans="1:20" hidden="1" x14ac:dyDescent="0.35">
      <c r="A4962" s="13">
        <v>46288</v>
      </c>
      <c r="B4962" s="7">
        <v>3</v>
      </c>
      <c r="C4962" s="14" t="s">
        <v>113</v>
      </c>
      <c r="D4962" s="14" t="s">
        <v>18</v>
      </c>
      <c r="E4962" s="7">
        <v>30</v>
      </c>
      <c r="F4962" s="14" t="s">
        <v>104</v>
      </c>
      <c r="G4962" s="14" t="s">
        <v>105</v>
      </c>
      <c r="H4962" s="14" t="s">
        <v>106</v>
      </c>
      <c r="I4962" s="15">
        <v>0.92708333333333337</v>
      </c>
      <c r="J4962" s="14" t="s">
        <v>107</v>
      </c>
      <c r="K4962" s="14" t="s">
        <v>106</v>
      </c>
      <c r="L4962" s="15">
        <v>0.95833333333333337</v>
      </c>
      <c r="M4962" s="14" t="s">
        <v>38</v>
      </c>
      <c r="N4962" s="7">
        <v>186</v>
      </c>
      <c r="O4962" s="14" t="s">
        <v>39</v>
      </c>
      <c r="P4962" s="14" t="s">
        <v>79</v>
      </c>
      <c r="Q4962" s="14" t="s">
        <v>39</v>
      </c>
      <c r="R4962">
        <f>tblDailySchedule[[#This Row],[Capacity Approx]]*'[1]Load Factor Sheet June Acft  '!$B$5</f>
        <v>150.61772727272728</v>
      </c>
      <c r="S4962">
        <f>tblDailySchedule[[#This Row],[Capacity Approx]]*'[1]Load Factor Sheet June Acft  '!$D$5</f>
        <v>163.08818181818182</v>
      </c>
      <c r="T4962" s="22">
        <f>tblDailySchedule[[#This Row],[STD]]</f>
        <v>0.95833333333333337</v>
      </c>
    </row>
    <row r="4963" spans="1:20" hidden="1" x14ac:dyDescent="0.35">
      <c r="A4963" s="11">
        <v>46289</v>
      </c>
      <c r="B4963" s="3">
        <v>4</v>
      </c>
      <c r="C4963" t="s">
        <v>114</v>
      </c>
      <c r="D4963" t="s">
        <v>18</v>
      </c>
      <c r="E4963" s="3">
        <v>1</v>
      </c>
      <c r="F4963" t="s">
        <v>101</v>
      </c>
      <c r="G4963" t="s">
        <v>102</v>
      </c>
      <c r="H4963" t="s">
        <v>61</v>
      </c>
      <c r="I4963" s="12">
        <v>0.3125</v>
      </c>
      <c r="J4963" t="s">
        <v>103</v>
      </c>
      <c r="K4963" t="s">
        <v>61</v>
      </c>
      <c r="L4963" s="12">
        <v>0.33333333333333331</v>
      </c>
      <c r="M4963" t="s">
        <v>33</v>
      </c>
      <c r="N4963" s="3">
        <v>189</v>
      </c>
      <c r="O4963" t="s">
        <v>24</v>
      </c>
      <c r="P4963" t="s">
        <v>25</v>
      </c>
      <c r="R4963">
        <f>tblDailySchedule[[#This Row],[Capacity Approx]]*'[1]Load Factor Sheet June Acft  '!$B$5</f>
        <v>153.04704545454547</v>
      </c>
      <c r="S4963">
        <f>tblDailySchedule[[#This Row],[Capacity Approx]]*'[1]Load Factor Sheet June Acft  '!$D$5</f>
        <v>165.71863636363636</v>
      </c>
      <c r="T4963" s="22">
        <f>tblDailySchedule[[#This Row],[STD]]</f>
        <v>0.33333333333333331</v>
      </c>
    </row>
    <row r="4964" spans="1:20" hidden="1" x14ac:dyDescent="0.35">
      <c r="A4964" s="11">
        <v>46289</v>
      </c>
      <c r="B4964" s="3">
        <v>4</v>
      </c>
      <c r="C4964" t="s">
        <v>114</v>
      </c>
      <c r="D4964" t="s">
        <v>18</v>
      </c>
      <c r="E4964" s="3">
        <v>2</v>
      </c>
      <c r="F4964" t="s">
        <v>19</v>
      </c>
      <c r="G4964" t="s">
        <v>20</v>
      </c>
      <c r="H4964" t="s">
        <v>21</v>
      </c>
      <c r="I4964" s="12">
        <v>0.31944444444444442</v>
      </c>
      <c r="J4964" t="s">
        <v>22</v>
      </c>
      <c r="K4964" t="s">
        <v>21</v>
      </c>
      <c r="L4964" s="12">
        <v>0.34722222222222221</v>
      </c>
      <c r="M4964" t="s">
        <v>23</v>
      </c>
      <c r="N4964" s="3">
        <v>186</v>
      </c>
      <c r="O4964" t="s">
        <v>24</v>
      </c>
      <c r="P4964" t="s">
        <v>25</v>
      </c>
      <c r="R4964">
        <f>tblDailySchedule[[#This Row],[Capacity Approx]]*'[1]Load Factor Sheet June Acft  '!$B$5</f>
        <v>150.61772727272728</v>
      </c>
      <c r="S4964">
        <f>tblDailySchedule[[#This Row],[Capacity Approx]]*'[1]Load Factor Sheet June Acft  '!$D$5</f>
        <v>163.08818181818182</v>
      </c>
      <c r="T4964" s="22">
        <f>tblDailySchedule[[#This Row],[STD]]</f>
        <v>0.34722222222222221</v>
      </c>
    </row>
    <row r="4965" spans="1:20" hidden="1" x14ac:dyDescent="0.35">
      <c r="A4965" s="11">
        <v>46289</v>
      </c>
      <c r="B4965" s="3">
        <v>4</v>
      </c>
      <c r="C4965" t="s">
        <v>114</v>
      </c>
      <c r="D4965" t="s">
        <v>18</v>
      </c>
      <c r="E4965" s="3">
        <v>3</v>
      </c>
      <c r="F4965" t="s">
        <v>19</v>
      </c>
      <c r="G4965" t="s">
        <v>26</v>
      </c>
      <c r="H4965" t="s">
        <v>27</v>
      </c>
      <c r="I4965" s="12">
        <v>0.3263888888888889</v>
      </c>
      <c r="J4965" t="s">
        <v>28</v>
      </c>
      <c r="K4965" t="s">
        <v>27</v>
      </c>
      <c r="L4965" s="12">
        <v>0.35416666666666669</v>
      </c>
      <c r="M4965" t="s">
        <v>29</v>
      </c>
      <c r="N4965" s="3">
        <v>186</v>
      </c>
      <c r="O4965" t="s">
        <v>24</v>
      </c>
      <c r="P4965" t="s">
        <v>25</v>
      </c>
      <c r="R4965">
        <f>tblDailySchedule[[#This Row],[Capacity Approx]]*'[1]Load Factor Sheet June Acft  '!$B$5</f>
        <v>150.61772727272728</v>
      </c>
      <c r="S4965">
        <f>tblDailySchedule[[#This Row],[Capacity Approx]]*'[1]Load Factor Sheet June Acft  '!$D$5</f>
        <v>163.08818181818182</v>
      </c>
      <c r="T4965" s="22">
        <f>tblDailySchedule[[#This Row],[STD]]</f>
        <v>0.35416666666666669</v>
      </c>
    </row>
    <row r="4966" spans="1:20" hidden="1" x14ac:dyDescent="0.35">
      <c r="A4966" s="11">
        <v>46289</v>
      </c>
      <c r="B4966" s="3">
        <v>4</v>
      </c>
      <c r="C4966" t="s">
        <v>114</v>
      </c>
      <c r="D4966" t="s">
        <v>18</v>
      </c>
      <c r="E4966" s="3">
        <v>4</v>
      </c>
      <c r="F4966" t="s">
        <v>19</v>
      </c>
      <c r="G4966" t="s">
        <v>30</v>
      </c>
      <c r="H4966" t="s">
        <v>31</v>
      </c>
      <c r="I4966" s="12">
        <v>0.34722222222222221</v>
      </c>
      <c r="J4966" t="s">
        <v>32</v>
      </c>
      <c r="K4966" t="s">
        <v>31</v>
      </c>
      <c r="L4966" s="12">
        <v>0.36805555555555558</v>
      </c>
      <c r="M4966" t="s">
        <v>33</v>
      </c>
      <c r="N4966" s="3">
        <v>189</v>
      </c>
      <c r="O4966" t="s">
        <v>24</v>
      </c>
      <c r="P4966" t="s">
        <v>25</v>
      </c>
      <c r="R4966">
        <f>tblDailySchedule[[#This Row],[Capacity Approx]]*'[1]Load Factor Sheet June Acft  '!$B$5</f>
        <v>153.04704545454547</v>
      </c>
      <c r="S4966">
        <f>tblDailySchedule[[#This Row],[Capacity Approx]]*'[1]Load Factor Sheet June Acft  '!$D$5</f>
        <v>165.71863636363636</v>
      </c>
      <c r="T4966" s="22">
        <f>tblDailySchedule[[#This Row],[STD]]</f>
        <v>0.36805555555555558</v>
      </c>
    </row>
    <row r="4967" spans="1:20" hidden="1" x14ac:dyDescent="0.35">
      <c r="A4967" s="11">
        <v>46289</v>
      </c>
      <c r="B4967" s="3">
        <v>4</v>
      </c>
      <c r="C4967" t="s">
        <v>114</v>
      </c>
      <c r="D4967" t="s">
        <v>18</v>
      </c>
      <c r="E4967" s="3">
        <v>5</v>
      </c>
      <c r="F4967" t="s">
        <v>19</v>
      </c>
      <c r="G4967" t="s">
        <v>40</v>
      </c>
      <c r="H4967" t="s">
        <v>31</v>
      </c>
      <c r="I4967" s="12">
        <v>0.35069444444444442</v>
      </c>
      <c r="J4967" t="s">
        <v>41</v>
      </c>
      <c r="K4967" t="s">
        <v>31</v>
      </c>
      <c r="L4967" s="12">
        <v>0.37152777777777779</v>
      </c>
      <c r="M4967" t="s">
        <v>23</v>
      </c>
      <c r="N4967" s="3">
        <v>186</v>
      </c>
      <c r="O4967" t="s">
        <v>24</v>
      </c>
      <c r="P4967" t="s">
        <v>25</v>
      </c>
      <c r="R4967">
        <f>tblDailySchedule[[#This Row],[Capacity Approx]]*'[1]Load Factor Sheet June Acft  '!$B$5</f>
        <v>150.61772727272728</v>
      </c>
      <c r="S4967">
        <f>tblDailySchedule[[#This Row],[Capacity Approx]]*'[1]Load Factor Sheet June Acft  '!$D$5</f>
        <v>163.08818181818182</v>
      </c>
      <c r="T4967" s="22">
        <f>tblDailySchedule[[#This Row],[STD]]</f>
        <v>0.37152777777777779</v>
      </c>
    </row>
    <row r="4968" spans="1:20" hidden="1" x14ac:dyDescent="0.35">
      <c r="A4968" s="11">
        <v>46289</v>
      </c>
      <c r="B4968" s="3">
        <v>4</v>
      </c>
      <c r="C4968" t="s">
        <v>114</v>
      </c>
      <c r="D4968" t="s">
        <v>18</v>
      </c>
      <c r="E4968" s="3">
        <v>7</v>
      </c>
      <c r="F4968" t="s">
        <v>19</v>
      </c>
      <c r="G4968" t="s">
        <v>42</v>
      </c>
      <c r="H4968" t="s">
        <v>43</v>
      </c>
      <c r="I4968" s="12">
        <v>0.3923611111111111</v>
      </c>
      <c r="J4968" t="s">
        <v>44</v>
      </c>
      <c r="K4968" t="s">
        <v>43</v>
      </c>
      <c r="L4968" s="12">
        <v>0.40277777777777779</v>
      </c>
      <c r="M4968" t="s">
        <v>45</v>
      </c>
      <c r="N4968" s="3">
        <v>9</v>
      </c>
      <c r="O4968" t="s">
        <v>24</v>
      </c>
      <c r="P4968" t="s">
        <v>25</v>
      </c>
      <c r="R4968">
        <f>tblDailySchedule[[#This Row],[Capacity Approx]]*'[1]Load Factor Sheet June Acft  '!$B$5</f>
        <v>7.2879545454545456</v>
      </c>
      <c r="S4968">
        <f>tblDailySchedule[[#This Row],[Capacity Approx]]*'[1]Load Factor Sheet June Acft  '!$D$5</f>
        <v>7.8913636363636366</v>
      </c>
      <c r="T4968" s="22">
        <f>tblDailySchedule[[#This Row],[STD]]</f>
        <v>0.40277777777777779</v>
      </c>
    </row>
    <row r="4969" spans="1:20" hidden="1" x14ac:dyDescent="0.35">
      <c r="A4969" s="11">
        <v>46289</v>
      </c>
      <c r="B4969" s="3">
        <v>4</v>
      </c>
      <c r="C4969" t="s">
        <v>114</v>
      </c>
      <c r="D4969" t="s">
        <v>18</v>
      </c>
      <c r="E4969" s="3">
        <v>8</v>
      </c>
      <c r="F4969" t="s">
        <v>19</v>
      </c>
      <c r="G4969" t="s">
        <v>46</v>
      </c>
      <c r="H4969" t="s">
        <v>31</v>
      </c>
      <c r="I4969" s="12">
        <v>0.4201388888888889</v>
      </c>
      <c r="J4969" t="s">
        <v>47</v>
      </c>
      <c r="K4969" t="s">
        <v>31</v>
      </c>
      <c r="L4969" s="12">
        <v>0.44444444444444442</v>
      </c>
      <c r="M4969" t="s">
        <v>29</v>
      </c>
      <c r="N4969" s="3">
        <v>186</v>
      </c>
      <c r="O4969" t="s">
        <v>24</v>
      </c>
      <c r="P4969" t="s">
        <v>25</v>
      </c>
      <c r="R4969">
        <f>tblDailySchedule[[#This Row],[Capacity Approx]]*'[1]Load Factor Sheet June Acft  '!$B$5</f>
        <v>150.61772727272728</v>
      </c>
      <c r="S4969">
        <f>tblDailySchedule[[#This Row],[Capacity Approx]]*'[1]Load Factor Sheet June Acft  '!$D$5</f>
        <v>163.08818181818182</v>
      </c>
      <c r="T4969" s="22">
        <f>tblDailySchedule[[#This Row],[STD]]</f>
        <v>0.44444444444444442</v>
      </c>
    </row>
    <row r="4970" spans="1:20" hidden="1" x14ac:dyDescent="0.35">
      <c r="A4970" s="11">
        <v>46289</v>
      </c>
      <c r="B4970" s="3">
        <v>4</v>
      </c>
      <c r="C4970" t="s">
        <v>114</v>
      </c>
      <c r="D4970" t="s">
        <v>18</v>
      </c>
      <c r="E4970" s="3">
        <v>9</v>
      </c>
      <c r="F4970" t="s">
        <v>19</v>
      </c>
      <c r="G4970" t="s">
        <v>48</v>
      </c>
      <c r="H4970" t="s">
        <v>49</v>
      </c>
      <c r="I4970" s="12">
        <v>0.4375</v>
      </c>
      <c r="J4970" t="s">
        <v>50</v>
      </c>
      <c r="K4970" t="s">
        <v>49</v>
      </c>
      <c r="L4970" s="12">
        <v>0.45833333333333331</v>
      </c>
      <c r="M4970" t="s">
        <v>51</v>
      </c>
      <c r="N4970" s="3">
        <v>78</v>
      </c>
      <c r="O4970" t="s">
        <v>24</v>
      </c>
      <c r="P4970" t="s">
        <v>25</v>
      </c>
      <c r="R4970">
        <f>tblDailySchedule[[#This Row],[Capacity Approx]]*'[1]Load Factor Sheet June Acft  '!$B$5</f>
        <v>63.162272727272729</v>
      </c>
      <c r="S4970">
        <f>tblDailySchedule[[#This Row],[Capacity Approx]]*'[1]Load Factor Sheet June Acft  '!$D$5</f>
        <v>68.391818181818181</v>
      </c>
      <c r="T4970" s="22">
        <f>tblDailySchedule[[#This Row],[STD]]</f>
        <v>0.45833333333333331</v>
      </c>
    </row>
    <row r="4971" spans="1:20" hidden="1" x14ac:dyDescent="0.35">
      <c r="A4971" s="11">
        <v>46289</v>
      </c>
      <c r="B4971" s="3">
        <v>4</v>
      </c>
      <c r="C4971" t="s">
        <v>114</v>
      </c>
      <c r="D4971" t="s">
        <v>18</v>
      </c>
      <c r="E4971" s="3">
        <v>10</v>
      </c>
      <c r="F4971" t="s">
        <v>19</v>
      </c>
      <c r="G4971" t="s">
        <v>52</v>
      </c>
      <c r="H4971" t="s">
        <v>27</v>
      </c>
      <c r="I4971" s="12">
        <v>0.4826388888888889</v>
      </c>
      <c r="J4971" t="s">
        <v>53</v>
      </c>
      <c r="K4971" t="s">
        <v>27</v>
      </c>
      <c r="L4971" s="12">
        <v>0.51041666666666663</v>
      </c>
      <c r="M4971" t="s">
        <v>23</v>
      </c>
      <c r="N4971" s="3">
        <v>186</v>
      </c>
      <c r="O4971" t="s">
        <v>24</v>
      </c>
      <c r="P4971" t="s">
        <v>25</v>
      </c>
      <c r="R4971">
        <f>tblDailySchedule[[#This Row],[Capacity Approx]]*'[1]Load Factor Sheet June Acft  '!$B$5</f>
        <v>150.61772727272728</v>
      </c>
      <c r="S4971">
        <f>tblDailySchedule[[#This Row],[Capacity Approx]]*'[1]Load Factor Sheet June Acft  '!$D$5</f>
        <v>163.08818181818182</v>
      </c>
      <c r="T4971" s="22">
        <f>tblDailySchedule[[#This Row],[STD]]</f>
        <v>0.51041666666666663</v>
      </c>
    </row>
    <row r="4972" spans="1:20" hidden="1" x14ac:dyDescent="0.35">
      <c r="A4972" s="11">
        <v>46289</v>
      </c>
      <c r="B4972" s="3">
        <v>4</v>
      </c>
      <c r="C4972" t="s">
        <v>114</v>
      </c>
      <c r="D4972" t="s">
        <v>18</v>
      </c>
      <c r="E4972" s="3">
        <v>11</v>
      </c>
      <c r="F4972" t="s">
        <v>19</v>
      </c>
      <c r="G4972" t="s">
        <v>54</v>
      </c>
      <c r="H4972" t="s">
        <v>31</v>
      </c>
      <c r="I4972" s="12">
        <v>0.51388888888888884</v>
      </c>
      <c r="J4972" t="s">
        <v>55</v>
      </c>
      <c r="K4972" t="s">
        <v>31</v>
      </c>
      <c r="L4972" s="12">
        <v>0.54166666666666663</v>
      </c>
      <c r="M4972" t="s">
        <v>23</v>
      </c>
      <c r="N4972" s="3">
        <v>186</v>
      </c>
      <c r="O4972" t="s">
        <v>24</v>
      </c>
      <c r="P4972" t="s">
        <v>56</v>
      </c>
      <c r="R4972">
        <f>tblDailySchedule[[#This Row],[Capacity Approx]]*'[1]Load Factor Sheet June Acft  '!$B$5</f>
        <v>150.61772727272728</v>
      </c>
      <c r="S4972">
        <f>tblDailySchedule[[#This Row],[Capacity Approx]]*'[1]Load Factor Sheet June Acft  '!$D$5</f>
        <v>163.08818181818182</v>
      </c>
      <c r="T4972" s="22">
        <f>tblDailySchedule[[#This Row],[STD]]</f>
        <v>0.54166666666666663</v>
      </c>
    </row>
    <row r="4973" spans="1:20" hidden="1" x14ac:dyDescent="0.35">
      <c r="A4973" s="11">
        <v>46289</v>
      </c>
      <c r="B4973" s="3">
        <v>4</v>
      </c>
      <c r="C4973" t="s">
        <v>114</v>
      </c>
      <c r="D4973" t="s">
        <v>18</v>
      </c>
      <c r="E4973" s="3">
        <v>12</v>
      </c>
      <c r="F4973" t="s">
        <v>109</v>
      </c>
      <c r="G4973" t="s">
        <v>110</v>
      </c>
      <c r="H4973" t="s">
        <v>111</v>
      </c>
      <c r="I4973" s="12">
        <v>0.55555555555555558</v>
      </c>
      <c r="J4973" t="s">
        <v>112</v>
      </c>
      <c r="K4973" t="s">
        <v>111</v>
      </c>
      <c r="L4973" s="12">
        <v>0.56944444444444442</v>
      </c>
      <c r="M4973" t="s">
        <v>51</v>
      </c>
      <c r="N4973" s="3">
        <v>78</v>
      </c>
      <c r="O4973" t="s">
        <v>24</v>
      </c>
      <c r="P4973" t="s">
        <v>56</v>
      </c>
      <c r="R4973">
        <f>tblDailySchedule[[#This Row],[Capacity Approx]]*'[1]Load Factor Sheet June Acft  '!$B$5</f>
        <v>63.162272727272729</v>
      </c>
      <c r="S4973">
        <f>tblDailySchedule[[#This Row],[Capacity Approx]]*'[1]Load Factor Sheet June Acft  '!$D$5</f>
        <v>68.391818181818181</v>
      </c>
      <c r="T4973" s="22">
        <f>tblDailySchedule[[#This Row],[STD]]</f>
        <v>0.56944444444444442</v>
      </c>
    </row>
    <row r="4974" spans="1:20" hidden="1" x14ac:dyDescent="0.35">
      <c r="A4974" s="11">
        <v>46289</v>
      </c>
      <c r="B4974" s="3">
        <v>4</v>
      </c>
      <c r="C4974" t="s">
        <v>114</v>
      </c>
      <c r="D4974" t="s">
        <v>18</v>
      </c>
      <c r="E4974" s="3">
        <v>13</v>
      </c>
      <c r="F4974" t="s">
        <v>19</v>
      </c>
      <c r="G4974" t="s">
        <v>57</v>
      </c>
      <c r="H4974" t="s">
        <v>58</v>
      </c>
      <c r="I4974" s="12">
        <v>0.55902777777777779</v>
      </c>
      <c r="J4974" t="s">
        <v>59</v>
      </c>
      <c r="K4974" t="s">
        <v>58</v>
      </c>
      <c r="L4974" s="12">
        <v>0.57638888888888884</v>
      </c>
      <c r="M4974" t="s">
        <v>51</v>
      </c>
      <c r="N4974" s="3">
        <v>78</v>
      </c>
      <c r="O4974" t="s">
        <v>24</v>
      </c>
      <c r="P4974" t="s">
        <v>56</v>
      </c>
      <c r="R4974">
        <f>tblDailySchedule[[#This Row],[Capacity Approx]]*'[1]Load Factor Sheet June Acft  '!$B$5</f>
        <v>63.162272727272729</v>
      </c>
      <c r="S4974">
        <f>tblDailySchedule[[#This Row],[Capacity Approx]]*'[1]Load Factor Sheet June Acft  '!$D$5</f>
        <v>68.391818181818181</v>
      </c>
      <c r="T4974" s="22">
        <f>tblDailySchedule[[#This Row],[STD]]</f>
        <v>0.57638888888888884</v>
      </c>
    </row>
    <row r="4975" spans="1:20" hidden="1" x14ac:dyDescent="0.35">
      <c r="A4975" s="11">
        <v>46289</v>
      </c>
      <c r="B4975" s="3">
        <v>4</v>
      </c>
      <c r="C4975" t="s">
        <v>114</v>
      </c>
      <c r="D4975" t="s">
        <v>18</v>
      </c>
      <c r="E4975" s="3">
        <v>14</v>
      </c>
      <c r="F4975" t="s">
        <v>19</v>
      </c>
      <c r="G4975" t="s">
        <v>60</v>
      </c>
      <c r="H4975" t="s">
        <v>61</v>
      </c>
      <c r="I4975" s="12">
        <v>0.59027777777777779</v>
      </c>
      <c r="J4975" t="s">
        <v>62</v>
      </c>
      <c r="K4975" t="s">
        <v>61</v>
      </c>
      <c r="L4975" s="12">
        <v>0.62152777777777779</v>
      </c>
      <c r="M4975" t="s">
        <v>63</v>
      </c>
      <c r="N4975" s="3">
        <v>232</v>
      </c>
      <c r="O4975" t="s">
        <v>24</v>
      </c>
      <c r="P4975" t="s">
        <v>56</v>
      </c>
      <c r="R4975">
        <f>tblDailySchedule[[#This Row],[Capacity Approx]]*'[1]Load Factor Sheet June Acft  '!$B$5</f>
        <v>187.86727272727273</v>
      </c>
      <c r="S4975">
        <f>tblDailySchedule[[#This Row],[Capacity Approx]]*'[1]Load Factor Sheet June Acft  '!$D$5</f>
        <v>203.4218181818182</v>
      </c>
      <c r="T4975" s="22">
        <f>tblDailySchedule[[#This Row],[STD]]</f>
        <v>0.62152777777777779</v>
      </c>
    </row>
    <row r="4976" spans="1:20" hidden="1" x14ac:dyDescent="0.35">
      <c r="A4976" s="11">
        <v>46289</v>
      </c>
      <c r="B4976" s="3">
        <v>4</v>
      </c>
      <c r="C4976" t="s">
        <v>114</v>
      </c>
      <c r="D4976" t="s">
        <v>18</v>
      </c>
      <c r="E4976" s="3">
        <v>15</v>
      </c>
      <c r="F4976" t="s">
        <v>19</v>
      </c>
      <c r="G4976" t="s">
        <v>64</v>
      </c>
      <c r="H4976" t="s">
        <v>31</v>
      </c>
      <c r="I4976" s="12">
        <v>0.60069444444444442</v>
      </c>
      <c r="J4976" t="s">
        <v>65</v>
      </c>
      <c r="K4976" t="s">
        <v>66</v>
      </c>
      <c r="L4976" s="12">
        <v>0.62847222222222221</v>
      </c>
      <c r="M4976" t="s">
        <v>63</v>
      </c>
      <c r="N4976" s="3">
        <v>232</v>
      </c>
      <c r="O4976" t="s">
        <v>24</v>
      </c>
      <c r="P4976" t="s">
        <v>56</v>
      </c>
      <c r="R4976">
        <f>tblDailySchedule[[#This Row],[Capacity Approx]]*'[1]Load Factor Sheet June Acft  '!$B$5</f>
        <v>187.86727272727273</v>
      </c>
      <c r="S4976">
        <f>tblDailySchedule[[#This Row],[Capacity Approx]]*'[1]Load Factor Sheet June Acft  '!$D$5</f>
        <v>203.4218181818182</v>
      </c>
      <c r="T4976" s="22">
        <f>tblDailySchedule[[#This Row],[STD]]</f>
        <v>0.62847222222222221</v>
      </c>
    </row>
    <row r="4977" spans="1:20" hidden="1" x14ac:dyDescent="0.35">
      <c r="A4977" s="11">
        <v>46289</v>
      </c>
      <c r="B4977" s="3">
        <v>4</v>
      </c>
      <c r="C4977" t="s">
        <v>114</v>
      </c>
      <c r="D4977" t="s">
        <v>18</v>
      </c>
      <c r="E4977" s="3">
        <v>16</v>
      </c>
      <c r="F4977" t="s">
        <v>19</v>
      </c>
      <c r="G4977" t="s">
        <v>67</v>
      </c>
      <c r="H4977" t="s">
        <v>31</v>
      </c>
      <c r="I4977" s="12">
        <v>0.65625</v>
      </c>
      <c r="J4977" t="s">
        <v>68</v>
      </c>
      <c r="K4977" t="s">
        <v>31</v>
      </c>
      <c r="L4977" s="12">
        <v>0.68402777777777779</v>
      </c>
      <c r="M4977" t="s">
        <v>63</v>
      </c>
      <c r="N4977" s="3">
        <v>232</v>
      </c>
      <c r="O4977" t="s">
        <v>24</v>
      </c>
      <c r="P4977" t="s">
        <v>56</v>
      </c>
      <c r="R4977">
        <f>tblDailySchedule[[#This Row],[Capacity Approx]]*'[1]Load Factor Sheet June Acft  '!$B$5</f>
        <v>187.86727272727273</v>
      </c>
      <c r="S4977">
        <f>tblDailySchedule[[#This Row],[Capacity Approx]]*'[1]Load Factor Sheet June Acft  '!$D$5</f>
        <v>203.4218181818182</v>
      </c>
      <c r="T4977" s="22">
        <f>tblDailySchedule[[#This Row],[STD]]</f>
        <v>0.68402777777777779</v>
      </c>
    </row>
    <row r="4978" spans="1:20" hidden="1" x14ac:dyDescent="0.35">
      <c r="A4978" s="11">
        <v>46289</v>
      </c>
      <c r="B4978" s="3">
        <v>4</v>
      </c>
      <c r="C4978" t="s">
        <v>114</v>
      </c>
      <c r="D4978" t="s">
        <v>18</v>
      </c>
      <c r="E4978" s="3">
        <v>17</v>
      </c>
      <c r="F4978" t="s">
        <v>19</v>
      </c>
      <c r="G4978" t="s">
        <v>69</v>
      </c>
      <c r="H4978" t="s">
        <v>31</v>
      </c>
      <c r="I4978" s="12">
        <v>0.66319444444444442</v>
      </c>
      <c r="J4978" t="s">
        <v>70</v>
      </c>
      <c r="K4978" t="s">
        <v>31</v>
      </c>
      <c r="L4978" s="12">
        <v>0.69097222222222221</v>
      </c>
      <c r="M4978" t="s">
        <v>33</v>
      </c>
      <c r="N4978" s="3">
        <v>189</v>
      </c>
      <c r="O4978" t="s">
        <v>24</v>
      </c>
      <c r="P4978" t="s">
        <v>56</v>
      </c>
      <c r="R4978">
        <f>tblDailySchedule[[#This Row],[Capacity Approx]]*'[1]Load Factor Sheet June Acft  '!$B$5</f>
        <v>153.04704545454547</v>
      </c>
      <c r="S4978">
        <f>tblDailySchedule[[#This Row],[Capacity Approx]]*'[1]Load Factor Sheet June Acft  '!$D$5</f>
        <v>165.71863636363636</v>
      </c>
      <c r="T4978" s="22">
        <f>tblDailySchedule[[#This Row],[STD]]</f>
        <v>0.69097222222222221</v>
      </c>
    </row>
    <row r="4979" spans="1:20" hidden="1" x14ac:dyDescent="0.35">
      <c r="A4979" s="11">
        <v>46289</v>
      </c>
      <c r="B4979" s="3">
        <v>4</v>
      </c>
      <c r="C4979" t="s">
        <v>114</v>
      </c>
      <c r="D4979" t="s">
        <v>18</v>
      </c>
      <c r="E4979" s="3">
        <v>18</v>
      </c>
      <c r="F4979" t="s">
        <v>19</v>
      </c>
      <c r="G4979" t="s">
        <v>71</v>
      </c>
      <c r="H4979" t="s">
        <v>21</v>
      </c>
      <c r="I4979" s="12">
        <v>0.67013888888888884</v>
      </c>
      <c r="J4979" t="s">
        <v>72</v>
      </c>
      <c r="K4979" t="s">
        <v>21</v>
      </c>
      <c r="L4979" s="12">
        <v>0.69791666666666663</v>
      </c>
      <c r="M4979" t="s">
        <v>63</v>
      </c>
      <c r="N4979" s="3">
        <v>232</v>
      </c>
      <c r="O4979" t="s">
        <v>24</v>
      </c>
      <c r="P4979" t="s">
        <v>56</v>
      </c>
      <c r="R4979">
        <f>tblDailySchedule[[#This Row],[Capacity Approx]]*'[1]Load Factor Sheet June Acft  '!$B$5</f>
        <v>187.86727272727273</v>
      </c>
      <c r="S4979">
        <f>tblDailySchedule[[#This Row],[Capacity Approx]]*'[1]Load Factor Sheet June Acft  '!$D$5</f>
        <v>203.4218181818182</v>
      </c>
      <c r="T4979" s="22">
        <f>tblDailySchedule[[#This Row],[STD]]</f>
        <v>0.69791666666666663</v>
      </c>
    </row>
    <row r="4980" spans="1:20" hidden="1" x14ac:dyDescent="0.35">
      <c r="A4980" s="11">
        <v>46289</v>
      </c>
      <c r="B4980" s="3">
        <v>4</v>
      </c>
      <c r="C4980" t="s">
        <v>114</v>
      </c>
      <c r="D4980" t="s">
        <v>18</v>
      </c>
      <c r="E4980" s="3">
        <v>19</v>
      </c>
      <c r="F4980" t="s">
        <v>19</v>
      </c>
      <c r="G4980" t="s">
        <v>73</v>
      </c>
      <c r="H4980" t="s">
        <v>27</v>
      </c>
      <c r="I4980" s="12">
        <v>0.74652777777777779</v>
      </c>
      <c r="J4980" t="s">
        <v>74</v>
      </c>
      <c r="K4980" t="s">
        <v>27</v>
      </c>
      <c r="L4980" s="12">
        <v>0.77430555555555558</v>
      </c>
      <c r="M4980" t="s">
        <v>63</v>
      </c>
      <c r="N4980" s="3">
        <v>232</v>
      </c>
      <c r="O4980" t="s">
        <v>24</v>
      </c>
      <c r="P4980" t="s">
        <v>56</v>
      </c>
      <c r="R4980">
        <f>tblDailySchedule[[#This Row],[Capacity Approx]]*'[1]Load Factor Sheet June Acft  '!$B$5</f>
        <v>187.86727272727273</v>
      </c>
      <c r="S4980">
        <f>tblDailySchedule[[#This Row],[Capacity Approx]]*'[1]Load Factor Sheet June Acft  '!$D$5</f>
        <v>203.4218181818182</v>
      </c>
      <c r="T4980" s="22">
        <f>tblDailySchedule[[#This Row],[STD]]</f>
        <v>0.77430555555555558</v>
      </c>
    </row>
    <row r="4981" spans="1:20" hidden="1" x14ac:dyDescent="0.35">
      <c r="A4981" s="11">
        <v>46289</v>
      </c>
      <c r="B4981" s="3">
        <v>4</v>
      </c>
      <c r="C4981" t="s">
        <v>114</v>
      </c>
      <c r="D4981" t="s">
        <v>18</v>
      </c>
      <c r="E4981" s="3">
        <v>21</v>
      </c>
      <c r="F4981" t="s">
        <v>19</v>
      </c>
      <c r="G4981" t="s">
        <v>81</v>
      </c>
      <c r="H4981" t="s">
        <v>61</v>
      </c>
      <c r="I4981" s="12">
        <v>0.77083333333333337</v>
      </c>
      <c r="J4981" t="s">
        <v>82</v>
      </c>
      <c r="K4981" t="s">
        <v>49</v>
      </c>
      <c r="L4981" s="12">
        <v>0.79166666666666663</v>
      </c>
      <c r="M4981" t="s">
        <v>33</v>
      </c>
      <c r="N4981" s="3">
        <v>189</v>
      </c>
      <c r="O4981" t="s">
        <v>24</v>
      </c>
      <c r="P4981" t="s">
        <v>79</v>
      </c>
      <c r="R4981">
        <f>tblDailySchedule[[#This Row],[Capacity Approx]]*'[1]Load Factor Sheet June Acft  '!$B$5</f>
        <v>153.04704545454547</v>
      </c>
      <c r="S4981">
        <f>tblDailySchedule[[#This Row],[Capacity Approx]]*'[1]Load Factor Sheet June Acft  '!$D$5</f>
        <v>165.71863636363636</v>
      </c>
      <c r="T4981" s="22">
        <f>tblDailySchedule[[#This Row],[STD]]</f>
        <v>0.79166666666666663</v>
      </c>
    </row>
    <row r="4982" spans="1:20" hidden="1" x14ac:dyDescent="0.35">
      <c r="A4982" s="11">
        <v>46289</v>
      </c>
      <c r="B4982" s="3">
        <v>4</v>
      </c>
      <c r="C4982" t="s">
        <v>114</v>
      </c>
      <c r="D4982" t="s">
        <v>18</v>
      </c>
      <c r="E4982" s="3">
        <v>22</v>
      </c>
      <c r="F4982" t="s">
        <v>19</v>
      </c>
      <c r="G4982" t="s">
        <v>83</v>
      </c>
      <c r="H4982" t="s">
        <v>31</v>
      </c>
      <c r="I4982" s="12">
        <v>0.77777777777777779</v>
      </c>
      <c r="J4982" t="s">
        <v>84</v>
      </c>
      <c r="K4982" t="s">
        <v>31</v>
      </c>
      <c r="L4982" s="12">
        <v>0.80555555555555558</v>
      </c>
      <c r="M4982" t="s">
        <v>63</v>
      </c>
      <c r="N4982" s="3">
        <v>232</v>
      </c>
      <c r="O4982" t="s">
        <v>24</v>
      </c>
      <c r="P4982" t="s">
        <v>79</v>
      </c>
      <c r="R4982">
        <f>tblDailySchedule[[#This Row],[Capacity Approx]]*'[1]Load Factor Sheet June Acft  '!$B$5</f>
        <v>187.86727272727273</v>
      </c>
      <c r="S4982">
        <f>tblDailySchedule[[#This Row],[Capacity Approx]]*'[1]Load Factor Sheet June Acft  '!$D$5</f>
        <v>203.4218181818182</v>
      </c>
      <c r="T4982" s="22">
        <f>tblDailySchedule[[#This Row],[STD]]</f>
        <v>0.80555555555555558</v>
      </c>
    </row>
    <row r="4983" spans="1:20" hidden="1" x14ac:dyDescent="0.35">
      <c r="A4983" s="11">
        <v>46289</v>
      </c>
      <c r="B4983" s="3">
        <v>4</v>
      </c>
      <c r="C4983" t="s">
        <v>114</v>
      </c>
      <c r="D4983" t="s">
        <v>18</v>
      </c>
      <c r="E4983" s="3">
        <v>23</v>
      </c>
      <c r="F4983" t="s">
        <v>19</v>
      </c>
      <c r="G4983" t="s">
        <v>85</v>
      </c>
      <c r="H4983" t="s">
        <v>86</v>
      </c>
      <c r="I4983" s="12">
        <v>0.79861111111111116</v>
      </c>
      <c r="J4983" t="s">
        <v>87</v>
      </c>
      <c r="K4983" t="s">
        <v>86</v>
      </c>
      <c r="L4983" s="12">
        <v>0.82638888888888884</v>
      </c>
      <c r="M4983" t="s">
        <v>63</v>
      </c>
      <c r="N4983" s="3">
        <v>232</v>
      </c>
      <c r="O4983" t="s">
        <v>24</v>
      </c>
      <c r="P4983" t="s">
        <v>79</v>
      </c>
      <c r="R4983">
        <f>tblDailySchedule[[#This Row],[Capacity Approx]]*'[1]Load Factor Sheet June Acft  '!$B$5</f>
        <v>187.86727272727273</v>
      </c>
      <c r="S4983">
        <f>tblDailySchedule[[#This Row],[Capacity Approx]]*'[1]Load Factor Sheet June Acft  '!$D$5</f>
        <v>203.4218181818182</v>
      </c>
      <c r="T4983" s="22">
        <f>tblDailySchedule[[#This Row],[STD]]</f>
        <v>0.82638888888888884</v>
      </c>
    </row>
    <row r="4984" spans="1:20" hidden="1" x14ac:dyDescent="0.35">
      <c r="A4984" s="11">
        <v>46289</v>
      </c>
      <c r="B4984" s="3">
        <v>4</v>
      </c>
      <c r="C4984" t="s">
        <v>114</v>
      </c>
      <c r="D4984" t="s">
        <v>18</v>
      </c>
      <c r="E4984" s="3">
        <v>24</v>
      </c>
      <c r="F4984" t="s">
        <v>19</v>
      </c>
      <c r="G4984" t="s">
        <v>88</v>
      </c>
      <c r="H4984" t="s">
        <v>89</v>
      </c>
      <c r="I4984" s="12">
        <v>0.83333333333333337</v>
      </c>
      <c r="J4984" t="s">
        <v>90</v>
      </c>
      <c r="K4984" t="s">
        <v>31</v>
      </c>
      <c r="L4984" s="12">
        <v>0.86111111111111116</v>
      </c>
      <c r="M4984" t="s">
        <v>63</v>
      </c>
      <c r="N4984" s="3">
        <v>232</v>
      </c>
      <c r="O4984" t="s">
        <v>24</v>
      </c>
      <c r="P4984" t="s">
        <v>79</v>
      </c>
      <c r="R4984">
        <f>tblDailySchedule[[#This Row],[Capacity Approx]]*'[1]Load Factor Sheet June Acft  '!$B$5</f>
        <v>187.86727272727273</v>
      </c>
      <c r="S4984">
        <f>tblDailySchedule[[#This Row],[Capacity Approx]]*'[1]Load Factor Sheet June Acft  '!$D$5</f>
        <v>203.4218181818182</v>
      </c>
      <c r="T4984" s="22">
        <f>tblDailySchedule[[#This Row],[STD]]</f>
        <v>0.86111111111111116</v>
      </c>
    </row>
    <row r="4985" spans="1:20" hidden="1" x14ac:dyDescent="0.35">
      <c r="A4985" s="11">
        <v>46289</v>
      </c>
      <c r="B4985" s="3">
        <v>4</v>
      </c>
      <c r="C4985" t="s">
        <v>114</v>
      </c>
      <c r="D4985" t="s">
        <v>18</v>
      </c>
      <c r="E4985" s="3">
        <v>25</v>
      </c>
      <c r="F4985" t="s">
        <v>19</v>
      </c>
      <c r="G4985" t="s">
        <v>91</v>
      </c>
      <c r="H4985" t="s">
        <v>61</v>
      </c>
      <c r="I4985" s="12">
        <v>0.85416666666666663</v>
      </c>
      <c r="J4985" t="s">
        <v>92</v>
      </c>
      <c r="K4985" t="s">
        <v>61</v>
      </c>
      <c r="L4985" s="12">
        <v>0.88194444444444442</v>
      </c>
      <c r="M4985" t="s">
        <v>63</v>
      </c>
      <c r="N4985" s="3">
        <v>232</v>
      </c>
      <c r="O4985" t="s">
        <v>24</v>
      </c>
      <c r="P4985" t="s">
        <v>79</v>
      </c>
      <c r="R4985">
        <f>tblDailySchedule[[#This Row],[Capacity Approx]]*'[1]Load Factor Sheet June Acft  '!$B$5</f>
        <v>187.86727272727273</v>
      </c>
      <c r="S4985">
        <f>tblDailySchedule[[#This Row],[Capacity Approx]]*'[1]Load Factor Sheet June Acft  '!$D$5</f>
        <v>203.4218181818182</v>
      </c>
      <c r="T4985" s="22">
        <f>tblDailySchedule[[#This Row],[STD]]</f>
        <v>0.88194444444444442</v>
      </c>
    </row>
    <row r="4986" spans="1:20" hidden="1" x14ac:dyDescent="0.35">
      <c r="A4986" s="11">
        <v>46289</v>
      </c>
      <c r="B4986" s="3">
        <v>4</v>
      </c>
      <c r="C4986" t="s">
        <v>114</v>
      </c>
      <c r="D4986" t="s">
        <v>18</v>
      </c>
      <c r="E4986" s="3">
        <v>26</v>
      </c>
      <c r="F4986" t="s">
        <v>19</v>
      </c>
      <c r="G4986" t="s">
        <v>93</v>
      </c>
      <c r="H4986" t="s">
        <v>31</v>
      </c>
      <c r="I4986" s="12">
        <v>0.86111111111111116</v>
      </c>
      <c r="J4986" t="s">
        <v>94</v>
      </c>
      <c r="K4986" t="s">
        <v>31</v>
      </c>
      <c r="L4986" s="12">
        <v>0.88888888888888884</v>
      </c>
      <c r="M4986" t="s">
        <v>23</v>
      </c>
      <c r="N4986" s="3">
        <v>186</v>
      </c>
      <c r="O4986" t="s">
        <v>24</v>
      </c>
      <c r="P4986" t="s">
        <v>79</v>
      </c>
      <c r="R4986">
        <f>tblDailySchedule[[#This Row],[Capacity Approx]]*'[1]Load Factor Sheet June Acft  '!$B$5</f>
        <v>150.61772727272728</v>
      </c>
      <c r="S4986">
        <f>tblDailySchedule[[#This Row],[Capacity Approx]]*'[1]Load Factor Sheet June Acft  '!$D$5</f>
        <v>163.08818181818182</v>
      </c>
      <c r="T4986" s="22">
        <f>tblDailySchedule[[#This Row],[STD]]</f>
        <v>0.88888888888888884</v>
      </c>
    </row>
    <row r="4987" spans="1:20" hidden="1" x14ac:dyDescent="0.35">
      <c r="A4987" s="11">
        <v>46289</v>
      </c>
      <c r="B4987" s="3">
        <v>4</v>
      </c>
      <c r="C4987" t="s">
        <v>114</v>
      </c>
      <c r="D4987" t="s">
        <v>18</v>
      </c>
      <c r="E4987" s="3">
        <v>27</v>
      </c>
      <c r="F4987" t="s">
        <v>19</v>
      </c>
      <c r="G4987" t="s">
        <v>95</v>
      </c>
      <c r="H4987" t="s">
        <v>21</v>
      </c>
      <c r="I4987" s="12">
        <v>0.86805555555555558</v>
      </c>
      <c r="J4987" t="s">
        <v>96</v>
      </c>
      <c r="K4987" t="s">
        <v>21</v>
      </c>
      <c r="L4987" s="12">
        <v>0.89583333333333337</v>
      </c>
      <c r="M4987" t="s">
        <v>29</v>
      </c>
      <c r="N4987" s="3">
        <v>186</v>
      </c>
      <c r="O4987" t="s">
        <v>24</v>
      </c>
      <c r="P4987" t="s">
        <v>79</v>
      </c>
      <c r="R4987">
        <f>tblDailySchedule[[#This Row],[Capacity Approx]]*'[1]Load Factor Sheet June Acft  '!$B$5</f>
        <v>150.61772727272728</v>
      </c>
      <c r="S4987">
        <f>tblDailySchedule[[#This Row],[Capacity Approx]]*'[1]Load Factor Sheet June Acft  '!$D$5</f>
        <v>163.08818181818182</v>
      </c>
      <c r="T4987" s="22">
        <f>tblDailySchedule[[#This Row],[STD]]</f>
        <v>0.89583333333333337</v>
      </c>
    </row>
    <row r="4988" spans="1:20" hidden="1" x14ac:dyDescent="0.35">
      <c r="A4988" s="11">
        <v>46289</v>
      </c>
      <c r="B4988" s="3">
        <v>4</v>
      </c>
      <c r="C4988" t="s">
        <v>114</v>
      </c>
      <c r="D4988" t="s">
        <v>18</v>
      </c>
      <c r="E4988" s="3">
        <v>28</v>
      </c>
      <c r="F4988" t="s">
        <v>19</v>
      </c>
      <c r="G4988" t="s">
        <v>97</v>
      </c>
      <c r="H4988" t="s">
        <v>49</v>
      </c>
      <c r="I4988" s="12">
        <v>0.90277777777777779</v>
      </c>
      <c r="J4988" t="s">
        <v>97</v>
      </c>
      <c r="K4988" t="s">
        <v>61</v>
      </c>
      <c r="L4988" s="12">
        <v>0.92361111111111116</v>
      </c>
      <c r="M4988" t="s">
        <v>33</v>
      </c>
      <c r="N4988" s="3">
        <v>189</v>
      </c>
      <c r="O4988" t="s">
        <v>24</v>
      </c>
      <c r="P4988" t="s">
        <v>79</v>
      </c>
      <c r="R4988">
        <f>tblDailySchedule[[#This Row],[Capacity Approx]]*'[1]Load Factor Sheet June Acft  '!$B$5</f>
        <v>153.04704545454547</v>
      </c>
      <c r="S4988">
        <f>tblDailySchedule[[#This Row],[Capacity Approx]]*'[1]Load Factor Sheet June Acft  '!$D$5</f>
        <v>165.71863636363636</v>
      </c>
      <c r="T4988" s="22">
        <f>tblDailySchedule[[#This Row],[STD]]</f>
        <v>0.92361111111111116</v>
      </c>
    </row>
    <row r="4989" spans="1:20" hidden="1" x14ac:dyDescent="0.35">
      <c r="A4989" s="11">
        <v>46289</v>
      </c>
      <c r="B4989" s="3">
        <v>4</v>
      </c>
      <c r="C4989" t="s">
        <v>114</v>
      </c>
      <c r="D4989" t="s">
        <v>18</v>
      </c>
      <c r="E4989" s="3">
        <v>29</v>
      </c>
      <c r="F4989" t="s">
        <v>19</v>
      </c>
      <c r="G4989" t="s">
        <v>98</v>
      </c>
      <c r="H4989" t="s">
        <v>21</v>
      </c>
      <c r="I4989" s="12">
        <v>0.92013888888888884</v>
      </c>
      <c r="J4989" t="s">
        <v>99</v>
      </c>
      <c r="K4989" t="s">
        <v>21</v>
      </c>
      <c r="L4989" s="12">
        <v>0.94791666666666663</v>
      </c>
      <c r="M4989" t="s">
        <v>63</v>
      </c>
      <c r="N4989" s="3">
        <v>232</v>
      </c>
      <c r="O4989" t="s">
        <v>24</v>
      </c>
      <c r="P4989" t="s">
        <v>79</v>
      </c>
      <c r="R4989">
        <f>tblDailySchedule[[#This Row],[Capacity Approx]]*'[1]Load Factor Sheet June Acft  '!$B$5</f>
        <v>187.86727272727273</v>
      </c>
      <c r="S4989">
        <f>tblDailySchedule[[#This Row],[Capacity Approx]]*'[1]Load Factor Sheet June Acft  '!$D$5</f>
        <v>203.4218181818182</v>
      </c>
      <c r="T4989" s="22">
        <f>tblDailySchedule[[#This Row],[STD]]</f>
        <v>0.94791666666666663</v>
      </c>
    </row>
    <row r="4990" spans="1:20" hidden="1" x14ac:dyDescent="0.35">
      <c r="A4990" s="11">
        <v>46290</v>
      </c>
      <c r="B4990" s="3">
        <v>5</v>
      </c>
      <c r="C4990" t="s">
        <v>115</v>
      </c>
      <c r="D4990" t="s">
        <v>18</v>
      </c>
      <c r="E4990" s="3">
        <v>2</v>
      </c>
      <c r="F4990" t="s">
        <v>19</v>
      </c>
      <c r="G4990" t="s">
        <v>20</v>
      </c>
      <c r="H4990" t="s">
        <v>21</v>
      </c>
      <c r="I4990" s="12">
        <v>0.31944444444444442</v>
      </c>
      <c r="J4990" t="s">
        <v>22</v>
      </c>
      <c r="K4990" t="s">
        <v>21</v>
      </c>
      <c r="L4990" s="12">
        <v>0.34722222222222221</v>
      </c>
      <c r="M4990" t="s">
        <v>23</v>
      </c>
      <c r="N4990" s="3">
        <v>186</v>
      </c>
      <c r="O4990" t="s">
        <v>24</v>
      </c>
      <c r="P4990" t="s">
        <v>25</v>
      </c>
      <c r="R4990">
        <f>tblDailySchedule[[#This Row],[Capacity Approx]]*'[1]Load Factor Sheet June Acft  '!$B$5</f>
        <v>150.61772727272728</v>
      </c>
      <c r="S4990">
        <f>tblDailySchedule[[#This Row],[Capacity Approx]]*'[1]Load Factor Sheet June Acft  '!$D$5</f>
        <v>163.08818181818182</v>
      </c>
      <c r="T4990" s="22">
        <f>tblDailySchedule[[#This Row],[STD]]</f>
        <v>0.34722222222222221</v>
      </c>
    </row>
    <row r="4991" spans="1:20" hidden="1" x14ac:dyDescent="0.35">
      <c r="A4991" s="11">
        <v>46290</v>
      </c>
      <c r="B4991" s="3">
        <v>5</v>
      </c>
      <c r="C4991" t="s">
        <v>115</v>
      </c>
      <c r="D4991" t="s">
        <v>18</v>
      </c>
      <c r="E4991" s="3">
        <v>3</v>
      </c>
      <c r="F4991" t="s">
        <v>19</v>
      </c>
      <c r="G4991" t="s">
        <v>26</v>
      </c>
      <c r="H4991" t="s">
        <v>27</v>
      </c>
      <c r="I4991" s="12">
        <v>0.3263888888888889</v>
      </c>
      <c r="J4991" t="s">
        <v>28</v>
      </c>
      <c r="K4991" t="s">
        <v>27</v>
      </c>
      <c r="L4991" s="12">
        <v>0.35416666666666669</v>
      </c>
      <c r="M4991" t="s">
        <v>29</v>
      </c>
      <c r="N4991" s="3">
        <v>186</v>
      </c>
      <c r="O4991" t="s">
        <v>24</v>
      </c>
      <c r="P4991" t="s">
        <v>25</v>
      </c>
      <c r="R4991">
        <f>tblDailySchedule[[#This Row],[Capacity Approx]]*'[1]Load Factor Sheet June Acft  '!$B$5</f>
        <v>150.61772727272728</v>
      </c>
      <c r="S4991">
        <f>tblDailySchedule[[#This Row],[Capacity Approx]]*'[1]Load Factor Sheet June Acft  '!$D$5</f>
        <v>163.08818181818182</v>
      </c>
      <c r="T4991" s="22">
        <f>tblDailySchedule[[#This Row],[STD]]</f>
        <v>0.35416666666666669</v>
      </c>
    </row>
    <row r="4992" spans="1:20" hidden="1" x14ac:dyDescent="0.35">
      <c r="A4992" s="11">
        <v>46290</v>
      </c>
      <c r="B4992" s="3">
        <v>5</v>
      </c>
      <c r="C4992" t="s">
        <v>115</v>
      </c>
      <c r="D4992" t="s">
        <v>18</v>
      </c>
      <c r="E4992" s="3">
        <v>4</v>
      </c>
      <c r="F4992" t="s">
        <v>19</v>
      </c>
      <c r="G4992" t="s">
        <v>30</v>
      </c>
      <c r="H4992" t="s">
        <v>31</v>
      </c>
      <c r="I4992" s="12">
        <v>0.34722222222222221</v>
      </c>
      <c r="J4992" t="s">
        <v>32</v>
      </c>
      <c r="K4992" t="s">
        <v>31</v>
      </c>
      <c r="L4992" s="12">
        <v>0.36805555555555558</v>
      </c>
      <c r="M4992" t="s">
        <v>33</v>
      </c>
      <c r="N4992" s="3">
        <v>189</v>
      </c>
      <c r="O4992" t="s">
        <v>24</v>
      </c>
      <c r="P4992" t="s">
        <v>25</v>
      </c>
      <c r="R4992">
        <f>tblDailySchedule[[#This Row],[Capacity Approx]]*'[1]Load Factor Sheet June Acft  '!$B$5</f>
        <v>153.04704545454547</v>
      </c>
      <c r="S4992">
        <f>tblDailySchedule[[#This Row],[Capacity Approx]]*'[1]Load Factor Sheet June Acft  '!$D$5</f>
        <v>165.71863636363636</v>
      </c>
      <c r="T4992" s="22">
        <f>tblDailySchedule[[#This Row],[STD]]</f>
        <v>0.36805555555555558</v>
      </c>
    </row>
    <row r="4993" spans="1:20" hidden="1" x14ac:dyDescent="0.35">
      <c r="A4993" s="13">
        <v>46290</v>
      </c>
      <c r="B4993" s="7">
        <v>5</v>
      </c>
      <c r="C4993" s="14" t="s">
        <v>115</v>
      </c>
      <c r="D4993" s="14" t="s">
        <v>18</v>
      </c>
      <c r="E4993" s="7">
        <v>6</v>
      </c>
      <c r="F4993" s="14" t="s">
        <v>34</v>
      </c>
      <c r="G4993" s="14" t="s">
        <v>35</v>
      </c>
      <c r="H4993" s="14" t="s">
        <v>36</v>
      </c>
      <c r="I4993" s="15">
        <v>0.34722222222222221</v>
      </c>
      <c r="J4993" s="14" t="s">
        <v>37</v>
      </c>
      <c r="K4993" s="14" t="s">
        <v>36</v>
      </c>
      <c r="L4993" s="15">
        <v>0.40972222222222221</v>
      </c>
      <c r="M4993" s="14" t="s">
        <v>38</v>
      </c>
      <c r="N4993" s="7">
        <v>186</v>
      </c>
      <c r="O4993" s="14" t="s">
        <v>39</v>
      </c>
      <c r="P4993" s="14" t="s">
        <v>25</v>
      </c>
      <c r="Q4993" s="14" t="s">
        <v>39</v>
      </c>
      <c r="R4993">
        <f>tblDailySchedule[[#This Row],[Capacity Approx]]*'[1]Load Factor Sheet June Acft  '!$B$5</f>
        <v>150.61772727272728</v>
      </c>
      <c r="S4993">
        <f>tblDailySchedule[[#This Row],[Capacity Approx]]*'[1]Load Factor Sheet June Acft  '!$D$5</f>
        <v>163.08818181818182</v>
      </c>
      <c r="T4993" s="22">
        <f>tblDailySchedule[[#This Row],[STD]]</f>
        <v>0.40972222222222221</v>
      </c>
    </row>
    <row r="4994" spans="1:20" hidden="1" x14ac:dyDescent="0.35">
      <c r="A4994" s="11">
        <v>46290</v>
      </c>
      <c r="B4994" s="3">
        <v>5</v>
      </c>
      <c r="C4994" t="s">
        <v>115</v>
      </c>
      <c r="D4994" t="s">
        <v>18</v>
      </c>
      <c r="E4994" s="3">
        <v>5</v>
      </c>
      <c r="F4994" t="s">
        <v>19</v>
      </c>
      <c r="G4994" t="s">
        <v>40</v>
      </c>
      <c r="H4994" t="s">
        <v>31</v>
      </c>
      <c r="I4994" s="12">
        <v>0.35069444444444442</v>
      </c>
      <c r="J4994" t="s">
        <v>41</v>
      </c>
      <c r="K4994" t="s">
        <v>31</v>
      </c>
      <c r="L4994" s="12">
        <v>0.37152777777777779</v>
      </c>
      <c r="M4994" t="s">
        <v>23</v>
      </c>
      <c r="N4994" s="3">
        <v>186</v>
      </c>
      <c r="O4994" t="s">
        <v>24</v>
      </c>
      <c r="P4994" t="s">
        <v>25</v>
      </c>
      <c r="R4994">
        <f>tblDailySchedule[[#This Row],[Capacity Approx]]*'[1]Load Factor Sheet June Acft  '!$B$5</f>
        <v>150.61772727272728</v>
      </c>
      <c r="S4994">
        <f>tblDailySchedule[[#This Row],[Capacity Approx]]*'[1]Load Factor Sheet June Acft  '!$D$5</f>
        <v>163.08818181818182</v>
      </c>
      <c r="T4994" s="22">
        <f>tblDailySchedule[[#This Row],[STD]]</f>
        <v>0.37152777777777779</v>
      </c>
    </row>
    <row r="4995" spans="1:20" hidden="1" x14ac:dyDescent="0.35">
      <c r="A4995" s="11">
        <v>46290</v>
      </c>
      <c r="B4995" s="3">
        <v>5</v>
      </c>
      <c r="C4995" t="s">
        <v>115</v>
      </c>
      <c r="D4995" t="s">
        <v>18</v>
      </c>
      <c r="E4995" s="3">
        <v>7</v>
      </c>
      <c r="F4995" t="s">
        <v>19</v>
      </c>
      <c r="G4995" t="s">
        <v>42</v>
      </c>
      <c r="H4995" t="s">
        <v>43</v>
      </c>
      <c r="I4995" s="12">
        <v>0.3923611111111111</v>
      </c>
      <c r="J4995" t="s">
        <v>44</v>
      </c>
      <c r="K4995" t="s">
        <v>43</v>
      </c>
      <c r="L4995" s="12">
        <v>0.40277777777777779</v>
      </c>
      <c r="M4995" t="s">
        <v>45</v>
      </c>
      <c r="N4995" s="3">
        <v>9</v>
      </c>
      <c r="O4995" t="s">
        <v>24</v>
      </c>
      <c r="P4995" t="s">
        <v>25</v>
      </c>
      <c r="R4995">
        <f>tblDailySchedule[[#This Row],[Capacity Approx]]*'[1]Load Factor Sheet June Acft  '!$B$5</f>
        <v>7.2879545454545456</v>
      </c>
      <c r="S4995">
        <f>tblDailySchedule[[#This Row],[Capacity Approx]]*'[1]Load Factor Sheet June Acft  '!$D$5</f>
        <v>7.8913636363636366</v>
      </c>
      <c r="T4995" s="22">
        <f>tblDailySchedule[[#This Row],[STD]]</f>
        <v>0.40277777777777779</v>
      </c>
    </row>
    <row r="4996" spans="1:20" hidden="1" x14ac:dyDescent="0.35">
      <c r="A4996" s="11">
        <v>46290</v>
      </c>
      <c r="B4996" s="3">
        <v>5</v>
      </c>
      <c r="C4996" t="s">
        <v>115</v>
      </c>
      <c r="D4996" t="s">
        <v>18</v>
      </c>
      <c r="E4996" s="3">
        <v>8</v>
      </c>
      <c r="F4996" t="s">
        <v>19</v>
      </c>
      <c r="G4996" t="s">
        <v>46</v>
      </c>
      <c r="H4996" t="s">
        <v>31</v>
      </c>
      <c r="I4996" s="12">
        <v>0.4201388888888889</v>
      </c>
      <c r="J4996" t="s">
        <v>47</v>
      </c>
      <c r="K4996" t="s">
        <v>31</v>
      </c>
      <c r="L4996" s="12">
        <v>0.44444444444444442</v>
      </c>
      <c r="M4996" t="s">
        <v>29</v>
      </c>
      <c r="N4996" s="3">
        <v>186</v>
      </c>
      <c r="O4996" t="s">
        <v>24</v>
      </c>
      <c r="P4996" t="s">
        <v>25</v>
      </c>
      <c r="R4996">
        <f>tblDailySchedule[[#This Row],[Capacity Approx]]*'[1]Load Factor Sheet June Acft  '!$B$5</f>
        <v>150.61772727272728</v>
      </c>
      <c r="S4996">
        <f>tblDailySchedule[[#This Row],[Capacity Approx]]*'[1]Load Factor Sheet June Acft  '!$D$5</f>
        <v>163.08818181818182</v>
      </c>
      <c r="T4996" s="22">
        <f>tblDailySchedule[[#This Row],[STD]]</f>
        <v>0.44444444444444442</v>
      </c>
    </row>
    <row r="4997" spans="1:20" hidden="1" x14ac:dyDescent="0.35">
      <c r="A4997" s="11">
        <v>46290</v>
      </c>
      <c r="B4997" s="3">
        <v>5</v>
      </c>
      <c r="C4997" t="s">
        <v>115</v>
      </c>
      <c r="D4997" t="s">
        <v>18</v>
      </c>
      <c r="E4997" s="3">
        <v>9</v>
      </c>
      <c r="F4997" t="s">
        <v>19</v>
      </c>
      <c r="G4997" t="s">
        <v>48</v>
      </c>
      <c r="H4997" t="s">
        <v>49</v>
      </c>
      <c r="I4997" s="12">
        <v>0.4375</v>
      </c>
      <c r="J4997" t="s">
        <v>50</v>
      </c>
      <c r="K4997" t="s">
        <v>49</v>
      </c>
      <c r="L4997" s="12">
        <v>0.45833333333333331</v>
      </c>
      <c r="M4997" t="s">
        <v>51</v>
      </c>
      <c r="N4997" s="3">
        <v>78</v>
      </c>
      <c r="O4997" t="s">
        <v>24</v>
      </c>
      <c r="P4997" t="s">
        <v>25</v>
      </c>
      <c r="R4997">
        <f>tblDailySchedule[[#This Row],[Capacity Approx]]*'[1]Load Factor Sheet June Acft  '!$B$5</f>
        <v>63.162272727272729</v>
      </c>
      <c r="S4997">
        <f>tblDailySchedule[[#This Row],[Capacity Approx]]*'[1]Load Factor Sheet June Acft  '!$D$5</f>
        <v>68.391818181818181</v>
      </c>
      <c r="T4997" s="22">
        <f>tblDailySchedule[[#This Row],[STD]]</f>
        <v>0.45833333333333331</v>
      </c>
    </row>
    <row r="4998" spans="1:20" hidden="1" x14ac:dyDescent="0.35">
      <c r="A4998" s="11">
        <v>46290</v>
      </c>
      <c r="B4998" s="3">
        <v>5</v>
      </c>
      <c r="C4998" t="s">
        <v>115</v>
      </c>
      <c r="D4998" t="s">
        <v>18</v>
      </c>
      <c r="E4998" s="3">
        <v>10</v>
      </c>
      <c r="F4998" t="s">
        <v>19</v>
      </c>
      <c r="G4998" t="s">
        <v>52</v>
      </c>
      <c r="H4998" t="s">
        <v>27</v>
      </c>
      <c r="I4998" s="12">
        <v>0.4826388888888889</v>
      </c>
      <c r="J4998" t="s">
        <v>53</v>
      </c>
      <c r="K4998" t="s">
        <v>27</v>
      </c>
      <c r="L4998" s="12">
        <v>0.51041666666666663</v>
      </c>
      <c r="M4998" t="s">
        <v>23</v>
      </c>
      <c r="N4998" s="3">
        <v>186</v>
      </c>
      <c r="O4998" t="s">
        <v>24</v>
      </c>
      <c r="P4998" t="s">
        <v>25</v>
      </c>
      <c r="R4998">
        <f>tblDailySchedule[[#This Row],[Capacity Approx]]*'[1]Load Factor Sheet June Acft  '!$B$5</f>
        <v>150.61772727272728</v>
      </c>
      <c r="S4998">
        <f>tblDailySchedule[[#This Row],[Capacity Approx]]*'[1]Load Factor Sheet June Acft  '!$D$5</f>
        <v>163.08818181818182</v>
      </c>
      <c r="T4998" s="22">
        <f>tblDailySchedule[[#This Row],[STD]]</f>
        <v>0.51041666666666663</v>
      </c>
    </row>
    <row r="4999" spans="1:20" hidden="1" x14ac:dyDescent="0.35">
      <c r="A4999" s="11">
        <v>46290</v>
      </c>
      <c r="B4999" s="3">
        <v>5</v>
      </c>
      <c r="C4999" t="s">
        <v>115</v>
      </c>
      <c r="D4999" t="s">
        <v>18</v>
      </c>
      <c r="E4999" s="3">
        <v>11</v>
      </c>
      <c r="F4999" t="s">
        <v>19</v>
      </c>
      <c r="G4999" t="s">
        <v>54</v>
      </c>
      <c r="H4999" t="s">
        <v>31</v>
      </c>
      <c r="I4999" s="12">
        <v>0.51388888888888884</v>
      </c>
      <c r="J4999" t="s">
        <v>55</v>
      </c>
      <c r="K4999" t="s">
        <v>31</v>
      </c>
      <c r="L4999" s="12">
        <v>0.54166666666666663</v>
      </c>
      <c r="M4999" t="s">
        <v>23</v>
      </c>
      <c r="N4999" s="3">
        <v>186</v>
      </c>
      <c r="O4999" t="s">
        <v>24</v>
      </c>
      <c r="P4999" t="s">
        <v>56</v>
      </c>
      <c r="R4999">
        <f>tblDailySchedule[[#This Row],[Capacity Approx]]*'[1]Load Factor Sheet June Acft  '!$B$5</f>
        <v>150.61772727272728</v>
      </c>
      <c r="S4999">
        <f>tblDailySchedule[[#This Row],[Capacity Approx]]*'[1]Load Factor Sheet June Acft  '!$D$5</f>
        <v>163.08818181818182</v>
      </c>
      <c r="T4999" s="22">
        <f>tblDailySchedule[[#This Row],[STD]]</f>
        <v>0.54166666666666663</v>
      </c>
    </row>
    <row r="5000" spans="1:20" hidden="1" x14ac:dyDescent="0.35">
      <c r="A5000" s="11">
        <v>46290</v>
      </c>
      <c r="B5000" s="3">
        <v>5</v>
      </c>
      <c r="C5000" t="s">
        <v>115</v>
      </c>
      <c r="D5000" t="s">
        <v>18</v>
      </c>
      <c r="E5000" s="3">
        <v>13</v>
      </c>
      <c r="F5000" t="s">
        <v>19</v>
      </c>
      <c r="G5000" t="s">
        <v>57</v>
      </c>
      <c r="H5000" t="s">
        <v>58</v>
      </c>
      <c r="I5000" s="12">
        <v>0.55902777777777779</v>
      </c>
      <c r="J5000" t="s">
        <v>59</v>
      </c>
      <c r="K5000" t="s">
        <v>58</v>
      </c>
      <c r="L5000" s="12">
        <v>0.57638888888888884</v>
      </c>
      <c r="M5000" t="s">
        <v>51</v>
      </c>
      <c r="N5000" s="3">
        <v>78</v>
      </c>
      <c r="O5000" t="s">
        <v>24</v>
      </c>
      <c r="P5000" t="s">
        <v>56</v>
      </c>
      <c r="R5000">
        <f>tblDailySchedule[[#This Row],[Capacity Approx]]*'[1]Load Factor Sheet June Acft  '!$B$5</f>
        <v>63.162272727272729</v>
      </c>
      <c r="S5000">
        <f>tblDailySchedule[[#This Row],[Capacity Approx]]*'[1]Load Factor Sheet June Acft  '!$D$5</f>
        <v>68.391818181818181</v>
      </c>
      <c r="T5000" s="22">
        <f>tblDailySchedule[[#This Row],[STD]]</f>
        <v>0.57638888888888884</v>
      </c>
    </row>
    <row r="5001" spans="1:20" hidden="1" x14ac:dyDescent="0.35">
      <c r="A5001" s="11">
        <v>46290</v>
      </c>
      <c r="B5001" s="3">
        <v>5</v>
      </c>
      <c r="C5001" t="s">
        <v>115</v>
      </c>
      <c r="D5001" t="s">
        <v>18</v>
      </c>
      <c r="E5001" s="3">
        <v>14</v>
      </c>
      <c r="F5001" t="s">
        <v>19</v>
      </c>
      <c r="G5001" t="s">
        <v>60</v>
      </c>
      <c r="H5001" t="s">
        <v>61</v>
      </c>
      <c r="I5001" s="12">
        <v>0.59027777777777779</v>
      </c>
      <c r="J5001" t="s">
        <v>62</v>
      </c>
      <c r="K5001" t="s">
        <v>61</v>
      </c>
      <c r="L5001" s="12">
        <v>0.62152777777777779</v>
      </c>
      <c r="M5001" t="s">
        <v>63</v>
      </c>
      <c r="N5001" s="3">
        <v>232</v>
      </c>
      <c r="O5001" t="s">
        <v>24</v>
      </c>
      <c r="P5001" t="s">
        <v>56</v>
      </c>
      <c r="R5001">
        <f>tblDailySchedule[[#This Row],[Capacity Approx]]*'[1]Load Factor Sheet June Acft  '!$B$5</f>
        <v>187.86727272727273</v>
      </c>
      <c r="S5001">
        <f>tblDailySchedule[[#This Row],[Capacity Approx]]*'[1]Load Factor Sheet June Acft  '!$D$5</f>
        <v>203.4218181818182</v>
      </c>
      <c r="T5001" s="22">
        <f>tblDailySchedule[[#This Row],[STD]]</f>
        <v>0.62152777777777779</v>
      </c>
    </row>
    <row r="5002" spans="1:20" hidden="1" x14ac:dyDescent="0.35">
      <c r="A5002" s="11">
        <v>46290</v>
      </c>
      <c r="B5002" s="3">
        <v>5</v>
      </c>
      <c r="C5002" t="s">
        <v>115</v>
      </c>
      <c r="D5002" t="s">
        <v>18</v>
      </c>
      <c r="E5002" s="3">
        <v>15</v>
      </c>
      <c r="F5002" t="s">
        <v>19</v>
      </c>
      <c r="G5002" t="s">
        <v>64</v>
      </c>
      <c r="H5002" t="s">
        <v>31</v>
      </c>
      <c r="I5002" s="12">
        <v>0.60069444444444442</v>
      </c>
      <c r="J5002" t="s">
        <v>65</v>
      </c>
      <c r="K5002" t="s">
        <v>66</v>
      </c>
      <c r="L5002" s="12">
        <v>0.62847222222222221</v>
      </c>
      <c r="M5002" t="s">
        <v>63</v>
      </c>
      <c r="N5002" s="3">
        <v>232</v>
      </c>
      <c r="O5002" t="s">
        <v>24</v>
      </c>
      <c r="P5002" t="s">
        <v>56</v>
      </c>
      <c r="R5002">
        <f>tblDailySchedule[[#This Row],[Capacity Approx]]*'[1]Load Factor Sheet June Acft  '!$B$5</f>
        <v>187.86727272727273</v>
      </c>
      <c r="S5002">
        <f>tblDailySchedule[[#This Row],[Capacity Approx]]*'[1]Load Factor Sheet June Acft  '!$D$5</f>
        <v>203.4218181818182</v>
      </c>
      <c r="T5002" s="22">
        <f>tblDailySchedule[[#This Row],[STD]]</f>
        <v>0.62847222222222221</v>
      </c>
    </row>
    <row r="5003" spans="1:20" hidden="1" x14ac:dyDescent="0.35">
      <c r="A5003" s="11">
        <v>46290</v>
      </c>
      <c r="B5003" s="3">
        <v>5</v>
      </c>
      <c r="C5003" t="s">
        <v>115</v>
      </c>
      <c r="D5003" t="s">
        <v>18</v>
      </c>
      <c r="E5003" s="3">
        <v>16</v>
      </c>
      <c r="F5003" t="s">
        <v>19</v>
      </c>
      <c r="G5003" t="s">
        <v>67</v>
      </c>
      <c r="H5003" t="s">
        <v>31</v>
      </c>
      <c r="I5003" s="12">
        <v>0.65625</v>
      </c>
      <c r="J5003" t="s">
        <v>68</v>
      </c>
      <c r="K5003" t="s">
        <v>31</v>
      </c>
      <c r="L5003" s="12">
        <v>0.68402777777777779</v>
      </c>
      <c r="M5003" t="s">
        <v>63</v>
      </c>
      <c r="N5003" s="3">
        <v>232</v>
      </c>
      <c r="O5003" t="s">
        <v>24</v>
      </c>
      <c r="P5003" t="s">
        <v>56</v>
      </c>
      <c r="R5003">
        <f>tblDailySchedule[[#This Row],[Capacity Approx]]*'[1]Load Factor Sheet June Acft  '!$B$5</f>
        <v>187.86727272727273</v>
      </c>
      <c r="S5003">
        <f>tblDailySchedule[[#This Row],[Capacity Approx]]*'[1]Load Factor Sheet June Acft  '!$D$5</f>
        <v>203.4218181818182</v>
      </c>
      <c r="T5003" s="22">
        <f>tblDailySchedule[[#This Row],[STD]]</f>
        <v>0.68402777777777779</v>
      </c>
    </row>
    <row r="5004" spans="1:20" hidden="1" x14ac:dyDescent="0.35">
      <c r="A5004" s="11">
        <v>46290</v>
      </c>
      <c r="B5004" s="3">
        <v>5</v>
      </c>
      <c r="C5004" t="s">
        <v>115</v>
      </c>
      <c r="D5004" t="s">
        <v>18</v>
      </c>
      <c r="E5004" s="3">
        <v>17</v>
      </c>
      <c r="F5004" t="s">
        <v>19</v>
      </c>
      <c r="G5004" t="s">
        <v>69</v>
      </c>
      <c r="H5004" t="s">
        <v>31</v>
      </c>
      <c r="I5004" s="12">
        <v>0.66319444444444442</v>
      </c>
      <c r="J5004" t="s">
        <v>70</v>
      </c>
      <c r="K5004" t="s">
        <v>31</v>
      </c>
      <c r="L5004" s="12">
        <v>0.69097222222222221</v>
      </c>
      <c r="M5004" t="s">
        <v>33</v>
      </c>
      <c r="N5004" s="3">
        <v>189</v>
      </c>
      <c r="O5004" t="s">
        <v>24</v>
      </c>
      <c r="P5004" t="s">
        <v>56</v>
      </c>
      <c r="R5004">
        <f>tblDailySchedule[[#This Row],[Capacity Approx]]*'[1]Load Factor Sheet June Acft  '!$B$5</f>
        <v>153.04704545454547</v>
      </c>
      <c r="S5004">
        <f>tblDailySchedule[[#This Row],[Capacity Approx]]*'[1]Load Factor Sheet June Acft  '!$D$5</f>
        <v>165.71863636363636</v>
      </c>
      <c r="T5004" s="22">
        <f>tblDailySchedule[[#This Row],[STD]]</f>
        <v>0.69097222222222221</v>
      </c>
    </row>
    <row r="5005" spans="1:20" hidden="1" x14ac:dyDescent="0.35">
      <c r="A5005" s="11">
        <v>46290</v>
      </c>
      <c r="B5005" s="3">
        <v>5</v>
      </c>
      <c r="C5005" t="s">
        <v>115</v>
      </c>
      <c r="D5005" t="s">
        <v>18</v>
      </c>
      <c r="E5005" s="3">
        <v>18</v>
      </c>
      <c r="F5005" t="s">
        <v>19</v>
      </c>
      <c r="G5005" t="s">
        <v>71</v>
      </c>
      <c r="H5005" t="s">
        <v>21</v>
      </c>
      <c r="I5005" s="12">
        <v>0.67013888888888884</v>
      </c>
      <c r="J5005" t="s">
        <v>72</v>
      </c>
      <c r="K5005" t="s">
        <v>21</v>
      </c>
      <c r="L5005" s="12">
        <v>0.69791666666666663</v>
      </c>
      <c r="M5005" t="s">
        <v>63</v>
      </c>
      <c r="N5005" s="3">
        <v>232</v>
      </c>
      <c r="O5005" t="s">
        <v>24</v>
      </c>
      <c r="P5005" t="s">
        <v>56</v>
      </c>
      <c r="R5005">
        <f>tblDailySchedule[[#This Row],[Capacity Approx]]*'[1]Load Factor Sheet June Acft  '!$B$5</f>
        <v>187.86727272727273</v>
      </c>
      <c r="S5005">
        <f>tblDailySchedule[[#This Row],[Capacity Approx]]*'[1]Load Factor Sheet June Acft  '!$D$5</f>
        <v>203.4218181818182</v>
      </c>
      <c r="T5005" s="22">
        <f>tblDailySchedule[[#This Row],[STD]]</f>
        <v>0.69791666666666663</v>
      </c>
    </row>
    <row r="5006" spans="1:20" hidden="1" x14ac:dyDescent="0.35">
      <c r="A5006" s="11">
        <v>46290</v>
      </c>
      <c r="B5006" s="3">
        <v>5</v>
      </c>
      <c r="C5006" t="s">
        <v>115</v>
      </c>
      <c r="D5006" t="s">
        <v>18</v>
      </c>
      <c r="E5006" s="3">
        <v>19</v>
      </c>
      <c r="F5006" t="s">
        <v>19</v>
      </c>
      <c r="G5006" t="s">
        <v>73</v>
      </c>
      <c r="H5006" t="s">
        <v>27</v>
      </c>
      <c r="I5006" s="12">
        <v>0.74652777777777779</v>
      </c>
      <c r="J5006" t="s">
        <v>74</v>
      </c>
      <c r="K5006" t="s">
        <v>27</v>
      </c>
      <c r="L5006" s="12">
        <v>0.77430555555555558</v>
      </c>
      <c r="M5006" t="s">
        <v>63</v>
      </c>
      <c r="N5006" s="3">
        <v>232</v>
      </c>
      <c r="O5006" t="s">
        <v>24</v>
      </c>
      <c r="P5006" t="s">
        <v>56</v>
      </c>
      <c r="R5006">
        <f>tblDailySchedule[[#This Row],[Capacity Approx]]*'[1]Load Factor Sheet June Acft  '!$B$5</f>
        <v>187.86727272727273</v>
      </c>
      <c r="S5006">
        <f>tblDailySchedule[[#This Row],[Capacity Approx]]*'[1]Load Factor Sheet June Acft  '!$D$5</f>
        <v>203.4218181818182</v>
      </c>
      <c r="T5006" s="22">
        <f>tblDailySchedule[[#This Row],[STD]]</f>
        <v>0.77430555555555558</v>
      </c>
    </row>
    <row r="5007" spans="1:20" hidden="1" x14ac:dyDescent="0.35">
      <c r="A5007" s="11">
        <v>46290</v>
      </c>
      <c r="B5007" s="3">
        <v>5</v>
      </c>
      <c r="C5007" t="s">
        <v>115</v>
      </c>
      <c r="D5007" t="s">
        <v>18</v>
      </c>
      <c r="E5007" s="3">
        <v>20</v>
      </c>
      <c r="F5007" t="s">
        <v>34</v>
      </c>
      <c r="G5007" t="s">
        <v>75</v>
      </c>
      <c r="H5007" t="s">
        <v>76</v>
      </c>
      <c r="I5007" s="12">
        <v>0.76388888888888884</v>
      </c>
      <c r="J5007" t="s">
        <v>77</v>
      </c>
      <c r="K5007" t="s">
        <v>78</v>
      </c>
      <c r="L5007" s="12">
        <v>0.78472222222222221</v>
      </c>
      <c r="M5007" t="s">
        <v>51</v>
      </c>
      <c r="N5007" s="3">
        <v>78</v>
      </c>
      <c r="O5007" t="s">
        <v>24</v>
      </c>
      <c r="P5007" t="s">
        <v>79</v>
      </c>
      <c r="Q5007" s="16" t="s">
        <v>80</v>
      </c>
      <c r="R5007">
        <f>tblDailySchedule[[#This Row],[Capacity Approx]]*'[1]Load Factor Sheet June Acft  '!$B$5</f>
        <v>63.162272727272729</v>
      </c>
      <c r="S5007">
        <f>tblDailySchedule[[#This Row],[Capacity Approx]]*'[1]Load Factor Sheet June Acft  '!$D$5</f>
        <v>68.391818181818181</v>
      </c>
      <c r="T5007" s="22">
        <f>tblDailySchedule[[#This Row],[STD]]</f>
        <v>0.78472222222222221</v>
      </c>
    </row>
    <row r="5008" spans="1:20" hidden="1" x14ac:dyDescent="0.35">
      <c r="A5008" s="11">
        <v>46290</v>
      </c>
      <c r="B5008" s="3">
        <v>5</v>
      </c>
      <c r="C5008" t="s">
        <v>115</v>
      </c>
      <c r="D5008" t="s">
        <v>18</v>
      </c>
      <c r="E5008" s="3">
        <v>21</v>
      </c>
      <c r="F5008" t="s">
        <v>19</v>
      </c>
      <c r="G5008" t="s">
        <v>81</v>
      </c>
      <c r="H5008" t="s">
        <v>61</v>
      </c>
      <c r="I5008" s="12">
        <v>0.77083333333333337</v>
      </c>
      <c r="J5008" t="s">
        <v>82</v>
      </c>
      <c r="K5008" t="s">
        <v>49</v>
      </c>
      <c r="L5008" s="12">
        <v>0.79166666666666663</v>
      </c>
      <c r="M5008" t="s">
        <v>33</v>
      </c>
      <c r="N5008" s="3">
        <v>189</v>
      </c>
      <c r="O5008" t="s">
        <v>24</v>
      </c>
      <c r="P5008" t="s">
        <v>79</v>
      </c>
      <c r="R5008">
        <f>tblDailySchedule[[#This Row],[Capacity Approx]]*'[1]Load Factor Sheet June Acft  '!$B$5</f>
        <v>153.04704545454547</v>
      </c>
      <c r="S5008">
        <f>tblDailySchedule[[#This Row],[Capacity Approx]]*'[1]Load Factor Sheet June Acft  '!$D$5</f>
        <v>165.71863636363636</v>
      </c>
      <c r="T5008" s="22">
        <f>tblDailySchedule[[#This Row],[STD]]</f>
        <v>0.79166666666666663</v>
      </c>
    </row>
    <row r="5009" spans="1:20" hidden="1" x14ac:dyDescent="0.35">
      <c r="A5009" s="11">
        <v>46290</v>
      </c>
      <c r="B5009" s="3">
        <v>5</v>
      </c>
      <c r="C5009" t="s">
        <v>115</v>
      </c>
      <c r="D5009" t="s">
        <v>18</v>
      </c>
      <c r="E5009" s="3">
        <v>22</v>
      </c>
      <c r="F5009" t="s">
        <v>19</v>
      </c>
      <c r="G5009" t="s">
        <v>83</v>
      </c>
      <c r="H5009" t="s">
        <v>31</v>
      </c>
      <c r="I5009" s="12">
        <v>0.77777777777777779</v>
      </c>
      <c r="J5009" t="s">
        <v>84</v>
      </c>
      <c r="K5009" t="s">
        <v>31</v>
      </c>
      <c r="L5009" s="12">
        <v>0.80555555555555558</v>
      </c>
      <c r="M5009" t="s">
        <v>63</v>
      </c>
      <c r="N5009" s="3">
        <v>232</v>
      </c>
      <c r="O5009" t="s">
        <v>24</v>
      </c>
      <c r="P5009" t="s">
        <v>79</v>
      </c>
      <c r="R5009">
        <f>tblDailySchedule[[#This Row],[Capacity Approx]]*'[1]Load Factor Sheet June Acft  '!$B$5</f>
        <v>187.86727272727273</v>
      </c>
      <c r="S5009">
        <f>tblDailySchedule[[#This Row],[Capacity Approx]]*'[1]Load Factor Sheet June Acft  '!$D$5</f>
        <v>203.4218181818182</v>
      </c>
      <c r="T5009" s="22">
        <f>tblDailySchedule[[#This Row],[STD]]</f>
        <v>0.80555555555555558</v>
      </c>
    </row>
    <row r="5010" spans="1:20" hidden="1" x14ac:dyDescent="0.35">
      <c r="A5010" s="11">
        <v>46290</v>
      </c>
      <c r="B5010" s="3">
        <v>5</v>
      </c>
      <c r="C5010" t="s">
        <v>115</v>
      </c>
      <c r="D5010" t="s">
        <v>18</v>
      </c>
      <c r="E5010" s="3">
        <v>23</v>
      </c>
      <c r="F5010" t="s">
        <v>19</v>
      </c>
      <c r="G5010" t="s">
        <v>85</v>
      </c>
      <c r="H5010" t="s">
        <v>86</v>
      </c>
      <c r="I5010" s="12">
        <v>0.79861111111111116</v>
      </c>
      <c r="J5010" t="s">
        <v>87</v>
      </c>
      <c r="K5010" t="s">
        <v>86</v>
      </c>
      <c r="L5010" s="12">
        <v>0.82638888888888884</v>
      </c>
      <c r="M5010" t="s">
        <v>63</v>
      </c>
      <c r="N5010" s="3">
        <v>232</v>
      </c>
      <c r="O5010" t="s">
        <v>24</v>
      </c>
      <c r="P5010" t="s">
        <v>79</v>
      </c>
      <c r="R5010">
        <f>tblDailySchedule[[#This Row],[Capacity Approx]]*'[1]Load Factor Sheet June Acft  '!$B$5</f>
        <v>187.86727272727273</v>
      </c>
      <c r="S5010">
        <f>tblDailySchedule[[#This Row],[Capacity Approx]]*'[1]Load Factor Sheet June Acft  '!$D$5</f>
        <v>203.4218181818182</v>
      </c>
      <c r="T5010" s="22">
        <f>tblDailySchedule[[#This Row],[STD]]</f>
        <v>0.82638888888888884</v>
      </c>
    </row>
    <row r="5011" spans="1:20" hidden="1" x14ac:dyDescent="0.35">
      <c r="A5011" s="11">
        <v>46290</v>
      </c>
      <c r="B5011" s="3">
        <v>5</v>
      </c>
      <c r="C5011" t="s">
        <v>115</v>
      </c>
      <c r="D5011" t="s">
        <v>18</v>
      </c>
      <c r="E5011" s="3">
        <v>24</v>
      </c>
      <c r="F5011" t="s">
        <v>19</v>
      </c>
      <c r="G5011" t="s">
        <v>88</v>
      </c>
      <c r="H5011" t="s">
        <v>89</v>
      </c>
      <c r="I5011" s="12">
        <v>0.83333333333333337</v>
      </c>
      <c r="J5011" t="s">
        <v>90</v>
      </c>
      <c r="K5011" t="s">
        <v>31</v>
      </c>
      <c r="L5011" s="12">
        <v>0.86111111111111116</v>
      </c>
      <c r="M5011" t="s">
        <v>63</v>
      </c>
      <c r="N5011" s="3">
        <v>232</v>
      </c>
      <c r="O5011" t="s">
        <v>24</v>
      </c>
      <c r="P5011" t="s">
        <v>79</v>
      </c>
      <c r="R5011">
        <f>tblDailySchedule[[#This Row],[Capacity Approx]]*'[1]Load Factor Sheet June Acft  '!$B$5</f>
        <v>187.86727272727273</v>
      </c>
      <c r="S5011">
        <f>tblDailySchedule[[#This Row],[Capacity Approx]]*'[1]Load Factor Sheet June Acft  '!$D$5</f>
        <v>203.4218181818182</v>
      </c>
      <c r="T5011" s="22">
        <f>tblDailySchedule[[#This Row],[STD]]</f>
        <v>0.86111111111111116</v>
      </c>
    </row>
    <row r="5012" spans="1:20" hidden="1" x14ac:dyDescent="0.35">
      <c r="A5012" s="11">
        <v>46290</v>
      </c>
      <c r="B5012" s="3">
        <v>5</v>
      </c>
      <c r="C5012" t="s">
        <v>115</v>
      </c>
      <c r="D5012" t="s">
        <v>18</v>
      </c>
      <c r="E5012" s="3">
        <v>25</v>
      </c>
      <c r="F5012" t="s">
        <v>19</v>
      </c>
      <c r="G5012" t="s">
        <v>91</v>
      </c>
      <c r="H5012" t="s">
        <v>61</v>
      </c>
      <c r="I5012" s="12">
        <v>0.85416666666666663</v>
      </c>
      <c r="J5012" t="s">
        <v>92</v>
      </c>
      <c r="K5012" t="s">
        <v>61</v>
      </c>
      <c r="L5012" s="12">
        <v>0.88194444444444442</v>
      </c>
      <c r="M5012" t="s">
        <v>63</v>
      </c>
      <c r="N5012" s="3">
        <v>232</v>
      </c>
      <c r="O5012" t="s">
        <v>24</v>
      </c>
      <c r="P5012" t="s">
        <v>79</v>
      </c>
      <c r="R5012">
        <f>tblDailySchedule[[#This Row],[Capacity Approx]]*'[1]Load Factor Sheet June Acft  '!$B$5</f>
        <v>187.86727272727273</v>
      </c>
      <c r="S5012">
        <f>tblDailySchedule[[#This Row],[Capacity Approx]]*'[1]Load Factor Sheet June Acft  '!$D$5</f>
        <v>203.4218181818182</v>
      </c>
      <c r="T5012" s="22">
        <f>tblDailySchedule[[#This Row],[STD]]</f>
        <v>0.88194444444444442</v>
      </c>
    </row>
    <row r="5013" spans="1:20" hidden="1" x14ac:dyDescent="0.35">
      <c r="A5013" s="11">
        <v>46290</v>
      </c>
      <c r="B5013" s="3">
        <v>5</v>
      </c>
      <c r="C5013" t="s">
        <v>115</v>
      </c>
      <c r="D5013" t="s">
        <v>18</v>
      </c>
      <c r="E5013" s="3">
        <v>26</v>
      </c>
      <c r="F5013" t="s">
        <v>19</v>
      </c>
      <c r="G5013" t="s">
        <v>93</v>
      </c>
      <c r="H5013" t="s">
        <v>31</v>
      </c>
      <c r="I5013" s="12">
        <v>0.86111111111111116</v>
      </c>
      <c r="J5013" t="s">
        <v>94</v>
      </c>
      <c r="K5013" t="s">
        <v>31</v>
      </c>
      <c r="L5013" s="12">
        <v>0.88888888888888884</v>
      </c>
      <c r="M5013" t="s">
        <v>23</v>
      </c>
      <c r="N5013" s="3">
        <v>186</v>
      </c>
      <c r="O5013" t="s">
        <v>24</v>
      </c>
      <c r="P5013" t="s">
        <v>79</v>
      </c>
      <c r="R5013">
        <f>tblDailySchedule[[#This Row],[Capacity Approx]]*'[1]Load Factor Sheet June Acft  '!$B$5</f>
        <v>150.61772727272728</v>
      </c>
      <c r="S5013">
        <f>tblDailySchedule[[#This Row],[Capacity Approx]]*'[1]Load Factor Sheet June Acft  '!$D$5</f>
        <v>163.08818181818182</v>
      </c>
      <c r="T5013" s="22">
        <f>tblDailySchedule[[#This Row],[STD]]</f>
        <v>0.88888888888888884</v>
      </c>
    </row>
    <row r="5014" spans="1:20" hidden="1" x14ac:dyDescent="0.35">
      <c r="A5014" s="11">
        <v>46290</v>
      </c>
      <c r="B5014" s="3">
        <v>5</v>
      </c>
      <c r="C5014" t="s">
        <v>115</v>
      </c>
      <c r="D5014" t="s">
        <v>18</v>
      </c>
      <c r="E5014" s="3">
        <v>27</v>
      </c>
      <c r="F5014" t="s">
        <v>19</v>
      </c>
      <c r="G5014" t="s">
        <v>95</v>
      </c>
      <c r="H5014" t="s">
        <v>21</v>
      </c>
      <c r="I5014" s="12">
        <v>0.86805555555555558</v>
      </c>
      <c r="J5014" t="s">
        <v>96</v>
      </c>
      <c r="K5014" t="s">
        <v>21</v>
      </c>
      <c r="L5014" s="12">
        <v>0.89583333333333337</v>
      </c>
      <c r="M5014" t="s">
        <v>29</v>
      </c>
      <c r="N5014" s="3">
        <v>186</v>
      </c>
      <c r="O5014" t="s">
        <v>24</v>
      </c>
      <c r="P5014" t="s">
        <v>79</v>
      </c>
      <c r="R5014">
        <f>tblDailySchedule[[#This Row],[Capacity Approx]]*'[1]Load Factor Sheet June Acft  '!$B$5</f>
        <v>150.61772727272728</v>
      </c>
      <c r="S5014">
        <f>tblDailySchedule[[#This Row],[Capacity Approx]]*'[1]Load Factor Sheet June Acft  '!$D$5</f>
        <v>163.08818181818182</v>
      </c>
      <c r="T5014" s="22">
        <f>tblDailySchedule[[#This Row],[STD]]</f>
        <v>0.89583333333333337</v>
      </c>
    </row>
    <row r="5015" spans="1:20" hidden="1" x14ac:dyDescent="0.35">
      <c r="A5015" s="11">
        <v>46290</v>
      </c>
      <c r="B5015" s="3">
        <v>5</v>
      </c>
      <c r="C5015" t="s">
        <v>115</v>
      </c>
      <c r="D5015" t="s">
        <v>18</v>
      </c>
      <c r="E5015" s="3">
        <v>28</v>
      </c>
      <c r="F5015" t="s">
        <v>19</v>
      </c>
      <c r="G5015" t="s">
        <v>97</v>
      </c>
      <c r="H5015" t="s">
        <v>49</v>
      </c>
      <c r="I5015" s="12">
        <v>0.90277777777777779</v>
      </c>
      <c r="J5015" t="s">
        <v>97</v>
      </c>
      <c r="K5015" t="s">
        <v>61</v>
      </c>
      <c r="L5015" s="12">
        <v>0.92361111111111116</v>
      </c>
      <c r="M5015" t="s">
        <v>33</v>
      </c>
      <c r="N5015" s="3">
        <v>189</v>
      </c>
      <c r="O5015" t="s">
        <v>24</v>
      </c>
      <c r="P5015" t="s">
        <v>79</v>
      </c>
      <c r="R5015">
        <f>tblDailySchedule[[#This Row],[Capacity Approx]]*'[1]Load Factor Sheet June Acft  '!$B$5</f>
        <v>153.04704545454547</v>
      </c>
      <c r="S5015">
        <f>tblDailySchedule[[#This Row],[Capacity Approx]]*'[1]Load Factor Sheet June Acft  '!$D$5</f>
        <v>165.71863636363636</v>
      </c>
      <c r="T5015" s="22">
        <f>tblDailySchedule[[#This Row],[STD]]</f>
        <v>0.92361111111111116</v>
      </c>
    </row>
    <row r="5016" spans="1:20" hidden="1" x14ac:dyDescent="0.35">
      <c r="A5016" s="11">
        <v>46290</v>
      </c>
      <c r="B5016" s="3">
        <v>5</v>
      </c>
      <c r="C5016" t="s">
        <v>115</v>
      </c>
      <c r="D5016" t="s">
        <v>18</v>
      </c>
      <c r="E5016" s="3">
        <v>29</v>
      </c>
      <c r="F5016" t="s">
        <v>19</v>
      </c>
      <c r="G5016" t="s">
        <v>98</v>
      </c>
      <c r="H5016" t="s">
        <v>21</v>
      </c>
      <c r="I5016" s="12">
        <v>0.92013888888888884</v>
      </c>
      <c r="J5016" t="s">
        <v>99</v>
      </c>
      <c r="K5016" t="s">
        <v>21</v>
      </c>
      <c r="L5016" s="12">
        <v>0.94791666666666663</v>
      </c>
      <c r="M5016" t="s">
        <v>63</v>
      </c>
      <c r="N5016" s="3">
        <v>232</v>
      </c>
      <c r="O5016" t="s">
        <v>24</v>
      </c>
      <c r="P5016" t="s">
        <v>79</v>
      </c>
      <c r="R5016">
        <f>tblDailySchedule[[#This Row],[Capacity Approx]]*'[1]Load Factor Sheet June Acft  '!$B$5</f>
        <v>187.86727272727273</v>
      </c>
      <c r="S5016">
        <f>tblDailySchedule[[#This Row],[Capacity Approx]]*'[1]Load Factor Sheet June Acft  '!$D$5</f>
        <v>203.4218181818182</v>
      </c>
      <c r="T5016" s="22">
        <f>tblDailySchedule[[#This Row],[STD]]</f>
        <v>0.94791666666666663</v>
      </c>
    </row>
    <row r="5017" spans="1:20" hidden="1" x14ac:dyDescent="0.35">
      <c r="A5017" s="13">
        <v>46290</v>
      </c>
      <c r="B5017" s="7">
        <v>5</v>
      </c>
      <c r="C5017" s="14" t="s">
        <v>115</v>
      </c>
      <c r="D5017" s="14" t="s">
        <v>18</v>
      </c>
      <c r="E5017" s="7">
        <v>30</v>
      </c>
      <c r="F5017" s="14" t="s">
        <v>104</v>
      </c>
      <c r="G5017" s="14" t="s">
        <v>105</v>
      </c>
      <c r="H5017" s="14" t="s">
        <v>106</v>
      </c>
      <c r="I5017" s="15">
        <v>0.92708333333333337</v>
      </c>
      <c r="J5017" s="14" t="s">
        <v>107</v>
      </c>
      <c r="K5017" s="14" t="s">
        <v>106</v>
      </c>
      <c r="L5017" s="15">
        <v>0.95833333333333337</v>
      </c>
      <c r="M5017" s="14" t="s">
        <v>38</v>
      </c>
      <c r="N5017" s="7">
        <v>186</v>
      </c>
      <c r="O5017" s="14" t="s">
        <v>39</v>
      </c>
      <c r="P5017" s="14" t="s">
        <v>79</v>
      </c>
      <c r="Q5017" s="14" t="s">
        <v>39</v>
      </c>
      <c r="R5017">
        <f>tblDailySchedule[[#This Row],[Capacity Approx]]*'[1]Load Factor Sheet June Acft  '!$B$5</f>
        <v>150.61772727272728</v>
      </c>
      <c r="S5017">
        <f>tblDailySchedule[[#This Row],[Capacity Approx]]*'[1]Load Factor Sheet June Acft  '!$D$5</f>
        <v>163.08818181818182</v>
      </c>
      <c r="T5017" s="22">
        <f>tblDailySchedule[[#This Row],[STD]]</f>
        <v>0.95833333333333337</v>
      </c>
    </row>
    <row r="5018" spans="1:20" hidden="1" x14ac:dyDescent="0.35">
      <c r="A5018" s="11">
        <v>46291</v>
      </c>
      <c r="B5018" s="3">
        <v>6</v>
      </c>
      <c r="C5018" t="s">
        <v>116</v>
      </c>
      <c r="D5018" t="s">
        <v>18</v>
      </c>
      <c r="E5018" s="3">
        <v>1</v>
      </c>
      <c r="F5018" t="s">
        <v>101</v>
      </c>
      <c r="G5018" t="s">
        <v>102</v>
      </c>
      <c r="H5018" t="s">
        <v>61</v>
      </c>
      <c r="I5018" s="12">
        <v>0.3125</v>
      </c>
      <c r="J5018" t="s">
        <v>103</v>
      </c>
      <c r="K5018" t="s">
        <v>61</v>
      </c>
      <c r="L5018" s="12">
        <v>0.33333333333333331</v>
      </c>
      <c r="M5018" t="s">
        <v>33</v>
      </c>
      <c r="N5018" s="3">
        <v>189</v>
      </c>
      <c r="O5018" t="s">
        <v>24</v>
      </c>
      <c r="P5018" t="s">
        <v>25</v>
      </c>
      <c r="R5018">
        <f>tblDailySchedule[[#This Row],[Capacity Approx]]*'[1]Load Factor Sheet June Acft  '!$B$5</f>
        <v>153.04704545454547</v>
      </c>
      <c r="S5018">
        <f>tblDailySchedule[[#This Row],[Capacity Approx]]*'[1]Load Factor Sheet June Acft  '!$D$5</f>
        <v>165.71863636363636</v>
      </c>
      <c r="T5018" s="22">
        <f>tblDailySchedule[[#This Row],[STD]]</f>
        <v>0.33333333333333331</v>
      </c>
    </row>
    <row r="5019" spans="1:20" hidden="1" x14ac:dyDescent="0.35">
      <c r="A5019" s="11">
        <v>46291</v>
      </c>
      <c r="B5019" s="3">
        <v>6</v>
      </c>
      <c r="C5019" t="s">
        <v>116</v>
      </c>
      <c r="D5019" t="s">
        <v>18</v>
      </c>
      <c r="E5019" s="3">
        <v>2</v>
      </c>
      <c r="F5019" t="s">
        <v>19</v>
      </c>
      <c r="G5019" t="s">
        <v>20</v>
      </c>
      <c r="H5019" t="s">
        <v>21</v>
      </c>
      <c r="I5019" s="12">
        <v>0.31944444444444442</v>
      </c>
      <c r="J5019" t="s">
        <v>22</v>
      </c>
      <c r="K5019" t="s">
        <v>21</v>
      </c>
      <c r="L5019" s="12">
        <v>0.34722222222222221</v>
      </c>
      <c r="M5019" t="s">
        <v>23</v>
      </c>
      <c r="N5019" s="3">
        <v>186</v>
      </c>
      <c r="O5019" t="s">
        <v>24</v>
      </c>
      <c r="P5019" t="s">
        <v>25</v>
      </c>
      <c r="R5019">
        <f>tblDailySchedule[[#This Row],[Capacity Approx]]*'[1]Load Factor Sheet June Acft  '!$B$5</f>
        <v>150.61772727272728</v>
      </c>
      <c r="S5019">
        <f>tblDailySchedule[[#This Row],[Capacity Approx]]*'[1]Load Factor Sheet June Acft  '!$D$5</f>
        <v>163.08818181818182</v>
      </c>
      <c r="T5019" s="22">
        <f>tblDailySchedule[[#This Row],[STD]]</f>
        <v>0.34722222222222221</v>
      </c>
    </row>
    <row r="5020" spans="1:20" hidden="1" x14ac:dyDescent="0.35">
      <c r="A5020" s="11">
        <v>46291</v>
      </c>
      <c r="B5020" s="3">
        <v>6</v>
      </c>
      <c r="C5020" t="s">
        <v>116</v>
      </c>
      <c r="D5020" t="s">
        <v>18</v>
      </c>
      <c r="E5020" s="3">
        <v>3</v>
      </c>
      <c r="F5020" t="s">
        <v>19</v>
      </c>
      <c r="G5020" t="s">
        <v>26</v>
      </c>
      <c r="H5020" t="s">
        <v>27</v>
      </c>
      <c r="I5020" s="12">
        <v>0.3263888888888889</v>
      </c>
      <c r="J5020" t="s">
        <v>28</v>
      </c>
      <c r="K5020" t="s">
        <v>27</v>
      </c>
      <c r="L5020" s="12">
        <v>0.35416666666666669</v>
      </c>
      <c r="M5020" t="s">
        <v>29</v>
      </c>
      <c r="N5020" s="3">
        <v>186</v>
      </c>
      <c r="O5020" t="s">
        <v>24</v>
      </c>
      <c r="P5020" t="s">
        <v>25</v>
      </c>
      <c r="R5020">
        <f>tblDailySchedule[[#This Row],[Capacity Approx]]*'[1]Load Factor Sheet June Acft  '!$B$5</f>
        <v>150.61772727272728</v>
      </c>
      <c r="S5020">
        <f>tblDailySchedule[[#This Row],[Capacity Approx]]*'[1]Load Factor Sheet June Acft  '!$D$5</f>
        <v>163.08818181818182</v>
      </c>
      <c r="T5020" s="22">
        <f>tblDailySchedule[[#This Row],[STD]]</f>
        <v>0.35416666666666669</v>
      </c>
    </row>
    <row r="5021" spans="1:20" hidden="1" x14ac:dyDescent="0.35">
      <c r="A5021" s="11">
        <v>46291</v>
      </c>
      <c r="B5021" s="3">
        <v>6</v>
      </c>
      <c r="C5021" t="s">
        <v>116</v>
      </c>
      <c r="D5021" t="s">
        <v>18</v>
      </c>
      <c r="E5021" s="3">
        <v>4</v>
      </c>
      <c r="F5021" t="s">
        <v>19</v>
      </c>
      <c r="G5021" t="s">
        <v>30</v>
      </c>
      <c r="H5021" t="s">
        <v>31</v>
      </c>
      <c r="I5021" s="12">
        <v>0.34722222222222221</v>
      </c>
      <c r="J5021" t="s">
        <v>32</v>
      </c>
      <c r="K5021" t="s">
        <v>31</v>
      </c>
      <c r="L5021" s="12">
        <v>0.36805555555555558</v>
      </c>
      <c r="M5021" t="s">
        <v>33</v>
      </c>
      <c r="N5021" s="3">
        <v>189</v>
      </c>
      <c r="O5021" t="s">
        <v>24</v>
      </c>
      <c r="P5021" t="s">
        <v>25</v>
      </c>
      <c r="R5021">
        <f>tblDailySchedule[[#This Row],[Capacity Approx]]*'[1]Load Factor Sheet June Acft  '!$B$5</f>
        <v>153.04704545454547</v>
      </c>
      <c r="S5021">
        <f>tblDailySchedule[[#This Row],[Capacity Approx]]*'[1]Load Factor Sheet June Acft  '!$D$5</f>
        <v>165.71863636363636</v>
      </c>
      <c r="T5021" s="22">
        <f>tblDailySchedule[[#This Row],[STD]]</f>
        <v>0.36805555555555558</v>
      </c>
    </row>
    <row r="5022" spans="1:20" hidden="1" x14ac:dyDescent="0.35">
      <c r="A5022" s="11">
        <v>46291</v>
      </c>
      <c r="B5022" s="3">
        <v>6</v>
      </c>
      <c r="C5022" t="s">
        <v>116</v>
      </c>
      <c r="D5022" t="s">
        <v>18</v>
      </c>
      <c r="E5022" s="3">
        <v>5</v>
      </c>
      <c r="F5022" t="s">
        <v>19</v>
      </c>
      <c r="G5022" t="s">
        <v>40</v>
      </c>
      <c r="H5022" t="s">
        <v>31</v>
      </c>
      <c r="I5022" s="12">
        <v>0.35069444444444442</v>
      </c>
      <c r="J5022" t="s">
        <v>41</v>
      </c>
      <c r="K5022" t="s">
        <v>31</v>
      </c>
      <c r="L5022" s="12">
        <v>0.37152777777777779</v>
      </c>
      <c r="M5022" t="s">
        <v>23</v>
      </c>
      <c r="N5022" s="3">
        <v>186</v>
      </c>
      <c r="O5022" t="s">
        <v>24</v>
      </c>
      <c r="P5022" t="s">
        <v>25</v>
      </c>
      <c r="R5022">
        <f>tblDailySchedule[[#This Row],[Capacity Approx]]*'[1]Load Factor Sheet June Acft  '!$B$5</f>
        <v>150.61772727272728</v>
      </c>
      <c r="S5022">
        <f>tblDailySchedule[[#This Row],[Capacity Approx]]*'[1]Load Factor Sheet June Acft  '!$D$5</f>
        <v>163.08818181818182</v>
      </c>
      <c r="T5022" s="22">
        <f>tblDailySchedule[[#This Row],[STD]]</f>
        <v>0.37152777777777779</v>
      </c>
    </row>
    <row r="5023" spans="1:20" hidden="1" x14ac:dyDescent="0.35">
      <c r="A5023" s="11">
        <v>46291</v>
      </c>
      <c r="B5023" s="3">
        <v>6</v>
      </c>
      <c r="C5023" t="s">
        <v>116</v>
      </c>
      <c r="D5023" t="s">
        <v>18</v>
      </c>
      <c r="E5023" s="3">
        <v>7</v>
      </c>
      <c r="F5023" t="s">
        <v>19</v>
      </c>
      <c r="G5023" t="s">
        <v>42</v>
      </c>
      <c r="H5023" t="s">
        <v>43</v>
      </c>
      <c r="I5023" s="12">
        <v>0.3923611111111111</v>
      </c>
      <c r="J5023" t="s">
        <v>44</v>
      </c>
      <c r="K5023" t="s">
        <v>43</v>
      </c>
      <c r="L5023" s="12">
        <v>0.40277777777777779</v>
      </c>
      <c r="M5023" t="s">
        <v>45</v>
      </c>
      <c r="N5023" s="3">
        <v>9</v>
      </c>
      <c r="O5023" t="s">
        <v>24</v>
      </c>
      <c r="P5023" t="s">
        <v>25</v>
      </c>
      <c r="R5023">
        <f>tblDailySchedule[[#This Row],[Capacity Approx]]*'[1]Load Factor Sheet June Acft  '!$B$5</f>
        <v>7.2879545454545456</v>
      </c>
      <c r="S5023">
        <f>tblDailySchedule[[#This Row],[Capacity Approx]]*'[1]Load Factor Sheet June Acft  '!$D$5</f>
        <v>7.8913636363636366</v>
      </c>
      <c r="T5023" s="22">
        <f>tblDailySchedule[[#This Row],[STD]]</f>
        <v>0.40277777777777779</v>
      </c>
    </row>
    <row r="5024" spans="1:20" hidden="1" x14ac:dyDescent="0.35">
      <c r="A5024" s="11">
        <v>46291</v>
      </c>
      <c r="B5024" s="3">
        <v>6</v>
      </c>
      <c r="C5024" t="s">
        <v>116</v>
      </c>
      <c r="D5024" t="s">
        <v>18</v>
      </c>
      <c r="E5024" s="3">
        <v>8</v>
      </c>
      <c r="F5024" t="s">
        <v>19</v>
      </c>
      <c r="G5024" t="s">
        <v>46</v>
      </c>
      <c r="H5024" t="s">
        <v>31</v>
      </c>
      <c r="I5024" s="12">
        <v>0.4201388888888889</v>
      </c>
      <c r="J5024" t="s">
        <v>47</v>
      </c>
      <c r="K5024" t="s">
        <v>31</v>
      </c>
      <c r="L5024" s="12">
        <v>0.44444444444444442</v>
      </c>
      <c r="M5024" t="s">
        <v>29</v>
      </c>
      <c r="N5024" s="3">
        <v>186</v>
      </c>
      <c r="O5024" t="s">
        <v>24</v>
      </c>
      <c r="P5024" t="s">
        <v>25</v>
      </c>
      <c r="R5024">
        <f>tblDailySchedule[[#This Row],[Capacity Approx]]*'[1]Load Factor Sheet June Acft  '!$B$5</f>
        <v>150.61772727272728</v>
      </c>
      <c r="S5024">
        <f>tblDailySchedule[[#This Row],[Capacity Approx]]*'[1]Load Factor Sheet June Acft  '!$D$5</f>
        <v>163.08818181818182</v>
      </c>
      <c r="T5024" s="22">
        <f>tblDailySchedule[[#This Row],[STD]]</f>
        <v>0.44444444444444442</v>
      </c>
    </row>
    <row r="5025" spans="1:20" hidden="1" x14ac:dyDescent="0.35">
      <c r="A5025" s="11">
        <v>46291</v>
      </c>
      <c r="B5025" s="3">
        <v>6</v>
      </c>
      <c r="C5025" t="s">
        <v>116</v>
      </c>
      <c r="D5025" t="s">
        <v>18</v>
      </c>
      <c r="E5025" s="3">
        <v>9</v>
      </c>
      <c r="F5025" t="s">
        <v>19</v>
      </c>
      <c r="G5025" t="s">
        <v>48</v>
      </c>
      <c r="H5025" t="s">
        <v>49</v>
      </c>
      <c r="I5025" s="12">
        <v>0.4375</v>
      </c>
      <c r="J5025" t="s">
        <v>50</v>
      </c>
      <c r="K5025" t="s">
        <v>49</v>
      </c>
      <c r="L5025" s="12">
        <v>0.45833333333333331</v>
      </c>
      <c r="M5025" t="s">
        <v>51</v>
      </c>
      <c r="N5025" s="3">
        <v>78</v>
      </c>
      <c r="O5025" t="s">
        <v>24</v>
      </c>
      <c r="P5025" t="s">
        <v>25</v>
      </c>
      <c r="R5025">
        <f>tblDailySchedule[[#This Row],[Capacity Approx]]*'[1]Load Factor Sheet June Acft  '!$B$5</f>
        <v>63.162272727272729</v>
      </c>
      <c r="S5025">
        <f>tblDailySchedule[[#This Row],[Capacity Approx]]*'[1]Load Factor Sheet June Acft  '!$D$5</f>
        <v>68.391818181818181</v>
      </c>
      <c r="T5025" s="22">
        <f>tblDailySchedule[[#This Row],[STD]]</f>
        <v>0.45833333333333331</v>
      </c>
    </row>
    <row r="5026" spans="1:20" hidden="1" x14ac:dyDescent="0.35">
      <c r="A5026" s="11">
        <v>46291</v>
      </c>
      <c r="B5026" s="3">
        <v>6</v>
      </c>
      <c r="C5026" t="s">
        <v>116</v>
      </c>
      <c r="D5026" t="s">
        <v>18</v>
      </c>
      <c r="E5026" s="3">
        <v>10</v>
      </c>
      <c r="F5026" t="s">
        <v>19</v>
      </c>
      <c r="G5026" t="s">
        <v>52</v>
      </c>
      <c r="H5026" t="s">
        <v>27</v>
      </c>
      <c r="I5026" s="12">
        <v>0.4826388888888889</v>
      </c>
      <c r="J5026" t="s">
        <v>53</v>
      </c>
      <c r="K5026" t="s">
        <v>27</v>
      </c>
      <c r="L5026" s="12">
        <v>0.51041666666666663</v>
      </c>
      <c r="M5026" t="s">
        <v>23</v>
      </c>
      <c r="N5026" s="3">
        <v>186</v>
      </c>
      <c r="O5026" t="s">
        <v>24</v>
      </c>
      <c r="P5026" t="s">
        <v>25</v>
      </c>
      <c r="R5026">
        <f>tblDailySchedule[[#This Row],[Capacity Approx]]*'[1]Load Factor Sheet June Acft  '!$B$5</f>
        <v>150.61772727272728</v>
      </c>
      <c r="S5026">
        <f>tblDailySchedule[[#This Row],[Capacity Approx]]*'[1]Load Factor Sheet June Acft  '!$D$5</f>
        <v>163.08818181818182</v>
      </c>
      <c r="T5026" s="22">
        <f>tblDailySchedule[[#This Row],[STD]]</f>
        <v>0.51041666666666663</v>
      </c>
    </row>
    <row r="5027" spans="1:20" hidden="1" x14ac:dyDescent="0.35">
      <c r="A5027" s="11">
        <v>46291</v>
      </c>
      <c r="B5027" s="3">
        <v>6</v>
      </c>
      <c r="C5027" t="s">
        <v>116</v>
      </c>
      <c r="D5027" t="s">
        <v>18</v>
      </c>
      <c r="E5027" s="3">
        <v>11</v>
      </c>
      <c r="F5027" t="s">
        <v>19</v>
      </c>
      <c r="G5027" t="s">
        <v>54</v>
      </c>
      <c r="H5027" t="s">
        <v>31</v>
      </c>
      <c r="I5027" s="12">
        <v>0.51388888888888884</v>
      </c>
      <c r="J5027" t="s">
        <v>55</v>
      </c>
      <c r="K5027" t="s">
        <v>31</v>
      </c>
      <c r="L5027" s="12">
        <v>0.54166666666666663</v>
      </c>
      <c r="M5027" t="s">
        <v>23</v>
      </c>
      <c r="N5027" s="3">
        <v>186</v>
      </c>
      <c r="O5027" t="s">
        <v>24</v>
      </c>
      <c r="P5027" t="s">
        <v>56</v>
      </c>
      <c r="R5027">
        <f>tblDailySchedule[[#This Row],[Capacity Approx]]*'[1]Load Factor Sheet June Acft  '!$B$5</f>
        <v>150.61772727272728</v>
      </c>
      <c r="S5027">
        <f>tblDailySchedule[[#This Row],[Capacity Approx]]*'[1]Load Factor Sheet June Acft  '!$D$5</f>
        <v>163.08818181818182</v>
      </c>
      <c r="T5027" s="22">
        <f>tblDailySchedule[[#This Row],[STD]]</f>
        <v>0.54166666666666663</v>
      </c>
    </row>
    <row r="5028" spans="1:20" hidden="1" x14ac:dyDescent="0.35">
      <c r="A5028" s="11">
        <v>46291</v>
      </c>
      <c r="B5028" s="3">
        <v>6</v>
      </c>
      <c r="C5028" t="s">
        <v>116</v>
      </c>
      <c r="D5028" t="s">
        <v>18</v>
      </c>
      <c r="E5028" s="3">
        <v>12</v>
      </c>
      <c r="F5028" t="s">
        <v>109</v>
      </c>
      <c r="G5028" t="s">
        <v>110</v>
      </c>
      <c r="H5028" t="s">
        <v>111</v>
      </c>
      <c r="I5028" s="12">
        <v>0.55555555555555558</v>
      </c>
      <c r="J5028" t="s">
        <v>112</v>
      </c>
      <c r="K5028" t="s">
        <v>111</v>
      </c>
      <c r="L5028" s="12">
        <v>0.56944444444444442</v>
      </c>
      <c r="M5028" t="s">
        <v>51</v>
      </c>
      <c r="N5028" s="3">
        <v>78</v>
      </c>
      <c r="O5028" t="s">
        <v>24</v>
      </c>
      <c r="P5028" t="s">
        <v>56</v>
      </c>
      <c r="R5028">
        <f>tblDailySchedule[[#This Row],[Capacity Approx]]*'[1]Load Factor Sheet June Acft  '!$B$5</f>
        <v>63.162272727272729</v>
      </c>
      <c r="S5028">
        <f>tblDailySchedule[[#This Row],[Capacity Approx]]*'[1]Load Factor Sheet June Acft  '!$D$5</f>
        <v>68.391818181818181</v>
      </c>
      <c r="T5028" s="22">
        <f>tblDailySchedule[[#This Row],[STD]]</f>
        <v>0.56944444444444442</v>
      </c>
    </row>
    <row r="5029" spans="1:20" hidden="1" x14ac:dyDescent="0.35">
      <c r="A5029" s="11">
        <v>46291</v>
      </c>
      <c r="B5029" s="3">
        <v>6</v>
      </c>
      <c r="C5029" t="s">
        <v>116</v>
      </c>
      <c r="D5029" t="s">
        <v>18</v>
      </c>
      <c r="E5029" s="3">
        <v>13</v>
      </c>
      <c r="F5029" t="s">
        <v>19</v>
      </c>
      <c r="G5029" t="s">
        <v>57</v>
      </c>
      <c r="H5029" t="s">
        <v>58</v>
      </c>
      <c r="I5029" s="12">
        <v>0.55902777777777779</v>
      </c>
      <c r="J5029" t="s">
        <v>59</v>
      </c>
      <c r="K5029" t="s">
        <v>58</v>
      </c>
      <c r="L5029" s="12">
        <v>0.57638888888888884</v>
      </c>
      <c r="M5029" t="s">
        <v>51</v>
      </c>
      <c r="N5029" s="3">
        <v>78</v>
      </c>
      <c r="O5029" t="s">
        <v>24</v>
      </c>
      <c r="P5029" t="s">
        <v>56</v>
      </c>
      <c r="R5029">
        <f>tblDailySchedule[[#This Row],[Capacity Approx]]*'[1]Load Factor Sheet June Acft  '!$B$5</f>
        <v>63.162272727272729</v>
      </c>
      <c r="S5029">
        <f>tblDailySchedule[[#This Row],[Capacity Approx]]*'[1]Load Factor Sheet June Acft  '!$D$5</f>
        <v>68.391818181818181</v>
      </c>
      <c r="T5029" s="22">
        <f>tblDailySchedule[[#This Row],[STD]]</f>
        <v>0.57638888888888884</v>
      </c>
    </row>
    <row r="5030" spans="1:20" hidden="1" x14ac:dyDescent="0.35">
      <c r="A5030" s="11">
        <v>46291</v>
      </c>
      <c r="B5030" s="3">
        <v>6</v>
      </c>
      <c r="C5030" t="s">
        <v>116</v>
      </c>
      <c r="D5030" t="s">
        <v>18</v>
      </c>
      <c r="E5030" s="3">
        <v>14</v>
      </c>
      <c r="F5030" t="s">
        <v>19</v>
      </c>
      <c r="G5030" t="s">
        <v>60</v>
      </c>
      <c r="H5030" t="s">
        <v>61</v>
      </c>
      <c r="I5030" s="12">
        <v>0.59027777777777779</v>
      </c>
      <c r="J5030" t="s">
        <v>62</v>
      </c>
      <c r="K5030" t="s">
        <v>61</v>
      </c>
      <c r="L5030" s="12">
        <v>0.62152777777777779</v>
      </c>
      <c r="M5030" t="s">
        <v>63</v>
      </c>
      <c r="N5030" s="3">
        <v>232</v>
      </c>
      <c r="O5030" t="s">
        <v>24</v>
      </c>
      <c r="P5030" t="s">
        <v>56</v>
      </c>
      <c r="R5030">
        <f>tblDailySchedule[[#This Row],[Capacity Approx]]*'[1]Load Factor Sheet June Acft  '!$B$5</f>
        <v>187.86727272727273</v>
      </c>
      <c r="S5030">
        <f>tblDailySchedule[[#This Row],[Capacity Approx]]*'[1]Load Factor Sheet June Acft  '!$D$5</f>
        <v>203.4218181818182</v>
      </c>
      <c r="T5030" s="22">
        <f>tblDailySchedule[[#This Row],[STD]]</f>
        <v>0.62152777777777779</v>
      </c>
    </row>
    <row r="5031" spans="1:20" hidden="1" x14ac:dyDescent="0.35">
      <c r="A5031" s="11">
        <v>46291</v>
      </c>
      <c r="B5031" s="3">
        <v>6</v>
      </c>
      <c r="C5031" t="s">
        <v>116</v>
      </c>
      <c r="D5031" t="s">
        <v>18</v>
      </c>
      <c r="E5031" s="3">
        <v>15</v>
      </c>
      <c r="F5031" t="s">
        <v>19</v>
      </c>
      <c r="G5031" t="s">
        <v>64</v>
      </c>
      <c r="H5031" t="s">
        <v>31</v>
      </c>
      <c r="I5031" s="12">
        <v>0.60069444444444442</v>
      </c>
      <c r="J5031" t="s">
        <v>65</v>
      </c>
      <c r="K5031" t="s">
        <v>66</v>
      </c>
      <c r="L5031" s="12">
        <v>0.62847222222222221</v>
      </c>
      <c r="M5031" t="s">
        <v>63</v>
      </c>
      <c r="N5031" s="3">
        <v>232</v>
      </c>
      <c r="O5031" t="s">
        <v>24</v>
      </c>
      <c r="P5031" t="s">
        <v>56</v>
      </c>
      <c r="R5031">
        <f>tblDailySchedule[[#This Row],[Capacity Approx]]*'[1]Load Factor Sheet June Acft  '!$B$5</f>
        <v>187.86727272727273</v>
      </c>
      <c r="S5031">
        <f>tblDailySchedule[[#This Row],[Capacity Approx]]*'[1]Load Factor Sheet June Acft  '!$D$5</f>
        <v>203.4218181818182</v>
      </c>
      <c r="T5031" s="22">
        <f>tblDailySchedule[[#This Row],[STD]]</f>
        <v>0.62847222222222221</v>
      </c>
    </row>
    <row r="5032" spans="1:20" hidden="1" x14ac:dyDescent="0.35">
      <c r="A5032" s="11">
        <v>46291</v>
      </c>
      <c r="B5032" s="3">
        <v>6</v>
      </c>
      <c r="C5032" t="s">
        <v>116</v>
      </c>
      <c r="D5032" t="s">
        <v>18</v>
      </c>
      <c r="E5032" s="3">
        <v>16</v>
      </c>
      <c r="F5032" t="s">
        <v>19</v>
      </c>
      <c r="G5032" t="s">
        <v>67</v>
      </c>
      <c r="H5032" t="s">
        <v>31</v>
      </c>
      <c r="I5032" s="12">
        <v>0.65625</v>
      </c>
      <c r="J5032" t="s">
        <v>68</v>
      </c>
      <c r="K5032" t="s">
        <v>31</v>
      </c>
      <c r="L5032" s="12">
        <v>0.68402777777777779</v>
      </c>
      <c r="M5032" t="s">
        <v>63</v>
      </c>
      <c r="N5032" s="3">
        <v>232</v>
      </c>
      <c r="O5032" t="s">
        <v>24</v>
      </c>
      <c r="P5032" t="s">
        <v>56</v>
      </c>
      <c r="R5032">
        <f>tblDailySchedule[[#This Row],[Capacity Approx]]*'[1]Load Factor Sheet June Acft  '!$B$5</f>
        <v>187.86727272727273</v>
      </c>
      <c r="S5032">
        <f>tblDailySchedule[[#This Row],[Capacity Approx]]*'[1]Load Factor Sheet June Acft  '!$D$5</f>
        <v>203.4218181818182</v>
      </c>
      <c r="T5032" s="22">
        <f>tblDailySchedule[[#This Row],[STD]]</f>
        <v>0.68402777777777779</v>
      </c>
    </row>
    <row r="5033" spans="1:20" hidden="1" x14ac:dyDescent="0.35">
      <c r="A5033" s="11">
        <v>46291</v>
      </c>
      <c r="B5033" s="3">
        <v>6</v>
      </c>
      <c r="C5033" t="s">
        <v>116</v>
      </c>
      <c r="D5033" t="s">
        <v>18</v>
      </c>
      <c r="E5033" s="3">
        <v>17</v>
      </c>
      <c r="F5033" t="s">
        <v>19</v>
      </c>
      <c r="G5033" t="s">
        <v>69</v>
      </c>
      <c r="H5033" t="s">
        <v>31</v>
      </c>
      <c r="I5033" s="12">
        <v>0.66319444444444442</v>
      </c>
      <c r="J5033" t="s">
        <v>70</v>
      </c>
      <c r="K5033" t="s">
        <v>31</v>
      </c>
      <c r="L5033" s="12">
        <v>0.69097222222222221</v>
      </c>
      <c r="M5033" t="s">
        <v>33</v>
      </c>
      <c r="N5033" s="3">
        <v>189</v>
      </c>
      <c r="O5033" t="s">
        <v>24</v>
      </c>
      <c r="P5033" t="s">
        <v>56</v>
      </c>
      <c r="R5033">
        <f>tblDailySchedule[[#This Row],[Capacity Approx]]*'[1]Load Factor Sheet June Acft  '!$B$5</f>
        <v>153.04704545454547</v>
      </c>
      <c r="S5033">
        <f>tblDailySchedule[[#This Row],[Capacity Approx]]*'[1]Load Factor Sheet June Acft  '!$D$5</f>
        <v>165.71863636363636</v>
      </c>
      <c r="T5033" s="22">
        <f>tblDailySchedule[[#This Row],[STD]]</f>
        <v>0.69097222222222221</v>
      </c>
    </row>
    <row r="5034" spans="1:20" hidden="1" x14ac:dyDescent="0.35">
      <c r="A5034" s="11">
        <v>46291</v>
      </c>
      <c r="B5034" s="3">
        <v>6</v>
      </c>
      <c r="C5034" t="s">
        <v>116</v>
      </c>
      <c r="D5034" t="s">
        <v>18</v>
      </c>
      <c r="E5034" s="3">
        <v>18</v>
      </c>
      <c r="F5034" t="s">
        <v>19</v>
      </c>
      <c r="G5034" t="s">
        <v>71</v>
      </c>
      <c r="H5034" t="s">
        <v>21</v>
      </c>
      <c r="I5034" s="12">
        <v>0.67013888888888884</v>
      </c>
      <c r="J5034" t="s">
        <v>72</v>
      </c>
      <c r="K5034" t="s">
        <v>21</v>
      </c>
      <c r="L5034" s="12">
        <v>0.69791666666666663</v>
      </c>
      <c r="M5034" t="s">
        <v>63</v>
      </c>
      <c r="N5034" s="3">
        <v>232</v>
      </c>
      <c r="O5034" t="s">
        <v>24</v>
      </c>
      <c r="P5034" t="s">
        <v>56</v>
      </c>
      <c r="R5034">
        <f>tblDailySchedule[[#This Row],[Capacity Approx]]*'[1]Load Factor Sheet June Acft  '!$B$5</f>
        <v>187.86727272727273</v>
      </c>
      <c r="S5034">
        <f>tblDailySchedule[[#This Row],[Capacity Approx]]*'[1]Load Factor Sheet June Acft  '!$D$5</f>
        <v>203.4218181818182</v>
      </c>
      <c r="T5034" s="22">
        <f>tblDailySchedule[[#This Row],[STD]]</f>
        <v>0.69791666666666663</v>
      </c>
    </row>
    <row r="5035" spans="1:20" hidden="1" x14ac:dyDescent="0.35">
      <c r="A5035" s="11">
        <v>46291</v>
      </c>
      <c r="B5035" s="3">
        <v>6</v>
      </c>
      <c r="C5035" t="s">
        <v>116</v>
      </c>
      <c r="D5035" t="s">
        <v>18</v>
      </c>
      <c r="E5035" s="3">
        <v>19</v>
      </c>
      <c r="F5035" t="s">
        <v>19</v>
      </c>
      <c r="G5035" t="s">
        <v>73</v>
      </c>
      <c r="H5035" t="s">
        <v>27</v>
      </c>
      <c r="I5035" s="12">
        <v>0.74652777777777779</v>
      </c>
      <c r="J5035" t="s">
        <v>74</v>
      </c>
      <c r="K5035" t="s">
        <v>27</v>
      </c>
      <c r="L5035" s="12">
        <v>0.77430555555555558</v>
      </c>
      <c r="M5035" t="s">
        <v>63</v>
      </c>
      <c r="N5035" s="3">
        <v>232</v>
      </c>
      <c r="O5035" t="s">
        <v>24</v>
      </c>
      <c r="P5035" t="s">
        <v>56</v>
      </c>
      <c r="R5035">
        <f>tblDailySchedule[[#This Row],[Capacity Approx]]*'[1]Load Factor Sheet June Acft  '!$B$5</f>
        <v>187.86727272727273</v>
      </c>
      <c r="S5035">
        <f>tblDailySchedule[[#This Row],[Capacity Approx]]*'[1]Load Factor Sheet June Acft  '!$D$5</f>
        <v>203.4218181818182</v>
      </c>
      <c r="T5035" s="22">
        <f>tblDailySchedule[[#This Row],[STD]]</f>
        <v>0.77430555555555558</v>
      </c>
    </row>
    <row r="5036" spans="1:20" hidden="1" x14ac:dyDescent="0.35">
      <c r="A5036" s="11">
        <v>46291</v>
      </c>
      <c r="B5036" s="3">
        <v>6</v>
      </c>
      <c r="C5036" t="s">
        <v>116</v>
      </c>
      <c r="D5036" t="s">
        <v>18</v>
      </c>
      <c r="E5036" s="3">
        <v>21</v>
      </c>
      <c r="F5036" t="s">
        <v>19</v>
      </c>
      <c r="G5036" t="s">
        <v>81</v>
      </c>
      <c r="H5036" t="s">
        <v>61</v>
      </c>
      <c r="I5036" s="12">
        <v>0.77083333333333337</v>
      </c>
      <c r="J5036" t="s">
        <v>82</v>
      </c>
      <c r="K5036" t="s">
        <v>49</v>
      </c>
      <c r="L5036" s="12">
        <v>0.79166666666666663</v>
      </c>
      <c r="M5036" t="s">
        <v>33</v>
      </c>
      <c r="N5036" s="3">
        <v>189</v>
      </c>
      <c r="O5036" t="s">
        <v>24</v>
      </c>
      <c r="P5036" t="s">
        <v>79</v>
      </c>
      <c r="R5036">
        <f>tblDailySchedule[[#This Row],[Capacity Approx]]*'[1]Load Factor Sheet June Acft  '!$B$5</f>
        <v>153.04704545454547</v>
      </c>
      <c r="S5036">
        <f>tblDailySchedule[[#This Row],[Capacity Approx]]*'[1]Load Factor Sheet June Acft  '!$D$5</f>
        <v>165.71863636363636</v>
      </c>
      <c r="T5036" s="22">
        <f>tblDailySchedule[[#This Row],[STD]]</f>
        <v>0.79166666666666663</v>
      </c>
    </row>
    <row r="5037" spans="1:20" hidden="1" x14ac:dyDescent="0.35">
      <c r="A5037" s="11">
        <v>46291</v>
      </c>
      <c r="B5037" s="3">
        <v>6</v>
      </c>
      <c r="C5037" t="s">
        <v>116</v>
      </c>
      <c r="D5037" t="s">
        <v>18</v>
      </c>
      <c r="E5037" s="3">
        <v>22</v>
      </c>
      <c r="F5037" t="s">
        <v>19</v>
      </c>
      <c r="G5037" t="s">
        <v>83</v>
      </c>
      <c r="H5037" t="s">
        <v>31</v>
      </c>
      <c r="I5037" s="12">
        <v>0.77777777777777779</v>
      </c>
      <c r="J5037" t="s">
        <v>84</v>
      </c>
      <c r="K5037" t="s">
        <v>31</v>
      </c>
      <c r="L5037" s="12">
        <v>0.80555555555555558</v>
      </c>
      <c r="M5037" t="s">
        <v>63</v>
      </c>
      <c r="N5037" s="3">
        <v>232</v>
      </c>
      <c r="O5037" t="s">
        <v>24</v>
      </c>
      <c r="P5037" t="s">
        <v>79</v>
      </c>
      <c r="R5037">
        <f>tblDailySchedule[[#This Row],[Capacity Approx]]*'[1]Load Factor Sheet June Acft  '!$B$5</f>
        <v>187.86727272727273</v>
      </c>
      <c r="S5037">
        <f>tblDailySchedule[[#This Row],[Capacity Approx]]*'[1]Load Factor Sheet June Acft  '!$D$5</f>
        <v>203.4218181818182</v>
      </c>
      <c r="T5037" s="22">
        <f>tblDailySchedule[[#This Row],[STD]]</f>
        <v>0.80555555555555558</v>
      </c>
    </row>
    <row r="5038" spans="1:20" hidden="1" x14ac:dyDescent="0.35">
      <c r="A5038" s="11">
        <v>46291</v>
      </c>
      <c r="B5038" s="3">
        <v>6</v>
      </c>
      <c r="C5038" t="s">
        <v>116</v>
      </c>
      <c r="D5038" t="s">
        <v>18</v>
      </c>
      <c r="E5038" s="3">
        <v>23</v>
      </c>
      <c r="F5038" t="s">
        <v>19</v>
      </c>
      <c r="G5038" t="s">
        <v>85</v>
      </c>
      <c r="H5038" t="s">
        <v>86</v>
      </c>
      <c r="I5038" s="12">
        <v>0.79861111111111116</v>
      </c>
      <c r="J5038" t="s">
        <v>87</v>
      </c>
      <c r="K5038" t="s">
        <v>86</v>
      </c>
      <c r="L5038" s="12">
        <v>0.82638888888888884</v>
      </c>
      <c r="M5038" t="s">
        <v>63</v>
      </c>
      <c r="N5038" s="3">
        <v>232</v>
      </c>
      <c r="O5038" t="s">
        <v>24</v>
      </c>
      <c r="P5038" t="s">
        <v>79</v>
      </c>
      <c r="R5038">
        <f>tblDailySchedule[[#This Row],[Capacity Approx]]*'[1]Load Factor Sheet June Acft  '!$B$5</f>
        <v>187.86727272727273</v>
      </c>
      <c r="S5038">
        <f>tblDailySchedule[[#This Row],[Capacity Approx]]*'[1]Load Factor Sheet June Acft  '!$D$5</f>
        <v>203.4218181818182</v>
      </c>
      <c r="T5038" s="22">
        <f>tblDailySchedule[[#This Row],[STD]]</f>
        <v>0.82638888888888884</v>
      </c>
    </row>
    <row r="5039" spans="1:20" hidden="1" x14ac:dyDescent="0.35">
      <c r="A5039" s="11">
        <v>46291</v>
      </c>
      <c r="B5039" s="3">
        <v>6</v>
      </c>
      <c r="C5039" t="s">
        <v>116</v>
      </c>
      <c r="D5039" t="s">
        <v>18</v>
      </c>
      <c r="E5039" s="3">
        <v>24</v>
      </c>
      <c r="F5039" t="s">
        <v>19</v>
      </c>
      <c r="G5039" t="s">
        <v>88</v>
      </c>
      <c r="H5039" t="s">
        <v>89</v>
      </c>
      <c r="I5039" s="12">
        <v>0.83333333333333337</v>
      </c>
      <c r="J5039" t="s">
        <v>90</v>
      </c>
      <c r="K5039" t="s">
        <v>31</v>
      </c>
      <c r="L5039" s="12">
        <v>0.86111111111111116</v>
      </c>
      <c r="M5039" t="s">
        <v>63</v>
      </c>
      <c r="N5039" s="3">
        <v>232</v>
      </c>
      <c r="O5039" t="s">
        <v>24</v>
      </c>
      <c r="P5039" t="s">
        <v>79</v>
      </c>
      <c r="R5039">
        <f>tblDailySchedule[[#This Row],[Capacity Approx]]*'[1]Load Factor Sheet June Acft  '!$B$5</f>
        <v>187.86727272727273</v>
      </c>
      <c r="S5039">
        <f>tblDailySchedule[[#This Row],[Capacity Approx]]*'[1]Load Factor Sheet June Acft  '!$D$5</f>
        <v>203.4218181818182</v>
      </c>
      <c r="T5039" s="22">
        <f>tblDailySchedule[[#This Row],[STD]]</f>
        <v>0.86111111111111116</v>
      </c>
    </row>
    <row r="5040" spans="1:20" hidden="1" x14ac:dyDescent="0.35">
      <c r="A5040" s="11">
        <v>46291</v>
      </c>
      <c r="B5040" s="3">
        <v>6</v>
      </c>
      <c r="C5040" t="s">
        <v>116</v>
      </c>
      <c r="D5040" t="s">
        <v>18</v>
      </c>
      <c r="E5040" s="3">
        <v>25</v>
      </c>
      <c r="F5040" t="s">
        <v>19</v>
      </c>
      <c r="G5040" t="s">
        <v>91</v>
      </c>
      <c r="H5040" t="s">
        <v>61</v>
      </c>
      <c r="I5040" s="12">
        <v>0.85416666666666663</v>
      </c>
      <c r="J5040" t="s">
        <v>92</v>
      </c>
      <c r="K5040" t="s">
        <v>61</v>
      </c>
      <c r="L5040" s="12">
        <v>0.88194444444444442</v>
      </c>
      <c r="M5040" t="s">
        <v>63</v>
      </c>
      <c r="N5040" s="3">
        <v>232</v>
      </c>
      <c r="O5040" t="s">
        <v>24</v>
      </c>
      <c r="P5040" t="s">
        <v>79</v>
      </c>
      <c r="R5040">
        <f>tblDailySchedule[[#This Row],[Capacity Approx]]*'[1]Load Factor Sheet June Acft  '!$B$5</f>
        <v>187.86727272727273</v>
      </c>
      <c r="S5040">
        <f>tblDailySchedule[[#This Row],[Capacity Approx]]*'[1]Load Factor Sheet June Acft  '!$D$5</f>
        <v>203.4218181818182</v>
      </c>
      <c r="T5040" s="22">
        <f>tblDailySchedule[[#This Row],[STD]]</f>
        <v>0.88194444444444442</v>
      </c>
    </row>
    <row r="5041" spans="1:20" hidden="1" x14ac:dyDescent="0.35">
      <c r="A5041" s="11">
        <v>46291</v>
      </c>
      <c r="B5041" s="3">
        <v>6</v>
      </c>
      <c r="C5041" t="s">
        <v>116</v>
      </c>
      <c r="D5041" t="s">
        <v>18</v>
      </c>
      <c r="E5041" s="3">
        <v>26</v>
      </c>
      <c r="F5041" t="s">
        <v>19</v>
      </c>
      <c r="G5041" t="s">
        <v>93</v>
      </c>
      <c r="H5041" t="s">
        <v>31</v>
      </c>
      <c r="I5041" s="12">
        <v>0.86111111111111116</v>
      </c>
      <c r="J5041" t="s">
        <v>94</v>
      </c>
      <c r="K5041" t="s">
        <v>31</v>
      </c>
      <c r="L5041" s="12">
        <v>0.88888888888888884</v>
      </c>
      <c r="M5041" t="s">
        <v>23</v>
      </c>
      <c r="N5041" s="3">
        <v>186</v>
      </c>
      <c r="O5041" t="s">
        <v>24</v>
      </c>
      <c r="P5041" t="s">
        <v>79</v>
      </c>
      <c r="R5041">
        <f>tblDailySchedule[[#This Row],[Capacity Approx]]*'[1]Load Factor Sheet June Acft  '!$B$5</f>
        <v>150.61772727272728</v>
      </c>
      <c r="S5041">
        <f>tblDailySchedule[[#This Row],[Capacity Approx]]*'[1]Load Factor Sheet June Acft  '!$D$5</f>
        <v>163.08818181818182</v>
      </c>
      <c r="T5041" s="22">
        <f>tblDailySchedule[[#This Row],[STD]]</f>
        <v>0.88888888888888884</v>
      </c>
    </row>
    <row r="5042" spans="1:20" hidden="1" x14ac:dyDescent="0.35">
      <c r="A5042" s="11">
        <v>46291</v>
      </c>
      <c r="B5042" s="3">
        <v>6</v>
      </c>
      <c r="C5042" t="s">
        <v>116</v>
      </c>
      <c r="D5042" t="s">
        <v>18</v>
      </c>
      <c r="E5042" s="3">
        <v>27</v>
      </c>
      <c r="F5042" t="s">
        <v>19</v>
      </c>
      <c r="G5042" t="s">
        <v>95</v>
      </c>
      <c r="H5042" t="s">
        <v>21</v>
      </c>
      <c r="I5042" s="12">
        <v>0.86805555555555558</v>
      </c>
      <c r="J5042" t="s">
        <v>96</v>
      </c>
      <c r="K5042" t="s">
        <v>21</v>
      </c>
      <c r="L5042" s="12">
        <v>0.89583333333333337</v>
      </c>
      <c r="M5042" t="s">
        <v>29</v>
      </c>
      <c r="N5042" s="3">
        <v>186</v>
      </c>
      <c r="O5042" t="s">
        <v>24</v>
      </c>
      <c r="P5042" t="s">
        <v>79</v>
      </c>
      <c r="R5042">
        <f>tblDailySchedule[[#This Row],[Capacity Approx]]*'[1]Load Factor Sheet June Acft  '!$B$5</f>
        <v>150.61772727272728</v>
      </c>
      <c r="S5042">
        <f>tblDailySchedule[[#This Row],[Capacity Approx]]*'[1]Load Factor Sheet June Acft  '!$D$5</f>
        <v>163.08818181818182</v>
      </c>
      <c r="T5042" s="22">
        <f>tblDailySchedule[[#This Row],[STD]]</f>
        <v>0.89583333333333337</v>
      </c>
    </row>
    <row r="5043" spans="1:20" hidden="1" x14ac:dyDescent="0.35">
      <c r="A5043" s="11">
        <v>46291</v>
      </c>
      <c r="B5043" s="3">
        <v>6</v>
      </c>
      <c r="C5043" t="s">
        <v>116</v>
      </c>
      <c r="D5043" t="s">
        <v>18</v>
      </c>
      <c r="E5043" s="3">
        <v>28</v>
      </c>
      <c r="F5043" t="s">
        <v>19</v>
      </c>
      <c r="G5043" t="s">
        <v>97</v>
      </c>
      <c r="H5043" t="s">
        <v>49</v>
      </c>
      <c r="I5043" s="12">
        <v>0.90277777777777779</v>
      </c>
      <c r="J5043" t="s">
        <v>97</v>
      </c>
      <c r="K5043" t="s">
        <v>61</v>
      </c>
      <c r="L5043" s="12">
        <v>0.92361111111111116</v>
      </c>
      <c r="M5043" t="s">
        <v>33</v>
      </c>
      <c r="N5043" s="3">
        <v>189</v>
      </c>
      <c r="O5043" t="s">
        <v>24</v>
      </c>
      <c r="P5043" t="s">
        <v>79</v>
      </c>
      <c r="R5043">
        <f>tblDailySchedule[[#This Row],[Capacity Approx]]*'[1]Load Factor Sheet June Acft  '!$B$5</f>
        <v>153.04704545454547</v>
      </c>
      <c r="S5043">
        <f>tblDailySchedule[[#This Row],[Capacity Approx]]*'[1]Load Factor Sheet June Acft  '!$D$5</f>
        <v>165.71863636363636</v>
      </c>
      <c r="T5043" s="22">
        <f>tblDailySchedule[[#This Row],[STD]]</f>
        <v>0.92361111111111116</v>
      </c>
    </row>
    <row r="5044" spans="1:20" hidden="1" x14ac:dyDescent="0.35">
      <c r="A5044" s="11">
        <v>46291</v>
      </c>
      <c r="B5044" s="3">
        <v>6</v>
      </c>
      <c r="C5044" t="s">
        <v>116</v>
      </c>
      <c r="D5044" t="s">
        <v>18</v>
      </c>
      <c r="E5044" s="3">
        <v>29</v>
      </c>
      <c r="F5044" t="s">
        <v>19</v>
      </c>
      <c r="G5044" t="s">
        <v>98</v>
      </c>
      <c r="H5044" t="s">
        <v>21</v>
      </c>
      <c r="I5044" s="12">
        <v>0.92013888888888884</v>
      </c>
      <c r="J5044" t="s">
        <v>99</v>
      </c>
      <c r="K5044" t="s">
        <v>21</v>
      </c>
      <c r="L5044" s="12">
        <v>0.94791666666666663</v>
      </c>
      <c r="M5044" t="s">
        <v>63</v>
      </c>
      <c r="N5044" s="3">
        <v>232</v>
      </c>
      <c r="O5044" t="s">
        <v>24</v>
      </c>
      <c r="P5044" t="s">
        <v>79</v>
      </c>
      <c r="R5044">
        <f>tblDailySchedule[[#This Row],[Capacity Approx]]*'[1]Load Factor Sheet June Acft  '!$B$5</f>
        <v>187.86727272727273</v>
      </c>
      <c r="S5044">
        <f>tblDailySchedule[[#This Row],[Capacity Approx]]*'[1]Load Factor Sheet June Acft  '!$D$5</f>
        <v>203.4218181818182</v>
      </c>
      <c r="T5044" s="22">
        <f>tblDailySchedule[[#This Row],[STD]]</f>
        <v>0.94791666666666663</v>
      </c>
    </row>
    <row r="5045" spans="1:20" hidden="1" x14ac:dyDescent="0.35">
      <c r="A5045" s="13">
        <v>46291</v>
      </c>
      <c r="B5045" s="7">
        <v>6</v>
      </c>
      <c r="C5045" s="14" t="s">
        <v>116</v>
      </c>
      <c r="D5045" s="14" t="s">
        <v>18</v>
      </c>
      <c r="E5045" s="7">
        <v>30</v>
      </c>
      <c r="F5045" s="14" t="s">
        <v>104</v>
      </c>
      <c r="G5045" s="14" t="s">
        <v>105</v>
      </c>
      <c r="H5045" s="14" t="s">
        <v>106</v>
      </c>
      <c r="I5045" s="15">
        <v>0.92708333333333337</v>
      </c>
      <c r="J5045" s="14" t="s">
        <v>107</v>
      </c>
      <c r="K5045" s="14" t="s">
        <v>106</v>
      </c>
      <c r="L5045" s="15">
        <v>0.95833333333333337</v>
      </c>
      <c r="M5045" s="14" t="s">
        <v>38</v>
      </c>
      <c r="N5045" s="7">
        <v>186</v>
      </c>
      <c r="O5045" s="14" t="s">
        <v>39</v>
      </c>
      <c r="P5045" s="14" t="s">
        <v>79</v>
      </c>
      <c r="Q5045" s="14" t="s">
        <v>39</v>
      </c>
      <c r="R5045">
        <f>tblDailySchedule[[#This Row],[Capacity Approx]]*'[1]Load Factor Sheet June Acft  '!$B$5</f>
        <v>150.61772727272728</v>
      </c>
      <c r="S5045">
        <f>tblDailySchedule[[#This Row],[Capacity Approx]]*'[1]Load Factor Sheet June Acft  '!$D$5</f>
        <v>163.08818181818182</v>
      </c>
      <c r="T5045" s="22">
        <f>tblDailySchedule[[#This Row],[STD]]</f>
        <v>0.95833333333333337</v>
      </c>
    </row>
    <row r="5046" spans="1:20" hidden="1" x14ac:dyDescent="0.35">
      <c r="A5046" s="11">
        <v>46292</v>
      </c>
      <c r="B5046" s="3">
        <v>7</v>
      </c>
      <c r="C5046" t="s">
        <v>17</v>
      </c>
      <c r="D5046" t="s">
        <v>18</v>
      </c>
      <c r="E5046" s="3">
        <v>2</v>
      </c>
      <c r="F5046" t="s">
        <v>19</v>
      </c>
      <c r="G5046" t="s">
        <v>20</v>
      </c>
      <c r="H5046" t="s">
        <v>21</v>
      </c>
      <c r="I5046" s="12">
        <v>0.31944444444444442</v>
      </c>
      <c r="J5046" t="s">
        <v>22</v>
      </c>
      <c r="K5046" t="s">
        <v>21</v>
      </c>
      <c r="L5046" s="12">
        <v>0.34722222222222221</v>
      </c>
      <c r="M5046" t="s">
        <v>23</v>
      </c>
      <c r="N5046" s="3">
        <v>186</v>
      </c>
      <c r="O5046" t="s">
        <v>24</v>
      </c>
      <c r="P5046" t="s">
        <v>25</v>
      </c>
      <c r="R5046">
        <f>tblDailySchedule[[#This Row],[Capacity Approx]]*'[1]Load Factor Sheet June Acft  '!$B$5</f>
        <v>150.61772727272728</v>
      </c>
      <c r="S5046">
        <f>tblDailySchedule[[#This Row],[Capacity Approx]]*'[1]Load Factor Sheet June Acft  '!$D$5</f>
        <v>163.08818181818182</v>
      </c>
      <c r="T5046" s="22">
        <f>tblDailySchedule[[#This Row],[STD]]</f>
        <v>0.34722222222222221</v>
      </c>
    </row>
    <row r="5047" spans="1:20" hidden="1" x14ac:dyDescent="0.35">
      <c r="A5047" s="11">
        <v>46292</v>
      </c>
      <c r="B5047" s="3">
        <v>7</v>
      </c>
      <c r="C5047" t="s">
        <v>17</v>
      </c>
      <c r="D5047" t="s">
        <v>18</v>
      </c>
      <c r="E5047" s="3">
        <v>3</v>
      </c>
      <c r="F5047" t="s">
        <v>19</v>
      </c>
      <c r="G5047" t="s">
        <v>26</v>
      </c>
      <c r="H5047" t="s">
        <v>27</v>
      </c>
      <c r="I5047" s="12">
        <v>0.3263888888888889</v>
      </c>
      <c r="J5047" t="s">
        <v>28</v>
      </c>
      <c r="K5047" t="s">
        <v>27</v>
      </c>
      <c r="L5047" s="12">
        <v>0.35416666666666669</v>
      </c>
      <c r="M5047" t="s">
        <v>29</v>
      </c>
      <c r="N5047" s="3">
        <v>186</v>
      </c>
      <c r="O5047" t="s">
        <v>24</v>
      </c>
      <c r="P5047" t="s">
        <v>25</v>
      </c>
      <c r="R5047">
        <f>tblDailySchedule[[#This Row],[Capacity Approx]]*'[1]Load Factor Sheet June Acft  '!$B$5</f>
        <v>150.61772727272728</v>
      </c>
      <c r="S5047">
        <f>tblDailySchedule[[#This Row],[Capacity Approx]]*'[1]Load Factor Sheet June Acft  '!$D$5</f>
        <v>163.08818181818182</v>
      </c>
      <c r="T5047" s="22">
        <f>tblDailySchedule[[#This Row],[STD]]</f>
        <v>0.35416666666666669</v>
      </c>
    </row>
    <row r="5048" spans="1:20" hidden="1" x14ac:dyDescent="0.35">
      <c r="A5048" s="11">
        <v>46292</v>
      </c>
      <c r="B5048" s="3">
        <v>7</v>
      </c>
      <c r="C5048" t="s">
        <v>17</v>
      </c>
      <c r="D5048" t="s">
        <v>18</v>
      </c>
      <c r="E5048" s="3">
        <v>4</v>
      </c>
      <c r="F5048" t="s">
        <v>19</v>
      </c>
      <c r="G5048" t="s">
        <v>30</v>
      </c>
      <c r="H5048" t="s">
        <v>31</v>
      </c>
      <c r="I5048" s="12">
        <v>0.34722222222222221</v>
      </c>
      <c r="J5048" t="s">
        <v>32</v>
      </c>
      <c r="K5048" t="s">
        <v>31</v>
      </c>
      <c r="L5048" s="12">
        <v>0.36805555555555558</v>
      </c>
      <c r="M5048" t="s">
        <v>33</v>
      </c>
      <c r="N5048" s="3">
        <v>189</v>
      </c>
      <c r="O5048" t="s">
        <v>24</v>
      </c>
      <c r="P5048" t="s">
        <v>25</v>
      </c>
      <c r="R5048">
        <f>tblDailySchedule[[#This Row],[Capacity Approx]]*'[1]Load Factor Sheet June Acft  '!$B$5</f>
        <v>153.04704545454547</v>
      </c>
      <c r="S5048">
        <f>tblDailySchedule[[#This Row],[Capacity Approx]]*'[1]Load Factor Sheet June Acft  '!$D$5</f>
        <v>165.71863636363636</v>
      </c>
      <c r="T5048" s="22">
        <f>tblDailySchedule[[#This Row],[STD]]</f>
        <v>0.36805555555555558</v>
      </c>
    </row>
    <row r="5049" spans="1:20" hidden="1" x14ac:dyDescent="0.35">
      <c r="A5049" s="13">
        <v>46292</v>
      </c>
      <c r="B5049" s="7">
        <v>7</v>
      </c>
      <c r="C5049" s="14" t="s">
        <v>17</v>
      </c>
      <c r="D5049" s="14" t="s">
        <v>18</v>
      </c>
      <c r="E5049" s="7">
        <v>6</v>
      </c>
      <c r="F5049" s="14" t="s">
        <v>34</v>
      </c>
      <c r="G5049" s="14" t="s">
        <v>35</v>
      </c>
      <c r="H5049" s="14" t="s">
        <v>36</v>
      </c>
      <c r="I5049" s="15">
        <v>0.34722222222222221</v>
      </c>
      <c r="J5049" s="14" t="s">
        <v>37</v>
      </c>
      <c r="K5049" s="14" t="s">
        <v>36</v>
      </c>
      <c r="L5049" s="15">
        <v>0.40972222222222221</v>
      </c>
      <c r="M5049" s="14" t="s">
        <v>38</v>
      </c>
      <c r="N5049" s="7">
        <v>186</v>
      </c>
      <c r="O5049" s="14" t="s">
        <v>39</v>
      </c>
      <c r="P5049" s="14" t="s">
        <v>25</v>
      </c>
      <c r="Q5049" s="14" t="s">
        <v>39</v>
      </c>
      <c r="R5049">
        <f>tblDailySchedule[[#This Row],[Capacity Approx]]*'[1]Load Factor Sheet June Acft  '!$B$5</f>
        <v>150.61772727272728</v>
      </c>
      <c r="S5049">
        <f>tblDailySchedule[[#This Row],[Capacity Approx]]*'[1]Load Factor Sheet June Acft  '!$D$5</f>
        <v>163.08818181818182</v>
      </c>
      <c r="T5049" s="22">
        <f>tblDailySchedule[[#This Row],[STD]]</f>
        <v>0.40972222222222221</v>
      </c>
    </row>
    <row r="5050" spans="1:20" hidden="1" x14ac:dyDescent="0.35">
      <c r="A5050" s="11">
        <v>46292</v>
      </c>
      <c r="B5050" s="3">
        <v>7</v>
      </c>
      <c r="C5050" t="s">
        <v>17</v>
      </c>
      <c r="D5050" t="s">
        <v>18</v>
      </c>
      <c r="E5050" s="3">
        <v>5</v>
      </c>
      <c r="F5050" t="s">
        <v>19</v>
      </c>
      <c r="G5050" t="s">
        <v>40</v>
      </c>
      <c r="H5050" t="s">
        <v>31</v>
      </c>
      <c r="I5050" s="12">
        <v>0.35069444444444442</v>
      </c>
      <c r="J5050" t="s">
        <v>41</v>
      </c>
      <c r="K5050" t="s">
        <v>31</v>
      </c>
      <c r="L5050" s="12">
        <v>0.37152777777777779</v>
      </c>
      <c r="M5050" t="s">
        <v>23</v>
      </c>
      <c r="N5050" s="3">
        <v>186</v>
      </c>
      <c r="O5050" t="s">
        <v>24</v>
      </c>
      <c r="P5050" t="s">
        <v>25</v>
      </c>
      <c r="R5050">
        <f>tblDailySchedule[[#This Row],[Capacity Approx]]*'[1]Load Factor Sheet June Acft  '!$B$5</f>
        <v>150.61772727272728</v>
      </c>
      <c r="S5050">
        <f>tblDailySchedule[[#This Row],[Capacity Approx]]*'[1]Load Factor Sheet June Acft  '!$D$5</f>
        <v>163.08818181818182</v>
      </c>
      <c r="T5050" s="22">
        <f>tblDailySchedule[[#This Row],[STD]]</f>
        <v>0.37152777777777779</v>
      </c>
    </row>
    <row r="5051" spans="1:20" hidden="1" x14ac:dyDescent="0.35">
      <c r="A5051" s="11">
        <v>46292</v>
      </c>
      <c r="B5051" s="3">
        <v>7</v>
      </c>
      <c r="C5051" t="s">
        <v>17</v>
      </c>
      <c r="D5051" t="s">
        <v>18</v>
      </c>
      <c r="E5051" s="3">
        <v>7</v>
      </c>
      <c r="F5051" t="s">
        <v>19</v>
      </c>
      <c r="G5051" t="s">
        <v>42</v>
      </c>
      <c r="H5051" t="s">
        <v>43</v>
      </c>
      <c r="I5051" s="12">
        <v>0.3923611111111111</v>
      </c>
      <c r="J5051" t="s">
        <v>44</v>
      </c>
      <c r="K5051" t="s">
        <v>43</v>
      </c>
      <c r="L5051" s="12">
        <v>0.40277777777777779</v>
      </c>
      <c r="M5051" t="s">
        <v>45</v>
      </c>
      <c r="N5051" s="3">
        <v>9</v>
      </c>
      <c r="O5051" t="s">
        <v>24</v>
      </c>
      <c r="P5051" t="s">
        <v>25</v>
      </c>
      <c r="R5051">
        <f>tblDailySchedule[[#This Row],[Capacity Approx]]*'[1]Load Factor Sheet June Acft  '!$B$5</f>
        <v>7.2879545454545456</v>
      </c>
      <c r="S5051">
        <f>tblDailySchedule[[#This Row],[Capacity Approx]]*'[1]Load Factor Sheet June Acft  '!$D$5</f>
        <v>7.8913636363636366</v>
      </c>
      <c r="T5051" s="22">
        <f>tblDailySchedule[[#This Row],[STD]]</f>
        <v>0.40277777777777779</v>
      </c>
    </row>
    <row r="5052" spans="1:20" hidden="1" x14ac:dyDescent="0.35">
      <c r="A5052" s="11">
        <v>46292</v>
      </c>
      <c r="B5052" s="3">
        <v>7</v>
      </c>
      <c r="C5052" t="s">
        <v>17</v>
      </c>
      <c r="D5052" t="s">
        <v>18</v>
      </c>
      <c r="E5052" s="3">
        <v>8</v>
      </c>
      <c r="F5052" t="s">
        <v>19</v>
      </c>
      <c r="G5052" t="s">
        <v>46</v>
      </c>
      <c r="H5052" t="s">
        <v>31</v>
      </c>
      <c r="I5052" s="12">
        <v>0.4201388888888889</v>
      </c>
      <c r="J5052" t="s">
        <v>47</v>
      </c>
      <c r="K5052" t="s">
        <v>31</v>
      </c>
      <c r="L5052" s="12">
        <v>0.44444444444444442</v>
      </c>
      <c r="M5052" t="s">
        <v>29</v>
      </c>
      <c r="N5052" s="3">
        <v>186</v>
      </c>
      <c r="O5052" t="s">
        <v>24</v>
      </c>
      <c r="P5052" t="s">
        <v>25</v>
      </c>
      <c r="R5052">
        <f>tblDailySchedule[[#This Row],[Capacity Approx]]*'[1]Load Factor Sheet June Acft  '!$B$5</f>
        <v>150.61772727272728</v>
      </c>
      <c r="S5052">
        <f>tblDailySchedule[[#This Row],[Capacity Approx]]*'[1]Load Factor Sheet June Acft  '!$D$5</f>
        <v>163.08818181818182</v>
      </c>
      <c r="T5052" s="22">
        <f>tblDailySchedule[[#This Row],[STD]]</f>
        <v>0.44444444444444442</v>
      </c>
    </row>
    <row r="5053" spans="1:20" hidden="1" x14ac:dyDescent="0.35">
      <c r="A5053" s="11">
        <v>46292</v>
      </c>
      <c r="B5053" s="3">
        <v>7</v>
      </c>
      <c r="C5053" t="s">
        <v>17</v>
      </c>
      <c r="D5053" t="s">
        <v>18</v>
      </c>
      <c r="E5053" s="3">
        <v>9</v>
      </c>
      <c r="F5053" t="s">
        <v>19</v>
      </c>
      <c r="G5053" t="s">
        <v>48</v>
      </c>
      <c r="H5053" t="s">
        <v>49</v>
      </c>
      <c r="I5053" s="12">
        <v>0.4375</v>
      </c>
      <c r="J5053" t="s">
        <v>50</v>
      </c>
      <c r="K5053" t="s">
        <v>49</v>
      </c>
      <c r="L5053" s="12">
        <v>0.45833333333333331</v>
      </c>
      <c r="M5053" t="s">
        <v>51</v>
      </c>
      <c r="N5053" s="3">
        <v>78</v>
      </c>
      <c r="O5053" t="s">
        <v>24</v>
      </c>
      <c r="P5053" t="s">
        <v>25</v>
      </c>
      <c r="R5053">
        <f>tblDailySchedule[[#This Row],[Capacity Approx]]*'[1]Load Factor Sheet June Acft  '!$B$5</f>
        <v>63.162272727272729</v>
      </c>
      <c r="S5053">
        <f>tblDailySchedule[[#This Row],[Capacity Approx]]*'[1]Load Factor Sheet June Acft  '!$D$5</f>
        <v>68.391818181818181</v>
      </c>
      <c r="T5053" s="22">
        <f>tblDailySchedule[[#This Row],[STD]]</f>
        <v>0.45833333333333331</v>
      </c>
    </row>
    <row r="5054" spans="1:20" hidden="1" x14ac:dyDescent="0.35">
      <c r="A5054" s="11">
        <v>46292</v>
      </c>
      <c r="B5054" s="3">
        <v>7</v>
      </c>
      <c r="C5054" t="s">
        <v>17</v>
      </c>
      <c r="D5054" t="s">
        <v>18</v>
      </c>
      <c r="E5054" s="3">
        <v>10</v>
      </c>
      <c r="F5054" t="s">
        <v>19</v>
      </c>
      <c r="G5054" t="s">
        <v>52</v>
      </c>
      <c r="H5054" t="s">
        <v>27</v>
      </c>
      <c r="I5054" s="12">
        <v>0.4826388888888889</v>
      </c>
      <c r="J5054" t="s">
        <v>53</v>
      </c>
      <c r="K5054" t="s">
        <v>27</v>
      </c>
      <c r="L5054" s="12">
        <v>0.51041666666666663</v>
      </c>
      <c r="M5054" t="s">
        <v>23</v>
      </c>
      <c r="N5054" s="3">
        <v>186</v>
      </c>
      <c r="O5054" t="s">
        <v>24</v>
      </c>
      <c r="P5054" t="s">
        <v>25</v>
      </c>
      <c r="R5054">
        <f>tblDailySchedule[[#This Row],[Capacity Approx]]*'[1]Load Factor Sheet June Acft  '!$B$5</f>
        <v>150.61772727272728</v>
      </c>
      <c r="S5054">
        <f>tblDailySchedule[[#This Row],[Capacity Approx]]*'[1]Load Factor Sheet June Acft  '!$D$5</f>
        <v>163.08818181818182</v>
      </c>
      <c r="T5054" s="22">
        <f>tblDailySchedule[[#This Row],[STD]]</f>
        <v>0.51041666666666663</v>
      </c>
    </row>
    <row r="5055" spans="1:20" hidden="1" x14ac:dyDescent="0.35">
      <c r="A5055" s="11">
        <v>46292</v>
      </c>
      <c r="B5055" s="3">
        <v>7</v>
      </c>
      <c r="C5055" t="s">
        <v>17</v>
      </c>
      <c r="D5055" t="s">
        <v>18</v>
      </c>
      <c r="E5055" s="3">
        <v>11</v>
      </c>
      <c r="F5055" t="s">
        <v>19</v>
      </c>
      <c r="G5055" t="s">
        <v>54</v>
      </c>
      <c r="H5055" t="s">
        <v>31</v>
      </c>
      <c r="I5055" s="12">
        <v>0.51388888888888884</v>
      </c>
      <c r="J5055" t="s">
        <v>55</v>
      </c>
      <c r="K5055" t="s">
        <v>31</v>
      </c>
      <c r="L5055" s="12">
        <v>0.54166666666666663</v>
      </c>
      <c r="M5055" t="s">
        <v>23</v>
      </c>
      <c r="N5055" s="3">
        <v>186</v>
      </c>
      <c r="O5055" t="s">
        <v>24</v>
      </c>
      <c r="P5055" t="s">
        <v>56</v>
      </c>
      <c r="R5055">
        <f>tblDailySchedule[[#This Row],[Capacity Approx]]*'[1]Load Factor Sheet June Acft  '!$B$5</f>
        <v>150.61772727272728</v>
      </c>
      <c r="S5055">
        <f>tblDailySchedule[[#This Row],[Capacity Approx]]*'[1]Load Factor Sheet June Acft  '!$D$5</f>
        <v>163.08818181818182</v>
      </c>
      <c r="T5055" s="22">
        <f>tblDailySchedule[[#This Row],[STD]]</f>
        <v>0.54166666666666663</v>
      </c>
    </row>
    <row r="5056" spans="1:20" hidden="1" x14ac:dyDescent="0.35">
      <c r="A5056" s="11">
        <v>46292</v>
      </c>
      <c r="B5056" s="3">
        <v>7</v>
      </c>
      <c r="C5056" t="s">
        <v>17</v>
      </c>
      <c r="D5056" t="s">
        <v>18</v>
      </c>
      <c r="E5056" s="3">
        <v>13</v>
      </c>
      <c r="F5056" t="s">
        <v>19</v>
      </c>
      <c r="G5056" t="s">
        <v>57</v>
      </c>
      <c r="H5056" t="s">
        <v>58</v>
      </c>
      <c r="I5056" s="12">
        <v>0.55902777777777779</v>
      </c>
      <c r="J5056" t="s">
        <v>59</v>
      </c>
      <c r="K5056" t="s">
        <v>58</v>
      </c>
      <c r="L5056" s="12">
        <v>0.57638888888888884</v>
      </c>
      <c r="M5056" t="s">
        <v>51</v>
      </c>
      <c r="N5056" s="3">
        <v>78</v>
      </c>
      <c r="O5056" t="s">
        <v>24</v>
      </c>
      <c r="P5056" t="s">
        <v>56</v>
      </c>
      <c r="R5056">
        <f>tblDailySchedule[[#This Row],[Capacity Approx]]*'[1]Load Factor Sheet June Acft  '!$B$5</f>
        <v>63.162272727272729</v>
      </c>
      <c r="S5056">
        <f>tblDailySchedule[[#This Row],[Capacity Approx]]*'[1]Load Factor Sheet June Acft  '!$D$5</f>
        <v>68.391818181818181</v>
      </c>
      <c r="T5056" s="22">
        <f>tblDailySchedule[[#This Row],[STD]]</f>
        <v>0.57638888888888884</v>
      </c>
    </row>
    <row r="5057" spans="1:20" hidden="1" x14ac:dyDescent="0.35">
      <c r="A5057" s="11">
        <v>46292</v>
      </c>
      <c r="B5057" s="3">
        <v>7</v>
      </c>
      <c r="C5057" t="s">
        <v>17</v>
      </c>
      <c r="D5057" t="s">
        <v>18</v>
      </c>
      <c r="E5057" s="3">
        <v>14</v>
      </c>
      <c r="F5057" t="s">
        <v>19</v>
      </c>
      <c r="G5057" t="s">
        <v>60</v>
      </c>
      <c r="H5057" t="s">
        <v>61</v>
      </c>
      <c r="I5057" s="12">
        <v>0.59027777777777779</v>
      </c>
      <c r="J5057" t="s">
        <v>62</v>
      </c>
      <c r="K5057" t="s">
        <v>61</v>
      </c>
      <c r="L5057" s="12">
        <v>0.62152777777777779</v>
      </c>
      <c r="M5057" t="s">
        <v>63</v>
      </c>
      <c r="N5057" s="3">
        <v>232</v>
      </c>
      <c r="O5057" t="s">
        <v>24</v>
      </c>
      <c r="P5057" t="s">
        <v>56</v>
      </c>
      <c r="R5057">
        <f>tblDailySchedule[[#This Row],[Capacity Approx]]*'[1]Load Factor Sheet June Acft  '!$B$5</f>
        <v>187.86727272727273</v>
      </c>
      <c r="S5057">
        <f>tblDailySchedule[[#This Row],[Capacity Approx]]*'[1]Load Factor Sheet June Acft  '!$D$5</f>
        <v>203.4218181818182</v>
      </c>
      <c r="T5057" s="22">
        <f>tblDailySchedule[[#This Row],[STD]]</f>
        <v>0.62152777777777779</v>
      </c>
    </row>
    <row r="5058" spans="1:20" hidden="1" x14ac:dyDescent="0.35">
      <c r="A5058" s="11">
        <v>46292</v>
      </c>
      <c r="B5058" s="3">
        <v>7</v>
      </c>
      <c r="C5058" t="s">
        <v>17</v>
      </c>
      <c r="D5058" t="s">
        <v>18</v>
      </c>
      <c r="E5058" s="3">
        <v>15</v>
      </c>
      <c r="F5058" t="s">
        <v>19</v>
      </c>
      <c r="G5058" t="s">
        <v>64</v>
      </c>
      <c r="H5058" t="s">
        <v>31</v>
      </c>
      <c r="I5058" s="12">
        <v>0.60069444444444442</v>
      </c>
      <c r="J5058" t="s">
        <v>65</v>
      </c>
      <c r="K5058" t="s">
        <v>66</v>
      </c>
      <c r="L5058" s="12">
        <v>0.62847222222222221</v>
      </c>
      <c r="M5058" t="s">
        <v>63</v>
      </c>
      <c r="N5058" s="3">
        <v>232</v>
      </c>
      <c r="O5058" t="s">
        <v>24</v>
      </c>
      <c r="P5058" t="s">
        <v>56</v>
      </c>
      <c r="R5058">
        <f>tblDailySchedule[[#This Row],[Capacity Approx]]*'[1]Load Factor Sheet June Acft  '!$B$5</f>
        <v>187.86727272727273</v>
      </c>
      <c r="S5058">
        <f>tblDailySchedule[[#This Row],[Capacity Approx]]*'[1]Load Factor Sheet June Acft  '!$D$5</f>
        <v>203.4218181818182</v>
      </c>
      <c r="T5058" s="22">
        <f>tblDailySchedule[[#This Row],[STD]]</f>
        <v>0.62847222222222221</v>
      </c>
    </row>
    <row r="5059" spans="1:20" hidden="1" x14ac:dyDescent="0.35">
      <c r="A5059" s="11">
        <v>46292</v>
      </c>
      <c r="B5059" s="3">
        <v>7</v>
      </c>
      <c r="C5059" t="s">
        <v>17</v>
      </c>
      <c r="D5059" t="s">
        <v>18</v>
      </c>
      <c r="E5059" s="3">
        <v>16</v>
      </c>
      <c r="F5059" t="s">
        <v>19</v>
      </c>
      <c r="G5059" t="s">
        <v>67</v>
      </c>
      <c r="H5059" t="s">
        <v>31</v>
      </c>
      <c r="I5059" s="12">
        <v>0.65625</v>
      </c>
      <c r="J5059" t="s">
        <v>68</v>
      </c>
      <c r="K5059" t="s">
        <v>31</v>
      </c>
      <c r="L5059" s="12">
        <v>0.68402777777777779</v>
      </c>
      <c r="M5059" t="s">
        <v>63</v>
      </c>
      <c r="N5059" s="3">
        <v>232</v>
      </c>
      <c r="O5059" t="s">
        <v>24</v>
      </c>
      <c r="P5059" t="s">
        <v>56</v>
      </c>
      <c r="R5059">
        <f>tblDailySchedule[[#This Row],[Capacity Approx]]*'[1]Load Factor Sheet June Acft  '!$B$5</f>
        <v>187.86727272727273</v>
      </c>
      <c r="S5059">
        <f>tblDailySchedule[[#This Row],[Capacity Approx]]*'[1]Load Factor Sheet June Acft  '!$D$5</f>
        <v>203.4218181818182</v>
      </c>
      <c r="T5059" s="22">
        <f>tblDailySchedule[[#This Row],[STD]]</f>
        <v>0.68402777777777779</v>
      </c>
    </row>
    <row r="5060" spans="1:20" hidden="1" x14ac:dyDescent="0.35">
      <c r="A5060" s="11">
        <v>46292</v>
      </c>
      <c r="B5060" s="3">
        <v>7</v>
      </c>
      <c r="C5060" t="s">
        <v>17</v>
      </c>
      <c r="D5060" t="s">
        <v>18</v>
      </c>
      <c r="E5060" s="3">
        <v>17</v>
      </c>
      <c r="F5060" t="s">
        <v>19</v>
      </c>
      <c r="G5060" t="s">
        <v>69</v>
      </c>
      <c r="H5060" t="s">
        <v>31</v>
      </c>
      <c r="I5060" s="12">
        <v>0.66319444444444442</v>
      </c>
      <c r="J5060" t="s">
        <v>70</v>
      </c>
      <c r="K5060" t="s">
        <v>31</v>
      </c>
      <c r="L5060" s="12">
        <v>0.69097222222222221</v>
      </c>
      <c r="M5060" t="s">
        <v>33</v>
      </c>
      <c r="N5060" s="3">
        <v>189</v>
      </c>
      <c r="O5060" t="s">
        <v>24</v>
      </c>
      <c r="P5060" t="s">
        <v>56</v>
      </c>
      <c r="R5060">
        <f>tblDailySchedule[[#This Row],[Capacity Approx]]*'[1]Load Factor Sheet June Acft  '!$B$5</f>
        <v>153.04704545454547</v>
      </c>
      <c r="S5060">
        <f>tblDailySchedule[[#This Row],[Capacity Approx]]*'[1]Load Factor Sheet June Acft  '!$D$5</f>
        <v>165.71863636363636</v>
      </c>
      <c r="T5060" s="22">
        <f>tblDailySchedule[[#This Row],[STD]]</f>
        <v>0.69097222222222221</v>
      </c>
    </row>
    <row r="5061" spans="1:20" hidden="1" x14ac:dyDescent="0.35">
      <c r="A5061" s="11">
        <v>46292</v>
      </c>
      <c r="B5061" s="3">
        <v>7</v>
      </c>
      <c r="C5061" t="s">
        <v>17</v>
      </c>
      <c r="D5061" t="s">
        <v>18</v>
      </c>
      <c r="E5061" s="3">
        <v>18</v>
      </c>
      <c r="F5061" t="s">
        <v>19</v>
      </c>
      <c r="G5061" t="s">
        <v>71</v>
      </c>
      <c r="H5061" t="s">
        <v>21</v>
      </c>
      <c r="I5061" s="12">
        <v>0.67013888888888884</v>
      </c>
      <c r="J5061" t="s">
        <v>72</v>
      </c>
      <c r="K5061" t="s">
        <v>21</v>
      </c>
      <c r="L5061" s="12">
        <v>0.69791666666666663</v>
      </c>
      <c r="M5061" t="s">
        <v>63</v>
      </c>
      <c r="N5061" s="3">
        <v>232</v>
      </c>
      <c r="O5061" t="s">
        <v>24</v>
      </c>
      <c r="P5061" t="s">
        <v>56</v>
      </c>
      <c r="R5061">
        <f>tblDailySchedule[[#This Row],[Capacity Approx]]*'[1]Load Factor Sheet June Acft  '!$B$5</f>
        <v>187.86727272727273</v>
      </c>
      <c r="S5061">
        <f>tblDailySchedule[[#This Row],[Capacity Approx]]*'[1]Load Factor Sheet June Acft  '!$D$5</f>
        <v>203.4218181818182</v>
      </c>
      <c r="T5061" s="22">
        <f>tblDailySchedule[[#This Row],[STD]]</f>
        <v>0.69791666666666663</v>
      </c>
    </row>
    <row r="5062" spans="1:20" hidden="1" x14ac:dyDescent="0.35">
      <c r="A5062" s="11">
        <v>46292</v>
      </c>
      <c r="B5062" s="3">
        <v>7</v>
      </c>
      <c r="C5062" t="s">
        <v>17</v>
      </c>
      <c r="D5062" t="s">
        <v>18</v>
      </c>
      <c r="E5062" s="3">
        <v>19</v>
      </c>
      <c r="F5062" t="s">
        <v>19</v>
      </c>
      <c r="G5062" t="s">
        <v>73</v>
      </c>
      <c r="H5062" t="s">
        <v>27</v>
      </c>
      <c r="I5062" s="12">
        <v>0.74652777777777779</v>
      </c>
      <c r="J5062" t="s">
        <v>74</v>
      </c>
      <c r="K5062" t="s">
        <v>27</v>
      </c>
      <c r="L5062" s="12">
        <v>0.77430555555555558</v>
      </c>
      <c r="M5062" t="s">
        <v>63</v>
      </c>
      <c r="N5062" s="3">
        <v>232</v>
      </c>
      <c r="O5062" t="s">
        <v>24</v>
      </c>
      <c r="P5062" t="s">
        <v>56</v>
      </c>
      <c r="R5062">
        <f>tblDailySchedule[[#This Row],[Capacity Approx]]*'[1]Load Factor Sheet June Acft  '!$B$5</f>
        <v>187.86727272727273</v>
      </c>
      <c r="S5062">
        <f>tblDailySchedule[[#This Row],[Capacity Approx]]*'[1]Load Factor Sheet June Acft  '!$D$5</f>
        <v>203.4218181818182</v>
      </c>
      <c r="T5062" s="22">
        <f>tblDailySchedule[[#This Row],[STD]]</f>
        <v>0.77430555555555558</v>
      </c>
    </row>
    <row r="5063" spans="1:20" hidden="1" x14ac:dyDescent="0.35">
      <c r="A5063" s="11">
        <v>46292</v>
      </c>
      <c r="B5063" s="3">
        <v>7</v>
      </c>
      <c r="C5063" t="s">
        <v>17</v>
      </c>
      <c r="D5063" t="s">
        <v>18</v>
      </c>
      <c r="E5063" s="3">
        <v>20</v>
      </c>
      <c r="F5063" t="s">
        <v>34</v>
      </c>
      <c r="G5063" t="s">
        <v>75</v>
      </c>
      <c r="H5063" t="s">
        <v>76</v>
      </c>
      <c r="I5063" s="12">
        <v>0.76388888888888884</v>
      </c>
      <c r="J5063" t="s">
        <v>77</v>
      </c>
      <c r="K5063" t="s">
        <v>78</v>
      </c>
      <c r="L5063" s="12">
        <v>0.78472222222222221</v>
      </c>
      <c r="M5063" t="s">
        <v>51</v>
      </c>
      <c r="N5063" s="3">
        <v>78</v>
      </c>
      <c r="O5063" t="s">
        <v>24</v>
      </c>
      <c r="P5063" t="s">
        <v>79</v>
      </c>
      <c r="Q5063" s="16" t="s">
        <v>80</v>
      </c>
      <c r="R5063">
        <f>tblDailySchedule[[#This Row],[Capacity Approx]]*'[1]Load Factor Sheet June Acft  '!$B$5</f>
        <v>63.162272727272729</v>
      </c>
      <c r="S5063">
        <f>tblDailySchedule[[#This Row],[Capacity Approx]]*'[1]Load Factor Sheet June Acft  '!$D$5</f>
        <v>68.391818181818181</v>
      </c>
      <c r="T5063" s="22">
        <f>tblDailySchedule[[#This Row],[STD]]</f>
        <v>0.78472222222222221</v>
      </c>
    </row>
    <row r="5064" spans="1:20" hidden="1" x14ac:dyDescent="0.35">
      <c r="A5064" s="11">
        <v>46292</v>
      </c>
      <c r="B5064" s="3">
        <v>7</v>
      </c>
      <c r="C5064" t="s">
        <v>17</v>
      </c>
      <c r="D5064" t="s">
        <v>18</v>
      </c>
      <c r="E5064" s="3">
        <v>21</v>
      </c>
      <c r="F5064" t="s">
        <v>19</v>
      </c>
      <c r="G5064" t="s">
        <v>81</v>
      </c>
      <c r="H5064" t="s">
        <v>61</v>
      </c>
      <c r="I5064" s="12">
        <v>0.77083333333333337</v>
      </c>
      <c r="J5064" t="s">
        <v>82</v>
      </c>
      <c r="K5064" t="s">
        <v>49</v>
      </c>
      <c r="L5064" s="12">
        <v>0.79166666666666663</v>
      </c>
      <c r="M5064" t="s">
        <v>33</v>
      </c>
      <c r="N5064" s="3">
        <v>189</v>
      </c>
      <c r="O5064" t="s">
        <v>24</v>
      </c>
      <c r="P5064" t="s">
        <v>79</v>
      </c>
      <c r="R5064">
        <f>tblDailySchedule[[#This Row],[Capacity Approx]]*'[1]Load Factor Sheet June Acft  '!$B$5</f>
        <v>153.04704545454547</v>
      </c>
      <c r="S5064">
        <f>tblDailySchedule[[#This Row],[Capacity Approx]]*'[1]Load Factor Sheet June Acft  '!$D$5</f>
        <v>165.71863636363636</v>
      </c>
      <c r="T5064" s="22">
        <f>tblDailySchedule[[#This Row],[STD]]</f>
        <v>0.79166666666666663</v>
      </c>
    </row>
    <row r="5065" spans="1:20" hidden="1" x14ac:dyDescent="0.35">
      <c r="A5065" s="11">
        <v>46292</v>
      </c>
      <c r="B5065" s="3">
        <v>7</v>
      </c>
      <c r="C5065" t="s">
        <v>17</v>
      </c>
      <c r="D5065" t="s">
        <v>18</v>
      </c>
      <c r="E5065" s="3">
        <v>22</v>
      </c>
      <c r="F5065" t="s">
        <v>19</v>
      </c>
      <c r="G5065" t="s">
        <v>83</v>
      </c>
      <c r="H5065" t="s">
        <v>31</v>
      </c>
      <c r="I5065" s="12">
        <v>0.77777777777777779</v>
      </c>
      <c r="J5065" t="s">
        <v>84</v>
      </c>
      <c r="K5065" t="s">
        <v>31</v>
      </c>
      <c r="L5065" s="12">
        <v>0.80555555555555558</v>
      </c>
      <c r="M5065" t="s">
        <v>63</v>
      </c>
      <c r="N5065" s="3">
        <v>232</v>
      </c>
      <c r="O5065" t="s">
        <v>24</v>
      </c>
      <c r="P5065" t="s">
        <v>79</v>
      </c>
      <c r="R5065">
        <f>tblDailySchedule[[#This Row],[Capacity Approx]]*'[1]Load Factor Sheet June Acft  '!$B$5</f>
        <v>187.86727272727273</v>
      </c>
      <c r="S5065">
        <f>tblDailySchedule[[#This Row],[Capacity Approx]]*'[1]Load Factor Sheet June Acft  '!$D$5</f>
        <v>203.4218181818182</v>
      </c>
      <c r="T5065" s="22">
        <f>tblDailySchedule[[#This Row],[STD]]</f>
        <v>0.80555555555555558</v>
      </c>
    </row>
    <row r="5066" spans="1:20" hidden="1" x14ac:dyDescent="0.35">
      <c r="A5066" s="11">
        <v>46292</v>
      </c>
      <c r="B5066" s="3">
        <v>7</v>
      </c>
      <c r="C5066" t="s">
        <v>17</v>
      </c>
      <c r="D5066" t="s">
        <v>18</v>
      </c>
      <c r="E5066" s="3">
        <v>23</v>
      </c>
      <c r="F5066" t="s">
        <v>19</v>
      </c>
      <c r="G5066" t="s">
        <v>85</v>
      </c>
      <c r="H5066" t="s">
        <v>86</v>
      </c>
      <c r="I5066" s="12">
        <v>0.79861111111111116</v>
      </c>
      <c r="J5066" t="s">
        <v>87</v>
      </c>
      <c r="K5066" t="s">
        <v>86</v>
      </c>
      <c r="L5066" s="12">
        <v>0.82638888888888884</v>
      </c>
      <c r="M5066" t="s">
        <v>63</v>
      </c>
      <c r="N5066" s="3">
        <v>232</v>
      </c>
      <c r="O5066" t="s">
        <v>24</v>
      </c>
      <c r="P5066" t="s">
        <v>79</v>
      </c>
      <c r="R5066">
        <f>tblDailySchedule[[#This Row],[Capacity Approx]]*'[1]Load Factor Sheet June Acft  '!$B$5</f>
        <v>187.86727272727273</v>
      </c>
      <c r="S5066">
        <f>tblDailySchedule[[#This Row],[Capacity Approx]]*'[1]Load Factor Sheet June Acft  '!$D$5</f>
        <v>203.4218181818182</v>
      </c>
      <c r="T5066" s="22">
        <f>tblDailySchedule[[#This Row],[STD]]</f>
        <v>0.82638888888888884</v>
      </c>
    </row>
    <row r="5067" spans="1:20" hidden="1" x14ac:dyDescent="0.35">
      <c r="A5067" s="11">
        <v>46292</v>
      </c>
      <c r="B5067" s="3">
        <v>7</v>
      </c>
      <c r="C5067" t="s">
        <v>17</v>
      </c>
      <c r="D5067" t="s">
        <v>18</v>
      </c>
      <c r="E5067" s="3">
        <v>24</v>
      </c>
      <c r="F5067" t="s">
        <v>19</v>
      </c>
      <c r="G5067" t="s">
        <v>88</v>
      </c>
      <c r="H5067" t="s">
        <v>89</v>
      </c>
      <c r="I5067" s="12">
        <v>0.83333333333333337</v>
      </c>
      <c r="J5067" t="s">
        <v>90</v>
      </c>
      <c r="K5067" t="s">
        <v>31</v>
      </c>
      <c r="L5067" s="12">
        <v>0.86111111111111116</v>
      </c>
      <c r="M5067" t="s">
        <v>63</v>
      </c>
      <c r="N5067" s="3">
        <v>232</v>
      </c>
      <c r="O5067" t="s">
        <v>24</v>
      </c>
      <c r="P5067" t="s">
        <v>79</v>
      </c>
      <c r="R5067">
        <f>tblDailySchedule[[#This Row],[Capacity Approx]]*'[1]Load Factor Sheet June Acft  '!$B$5</f>
        <v>187.86727272727273</v>
      </c>
      <c r="S5067">
        <f>tblDailySchedule[[#This Row],[Capacity Approx]]*'[1]Load Factor Sheet June Acft  '!$D$5</f>
        <v>203.4218181818182</v>
      </c>
      <c r="T5067" s="22">
        <f>tblDailySchedule[[#This Row],[STD]]</f>
        <v>0.86111111111111116</v>
      </c>
    </row>
    <row r="5068" spans="1:20" hidden="1" x14ac:dyDescent="0.35">
      <c r="A5068" s="11">
        <v>46292</v>
      </c>
      <c r="B5068" s="3">
        <v>7</v>
      </c>
      <c r="C5068" t="s">
        <v>17</v>
      </c>
      <c r="D5068" t="s">
        <v>18</v>
      </c>
      <c r="E5068" s="3">
        <v>25</v>
      </c>
      <c r="F5068" t="s">
        <v>19</v>
      </c>
      <c r="G5068" t="s">
        <v>91</v>
      </c>
      <c r="H5068" t="s">
        <v>61</v>
      </c>
      <c r="I5068" s="12">
        <v>0.85416666666666663</v>
      </c>
      <c r="J5068" t="s">
        <v>92</v>
      </c>
      <c r="K5068" t="s">
        <v>61</v>
      </c>
      <c r="L5068" s="12">
        <v>0.88194444444444442</v>
      </c>
      <c r="M5068" t="s">
        <v>63</v>
      </c>
      <c r="N5068" s="3">
        <v>232</v>
      </c>
      <c r="O5068" t="s">
        <v>24</v>
      </c>
      <c r="P5068" t="s">
        <v>79</v>
      </c>
      <c r="R5068">
        <f>tblDailySchedule[[#This Row],[Capacity Approx]]*'[1]Load Factor Sheet June Acft  '!$B$5</f>
        <v>187.86727272727273</v>
      </c>
      <c r="S5068">
        <f>tblDailySchedule[[#This Row],[Capacity Approx]]*'[1]Load Factor Sheet June Acft  '!$D$5</f>
        <v>203.4218181818182</v>
      </c>
      <c r="T5068" s="22">
        <f>tblDailySchedule[[#This Row],[STD]]</f>
        <v>0.88194444444444442</v>
      </c>
    </row>
    <row r="5069" spans="1:20" hidden="1" x14ac:dyDescent="0.35">
      <c r="A5069" s="11">
        <v>46292</v>
      </c>
      <c r="B5069" s="3">
        <v>7</v>
      </c>
      <c r="C5069" t="s">
        <v>17</v>
      </c>
      <c r="D5069" t="s">
        <v>18</v>
      </c>
      <c r="E5069" s="3">
        <v>26</v>
      </c>
      <c r="F5069" t="s">
        <v>19</v>
      </c>
      <c r="G5069" t="s">
        <v>93</v>
      </c>
      <c r="H5069" t="s">
        <v>31</v>
      </c>
      <c r="I5069" s="12">
        <v>0.86111111111111116</v>
      </c>
      <c r="J5069" t="s">
        <v>94</v>
      </c>
      <c r="K5069" t="s">
        <v>31</v>
      </c>
      <c r="L5069" s="12">
        <v>0.88888888888888884</v>
      </c>
      <c r="M5069" t="s">
        <v>23</v>
      </c>
      <c r="N5069" s="3">
        <v>186</v>
      </c>
      <c r="O5069" t="s">
        <v>24</v>
      </c>
      <c r="P5069" t="s">
        <v>79</v>
      </c>
      <c r="R5069">
        <f>tblDailySchedule[[#This Row],[Capacity Approx]]*'[1]Load Factor Sheet June Acft  '!$B$5</f>
        <v>150.61772727272728</v>
      </c>
      <c r="S5069">
        <f>tblDailySchedule[[#This Row],[Capacity Approx]]*'[1]Load Factor Sheet June Acft  '!$D$5</f>
        <v>163.08818181818182</v>
      </c>
      <c r="T5069" s="22">
        <f>tblDailySchedule[[#This Row],[STD]]</f>
        <v>0.88888888888888884</v>
      </c>
    </row>
    <row r="5070" spans="1:20" hidden="1" x14ac:dyDescent="0.35">
      <c r="A5070" s="11">
        <v>46292</v>
      </c>
      <c r="B5070" s="3">
        <v>7</v>
      </c>
      <c r="C5070" t="s">
        <v>17</v>
      </c>
      <c r="D5070" t="s">
        <v>18</v>
      </c>
      <c r="E5070" s="3">
        <v>27</v>
      </c>
      <c r="F5070" t="s">
        <v>19</v>
      </c>
      <c r="G5070" t="s">
        <v>95</v>
      </c>
      <c r="H5070" t="s">
        <v>21</v>
      </c>
      <c r="I5070" s="12">
        <v>0.86805555555555558</v>
      </c>
      <c r="J5070" t="s">
        <v>96</v>
      </c>
      <c r="K5070" t="s">
        <v>21</v>
      </c>
      <c r="L5070" s="12">
        <v>0.89583333333333337</v>
      </c>
      <c r="M5070" t="s">
        <v>29</v>
      </c>
      <c r="N5070" s="3">
        <v>186</v>
      </c>
      <c r="O5070" t="s">
        <v>24</v>
      </c>
      <c r="P5070" t="s">
        <v>79</v>
      </c>
      <c r="R5070">
        <f>tblDailySchedule[[#This Row],[Capacity Approx]]*'[1]Load Factor Sheet June Acft  '!$B$5</f>
        <v>150.61772727272728</v>
      </c>
      <c r="S5070">
        <f>tblDailySchedule[[#This Row],[Capacity Approx]]*'[1]Load Factor Sheet June Acft  '!$D$5</f>
        <v>163.08818181818182</v>
      </c>
      <c r="T5070" s="22">
        <f>tblDailySchedule[[#This Row],[STD]]</f>
        <v>0.89583333333333337</v>
      </c>
    </row>
    <row r="5071" spans="1:20" hidden="1" x14ac:dyDescent="0.35">
      <c r="A5071" s="11">
        <v>46292</v>
      </c>
      <c r="B5071" s="3">
        <v>7</v>
      </c>
      <c r="C5071" t="s">
        <v>17</v>
      </c>
      <c r="D5071" t="s">
        <v>18</v>
      </c>
      <c r="E5071" s="3">
        <v>28</v>
      </c>
      <c r="F5071" t="s">
        <v>19</v>
      </c>
      <c r="G5071" t="s">
        <v>97</v>
      </c>
      <c r="H5071" t="s">
        <v>49</v>
      </c>
      <c r="I5071" s="12">
        <v>0.90277777777777779</v>
      </c>
      <c r="J5071" t="s">
        <v>97</v>
      </c>
      <c r="K5071" t="s">
        <v>61</v>
      </c>
      <c r="L5071" s="12">
        <v>0.92361111111111116</v>
      </c>
      <c r="M5071" t="s">
        <v>33</v>
      </c>
      <c r="N5071" s="3">
        <v>189</v>
      </c>
      <c r="O5071" t="s">
        <v>24</v>
      </c>
      <c r="P5071" t="s">
        <v>79</v>
      </c>
      <c r="R5071">
        <f>tblDailySchedule[[#This Row],[Capacity Approx]]*'[1]Load Factor Sheet June Acft  '!$B$5</f>
        <v>153.04704545454547</v>
      </c>
      <c r="S5071">
        <f>tblDailySchedule[[#This Row],[Capacity Approx]]*'[1]Load Factor Sheet June Acft  '!$D$5</f>
        <v>165.71863636363636</v>
      </c>
      <c r="T5071" s="22">
        <f>tblDailySchedule[[#This Row],[STD]]</f>
        <v>0.92361111111111116</v>
      </c>
    </row>
    <row r="5072" spans="1:20" hidden="1" x14ac:dyDescent="0.35">
      <c r="A5072" s="11">
        <v>46292</v>
      </c>
      <c r="B5072" s="3">
        <v>7</v>
      </c>
      <c r="C5072" t="s">
        <v>17</v>
      </c>
      <c r="D5072" t="s">
        <v>18</v>
      </c>
      <c r="E5072" s="3">
        <v>29</v>
      </c>
      <c r="F5072" t="s">
        <v>19</v>
      </c>
      <c r="G5072" t="s">
        <v>98</v>
      </c>
      <c r="H5072" t="s">
        <v>21</v>
      </c>
      <c r="I5072" s="12">
        <v>0.92013888888888884</v>
      </c>
      <c r="J5072" t="s">
        <v>99</v>
      </c>
      <c r="K5072" t="s">
        <v>21</v>
      </c>
      <c r="L5072" s="12">
        <v>0.94791666666666663</v>
      </c>
      <c r="M5072" t="s">
        <v>63</v>
      </c>
      <c r="N5072" s="3">
        <v>232</v>
      </c>
      <c r="O5072" t="s">
        <v>24</v>
      </c>
      <c r="P5072" t="s">
        <v>79</v>
      </c>
      <c r="R5072">
        <f>tblDailySchedule[[#This Row],[Capacity Approx]]*'[1]Load Factor Sheet June Acft  '!$B$5</f>
        <v>187.86727272727273</v>
      </c>
      <c r="S5072">
        <f>tblDailySchedule[[#This Row],[Capacity Approx]]*'[1]Load Factor Sheet June Acft  '!$D$5</f>
        <v>203.4218181818182</v>
      </c>
      <c r="T5072" s="22">
        <f>tblDailySchedule[[#This Row],[STD]]</f>
        <v>0.94791666666666663</v>
      </c>
    </row>
    <row r="5073" spans="1:20" hidden="1" x14ac:dyDescent="0.35">
      <c r="A5073" s="11">
        <v>46293</v>
      </c>
      <c r="B5073" s="3">
        <v>1</v>
      </c>
      <c r="C5073" t="s">
        <v>100</v>
      </c>
      <c r="D5073" t="s">
        <v>18</v>
      </c>
      <c r="E5073" s="3">
        <v>1</v>
      </c>
      <c r="F5073" t="s">
        <v>101</v>
      </c>
      <c r="G5073" t="s">
        <v>102</v>
      </c>
      <c r="H5073" t="s">
        <v>61</v>
      </c>
      <c r="I5073" s="12">
        <v>0.3125</v>
      </c>
      <c r="J5073" t="s">
        <v>103</v>
      </c>
      <c r="K5073" t="s">
        <v>61</v>
      </c>
      <c r="L5073" s="12">
        <v>0.33333333333333331</v>
      </c>
      <c r="M5073" t="s">
        <v>33</v>
      </c>
      <c r="N5073" s="3">
        <v>189</v>
      </c>
      <c r="O5073" t="s">
        <v>24</v>
      </c>
      <c r="P5073" t="s">
        <v>25</v>
      </c>
      <c r="R5073">
        <f>tblDailySchedule[[#This Row],[Capacity Approx]]*'[1]Load Factor Sheet June Acft  '!$B$5</f>
        <v>153.04704545454547</v>
      </c>
      <c r="S5073">
        <f>tblDailySchedule[[#This Row],[Capacity Approx]]*'[1]Load Factor Sheet June Acft  '!$D$5</f>
        <v>165.71863636363636</v>
      </c>
      <c r="T5073" s="22">
        <f>tblDailySchedule[[#This Row],[STD]]</f>
        <v>0.33333333333333331</v>
      </c>
    </row>
    <row r="5074" spans="1:20" hidden="1" x14ac:dyDescent="0.35">
      <c r="A5074" s="11">
        <v>46293</v>
      </c>
      <c r="B5074" s="3">
        <v>1</v>
      </c>
      <c r="C5074" t="s">
        <v>100</v>
      </c>
      <c r="D5074" t="s">
        <v>18</v>
      </c>
      <c r="E5074" s="3">
        <v>2</v>
      </c>
      <c r="F5074" t="s">
        <v>19</v>
      </c>
      <c r="G5074" t="s">
        <v>20</v>
      </c>
      <c r="H5074" t="s">
        <v>21</v>
      </c>
      <c r="I5074" s="12">
        <v>0.31944444444444442</v>
      </c>
      <c r="J5074" t="s">
        <v>22</v>
      </c>
      <c r="K5074" t="s">
        <v>21</v>
      </c>
      <c r="L5074" s="12">
        <v>0.34722222222222221</v>
      </c>
      <c r="M5074" t="s">
        <v>23</v>
      </c>
      <c r="N5074" s="3">
        <v>186</v>
      </c>
      <c r="O5074" t="s">
        <v>24</v>
      </c>
      <c r="P5074" t="s">
        <v>25</v>
      </c>
      <c r="R5074">
        <f>tblDailySchedule[[#This Row],[Capacity Approx]]*'[1]Load Factor Sheet June Acft  '!$B$5</f>
        <v>150.61772727272728</v>
      </c>
      <c r="S5074">
        <f>tblDailySchedule[[#This Row],[Capacity Approx]]*'[1]Load Factor Sheet June Acft  '!$D$5</f>
        <v>163.08818181818182</v>
      </c>
      <c r="T5074" s="22">
        <f>tblDailySchedule[[#This Row],[STD]]</f>
        <v>0.34722222222222221</v>
      </c>
    </row>
    <row r="5075" spans="1:20" hidden="1" x14ac:dyDescent="0.35">
      <c r="A5075" s="11">
        <v>46293</v>
      </c>
      <c r="B5075" s="3">
        <v>1</v>
      </c>
      <c r="C5075" t="s">
        <v>100</v>
      </c>
      <c r="D5075" t="s">
        <v>18</v>
      </c>
      <c r="E5075" s="3">
        <v>3</v>
      </c>
      <c r="F5075" t="s">
        <v>19</v>
      </c>
      <c r="G5075" t="s">
        <v>26</v>
      </c>
      <c r="H5075" t="s">
        <v>27</v>
      </c>
      <c r="I5075" s="12">
        <v>0.3263888888888889</v>
      </c>
      <c r="J5075" t="s">
        <v>28</v>
      </c>
      <c r="K5075" t="s">
        <v>27</v>
      </c>
      <c r="L5075" s="12">
        <v>0.35416666666666669</v>
      </c>
      <c r="M5075" t="s">
        <v>29</v>
      </c>
      <c r="N5075" s="3">
        <v>186</v>
      </c>
      <c r="O5075" t="s">
        <v>24</v>
      </c>
      <c r="P5075" t="s">
        <v>25</v>
      </c>
      <c r="R5075">
        <f>tblDailySchedule[[#This Row],[Capacity Approx]]*'[1]Load Factor Sheet June Acft  '!$B$5</f>
        <v>150.61772727272728</v>
      </c>
      <c r="S5075">
        <f>tblDailySchedule[[#This Row],[Capacity Approx]]*'[1]Load Factor Sheet June Acft  '!$D$5</f>
        <v>163.08818181818182</v>
      </c>
      <c r="T5075" s="22">
        <f>tblDailySchedule[[#This Row],[STD]]</f>
        <v>0.35416666666666669</v>
      </c>
    </row>
    <row r="5076" spans="1:20" hidden="1" x14ac:dyDescent="0.35">
      <c r="A5076" s="11">
        <v>46293</v>
      </c>
      <c r="B5076" s="3">
        <v>1</v>
      </c>
      <c r="C5076" t="s">
        <v>100</v>
      </c>
      <c r="D5076" t="s">
        <v>18</v>
      </c>
      <c r="E5076" s="3">
        <v>4</v>
      </c>
      <c r="F5076" t="s">
        <v>19</v>
      </c>
      <c r="G5076" t="s">
        <v>30</v>
      </c>
      <c r="H5076" t="s">
        <v>31</v>
      </c>
      <c r="I5076" s="12">
        <v>0.34722222222222221</v>
      </c>
      <c r="J5076" t="s">
        <v>32</v>
      </c>
      <c r="K5076" t="s">
        <v>31</v>
      </c>
      <c r="L5076" s="12">
        <v>0.36805555555555558</v>
      </c>
      <c r="M5076" t="s">
        <v>33</v>
      </c>
      <c r="N5076" s="3">
        <v>189</v>
      </c>
      <c r="O5076" t="s">
        <v>24</v>
      </c>
      <c r="P5076" t="s">
        <v>25</v>
      </c>
      <c r="R5076">
        <f>tblDailySchedule[[#This Row],[Capacity Approx]]*'[1]Load Factor Sheet June Acft  '!$B$5</f>
        <v>153.04704545454547</v>
      </c>
      <c r="S5076">
        <f>tblDailySchedule[[#This Row],[Capacity Approx]]*'[1]Load Factor Sheet June Acft  '!$D$5</f>
        <v>165.71863636363636</v>
      </c>
      <c r="T5076" s="22">
        <f>tblDailySchedule[[#This Row],[STD]]</f>
        <v>0.36805555555555558</v>
      </c>
    </row>
    <row r="5077" spans="1:20" hidden="1" x14ac:dyDescent="0.35">
      <c r="A5077" s="13">
        <v>46293</v>
      </c>
      <c r="B5077" s="7">
        <v>1</v>
      </c>
      <c r="C5077" s="14" t="s">
        <v>100</v>
      </c>
      <c r="D5077" s="14" t="s">
        <v>18</v>
      </c>
      <c r="E5077" s="7">
        <v>6</v>
      </c>
      <c r="F5077" s="14" t="s">
        <v>34</v>
      </c>
      <c r="G5077" s="14" t="s">
        <v>35</v>
      </c>
      <c r="H5077" s="14" t="s">
        <v>36</v>
      </c>
      <c r="I5077" s="15">
        <v>0.34722222222222221</v>
      </c>
      <c r="J5077" s="14" t="s">
        <v>37</v>
      </c>
      <c r="K5077" s="14" t="s">
        <v>36</v>
      </c>
      <c r="L5077" s="15">
        <v>0.40972222222222221</v>
      </c>
      <c r="M5077" s="14" t="s">
        <v>38</v>
      </c>
      <c r="N5077" s="7">
        <v>186</v>
      </c>
      <c r="O5077" s="14" t="s">
        <v>39</v>
      </c>
      <c r="P5077" s="14" t="s">
        <v>25</v>
      </c>
      <c r="Q5077" s="14" t="s">
        <v>39</v>
      </c>
      <c r="R5077">
        <f>tblDailySchedule[[#This Row],[Capacity Approx]]*'[1]Load Factor Sheet June Acft  '!$B$5</f>
        <v>150.61772727272728</v>
      </c>
      <c r="S5077">
        <f>tblDailySchedule[[#This Row],[Capacity Approx]]*'[1]Load Factor Sheet June Acft  '!$D$5</f>
        <v>163.08818181818182</v>
      </c>
      <c r="T5077" s="22">
        <f>tblDailySchedule[[#This Row],[STD]]</f>
        <v>0.40972222222222221</v>
      </c>
    </row>
    <row r="5078" spans="1:20" hidden="1" x14ac:dyDescent="0.35">
      <c r="A5078" s="11">
        <v>46293</v>
      </c>
      <c r="B5078" s="3">
        <v>1</v>
      </c>
      <c r="C5078" t="s">
        <v>100</v>
      </c>
      <c r="D5078" t="s">
        <v>18</v>
      </c>
      <c r="E5078" s="3">
        <v>5</v>
      </c>
      <c r="F5078" t="s">
        <v>19</v>
      </c>
      <c r="G5078" t="s">
        <v>40</v>
      </c>
      <c r="H5078" t="s">
        <v>31</v>
      </c>
      <c r="I5078" s="12">
        <v>0.35069444444444442</v>
      </c>
      <c r="J5078" t="s">
        <v>41</v>
      </c>
      <c r="K5078" t="s">
        <v>31</v>
      </c>
      <c r="L5078" s="12">
        <v>0.37152777777777779</v>
      </c>
      <c r="M5078" t="s">
        <v>23</v>
      </c>
      <c r="N5078" s="3">
        <v>186</v>
      </c>
      <c r="O5078" t="s">
        <v>24</v>
      </c>
      <c r="P5078" t="s">
        <v>25</v>
      </c>
      <c r="R5078">
        <f>tblDailySchedule[[#This Row],[Capacity Approx]]*'[1]Load Factor Sheet June Acft  '!$B$5</f>
        <v>150.61772727272728</v>
      </c>
      <c r="S5078">
        <f>tblDailySchedule[[#This Row],[Capacity Approx]]*'[1]Load Factor Sheet June Acft  '!$D$5</f>
        <v>163.08818181818182</v>
      </c>
      <c r="T5078" s="22">
        <f>tblDailySchedule[[#This Row],[STD]]</f>
        <v>0.37152777777777779</v>
      </c>
    </row>
    <row r="5079" spans="1:20" hidden="1" x14ac:dyDescent="0.35">
      <c r="A5079" s="11">
        <v>46293</v>
      </c>
      <c r="B5079" s="3">
        <v>1</v>
      </c>
      <c r="C5079" t="s">
        <v>100</v>
      </c>
      <c r="D5079" t="s">
        <v>18</v>
      </c>
      <c r="E5079" s="3">
        <v>7</v>
      </c>
      <c r="F5079" t="s">
        <v>19</v>
      </c>
      <c r="G5079" t="s">
        <v>42</v>
      </c>
      <c r="H5079" t="s">
        <v>43</v>
      </c>
      <c r="I5079" s="12">
        <v>0.3923611111111111</v>
      </c>
      <c r="J5079" t="s">
        <v>44</v>
      </c>
      <c r="K5079" t="s">
        <v>43</v>
      </c>
      <c r="L5079" s="12">
        <v>0.40277777777777779</v>
      </c>
      <c r="M5079" t="s">
        <v>45</v>
      </c>
      <c r="N5079" s="3">
        <v>9</v>
      </c>
      <c r="O5079" t="s">
        <v>24</v>
      </c>
      <c r="P5079" t="s">
        <v>25</v>
      </c>
      <c r="R5079">
        <f>tblDailySchedule[[#This Row],[Capacity Approx]]*'[1]Load Factor Sheet June Acft  '!$B$5</f>
        <v>7.2879545454545456</v>
      </c>
      <c r="S5079">
        <f>tblDailySchedule[[#This Row],[Capacity Approx]]*'[1]Load Factor Sheet June Acft  '!$D$5</f>
        <v>7.8913636363636366</v>
      </c>
      <c r="T5079" s="22">
        <f>tblDailySchedule[[#This Row],[STD]]</f>
        <v>0.40277777777777779</v>
      </c>
    </row>
    <row r="5080" spans="1:20" hidden="1" x14ac:dyDescent="0.35">
      <c r="A5080" s="11">
        <v>46293</v>
      </c>
      <c r="B5080" s="3">
        <v>1</v>
      </c>
      <c r="C5080" t="s">
        <v>100</v>
      </c>
      <c r="D5080" t="s">
        <v>18</v>
      </c>
      <c r="E5080" s="3">
        <v>8</v>
      </c>
      <c r="F5080" t="s">
        <v>19</v>
      </c>
      <c r="G5080" t="s">
        <v>46</v>
      </c>
      <c r="H5080" t="s">
        <v>31</v>
      </c>
      <c r="I5080" s="12">
        <v>0.4201388888888889</v>
      </c>
      <c r="J5080" t="s">
        <v>47</v>
      </c>
      <c r="K5080" t="s">
        <v>31</v>
      </c>
      <c r="L5080" s="12">
        <v>0.44444444444444442</v>
      </c>
      <c r="M5080" t="s">
        <v>29</v>
      </c>
      <c r="N5080" s="3">
        <v>186</v>
      </c>
      <c r="O5080" t="s">
        <v>24</v>
      </c>
      <c r="P5080" t="s">
        <v>25</v>
      </c>
      <c r="R5080">
        <f>tblDailySchedule[[#This Row],[Capacity Approx]]*'[1]Load Factor Sheet June Acft  '!$B$5</f>
        <v>150.61772727272728</v>
      </c>
      <c r="S5080">
        <f>tblDailySchedule[[#This Row],[Capacity Approx]]*'[1]Load Factor Sheet June Acft  '!$D$5</f>
        <v>163.08818181818182</v>
      </c>
      <c r="T5080" s="22">
        <f>tblDailySchedule[[#This Row],[STD]]</f>
        <v>0.44444444444444442</v>
      </c>
    </row>
    <row r="5081" spans="1:20" hidden="1" x14ac:dyDescent="0.35">
      <c r="A5081" s="11">
        <v>46293</v>
      </c>
      <c r="B5081" s="3">
        <v>1</v>
      </c>
      <c r="C5081" t="s">
        <v>100</v>
      </c>
      <c r="D5081" t="s">
        <v>18</v>
      </c>
      <c r="E5081" s="3">
        <v>9</v>
      </c>
      <c r="F5081" t="s">
        <v>19</v>
      </c>
      <c r="G5081" t="s">
        <v>48</v>
      </c>
      <c r="H5081" t="s">
        <v>49</v>
      </c>
      <c r="I5081" s="12">
        <v>0.4375</v>
      </c>
      <c r="J5081" t="s">
        <v>50</v>
      </c>
      <c r="K5081" t="s">
        <v>49</v>
      </c>
      <c r="L5081" s="12">
        <v>0.45833333333333331</v>
      </c>
      <c r="M5081" t="s">
        <v>51</v>
      </c>
      <c r="N5081" s="3">
        <v>78</v>
      </c>
      <c r="O5081" t="s">
        <v>24</v>
      </c>
      <c r="P5081" t="s">
        <v>25</v>
      </c>
      <c r="R5081">
        <f>tblDailySchedule[[#This Row],[Capacity Approx]]*'[1]Load Factor Sheet June Acft  '!$B$5</f>
        <v>63.162272727272729</v>
      </c>
      <c r="S5081">
        <f>tblDailySchedule[[#This Row],[Capacity Approx]]*'[1]Load Factor Sheet June Acft  '!$D$5</f>
        <v>68.391818181818181</v>
      </c>
      <c r="T5081" s="22">
        <f>tblDailySchedule[[#This Row],[STD]]</f>
        <v>0.45833333333333331</v>
      </c>
    </row>
    <row r="5082" spans="1:20" hidden="1" x14ac:dyDescent="0.35">
      <c r="A5082" s="11">
        <v>46293</v>
      </c>
      <c r="B5082" s="3">
        <v>1</v>
      </c>
      <c r="C5082" t="s">
        <v>100</v>
      </c>
      <c r="D5082" t="s">
        <v>18</v>
      </c>
      <c r="E5082" s="3">
        <v>10</v>
      </c>
      <c r="F5082" t="s">
        <v>19</v>
      </c>
      <c r="G5082" t="s">
        <v>52</v>
      </c>
      <c r="H5082" t="s">
        <v>27</v>
      </c>
      <c r="I5082" s="12">
        <v>0.4826388888888889</v>
      </c>
      <c r="J5082" t="s">
        <v>53</v>
      </c>
      <c r="K5082" t="s">
        <v>27</v>
      </c>
      <c r="L5082" s="12">
        <v>0.51041666666666663</v>
      </c>
      <c r="M5082" t="s">
        <v>23</v>
      </c>
      <c r="N5082" s="3">
        <v>186</v>
      </c>
      <c r="O5082" t="s">
        <v>24</v>
      </c>
      <c r="P5082" t="s">
        <v>25</v>
      </c>
      <c r="R5082">
        <f>tblDailySchedule[[#This Row],[Capacity Approx]]*'[1]Load Factor Sheet June Acft  '!$B$5</f>
        <v>150.61772727272728</v>
      </c>
      <c r="S5082">
        <f>tblDailySchedule[[#This Row],[Capacity Approx]]*'[1]Load Factor Sheet June Acft  '!$D$5</f>
        <v>163.08818181818182</v>
      </c>
      <c r="T5082" s="22">
        <f>tblDailySchedule[[#This Row],[STD]]</f>
        <v>0.51041666666666663</v>
      </c>
    </row>
    <row r="5083" spans="1:20" hidden="1" x14ac:dyDescent="0.35">
      <c r="A5083" s="11">
        <v>46293</v>
      </c>
      <c r="B5083" s="3">
        <v>1</v>
      </c>
      <c r="C5083" t="s">
        <v>100</v>
      </c>
      <c r="D5083" t="s">
        <v>18</v>
      </c>
      <c r="E5083" s="3">
        <v>11</v>
      </c>
      <c r="F5083" t="s">
        <v>19</v>
      </c>
      <c r="G5083" t="s">
        <v>54</v>
      </c>
      <c r="H5083" t="s">
        <v>31</v>
      </c>
      <c r="I5083" s="12">
        <v>0.51388888888888884</v>
      </c>
      <c r="J5083" t="s">
        <v>55</v>
      </c>
      <c r="K5083" t="s">
        <v>31</v>
      </c>
      <c r="L5083" s="12">
        <v>0.54166666666666663</v>
      </c>
      <c r="M5083" t="s">
        <v>23</v>
      </c>
      <c r="N5083" s="3">
        <v>186</v>
      </c>
      <c r="O5083" t="s">
        <v>24</v>
      </c>
      <c r="P5083" t="s">
        <v>56</v>
      </c>
      <c r="R5083">
        <f>tblDailySchedule[[#This Row],[Capacity Approx]]*'[1]Load Factor Sheet June Acft  '!$B$5</f>
        <v>150.61772727272728</v>
      </c>
      <c r="S5083">
        <f>tblDailySchedule[[#This Row],[Capacity Approx]]*'[1]Load Factor Sheet June Acft  '!$D$5</f>
        <v>163.08818181818182</v>
      </c>
      <c r="T5083" s="22">
        <f>tblDailySchedule[[#This Row],[STD]]</f>
        <v>0.54166666666666663</v>
      </c>
    </row>
    <row r="5084" spans="1:20" hidden="1" x14ac:dyDescent="0.35">
      <c r="A5084" s="11">
        <v>46293</v>
      </c>
      <c r="B5084" s="3">
        <v>1</v>
      </c>
      <c r="C5084" t="s">
        <v>100</v>
      </c>
      <c r="D5084" t="s">
        <v>18</v>
      </c>
      <c r="E5084" s="3">
        <v>13</v>
      </c>
      <c r="F5084" t="s">
        <v>19</v>
      </c>
      <c r="G5084" t="s">
        <v>57</v>
      </c>
      <c r="H5084" t="s">
        <v>58</v>
      </c>
      <c r="I5084" s="12">
        <v>0.55902777777777779</v>
      </c>
      <c r="J5084" t="s">
        <v>59</v>
      </c>
      <c r="K5084" t="s">
        <v>58</v>
      </c>
      <c r="L5084" s="12">
        <v>0.57638888888888884</v>
      </c>
      <c r="M5084" t="s">
        <v>51</v>
      </c>
      <c r="N5084" s="3">
        <v>78</v>
      </c>
      <c r="O5084" t="s">
        <v>24</v>
      </c>
      <c r="P5084" t="s">
        <v>56</v>
      </c>
      <c r="R5084">
        <f>tblDailySchedule[[#This Row],[Capacity Approx]]*'[1]Load Factor Sheet June Acft  '!$B$5</f>
        <v>63.162272727272729</v>
      </c>
      <c r="S5084">
        <f>tblDailySchedule[[#This Row],[Capacity Approx]]*'[1]Load Factor Sheet June Acft  '!$D$5</f>
        <v>68.391818181818181</v>
      </c>
      <c r="T5084" s="22">
        <f>tblDailySchedule[[#This Row],[STD]]</f>
        <v>0.57638888888888884</v>
      </c>
    </row>
    <row r="5085" spans="1:20" hidden="1" x14ac:dyDescent="0.35">
      <c r="A5085" s="11">
        <v>46293</v>
      </c>
      <c r="B5085" s="3">
        <v>1</v>
      </c>
      <c r="C5085" t="s">
        <v>100</v>
      </c>
      <c r="D5085" t="s">
        <v>18</v>
      </c>
      <c r="E5085" s="3">
        <v>14</v>
      </c>
      <c r="F5085" t="s">
        <v>19</v>
      </c>
      <c r="G5085" t="s">
        <v>60</v>
      </c>
      <c r="H5085" t="s">
        <v>61</v>
      </c>
      <c r="I5085" s="12">
        <v>0.59027777777777779</v>
      </c>
      <c r="J5085" t="s">
        <v>62</v>
      </c>
      <c r="K5085" t="s">
        <v>61</v>
      </c>
      <c r="L5085" s="12">
        <v>0.62152777777777779</v>
      </c>
      <c r="M5085" t="s">
        <v>63</v>
      </c>
      <c r="N5085" s="3">
        <v>232</v>
      </c>
      <c r="O5085" t="s">
        <v>24</v>
      </c>
      <c r="P5085" t="s">
        <v>56</v>
      </c>
      <c r="R5085">
        <f>tblDailySchedule[[#This Row],[Capacity Approx]]*'[1]Load Factor Sheet June Acft  '!$B$5</f>
        <v>187.86727272727273</v>
      </c>
      <c r="S5085">
        <f>tblDailySchedule[[#This Row],[Capacity Approx]]*'[1]Load Factor Sheet June Acft  '!$D$5</f>
        <v>203.4218181818182</v>
      </c>
      <c r="T5085" s="22">
        <f>tblDailySchedule[[#This Row],[STD]]</f>
        <v>0.62152777777777779</v>
      </c>
    </row>
    <row r="5086" spans="1:20" hidden="1" x14ac:dyDescent="0.35">
      <c r="A5086" s="11">
        <v>46293</v>
      </c>
      <c r="B5086" s="3">
        <v>1</v>
      </c>
      <c r="C5086" t="s">
        <v>100</v>
      </c>
      <c r="D5086" t="s">
        <v>18</v>
      </c>
      <c r="E5086" s="3">
        <v>15</v>
      </c>
      <c r="F5086" t="s">
        <v>19</v>
      </c>
      <c r="G5086" t="s">
        <v>64</v>
      </c>
      <c r="H5086" t="s">
        <v>31</v>
      </c>
      <c r="I5086" s="12">
        <v>0.60069444444444442</v>
      </c>
      <c r="J5086" t="s">
        <v>65</v>
      </c>
      <c r="K5086" t="s">
        <v>66</v>
      </c>
      <c r="L5086" s="12">
        <v>0.62847222222222221</v>
      </c>
      <c r="M5086" t="s">
        <v>63</v>
      </c>
      <c r="N5086" s="3">
        <v>232</v>
      </c>
      <c r="O5086" t="s">
        <v>24</v>
      </c>
      <c r="P5086" t="s">
        <v>56</v>
      </c>
      <c r="R5086">
        <f>tblDailySchedule[[#This Row],[Capacity Approx]]*'[1]Load Factor Sheet June Acft  '!$B$5</f>
        <v>187.86727272727273</v>
      </c>
      <c r="S5086">
        <f>tblDailySchedule[[#This Row],[Capacity Approx]]*'[1]Load Factor Sheet June Acft  '!$D$5</f>
        <v>203.4218181818182</v>
      </c>
      <c r="T5086" s="22">
        <f>tblDailySchedule[[#This Row],[STD]]</f>
        <v>0.62847222222222221</v>
      </c>
    </row>
    <row r="5087" spans="1:20" hidden="1" x14ac:dyDescent="0.35">
      <c r="A5087" s="11">
        <v>46293</v>
      </c>
      <c r="B5087" s="3">
        <v>1</v>
      </c>
      <c r="C5087" t="s">
        <v>100</v>
      </c>
      <c r="D5087" t="s">
        <v>18</v>
      </c>
      <c r="E5087" s="3">
        <v>16</v>
      </c>
      <c r="F5087" t="s">
        <v>19</v>
      </c>
      <c r="G5087" t="s">
        <v>67</v>
      </c>
      <c r="H5087" t="s">
        <v>31</v>
      </c>
      <c r="I5087" s="12">
        <v>0.65625</v>
      </c>
      <c r="J5087" t="s">
        <v>68</v>
      </c>
      <c r="K5087" t="s">
        <v>31</v>
      </c>
      <c r="L5087" s="12">
        <v>0.68402777777777779</v>
      </c>
      <c r="M5087" t="s">
        <v>63</v>
      </c>
      <c r="N5087" s="3">
        <v>232</v>
      </c>
      <c r="O5087" t="s">
        <v>24</v>
      </c>
      <c r="P5087" t="s">
        <v>56</v>
      </c>
      <c r="R5087">
        <f>tblDailySchedule[[#This Row],[Capacity Approx]]*'[1]Load Factor Sheet June Acft  '!$B$5</f>
        <v>187.86727272727273</v>
      </c>
      <c r="S5087">
        <f>tblDailySchedule[[#This Row],[Capacity Approx]]*'[1]Load Factor Sheet June Acft  '!$D$5</f>
        <v>203.4218181818182</v>
      </c>
      <c r="T5087" s="22">
        <f>tblDailySchedule[[#This Row],[STD]]</f>
        <v>0.68402777777777779</v>
      </c>
    </row>
    <row r="5088" spans="1:20" hidden="1" x14ac:dyDescent="0.35">
      <c r="A5088" s="11">
        <v>46293</v>
      </c>
      <c r="B5088" s="3">
        <v>1</v>
      </c>
      <c r="C5088" t="s">
        <v>100</v>
      </c>
      <c r="D5088" t="s">
        <v>18</v>
      </c>
      <c r="E5088" s="3">
        <v>17</v>
      </c>
      <c r="F5088" t="s">
        <v>19</v>
      </c>
      <c r="G5088" t="s">
        <v>69</v>
      </c>
      <c r="H5088" t="s">
        <v>31</v>
      </c>
      <c r="I5088" s="12">
        <v>0.66319444444444442</v>
      </c>
      <c r="J5088" t="s">
        <v>70</v>
      </c>
      <c r="K5088" t="s">
        <v>31</v>
      </c>
      <c r="L5088" s="12">
        <v>0.69097222222222221</v>
      </c>
      <c r="M5088" t="s">
        <v>33</v>
      </c>
      <c r="N5088" s="3">
        <v>189</v>
      </c>
      <c r="O5088" t="s">
        <v>24</v>
      </c>
      <c r="P5088" t="s">
        <v>56</v>
      </c>
      <c r="R5088">
        <f>tblDailySchedule[[#This Row],[Capacity Approx]]*'[1]Load Factor Sheet June Acft  '!$B$5</f>
        <v>153.04704545454547</v>
      </c>
      <c r="S5088">
        <f>tblDailySchedule[[#This Row],[Capacity Approx]]*'[1]Load Factor Sheet June Acft  '!$D$5</f>
        <v>165.71863636363636</v>
      </c>
      <c r="T5088" s="22">
        <f>tblDailySchedule[[#This Row],[STD]]</f>
        <v>0.69097222222222221</v>
      </c>
    </row>
    <row r="5089" spans="1:20" hidden="1" x14ac:dyDescent="0.35">
      <c r="A5089" s="11">
        <v>46293</v>
      </c>
      <c r="B5089" s="3">
        <v>1</v>
      </c>
      <c r="C5089" t="s">
        <v>100</v>
      </c>
      <c r="D5089" t="s">
        <v>18</v>
      </c>
      <c r="E5089" s="3">
        <v>18</v>
      </c>
      <c r="F5089" t="s">
        <v>19</v>
      </c>
      <c r="G5089" t="s">
        <v>71</v>
      </c>
      <c r="H5089" t="s">
        <v>21</v>
      </c>
      <c r="I5089" s="12">
        <v>0.67013888888888884</v>
      </c>
      <c r="J5089" t="s">
        <v>72</v>
      </c>
      <c r="K5089" t="s">
        <v>21</v>
      </c>
      <c r="L5089" s="12">
        <v>0.69791666666666663</v>
      </c>
      <c r="M5089" t="s">
        <v>63</v>
      </c>
      <c r="N5089" s="3">
        <v>232</v>
      </c>
      <c r="O5089" t="s">
        <v>24</v>
      </c>
      <c r="P5089" t="s">
        <v>56</v>
      </c>
      <c r="R5089">
        <f>tblDailySchedule[[#This Row],[Capacity Approx]]*'[1]Load Factor Sheet June Acft  '!$B$5</f>
        <v>187.86727272727273</v>
      </c>
      <c r="S5089">
        <f>tblDailySchedule[[#This Row],[Capacity Approx]]*'[1]Load Factor Sheet June Acft  '!$D$5</f>
        <v>203.4218181818182</v>
      </c>
      <c r="T5089" s="22">
        <f>tblDailySchedule[[#This Row],[STD]]</f>
        <v>0.69791666666666663</v>
      </c>
    </row>
    <row r="5090" spans="1:20" hidden="1" x14ac:dyDescent="0.35">
      <c r="A5090" s="11">
        <v>46293</v>
      </c>
      <c r="B5090" s="3">
        <v>1</v>
      </c>
      <c r="C5090" t="s">
        <v>100</v>
      </c>
      <c r="D5090" t="s">
        <v>18</v>
      </c>
      <c r="E5090" s="3">
        <v>19</v>
      </c>
      <c r="F5090" t="s">
        <v>19</v>
      </c>
      <c r="G5090" t="s">
        <v>73</v>
      </c>
      <c r="H5090" t="s">
        <v>27</v>
      </c>
      <c r="I5090" s="12">
        <v>0.74652777777777779</v>
      </c>
      <c r="J5090" t="s">
        <v>74</v>
      </c>
      <c r="K5090" t="s">
        <v>27</v>
      </c>
      <c r="L5090" s="12">
        <v>0.77430555555555558</v>
      </c>
      <c r="M5090" t="s">
        <v>63</v>
      </c>
      <c r="N5090" s="3">
        <v>232</v>
      </c>
      <c r="O5090" t="s">
        <v>24</v>
      </c>
      <c r="P5090" t="s">
        <v>56</v>
      </c>
      <c r="R5090">
        <f>tblDailySchedule[[#This Row],[Capacity Approx]]*'[1]Load Factor Sheet June Acft  '!$B$5</f>
        <v>187.86727272727273</v>
      </c>
      <c r="S5090">
        <f>tblDailySchedule[[#This Row],[Capacity Approx]]*'[1]Load Factor Sheet June Acft  '!$D$5</f>
        <v>203.4218181818182</v>
      </c>
      <c r="T5090" s="22">
        <f>tblDailySchedule[[#This Row],[STD]]</f>
        <v>0.77430555555555558</v>
      </c>
    </row>
    <row r="5091" spans="1:20" hidden="1" x14ac:dyDescent="0.35">
      <c r="A5091" s="11">
        <v>46293</v>
      </c>
      <c r="B5091" s="3">
        <v>1</v>
      </c>
      <c r="C5091" t="s">
        <v>100</v>
      </c>
      <c r="D5091" t="s">
        <v>18</v>
      </c>
      <c r="E5091" s="3">
        <v>20</v>
      </c>
      <c r="F5091" t="s">
        <v>34</v>
      </c>
      <c r="G5091" t="s">
        <v>75</v>
      </c>
      <c r="H5091" t="s">
        <v>76</v>
      </c>
      <c r="I5091" s="12">
        <v>0.76388888888888884</v>
      </c>
      <c r="J5091" t="s">
        <v>77</v>
      </c>
      <c r="K5091" t="s">
        <v>78</v>
      </c>
      <c r="L5091" s="12">
        <v>0.78472222222222221</v>
      </c>
      <c r="M5091" t="s">
        <v>51</v>
      </c>
      <c r="N5091" s="3">
        <v>78</v>
      </c>
      <c r="O5091" t="s">
        <v>24</v>
      </c>
      <c r="P5091" t="s">
        <v>79</v>
      </c>
      <c r="Q5091" s="16" t="s">
        <v>80</v>
      </c>
      <c r="R5091">
        <f>tblDailySchedule[[#This Row],[Capacity Approx]]*'[1]Load Factor Sheet June Acft  '!$B$5</f>
        <v>63.162272727272729</v>
      </c>
      <c r="S5091">
        <f>tblDailySchedule[[#This Row],[Capacity Approx]]*'[1]Load Factor Sheet June Acft  '!$D$5</f>
        <v>68.391818181818181</v>
      </c>
      <c r="T5091" s="22">
        <f>tblDailySchedule[[#This Row],[STD]]</f>
        <v>0.78472222222222221</v>
      </c>
    </row>
    <row r="5092" spans="1:20" hidden="1" x14ac:dyDescent="0.35">
      <c r="A5092" s="11">
        <v>46293</v>
      </c>
      <c r="B5092" s="3">
        <v>1</v>
      </c>
      <c r="C5092" t="s">
        <v>100</v>
      </c>
      <c r="D5092" t="s">
        <v>18</v>
      </c>
      <c r="E5092" s="3">
        <v>21</v>
      </c>
      <c r="F5092" t="s">
        <v>19</v>
      </c>
      <c r="G5092" t="s">
        <v>81</v>
      </c>
      <c r="H5092" t="s">
        <v>61</v>
      </c>
      <c r="I5092" s="12">
        <v>0.77083333333333337</v>
      </c>
      <c r="J5092" t="s">
        <v>82</v>
      </c>
      <c r="K5092" t="s">
        <v>49</v>
      </c>
      <c r="L5092" s="12">
        <v>0.79166666666666663</v>
      </c>
      <c r="M5092" t="s">
        <v>33</v>
      </c>
      <c r="N5092" s="3">
        <v>189</v>
      </c>
      <c r="O5092" t="s">
        <v>24</v>
      </c>
      <c r="P5092" t="s">
        <v>79</v>
      </c>
      <c r="R5092">
        <f>tblDailySchedule[[#This Row],[Capacity Approx]]*'[1]Load Factor Sheet June Acft  '!$B$5</f>
        <v>153.04704545454547</v>
      </c>
      <c r="S5092">
        <f>tblDailySchedule[[#This Row],[Capacity Approx]]*'[1]Load Factor Sheet June Acft  '!$D$5</f>
        <v>165.71863636363636</v>
      </c>
      <c r="T5092" s="22">
        <f>tblDailySchedule[[#This Row],[STD]]</f>
        <v>0.79166666666666663</v>
      </c>
    </row>
    <row r="5093" spans="1:20" hidden="1" x14ac:dyDescent="0.35">
      <c r="A5093" s="11">
        <v>46293</v>
      </c>
      <c r="B5093" s="3">
        <v>1</v>
      </c>
      <c r="C5093" t="s">
        <v>100</v>
      </c>
      <c r="D5093" t="s">
        <v>18</v>
      </c>
      <c r="E5093" s="3">
        <v>22</v>
      </c>
      <c r="F5093" t="s">
        <v>19</v>
      </c>
      <c r="G5093" t="s">
        <v>83</v>
      </c>
      <c r="H5093" t="s">
        <v>31</v>
      </c>
      <c r="I5093" s="12">
        <v>0.77777777777777779</v>
      </c>
      <c r="J5093" t="s">
        <v>84</v>
      </c>
      <c r="K5093" t="s">
        <v>31</v>
      </c>
      <c r="L5093" s="12">
        <v>0.80555555555555558</v>
      </c>
      <c r="M5093" t="s">
        <v>63</v>
      </c>
      <c r="N5093" s="3">
        <v>232</v>
      </c>
      <c r="O5093" t="s">
        <v>24</v>
      </c>
      <c r="P5093" t="s">
        <v>79</v>
      </c>
      <c r="R5093">
        <f>tblDailySchedule[[#This Row],[Capacity Approx]]*'[1]Load Factor Sheet June Acft  '!$B$5</f>
        <v>187.86727272727273</v>
      </c>
      <c r="S5093">
        <f>tblDailySchedule[[#This Row],[Capacity Approx]]*'[1]Load Factor Sheet June Acft  '!$D$5</f>
        <v>203.4218181818182</v>
      </c>
      <c r="T5093" s="22">
        <f>tblDailySchedule[[#This Row],[STD]]</f>
        <v>0.80555555555555558</v>
      </c>
    </row>
    <row r="5094" spans="1:20" hidden="1" x14ac:dyDescent="0.35">
      <c r="A5094" s="11">
        <v>46293</v>
      </c>
      <c r="B5094" s="3">
        <v>1</v>
      </c>
      <c r="C5094" t="s">
        <v>100</v>
      </c>
      <c r="D5094" t="s">
        <v>18</v>
      </c>
      <c r="E5094" s="3">
        <v>23</v>
      </c>
      <c r="F5094" t="s">
        <v>19</v>
      </c>
      <c r="G5094" t="s">
        <v>85</v>
      </c>
      <c r="H5094" t="s">
        <v>86</v>
      </c>
      <c r="I5094" s="12">
        <v>0.79861111111111116</v>
      </c>
      <c r="J5094" t="s">
        <v>87</v>
      </c>
      <c r="K5094" t="s">
        <v>86</v>
      </c>
      <c r="L5094" s="12">
        <v>0.82638888888888884</v>
      </c>
      <c r="M5094" t="s">
        <v>63</v>
      </c>
      <c r="N5094" s="3">
        <v>232</v>
      </c>
      <c r="O5094" t="s">
        <v>24</v>
      </c>
      <c r="P5094" t="s">
        <v>79</v>
      </c>
      <c r="R5094">
        <f>tblDailySchedule[[#This Row],[Capacity Approx]]*'[1]Load Factor Sheet June Acft  '!$B$5</f>
        <v>187.86727272727273</v>
      </c>
      <c r="S5094">
        <f>tblDailySchedule[[#This Row],[Capacity Approx]]*'[1]Load Factor Sheet June Acft  '!$D$5</f>
        <v>203.4218181818182</v>
      </c>
      <c r="T5094" s="22">
        <f>tblDailySchedule[[#This Row],[STD]]</f>
        <v>0.82638888888888884</v>
      </c>
    </row>
    <row r="5095" spans="1:20" hidden="1" x14ac:dyDescent="0.35">
      <c r="A5095" s="11">
        <v>46293</v>
      </c>
      <c r="B5095" s="3">
        <v>1</v>
      </c>
      <c r="C5095" t="s">
        <v>100</v>
      </c>
      <c r="D5095" t="s">
        <v>18</v>
      </c>
      <c r="E5095" s="3">
        <v>24</v>
      </c>
      <c r="F5095" t="s">
        <v>19</v>
      </c>
      <c r="G5095" t="s">
        <v>88</v>
      </c>
      <c r="H5095" t="s">
        <v>89</v>
      </c>
      <c r="I5095" s="12">
        <v>0.83333333333333337</v>
      </c>
      <c r="J5095" t="s">
        <v>90</v>
      </c>
      <c r="K5095" t="s">
        <v>31</v>
      </c>
      <c r="L5095" s="12">
        <v>0.86111111111111116</v>
      </c>
      <c r="M5095" t="s">
        <v>63</v>
      </c>
      <c r="N5095" s="3">
        <v>232</v>
      </c>
      <c r="O5095" t="s">
        <v>24</v>
      </c>
      <c r="P5095" t="s">
        <v>79</v>
      </c>
      <c r="R5095">
        <f>tblDailySchedule[[#This Row],[Capacity Approx]]*'[1]Load Factor Sheet June Acft  '!$B$5</f>
        <v>187.86727272727273</v>
      </c>
      <c r="S5095">
        <f>tblDailySchedule[[#This Row],[Capacity Approx]]*'[1]Load Factor Sheet June Acft  '!$D$5</f>
        <v>203.4218181818182</v>
      </c>
      <c r="T5095" s="22">
        <f>tblDailySchedule[[#This Row],[STD]]</f>
        <v>0.86111111111111116</v>
      </c>
    </row>
    <row r="5096" spans="1:20" hidden="1" x14ac:dyDescent="0.35">
      <c r="A5096" s="11">
        <v>46293</v>
      </c>
      <c r="B5096" s="3">
        <v>1</v>
      </c>
      <c r="C5096" t="s">
        <v>100</v>
      </c>
      <c r="D5096" t="s">
        <v>18</v>
      </c>
      <c r="E5096" s="3">
        <v>25</v>
      </c>
      <c r="F5096" t="s">
        <v>19</v>
      </c>
      <c r="G5096" t="s">
        <v>91</v>
      </c>
      <c r="H5096" t="s">
        <v>61</v>
      </c>
      <c r="I5096" s="12">
        <v>0.85416666666666663</v>
      </c>
      <c r="J5096" t="s">
        <v>92</v>
      </c>
      <c r="K5096" t="s">
        <v>61</v>
      </c>
      <c r="L5096" s="12">
        <v>0.88194444444444442</v>
      </c>
      <c r="M5096" t="s">
        <v>63</v>
      </c>
      <c r="N5096" s="3">
        <v>232</v>
      </c>
      <c r="O5096" t="s">
        <v>24</v>
      </c>
      <c r="P5096" t="s">
        <v>79</v>
      </c>
      <c r="R5096">
        <f>tblDailySchedule[[#This Row],[Capacity Approx]]*'[1]Load Factor Sheet June Acft  '!$B$5</f>
        <v>187.86727272727273</v>
      </c>
      <c r="S5096">
        <f>tblDailySchedule[[#This Row],[Capacity Approx]]*'[1]Load Factor Sheet June Acft  '!$D$5</f>
        <v>203.4218181818182</v>
      </c>
      <c r="T5096" s="22">
        <f>tblDailySchedule[[#This Row],[STD]]</f>
        <v>0.88194444444444442</v>
      </c>
    </row>
    <row r="5097" spans="1:20" hidden="1" x14ac:dyDescent="0.35">
      <c r="A5097" s="11">
        <v>46293</v>
      </c>
      <c r="B5097" s="3">
        <v>1</v>
      </c>
      <c r="C5097" t="s">
        <v>100</v>
      </c>
      <c r="D5097" t="s">
        <v>18</v>
      </c>
      <c r="E5097" s="3">
        <v>26</v>
      </c>
      <c r="F5097" t="s">
        <v>19</v>
      </c>
      <c r="G5097" t="s">
        <v>93</v>
      </c>
      <c r="H5097" t="s">
        <v>31</v>
      </c>
      <c r="I5097" s="12">
        <v>0.86111111111111116</v>
      </c>
      <c r="J5097" t="s">
        <v>94</v>
      </c>
      <c r="K5097" t="s">
        <v>31</v>
      </c>
      <c r="L5097" s="12">
        <v>0.88888888888888884</v>
      </c>
      <c r="M5097" t="s">
        <v>23</v>
      </c>
      <c r="N5097" s="3">
        <v>186</v>
      </c>
      <c r="O5097" t="s">
        <v>24</v>
      </c>
      <c r="P5097" t="s">
        <v>79</v>
      </c>
      <c r="R5097">
        <f>tblDailySchedule[[#This Row],[Capacity Approx]]*'[1]Load Factor Sheet June Acft  '!$B$5</f>
        <v>150.61772727272728</v>
      </c>
      <c r="S5097">
        <f>tblDailySchedule[[#This Row],[Capacity Approx]]*'[1]Load Factor Sheet June Acft  '!$D$5</f>
        <v>163.08818181818182</v>
      </c>
      <c r="T5097" s="22">
        <f>tblDailySchedule[[#This Row],[STD]]</f>
        <v>0.88888888888888884</v>
      </c>
    </row>
    <row r="5098" spans="1:20" hidden="1" x14ac:dyDescent="0.35">
      <c r="A5098" s="11">
        <v>46293</v>
      </c>
      <c r="B5098" s="3">
        <v>1</v>
      </c>
      <c r="C5098" t="s">
        <v>100</v>
      </c>
      <c r="D5098" t="s">
        <v>18</v>
      </c>
      <c r="E5098" s="3">
        <v>27</v>
      </c>
      <c r="F5098" t="s">
        <v>19</v>
      </c>
      <c r="G5098" t="s">
        <v>95</v>
      </c>
      <c r="H5098" t="s">
        <v>21</v>
      </c>
      <c r="I5098" s="12">
        <v>0.86805555555555558</v>
      </c>
      <c r="J5098" t="s">
        <v>96</v>
      </c>
      <c r="K5098" t="s">
        <v>21</v>
      </c>
      <c r="L5098" s="12">
        <v>0.89583333333333337</v>
      </c>
      <c r="M5098" t="s">
        <v>29</v>
      </c>
      <c r="N5098" s="3">
        <v>186</v>
      </c>
      <c r="O5098" t="s">
        <v>24</v>
      </c>
      <c r="P5098" t="s">
        <v>79</v>
      </c>
      <c r="R5098">
        <f>tblDailySchedule[[#This Row],[Capacity Approx]]*'[1]Load Factor Sheet June Acft  '!$B$5</f>
        <v>150.61772727272728</v>
      </c>
      <c r="S5098">
        <f>tblDailySchedule[[#This Row],[Capacity Approx]]*'[1]Load Factor Sheet June Acft  '!$D$5</f>
        <v>163.08818181818182</v>
      </c>
      <c r="T5098" s="22">
        <f>tblDailySchedule[[#This Row],[STD]]</f>
        <v>0.89583333333333337</v>
      </c>
    </row>
    <row r="5099" spans="1:20" hidden="1" x14ac:dyDescent="0.35">
      <c r="A5099" s="11">
        <v>46293</v>
      </c>
      <c r="B5099" s="3">
        <v>1</v>
      </c>
      <c r="C5099" t="s">
        <v>100</v>
      </c>
      <c r="D5099" t="s">
        <v>18</v>
      </c>
      <c r="E5099" s="3">
        <v>28</v>
      </c>
      <c r="F5099" t="s">
        <v>19</v>
      </c>
      <c r="G5099" t="s">
        <v>97</v>
      </c>
      <c r="H5099" t="s">
        <v>49</v>
      </c>
      <c r="I5099" s="12">
        <v>0.90277777777777779</v>
      </c>
      <c r="J5099" t="s">
        <v>97</v>
      </c>
      <c r="K5099" t="s">
        <v>61</v>
      </c>
      <c r="L5099" s="12">
        <v>0.92361111111111116</v>
      </c>
      <c r="M5099" t="s">
        <v>33</v>
      </c>
      <c r="N5099" s="3">
        <v>189</v>
      </c>
      <c r="O5099" t="s">
        <v>24</v>
      </c>
      <c r="P5099" t="s">
        <v>79</v>
      </c>
      <c r="R5099">
        <f>tblDailySchedule[[#This Row],[Capacity Approx]]*'[1]Load Factor Sheet June Acft  '!$B$5</f>
        <v>153.04704545454547</v>
      </c>
      <c r="S5099">
        <f>tblDailySchedule[[#This Row],[Capacity Approx]]*'[1]Load Factor Sheet June Acft  '!$D$5</f>
        <v>165.71863636363636</v>
      </c>
      <c r="T5099" s="22">
        <f>tblDailySchedule[[#This Row],[STD]]</f>
        <v>0.92361111111111116</v>
      </c>
    </row>
    <row r="5100" spans="1:20" hidden="1" x14ac:dyDescent="0.35">
      <c r="A5100" s="11">
        <v>46293</v>
      </c>
      <c r="B5100" s="3">
        <v>1</v>
      </c>
      <c r="C5100" t="s">
        <v>100</v>
      </c>
      <c r="D5100" t="s">
        <v>18</v>
      </c>
      <c r="E5100" s="3">
        <v>29</v>
      </c>
      <c r="F5100" t="s">
        <v>19</v>
      </c>
      <c r="G5100" t="s">
        <v>98</v>
      </c>
      <c r="H5100" t="s">
        <v>21</v>
      </c>
      <c r="I5100" s="12">
        <v>0.92013888888888884</v>
      </c>
      <c r="J5100" t="s">
        <v>99</v>
      </c>
      <c r="K5100" t="s">
        <v>21</v>
      </c>
      <c r="L5100" s="12">
        <v>0.94791666666666663</v>
      </c>
      <c r="M5100" t="s">
        <v>63</v>
      </c>
      <c r="N5100" s="3">
        <v>232</v>
      </c>
      <c r="O5100" t="s">
        <v>24</v>
      </c>
      <c r="P5100" t="s">
        <v>79</v>
      </c>
      <c r="R5100">
        <f>tblDailySchedule[[#This Row],[Capacity Approx]]*'[1]Load Factor Sheet June Acft  '!$B$5</f>
        <v>187.86727272727273</v>
      </c>
      <c r="S5100">
        <f>tblDailySchedule[[#This Row],[Capacity Approx]]*'[1]Load Factor Sheet June Acft  '!$D$5</f>
        <v>203.4218181818182</v>
      </c>
      <c r="T5100" s="22">
        <f>tblDailySchedule[[#This Row],[STD]]</f>
        <v>0.94791666666666663</v>
      </c>
    </row>
    <row r="5101" spans="1:20" hidden="1" x14ac:dyDescent="0.35">
      <c r="A5101" s="13">
        <v>46293</v>
      </c>
      <c r="B5101" s="7">
        <v>1</v>
      </c>
      <c r="C5101" s="14" t="s">
        <v>100</v>
      </c>
      <c r="D5101" s="14" t="s">
        <v>18</v>
      </c>
      <c r="E5101" s="7">
        <v>30</v>
      </c>
      <c r="F5101" s="14" t="s">
        <v>104</v>
      </c>
      <c r="G5101" s="14" t="s">
        <v>105</v>
      </c>
      <c r="H5101" s="14" t="s">
        <v>106</v>
      </c>
      <c r="I5101" s="15">
        <v>0.92708333333333337</v>
      </c>
      <c r="J5101" s="14" t="s">
        <v>107</v>
      </c>
      <c r="K5101" s="14" t="s">
        <v>106</v>
      </c>
      <c r="L5101" s="15">
        <v>0.95833333333333337</v>
      </c>
      <c r="M5101" s="14" t="s">
        <v>38</v>
      </c>
      <c r="N5101" s="7">
        <v>186</v>
      </c>
      <c r="O5101" s="14" t="s">
        <v>39</v>
      </c>
      <c r="P5101" s="14" t="s">
        <v>79</v>
      </c>
      <c r="Q5101" s="14" t="s">
        <v>39</v>
      </c>
      <c r="R5101">
        <f>tblDailySchedule[[#This Row],[Capacity Approx]]*'[1]Load Factor Sheet June Acft  '!$B$5</f>
        <v>150.61772727272728</v>
      </c>
      <c r="S5101">
        <f>tblDailySchedule[[#This Row],[Capacity Approx]]*'[1]Load Factor Sheet June Acft  '!$D$5</f>
        <v>163.08818181818182</v>
      </c>
      <c r="T5101" s="22">
        <f>tblDailySchedule[[#This Row],[STD]]</f>
        <v>0.95833333333333337</v>
      </c>
    </row>
    <row r="5102" spans="1:20" hidden="1" x14ac:dyDescent="0.35">
      <c r="A5102" s="11">
        <v>46294</v>
      </c>
      <c r="B5102" s="3">
        <v>2</v>
      </c>
      <c r="C5102" t="s">
        <v>108</v>
      </c>
      <c r="D5102" t="s">
        <v>18</v>
      </c>
      <c r="E5102" s="3">
        <v>1</v>
      </c>
      <c r="F5102" t="s">
        <v>101</v>
      </c>
      <c r="G5102" t="s">
        <v>102</v>
      </c>
      <c r="H5102" t="s">
        <v>61</v>
      </c>
      <c r="I5102" s="12">
        <v>0.3125</v>
      </c>
      <c r="J5102" t="s">
        <v>103</v>
      </c>
      <c r="K5102" t="s">
        <v>61</v>
      </c>
      <c r="L5102" s="12">
        <v>0.33333333333333331</v>
      </c>
      <c r="M5102" t="s">
        <v>33</v>
      </c>
      <c r="N5102" s="3">
        <v>189</v>
      </c>
      <c r="O5102" t="s">
        <v>24</v>
      </c>
      <c r="P5102" t="s">
        <v>25</v>
      </c>
      <c r="R5102">
        <f>tblDailySchedule[[#This Row],[Capacity Approx]]*'[1]Load Factor Sheet June Acft  '!$B$5</f>
        <v>153.04704545454547</v>
      </c>
      <c r="S5102">
        <f>tblDailySchedule[[#This Row],[Capacity Approx]]*'[1]Load Factor Sheet June Acft  '!$D$5</f>
        <v>165.71863636363636</v>
      </c>
      <c r="T5102" s="22">
        <f>tblDailySchedule[[#This Row],[STD]]</f>
        <v>0.33333333333333331</v>
      </c>
    </row>
    <row r="5103" spans="1:20" hidden="1" x14ac:dyDescent="0.35">
      <c r="A5103" s="11">
        <v>46294</v>
      </c>
      <c r="B5103" s="3">
        <v>2</v>
      </c>
      <c r="C5103" t="s">
        <v>108</v>
      </c>
      <c r="D5103" t="s">
        <v>18</v>
      </c>
      <c r="E5103" s="3">
        <v>2</v>
      </c>
      <c r="F5103" t="s">
        <v>19</v>
      </c>
      <c r="G5103" t="s">
        <v>20</v>
      </c>
      <c r="H5103" t="s">
        <v>21</v>
      </c>
      <c r="I5103" s="12">
        <v>0.31944444444444442</v>
      </c>
      <c r="J5103" t="s">
        <v>22</v>
      </c>
      <c r="K5103" t="s">
        <v>21</v>
      </c>
      <c r="L5103" s="12">
        <v>0.34722222222222221</v>
      </c>
      <c r="M5103" t="s">
        <v>23</v>
      </c>
      <c r="N5103" s="3">
        <v>186</v>
      </c>
      <c r="O5103" t="s">
        <v>24</v>
      </c>
      <c r="P5103" t="s">
        <v>25</v>
      </c>
      <c r="R5103">
        <f>tblDailySchedule[[#This Row],[Capacity Approx]]*'[1]Load Factor Sheet June Acft  '!$B$5</f>
        <v>150.61772727272728</v>
      </c>
      <c r="S5103">
        <f>tblDailySchedule[[#This Row],[Capacity Approx]]*'[1]Load Factor Sheet June Acft  '!$D$5</f>
        <v>163.08818181818182</v>
      </c>
      <c r="T5103" s="22">
        <f>tblDailySchedule[[#This Row],[STD]]</f>
        <v>0.34722222222222221</v>
      </c>
    </row>
    <row r="5104" spans="1:20" hidden="1" x14ac:dyDescent="0.35">
      <c r="A5104" s="11">
        <v>46294</v>
      </c>
      <c r="B5104" s="3">
        <v>2</v>
      </c>
      <c r="C5104" t="s">
        <v>108</v>
      </c>
      <c r="D5104" t="s">
        <v>18</v>
      </c>
      <c r="E5104" s="3">
        <v>3</v>
      </c>
      <c r="F5104" t="s">
        <v>19</v>
      </c>
      <c r="G5104" t="s">
        <v>26</v>
      </c>
      <c r="H5104" t="s">
        <v>27</v>
      </c>
      <c r="I5104" s="12">
        <v>0.3263888888888889</v>
      </c>
      <c r="J5104" t="s">
        <v>28</v>
      </c>
      <c r="K5104" t="s">
        <v>27</v>
      </c>
      <c r="L5104" s="12">
        <v>0.35416666666666669</v>
      </c>
      <c r="M5104" t="s">
        <v>29</v>
      </c>
      <c r="N5104" s="3">
        <v>186</v>
      </c>
      <c r="O5104" t="s">
        <v>24</v>
      </c>
      <c r="P5104" t="s">
        <v>25</v>
      </c>
      <c r="R5104">
        <f>tblDailySchedule[[#This Row],[Capacity Approx]]*'[1]Load Factor Sheet June Acft  '!$B$5</f>
        <v>150.61772727272728</v>
      </c>
      <c r="S5104">
        <f>tblDailySchedule[[#This Row],[Capacity Approx]]*'[1]Load Factor Sheet June Acft  '!$D$5</f>
        <v>163.08818181818182</v>
      </c>
      <c r="T5104" s="22">
        <f>tblDailySchedule[[#This Row],[STD]]</f>
        <v>0.35416666666666669</v>
      </c>
    </row>
    <row r="5105" spans="1:20" hidden="1" x14ac:dyDescent="0.35">
      <c r="A5105" s="11">
        <v>46294</v>
      </c>
      <c r="B5105" s="3">
        <v>2</v>
      </c>
      <c r="C5105" t="s">
        <v>108</v>
      </c>
      <c r="D5105" t="s">
        <v>18</v>
      </c>
      <c r="E5105" s="3">
        <v>4</v>
      </c>
      <c r="F5105" t="s">
        <v>19</v>
      </c>
      <c r="G5105" t="s">
        <v>30</v>
      </c>
      <c r="H5105" t="s">
        <v>31</v>
      </c>
      <c r="I5105" s="12">
        <v>0.34722222222222221</v>
      </c>
      <c r="J5105" t="s">
        <v>32</v>
      </c>
      <c r="K5105" t="s">
        <v>31</v>
      </c>
      <c r="L5105" s="12">
        <v>0.36805555555555558</v>
      </c>
      <c r="M5105" t="s">
        <v>33</v>
      </c>
      <c r="N5105" s="3">
        <v>189</v>
      </c>
      <c r="O5105" t="s">
        <v>24</v>
      </c>
      <c r="P5105" t="s">
        <v>25</v>
      </c>
      <c r="R5105">
        <f>tblDailySchedule[[#This Row],[Capacity Approx]]*'[1]Load Factor Sheet June Acft  '!$B$5</f>
        <v>153.04704545454547</v>
      </c>
      <c r="S5105">
        <f>tblDailySchedule[[#This Row],[Capacity Approx]]*'[1]Load Factor Sheet June Acft  '!$D$5</f>
        <v>165.71863636363636</v>
      </c>
      <c r="T5105" s="22">
        <f>tblDailySchedule[[#This Row],[STD]]</f>
        <v>0.36805555555555558</v>
      </c>
    </row>
    <row r="5106" spans="1:20" hidden="1" x14ac:dyDescent="0.35">
      <c r="A5106" s="11">
        <v>46294</v>
      </c>
      <c r="B5106" s="3">
        <v>2</v>
      </c>
      <c r="C5106" t="s">
        <v>108</v>
      </c>
      <c r="D5106" t="s">
        <v>18</v>
      </c>
      <c r="E5106" s="3">
        <v>5</v>
      </c>
      <c r="F5106" t="s">
        <v>19</v>
      </c>
      <c r="G5106" t="s">
        <v>40</v>
      </c>
      <c r="H5106" t="s">
        <v>31</v>
      </c>
      <c r="I5106" s="12">
        <v>0.35069444444444442</v>
      </c>
      <c r="J5106" t="s">
        <v>41</v>
      </c>
      <c r="K5106" t="s">
        <v>31</v>
      </c>
      <c r="L5106" s="12">
        <v>0.37152777777777779</v>
      </c>
      <c r="M5106" t="s">
        <v>23</v>
      </c>
      <c r="N5106" s="3">
        <v>186</v>
      </c>
      <c r="O5106" t="s">
        <v>24</v>
      </c>
      <c r="P5106" t="s">
        <v>25</v>
      </c>
      <c r="R5106">
        <f>tblDailySchedule[[#This Row],[Capacity Approx]]*'[1]Load Factor Sheet June Acft  '!$B$5</f>
        <v>150.61772727272728</v>
      </c>
      <c r="S5106">
        <f>tblDailySchedule[[#This Row],[Capacity Approx]]*'[1]Load Factor Sheet June Acft  '!$D$5</f>
        <v>163.08818181818182</v>
      </c>
      <c r="T5106" s="22">
        <f>tblDailySchedule[[#This Row],[STD]]</f>
        <v>0.37152777777777779</v>
      </c>
    </row>
    <row r="5107" spans="1:20" hidden="1" x14ac:dyDescent="0.35">
      <c r="A5107" s="11">
        <v>46294</v>
      </c>
      <c r="B5107" s="3">
        <v>2</v>
      </c>
      <c r="C5107" t="s">
        <v>108</v>
      </c>
      <c r="D5107" t="s">
        <v>18</v>
      </c>
      <c r="E5107" s="3">
        <v>7</v>
      </c>
      <c r="F5107" t="s">
        <v>19</v>
      </c>
      <c r="G5107" t="s">
        <v>42</v>
      </c>
      <c r="H5107" t="s">
        <v>43</v>
      </c>
      <c r="I5107" s="12">
        <v>0.3923611111111111</v>
      </c>
      <c r="J5107" t="s">
        <v>44</v>
      </c>
      <c r="K5107" t="s">
        <v>43</v>
      </c>
      <c r="L5107" s="12">
        <v>0.40277777777777779</v>
      </c>
      <c r="M5107" t="s">
        <v>45</v>
      </c>
      <c r="N5107" s="3">
        <v>9</v>
      </c>
      <c r="O5107" t="s">
        <v>24</v>
      </c>
      <c r="P5107" t="s">
        <v>25</v>
      </c>
      <c r="R5107">
        <f>tblDailySchedule[[#This Row],[Capacity Approx]]*'[1]Load Factor Sheet June Acft  '!$B$5</f>
        <v>7.2879545454545456</v>
      </c>
      <c r="S5107">
        <f>tblDailySchedule[[#This Row],[Capacity Approx]]*'[1]Load Factor Sheet June Acft  '!$D$5</f>
        <v>7.8913636363636366</v>
      </c>
      <c r="T5107" s="22">
        <f>tblDailySchedule[[#This Row],[STD]]</f>
        <v>0.40277777777777779</v>
      </c>
    </row>
    <row r="5108" spans="1:20" hidden="1" x14ac:dyDescent="0.35">
      <c r="A5108" s="11">
        <v>46294</v>
      </c>
      <c r="B5108" s="3">
        <v>2</v>
      </c>
      <c r="C5108" t="s">
        <v>108</v>
      </c>
      <c r="D5108" t="s">
        <v>18</v>
      </c>
      <c r="E5108" s="3">
        <v>8</v>
      </c>
      <c r="F5108" t="s">
        <v>19</v>
      </c>
      <c r="G5108" t="s">
        <v>46</v>
      </c>
      <c r="H5108" t="s">
        <v>31</v>
      </c>
      <c r="I5108" s="12">
        <v>0.4201388888888889</v>
      </c>
      <c r="J5108" t="s">
        <v>47</v>
      </c>
      <c r="K5108" t="s">
        <v>31</v>
      </c>
      <c r="L5108" s="12">
        <v>0.44444444444444442</v>
      </c>
      <c r="M5108" t="s">
        <v>29</v>
      </c>
      <c r="N5108" s="3">
        <v>186</v>
      </c>
      <c r="O5108" t="s">
        <v>24</v>
      </c>
      <c r="P5108" t="s">
        <v>25</v>
      </c>
      <c r="R5108">
        <f>tblDailySchedule[[#This Row],[Capacity Approx]]*'[1]Load Factor Sheet June Acft  '!$B$5</f>
        <v>150.61772727272728</v>
      </c>
      <c r="S5108">
        <f>tblDailySchedule[[#This Row],[Capacity Approx]]*'[1]Load Factor Sheet June Acft  '!$D$5</f>
        <v>163.08818181818182</v>
      </c>
      <c r="T5108" s="22">
        <f>tblDailySchedule[[#This Row],[STD]]</f>
        <v>0.44444444444444442</v>
      </c>
    </row>
    <row r="5109" spans="1:20" hidden="1" x14ac:dyDescent="0.35">
      <c r="A5109" s="11">
        <v>46294</v>
      </c>
      <c r="B5109" s="3">
        <v>2</v>
      </c>
      <c r="C5109" t="s">
        <v>108</v>
      </c>
      <c r="D5109" t="s">
        <v>18</v>
      </c>
      <c r="E5109" s="3">
        <v>9</v>
      </c>
      <c r="F5109" t="s">
        <v>19</v>
      </c>
      <c r="G5109" t="s">
        <v>48</v>
      </c>
      <c r="H5109" t="s">
        <v>49</v>
      </c>
      <c r="I5109" s="12">
        <v>0.4375</v>
      </c>
      <c r="J5109" t="s">
        <v>50</v>
      </c>
      <c r="K5109" t="s">
        <v>49</v>
      </c>
      <c r="L5109" s="12">
        <v>0.45833333333333331</v>
      </c>
      <c r="M5109" t="s">
        <v>51</v>
      </c>
      <c r="N5109" s="3">
        <v>78</v>
      </c>
      <c r="O5109" t="s">
        <v>24</v>
      </c>
      <c r="P5109" t="s">
        <v>25</v>
      </c>
      <c r="R5109">
        <f>tblDailySchedule[[#This Row],[Capacity Approx]]*'[1]Load Factor Sheet June Acft  '!$B$5</f>
        <v>63.162272727272729</v>
      </c>
      <c r="S5109">
        <f>tblDailySchedule[[#This Row],[Capacity Approx]]*'[1]Load Factor Sheet June Acft  '!$D$5</f>
        <v>68.391818181818181</v>
      </c>
      <c r="T5109" s="22">
        <f>tblDailySchedule[[#This Row],[STD]]</f>
        <v>0.45833333333333331</v>
      </c>
    </row>
    <row r="5110" spans="1:20" hidden="1" x14ac:dyDescent="0.35">
      <c r="A5110" s="11">
        <v>46294</v>
      </c>
      <c r="B5110" s="3">
        <v>2</v>
      </c>
      <c r="C5110" t="s">
        <v>108</v>
      </c>
      <c r="D5110" t="s">
        <v>18</v>
      </c>
      <c r="E5110" s="3">
        <v>10</v>
      </c>
      <c r="F5110" t="s">
        <v>19</v>
      </c>
      <c r="G5110" t="s">
        <v>52</v>
      </c>
      <c r="H5110" t="s">
        <v>27</v>
      </c>
      <c r="I5110" s="12">
        <v>0.4826388888888889</v>
      </c>
      <c r="J5110" t="s">
        <v>53</v>
      </c>
      <c r="K5110" t="s">
        <v>27</v>
      </c>
      <c r="L5110" s="12">
        <v>0.51041666666666663</v>
      </c>
      <c r="M5110" t="s">
        <v>23</v>
      </c>
      <c r="N5110" s="3">
        <v>186</v>
      </c>
      <c r="O5110" t="s">
        <v>24</v>
      </c>
      <c r="P5110" t="s">
        <v>25</v>
      </c>
      <c r="R5110">
        <f>tblDailySchedule[[#This Row],[Capacity Approx]]*'[1]Load Factor Sheet June Acft  '!$B$5</f>
        <v>150.61772727272728</v>
      </c>
      <c r="S5110">
        <f>tblDailySchedule[[#This Row],[Capacity Approx]]*'[1]Load Factor Sheet June Acft  '!$D$5</f>
        <v>163.08818181818182</v>
      </c>
      <c r="T5110" s="22">
        <f>tblDailySchedule[[#This Row],[STD]]</f>
        <v>0.51041666666666663</v>
      </c>
    </row>
    <row r="5111" spans="1:20" hidden="1" x14ac:dyDescent="0.35">
      <c r="A5111" s="11">
        <v>46294</v>
      </c>
      <c r="B5111" s="3">
        <v>2</v>
      </c>
      <c r="C5111" t="s">
        <v>108</v>
      </c>
      <c r="D5111" t="s">
        <v>18</v>
      </c>
      <c r="E5111" s="3">
        <v>11</v>
      </c>
      <c r="F5111" t="s">
        <v>19</v>
      </c>
      <c r="G5111" t="s">
        <v>54</v>
      </c>
      <c r="H5111" t="s">
        <v>31</v>
      </c>
      <c r="I5111" s="12">
        <v>0.51388888888888884</v>
      </c>
      <c r="J5111" t="s">
        <v>55</v>
      </c>
      <c r="K5111" t="s">
        <v>31</v>
      </c>
      <c r="L5111" s="12">
        <v>0.54166666666666663</v>
      </c>
      <c r="M5111" t="s">
        <v>23</v>
      </c>
      <c r="N5111" s="3">
        <v>186</v>
      </c>
      <c r="O5111" t="s">
        <v>24</v>
      </c>
      <c r="P5111" t="s">
        <v>56</v>
      </c>
      <c r="R5111">
        <f>tblDailySchedule[[#This Row],[Capacity Approx]]*'[1]Load Factor Sheet June Acft  '!$B$5</f>
        <v>150.61772727272728</v>
      </c>
      <c r="S5111">
        <f>tblDailySchedule[[#This Row],[Capacity Approx]]*'[1]Load Factor Sheet June Acft  '!$D$5</f>
        <v>163.08818181818182</v>
      </c>
      <c r="T5111" s="22">
        <f>tblDailySchedule[[#This Row],[STD]]</f>
        <v>0.54166666666666663</v>
      </c>
    </row>
    <row r="5112" spans="1:20" hidden="1" x14ac:dyDescent="0.35">
      <c r="A5112" s="11">
        <v>46294</v>
      </c>
      <c r="B5112" s="3">
        <v>2</v>
      </c>
      <c r="C5112" t="s">
        <v>108</v>
      </c>
      <c r="D5112" t="s">
        <v>18</v>
      </c>
      <c r="E5112" s="3">
        <v>12</v>
      </c>
      <c r="F5112" t="s">
        <v>109</v>
      </c>
      <c r="G5112" t="s">
        <v>110</v>
      </c>
      <c r="H5112" t="s">
        <v>111</v>
      </c>
      <c r="I5112" s="12">
        <v>0.55555555555555558</v>
      </c>
      <c r="J5112" t="s">
        <v>112</v>
      </c>
      <c r="K5112" t="s">
        <v>111</v>
      </c>
      <c r="L5112" s="12">
        <v>0.56944444444444442</v>
      </c>
      <c r="M5112" t="s">
        <v>51</v>
      </c>
      <c r="N5112" s="3">
        <v>78</v>
      </c>
      <c r="O5112" t="s">
        <v>24</v>
      </c>
      <c r="P5112" t="s">
        <v>56</v>
      </c>
      <c r="R5112">
        <f>tblDailySchedule[[#This Row],[Capacity Approx]]*'[1]Load Factor Sheet June Acft  '!$B$5</f>
        <v>63.162272727272729</v>
      </c>
      <c r="S5112">
        <f>tblDailySchedule[[#This Row],[Capacity Approx]]*'[1]Load Factor Sheet June Acft  '!$D$5</f>
        <v>68.391818181818181</v>
      </c>
      <c r="T5112" s="22">
        <f>tblDailySchedule[[#This Row],[STD]]</f>
        <v>0.56944444444444442</v>
      </c>
    </row>
    <row r="5113" spans="1:20" hidden="1" x14ac:dyDescent="0.35">
      <c r="A5113" s="11">
        <v>46294</v>
      </c>
      <c r="B5113" s="3">
        <v>2</v>
      </c>
      <c r="C5113" t="s">
        <v>108</v>
      </c>
      <c r="D5113" t="s">
        <v>18</v>
      </c>
      <c r="E5113" s="3">
        <v>13</v>
      </c>
      <c r="F5113" t="s">
        <v>19</v>
      </c>
      <c r="G5113" t="s">
        <v>57</v>
      </c>
      <c r="H5113" t="s">
        <v>58</v>
      </c>
      <c r="I5113" s="12">
        <v>0.55902777777777779</v>
      </c>
      <c r="J5113" t="s">
        <v>59</v>
      </c>
      <c r="K5113" t="s">
        <v>58</v>
      </c>
      <c r="L5113" s="12">
        <v>0.57638888888888884</v>
      </c>
      <c r="M5113" t="s">
        <v>51</v>
      </c>
      <c r="N5113" s="3">
        <v>78</v>
      </c>
      <c r="O5113" t="s">
        <v>24</v>
      </c>
      <c r="P5113" t="s">
        <v>56</v>
      </c>
      <c r="R5113">
        <f>tblDailySchedule[[#This Row],[Capacity Approx]]*'[1]Load Factor Sheet June Acft  '!$B$5</f>
        <v>63.162272727272729</v>
      </c>
      <c r="S5113">
        <f>tblDailySchedule[[#This Row],[Capacity Approx]]*'[1]Load Factor Sheet June Acft  '!$D$5</f>
        <v>68.391818181818181</v>
      </c>
      <c r="T5113" s="22">
        <f>tblDailySchedule[[#This Row],[STD]]</f>
        <v>0.57638888888888884</v>
      </c>
    </row>
    <row r="5114" spans="1:20" hidden="1" x14ac:dyDescent="0.35">
      <c r="A5114" s="11">
        <v>46294</v>
      </c>
      <c r="B5114" s="3">
        <v>2</v>
      </c>
      <c r="C5114" t="s">
        <v>108</v>
      </c>
      <c r="D5114" t="s">
        <v>18</v>
      </c>
      <c r="E5114" s="3">
        <v>14</v>
      </c>
      <c r="F5114" t="s">
        <v>19</v>
      </c>
      <c r="G5114" t="s">
        <v>60</v>
      </c>
      <c r="H5114" t="s">
        <v>61</v>
      </c>
      <c r="I5114" s="12">
        <v>0.59027777777777779</v>
      </c>
      <c r="J5114" t="s">
        <v>62</v>
      </c>
      <c r="K5114" t="s">
        <v>61</v>
      </c>
      <c r="L5114" s="12">
        <v>0.62152777777777779</v>
      </c>
      <c r="M5114" t="s">
        <v>63</v>
      </c>
      <c r="N5114" s="3">
        <v>232</v>
      </c>
      <c r="O5114" t="s">
        <v>24</v>
      </c>
      <c r="P5114" t="s">
        <v>56</v>
      </c>
      <c r="R5114">
        <f>tblDailySchedule[[#This Row],[Capacity Approx]]*'[1]Load Factor Sheet June Acft  '!$B$5</f>
        <v>187.86727272727273</v>
      </c>
      <c r="S5114">
        <f>tblDailySchedule[[#This Row],[Capacity Approx]]*'[1]Load Factor Sheet June Acft  '!$D$5</f>
        <v>203.4218181818182</v>
      </c>
      <c r="T5114" s="22">
        <f>tblDailySchedule[[#This Row],[STD]]</f>
        <v>0.62152777777777779</v>
      </c>
    </row>
    <row r="5115" spans="1:20" hidden="1" x14ac:dyDescent="0.35">
      <c r="A5115" s="11">
        <v>46294</v>
      </c>
      <c r="B5115" s="3">
        <v>2</v>
      </c>
      <c r="C5115" t="s">
        <v>108</v>
      </c>
      <c r="D5115" t="s">
        <v>18</v>
      </c>
      <c r="E5115" s="3">
        <v>15</v>
      </c>
      <c r="F5115" t="s">
        <v>19</v>
      </c>
      <c r="G5115" t="s">
        <v>64</v>
      </c>
      <c r="H5115" t="s">
        <v>31</v>
      </c>
      <c r="I5115" s="12">
        <v>0.60069444444444442</v>
      </c>
      <c r="J5115" t="s">
        <v>65</v>
      </c>
      <c r="K5115" t="s">
        <v>66</v>
      </c>
      <c r="L5115" s="12">
        <v>0.62847222222222221</v>
      </c>
      <c r="M5115" t="s">
        <v>63</v>
      </c>
      <c r="N5115" s="3">
        <v>232</v>
      </c>
      <c r="O5115" t="s">
        <v>24</v>
      </c>
      <c r="P5115" t="s">
        <v>56</v>
      </c>
      <c r="R5115">
        <f>tblDailySchedule[[#This Row],[Capacity Approx]]*'[1]Load Factor Sheet June Acft  '!$B$5</f>
        <v>187.86727272727273</v>
      </c>
      <c r="S5115">
        <f>tblDailySchedule[[#This Row],[Capacity Approx]]*'[1]Load Factor Sheet June Acft  '!$D$5</f>
        <v>203.4218181818182</v>
      </c>
      <c r="T5115" s="22">
        <f>tblDailySchedule[[#This Row],[STD]]</f>
        <v>0.62847222222222221</v>
      </c>
    </row>
    <row r="5116" spans="1:20" hidden="1" x14ac:dyDescent="0.35">
      <c r="A5116" s="11">
        <v>46294</v>
      </c>
      <c r="B5116" s="3">
        <v>2</v>
      </c>
      <c r="C5116" t="s">
        <v>108</v>
      </c>
      <c r="D5116" t="s">
        <v>18</v>
      </c>
      <c r="E5116" s="3">
        <v>16</v>
      </c>
      <c r="F5116" t="s">
        <v>19</v>
      </c>
      <c r="G5116" t="s">
        <v>67</v>
      </c>
      <c r="H5116" t="s">
        <v>31</v>
      </c>
      <c r="I5116" s="12">
        <v>0.65625</v>
      </c>
      <c r="J5116" t="s">
        <v>68</v>
      </c>
      <c r="K5116" t="s">
        <v>31</v>
      </c>
      <c r="L5116" s="12">
        <v>0.68402777777777779</v>
      </c>
      <c r="M5116" t="s">
        <v>63</v>
      </c>
      <c r="N5116" s="3">
        <v>232</v>
      </c>
      <c r="O5116" t="s">
        <v>24</v>
      </c>
      <c r="P5116" t="s">
        <v>56</v>
      </c>
      <c r="R5116">
        <f>tblDailySchedule[[#This Row],[Capacity Approx]]*'[1]Load Factor Sheet June Acft  '!$B$5</f>
        <v>187.86727272727273</v>
      </c>
      <c r="S5116">
        <f>tblDailySchedule[[#This Row],[Capacity Approx]]*'[1]Load Factor Sheet June Acft  '!$D$5</f>
        <v>203.4218181818182</v>
      </c>
      <c r="T5116" s="22">
        <f>tblDailySchedule[[#This Row],[STD]]</f>
        <v>0.68402777777777779</v>
      </c>
    </row>
    <row r="5117" spans="1:20" hidden="1" x14ac:dyDescent="0.35">
      <c r="A5117" s="11">
        <v>46294</v>
      </c>
      <c r="B5117" s="3">
        <v>2</v>
      </c>
      <c r="C5117" t="s">
        <v>108</v>
      </c>
      <c r="D5117" t="s">
        <v>18</v>
      </c>
      <c r="E5117" s="3">
        <v>17</v>
      </c>
      <c r="F5117" t="s">
        <v>19</v>
      </c>
      <c r="G5117" t="s">
        <v>69</v>
      </c>
      <c r="H5117" t="s">
        <v>31</v>
      </c>
      <c r="I5117" s="12">
        <v>0.66319444444444442</v>
      </c>
      <c r="J5117" t="s">
        <v>70</v>
      </c>
      <c r="K5117" t="s">
        <v>31</v>
      </c>
      <c r="L5117" s="12">
        <v>0.69097222222222221</v>
      </c>
      <c r="M5117" t="s">
        <v>33</v>
      </c>
      <c r="N5117" s="3">
        <v>189</v>
      </c>
      <c r="O5117" t="s">
        <v>24</v>
      </c>
      <c r="P5117" t="s">
        <v>56</v>
      </c>
      <c r="R5117">
        <f>tblDailySchedule[[#This Row],[Capacity Approx]]*'[1]Load Factor Sheet June Acft  '!$B$5</f>
        <v>153.04704545454547</v>
      </c>
      <c r="S5117">
        <f>tblDailySchedule[[#This Row],[Capacity Approx]]*'[1]Load Factor Sheet June Acft  '!$D$5</f>
        <v>165.71863636363636</v>
      </c>
      <c r="T5117" s="22">
        <f>tblDailySchedule[[#This Row],[STD]]</f>
        <v>0.69097222222222221</v>
      </c>
    </row>
    <row r="5118" spans="1:20" hidden="1" x14ac:dyDescent="0.35">
      <c r="A5118" s="11">
        <v>46294</v>
      </c>
      <c r="B5118" s="3">
        <v>2</v>
      </c>
      <c r="C5118" t="s">
        <v>108</v>
      </c>
      <c r="D5118" t="s">
        <v>18</v>
      </c>
      <c r="E5118" s="3">
        <v>18</v>
      </c>
      <c r="F5118" t="s">
        <v>19</v>
      </c>
      <c r="G5118" t="s">
        <v>71</v>
      </c>
      <c r="H5118" t="s">
        <v>21</v>
      </c>
      <c r="I5118" s="12">
        <v>0.67013888888888884</v>
      </c>
      <c r="J5118" t="s">
        <v>72</v>
      </c>
      <c r="K5118" t="s">
        <v>21</v>
      </c>
      <c r="L5118" s="12">
        <v>0.69791666666666663</v>
      </c>
      <c r="M5118" t="s">
        <v>63</v>
      </c>
      <c r="N5118" s="3">
        <v>232</v>
      </c>
      <c r="O5118" t="s">
        <v>24</v>
      </c>
      <c r="P5118" t="s">
        <v>56</v>
      </c>
      <c r="R5118">
        <f>tblDailySchedule[[#This Row],[Capacity Approx]]*'[1]Load Factor Sheet June Acft  '!$B$5</f>
        <v>187.86727272727273</v>
      </c>
      <c r="S5118">
        <f>tblDailySchedule[[#This Row],[Capacity Approx]]*'[1]Load Factor Sheet June Acft  '!$D$5</f>
        <v>203.4218181818182</v>
      </c>
      <c r="T5118" s="22">
        <f>tblDailySchedule[[#This Row],[STD]]</f>
        <v>0.69791666666666663</v>
      </c>
    </row>
    <row r="5119" spans="1:20" hidden="1" x14ac:dyDescent="0.35">
      <c r="A5119" s="11">
        <v>46294</v>
      </c>
      <c r="B5119" s="3">
        <v>2</v>
      </c>
      <c r="C5119" t="s">
        <v>108</v>
      </c>
      <c r="D5119" t="s">
        <v>18</v>
      </c>
      <c r="E5119" s="3">
        <v>19</v>
      </c>
      <c r="F5119" t="s">
        <v>19</v>
      </c>
      <c r="G5119" t="s">
        <v>73</v>
      </c>
      <c r="H5119" t="s">
        <v>27</v>
      </c>
      <c r="I5119" s="12">
        <v>0.74652777777777779</v>
      </c>
      <c r="J5119" t="s">
        <v>74</v>
      </c>
      <c r="K5119" t="s">
        <v>27</v>
      </c>
      <c r="L5119" s="12">
        <v>0.77430555555555558</v>
      </c>
      <c r="M5119" t="s">
        <v>63</v>
      </c>
      <c r="N5119" s="3">
        <v>232</v>
      </c>
      <c r="O5119" t="s">
        <v>24</v>
      </c>
      <c r="P5119" t="s">
        <v>56</v>
      </c>
      <c r="R5119">
        <f>tblDailySchedule[[#This Row],[Capacity Approx]]*'[1]Load Factor Sheet June Acft  '!$B$5</f>
        <v>187.86727272727273</v>
      </c>
      <c r="S5119">
        <f>tblDailySchedule[[#This Row],[Capacity Approx]]*'[1]Load Factor Sheet June Acft  '!$D$5</f>
        <v>203.4218181818182</v>
      </c>
      <c r="T5119" s="22">
        <f>tblDailySchedule[[#This Row],[STD]]</f>
        <v>0.77430555555555558</v>
      </c>
    </row>
    <row r="5120" spans="1:20" hidden="1" x14ac:dyDescent="0.35">
      <c r="A5120" s="11">
        <v>46294</v>
      </c>
      <c r="B5120" s="3">
        <v>2</v>
      </c>
      <c r="C5120" t="s">
        <v>108</v>
      </c>
      <c r="D5120" t="s">
        <v>18</v>
      </c>
      <c r="E5120" s="3">
        <v>21</v>
      </c>
      <c r="F5120" t="s">
        <v>19</v>
      </c>
      <c r="G5120" t="s">
        <v>81</v>
      </c>
      <c r="H5120" t="s">
        <v>61</v>
      </c>
      <c r="I5120" s="12">
        <v>0.77083333333333337</v>
      </c>
      <c r="J5120" t="s">
        <v>82</v>
      </c>
      <c r="K5120" t="s">
        <v>49</v>
      </c>
      <c r="L5120" s="12">
        <v>0.79166666666666663</v>
      </c>
      <c r="M5120" t="s">
        <v>33</v>
      </c>
      <c r="N5120" s="3">
        <v>189</v>
      </c>
      <c r="O5120" t="s">
        <v>24</v>
      </c>
      <c r="P5120" t="s">
        <v>79</v>
      </c>
      <c r="R5120">
        <f>tblDailySchedule[[#This Row],[Capacity Approx]]*'[1]Load Factor Sheet June Acft  '!$B$5</f>
        <v>153.04704545454547</v>
      </c>
      <c r="S5120">
        <f>tblDailySchedule[[#This Row],[Capacity Approx]]*'[1]Load Factor Sheet June Acft  '!$D$5</f>
        <v>165.71863636363636</v>
      </c>
      <c r="T5120" s="22">
        <f>tblDailySchedule[[#This Row],[STD]]</f>
        <v>0.79166666666666663</v>
      </c>
    </row>
    <row r="5121" spans="1:20" hidden="1" x14ac:dyDescent="0.35">
      <c r="A5121" s="11">
        <v>46294</v>
      </c>
      <c r="B5121" s="3">
        <v>2</v>
      </c>
      <c r="C5121" t="s">
        <v>108</v>
      </c>
      <c r="D5121" t="s">
        <v>18</v>
      </c>
      <c r="E5121" s="3">
        <v>22</v>
      </c>
      <c r="F5121" t="s">
        <v>19</v>
      </c>
      <c r="G5121" t="s">
        <v>83</v>
      </c>
      <c r="H5121" t="s">
        <v>31</v>
      </c>
      <c r="I5121" s="12">
        <v>0.77777777777777779</v>
      </c>
      <c r="J5121" t="s">
        <v>84</v>
      </c>
      <c r="K5121" t="s">
        <v>31</v>
      </c>
      <c r="L5121" s="12">
        <v>0.80555555555555558</v>
      </c>
      <c r="M5121" t="s">
        <v>63</v>
      </c>
      <c r="N5121" s="3">
        <v>232</v>
      </c>
      <c r="O5121" t="s">
        <v>24</v>
      </c>
      <c r="P5121" t="s">
        <v>79</v>
      </c>
      <c r="R5121">
        <f>tblDailySchedule[[#This Row],[Capacity Approx]]*'[1]Load Factor Sheet June Acft  '!$B$5</f>
        <v>187.86727272727273</v>
      </c>
      <c r="S5121">
        <f>tblDailySchedule[[#This Row],[Capacity Approx]]*'[1]Load Factor Sheet June Acft  '!$D$5</f>
        <v>203.4218181818182</v>
      </c>
      <c r="T5121" s="22">
        <f>tblDailySchedule[[#This Row],[STD]]</f>
        <v>0.80555555555555558</v>
      </c>
    </row>
    <row r="5122" spans="1:20" hidden="1" x14ac:dyDescent="0.35">
      <c r="A5122" s="11">
        <v>46294</v>
      </c>
      <c r="B5122" s="3">
        <v>2</v>
      </c>
      <c r="C5122" t="s">
        <v>108</v>
      </c>
      <c r="D5122" t="s">
        <v>18</v>
      </c>
      <c r="E5122" s="3">
        <v>23</v>
      </c>
      <c r="F5122" t="s">
        <v>19</v>
      </c>
      <c r="G5122" t="s">
        <v>85</v>
      </c>
      <c r="H5122" t="s">
        <v>86</v>
      </c>
      <c r="I5122" s="12">
        <v>0.79861111111111116</v>
      </c>
      <c r="J5122" t="s">
        <v>87</v>
      </c>
      <c r="K5122" t="s">
        <v>86</v>
      </c>
      <c r="L5122" s="12">
        <v>0.82638888888888884</v>
      </c>
      <c r="M5122" t="s">
        <v>63</v>
      </c>
      <c r="N5122" s="3">
        <v>232</v>
      </c>
      <c r="O5122" t="s">
        <v>24</v>
      </c>
      <c r="P5122" t="s">
        <v>79</v>
      </c>
      <c r="R5122">
        <f>tblDailySchedule[[#This Row],[Capacity Approx]]*'[1]Load Factor Sheet June Acft  '!$B$5</f>
        <v>187.86727272727273</v>
      </c>
      <c r="S5122">
        <f>tblDailySchedule[[#This Row],[Capacity Approx]]*'[1]Load Factor Sheet June Acft  '!$D$5</f>
        <v>203.4218181818182</v>
      </c>
      <c r="T5122" s="22">
        <f>tblDailySchedule[[#This Row],[STD]]</f>
        <v>0.82638888888888884</v>
      </c>
    </row>
    <row r="5123" spans="1:20" hidden="1" x14ac:dyDescent="0.35">
      <c r="A5123" s="11">
        <v>46294</v>
      </c>
      <c r="B5123" s="3">
        <v>2</v>
      </c>
      <c r="C5123" t="s">
        <v>108</v>
      </c>
      <c r="D5123" t="s">
        <v>18</v>
      </c>
      <c r="E5123" s="3">
        <v>24</v>
      </c>
      <c r="F5123" t="s">
        <v>19</v>
      </c>
      <c r="G5123" t="s">
        <v>88</v>
      </c>
      <c r="H5123" t="s">
        <v>89</v>
      </c>
      <c r="I5123" s="12">
        <v>0.83333333333333337</v>
      </c>
      <c r="J5123" t="s">
        <v>90</v>
      </c>
      <c r="K5123" t="s">
        <v>31</v>
      </c>
      <c r="L5123" s="12">
        <v>0.86111111111111116</v>
      </c>
      <c r="M5123" t="s">
        <v>63</v>
      </c>
      <c r="N5123" s="3">
        <v>232</v>
      </c>
      <c r="O5123" t="s">
        <v>24</v>
      </c>
      <c r="P5123" t="s">
        <v>79</v>
      </c>
      <c r="R5123">
        <f>tblDailySchedule[[#This Row],[Capacity Approx]]*'[1]Load Factor Sheet June Acft  '!$B$5</f>
        <v>187.86727272727273</v>
      </c>
      <c r="S5123">
        <f>tblDailySchedule[[#This Row],[Capacity Approx]]*'[1]Load Factor Sheet June Acft  '!$D$5</f>
        <v>203.4218181818182</v>
      </c>
      <c r="T5123" s="22">
        <f>tblDailySchedule[[#This Row],[STD]]</f>
        <v>0.86111111111111116</v>
      </c>
    </row>
    <row r="5124" spans="1:20" hidden="1" x14ac:dyDescent="0.35">
      <c r="A5124" s="11">
        <v>46294</v>
      </c>
      <c r="B5124" s="3">
        <v>2</v>
      </c>
      <c r="C5124" t="s">
        <v>108</v>
      </c>
      <c r="D5124" t="s">
        <v>18</v>
      </c>
      <c r="E5124" s="3">
        <v>25</v>
      </c>
      <c r="F5124" t="s">
        <v>19</v>
      </c>
      <c r="G5124" t="s">
        <v>91</v>
      </c>
      <c r="H5124" t="s">
        <v>61</v>
      </c>
      <c r="I5124" s="12">
        <v>0.85416666666666663</v>
      </c>
      <c r="J5124" t="s">
        <v>92</v>
      </c>
      <c r="K5124" t="s">
        <v>61</v>
      </c>
      <c r="L5124" s="12">
        <v>0.88194444444444442</v>
      </c>
      <c r="M5124" t="s">
        <v>63</v>
      </c>
      <c r="N5124" s="3">
        <v>232</v>
      </c>
      <c r="O5124" t="s">
        <v>24</v>
      </c>
      <c r="P5124" t="s">
        <v>79</v>
      </c>
      <c r="R5124">
        <f>tblDailySchedule[[#This Row],[Capacity Approx]]*'[1]Load Factor Sheet June Acft  '!$B$5</f>
        <v>187.86727272727273</v>
      </c>
      <c r="S5124">
        <f>tblDailySchedule[[#This Row],[Capacity Approx]]*'[1]Load Factor Sheet June Acft  '!$D$5</f>
        <v>203.4218181818182</v>
      </c>
      <c r="T5124" s="22">
        <f>tblDailySchedule[[#This Row],[STD]]</f>
        <v>0.88194444444444442</v>
      </c>
    </row>
    <row r="5125" spans="1:20" hidden="1" x14ac:dyDescent="0.35">
      <c r="A5125" s="11">
        <v>46294</v>
      </c>
      <c r="B5125" s="3">
        <v>2</v>
      </c>
      <c r="C5125" t="s">
        <v>108</v>
      </c>
      <c r="D5125" t="s">
        <v>18</v>
      </c>
      <c r="E5125" s="3">
        <v>26</v>
      </c>
      <c r="F5125" t="s">
        <v>19</v>
      </c>
      <c r="G5125" t="s">
        <v>93</v>
      </c>
      <c r="H5125" t="s">
        <v>31</v>
      </c>
      <c r="I5125" s="12">
        <v>0.86111111111111116</v>
      </c>
      <c r="J5125" t="s">
        <v>94</v>
      </c>
      <c r="K5125" t="s">
        <v>31</v>
      </c>
      <c r="L5125" s="12">
        <v>0.88888888888888884</v>
      </c>
      <c r="M5125" t="s">
        <v>23</v>
      </c>
      <c r="N5125" s="3">
        <v>186</v>
      </c>
      <c r="O5125" t="s">
        <v>24</v>
      </c>
      <c r="P5125" t="s">
        <v>79</v>
      </c>
      <c r="R5125">
        <f>tblDailySchedule[[#This Row],[Capacity Approx]]*'[1]Load Factor Sheet June Acft  '!$B$5</f>
        <v>150.61772727272728</v>
      </c>
      <c r="S5125">
        <f>tblDailySchedule[[#This Row],[Capacity Approx]]*'[1]Load Factor Sheet June Acft  '!$D$5</f>
        <v>163.08818181818182</v>
      </c>
      <c r="T5125" s="22">
        <f>tblDailySchedule[[#This Row],[STD]]</f>
        <v>0.88888888888888884</v>
      </c>
    </row>
    <row r="5126" spans="1:20" hidden="1" x14ac:dyDescent="0.35">
      <c r="A5126" s="11">
        <v>46294</v>
      </c>
      <c r="B5126" s="3">
        <v>2</v>
      </c>
      <c r="C5126" t="s">
        <v>108</v>
      </c>
      <c r="D5126" t="s">
        <v>18</v>
      </c>
      <c r="E5126" s="3">
        <v>27</v>
      </c>
      <c r="F5126" t="s">
        <v>19</v>
      </c>
      <c r="G5126" t="s">
        <v>95</v>
      </c>
      <c r="H5126" t="s">
        <v>21</v>
      </c>
      <c r="I5126" s="12">
        <v>0.86805555555555558</v>
      </c>
      <c r="J5126" t="s">
        <v>96</v>
      </c>
      <c r="K5126" t="s">
        <v>21</v>
      </c>
      <c r="L5126" s="12">
        <v>0.89583333333333337</v>
      </c>
      <c r="M5126" t="s">
        <v>29</v>
      </c>
      <c r="N5126" s="3">
        <v>186</v>
      </c>
      <c r="O5126" t="s">
        <v>24</v>
      </c>
      <c r="P5126" t="s">
        <v>79</v>
      </c>
      <c r="R5126">
        <f>tblDailySchedule[[#This Row],[Capacity Approx]]*'[1]Load Factor Sheet June Acft  '!$B$5</f>
        <v>150.61772727272728</v>
      </c>
      <c r="S5126">
        <f>tblDailySchedule[[#This Row],[Capacity Approx]]*'[1]Load Factor Sheet June Acft  '!$D$5</f>
        <v>163.08818181818182</v>
      </c>
      <c r="T5126" s="22">
        <f>tblDailySchedule[[#This Row],[STD]]</f>
        <v>0.89583333333333337</v>
      </c>
    </row>
    <row r="5127" spans="1:20" hidden="1" x14ac:dyDescent="0.35">
      <c r="A5127" s="11">
        <v>46294</v>
      </c>
      <c r="B5127" s="3">
        <v>2</v>
      </c>
      <c r="C5127" t="s">
        <v>108</v>
      </c>
      <c r="D5127" t="s">
        <v>18</v>
      </c>
      <c r="E5127" s="3">
        <v>28</v>
      </c>
      <c r="F5127" t="s">
        <v>19</v>
      </c>
      <c r="G5127" t="s">
        <v>97</v>
      </c>
      <c r="H5127" t="s">
        <v>49</v>
      </c>
      <c r="I5127" s="12">
        <v>0.90277777777777779</v>
      </c>
      <c r="J5127" t="s">
        <v>97</v>
      </c>
      <c r="K5127" t="s">
        <v>61</v>
      </c>
      <c r="L5127" s="12">
        <v>0.92361111111111116</v>
      </c>
      <c r="M5127" t="s">
        <v>33</v>
      </c>
      <c r="N5127" s="3">
        <v>189</v>
      </c>
      <c r="O5127" t="s">
        <v>24</v>
      </c>
      <c r="P5127" t="s">
        <v>79</v>
      </c>
      <c r="R5127">
        <f>tblDailySchedule[[#This Row],[Capacity Approx]]*'[1]Load Factor Sheet June Acft  '!$B$5</f>
        <v>153.04704545454547</v>
      </c>
      <c r="S5127">
        <f>tblDailySchedule[[#This Row],[Capacity Approx]]*'[1]Load Factor Sheet June Acft  '!$D$5</f>
        <v>165.71863636363636</v>
      </c>
      <c r="T5127" s="22">
        <f>tblDailySchedule[[#This Row],[STD]]</f>
        <v>0.92361111111111116</v>
      </c>
    </row>
    <row r="5128" spans="1:20" hidden="1" x14ac:dyDescent="0.35">
      <c r="A5128" s="11">
        <v>46294</v>
      </c>
      <c r="B5128" s="3">
        <v>2</v>
      </c>
      <c r="C5128" t="s">
        <v>108</v>
      </c>
      <c r="D5128" t="s">
        <v>18</v>
      </c>
      <c r="E5128" s="3">
        <v>29</v>
      </c>
      <c r="F5128" t="s">
        <v>19</v>
      </c>
      <c r="G5128" t="s">
        <v>98</v>
      </c>
      <c r="H5128" t="s">
        <v>21</v>
      </c>
      <c r="I5128" s="12">
        <v>0.92013888888888884</v>
      </c>
      <c r="J5128" t="s">
        <v>99</v>
      </c>
      <c r="K5128" t="s">
        <v>21</v>
      </c>
      <c r="L5128" s="12">
        <v>0.94791666666666663</v>
      </c>
      <c r="M5128" t="s">
        <v>63</v>
      </c>
      <c r="N5128" s="3">
        <v>232</v>
      </c>
      <c r="O5128" t="s">
        <v>24</v>
      </c>
      <c r="P5128" t="s">
        <v>79</v>
      </c>
      <c r="R5128">
        <f>tblDailySchedule[[#This Row],[Capacity Approx]]*'[1]Load Factor Sheet June Acft  '!$B$5</f>
        <v>187.86727272727273</v>
      </c>
      <c r="S5128">
        <f>tblDailySchedule[[#This Row],[Capacity Approx]]*'[1]Load Factor Sheet June Acft  '!$D$5</f>
        <v>203.4218181818182</v>
      </c>
      <c r="T5128" s="22">
        <f>tblDailySchedule[[#This Row],[STD]]</f>
        <v>0.94791666666666663</v>
      </c>
    </row>
    <row r="5129" spans="1:20" hidden="1" x14ac:dyDescent="0.35">
      <c r="A5129" s="11">
        <v>46295</v>
      </c>
      <c r="B5129" s="3">
        <v>3</v>
      </c>
      <c r="C5129" t="s">
        <v>113</v>
      </c>
      <c r="D5129" t="s">
        <v>18</v>
      </c>
      <c r="E5129" s="3">
        <v>2</v>
      </c>
      <c r="F5129" t="s">
        <v>19</v>
      </c>
      <c r="G5129" t="s">
        <v>20</v>
      </c>
      <c r="H5129" t="s">
        <v>21</v>
      </c>
      <c r="I5129" s="12">
        <v>0.31944444444444442</v>
      </c>
      <c r="J5129" t="s">
        <v>22</v>
      </c>
      <c r="K5129" t="s">
        <v>21</v>
      </c>
      <c r="L5129" s="12">
        <v>0.34722222222222221</v>
      </c>
      <c r="M5129" t="s">
        <v>23</v>
      </c>
      <c r="N5129" s="3">
        <v>186</v>
      </c>
      <c r="O5129" t="s">
        <v>24</v>
      </c>
      <c r="P5129" t="s">
        <v>25</v>
      </c>
      <c r="R5129">
        <f>tblDailySchedule[[#This Row],[Capacity Approx]]*'[1]Load Factor Sheet June Acft  '!$B$5</f>
        <v>150.61772727272728</v>
      </c>
      <c r="S5129">
        <f>tblDailySchedule[[#This Row],[Capacity Approx]]*'[1]Load Factor Sheet June Acft  '!$D$5</f>
        <v>163.08818181818182</v>
      </c>
      <c r="T5129" s="22">
        <f>tblDailySchedule[[#This Row],[STD]]</f>
        <v>0.34722222222222221</v>
      </c>
    </row>
    <row r="5130" spans="1:20" hidden="1" x14ac:dyDescent="0.35">
      <c r="A5130" s="11">
        <v>46295</v>
      </c>
      <c r="B5130" s="3">
        <v>3</v>
      </c>
      <c r="C5130" t="s">
        <v>113</v>
      </c>
      <c r="D5130" t="s">
        <v>18</v>
      </c>
      <c r="E5130" s="3">
        <v>3</v>
      </c>
      <c r="F5130" t="s">
        <v>19</v>
      </c>
      <c r="G5130" t="s">
        <v>26</v>
      </c>
      <c r="H5130" t="s">
        <v>27</v>
      </c>
      <c r="I5130" s="12">
        <v>0.3263888888888889</v>
      </c>
      <c r="J5130" t="s">
        <v>28</v>
      </c>
      <c r="K5130" t="s">
        <v>27</v>
      </c>
      <c r="L5130" s="12">
        <v>0.35416666666666669</v>
      </c>
      <c r="M5130" t="s">
        <v>29</v>
      </c>
      <c r="N5130" s="3">
        <v>186</v>
      </c>
      <c r="O5130" t="s">
        <v>24</v>
      </c>
      <c r="P5130" t="s">
        <v>25</v>
      </c>
      <c r="R5130">
        <f>tblDailySchedule[[#This Row],[Capacity Approx]]*'[1]Load Factor Sheet June Acft  '!$B$5</f>
        <v>150.61772727272728</v>
      </c>
      <c r="S5130">
        <f>tblDailySchedule[[#This Row],[Capacity Approx]]*'[1]Load Factor Sheet June Acft  '!$D$5</f>
        <v>163.08818181818182</v>
      </c>
      <c r="T5130" s="22">
        <f>tblDailySchedule[[#This Row],[STD]]</f>
        <v>0.35416666666666669</v>
      </c>
    </row>
    <row r="5131" spans="1:20" hidden="1" x14ac:dyDescent="0.35">
      <c r="A5131" s="11">
        <v>46295</v>
      </c>
      <c r="B5131" s="3">
        <v>3</v>
      </c>
      <c r="C5131" t="s">
        <v>113</v>
      </c>
      <c r="D5131" t="s">
        <v>18</v>
      </c>
      <c r="E5131" s="3">
        <v>4</v>
      </c>
      <c r="F5131" t="s">
        <v>19</v>
      </c>
      <c r="G5131" t="s">
        <v>30</v>
      </c>
      <c r="H5131" t="s">
        <v>31</v>
      </c>
      <c r="I5131" s="12">
        <v>0.34722222222222221</v>
      </c>
      <c r="J5131" t="s">
        <v>32</v>
      </c>
      <c r="K5131" t="s">
        <v>31</v>
      </c>
      <c r="L5131" s="12">
        <v>0.36805555555555558</v>
      </c>
      <c r="M5131" t="s">
        <v>33</v>
      </c>
      <c r="N5131" s="3">
        <v>189</v>
      </c>
      <c r="O5131" t="s">
        <v>24</v>
      </c>
      <c r="P5131" t="s">
        <v>25</v>
      </c>
      <c r="R5131">
        <f>tblDailySchedule[[#This Row],[Capacity Approx]]*'[1]Load Factor Sheet June Acft  '!$B$5</f>
        <v>153.04704545454547</v>
      </c>
      <c r="S5131">
        <f>tblDailySchedule[[#This Row],[Capacity Approx]]*'[1]Load Factor Sheet June Acft  '!$D$5</f>
        <v>165.71863636363636</v>
      </c>
      <c r="T5131" s="22">
        <f>tblDailySchedule[[#This Row],[STD]]</f>
        <v>0.36805555555555558</v>
      </c>
    </row>
    <row r="5132" spans="1:20" hidden="1" x14ac:dyDescent="0.35">
      <c r="A5132" s="13">
        <v>46295</v>
      </c>
      <c r="B5132" s="7">
        <v>3</v>
      </c>
      <c r="C5132" s="14" t="s">
        <v>113</v>
      </c>
      <c r="D5132" s="14" t="s">
        <v>18</v>
      </c>
      <c r="E5132" s="7">
        <v>6</v>
      </c>
      <c r="F5132" s="14" t="s">
        <v>34</v>
      </c>
      <c r="G5132" s="14" t="s">
        <v>35</v>
      </c>
      <c r="H5132" s="14" t="s">
        <v>36</v>
      </c>
      <c r="I5132" s="15">
        <v>0.34722222222222221</v>
      </c>
      <c r="J5132" s="14" t="s">
        <v>37</v>
      </c>
      <c r="K5132" s="14" t="s">
        <v>36</v>
      </c>
      <c r="L5132" s="15">
        <v>0.40972222222222221</v>
      </c>
      <c r="M5132" s="14" t="s">
        <v>38</v>
      </c>
      <c r="N5132" s="7">
        <v>186</v>
      </c>
      <c r="O5132" s="14" t="s">
        <v>39</v>
      </c>
      <c r="P5132" s="14" t="s">
        <v>25</v>
      </c>
      <c r="Q5132" s="14" t="s">
        <v>39</v>
      </c>
      <c r="R5132">
        <f>tblDailySchedule[[#This Row],[Capacity Approx]]*'[1]Load Factor Sheet June Acft  '!$B$5</f>
        <v>150.61772727272728</v>
      </c>
      <c r="S5132">
        <f>tblDailySchedule[[#This Row],[Capacity Approx]]*'[1]Load Factor Sheet June Acft  '!$D$5</f>
        <v>163.08818181818182</v>
      </c>
      <c r="T5132" s="22">
        <f>tblDailySchedule[[#This Row],[STD]]</f>
        <v>0.40972222222222221</v>
      </c>
    </row>
    <row r="5133" spans="1:20" hidden="1" x14ac:dyDescent="0.35">
      <c r="A5133" s="11">
        <v>46295</v>
      </c>
      <c r="B5133" s="3">
        <v>3</v>
      </c>
      <c r="C5133" t="s">
        <v>113</v>
      </c>
      <c r="D5133" t="s">
        <v>18</v>
      </c>
      <c r="E5133" s="3">
        <v>5</v>
      </c>
      <c r="F5133" t="s">
        <v>19</v>
      </c>
      <c r="G5133" t="s">
        <v>40</v>
      </c>
      <c r="H5133" t="s">
        <v>31</v>
      </c>
      <c r="I5133" s="12">
        <v>0.35069444444444442</v>
      </c>
      <c r="J5133" t="s">
        <v>41</v>
      </c>
      <c r="K5133" t="s">
        <v>31</v>
      </c>
      <c r="L5133" s="12">
        <v>0.37152777777777779</v>
      </c>
      <c r="M5133" t="s">
        <v>23</v>
      </c>
      <c r="N5133" s="3">
        <v>186</v>
      </c>
      <c r="O5133" t="s">
        <v>24</v>
      </c>
      <c r="P5133" t="s">
        <v>25</v>
      </c>
      <c r="R5133">
        <f>tblDailySchedule[[#This Row],[Capacity Approx]]*'[1]Load Factor Sheet June Acft  '!$B$5</f>
        <v>150.61772727272728</v>
      </c>
      <c r="S5133">
        <f>tblDailySchedule[[#This Row],[Capacity Approx]]*'[1]Load Factor Sheet June Acft  '!$D$5</f>
        <v>163.08818181818182</v>
      </c>
      <c r="T5133" s="22">
        <f>tblDailySchedule[[#This Row],[STD]]</f>
        <v>0.37152777777777779</v>
      </c>
    </row>
    <row r="5134" spans="1:20" hidden="1" x14ac:dyDescent="0.35">
      <c r="A5134" s="11">
        <v>46295</v>
      </c>
      <c r="B5134" s="3">
        <v>3</v>
      </c>
      <c r="C5134" t="s">
        <v>113</v>
      </c>
      <c r="D5134" t="s">
        <v>18</v>
      </c>
      <c r="E5134" s="3">
        <v>7</v>
      </c>
      <c r="F5134" t="s">
        <v>19</v>
      </c>
      <c r="G5134" t="s">
        <v>42</v>
      </c>
      <c r="H5134" t="s">
        <v>43</v>
      </c>
      <c r="I5134" s="12">
        <v>0.3923611111111111</v>
      </c>
      <c r="J5134" t="s">
        <v>44</v>
      </c>
      <c r="K5134" t="s">
        <v>43</v>
      </c>
      <c r="L5134" s="12">
        <v>0.40277777777777779</v>
      </c>
      <c r="M5134" t="s">
        <v>45</v>
      </c>
      <c r="N5134" s="3">
        <v>9</v>
      </c>
      <c r="O5134" t="s">
        <v>24</v>
      </c>
      <c r="P5134" t="s">
        <v>25</v>
      </c>
      <c r="R5134">
        <f>tblDailySchedule[[#This Row],[Capacity Approx]]*'[1]Load Factor Sheet June Acft  '!$B$5</f>
        <v>7.2879545454545456</v>
      </c>
      <c r="S5134">
        <f>tblDailySchedule[[#This Row],[Capacity Approx]]*'[1]Load Factor Sheet June Acft  '!$D$5</f>
        <v>7.8913636363636366</v>
      </c>
      <c r="T5134" s="22">
        <f>tblDailySchedule[[#This Row],[STD]]</f>
        <v>0.40277777777777779</v>
      </c>
    </row>
    <row r="5135" spans="1:20" hidden="1" x14ac:dyDescent="0.35">
      <c r="A5135" s="11">
        <v>46295</v>
      </c>
      <c r="B5135" s="3">
        <v>3</v>
      </c>
      <c r="C5135" t="s">
        <v>113</v>
      </c>
      <c r="D5135" t="s">
        <v>18</v>
      </c>
      <c r="E5135" s="3">
        <v>8</v>
      </c>
      <c r="F5135" t="s">
        <v>19</v>
      </c>
      <c r="G5135" t="s">
        <v>46</v>
      </c>
      <c r="H5135" t="s">
        <v>31</v>
      </c>
      <c r="I5135" s="12">
        <v>0.4201388888888889</v>
      </c>
      <c r="J5135" t="s">
        <v>47</v>
      </c>
      <c r="K5135" t="s">
        <v>31</v>
      </c>
      <c r="L5135" s="12">
        <v>0.44444444444444442</v>
      </c>
      <c r="M5135" t="s">
        <v>29</v>
      </c>
      <c r="N5135" s="3">
        <v>186</v>
      </c>
      <c r="O5135" t="s">
        <v>24</v>
      </c>
      <c r="P5135" t="s">
        <v>25</v>
      </c>
      <c r="R5135">
        <f>tblDailySchedule[[#This Row],[Capacity Approx]]*'[1]Load Factor Sheet June Acft  '!$B$5</f>
        <v>150.61772727272728</v>
      </c>
      <c r="S5135">
        <f>tblDailySchedule[[#This Row],[Capacity Approx]]*'[1]Load Factor Sheet June Acft  '!$D$5</f>
        <v>163.08818181818182</v>
      </c>
      <c r="T5135" s="22">
        <f>tblDailySchedule[[#This Row],[STD]]</f>
        <v>0.44444444444444442</v>
      </c>
    </row>
    <row r="5136" spans="1:20" hidden="1" x14ac:dyDescent="0.35">
      <c r="A5136" s="11">
        <v>46295</v>
      </c>
      <c r="B5136" s="3">
        <v>3</v>
      </c>
      <c r="C5136" t="s">
        <v>113</v>
      </c>
      <c r="D5136" t="s">
        <v>18</v>
      </c>
      <c r="E5136" s="3">
        <v>9</v>
      </c>
      <c r="F5136" t="s">
        <v>19</v>
      </c>
      <c r="G5136" t="s">
        <v>48</v>
      </c>
      <c r="H5136" t="s">
        <v>49</v>
      </c>
      <c r="I5136" s="12">
        <v>0.4375</v>
      </c>
      <c r="J5136" t="s">
        <v>50</v>
      </c>
      <c r="K5136" t="s">
        <v>49</v>
      </c>
      <c r="L5136" s="12">
        <v>0.45833333333333331</v>
      </c>
      <c r="M5136" t="s">
        <v>51</v>
      </c>
      <c r="N5136" s="3">
        <v>78</v>
      </c>
      <c r="O5136" t="s">
        <v>24</v>
      </c>
      <c r="P5136" t="s">
        <v>25</v>
      </c>
      <c r="R5136">
        <f>tblDailySchedule[[#This Row],[Capacity Approx]]*'[1]Load Factor Sheet June Acft  '!$B$5</f>
        <v>63.162272727272729</v>
      </c>
      <c r="S5136">
        <f>tblDailySchedule[[#This Row],[Capacity Approx]]*'[1]Load Factor Sheet June Acft  '!$D$5</f>
        <v>68.391818181818181</v>
      </c>
      <c r="T5136" s="22">
        <f>tblDailySchedule[[#This Row],[STD]]</f>
        <v>0.45833333333333331</v>
      </c>
    </row>
    <row r="5137" spans="1:20" hidden="1" x14ac:dyDescent="0.35">
      <c r="A5137" s="11">
        <v>46295</v>
      </c>
      <c r="B5137" s="3">
        <v>3</v>
      </c>
      <c r="C5137" t="s">
        <v>113</v>
      </c>
      <c r="D5137" t="s">
        <v>18</v>
      </c>
      <c r="E5137" s="3">
        <v>10</v>
      </c>
      <c r="F5137" t="s">
        <v>19</v>
      </c>
      <c r="G5137" t="s">
        <v>52</v>
      </c>
      <c r="H5137" t="s">
        <v>27</v>
      </c>
      <c r="I5137" s="12">
        <v>0.4826388888888889</v>
      </c>
      <c r="J5137" t="s">
        <v>53</v>
      </c>
      <c r="K5137" t="s">
        <v>27</v>
      </c>
      <c r="L5137" s="12">
        <v>0.51041666666666663</v>
      </c>
      <c r="M5137" t="s">
        <v>23</v>
      </c>
      <c r="N5137" s="3">
        <v>186</v>
      </c>
      <c r="O5137" t="s">
        <v>24</v>
      </c>
      <c r="P5137" t="s">
        <v>25</v>
      </c>
      <c r="R5137">
        <f>tblDailySchedule[[#This Row],[Capacity Approx]]*'[1]Load Factor Sheet June Acft  '!$B$5</f>
        <v>150.61772727272728</v>
      </c>
      <c r="S5137">
        <f>tblDailySchedule[[#This Row],[Capacity Approx]]*'[1]Load Factor Sheet June Acft  '!$D$5</f>
        <v>163.08818181818182</v>
      </c>
      <c r="T5137" s="22">
        <f>tblDailySchedule[[#This Row],[STD]]</f>
        <v>0.51041666666666663</v>
      </c>
    </row>
    <row r="5138" spans="1:20" hidden="1" x14ac:dyDescent="0.35">
      <c r="A5138" s="11">
        <v>46295</v>
      </c>
      <c r="B5138" s="3">
        <v>3</v>
      </c>
      <c r="C5138" t="s">
        <v>113</v>
      </c>
      <c r="D5138" t="s">
        <v>18</v>
      </c>
      <c r="E5138" s="3">
        <v>11</v>
      </c>
      <c r="F5138" t="s">
        <v>19</v>
      </c>
      <c r="G5138" t="s">
        <v>54</v>
      </c>
      <c r="H5138" t="s">
        <v>31</v>
      </c>
      <c r="I5138" s="12">
        <v>0.51388888888888884</v>
      </c>
      <c r="J5138" t="s">
        <v>55</v>
      </c>
      <c r="K5138" t="s">
        <v>31</v>
      </c>
      <c r="L5138" s="12">
        <v>0.54166666666666663</v>
      </c>
      <c r="M5138" t="s">
        <v>23</v>
      </c>
      <c r="N5138" s="3">
        <v>186</v>
      </c>
      <c r="O5138" t="s">
        <v>24</v>
      </c>
      <c r="P5138" t="s">
        <v>56</v>
      </c>
      <c r="R5138">
        <f>tblDailySchedule[[#This Row],[Capacity Approx]]*'[1]Load Factor Sheet June Acft  '!$B$5</f>
        <v>150.61772727272728</v>
      </c>
      <c r="S5138">
        <f>tblDailySchedule[[#This Row],[Capacity Approx]]*'[1]Load Factor Sheet June Acft  '!$D$5</f>
        <v>163.08818181818182</v>
      </c>
      <c r="T5138" s="22">
        <f>tblDailySchedule[[#This Row],[STD]]</f>
        <v>0.54166666666666663</v>
      </c>
    </row>
    <row r="5139" spans="1:20" hidden="1" x14ac:dyDescent="0.35">
      <c r="A5139" s="11">
        <v>46295</v>
      </c>
      <c r="B5139" s="3">
        <v>3</v>
      </c>
      <c r="C5139" t="s">
        <v>113</v>
      </c>
      <c r="D5139" t="s">
        <v>18</v>
      </c>
      <c r="E5139" s="3">
        <v>13</v>
      </c>
      <c r="F5139" t="s">
        <v>19</v>
      </c>
      <c r="G5139" t="s">
        <v>57</v>
      </c>
      <c r="H5139" t="s">
        <v>58</v>
      </c>
      <c r="I5139" s="12">
        <v>0.55902777777777779</v>
      </c>
      <c r="J5139" t="s">
        <v>59</v>
      </c>
      <c r="K5139" t="s">
        <v>58</v>
      </c>
      <c r="L5139" s="12">
        <v>0.57638888888888884</v>
      </c>
      <c r="M5139" t="s">
        <v>51</v>
      </c>
      <c r="N5139" s="3">
        <v>78</v>
      </c>
      <c r="O5139" t="s">
        <v>24</v>
      </c>
      <c r="P5139" t="s">
        <v>56</v>
      </c>
      <c r="R5139">
        <f>tblDailySchedule[[#This Row],[Capacity Approx]]*'[1]Load Factor Sheet June Acft  '!$B$5</f>
        <v>63.162272727272729</v>
      </c>
      <c r="S5139">
        <f>tblDailySchedule[[#This Row],[Capacity Approx]]*'[1]Load Factor Sheet June Acft  '!$D$5</f>
        <v>68.391818181818181</v>
      </c>
      <c r="T5139" s="22">
        <f>tblDailySchedule[[#This Row],[STD]]</f>
        <v>0.57638888888888884</v>
      </c>
    </row>
    <row r="5140" spans="1:20" hidden="1" x14ac:dyDescent="0.35">
      <c r="A5140" s="11">
        <v>46295</v>
      </c>
      <c r="B5140" s="3">
        <v>3</v>
      </c>
      <c r="C5140" t="s">
        <v>113</v>
      </c>
      <c r="D5140" t="s">
        <v>18</v>
      </c>
      <c r="E5140" s="3">
        <v>14</v>
      </c>
      <c r="F5140" t="s">
        <v>19</v>
      </c>
      <c r="G5140" t="s">
        <v>60</v>
      </c>
      <c r="H5140" t="s">
        <v>61</v>
      </c>
      <c r="I5140" s="12">
        <v>0.59027777777777779</v>
      </c>
      <c r="J5140" t="s">
        <v>62</v>
      </c>
      <c r="K5140" t="s">
        <v>61</v>
      </c>
      <c r="L5140" s="12">
        <v>0.62152777777777779</v>
      </c>
      <c r="M5140" t="s">
        <v>63</v>
      </c>
      <c r="N5140" s="3">
        <v>232</v>
      </c>
      <c r="O5140" t="s">
        <v>24</v>
      </c>
      <c r="P5140" t="s">
        <v>56</v>
      </c>
      <c r="R5140">
        <f>tblDailySchedule[[#This Row],[Capacity Approx]]*'[1]Load Factor Sheet June Acft  '!$B$5</f>
        <v>187.86727272727273</v>
      </c>
      <c r="S5140">
        <f>tblDailySchedule[[#This Row],[Capacity Approx]]*'[1]Load Factor Sheet June Acft  '!$D$5</f>
        <v>203.4218181818182</v>
      </c>
      <c r="T5140" s="22">
        <f>tblDailySchedule[[#This Row],[STD]]</f>
        <v>0.62152777777777779</v>
      </c>
    </row>
    <row r="5141" spans="1:20" hidden="1" x14ac:dyDescent="0.35">
      <c r="A5141" s="11">
        <v>46295</v>
      </c>
      <c r="B5141" s="3">
        <v>3</v>
      </c>
      <c r="C5141" t="s">
        <v>113</v>
      </c>
      <c r="D5141" t="s">
        <v>18</v>
      </c>
      <c r="E5141" s="3">
        <v>15</v>
      </c>
      <c r="F5141" t="s">
        <v>19</v>
      </c>
      <c r="G5141" t="s">
        <v>64</v>
      </c>
      <c r="H5141" t="s">
        <v>31</v>
      </c>
      <c r="I5141" s="12">
        <v>0.60069444444444442</v>
      </c>
      <c r="J5141" t="s">
        <v>65</v>
      </c>
      <c r="K5141" t="s">
        <v>66</v>
      </c>
      <c r="L5141" s="12">
        <v>0.62847222222222221</v>
      </c>
      <c r="M5141" t="s">
        <v>63</v>
      </c>
      <c r="N5141" s="3">
        <v>232</v>
      </c>
      <c r="O5141" t="s">
        <v>24</v>
      </c>
      <c r="P5141" t="s">
        <v>56</v>
      </c>
      <c r="R5141">
        <f>tblDailySchedule[[#This Row],[Capacity Approx]]*'[1]Load Factor Sheet June Acft  '!$B$5</f>
        <v>187.86727272727273</v>
      </c>
      <c r="S5141">
        <f>tblDailySchedule[[#This Row],[Capacity Approx]]*'[1]Load Factor Sheet June Acft  '!$D$5</f>
        <v>203.4218181818182</v>
      </c>
      <c r="T5141" s="22">
        <f>tblDailySchedule[[#This Row],[STD]]</f>
        <v>0.62847222222222221</v>
      </c>
    </row>
    <row r="5142" spans="1:20" hidden="1" x14ac:dyDescent="0.35">
      <c r="A5142" s="11">
        <v>46295</v>
      </c>
      <c r="B5142" s="3">
        <v>3</v>
      </c>
      <c r="C5142" t="s">
        <v>113</v>
      </c>
      <c r="D5142" t="s">
        <v>18</v>
      </c>
      <c r="E5142" s="3">
        <v>16</v>
      </c>
      <c r="F5142" t="s">
        <v>19</v>
      </c>
      <c r="G5142" t="s">
        <v>67</v>
      </c>
      <c r="H5142" t="s">
        <v>31</v>
      </c>
      <c r="I5142" s="12">
        <v>0.65625</v>
      </c>
      <c r="J5142" t="s">
        <v>68</v>
      </c>
      <c r="K5142" t="s">
        <v>31</v>
      </c>
      <c r="L5142" s="12">
        <v>0.68402777777777779</v>
      </c>
      <c r="M5142" t="s">
        <v>63</v>
      </c>
      <c r="N5142" s="3">
        <v>232</v>
      </c>
      <c r="O5142" t="s">
        <v>24</v>
      </c>
      <c r="P5142" t="s">
        <v>56</v>
      </c>
      <c r="R5142">
        <f>tblDailySchedule[[#This Row],[Capacity Approx]]*'[1]Load Factor Sheet June Acft  '!$B$5</f>
        <v>187.86727272727273</v>
      </c>
      <c r="S5142">
        <f>tblDailySchedule[[#This Row],[Capacity Approx]]*'[1]Load Factor Sheet June Acft  '!$D$5</f>
        <v>203.4218181818182</v>
      </c>
      <c r="T5142" s="22">
        <f>tblDailySchedule[[#This Row],[STD]]</f>
        <v>0.68402777777777779</v>
      </c>
    </row>
    <row r="5143" spans="1:20" hidden="1" x14ac:dyDescent="0.35">
      <c r="A5143" s="11">
        <v>46295</v>
      </c>
      <c r="B5143" s="3">
        <v>3</v>
      </c>
      <c r="C5143" t="s">
        <v>113</v>
      </c>
      <c r="D5143" t="s">
        <v>18</v>
      </c>
      <c r="E5143" s="3">
        <v>17</v>
      </c>
      <c r="F5143" t="s">
        <v>19</v>
      </c>
      <c r="G5143" t="s">
        <v>69</v>
      </c>
      <c r="H5143" t="s">
        <v>31</v>
      </c>
      <c r="I5143" s="12">
        <v>0.66319444444444442</v>
      </c>
      <c r="J5143" t="s">
        <v>70</v>
      </c>
      <c r="K5143" t="s">
        <v>31</v>
      </c>
      <c r="L5143" s="12">
        <v>0.69097222222222221</v>
      </c>
      <c r="M5143" t="s">
        <v>33</v>
      </c>
      <c r="N5143" s="3">
        <v>189</v>
      </c>
      <c r="O5143" t="s">
        <v>24</v>
      </c>
      <c r="P5143" t="s">
        <v>56</v>
      </c>
      <c r="R5143">
        <f>tblDailySchedule[[#This Row],[Capacity Approx]]*'[1]Load Factor Sheet June Acft  '!$B$5</f>
        <v>153.04704545454547</v>
      </c>
      <c r="S5143">
        <f>tblDailySchedule[[#This Row],[Capacity Approx]]*'[1]Load Factor Sheet June Acft  '!$D$5</f>
        <v>165.71863636363636</v>
      </c>
      <c r="T5143" s="22">
        <f>tblDailySchedule[[#This Row],[STD]]</f>
        <v>0.69097222222222221</v>
      </c>
    </row>
    <row r="5144" spans="1:20" hidden="1" x14ac:dyDescent="0.35">
      <c r="A5144" s="11">
        <v>46295</v>
      </c>
      <c r="B5144" s="3">
        <v>3</v>
      </c>
      <c r="C5144" t="s">
        <v>113</v>
      </c>
      <c r="D5144" t="s">
        <v>18</v>
      </c>
      <c r="E5144" s="3">
        <v>18</v>
      </c>
      <c r="F5144" t="s">
        <v>19</v>
      </c>
      <c r="G5144" t="s">
        <v>71</v>
      </c>
      <c r="H5144" t="s">
        <v>21</v>
      </c>
      <c r="I5144" s="12">
        <v>0.67013888888888884</v>
      </c>
      <c r="J5144" t="s">
        <v>72</v>
      </c>
      <c r="K5144" t="s">
        <v>21</v>
      </c>
      <c r="L5144" s="12">
        <v>0.69791666666666663</v>
      </c>
      <c r="M5144" t="s">
        <v>63</v>
      </c>
      <c r="N5144" s="3">
        <v>232</v>
      </c>
      <c r="O5144" t="s">
        <v>24</v>
      </c>
      <c r="P5144" t="s">
        <v>56</v>
      </c>
      <c r="R5144">
        <f>tblDailySchedule[[#This Row],[Capacity Approx]]*'[1]Load Factor Sheet June Acft  '!$B$5</f>
        <v>187.86727272727273</v>
      </c>
      <c r="S5144">
        <f>tblDailySchedule[[#This Row],[Capacity Approx]]*'[1]Load Factor Sheet June Acft  '!$D$5</f>
        <v>203.4218181818182</v>
      </c>
      <c r="T5144" s="22">
        <f>tblDailySchedule[[#This Row],[STD]]</f>
        <v>0.69791666666666663</v>
      </c>
    </row>
    <row r="5145" spans="1:20" hidden="1" x14ac:dyDescent="0.35">
      <c r="A5145" s="11">
        <v>46295</v>
      </c>
      <c r="B5145" s="3">
        <v>3</v>
      </c>
      <c r="C5145" t="s">
        <v>113</v>
      </c>
      <c r="D5145" t="s">
        <v>18</v>
      </c>
      <c r="E5145" s="3">
        <v>19</v>
      </c>
      <c r="F5145" t="s">
        <v>19</v>
      </c>
      <c r="G5145" t="s">
        <v>73</v>
      </c>
      <c r="H5145" t="s">
        <v>27</v>
      </c>
      <c r="I5145" s="12">
        <v>0.74652777777777779</v>
      </c>
      <c r="J5145" t="s">
        <v>74</v>
      </c>
      <c r="K5145" t="s">
        <v>27</v>
      </c>
      <c r="L5145" s="12">
        <v>0.77430555555555558</v>
      </c>
      <c r="M5145" t="s">
        <v>63</v>
      </c>
      <c r="N5145" s="3">
        <v>232</v>
      </c>
      <c r="O5145" t="s">
        <v>24</v>
      </c>
      <c r="P5145" t="s">
        <v>56</v>
      </c>
      <c r="R5145">
        <f>tblDailySchedule[[#This Row],[Capacity Approx]]*'[1]Load Factor Sheet June Acft  '!$B$5</f>
        <v>187.86727272727273</v>
      </c>
      <c r="S5145">
        <f>tblDailySchedule[[#This Row],[Capacity Approx]]*'[1]Load Factor Sheet June Acft  '!$D$5</f>
        <v>203.4218181818182</v>
      </c>
      <c r="T5145" s="22">
        <f>tblDailySchedule[[#This Row],[STD]]</f>
        <v>0.77430555555555558</v>
      </c>
    </row>
    <row r="5146" spans="1:20" hidden="1" x14ac:dyDescent="0.35">
      <c r="A5146" s="11">
        <v>46295</v>
      </c>
      <c r="B5146" s="3">
        <v>3</v>
      </c>
      <c r="C5146" t="s">
        <v>113</v>
      </c>
      <c r="D5146" t="s">
        <v>18</v>
      </c>
      <c r="E5146" s="3">
        <v>20</v>
      </c>
      <c r="F5146" t="s">
        <v>34</v>
      </c>
      <c r="G5146" t="s">
        <v>75</v>
      </c>
      <c r="H5146" t="s">
        <v>76</v>
      </c>
      <c r="I5146" s="12">
        <v>0.76388888888888884</v>
      </c>
      <c r="J5146" t="s">
        <v>77</v>
      </c>
      <c r="K5146" t="s">
        <v>78</v>
      </c>
      <c r="L5146" s="12">
        <v>0.78472222222222221</v>
      </c>
      <c r="M5146" t="s">
        <v>51</v>
      </c>
      <c r="N5146" s="3">
        <v>78</v>
      </c>
      <c r="O5146" t="s">
        <v>24</v>
      </c>
      <c r="P5146" t="s">
        <v>79</v>
      </c>
      <c r="Q5146" s="16" t="s">
        <v>80</v>
      </c>
      <c r="R5146">
        <f>tblDailySchedule[[#This Row],[Capacity Approx]]*'[1]Load Factor Sheet June Acft  '!$B$5</f>
        <v>63.162272727272729</v>
      </c>
      <c r="S5146">
        <f>tblDailySchedule[[#This Row],[Capacity Approx]]*'[1]Load Factor Sheet June Acft  '!$D$5</f>
        <v>68.391818181818181</v>
      </c>
      <c r="T5146" s="22">
        <f>tblDailySchedule[[#This Row],[STD]]</f>
        <v>0.78472222222222221</v>
      </c>
    </row>
    <row r="5147" spans="1:20" hidden="1" x14ac:dyDescent="0.35">
      <c r="A5147" s="11">
        <v>46295</v>
      </c>
      <c r="B5147" s="3">
        <v>3</v>
      </c>
      <c r="C5147" t="s">
        <v>113</v>
      </c>
      <c r="D5147" t="s">
        <v>18</v>
      </c>
      <c r="E5147" s="3">
        <v>21</v>
      </c>
      <c r="F5147" t="s">
        <v>19</v>
      </c>
      <c r="G5147" t="s">
        <v>81</v>
      </c>
      <c r="H5147" t="s">
        <v>61</v>
      </c>
      <c r="I5147" s="12">
        <v>0.77083333333333337</v>
      </c>
      <c r="J5147" t="s">
        <v>82</v>
      </c>
      <c r="K5147" t="s">
        <v>49</v>
      </c>
      <c r="L5147" s="12">
        <v>0.79166666666666663</v>
      </c>
      <c r="M5147" t="s">
        <v>33</v>
      </c>
      <c r="N5147" s="3">
        <v>189</v>
      </c>
      <c r="O5147" t="s">
        <v>24</v>
      </c>
      <c r="P5147" t="s">
        <v>79</v>
      </c>
      <c r="R5147">
        <f>tblDailySchedule[[#This Row],[Capacity Approx]]*'[1]Load Factor Sheet June Acft  '!$B$5</f>
        <v>153.04704545454547</v>
      </c>
      <c r="S5147">
        <f>tblDailySchedule[[#This Row],[Capacity Approx]]*'[1]Load Factor Sheet June Acft  '!$D$5</f>
        <v>165.71863636363636</v>
      </c>
      <c r="T5147" s="22">
        <f>tblDailySchedule[[#This Row],[STD]]</f>
        <v>0.79166666666666663</v>
      </c>
    </row>
    <row r="5148" spans="1:20" hidden="1" x14ac:dyDescent="0.35">
      <c r="A5148" s="11">
        <v>46295</v>
      </c>
      <c r="B5148" s="3">
        <v>3</v>
      </c>
      <c r="C5148" t="s">
        <v>113</v>
      </c>
      <c r="D5148" t="s">
        <v>18</v>
      </c>
      <c r="E5148" s="3">
        <v>22</v>
      </c>
      <c r="F5148" t="s">
        <v>19</v>
      </c>
      <c r="G5148" t="s">
        <v>83</v>
      </c>
      <c r="H5148" t="s">
        <v>31</v>
      </c>
      <c r="I5148" s="12">
        <v>0.77777777777777779</v>
      </c>
      <c r="J5148" t="s">
        <v>84</v>
      </c>
      <c r="K5148" t="s">
        <v>31</v>
      </c>
      <c r="L5148" s="12">
        <v>0.80555555555555558</v>
      </c>
      <c r="M5148" t="s">
        <v>63</v>
      </c>
      <c r="N5148" s="3">
        <v>232</v>
      </c>
      <c r="O5148" t="s">
        <v>24</v>
      </c>
      <c r="P5148" t="s">
        <v>79</v>
      </c>
      <c r="R5148">
        <f>tblDailySchedule[[#This Row],[Capacity Approx]]*'[1]Load Factor Sheet June Acft  '!$B$5</f>
        <v>187.86727272727273</v>
      </c>
      <c r="S5148">
        <f>tblDailySchedule[[#This Row],[Capacity Approx]]*'[1]Load Factor Sheet June Acft  '!$D$5</f>
        <v>203.4218181818182</v>
      </c>
      <c r="T5148" s="22">
        <f>tblDailySchedule[[#This Row],[STD]]</f>
        <v>0.80555555555555558</v>
      </c>
    </row>
    <row r="5149" spans="1:20" hidden="1" x14ac:dyDescent="0.35">
      <c r="A5149" s="11">
        <v>46295</v>
      </c>
      <c r="B5149" s="3">
        <v>3</v>
      </c>
      <c r="C5149" t="s">
        <v>113</v>
      </c>
      <c r="D5149" t="s">
        <v>18</v>
      </c>
      <c r="E5149" s="3">
        <v>23</v>
      </c>
      <c r="F5149" t="s">
        <v>19</v>
      </c>
      <c r="G5149" t="s">
        <v>85</v>
      </c>
      <c r="H5149" t="s">
        <v>86</v>
      </c>
      <c r="I5149" s="12">
        <v>0.79861111111111116</v>
      </c>
      <c r="J5149" t="s">
        <v>87</v>
      </c>
      <c r="K5149" t="s">
        <v>86</v>
      </c>
      <c r="L5149" s="12">
        <v>0.82638888888888884</v>
      </c>
      <c r="M5149" t="s">
        <v>63</v>
      </c>
      <c r="N5149" s="3">
        <v>232</v>
      </c>
      <c r="O5149" t="s">
        <v>24</v>
      </c>
      <c r="P5149" t="s">
        <v>79</v>
      </c>
      <c r="R5149">
        <f>tblDailySchedule[[#This Row],[Capacity Approx]]*'[1]Load Factor Sheet June Acft  '!$B$5</f>
        <v>187.86727272727273</v>
      </c>
      <c r="S5149">
        <f>tblDailySchedule[[#This Row],[Capacity Approx]]*'[1]Load Factor Sheet June Acft  '!$D$5</f>
        <v>203.4218181818182</v>
      </c>
      <c r="T5149" s="22">
        <f>tblDailySchedule[[#This Row],[STD]]</f>
        <v>0.82638888888888884</v>
      </c>
    </row>
    <row r="5150" spans="1:20" hidden="1" x14ac:dyDescent="0.35">
      <c r="A5150" s="11">
        <v>46295</v>
      </c>
      <c r="B5150" s="3">
        <v>3</v>
      </c>
      <c r="C5150" t="s">
        <v>113</v>
      </c>
      <c r="D5150" t="s">
        <v>18</v>
      </c>
      <c r="E5150" s="3">
        <v>24</v>
      </c>
      <c r="F5150" t="s">
        <v>19</v>
      </c>
      <c r="G5150" t="s">
        <v>88</v>
      </c>
      <c r="H5150" t="s">
        <v>89</v>
      </c>
      <c r="I5150" s="12">
        <v>0.83333333333333337</v>
      </c>
      <c r="J5150" t="s">
        <v>90</v>
      </c>
      <c r="K5150" t="s">
        <v>31</v>
      </c>
      <c r="L5150" s="12">
        <v>0.86111111111111116</v>
      </c>
      <c r="M5150" t="s">
        <v>63</v>
      </c>
      <c r="N5150" s="3">
        <v>232</v>
      </c>
      <c r="O5150" t="s">
        <v>24</v>
      </c>
      <c r="P5150" t="s">
        <v>79</v>
      </c>
      <c r="R5150">
        <f>tblDailySchedule[[#This Row],[Capacity Approx]]*'[1]Load Factor Sheet June Acft  '!$B$5</f>
        <v>187.86727272727273</v>
      </c>
      <c r="S5150">
        <f>tblDailySchedule[[#This Row],[Capacity Approx]]*'[1]Load Factor Sheet June Acft  '!$D$5</f>
        <v>203.4218181818182</v>
      </c>
      <c r="T5150" s="22">
        <f>tblDailySchedule[[#This Row],[STD]]</f>
        <v>0.86111111111111116</v>
      </c>
    </row>
    <row r="5151" spans="1:20" hidden="1" x14ac:dyDescent="0.35">
      <c r="A5151" s="11">
        <v>46295</v>
      </c>
      <c r="B5151" s="3">
        <v>3</v>
      </c>
      <c r="C5151" t="s">
        <v>113</v>
      </c>
      <c r="D5151" t="s">
        <v>18</v>
      </c>
      <c r="E5151" s="3">
        <v>25</v>
      </c>
      <c r="F5151" t="s">
        <v>19</v>
      </c>
      <c r="G5151" t="s">
        <v>91</v>
      </c>
      <c r="H5151" t="s">
        <v>61</v>
      </c>
      <c r="I5151" s="12">
        <v>0.85416666666666663</v>
      </c>
      <c r="J5151" t="s">
        <v>92</v>
      </c>
      <c r="K5151" t="s">
        <v>61</v>
      </c>
      <c r="L5151" s="12">
        <v>0.88194444444444442</v>
      </c>
      <c r="M5151" t="s">
        <v>63</v>
      </c>
      <c r="N5151" s="3">
        <v>232</v>
      </c>
      <c r="O5151" t="s">
        <v>24</v>
      </c>
      <c r="P5151" t="s">
        <v>79</v>
      </c>
      <c r="R5151">
        <f>tblDailySchedule[[#This Row],[Capacity Approx]]*'[1]Load Factor Sheet June Acft  '!$B$5</f>
        <v>187.86727272727273</v>
      </c>
      <c r="S5151">
        <f>tblDailySchedule[[#This Row],[Capacity Approx]]*'[1]Load Factor Sheet June Acft  '!$D$5</f>
        <v>203.4218181818182</v>
      </c>
      <c r="T5151" s="22">
        <f>tblDailySchedule[[#This Row],[STD]]</f>
        <v>0.88194444444444442</v>
      </c>
    </row>
    <row r="5152" spans="1:20" hidden="1" x14ac:dyDescent="0.35">
      <c r="A5152" s="11">
        <v>46295</v>
      </c>
      <c r="B5152" s="3">
        <v>3</v>
      </c>
      <c r="C5152" t="s">
        <v>113</v>
      </c>
      <c r="D5152" t="s">
        <v>18</v>
      </c>
      <c r="E5152" s="3">
        <v>26</v>
      </c>
      <c r="F5152" t="s">
        <v>19</v>
      </c>
      <c r="G5152" t="s">
        <v>93</v>
      </c>
      <c r="H5152" t="s">
        <v>31</v>
      </c>
      <c r="I5152" s="12">
        <v>0.86111111111111116</v>
      </c>
      <c r="J5152" t="s">
        <v>94</v>
      </c>
      <c r="K5152" t="s">
        <v>31</v>
      </c>
      <c r="L5152" s="12">
        <v>0.88888888888888884</v>
      </c>
      <c r="M5152" t="s">
        <v>23</v>
      </c>
      <c r="N5152" s="3">
        <v>186</v>
      </c>
      <c r="O5152" t="s">
        <v>24</v>
      </c>
      <c r="P5152" t="s">
        <v>79</v>
      </c>
      <c r="R5152">
        <f>tblDailySchedule[[#This Row],[Capacity Approx]]*'[1]Load Factor Sheet June Acft  '!$B$5</f>
        <v>150.61772727272728</v>
      </c>
      <c r="S5152">
        <f>tblDailySchedule[[#This Row],[Capacity Approx]]*'[1]Load Factor Sheet June Acft  '!$D$5</f>
        <v>163.08818181818182</v>
      </c>
      <c r="T5152" s="22">
        <f>tblDailySchedule[[#This Row],[STD]]</f>
        <v>0.88888888888888884</v>
      </c>
    </row>
    <row r="5153" spans="1:20" hidden="1" x14ac:dyDescent="0.35">
      <c r="A5153" s="11">
        <v>46295</v>
      </c>
      <c r="B5153" s="3">
        <v>3</v>
      </c>
      <c r="C5153" t="s">
        <v>113</v>
      </c>
      <c r="D5153" t="s">
        <v>18</v>
      </c>
      <c r="E5153" s="3">
        <v>27</v>
      </c>
      <c r="F5153" t="s">
        <v>19</v>
      </c>
      <c r="G5153" t="s">
        <v>95</v>
      </c>
      <c r="H5153" t="s">
        <v>21</v>
      </c>
      <c r="I5153" s="12">
        <v>0.86805555555555558</v>
      </c>
      <c r="J5153" t="s">
        <v>96</v>
      </c>
      <c r="K5153" t="s">
        <v>21</v>
      </c>
      <c r="L5153" s="12">
        <v>0.89583333333333337</v>
      </c>
      <c r="M5153" t="s">
        <v>29</v>
      </c>
      <c r="N5153" s="3">
        <v>186</v>
      </c>
      <c r="O5153" t="s">
        <v>24</v>
      </c>
      <c r="P5153" t="s">
        <v>79</v>
      </c>
      <c r="R5153">
        <f>tblDailySchedule[[#This Row],[Capacity Approx]]*'[1]Load Factor Sheet June Acft  '!$B$5</f>
        <v>150.61772727272728</v>
      </c>
      <c r="S5153">
        <f>tblDailySchedule[[#This Row],[Capacity Approx]]*'[1]Load Factor Sheet June Acft  '!$D$5</f>
        <v>163.08818181818182</v>
      </c>
      <c r="T5153" s="22">
        <f>tblDailySchedule[[#This Row],[STD]]</f>
        <v>0.89583333333333337</v>
      </c>
    </row>
    <row r="5154" spans="1:20" hidden="1" x14ac:dyDescent="0.35">
      <c r="A5154" s="11">
        <v>46295</v>
      </c>
      <c r="B5154" s="3">
        <v>3</v>
      </c>
      <c r="C5154" t="s">
        <v>113</v>
      </c>
      <c r="D5154" t="s">
        <v>18</v>
      </c>
      <c r="E5154" s="3">
        <v>28</v>
      </c>
      <c r="F5154" t="s">
        <v>19</v>
      </c>
      <c r="G5154" t="s">
        <v>97</v>
      </c>
      <c r="H5154" t="s">
        <v>49</v>
      </c>
      <c r="I5154" s="12">
        <v>0.90277777777777779</v>
      </c>
      <c r="J5154" t="s">
        <v>97</v>
      </c>
      <c r="K5154" t="s">
        <v>61</v>
      </c>
      <c r="L5154" s="12">
        <v>0.92361111111111116</v>
      </c>
      <c r="M5154" t="s">
        <v>33</v>
      </c>
      <c r="N5154" s="3">
        <v>189</v>
      </c>
      <c r="O5154" t="s">
        <v>24</v>
      </c>
      <c r="P5154" t="s">
        <v>79</v>
      </c>
      <c r="R5154">
        <f>tblDailySchedule[[#This Row],[Capacity Approx]]*'[1]Load Factor Sheet June Acft  '!$B$5</f>
        <v>153.04704545454547</v>
      </c>
      <c r="S5154">
        <f>tblDailySchedule[[#This Row],[Capacity Approx]]*'[1]Load Factor Sheet June Acft  '!$D$5</f>
        <v>165.71863636363636</v>
      </c>
      <c r="T5154" s="22">
        <f>tblDailySchedule[[#This Row],[STD]]</f>
        <v>0.92361111111111116</v>
      </c>
    </row>
    <row r="5155" spans="1:20" hidden="1" x14ac:dyDescent="0.35">
      <c r="A5155" s="11">
        <v>46295</v>
      </c>
      <c r="B5155" s="3">
        <v>3</v>
      </c>
      <c r="C5155" t="s">
        <v>113</v>
      </c>
      <c r="D5155" t="s">
        <v>18</v>
      </c>
      <c r="E5155" s="3">
        <v>29</v>
      </c>
      <c r="F5155" t="s">
        <v>19</v>
      </c>
      <c r="G5155" t="s">
        <v>98</v>
      </c>
      <c r="H5155" t="s">
        <v>21</v>
      </c>
      <c r="I5155" s="12">
        <v>0.92013888888888884</v>
      </c>
      <c r="J5155" t="s">
        <v>99</v>
      </c>
      <c r="K5155" t="s">
        <v>21</v>
      </c>
      <c r="L5155" s="12">
        <v>0.94791666666666663</v>
      </c>
      <c r="M5155" t="s">
        <v>63</v>
      </c>
      <c r="N5155" s="3">
        <v>232</v>
      </c>
      <c r="O5155" t="s">
        <v>24</v>
      </c>
      <c r="P5155" t="s">
        <v>79</v>
      </c>
      <c r="R5155">
        <f>tblDailySchedule[[#This Row],[Capacity Approx]]*'[1]Load Factor Sheet June Acft  '!$B$5</f>
        <v>187.86727272727273</v>
      </c>
      <c r="S5155">
        <f>tblDailySchedule[[#This Row],[Capacity Approx]]*'[1]Load Factor Sheet June Acft  '!$D$5</f>
        <v>203.4218181818182</v>
      </c>
      <c r="T5155" s="22">
        <f>tblDailySchedule[[#This Row],[STD]]</f>
        <v>0.94791666666666663</v>
      </c>
    </row>
    <row r="5156" spans="1:20" hidden="1" x14ac:dyDescent="0.35">
      <c r="A5156" s="13">
        <v>46295</v>
      </c>
      <c r="B5156" s="7">
        <v>3</v>
      </c>
      <c r="C5156" s="14" t="s">
        <v>113</v>
      </c>
      <c r="D5156" s="14" t="s">
        <v>18</v>
      </c>
      <c r="E5156" s="7">
        <v>30</v>
      </c>
      <c r="F5156" s="14" t="s">
        <v>104</v>
      </c>
      <c r="G5156" s="14" t="s">
        <v>105</v>
      </c>
      <c r="H5156" s="14" t="s">
        <v>106</v>
      </c>
      <c r="I5156" s="15">
        <v>0.92708333333333337</v>
      </c>
      <c r="J5156" s="14" t="s">
        <v>107</v>
      </c>
      <c r="K5156" s="14" t="s">
        <v>106</v>
      </c>
      <c r="L5156" s="15">
        <v>0.95833333333333337</v>
      </c>
      <c r="M5156" s="14" t="s">
        <v>38</v>
      </c>
      <c r="N5156" s="7">
        <v>186</v>
      </c>
      <c r="O5156" s="14" t="s">
        <v>39</v>
      </c>
      <c r="P5156" s="14" t="s">
        <v>79</v>
      </c>
      <c r="Q5156" s="14" t="s">
        <v>39</v>
      </c>
      <c r="R5156">
        <f>tblDailySchedule[[#This Row],[Capacity Approx]]*'[1]Load Factor Sheet June Acft  '!$B$5</f>
        <v>150.61772727272728</v>
      </c>
      <c r="S5156">
        <f>tblDailySchedule[[#This Row],[Capacity Approx]]*'[1]Load Factor Sheet June Acft  '!$D$5</f>
        <v>163.08818181818182</v>
      </c>
      <c r="T5156" s="22">
        <f>tblDailySchedule[[#This Row],[STD]]</f>
        <v>0.95833333333333337</v>
      </c>
    </row>
    <row r="5157" spans="1:20" hidden="1" x14ac:dyDescent="0.35">
      <c r="A5157" s="11">
        <v>46296</v>
      </c>
      <c r="B5157" s="3">
        <v>4</v>
      </c>
      <c r="C5157" t="s">
        <v>114</v>
      </c>
      <c r="D5157" t="s">
        <v>18</v>
      </c>
      <c r="E5157" s="3">
        <v>1</v>
      </c>
      <c r="F5157" t="s">
        <v>101</v>
      </c>
      <c r="G5157" t="s">
        <v>102</v>
      </c>
      <c r="H5157" t="s">
        <v>61</v>
      </c>
      <c r="I5157" s="12">
        <v>0.3125</v>
      </c>
      <c r="J5157" t="s">
        <v>103</v>
      </c>
      <c r="K5157" t="s">
        <v>61</v>
      </c>
      <c r="L5157" s="12">
        <v>0.33333333333333331</v>
      </c>
      <c r="M5157" t="s">
        <v>33</v>
      </c>
      <c r="N5157" s="3">
        <v>189</v>
      </c>
      <c r="O5157" t="s">
        <v>24</v>
      </c>
      <c r="P5157" t="s">
        <v>25</v>
      </c>
      <c r="R5157">
        <f>tblDailySchedule[[#This Row],[Capacity Approx]]*'[1]Load Factor Sheet June Acft  '!$B$5</f>
        <v>153.04704545454547</v>
      </c>
      <c r="S5157">
        <f>tblDailySchedule[[#This Row],[Capacity Approx]]*'[1]Load Factor Sheet June Acft  '!$D$5</f>
        <v>165.71863636363636</v>
      </c>
      <c r="T5157" s="22">
        <f>tblDailySchedule[[#This Row],[STD]]</f>
        <v>0.33333333333333331</v>
      </c>
    </row>
    <row r="5158" spans="1:20" hidden="1" x14ac:dyDescent="0.35">
      <c r="A5158" s="11">
        <v>46296</v>
      </c>
      <c r="B5158" s="3">
        <v>4</v>
      </c>
      <c r="C5158" t="s">
        <v>114</v>
      </c>
      <c r="D5158" t="s">
        <v>18</v>
      </c>
      <c r="E5158" s="3">
        <v>2</v>
      </c>
      <c r="F5158" t="s">
        <v>19</v>
      </c>
      <c r="G5158" t="s">
        <v>20</v>
      </c>
      <c r="H5158" t="s">
        <v>21</v>
      </c>
      <c r="I5158" s="12">
        <v>0.31944444444444442</v>
      </c>
      <c r="J5158" t="s">
        <v>22</v>
      </c>
      <c r="K5158" t="s">
        <v>21</v>
      </c>
      <c r="L5158" s="12">
        <v>0.34722222222222221</v>
      </c>
      <c r="M5158" t="s">
        <v>23</v>
      </c>
      <c r="N5158" s="3">
        <v>186</v>
      </c>
      <c r="O5158" t="s">
        <v>24</v>
      </c>
      <c r="P5158" t="s">
        <v>25</v>
      </c>
      <c r="R5158">
        <f>tblDailySchedule[[#This Row],[Capacity Approx]]*'[1]Load Factor Sheet June Acft  '!$B$5</f>
        <v>150.61772727272728</v>
      </c>
      <c r="S5158">
        <f>tblDailySchedule[[#This Row],[Capacity Approx]]*'[1]Load Factor Sheet June Acft  '!$D$5</f>
        <v>163.08818181818182</v>
      </c>
      <c r="T5158" s="22">
        <f>tblDailySchedule[[#This Row],[STD]]</f>
        <v>0.34722222222222221</v>
      </c>
    </row>
    <row r="5159" spans="1:20" hidden="1" x14ac:dyDescent="0.35">
      <c r="A5159" s="11">
        <v>46296</v>
      </c>
      <c r="B5159" s="3">
        <v>4</v>
      </c>
      <c r="C5159" t="s">
        <v>114</v>
      </c>
      <c r="D5159" t="s">
        <v>18</v>
      </c>
      <c r="E5159" s="3">
        <v>3</v>
      </c>
      <c r="F5159" t="s">
        <v>19</v>
      </c>
      <c r="G5159" t="s">
        <v>26</v>
      </c>
      <c r="H5159" t="s">
        <v>27</v>
      </c>
      <c r="I5159" s="12">
        <v>0.3263888888888889</v>
      </c>
      <c r="J5159" t="s">
        <v>28</v>
      </c>
      <c r="K5159" t="s">
        <v>27</v>
      </c>
      <c r="L5159" s="12">
        <v>0.35416666666666669</v>
      </c>
      <c r="M5159" t="s">
        <v>29</v>
      </c>
      <c r="N5159" s="3">
        <v>186</v>
      </c>
      <c r="O5159" t="s">
        <v>24</v>
      </c>
      <c r="P5159" t="s">
        <v>25</v>
      </c>
      <c r="R5159">
        <f>tblDailySchedule[[#This Row],[Capacity Approx]]*'[1]Load Factor Sheet June Acft  '!$B$5</f>
        <v>150.61772727272728</v>
      </c>
      <c r="S5159">
        <f>tblDailySchedule[[#This Row],[Capacity Approx]]*'[1]Load Factor Sheet June Acft  '!$D$5</f>
        <v>163.08818181818182</v>
      </c>
      <c r="T5159" s="22">
        <f>tblDailySchedule[[#This Row],[STD]]</f>
        <v>0.35416666666666669</v>
      </c>
    </row>
    <row r="5160" spans="1:20" hidden="1" x14ac:dyDescent="0.35">
      <c r="A5160" s="11">
        <v>46296</v>
      </c>
      <c r="B5160" s="3">
        <v>4</v>
      </c>
      <c r="C5160" t="s">
        <v>114</v>
      </c>
      <c r="D5160" t="s">
        <v>18</v>
      </c>
      <c r="E5160" s="3">
        <v>4</v>
      </c>
      <c r="F5160" t="s">
        <v>19</v>
      </c>
      <c r="G5160" t="s">
        <v>30</v>
      </c>
      <c r="H5160" t="s">
        <v>31</v>
      </c>
      <c r="I5160" s="12">
        <v>0.34722222222222221</v>
      </c>
      <c r="J5160" t="s">
        <v>32</v>
      </c>
      <c r="K5160" t="s">
        <v>31</v>
      </c>
      <c r="L5160" s="12">
        <v>0.36805555555555558</v>
      </c>
      <c r="M5160" t="s">
        <v>33</v>
      </c>
      <c r="N5160" s="3">
        <v>189</v>
      </c>
      <c r="O5160" t="s">
        <v>24</v>
      </c>
      <c r="P5160" t="s">
        <v>25</v>
      </c>
      <c r="R5160">
        <f>tblDailySchedule[[#This Row],[Capacity Approx]]*'[1]Load Factor Sheet June Acft  '!$B$5</f>
        <v>153.04704545454547</v>
      </c>
      <c r="S5160">
        <f>tblDailySchedule[[#This Row],[Capacity Approx]]*'[1]Load Factor Sheet June Acft  '!$D$5</f>
        <v>165.71863636363636</v>
      </c>
      <c r="T5160" s="22">
        <f>tblDailySchedule[[#This Row],[STD]]</f>
        <v>0.36805555555555558</v>
      </c>
    </row>
    <row r="5161" spans="1:20" hidden="1" x14ac:dyDescent="0.35">
      <c r="A5161" s="11">
        <v>46296</v>
      </c>
      <c r="B5161" s="3">
        <v>4</v>
      </c>
      <c r="C5161" t="s">
        <v>114</v>
      </c>
      <c r="D5161" t="s">
        <v>18</v>
      </c>
      <c r="E5161" s="3">
        <v>5</v>
      </c>
      <c r="F5161" t="s">
        <v>19</v>
      </c>
      <c r="G5161" t="s">
        <v>40</v>
      </c>
      <c r="H5161" t="s">
        <v>31</v>
      </c>
      <c r="I5161" s="12">
        <v>0.35069444444444442</v>
      </c>
      <c r="J5161" t="s">
        <v>41</v>
      </c>
      <c r="K5161" t="s">
        <v>31</v>
      </c>
      <c r="L5161" s="12">
        <v>0.37152777777777779</v>
      </c>
      <c r="M5161" t="s">
        <v>23</v>
      </c>
      <c r="N5161" s="3">
        <v>186</v>
      </c>
      <c r="O5161" t="s">
        <v>24</v>
      </c>
      <c r="P5161" t="s">
        <v>25</v>
      </c>
      <c r="R5161">
        <f>tblDailySchedule[[#This Row],[Capacity Approx]]*'[1]Load Factor Sheet June Acft  '!$B$5</f>
        <v>150.61772727272728</v>
      </c>
      <c r="S5161">
        <f>tblDailySchedule[[#This Row],[Capacity Approx]]*'[1]Load Factor Sheet June Acft  '!$D$5</f>
        <v>163.08818181818182</v>
      </c>
      <c r="T5161" s="22">
        <f>tblDailySchedule[[#This Row],[STD]]</f>
        <v>0.37152777777777779</v>
      </c>
    </row>
    <row r="5162" spans="1:20" hidden="1" x14ac:dyDescent="0.35">
      <c r="A5162" s="11">
        <v>46296</v>
      </c>
      <c r="B5162" s="3">
        <v>4</v>
      </c>
      <c r="C5162" t="s">
        <v>114</v>
      </c>
      <c r="D5162" t="s">
        <v>18</v>
      </c>
      <c r="E5162" s="3">
        <v>7</v>
      </c>
      <c r="F5162" t="s">
        <v>19</v>
      </c>
      <c r="G5162" t="s">
        <v>42</v>
      </c>
      <c r="H5162" t="s">
        <v>43</v>
      </c>
      <c r="I5162" s="12">
        <v>0.3923611111111111</v>
      </c>
      <c r="J5162" t="s">
        <v>44</v>
      </c>
      <c r="K5162" t="s">
        <v>43</v>
      </c>
      <c r="L5162" s="12">
        <v>0.40277777777777779</v>
      </c>
      <c r="M5162" t="s">
        <v>45</v>
      </c>
      <c r="N5162" s="3">
        <v>9</v>
      </c>
      <c r="O5162" t="s">
        <v>24</v>
      </c>
      <c r="P5162" t="s">
        <v>25</v>
      </c>
      <c r="R5162">
        <f>tblDailySchedule[[#This Row],[Capacity Approx]]*'[1]Load Factor Sheet June Acft  '!$B$5</f>
        <v>7.2879545454545456</v>
      </c>
      <c r="S5162">
        <f>tblDailySchedule[[#This Row],[Capacity Approx]]*'[1]Load Factor Sheet June Acft  '!$D$5</f>
        <v>7.8913636363636366</v>
      </c>
      <c r="T5162" s="22">
        <f>tblDailySchedule[[#This Row],[STD]]</f>
        <v>0.40277777777777779</v>
      </c>
    </row>
    <row r="5163" spans="1:20" hidden="1" x14ac:dyDescent="0.35">
      <c r="A5163" s="11">
        <v>46296</v>
      </c>
      <c r="B5163" s="3">
        <v>4</v>
      </c>
      <c r="C5163" t="s">
        <v>114</v>
      </c>
      <c r="D5163" t="s">
        <v>18</v>
      </c>
      <c r="E5163" s="3">
        <v>8</v>
      </c>
      <c r="F5163" t="s">
        <v>19</v>
      </c>
      <c r="G5163" t="s">
        <v>46</v>
      </c>
      <c r="H5163" t="s">
        <v>31</v>
      </c>
      <c r="I5163" s="12">
        <v>0.4201388888888889</v>
      </c>
      <c r="J5163" t="s">
        <v>47</v>
      </c>
      <c r="K5163" t="s">
        <v>31</v>
      </c>
      <c r="L5163" s="12">
        <v>0.44444444444444442</v>
      </c>
      <c r="M5163" t="s">
        <v>29</v>
      </c>
      <c r="N5163" s="3">
        <v>186</v>
      </c>
      <c r="O5163" t="s">
        <v>24</v>
      </c>
      <c r="P5163" t="s">
        <v>25</v>
      </c>
      <c r="R5163">
        <f>tblDailySchedule[[#This Row],[Capacity Approx]]*'[1]Load Factor Sheet June Acft  '!$B$5</f>
        <v>150.61772727272728</v>
      </c>
      <c r="S5163">
        <f>tblDailySchedule[[#This Row],[Capacity Approx]]*'[1]Load Factor Sheet June Acft  '!$D$5</f>
        <v>163.08818181818182</v>
      </c>
      <c r="T5163" s="22">
        <f>tblDailySchedule[[#This Row],[STD]]</f>
        <v>0.44444444444444442</v>
      </c>
    </row>
    <row r="5164" spans="1:20" hidden="1" x14ac:dyDescent="0.35">
      <c r="A5164" s="11">
        <v>46296</v>
      </c>
      <c r="B5164" s="3">
        <v>4</v>
      </c>
      <c r="C5164" t="s">
        <v>114</v>
      </c>
      <c r="D5164" t="s">
        <v>18</v>
      </c>
      <c r="E5164" s="3">
        <v>9</v>
      </c>
      <c r="F5164" t="s">
        <v>19</v>
      </c>
      <c r="G5164" t="s">
        <v>48</v>
      </c>
      <c r="H5164" t="s">
        <v>49</v>
      </c>
      <c r="I5164" s="12">
        <v>0.4375</v>
      </c>
      <c r="J5164" t="s">
        <v>50</v>
      </c>
      <c r="K5164" t="s">
        <v>49</v>
      </c>
      <c r="L5164" s="12">
        <v>0.45833333333333331</v>
      </c>
      <c r="M5164" t="s">
        <v>51</v>
      </c>
      <c r="N5164" s="3">
        <v>78</v>
      </c>
      <c r="O5164" t="s">
        <v>24</v>
      </c>
      <c r="P5164" t="s">
        <v>25</v>
      </c>
      <c r="R5164">
        <f>tblDailySchedule[[#This Row],[Capacity Approx]]*'[1]Load Factor Sheet June Acft  '!$B$5</f>
        <v>63.162272727272729</v>
      </c>
      <c r="S5164">
        <f>tblDailySchedule[[#This Row],[Capacity Approx]]*'[1]Load Factor Sheet June Acft  '!$D$5</f>
        <v>68.391818181818181</v>
      </c>
      <c r="T5164" s="22">
        <f>tblDailySchedule[[#This Row],[STD]]</f>
        <v>0.45833333333333331</v>
      </c>
    </row>
    <row r="5165" spans="1:20" hidden="1" x14ac:dyDescent="0.35">
      <c r="A5165" s="11">
        <v>46296</v>
      </c>
      <c r="B5165" s="3">
        <v>4</v>
      </c>
      <c r="C5165" t="s">
        <v>114</v>
      </c>
      <c r="D5165" t="s">
        <v>18</v>
      </c>
      <c r="E5165" s="3">
        <v>10</v>
      </c>
      <c r="F5165" t="s">
        <v>19</v>
      </c>
      <c r="G5165" t="s">
        <v>52</v>
      </c>
      <c r="H5165" t="s">
        <v>27</v>
      </c>
      <c r="I5165" s="12">
        <v>0.4826388888888889</v>
      </c>
      <c r="J5165" t="s">
        <v>53</v>
      </c>
      <c r="K5165" t="s">
        <v>27</v>
      </c>
      <c r="L5165" s="12">
        <v>0.51041666666666663</v>
      </c>
      <c r="M5165" t="s">
        <v>23</v>
      </c>
      <c r="N5165" s="3">
        <v>186</v>
      </c>
      <c r="O5165" t="s">
        <v>24</v>
      </c>
      <c r="P5165" t="s">
        <v>25</v>
      </c>
      <c r="R5165">
        <f>tblDailySchedule[[#This Row],[Capacity Approx]]*'[1]Load Factor Sheet June Acft  '!$B$5</f>
        <v>150.61772727272728</v>
      </c>
      <c r="S5165">
        <f>tblDailySchedule[[#This Row],[Capacity Approx]]*'[1]Load Factor Sheet June Acft  '!$D$5</f>
        <v>163.08818181818182</v>
      </c>
      <c r="T5165" s="22">
        <f>tblDailySchedule[[#This Row],[STD]]</f>
        <v>0.51041666666666663</v>
      </c>
    </row>
    <row r="5166" spans="1:20" hidden="1" x14ac:dyDescent="0.35">
      <c r="A5166" s="11">
        <v>46296</v>
      </c>
      <c r="B5166" s="3">
        <v>4</v>
      </c>
      <c r="C5166" t="s">
        <v>114</v>
      </c>
      <c r="D5166" t="s">
        <v>18</v>
      </c>
      <c r="E5166" s="3">
        <v>11</v>
      </c>
      <c r="F5166" t="s">
        <v>19</v>
      </c>
      <c r="G5166" t="s">
        <v>54</v>
      </c>
      <c r="H5166" t="s">
        <v>31</v>
      </c>
      <c r="I5166" s="12">
        <v>0.51388888888888884</v>
      </c>
      <c r="J5166" t="s">
        <v>55</v>
      </c>
      <c r="K5166" t="s">
        <v>31</v>
      </c>
      <c r="L5166" s="12">
        <v>0.54166666666666663</v>
      </c>
      <c r="M5166" t="s">
        <v>23</v>
      </c>
      <c r="N5166" s="3">
        <v>186</v>
      </c>
      <c r="O5166" t="s">
        <v>24</v>
      </c>
      <c r="P5166" t="s">
        <v>56</v>
      </c>
      <c r="R5166">
        <f>tblDailySchedule[[#This Row],[Capacity Approx]]*'[1]Load Factor Sheet June Acft  '!$B$5</f>
        <v>150.61772727272728</v>
      </c>
      <c r="S5166">
        <f>tblDailySchedule[[#This Row],[Capacity Approx]]*'[1]Load Factor Sheet June Acft  '!$D$5</f>
        <v>163.08818181818182</v>
      </c>
      <c r="T5166" s="22">
        <f>tblDailySchedule[[#This Row],[STD]]</f>
        <v>0.54166666666666663</v>
      </c>
    </row>
    <row r="5167" spans="1:20" hidden="1" x14ac:dyDescent="0.35">
      <c r="A5167" s="11">
        <v>46296</v>
      </c>
      <c r="B5167" s="3">
        <v>4</v>
      </c>
      <c r="C5167" t="s">
        <v>114</v>
      </c>
      <c r="D5167" t="s">
        <v>18</v>
      </c>
      <c r="E5167" s="3">
        <v>12</v>
      </c>
      <c r="F5167" t="s">
        <v>109</v>
      </c>
      <c r="G5167" t="s">
        <v>110</v>
      </c>
      <c r="H5167" t="s">
        <v>111</v>
      </c>
      <c r="I5167" s="12">
        <v>0.55555555555555558</v>
      </c>
      <c r="J5167" t="s">
        <v>112</v>
      </c>
      <c r="K5167" t="s">
        <v>111</v>
      </c>
      <c r="L5167" s="12">
        <v>0.56944444444444442</v>
      </c>
      <c r="M5167" t="s">
        <v>51</v>
      </c>
      <c r="N5167" s="3">
        <v>78</v>
      </c>
      <c r="O5167" t="s">
        <v>24</v>
      </c>
      <c r="P5167" t="s">
        <v>56</v>
      </c>
      <c r="R5167">
        <f>tblDailySchedule[[#This Row],[Capacity Approx]]*'[1]Load Factor Sheet June Acft  '!$B$5</f>
        <v>63.162272727272729</v>
      </c>
      <c r="S5167">
        <f>tblDailySchedule[[#This Row],[Capacity Approx]]*'[1]Load Factor Sheet June Acft  '!$D$5</f>
        <v>68.391818181818181</v>
      </c>
      <c r="T5167" s="22">
        <f>tblDailySchedule[[#This Row],[STD]]</f>
        <v>0.56944444444444442</v>
      </c>
    </row>
    <row r="5168" spans="1:20" hidden="1" x14ac:dyDescent="0.35">
      <c r="A5168" s="11">
        <v>46296</v>
      </c>
      <c r="B5168" s="3">
        <v>4</v>
      </c>
      <c r="C5168" t="s">
        <v>114</v>
      </c>
      <c r="D5168" t="s">
        <v>18</v>
      </c>
      <c r="E5168" s="3">
        <v>13</v>
      </c>
      <c r="F5168" t="s">
        <v>19</v>
      </c>
      <c r="G5168" t="s">
        <v>57</v>
      </c>
      <c r="H5168" t="s">
        <v>58</v>
      </c>
      <c r="I5168" s="12">
        <v>0.55902777777777779</v>
      </c>
      <c r="J5168" t="s">
        <v>59</v>
      </c>
      <c r="K5168" t="s">
        <v>58</v>
      </c>
      <c r="L5168" s="12">
        <v>0.57638888888888884</v>
      </c>
      <c r="M5168" t="s">
        <v>51</v>
      </c>
      <c r="N5168" s="3">
        <v>78</v>
      </c>
      <c r="O5168" t="s">
        <v>24</v>
      </c>
      <c r="P5168" t="s">
        <v>56</v>
      </c>
      <c r="R5168">
        <f>tblDailySchedule[[#This Row],[Capacity Approx]]*'[1]Load Factor Sheet June Acft  '!$B$5</f>
        <v>63.162272727272729</v>
      </c>
      <c r="S5168">
        <f>tblDailySchedule[[#This Row],[Capacity Approx]]*'[1]Load Factor Sheet June Acft  '!$D$5</f>
        <v>68.391818181818181</v>
      </c>
      <c r="T5168" s="22">
        <f>tblDailySchedule[[#This Row],[STD]]</f>
        <v>0.57638888888888884</v>
      </c>
    </row>
    <row r="5169" spans="1:20" hidden="1" x14ac:dyDescent="0.35">
      <c r="A5169" s="11">
        <v>46296</v>
      </c>
      <c r="B5169" s="3">
        <v>4</v>
      </c>
      <c r="C5169" t="s">
        <v>114</v>
      </c>
      <c r="D5169" t="s">
        <v>18</v>
      </c>
      <c r="E5169" s="3">
        <v>14</v>
      </c>
      <c r="F5169" t="s">
        <v>19</v>
      </c>
      <c r="G5169" t="s">
        <v>60</v>
      </c>
      <c r="H5169" t="s">
        <v>61</v>
      </c>
      <c r="I5169" s="12">
        <v>0.59027777777777779</v>
      </c>
      <c r="J5169" t="s">
        <v>62</v>
      </c>
      <c r="K5169" t="s">
        <v>61</v>
      </c>
      <c r="L5169" s="12">
        <v>0.62152777777777779</v>
      </c>
      <c r="M5169" t="s">
        <v>63</v>
      </c>
      <c r="N5169" s="3">
        <v>232</v>
      </c>
      <c r="O5169" t="s">
        <v>24</v>
      </c>
      <c r="P5169" t="s">
        <v>56</v>
      </c>
      <c r="R5169">
        <f>tblDailySchedule[[#This Row],[Capacity Approx]]*'[1]Load Factor Sheet June Acft  '!$B$5</f>
        <v>187.86727272727273</v>
      </c>
      <c r="S5169">
        <f>tblDailySchedule[[#This Row],[Capacity Approx]]*'[1]Load Factor Sheet June Acft  '!$D$5</f>
        <v>203.4218181818182</v>
      </c>
      <c r="T5169" s="22">
        <f>tblDailySchedule[[#This Row],[STD]]</f>
        <v>0.62152777777777779</v>
      </c>
    </row>
    <row r="5170" spans="1:20" hidden="1" x14ac:dyDescent="0.35">
      <c r="A5170" s="11">
        <v>46296</v>
      </c>
      <c r="B5170" s="3">
        <v>4</v>
      </c>
      <c r="C5170" t="s">
        <v>114</v>
      </c>
      <c r="D5170" t="s">
        <v>18</v>
      </c>
      <c r="E5170" s="3">
        <v>15</v>
      </c>
      <c r="F5170" t="s">
        <v>19</v>
      </c>
      <c r="G5170" t="s">
        <v>64</v>
      </c>
      <c r="H5170" t="s">
        <v>31</v>
      </c>
      <c r="I5170" s="12">
        <v>0.60069444444444442</v>
      </c>
      <c r="J5170" t="s">
        <v>65</v>
      </c>
      <c r="K5170" t="s">
        <v>66</v>
      </c>
      <c r="L5170" s="12">
        <v>0.62847222222222221</v>
      </c>
      <c r="M5170" t="s">
        <v>63</v>
      </c>
      <c r="N5170" s="3">
        <v>232</v>
      </c>
      <c r="O5170" t="s">
        <v>24</v>
      </c>
      <c r="P5170" t="s">
        <v>56</v>
      </c>
      <c r="R5170">
        <f>tblDailySchedule[[#This Row],[Capacity Approx]]*'[1]Load Factor Sheet June Acft  '!$B$5</f>
        <v>187.86727272727273</v>
      </c>
      <c r="S5170">
        <f>tblDailySchedule[[#This Row],[Capacity Approx]]*'[1]Load Factor Sheet June Acft  '!$D$5</f>
        <v>203.4218181818182</v>
      </c>
      <c r="T5170" s="22">
        <f>tblDailySchedule[[#This Row],[STD]]</f>
        <v>0.62847222222222221</v>
      </c>
    </row>
    <row r="5171" spans="1:20" hidden="1" x14ac:dyDescent="0.35">
      <c r="A5171" s="11">
        <v>46296</v>
      </c>
      <c r="B5171" s="3">
        <v>4</v>
      </c>
      <c r="C5171" t="s">
        <v>114</v>
      </c>
      <c r="D5171" t="s">
        <v>18</v>
      </c>
      <c r="E5171" s="3">
        <v>16</v>
      </c>
      <c r="F5171" t="s">
        <v>19</v>
      </c>
      <c r="G5171" t="s">
        <v>67</v>
      </c>
      <c r="H5171" t="s">
        <v>31</v>
      </c>
      <c r="I5171" s="12">
        <v>0.65625</v>
      </c>
      <c r="J5171" t="s">
        <v>68</v>
      </c>
      <c r="K5171" t="s">
        <v>31</v>
      </c>
      <c r="L5171" s="12">
        <v>0.68402777777777779</v>
      </c>
      <c r="M5171" t="s">
        <v>63</v>
      </c>
      <c r="N5171" s="3">
        <v>232</v>
      </c>
      <c r="O5171" t="s">
        <v>24</v>
      </c>
      <c r="P5171" t="s">
        <v>56</v>
      </c>
      <c r="R5171">
        <f>tblDailySchedule[[#This Row],[Capacity Approx]]*'[1]Load Factor Sheet June Acft  '!$B$5</f>
        <v>187.86727272727273</v>
      </c>
      <c r="S5171">
        <f>tblDailySchedule[[#This Row],[Capacity Approx]]*'[1]Load Factor Sheet June Acft  '!$D$5</f>
        <v>203.4218181818182</v>
      </c>
      <c r="T5171" s="22">
        <f>tblDailySchedule[[#This Row],[STD]]</f>
        <v>0.68402777777777779</v>
      </c>
    </row>
    <row r="5172" spans="1:20" hidden="1" x14ac:dyDescent="0.35">
      <c r="A5172" s="11">
        <v>46296</v>
      </c>
      <c r="B5172" s="3">
        <v>4</v>
      </c>
      <c r="C5172" t="s">
        <v>114</v>
      </c>
      <c r="D5172" t="s">
        <v>18</v>
      </c>
      <c r="E5172" s="3">
        <v>17</v>
      </c>
      <c r="F5172" t="s">
        <v>19</v>
      </c>
      <c r="G5172" t="s">
        <v>69</v>
      </c>
      <c r="H5172" t="s">
        <v>31</v>
      </c>
      <c r="I5172" s="12">
        <v>0.66319444444444442</v>
      </c>
      <c r="J5172" t="s">
        <v>70</v>
      </c>
      <c r="K5172" t="s">
        <v>31</v>
      </c>
      <c r="L5172" s="12">
        <v>0.69097222222222221</v>
      </c>
      <c r="M5172" t="s">
        <v>33</v>
      </c>
      <c r="N5172" s="3">
        <v>189</v>
      </c>
      <c r="O5172" t="s">
        <v>24</v>
      </c>
      <c r="P5172" t="s">
        <v>56</v>
      </c>
      <c r="R5172">
        <f>tblDailySchedule[[#This Row],[Capacity Approx]]*'[1]Load Factor Sheet June Acft  '!$B$5</f>
        <v>153.04704545454547</v>
      </c>
      <c r="S5172">
        <f>tblDailySchedule[[#This Row],[Capacity Approx]]*'[1]Load Factor Sheet June Acft  '!$D$5</f>
        <v>165.71863636363636</v>
      </c>
      <c r="T5172" s="22">
        <f>tblDailySchedule[[#This Row],[STD]]</f>
        <v>0.69097222222222221</v>
      </c>
    </row>
    <row r="5173" spans="1:20" hidden="1" x14ac:dyDescent="0.35">
      <c r="A5173" s="11">
        <v>46296</v>
      </c>
      <c r="B5173" s="3">
        <v>4</v>
      </c>
      <c r="C5173" t="s">
        <v>114</v>
      </c>
      <c r="D5173" t="s">
        <v>18</v>
      </c>
      <c r="E5173" s="3">
        <v>18</v>
      </c>
      <c r="F5173" t="s">
        <v>19</v>
      </c>
      <c r="G5173" t="s">
        <v>71</v>
      </c>
      <c r="H5173" t="s">
        <v>21</v>
      </c>
      <c r="I5173" s="12">
        <v>0.67013888888888884</v>
      </c>
      <c r="J5173" t="s">
        <v>72</v>
      </c>
      <c r="K5173" t="s">
        <v>21</v>
      </c>
      <c r="L5173" s="12">
        <v>0.69791666666666663</v>
      </c>
      <c r="M5173" t="s">
        <v>63</v>
      </c>
      <c r="N5173" s="3">
        <v>232</v>
      </c>
      <c r="O5173" t="s">
        <v>24</v>
      </c>
      <c r="P5173" t="s">
        <v>56</v>
      </c>
      <c r="R5173">
        <f>tblDailySchedule[[#This Row],[Capacity Approx]]*'[1]Load Factor Sheet June Acft  '!$B$5</f>
        <v>187.86727272727273</v>
      </c>
      <c r="S5173">
        <f>tblDailySchedule[[#This Row],[Capacity Approx]]*'[1]Load Factor Sheet June Acft  '!$D$5</f>
        <v>203.4218181818182</v>
      </c>
      <c r="T5173" s="22">
        <f>tblDailySchedule[[#This Row],[STD]]</f>
        <v>0.69791666666666663</v>
      </c>
    </row>
    <row r="5174" spans="1:20" hidden="1" x14ac:dyDescent="0.35">
      <c r="A5174" s="11">
        <v>46296</v>
      </c>
      <c r="B5174" s="3">
        <v>4</v>
      </c>
      <c r="C5174" t="s">
        <v>114</v>
      </c>
      <c r="D5174" t="s">
        <v>18</v>
      </c>
      <c r="E5174" s="3">
        <v>19</v>
      </c>
      <c r="F5174" t="s">
        <v>19</v>
      </c>
      <c r="G5174" t="s">
        <v>73</v>
      </c>
      <c r="H5174" t="s">
        <v>27</v>
      </c>
      <c r="I5174" s="12">
        <v>0.74652777777777779</v>
      </c>
      <c r="J5174" t="s">
        <v>74</v>
      </c>
      <c r="K5174" t="s">
        <v>27</v>
      </c>
      <c r="L5174" s="12">
        <v>0.77430555555555558</v>
      </c>
      <c r="M5174" t="s">
        <v>63</v>
      </c>
      <c r="N5174" s="3">
        <v>232</v>
      </c>
      <c r="O5174" t="s">
        <v>24</v>
      </c>
      <c r="P5174" t="s">
        <v>56</v>
      </c>
      <c r="R5174">
        <f>tblDailySchedule[[#This Row],[Capacity Approx]]*'[1]Load Factor Sheet June Acft  '!$B$5</f>
        <v>187.86727272727273</v>
      </c>
      <c r="S5174">
        <f>tblDailySchedule[[#This Row],[Capacity Approx]]*'[1]Load Factor Sheet June Acft  '!$D$5</f>
        <v>203.4218181818182</v>
      </c>
      <c r="T5174" s="22">
        <f>tblDailySchedule[[#This Row],[STD]]</f>
        <v>0.77430555555555558</v>
      </c>
    </row>
    <row r="5175" spans="1:20" hidden="1" x14ac:dyDescent="0.35">
      <c r="A5175" s="11">
        <v>46296</v>
      </c>
      <c r="B5175" s="3">
        <v>4</v>
      </c>
      <c r="C5175" t="s">
        <v>114</v>
      </c>
      <c r="D5175" t="s">
        <v>18</v>
      </c>
      <c r="E5175" s="3">
        <v>21</v>
      </c>
      <c r="F5175" t="s">
        <v>19</v>
      </c>
      <c r="G5175" t="s">
        <v>81</v>
      </c>
      <c r="H5175" t="s">
        <v>61</v>
      </c>
      <c r="I5175" s="12">
        <v>0.77083333333333337</v>
      </c>
      <c r="J5175" t="s">
        <v>82</v>
      </c>
      <c r="K5175" t="s">
        <v>49</v>
      </c>
      <c r="L5175" s="12">
        <v>0.79166666666666663</v>
      </c>
      <c r="M5175" t="s">
        <v>33</v>
      </c>
      <c r="N5175" s="3">
        <v>189</v>
      </c>
      <c r="O5175" t="s">
        <v>24</v>
      </c>
      <c r="P5175" t="s">
        <v>79</v>
      </c>
      <c r="R5175">
        <f>tblDailySchedule[[#This Row],[Capacity Approx]]*'[1]Load Factor Sheet June Acft  '!$B$5</f>
        <v>153.04704545454547</v>
      </c>
      <c r="S5175">
        <f>tblDailySchedule[[#This Row],[Capacity Approx]]*'[1]Load Factor Sheet June Acft  '!$D$5</f>
        <v>165.71863636363636</v>
      </c>
      <c r="T5175" s="22">
        <f>tblDailySchedule[[#This Row],[STD]]</f>
        <v>0.79166666666666663</v>
      </c>
    </row>
    <row r="5176" spans="1:20" hidden="1" x14ac:dyDescent="0.35">
      <c r="A5176" s="11">
        <v>46296</v>
      </c>
      <c r="B5176" s="3">
        <v>4</v>
      </c>
      <c r="C5176" t="s">
        <v>114</v>
      </c>
      <c r="D5176" t="s">
        <v>18</v>
      </c>
      <c r="E5176" s="3">
        <v>22</v>
      </c>
      <c r="F5176" t="s">
        <v>19</v>
      </c>
      <c r="G5176" t="s">
        <v>83</v>
      </c>
      <c r="H5176" t="s">
        <v>31</v>
      </c>
      <c r="I5176" s="12">
        <v>0.77777777777777779</v>
      </c>
      <c r="J5176" t="s">
        <v>84</v>
      </c>
      <c r="K5176" t="s">
        <v>31</v>
      </c>
      <c r="L5176" s="12">
        <v>0.80555555555555558</v>
      </c>
      <c r="M5176" t="s">
        <v>63</v>
      </c>
      <c r="N5176" s="3">
        <v>232</v>
      </c>
      <c r="O5176" t="s">
        <v>24</v>
      </c>
      <c r="P5176" t="s">
        <v>79</v>
      </c>
      <c r="R5176">
        <f>tblDailySchedule[[#This Row],[Capacity Approx]]*'[1]Load Factor Sheet June Acft  '!$B$5</f>
        <v>187.86727272727273</v>
      </c>
      <c r="S5176">
        <f>tblDailySchedule[[#This Row],[Capacity Approx]]*'[1]Load Factor Sheet June Acft  '!$D$5</f>
        <v>203.4218181818182</v>
      </c>
      <c r="T5176" s="22">
        <f>tblDailySchedule[[#This Row],[STD]]</f>
        <v>0.80555555555555558</v>
      </c>
    </row>
    <row r="5177" spans="1:20" hidden="1" x14ac:dyDescent="0.35">
      <c r="A5177" s="11">
        <v>46296</v>
      </c>
      <c r="B5177" s="3">
        <v>4</v>
      </c>
      <c r="C5177" t="s">
        <v>114</v>
      </c>
      <c r="D5177" t="s">
        <v>18</v>
      </c>
      <c r="E5177" s="3">
        <v>23</v>
      </c>
      <c r="F5177" t="s">
        <v>19</v>
      </c>
      <c r="G5177" t="s">
        <v>85</v>
      </c>
      <c r="H5177" t="s">
        <v>86</v>
      </c>
      <c r="I5177" s="12">
        <v>0.79861111111111116</v>
      </c>
      <c r="J5177" t="s">
        <v>87</v>
      </c>
      <c r="K5177" t="s">
        <v>86</v>
      </c>
      <c r="L5177" s="12">
        <v>0.82638888888888884</v>
      </c>
      <c r="M5177" t="s">
        <v>63</v>
      </c>
      <c r="N5177" s="3">
        <v>232</v>
      </c>
      <c r="O5177" t="s">
        <v>24</v>
      </c>
      <c r="P5177" t="s">
        <v>79</v>
      </c>
      <c r="R5177">
        <f>tblDailySchedule[[#This Row],[Capacity Approx]]*'[1]Load Factor Sheet June Acft  '!$B$5</f>
        <v>187.86727272727273</v>
      </c>
      <c r="S5177">
        <f>tblDailySchedule[[#This Row],[Capacity Approx]]*'[1]Load Factor Sheet June Acft  '!$D$5</f>
        <v>203.4218181818182</v>
      </c>
      <c r="T5177" s="22">
        <f>tblDailySchedule[[#This Row],[STD]]</f>
        <v>0.82638888888888884</v>
      </c>
    </row>
    <row r="5178" spans="1:20" hidden="1" x14ac:dyDescent="0.35">
      <c r="A5178" s="11">
        <v>46296</v>
      </c>
      <c r="B5178" s="3">
        <v>4</v>
      </c>
      <c r="C5178" t="s">
        <v>114</v>
      </c>
      <c r="D5178" t="s">
        <v>18</v>
      </c>
      <c r="E5178" s="3">
        <v>24</v>
      </c>
      <c r="F5178" t="s">
        <v>19</v>
      </c>
      <c r="G5178" t="s">
        <v>88</v>
      </c>
      <c r="H5178" t="s">
        <v>89</v>
      </c>
      <c r="I5178" s="12">
        <v>0.83333333333333337</v>
      </c>
      <c r="J5178" t="s">
        <v>90</v>
      </c>
      <c r="K5178" t="s">
        <v>31</v>
      </c>
      <c r="L5178" s="12">
        <v>0.86111111111111116</v>
      </c>
      <c r="M5178" t="s">
        <v>63</v>
      </c>
      <c r="N5178" s="3">
        <v>232</v>
      </c>
      <c r="O5178" t="s">
        <v>24</v>
      </c>
      <c r="P5178" t="s">
        <v>79</v>
      </c>
      <c r="R5178">
        <f>tblDailySchedule[[#This Row],[Capacity Approx]]*'[1]Load Factor Sheet June Acft  '!$B$5</f>
        <v>187.86727272727273</v>
      </c>
      <c r="S5178">
        <f>tblDailySchedule[[#This Row],[Capacity Approx]]*'[1]Load Factor Sheet June Acft  '!$D$5</f>
        <v>203.4218181818182</v>
      </c>
      <c r="T5178" s="22">
        <f>tblDailySchedule[[#This Row],[STD]]</f>
        <v>0.86111111111111116</v>
      </c>
    </row>
    <row r="5179" spans="1:20" hidden="1" x14ac:dyDescent="0.35">
      <c r="A5179" s="11">
        <v>46296</v>
      </c>
      <c r="B5179" s="3">
        <v>4</v>
      </c>
      <c r="C5179" t="s">
        <v>114</v>
      </c>
      <c r="D5179" t="s">
        <v>18</v>
      </c>
      <c r="E5179" s="3">
        <v>25</v>
      </c>
      <c r="F5179" t="s">
        <v>19</v>
      </c>
      <c r="G5179" t="s">
        <v>91</v>
      </c>
      <c r="H5179" t="s">
        <v>61</v>
      </c>
      <c r="I5179" s="12">
        <v>0.85416666666666663</v>
      </c>
      <c r="J5179" t="s">
        <v>92</v>
      </c>
      <c r="K5179" t="s">
        <v>61</v>
      </c>
      <c r="L5179" s="12">
        <v>0.88194444444444442</v>
      </c>
      <c r="M5179" t="s">
        <v>63</v>
      </c>
      <c r="N5179" s="3">
        <v>232</v>
      </c>
      <c r="O5179" t="s">
        <v>24</v>
      </c>
      <c r="P5179" t="s">
        <v>79</v>
      </c>
      <c r="R5179">
        <f>tblDailySchedule[[#This Row],[Capacity Approx]]*'[1]Load Factor Sheet June Acft  '!$B$5</f>
        <v>187.86727272727273</v>
      </c>
      <c r="S5179">
        <f>tblDailySchedule[[#This Row],[Capacity Approx]]*'[1]Load Factor Sheet June Acft  '!$D$5</f>
        <v>203.4218181818182</v>
      </c>
      <c r="T5179" s="22">
        <f>tblDailySchedule[[#This Row],[STD]]</f>
        <v>0.88194444444444442</v>
      </c>
    </row>
    <row r="5180" spans="1:20" hidden="1" x14ac:dyDescent="0.35">
      <c r="A5180" s="11">
        <v>46296</v>
      </c>
      <c r="B5180" s="3">
        <v>4</v>
      </c>
      <c r="C5180" t="s">
        <v>114</v>
      </c>
      <c r="D5180" t="s">
        <v>18</v>
      </c>
      <c r="E5180" s="3">
        <v>26</v>
      </c>
      <c r="F5180" t="s">
        <v>19</v>
      </c>
      <c r="G5180" t="s">
        <v>93</v>
      </c>
      <c r="H5180" t="s">
        <v>31</v>
      </c>
      <c r="I5180" s="12">
        <v>0.86111111111111116</v>
      </c>
      <c r="J5180" t="s">
        <v>94</v>
      </c>
      <c r="K5180" t="s">
        <v>31</v>
      </c>
      <c r="L5180" s="12">
        <v>0.88888888888888884</v>
      </c>
      <c r="M5180" t="s">
        <v>23</v>
      </c>
      <c r="N5180" s="3">
        <v>186</v>
      </c>
      <c r="O5180" t="s">
        <v>24</v>
      </c>
      <c r="P5180" t="s">
        <v>79</v>
      </c>
      <c r="R5180">
        <f>tblDailySchedule[[#This Row],[Capacity Approx]]*'[1]Load Factor Sheet June Acft  '!$B$5</f>
        <v>150.61772727272728</v>
      </c>
      <c r="S5180">
        <f>tblDailySchedule[[#This Row],[Capacity Approx]]*'[1]Load Factor Sheet June Acft  '!$D$5</f>
        <v>163.08818181818182</v>
      </c>
      <c r="T5180" s="22">
        <f>tblDailySchedule[[#This Row],[STD]]</f>
        <v>0.88888888888888884</v>
      </c>
    </row>
    <row r="5181" spans="1:20" hidden="1" x14ac:dyDescent="0.35">
      <c r="A5181" s="11">
        <v>46296</v>
      </c>
      <c r="B5181" s="3">
        <v>4</v>
      </c>
      <c r="C5181" t="s">
        <v>114</v>
      </c>
      <c r="D5181" t="s">
        <v>18</v>
      </c>
      <c r="E5181" s="3">
        <v>27</v>
      </c>
      <c r="F5181" t="s">
        <v>19</v>
      </c>
      <c r="G5181" t="s">
        <v>95</v>
      </c>
      <c r="H5181" t="s">
        <v>21</v>
      </c>
      <c r="I5181" s="12">
        <v>0.86805555555555558</v>
      </c>
      <c r="J5181" t="s">
        <v>96</v>
      </c>
      <c r="K5181" t="s">
        <v>21</v>
      </c>
      <c r="L5181" s="12">
        <v>0.89583333333333337</v>
      </c>
      <c r="M5181" t="s">
        <v>29</v>
      </c>
      <c r="N5181" s="3">
        <v>186</v>
      </c>
      <c r="O5181" t="s">
        <v>24</v>
      </c>
      <c r="P5181" t="s">
        <v>79</v>
      </c>
      <c r="R5181">
        <f>tblDailySchedule[[#This Row],[Capacity Approx]]*'[1]Load Factor Sheet June Acft  '!$B$5</f>
        <v>150.61772727272728</v>
      </c>
      <c r="S5181">
        <f>tblDailySchedule[[#This Row],[Capacity Approx]]*'[1]Load Factor Sheet June Acft  '!$D$5</f>
        <v>163.08818181818182</v>
      </c>
      <c r="T5181" s="22">
        <f>tblDailySchedule[[#This Row],[STD]]</f>
        <v>0.89583333333333337</v>
      </c>
    </row>
    <row r="5182" spans="1:20" hidden="1" x14ac:dyDescent="0.35">
      <c r="A5182" s="11">
        <v>46296</v>
      </c>
      <c r="B5182" s="3">
        <v>4</v>
      </c>
      <c r="C5182" t="s">
        <v>114</v>
      </c>
      <c r="D5182" t="s">
        <v>18</v>
      </c>
      <c r="E5182" s="3">
        <v>28</v>
      </c>
      <c r="F5182" t="s">
        <v>19</v>
      </c>
      <c r="G5182" t="s">
        <v>97</v>
      </c>
      <c r="H5182" t="s">
        <v>49</v>
      </c>
      <c r="I5182" s="12">
        <v>0.90277777777777779</v>
      </c>
      <c r="J5182" t="s">
        <v>97</v>
      </c>
      <c r="K5182" t="s">
        <v>61</v>
      </c>
      <c r="L5182" s="12">
        <v>0.92361111111111116</v>
      </c>
      <c r="M5182" t="s">
        <v>33</v>
      </c>
      <c r="N5182" s="3">
        <v>189</v>
      </c>
      <c r="O5182" t="s">
        <v>24</v>
      </c>
      <c r="P5182" t="s">
        <v>79</v>
      </c>
      <c r="R5182">
        <f>tblDailySchedule[[#This Row],[Capacity Approx]]*'[1]Load Factor Sheet June Acft  '!$B$5</f>
        <v>153.04704545454547</v>
      </c>
      <c r="S5182">
        <f>tblDailySchedule[[#This Row],[Capacity Approx]]*'[1]Load Factor Sheet June Acft  '!$D$5</f>
        <v>165.71863636363636</v>
      </c>
      <c r="T5182" s="22">
        <f>tblDailySchedule[[#This Row],[STD]]</f>
        <v>0.92361111111111116</v>
      </c>
    </row>
    <row r="5183" spans="1:20" hidden="1" x14ac:dyDescent="0.35">
      <c r="A5183" s="11">
        <v>46296</v>
      </c>
      <c r="B5183" s="3">
        <v>4</v>
      </c>
      <c r="C5183" t="s">
        <v>114</v>
      </c>
      <c r="D5183" t="s">
        <v>18</v>
      </c>
      <c r="E5183" s="3">
        <v>29</v>
      </c>
      <c r="F5183" t="s">
        <v>19</v>
      </c>
      <c r="G5183" t="s">
        <v>98</v>
      </c>
      <c r="H5183" t="s">
        <v>21</v>
      </c>
      <c r="I5183" s="12">
        <v>0.92013888888888884</v>
      </c>
      <c r="J5183" t="s">
        <v>99</v>
      </c>
      <c r="K5183" t="s">
        <v>21</v>
      </c>
      <c r="L5183" s="12">
        <v>0.94791666666666663</v>
      </c>
      <c r="M5183" t="s">
        <v>63</v>
      </c>
      <c r="N5183" s="3">
        <v>232</v>
      </c>
      <c r="O5183" t="s">
        <v>24</v>
      </c>
      <c r="P5183" t="s">
        <v>79</v>
      </c>
      <c r="R5183">
        <f>tblDailySchedule[[#This Row],[Capacity Approx]]*'[1]Load Factor Sheet June Acft  '!$B$5</f>
        <v>187.86727272727273</v>
      </c>
      <c r="S5183">
        <f>tblDailySchedule[[#This Row],[Capacity Approx]]*'[1]Load Factor Sheet June Acft  '!$D$5</f>
        <v>203.4218181818182</v>
      </c>
      <c r="T5183" s="22">
        <f>tblDailySchedule[[#This Row],[STD]]</f>
        <v>0.94791666666666663</v>
      </c>
    </row>
    <row r="5184" spans="1:20" hidden="1" x14ac:dyDescent="0.35">
      <c r="A5184" s="11">
        <v>46297</v>
      </c>
      <c r="B5184" s="3">
        <v>5</v>
      </c>
      <c r="C5184" t="s">
        <v>115</v>
      </c>
      <c r="D5184" t="s">
        <v>18</v>
      </c>
      <c r="E5184" s="3">
        <v>2</v>
      </c>
      <c r="F5184" t="s">
        <v>19</v>
      </c>
      <c r="G5184" t="s">
        <v>20</v>
      </c>
      <c r="H5184" t="s">
        <v>21</v>
      </c>
      <c r="I5184" s="12">
        <v>0.31944444444444442</v>
      </c>
      <c r="J5184" t="s">
        <v>22</v>
      </c>
      <c r="K5184" t="s">
        <v>21</v>
      </c>
      <c r="L5184" s="12">
        <v>0.34722222222222221</v>
      </c>
      <c r="M5184" t="s">
        <v>23</v>
      </c>
      <c r="N5184" s="3">
        <v>186</v>
      </c>
      <c r="O5184" t="s">
        <v>24</v>
      </c>
      <c r="P5184" t="s">
        <v>25</v>
      </c>
      <c r="R5184">
        <f>tblDailySchedule[[#This Row],[Capacity Approx]]*'[1]Load Factor Sheet June Acft  '!$B$5</f>
        <v>150.61772727272728</v>
      </c>
      <c r="S5184">
        <f>tblDailySchedule[[#This Row],[Capacity Approx]]*'[1]Load Factor Sheet June Acft  '!$D$5</f>
        <v>163.08818181818182</v>
      </c>
      <c r="T5184" s="22">
        <f>tblDailySchedule[[#This Row],[STD]]</f>
        <v>0.34722222222222221</v>
      </c>
    </row>
    <row r="5185" spans="1:20" hidden="1" x14ac:dyDescent="0.35">
      <c r="A5185" s="11">
        <v>46297</v>
      </c>
      <c r="B5185" s="3">
        <v>5</v>
      </c>
      <c r="C5185" t="s">
        <v>115</v>
      </c>
      <c r="D5185" t="s">
        <v>18</v>
      </c>
      <c r="E5185" s="3">
        <v>3</v>
      </c>
      <c r="F5185" t="s">
        <v>19</v>
      </c>
      <c r="G5185" t="s">
        <v>26</v>
      </c>
      <c r="H5185" t="s">
        <v>27</v>
      </c>
      <c r="I5185" s="12">
        <v>0.3263888888888889</v>
      </c>
      <c r="J5185" t="s">
        <v>28</v>
      </c>
      <c r="K5185" t="s">
        <v>27</v>
      </c>
      <c r="L5185" s="12">
        <v>0.35416666666666669</v>
      </c>
      <c r="M5185" t="s">
        <v>29</v>
      </c>
      <c r="N5185" s="3">
        <v>186</v>
      </c>
      <c r="O5185" t="s">
        <v>24</v>
      </c>
      <c r="P5185" t="s">
        <v>25</v>
      </c>
      <c r="R5185">
        <f>tblDailySchedule[[#This Row],[Capacity Approx]]*'[1]Load Factor Sheet June Acft  '!$B$5</f>
        <v>150.61772727272728</v>
      </c>
      <c r="S5185">
        <f>tblDailySchedule[[#This Row],[Capacity Approx]]*'[1]Load Factor Sheet June Acft  '!$D$5</f>
        <v>163.08818181818182</v>
      </c>
      <c r="T5185" s="22">
        <f>tblDailySchedule[[#This Row],[STD]]</f>
        <v>0.35416666666666669</v>
      </c>
    </row>
    <row r="5186" spans="1:20" hidden="1" x14ac:dyDescent="0.35">
      <c r="A5186" s="11">
        <v>46297</v>
      </c>
      <c r="B5186" s="3">
        <v>5</v>
      </c>
      <c r="C5186" t="s">
        <v>115</v>
      </c>
      <c r="D5186" t="s">
        <v>18</v>
      </c>
      <c r="E5186" s="3">
        <v>4</v>
      </c>
      <c r="F5186" t="s">
        <v>19</v>
      </c>
      <c r="G5186" t="s">
        <v>30</v>
      </c>
      <c r="H5186" t="s">
        <v>31</v>
      </c>
      <c r="I5186" s="12">
        <v>0.34722222222222221</v>
      </c>
      <c r="J5186" t="s">
        <v>32</v>
      </c>
      <c r="K5186" t="s">
        <v>31</v>
      </c>
      <c r="L5186" s="12">
        <v>0.36805555555555558</v>
      </c>
      <c r="M5186" t="s">
        <v>33</v>
      </c>
      <c r="N5186" s="3">
        <v>189</v>
      </c>
      <c r="O5186" t="s">
        <v>24</v>
      </c>
      <c r="P5186" t="s">
        <v>25</v>
      </c>
      <c r="R5186">
        <f>tblDailySchedule[[#This Row],[Capacity Approx]]*'[1]Load Factor Sheet June Acft  '!$B$5</f>
        <v>153.04704545454547</v>
      </c>
      <c r="S5186">
        <f>tblDailySchedule[[#This Row],[Capacity Approx]]*'[1]Load Factor Sheet June Acft  '!$D$5</f>
        <v>165.71863636363636</v>
      </c>
      <c r="T5186" s="22">
        <f>tblDailySchedule[[#This Row],[STD]]</f>
        <v>0.36805555555555558</v>
      </c>
    </row>
    <row r="5187" spans="1:20" hidden="1" x14ac:dyDescent="0.35">
      <c r="A5187" s="13">
        <v>46297</v>
      </c>
      <c r="B5187" s="7">
        <v>5</v>
      </c>
      <c r="C5187" s="14" t="s">
        <v>115</v>
      </c>
      <c r="D5187" s="14" t="s">
        <v>18</v>
      </c>
      <c r="E5187" s="7">
        <v>6</v>
      </c>
      <c r="F5187" s="14" t="s">
        <v>34</v>
      </c>
      <c r="G5187" s="14" t="s">
        <v>35</v>
      </c>
      <c r="H5187" s="14" t="s">
        <v>36</v>
      </c>
      <c r="I5187" s="15">
        <v>0.34722222222222221</v>
      </c>
      <c r="J5187" s="14" t="s">
        <v>37</v>
      </c>
      <c r="K5187" s="14" t="s">
        <v>36</v>
      </c>
      <c r="L5187" s="15">
        <v>0.40972222222222221</v>
      </c>
      <c r="M5187" s="14" t="s">
        <v>38</v>
      </c>
      <c r="N5187" s="7">
        <v>186</v>
      </c>
      <c r="O5187" s="14" t="s">
        <v>39</v>
      </c>
      <c r="P5187" s="14" t="s">
        <v>25</v>
      </c>
      <c r="Q5187" s="14" t="s">
        <v>39</v>
      </c>
      <c r="R5187">
        <f>tblDailySchedule[[#This Row],[Capacity Approx]]*'[1]Load Factor Sheet June Acft  '!$B$5</f>
        <v>150.61772727272728</v>
      </c>
      <c r="S5187">
        <f>tblDailySchedule[[#This Row],[Capacity Approx]]*'[1]Load Factor Sheet June Acft  '!$D$5</f>
        <v>163.08818181818182</v>
      </c>
      <c r="T5187" s="22">
        <f>tblDailySchedule[[#This Row],[STD]]</f>
        <v>0.40972222222222221</v>
      </c>
    </row>
    <row r="5188" spans="1:20" hidden="1" x14ac:dyDescent="0.35">
      <c r="A5188" s="11">
        <v>46297</v>
      </c>
      <c r="B5188" s="3">
        <v>5</v>
      </c>
      <c r="C5188" t="s">
        <v>115</v>
      </c>
      <c r="D5188" t="s">
        <v>18</v>
      </c>
      <c r="E5188" s="3">
        <v>5</v>
      </c>
      <c r="F5188" t="s">
        <v>19</v>
      </c>
      <c r="G5188" t="s">
        <v>40</v>
      </c>
      <c r="H5188" t="s">
        <v>31</v>
      </c>
      <c r="I5188" s="12">
        <v>0.35069444444444442</v>
      </c>
      <c r="J5188" t="s">
        <v>41</v>
      </c>
      <c r="K5188" t="s">
        <v>31</v>
      </c>
      <c r="L5188" s="12">
        <v>0.37152777777777779</v>
      </c>
      <c r="M5188" t="s">
        <v>23</v>
      </c>
      <c r="N5188" s="3">
        <v>186</v>
      </c>
      <c r="O5188" t="s">
        <v>24</v>
      </c>
      <c r="P5188" t="s">
        <v>25</v>
      </c>
      <c r="R5188">
        <f>tblDailySchedule[[#This Row],[Capacity Approx]]*'[1]Load Factor Sheet June Acft  '!$B$5</f>
        <v>150.61772727272728</v>
      </c>
      <c r="S5188">
        <f>tblDailySchedule[[#This Row],[Capacity Approx]]*'[1]Load Factor Sheet June Acft  '!$D$5</f>
        <v>163.08818181818182</v>
      </c>
      <c r="T5188" s="22">
        <f>tblDailySchedule[[#This Row],[STD]]</f>
        <v>0.37152777777777779</v>
      </c>
    </row>
    <row r="5189" spans="1:20" hidden="1" x14ac:dyDescent="0.35">
      <c r="A5189" s="11">
        <v>46297</v>
      </c>
      <c r="B5189" s="3">
        <v>5</v>
      </c>
      <c r="C5189" t="s">
        <v>115</v>
      </c>
      <c r="D5189" t="s">
        <v>18</v>
      </c>
      <c r="E5189" s="3">
        <v>7</v>
      </c>
      <c r="F5189" t="s">
        <v>19</v>
      </c>
      <c r="G5189" t="s">
        <v>42</v>
      </c>
      <c r="H5189" t="s">
        <v>43</v>
      </c>
      <c r="I5189" s="12">
        <v>0.3923611111111111</v>
      </c>
      <c r="J5189" t="s">
        <v>44</v>
      </c>
      <c r="K5189" t="s">
        <v>43</v>
      </c>
      <c r="L5189" s="12">
        <v>0.40277777777777779</v>
      </c>
      <c r="M5189" t="s">
        <v>45</v>
      </c>
      <c r="N5189" s="3">
        <v>9</v>
      </c>
      <c r="O5189" t="s">
        <v>24</v>
      </c>
      <c r="P5189" t="s">
        <v>25</v>
      </c>
      <c r="R5189">
        <f>tblDailySchedule[[#This Row],[Capacity Approx]]*'[1]Load Factor Sheet June Acft  '!$B$5</f>
        <v>7.2879545454545456</v>
      </c>
      <c r="S5189">
        <f>tblDailySchedule[[#This Row],[Capacity Approx]]*'[1]Load Factor Sheet June Acft  '!$D$5</f>
        <v>7.8913636363636366</v>
      </c>
      <c r="T5189" s="22">
        <f>tblDailySchedule[[#This Row],[STD]]</f>
        <v>0.40277777777777779</v>
      </c>
    </row>
    <row r="5190" spans="1:20" hidden="1" x14ac:dyDescent="0.35">
      <c r="A5190" s="11">
        <v>46297</v>
      </c>
      <c r="B5190" s="3">
        <v>5</v>
      </c>
      <c r="C5190" t="s">
        <v>115</v>
      </c>
      <c r="D5190" t="s">
        <v>18</v>
      </c>
      <c r="E5190" s="3">
        <v>8</v>
      </c>
      <c r="F5190" t="s">
        <v>19</v>
      </c>
      <c r="G5190" t="s">
        <v>46</v>
      </c>
      <c r="H5190" t="s">
        <v>31</v>
      </c>
      <c r="I5190" s="12">
        <v>0.4201388888888889</v>
      </c>
      <c r="J5190" t="s">
        <v>47</v>
      </c>
      <c r="K5190" t="s">
        <v>31</v>
      </c>
      <c r="L5190" s="12">
        <v>0.44444444444444442</v>
      </c>
      <c r="M5190" t="s">
        <v>29</v>
      </c>
      <c r="N5190" s="3">
        <v>186</v>
      </c>
      <c r="O5190" t="s">
        <v>24</v>
      </c>
      <c r="P5190" t="s">
        <v>25</v>
      </c>
      <c r="R5190">
        <f>tblDailySchedule[[#This Row],[Capacity Approx]]*'[1]Load Factor Sheet June Acft  '!$B$5</f>
        <v>150.61772727272728</v>
      </c>
      <c r="S5190">
        <f>tblDailySchedule[[#This Row],[Capacity Approx]]*'[1]Load Factor Sheet June Acft  '!$D$5</f>
        <v>163.08818181818182</v>
      </c>
      <c r="T5190" s="22">
        <f>tblDailySchedule[[#This Row],[STD]]</f>
        <v>0.44444444444444442</v>
      </c>
    </row>
    <row r="5191" spans="1:20" hidden="1" x14ac:dyDescent="0.35">
      <c r="A5191" s="11">
        <v>46297</v>
      </c>
      <c r="B5191" s="3">
        <v>5</v>
      </c>
      <c r="C5191" t="s">
        <v>115</v>
      </c>
      <c r="D5191" t="s">
        <v>18</v>
      </c>
      <c r="E5191" s="3">
        <v>9</v>
      </c>
      <c r="F5191" t="s">
        <v>19</v>
      </c>
      <c r="G5191" t="s">
        <v>48</v>
      </c>
      <c r="H5191" t="s">
        <v>49</v>
      </c>
      <c r="I5191" s="12">
        <v>0.4375</v>
      </c>
      <c r="J5191" t="s">
        <v>50</v>
      </c>
      <c r="K5191" t="s">
        <v>49</v>
      </c>
      <c r="L5191" s="12">
        <v>0.45833333333333331</v>
      </c>
      <c r="M5191" t="s">
        <v>51</v>
      </c>
      <c r="N5191" s="3">
        <v>78</v>
      </c>
      <c r="O5191" t="s">
        <v>24</v>
      </c>
      <c r="P5191" t="s">
        <v>25</v>
      </c>
      <c r="R5191">
        <f>tblDailySchedule[[#This Row],[Capacity Approx]]*'[1]Load Factor Sheet June Acft  '!$B$5</f>
        <v>63.162272727272729</v>
      </c>
      <c r="S5191">
        <f>tblDailySchedule[[#This Row],[Capacity Approx]]*'[1]Load Factor Sheet June Acft  '!$D$5</f>
        <v>68.391818181818181</v>
      </c>
      <c r="T5191" s="22">
        <f>tblDailySchedule[[#This Row],[STD]]</f>
        <v>0.45833333333333331</v>
      </c>
    </row>
    <row r="5192" spans="1:20" hidden="1" x14ac:dyDescent="0.35">
      <c r="A5192" s="11">
        <v>46297</v>
      </c>
      <c r="B5192" s="3">
        <v>5</v>
      </c>
      <c r="C5192" t="s">
        <v>115</v>
      </c>
      <c r="D5192" t="s">
        <v>18</v>
      </c>
      <c r="E5192" s="3">
        <v>10</v>
      </c>
      <c r="F5192" t="s">
        <v>19</v>
      </c>
      <c r="G5192" t="s">
        <v>52</v>
      </c>
      <c r="H5192" t="s">
        <v>27</v>
      </c>
      <c r="I5192" s="12">
        <v>0.4826388888888889</v>
      </c>
      <c r="J5192" t="s">
        <v>53</v>
      </c>
      <c r="K5192" t="s">
        <v>27</v>
      </c>
      <c r="L5192" s="12">
        <v>0.51041666666666663</v>
      </c>
      <c r="M5192" t="s">
        <v>23</v>
      </c>
      <c r="N5192" s="3">
        <v>186</v>
      </c>
      <c r="O5192" t="s">
        <v>24</v>
      </c>
      <c r="P5192" t="s">
        <v>25</v>
      </c>
      <c r="R5192">
        <f>tblDailySchedule[[#This Row],[Capacity Approx]]*'[1]Load Factor Sheet June Acft  '!$B$5</f>
        <v>150.61772727272728</v>
      </c>
      <c r="S5192">
        <f>tblDailySchedule[[#This Row],[Capacity Approx]]*'[1]Load Factor Sheet June Acft  '!$D$5</f>
        <v>163.08818181818182</v>
      </c>
      <c r="T5192" s="22">
        <f>tblDailySchedule[[#This Row],[STD]]</f>
        <v>0.51041666666666663</v>
      </c>
    </row>
    <row r="5193" spans="1:20" hidden="1" x14ac:dyDescent="0.35">
      <c r="A5193" s="11">
        <v>46297</v>
      </c>
      <c r="B5193" s="3">
        <v>5</v>
      </c>
      <c r="C5193" t="s">
        <v>115</v>
      </c>
      <c r="D5193" t="s">
        <v>18</v>
      </c>
      <c r="E5193" s="3">
        <v>11</v>
      </c>
      <c r="F5193" t="s">
        <v>19</v>
      </c>
      <c r="G5193" t="s">
        <v>54</v>
      </c>
      <c r="H5193" t="s">
        <v>31</v>
      </c>
      <c r="I5193" s="12">
        <v>0.51388888888888884</v>
      </c>
      <c r="J5193" t="s">
        <v>55</v>
      </c>
      <c r="K5193" t="s">
        <v>31</v>
      </c>
      <c r="L5193" s="12">
        <v>0.54166666666666663</v>
      </c>
      <c r="M5193" t="s">
        <v>23</v>
      </c>
      <c r="N5193" s="3">
        <v>186</v>
      </c>
      <c r="O5193" t="s">
        <v>24</v>
      </c>
      <c r="P5193" t="s">
        <v>56</v>
      </c>
      <c r="R5193">
        <f>tblDailySchedule[[#This Row],[Capacity Approx]]*'[1]Load Factor Sheet June Acft  '!$B$5</f>
        <v>150.61772727272728</v>
      </c>
      <c r="S5193">
        <f>tblDailySchedule[[#This Row],[Capacity Approx]]*'[1]Load Factor Sheet June Acft  '!$D$5</f>
        <v>163.08818181818182</v>
      </c>
      <c r="T5193" s="22">
        <f>tblDailySchedule[[#This Row],[STD]]</f>
        <v>0.54166666666666663</v>
      </c>
    </row>
    <row r="5194" spans="1:20" hidden="1" x14ac:dyDescent="0.35">
      <c r="A5194" s="11">
        <v>46297</v>
      </c>
      <c r="B5194" s="3">
        <v>5</v>
      </c>
      <c r="C5194" t="s">
        <v>115</v>
      </c>
      <c r="D5194" t="s">
        <v>18</v>
      </c>
      <c r="E5194" s="3">
        <v>13</v>
      </c>
      <c r="F5194" t="s">
        <v>19</v>
      </c>
      <c r="G5194" t="s">
        <v>57</v>
      </c>
      <c r="H5194" t="s">
        <v>58</v>
      </c>
      <c r="I5194" s="12">
        <v>0.55902777777777779</v>
      </c>
      <c r="J5194" t="s">
        <v>59</v>
      </c>
      <c r="K5194" t="s">
        <v>58</v>
      </c>
      <c r="L5194" s="12">
        <v>0.57638888888888884</v>
      </c>
      <c r="M5194" t="s">
        <v>51</v>
      </c>
      <c r="N5194" s="3">
        <v>78</v>
      </c>
      <c r="O5194" t="s">
        <v>24</v>
      </c>
      <c r="P5194" t="s">
        <v>56</v>
      </c>
      <c r="R5194">
        <f>tblDailySchedule[[#This Row],[Capacity Approx]]*'[1]Load Factor Sheet June Acft  '!$B$5</f>
        <v>63.162272727272729</v>
      </c>
      <c r="S5194">
        <f>tblDailySchedule[[#This Row],[Capacity Approx]]*'[1]Load Factor Sheet June Acft  '!$D$5</f>
        <v>68.391818181818181</v>
      </c>
      <c r="T5194" s="22">
        <f>tblDailySchedule[[#This Row],[STD]]</f>
        <v>0.57638888888888884</v>
      </c>
    </row>
    <row r="5195" spans="1:20" hidden="1" x14ac:dyDescent="0.35">
      <c r="A5195" s="11">
        <v>46297</v>
      </c>
      <c r="B5195" s="3">
        <v>5</v>
      </c>
      <c r="C5195" t="s">
        <v>115</v>
      </c>
      <c r="D5195" t="s">
        <v>18</v>
      </c>
      <c r="E5195" s="3">
        <v>14</v>
      </c>
      <c r="F5195" t="s">
        <v>19</v>
      </c>
      <c r="G5195" t="s">
        <v>60</v>
      </c>
      <c r="H5195" t="s">
        <v>61</v>
      </c>
      <c r="I5195" s="12">
        <v>0.59027777777777779</v>
      </c>
      <c r="J5195" t="s">
        <v>62</v>
      </c>
      <c r="K5195" t="s">
        <v>61</v>
      </c>
      <c r="L5195" s="12">
        <v>0.62152777777777779</v>
      </c>
      <c r="M5195" t="s">
        <v>63</v>
      </c>
      <c r="N5195" s="3">
        <v>232</v>
      </c>
      <c r="O5195" t="s">
        <v>24</v>
      </c>
      <c r="P5195" t="s">
        <v>56</v>
      </c>
      <c r="R5195">
        <f>tblDailySchedule[[#This Row],[Capacity Approx]]*'[1]Load Factor Sheet June Acft  '!$B$5</f>
        <v>187.86727272727273</v>
      </c>
      <c r="S5195">
        <f>tblDailySchedule[[#This Row],[Capacity Approx]]*'[1]Load Factor Sheet June Acft  '!$D$5</f>
        <v>203.4218181818182</v>
      </c>
      <c r="T5195" s="22">
        <f>tblDailySchedule[[#This Row],[STD]]</f>
        <v>0.62152777777777779</v>
      </c>
    </row>
    <row r="5196" spans="1:20" hidden="1" x14ac:dyDescent="0.35">
      <c r="A5196" s="11">
        <v>46297</v>
      </c>
      <c r="B5196" s="3">
        <v>5</v>
      </c>
      <c r="C5196" t="s">
        <v>115</v>
      </c>
      <c r="D5196" t="s">
        <v>18</v>
      </c>
      <c r="E5196" s="3">
        <v>15</v>
      </c>
      <c r="F5196" t="s">
        <v>19</v>
      </c>
      <c r="G5196" t="s">
        <v>64</v>
      </c>
      <c r="H5196" t="s">
        <v>31</v>
      </c>
      <c r="I5196" s="12">
        <v>0.60069444444444442</v>
      </c>
      <c r="J5196" t="s">
        <v>65</v>
      </c>
      <c r="K5196" t="s">
        <v>66</v>
      </c>
      <c r="L5196" s="12">
        <v>0.62847222222222221</v>
      </c>
      <c r="M5196" t="s">
        <v>63</v>
      </c>
      <c r="N5196" s="3">
        <v>232</v>
      </c>
      <c r="O5196" t="s">
        <v>24</v>
      </c>
      <c r="P5196" t="s">
        <v>56</v>
      </c>
      <c r="R5196">
        <f>tblDailySchedule[[#This Row],[Capacity Approx]]*'[1]Load Factor Sheet June Acft  '!$B$5</f>
        <v>187.86727272727273</v>
      </c>
      <c r="S5196">
        <f>tblDailySchedule[[#This Row],[Capacity Approx]]*'[1]Load Factor Sheet June Acft  '!$D$5</f>
        <v>203.4218181818182</v>
      </c>
      <c r="T5196" s="22">
        <f>tblDailySchedule[[#This Row],[STD]]</f>
        <v>0.62847222222222221</v>
      </c>
    </row>
    <row r="5197" spans="1:20" hidden="1" x14ac:dyDescent="0.35">
      <c r="A5197" s="11">
        <v>46297</v>
      </c>
      <c r="B5197" s="3">
        <v>5</v>
      </c>
      <c r="C5197" t="s">
        <v>115</v>
      </c>
      <c r="D5197" t="s">
        <v>18</v>
      </c>
      <c r="E5197" s="3">
        <v>16</v>
      </c>
      <c r="F5197" t="s">
        <v>19</v>
      </c>
      <c r="G5197" t="s">
        <v>67</v>
      </c>
      <c r="H5197" t="s">
        <v>31</v>
      </c>
      <c r="I5197" s="12">
        <v>0.65625</v>
      </c>
      <c r="J5197" t="s">
        <v>68</v>
      </c>
      <c r="K5197" t="s">
        <v>31</v>
      </c>
      <c r="L5197" s="12">
        <v>0.68402777777777779</v>
      </c>
      <c r="M5197" t="s">
        <v>63</v>
      </c>
      <c r="N5197" s="3">
        <v>232</v>
      </c>
      <c r="O5197" t="s">
        <v>24</v>
      </c>
      <c r="P5197" t="s">
        <v>56</v>
      </c>
      <c r="R5197">
        <f>tblDailySchedule[[#This Row],[Capacity Approx]]*'[1]Load Factor Sheet June Acft  '!$B$5</f>
        <v>187.86727272727273</v>
      </c>
      <c r="S5197">
        <f>tblDailySchedule[[#This Row],[Capacity Approx]]*'[1]Load Factor Sheet June Acft  '!$D$5</f>
        <v>203.4218181818182</v>
      </c>
      <c r="T5197" s="22">
        <f>tblDailySchedule[[#This Row],[STD]]</f>
        <v>0.68402777777777779</v>
      </c>
    </row>
    <row r="5198" spans="1:20" hidden="1" x14ac:dyDescent="0.35">
      <c r="A5198" s="11">
        <v>46297</v>
      </c>
      <c r="B5198" s="3">
        <v>5</v>
      </c>
      <c r="C5198" t="s">
        <v>115</v>
      </c>
      <c r="D5198" t="s">
        <v>18</v>
      </c>
      <c r="E5198" s="3">
        <v>17</v>
      </c>
      <c r="F5198" t="s">
        <v>19</v>
      </c>
      <c r="G5198" t="s">
        <v>69</v>
      </c>
      <c r="H5198" t="s">
        <v>31</v>
      </c>
      <c r="I5198" s="12">
        <v>0.66319444444444442</v>
      </c>
      <c r="J5198" t="s">
        <v>70</v>
      </c>
      <c r="K5198" t="s">
        <v>31</v>
      </c>
      <c r="L5198" s="12">
        <v>0.69097222222222221</v>
      </c>
      <c r="M5198" t="s">
        <v>33</v>
      </c>
      <c r="N5198" s="3">
        <v>189</v>
      </c>
      <c r="O5198" t="s">
        <v>24</v>
      </c>
      <c r="P5198" t="s">
        <v>56</v>
      </c>
      <c r="R5198">
        <f>tblDailySchedule[[#This Row],[Capacity Approx]]*'[1]Load Factor Sheet June Acft  '!$B$5</f>
        <v>153.04704545454547</v>
      </c>
      <c r="S5198">
        <f>tblDailySchedule[[#This Row],[Capacity Approx]]*'[1]Load Factor Sheet June Acft  '!$D$5</f>
        <v>165.71863636363636</v>
      </c>
      <c r="T5198" s="22">
        <f>tblDailySchedule[[#This Row],[STD]]</f>
        <v>0.69097222222222221</v>
      </c>
    </row>
    <row r="5199" spans="1:20" hidden="1" x14ac:dyDescent="0.35">
      <c r="A5199" s="11">
        <v>46297</v>
      </c>
      <c r="B5199" s="3">
        <v>5</v>
      </c>
      <c r="C5199" t="s">
        <v>115</v>
      </c>
      <c r="D5199" t="s">
        <v>18</v>
      </c>
      <c r="E5199" s="3">
        <v>18</v>
      </c>
      <c r="F5199" t="s">
        <v>19</v>
      </c>
      <c r="G5199" t="s">
        <v>71</v>
      </c>
      <c r="H5199" t="s">
        <v>21</v>
      </c>
      <c r="I5199" s="12">
        <v>0.67013888888888884</v>
      </c>
      <c r="J5199" t="s">
        <v>72</v>
      </c>
      <c r="K5199" t="s">
        <v>21</v>
      </c>
      <c r="L5199" s="12">
        <v>0.69791666666666663</v>
      </c>
      <c r="M5199" t="s">
        <v>63</v>
      </c>
      <c r="N5199" s="3">
        <v>232</v>
      </c>
      <c r="O5199" t="s">
        <v>24</v>
      </c>
      <c r="P5199" t="s">
        <v>56</v>
      </c>
      <c r="R5199">
        <f>tblDailySchedule[[#This Row],[Capacity Approx]]*'[1]Load Factor Sheet June Acft  '!$B$5</f>
        <v>187.86727272727273</v>
      </c>
      <c r="S5199">
        <f>tblDailySchedule[[#This Row],[Capacity Approx]]*'[1]Load Factor Sheet June Acft  '!$D$5</f>
        <v>203.4218181818182</v>
      </c>
      <c r="T5199" s="22">
        <f>tblDailySchedule[[#This Row],[STD]]</f>
        <v>0.69791666666666663</v>
      </c>
    </row>
    <row r="5200" spans="1:20" hidden="1" x14ac:dyDescent="0.35">
      <c r="A5200" s="11">
        <v>46297</v>
      </c>
      <c r="B5200" s="3">
        <v>5</v>
      </c>
      <c r="C5200" t="s">
        <v>115</v>
      </c>
      <c r="D5200" t="s">
        <v>18</v>
      </c>
      <c r="E5200" s="3">
        <v>19</v>
      </c>
      <c r="F5200" t="s">
        <v>19</v>
      </c>
      <c r="G5200" t="s">
        <v>73</v>
      </c>
      <c r="H5200" t="s">
        <v>27</v>
      </c>
      <c r="I5200" s="12">
        <v>0.74652777777777779</v>
      </c>
      <c r="J5200" t="s">
        <v>74</v>
      </c>
      <c r="K5200" t="s">
        <v>27</v>
      </c>
      <c r="L5200" s="12">
        <v>0.77430555555555558</v>
      </c>
      <c r="M5200" t="s">
        <v>63</v>
      </c>
      <c r="N5200" s="3">
        <v>232</v>
      </c>
      <c r="O5200" t="s">
        <v>24</v>
      </c>
      <c r="P5200" t="s">
        <v>56</v>
      </c>
      <c r="R5200">
        <f>tblDailySchedule[[#This Row],[Capacity Approx]]*'[1]Load Factor Sheet June Acft  '!$B$5</f>
        <v>187.86727272727273</v>
      </c>
      <c r="S5200">
        <f>tblDailySchedule[[#This Row],[Capacity Approx]]*'[1]Load Factor Sheet June Acft  '!$D$5</f>
        <v>203.4218181818182</v>
      </c>
      <c r="T5200" s="22">
        <f>tblDailySchedule[[#This Row],[STD]]</f>
        <v>0.77430555555555558</v>
      </c>
    </row>
    <row r="5201" spans="1:20" hidden="1" x14ac:dyDescent="0.35">
      <c r="A5201" s="11">
        <v>46297</v>
      </c>
      <c r="B5201" s="3">
        <v>5</v>
      </c>
      <c r="C5201" t="s">
        <v>115</v>
      </c>
      <c r="D5201" t="s">
        <v>18</v>
      </c>
      <c r="E5201" s="3">
        <v>20</v>
      </c>
      <c r="F5201" t="s">
        <v>34</v>
      </c>
      <c r="G5201" t="s">
        <v>75</v>
      </c>
      <c r="H5201" t="s">
        <v>76</v>
      </c>
      <c r="I5201" s="12">
        <v>0.76388888888888884</v>
      </c>
      <c r="J5201" t="s">
        <v>77</v>
      </c>
      <c r="K5201" t="s">
        <v>78</v>
      </c>
      <c r="L5201" s="12">
        <v>0.78472222222222221</v>
      </c>
      <c r="M5201" t="s">
        <v>51</v>
      </c>
      <c r="N5201" s="3">
        <v>78</v>
      </c>
      <c r="O5201" t="s">
        <v>24</v>
      </c>
      <c r="P5201" t="s">
        <v>79</v>
      </c>
      <c r="Q5201" s="16" t="s">
        <v>80</v>
      </c>
      <c r="R5201">
        <f>tblDailySchedule[[#This Row],[Capacity Approx]]*'[1]Load Factor Sheet June Acft  '!$B$5</f>
        <v>63.162272727272729</v>
      </c>
      <c r="S5201">
        <f>tblDailySchedule[[#This Row],[Capacity Approx]]*'[1]Load Factor Sheet June Acft  '!$D$5</f>
        <v>68.391818181818181</v>
      </c>
      <c r="T5201" s="22">
        <f>tblDailySchedule[[#This Row],[STD]]</f>
        <v>0.78472222222222221</v>
      </c>
    </row>
    <row r="5202" spans="1:20" hidden="1" x14ac:dyDescent="0.35">
      <c r="A5202" s="11">
        <v>46297</v>
      </c>
      <c r="B5202" s="3">
        <v>5</v>
      </c>
      <c r="C5202" t="s">
        <v>115</v>
      </c>
      <c r="D5202" t="s">
        <v>18</v>
      </c>
      <c r="E5202" s="3">
        <v>21</v>
      </c>
      <c r="F5202" t="s">
        <v>19</v>
      </c>
      <c r="G5202" t="s">
        <v>81</v>
      </c>
      <c r="H5202" t="s">
        <v>61</v>
      </c>
      <c r="I5202" s="12">
        <v>0.77083333333333337</v>
      </c>
      <c r="J5202" t="s">
        <v>82</v>
      </c>
      <c r="K5202" t="s">
        <v>49</v>
      </c>
      <c r="L5202" s="12">
        <v>0.79166666666666663</v>
      </c>
      <c r="M5202" t="s">
        <v>33</v>
      </c>
      <c r="N5202" s="3">
        <v>189</v>
      </c>
      <c r="O5202" t="s">
        <v>24</v>
      </c>
      <c r="P5202" t="s">
        <v>79</v>
      </c>
      <c r="R5202">
        <f>tblDailySchedule[[#This Row],[Capacity Approx]]*'[1]Load Factor Sheet June Acft  '!$B$5</f>
        <v>153.04704545454547</v>
      </c>
      <c r="S5202">
        <f>tblDailySchedule[[#This Row],[Capacity Approx]]*'[1]Load Factor Sheet June Acft  '!$D$5</f>
        <v>165.71863636363636</v>
      </c>
      <c r="T5202" s="22">
        <f>tblDailySchedule[[#This Row],[STD]]</f>
        <v>0.79166666666666663</v>
      </c>
    </row>
    <row r="5203" spans="1:20" hidden="1" x14ac:dyDescent="0.35">
      <c r="A5203" s="11">
        <v>46297</v>
      </c>
      <c r="B5203" s="3">
        <v>5</v>
      </c>
      <c r="C5203" t="s">
        <v>115</v>
      </c>
      <c r="D5203" t="s">
        <v>18</v>
      </c>
      <c r="E5203" s="3">
        <v>22</v>
      </c>
      <c r="F5203" t="s">
        <v>19</v>
      </c>
      <c r="G5203" t="s">
        <v>83</v>
      </c>
      <c r="H5203" t="s">
        <v>31</v>
      </c>
      <c r="I5203" s="12">
        <v>0.77777777777777779</v>
      </c>
      <c r="J5203" t="s">
        <v>84</v>
      </c>
      <c r="K5203" t="s">
        <v>31</v>
      </c>
      <c r="L5203" s="12">
        <v>0.80555555555555558</v>
      </c>
      <c r="M5203" t="s">
        <v>63</v>
      </c>
      <c r="N5203" s="3">
        <v>232</v>
      </c>
      <c r="O5203" t="s">
        <v>24</v>
      </c>
      <c r="P5203" t="s">
        <v>79</v>
      </c>
      <c r="R5203">
        <f>tblDailySchedule[[#This Row],[Capacity Approx]]*'[1]Load Factor Sheet June Acft  '!$B$5</f>
        <v>187.86727272727273</v>
      </c>
      <c r="S5203">
        <f>tblDailySchedule[[#This Row],[Capacity Approx]]*'[1]Load Factor Sheet June Acft  '!$D$5</f>
        <v>203.4218181818182</v>
      </c>
      <c r="T5203" s="22">
        <f>tblDailySchedule[[#This Row],[STD]]</f>
        <v>0.80555555555555558</v>
      </c>
    </row>
    <row r="5204" spans="1:20" hidden="1" x14ac:dyDescent="0.35">
      <c r="A5204" s="11">
        <v>46297</v>
      </c>
      <c r="B5204" s="3">
        <v>5</v>
      </c>
      <c r="C5204" t="s">
        <v>115</v>
      </c>
      <c r="D5204" t="s">
        <v>18</v>
      </c>
      <c r="E5204" s="3">
        <v>23</v>
      </c>
      <c r="F5204" t="s">
        <v>19</v>
      </c>
      <c r="G5204" t="s">
        <v>85</v>
      </c>
      <c r="H5204" t="s">
        <v>86</v>
      </c>
      <c r="I5204" s="12">
        <v>0.79861111111111116</v>
      </c>
      <c r="J5204" t="s">
        <v>87</v>
      </c>
      <c r="K5204" t="s">
        <v>86</v>
      </c>
      <c r="L5204" s="12">
        <v>0.82638888888888884</v>
      </c>
      <c r="M5204" t="s">
        <v>63</v>
      </c>
      <c r="N5204" s="3">
        <v>232</v>
      </c>
      <c r="O5204" t="s">
        <v>24</v>
      </c>
      <c r="P5204" t="s">
        <v>79</v>
      </c>
      <c r="R5204">
        <f>tblDailySchedule[[#This Row],[Capacity Approx]]*'[1]Load Factor Sheet June Acft  '!$B$5</f>
        <v>187.86727272727273</v>
      </c>
      <c r="S5204">
        <f>tblDailySchedule[[#This Row],[Capacity Approx]]*'[1]Load Factor Sheet June Acft  '!$D$5</f>
        <v>203.4218181818182</v>
      </c>
      <c r="T5204" s="22">
        <f>tblDailySchedule[[#This Row],[STD]]</f>
        <v>0.82638888888888884</v>
      </c>
    </row>
    <row r="5205" spans="1:20" hidden="1" x14ac:dyDescent="0.35">
      <c r="A5205" s="11">
        <v>46297</v>
      </c>
      <c r="B5205" s="3">
        <v>5</v>
      </c>
      <c r="C5205" t="s">
        <v>115</v>
      </c>
      <c r="D5205" t="s">
        <v>18</v>
      </c>
      <c r="E5205" s="3">
        <v>24</v>
      </c>
      <c r="F5205" t="s">
        <v>19</v>
      </c>
      <c r="G5205" t="s">
        <v>88</v>
      </c>
      <c r="H5205" t="s">
        <v>89</v>
      </c>
      <c r="I5205" s="12">
        <v>0.83333333333333337</v>
      </c>
      <c r="J5205" t="s">
        <v>90</v>
      </c>
      <c r="K5205" t="s">
        <v>31</v>
      </c>
      <c r="L5205" s="12">
        <v>0.86111111111111116</v>
      </c>
      <c r="M5205" t="s">
        <v>63</v>
      </c>
      <c r="N5205" s="3">
        <v>232</v>
      </c>
      <c r="O5205" t="s">
        <v>24</v>
      </c>
      <c r="P5205" t="s">
        <v>79</v>
      </c>
      <c r="R5205">
        <f>tblDailySchedule[[#This Row],[Capacity Approx]]*'[1]Load Factor Sheet June Acft  '!$B$5</f>
        <v>187.86727272727273</v>
      </c>
      <c r="S5205">
        <f>tblDailySchedule[[#This Row],[Capacity Approx]]*'[1]Load Factor Sheet June Acft  '!$D$5</f>
        <v>203.4218181818182</v>
      </c>
      <c r="T5205" s="22">
        <f>tblDailySchedule[[#This Row],[STD]]</f>
        <v>0.86111111111111116</v>
      </c>
    </row>
    <row r="5206" spans="1:20" hidden="1" x14ac:dyDescent="0.35">
      <c r="A5206" s="11">
        <v>46297</v>
      </c>
      <c r="B5206" s="3">
        <v>5</v>
      </c>
      <c r="C5206" t="s">
        <v>115</v>
      </c>
      <c r="D5206" t="s">
        <v>18</v>
      </c>
      <c r="E5206" s="3">
        <v>25</v>
      </c>
      <c r="F5206" t="s">
        <v>19</v>
      </c>
      <c r="G5206" t="s">
        <v>91</v>
      </c>
      <c r="H5206" t="s">
        <v>61</v>
      </c>
      <c r="I5206" s="12">
        <v>0.85416666666666663</v>
      </c>
      <c r="J5206" t="s">
        <v>92</v>
      </c>
      <c r="K5206" t="s">
        <v>61</v>
      </c>
      <c r="L5206" s="12">
        <v>0.88194444444444442</v>
      </c>
      <c r="M5206" t="s">
        <v>63</v>
      </c>
      <c r="N5206" s="3">
        <v>232</v>
      </c>
      <c r="O5206" t="s">
        <v>24</v>
      </c>
      <c r="P5206" t="s">
        <v>79</v>
      </c>
      <c r="R5206">
        <f>tblDailySchedule[[#This Row],[Capacity Approx]]*'[1]Load Factor Sheet June Acft  '!$B$5</f>
        <v>187.86727272727273</v>
      </c>
      <c r="S5206">
        <f>tblDailySchedule[[#This Row],[Capacity Approx]]*'[1]Load Factor Sheet June Acft  '!$D$5</f>
        <v>203.4218181818182</v>
      </c>
      <c r="T5206" s="22">
        <f>tblDailySchedule[[#This Row],[STD]]</f>
        <v>0.88194444444444442</v>
      </c>
    </row>
    <row r="5207" spans="1:20" hidden="1" x14ac:dyDescent="0.35">
      <c r="A5207" s="11">
        <v>46297</v>
      </c>
      <c r="B5207" s="3">
        <v>5</v>
      </c>
      <c r="C5207" t="s">
        <v>115</v>
      </c>
      <c r="D5207" t="s">
        <v>18</v>
      </c>
      <c r="E5207" s="3">
        <v>26</v>
      </c>
      <c r="F5207" t="s">
        <v>19</v>
      </c>
      <c r="G5207" t="s">
        <v>93</v>
      </c>
      <c r="H5207" t="s">
        <v>31</v>
      </c>
      <c r="I5207" s="12">
        <v>0.86111111111111116</v>
      </c>
      <c r="J5207" t="s">
        <v>94</v>
      </c>
      <c r="K5207" t="s">
        <v>31</v>
      </c>
      <c r="L5207" s="12">
        <v>0.88888888888888884</v>
      </c>
      <c r="M5207" t="s">
        <v>23</v>
      </c>
      <c r="N5207" s="3">
        <v>186</v>
      </c>
      <c r="O5207" t="s">
        <v>24</v>
      </c>
      <c r="P5207" t="s">
        <v>79</v>
      </c>
      <c r="R5207">
        <f>tblDailySchedule[[#This Row],[Capacity Approx]]*'[1]Load Factor Sheet June Acft  '!$B$5</f>
        <v>150.61772727272728</v>
      </c>
      <c r="S5207">
        <f>tblDailySchedule[[#This Row],[Capacity Approx]]*'[1]Load Factor Sheet June Acft  '!$D$5</f>
        <v>163.08818181818182</v>
      </c>
      <c r="T5207" s="22">
        <f>tblDailySchedule[[#This Row],[STD]]</f>
        <v>0.88888888888888884</v>
      </c>
    </row>
    <row r="5208" spans="1:20" hidden="1" x14ac:dyDescent="0.35">
      <c r="A5208" s="11">
        <v>46297</v>
      </c>
      <c r="B5208" s="3">
        <v>5</v>
      </c>
      <c r="C5208" t="s">
        <v>115</v>
      </c>
      <c r="D5208" t="s">
        <v>18</v>
      </c>
      <c r="E5208" s="3">
        <v>27</v>
      </c>
      <c r="F5208" t="s">
        <v>19</v>
      </c>
      <c r="G5208" t="s">
        <v>95</v>
      </c>
      <c r="H5208" t="s">
        <v>21</v>
      </c>
      <c r="I5208" s="12">
        <v>0.86805555555555558</v>
      </c>
      <c r="J5208" t="s">
        <v>96</v>
      </c>
      <c r="K5208" t="s">
        <v>21</v>
      </c>
      <c r="L5208" s="12">
        <v>0.89583333333333337</v>
      </c>
      <c r="M5208" t="s">
        <v>29</v>
      </c>
      <c r="N5208" s="3">
        <v>186</v>
      </c>
      <c r="O5208" t="s">
        <v>24</v>
      </c>
      <c r="P5208" t="s">
        <v>79</v>
      </c>
      <c r="R5208">
        <f>tblDailySchedule[[#This Row],[Capacity Approx]]*'[1]Load Factor Sheet June Acft  '!$B$5</f>
        <v>150.61772727272728</v>
      </c>
      <c r="S5208">
        <f>tblDailySchedule[[#This Row],[Capacity Approx]]*'[1]Load Factor Sheet June Acft  '!$D$5</f>
        <v>163.08818181818182</v>
      </c>
      <c r="T5208" s="22">
        <f>tblDailySchedule[[#This Row],[STD]]</f>
        <v>0.89583333333333337</v>
      </c>
    </row>
    <row r="5209" spans="1:20" hidden="1" x14ac:dyDescent="0.35">
      <c r="A5209" s="11">
        <v>46297</v>
      </c>
      <c r="B5209" s="3">
        <v>5</v>
      </c>
      <c r="C5209" t="s">
        <v>115</v>
      </c>
      <c r="D5209" t="s">
        <v>18</v>
      </c>
      <c r="E5209" s="3">
        <v>28</v>
      </c>
      <c r="F5209" t="s">
        <v>19</v>
      </c>
      <c r="G5209" t="s">
        <v>97</v>
      </c>
      <c r="H5209" t="s">
        <v>49</v>
      </c>
      <c r="I5209" s="12">
        <v>0.90277777777777779</v>
      </c>
      <c r="J5209" t="s">
        <v>97</v>
      </c>
      <c r="K5209" t="s">
        <v>61</v>
      </c>
      <c r="L5209" s="12">
        <v>0.92361111111111116</v>
      </c>
      <c r="M5209" t="s">
        <v>33</v>
      </c>
      <c r="N5209" s="3">
        <v>189</v>
      </c>
      <c r="O5209" t="s">
        <v>24</v>
      </c>
      <c r="P5209" t="s">
        <v>79</v>
      </c>
      <c r="R5209">
        <f>tblDailySchedule[[#This Row],[Capacity Approx]]*'[1]Load Factor Sheet June Acft  '!$B$5</f>
        <v>153.04704545454547</v>
      </c>
      <c r="S5209">
        <f>tblDailySchedule[[#This Row],[Capacity Approx]]*'[1]Load Factor Sheet June Acft  '!$D$5</f>
        <v>165.71863636363636</v>
      </c>
      <c r="T5209" s="22">
        <f>tblDailySchedule[[#This Row],[STD]]</f>
        <v>0.92361111111111116</v>
      </c>
    </row>
    <row r="5210" spans="1:20" hidden="1" x14ac:dyDescent="0.35">
      <c r="A5210" s="11">
        <v>46297</v>
      </c>
      <c r="B5210" s="3">
        <v>5</v>
      </c>
      <c r="C5210" t="s">
        <v>115</v>
      </c>
      <c r="D5210" t="s">
        <v>18</v>
      </c>
      <c r="E5210" s="3">
        <v>29</v>
      </c>
      <c r="F5210" t="s">
        <v>19</v>
      </c>
      <c r="G5210" t="s">
        <v>98</v>
      </c>
      <c r="H5210" t="s">
        <v>21</v>
      </c>
      <c r="I5210" s="12">
        <v>0.92013888888888884</v>
      </c>
      <c r="J5210" t="s">
        <v>99</v>
      </c>
      <c r="K5210" t="s">
        <v>21</v>
      </c>
      <c r="L5210" s="12">
        <v>0.94791666666666663</v>
      </c>
      <c r="M5210" t="s">
        <v>63</v>
      </c>
      <c r="N5210" s="3">
        <v>232</v>
      </c>
      <c r="O5210" t="s">
        <v>24</v>
      </c>
      <c r="P5210" t="s">
        <v>79</v>
      </c>
      <c r="R5210">
        <f>tblDailySchedule[[#This Row],[Capacity Approx]]*'[1]Load Factor Sheet June Acft  '!$B$5</f>
        <v>187.86727272727273</v>
      </c>
      <c r="S5210">
        <f>tblDailySchedule[[#This Row],[Capacity Approx]]*'[1]Load Factor Sheet June Acft  '!$D$5</f>
        <v>203.4218181818182</v>
      </c>
      <c r="T5210" s="22">
        <f>tblDailySchedule[[#This Row],[STD]]</f>
        <v>0.94791666666666663</v>
      </c>
    </row>
    <row r="5211" spans="1:20" hidden="1" x14ac:dyDescent="0.35">
      <c r="A5211" s="13">
        <v>46297</v>
      </c>
      <c r="B5211" s="7">
        <v>5</v>
      </c>
      <c r="C5211" s="14" t="s">
        <v>115</v>
      </c>
      <c r="D5211" s="14" t="s">
        <v>18</v>
      </c>
      <c r="E5211" s="7">
        <v>30</v>
      </c>
      <c r="F5211" s="14" t="s">
        <v>104</v>
      </c>
      <c r="G5211" s="14" t="s">
        <v>105</v>
      </c>
      <c r="H5211" s="14" t="s">
        <v>106</v>
      </c>
      <c r="I5211" s="15">
        <v>0.92708333333333337</v>
      </c>
      <c r="J5211" s="14" t="s">
        <v>107</v>
      </c>
      <c r="K5211" s="14" t="s">
        <v>106</v>
      </c>
      <c r="L5211" s="15">
        <v>0.95833333333333337</v>
      </c>
      <c r="M5211" s="14" t="s">
        <v>38</v>
      </c>
      <c r="N5211" s="7">
        <v>186</v>
      </c>
      <c r="O5211" s="14" t="s">
        <v>39</v>
      </c>
      <c r="P5211" s="14" t="s">
        <v>79</v>
      </c>
      <c r="Q5211" s="14" t="s">
        <v>39</v>
      </c>
      <c r="R5211">
        <f>tblDailySchedule[[#This Row],[Capacity Approx]]*'[1]Load Factor Sheet June Acft  '!$B$5</f>
        <v>150.61772727272728</v>
      </c>
      <c r="S5211">
        <f>tblDailySchedule[[#This Row],[Capacity Approx]]*'[1]Load Factor Sheet June Acft  '!$D$5</f>
        <v>163.08818181818182</v>
      </c>
      <c r="T5211" s="22">
        <f>tblDailySchedule[[#This Row],[STD]]</f>
        <v>0.95833333333333337</v>
      </c>
    </row>
    <row r="5212" spans="1:20" hidden="1" x14ac:dyDescent="0.35">
      <c r="A5212" s="11">
        <v>46298</v>
      </c>
      <c r="B5212" s="3">
        <v>6</v>
      </c>
      <c r="C5212" t="s">
        <v>116</v>
      </c>
      <c r="D5212" t="s">
        <v>18</v>
      </c>
      <c r="E5212" s="3">
        <v>1</v>
      </c>
      <c r="F5212" t="s">
        <v>101</v>
      </c>
      <c r="G5212" t="s">
        <v>102</v>
      </c>
      <c r="H5212" t="s">
        <v>61</v>
      </c>
      <c r="I5212" s="12">
        <v>0.3125</v>
      </c>
      <c r="J5212" t="s">
        <v>103</v>
      </c>
      <c r="K5212" t="s">
        <v>61</v>
      </c>
      <c r="L5212" s="12">
        <v>0.33333333333333331</v>
      </c>
      <c r="M5212" t="s">
        <v>33</v>
      </c>
      <c r="N5212" s="3">
        <v>189</v>
      </c>
      <c r="O5212" t="s">
        <v>24</v>
      </c>
      <c r="P5212" t="s">
        <v>25</v>
      </c>
      <c r="R5212">
        <f>tblDailySchedule[[#This Row],[Capacity Approx]]*'[1]Load Factor Sheet June Acft  '!$B$5</f>
        <v>153.04704545454547</v>
      </c>
      <c r="S5212">
        <f>tblDailySchedule[[#This Row],[Capacity Approx]]*'[1]Load Factor Sheet June Acft  '!$D$5</f>
        <v>165.71863636363636</v>
      </c>
      <c r="T5212" s="22">
        <f>tblDailySchedule[[#This Row],[STD]]</f>
        <v>0.33333333333333331</v>
      </c>
    </row>
    <row r="5213" spans="1:20" hidden="1" x14ac:dyDescent="0.35">
      <c r="A5213" s="11">
        <v>46298</v>
      </c>
      <c r="B5213" s="3">
        <v>6</v>
      </c>
      <c r="C5213" t="s">
        <v>116</v>
      </c>
      <c r="D5213" t="s">
        <v>18</v>
      </c>
      <c r="E5213" s="3">
        <v>2</v>
      </c>
      <c r="F5213" t="s">
        <v>19</v>
      </c>
      <c r="G5213" t="s">
        <v>20</v>
      </c>
      <c r="H5213" t="s">
        <v>21</v>
      </c>
      <c r="I5213" s="12">
        <v>0.31944444444444442</v>
      </c>
      <c r="J5213" t="s">
        <v>22</v>
      </c>
      <c r="K5213" t="s">
        <v>21</v>
      </c>
      <c r="L5213" s="12">
        <v>0.34722222222222221</v>
      </c>
      <c r="M5213" t="s">
        <v>23</v>
      </c>
      <c r="N5213" s="3">
        <v>186</v>
      </c>
      <c r="O5213" t="s">
        <v>24</v>
      </c>
      <c r="P5213" t="s">
        <v>25</v>
      </c>
      <c r="R5213">
        <f>tblDailySchedule[[#This Row],[Capacity Approx]]*'[1]Load Factor Sheet June Acft  '!$B$5</f>
        <v>150.61772727272728</v>
      </c>
      <c r="S5213">
        <f>tblDailySchedule[[#This Row],[Capacity Approx]]*'[1]Load Factor Sheet June Acft  '!$D$5</f>
        <v>163.08818181818182</v>
      </c>
      <c r="T5213" s="22">
        <f>tblDailySchedule[[#This Row],[STD]]</f>
        <v>0.34722222222222221</v>
      </c>
    </row>
    <row r="5214" spans="1:20" hidden="1" x14ac:dyDescent="0.35">
      <c r="A5214" s="11">
        <v>46298</v>
      </c>
      <c r="B5214" s="3">
        <v>6</v>
      </c>
      <c r="C5214" t="s">
        <v>116</v>
      </c>
      <c r="D5214" t="s">
        <v>18</v>
      </c>
      <c r="E5214" s="3">
        <v>3</v>
      </c>
      <c r="F5214" t="s">
        <v>19</v>
      </c>
      <c r="G5214" t="s">
        <v>26</v>
      </c>
      <c r="H5214" t="s">
        <v>27</v>
      </c>
      <c r="I5214" s="12">
        <v>0.3263888888888889</v>
      </c>
      <c r="J5214" t="s">
        <v>28</v>
      </c>
      <c r="K5214" t="s">
        <v>27</v>
      </c>
      <c r="L5214" s="12">
        <v>0.35416666666666669</v>
      </c>
      <c r="M5214" t="s">
        <v>29</v>
      </c>
      <c r="N5214" s="3">
        <v>186</v>
      </c>
      <c r="O5214" t="s">
        <v>24</v>
      </c>
      <c r="P5214" t="s">
        <v>25</v>
      </c>
      <c r="R5214">
        <f>tblDailySchedule[[#This Row],[Capacity Approx]]*'[1]Load Factor Sheet June Acft  '!$B$5</f>
        <v>150.61772727272728</v>
      </c>
      <c r="S5214">
        <f>tblDailySchedule[[#This Row],[Capacity Approx]]*'[1]Load Factor Sheet June Acft  '!$D$5</f>
        <v>163.08818181818182</v>
      </c>
      <c r="T5214" s="22">
        <f>tblDailySchedule[[#This Row],[STD]]</f>
        <v>0.35416666666666669</v>
      </c>
    </row>
    <row r="5215" spans="1:20" hidden="1" x14ac:dyDescent="0.35">
      <c r="A5215" s="11">
        <v>46298</v>
      </c>
      <c r="B5215" s="3">
        <v>6</v>
      </c>
      <c r="C5215" t="s">
        <v>116</v>
      </c>
      <c r="D5215" t="s">
        <v>18</v>
      </c>
      <c r="E5215" s="3">
        <v>4</v>
      </c>
      <c r="F5215" t="s">
        <v>19</v>
      </c>
      <c r="G5215" t="s">
        <v>30</v>
      </c>
      <c r="H5215" t="s">
        <v>31</v>
      </c>
      <c r="I5215" s="12">
        <v>0.34722222222222221</v>
      </c>
      <c r="J5215" t="s">
        <v>32</v>
      </c>
      <c r="K5215" t="s">
        <v>31</v>
      </c>
      <c r="L5215" s="12">
        <v>0.36805555555555558</v>
      </c>
      <c r="M5215" t="s">
        <v>33</v>
      </c>
      <c r="N5215" s="3">
        <v>189</v>
      </c>
      <c r="O5215" t="s">
        <v>24</v>
      </c>
      <c r="P5215" t="s">
        <v>25</v>
      </c>
      <c r="R5215">
        <f>tblDailySchedule[[#This Row],[Capacity Approx]]*'[1]Load Factor Sheet June Acft  '!$B$5</f>
        <v>153.04704545454547</v>
      </c>
      <c r="S5215">
        <f>tblDailySchedule[[#This Row],[Capacity Approx]]*'[1]Load Factor Sheet June Acft  '!$D$5</f>
        <v>165.71863636363636</v>
      </c>
      <c r="T5215" s="22">
        <f>tblDailySchedule[[#This Row],[STD]]</f>
        <v>0.36805555555555558</v>
      </c>
    </row>
    <row r="5216" spans="1:20" hidden="1" x14ac:dyDescent="0.35">
      <c r="A5216" s="11">
        <v>46298</v>
      </c>
      <c r="B5216" s="3">
        <v>6</v>
      </c>
      <c r="C5216" t="s">
        <v>116</v>
      </c>
      <c r="D5216" t="s">
        <v>18</v>
      </c>
      <c r="E5216" s="3">
        <v>5</v>
      </c>
      <c r="F5216" t="s">
        <v>19</v>
      </c>
      <c r="G5216" t="s">
        <v>40</v>
      </c>
      <c r="H5216" t="s">
        <v>31</v>
      </c>
      <c r="I5216" s="12">
        <v>0.35069444444444442</v>
      </c>
      <c r="J5216" t="s">
        <v>41</v>
      </c>
      <c r="K5216" t="s">
        <v>31</v>
      </c>
      <c r="L5216" s="12">
        <v>0.37152777777777779</v>
      </c>
      <c r="M5216" t="s">
        <v>23</v>
      </c>
      <c r="N5216" s="3">
        <v>186</v>
      </c>
      <c r="O5216" t="s">
        <v>24</v>
      </c>
      <c r="P5216" t="s">
        <v>25</v>
      </c>
      <c r="R5216">
        <f>tblDailySchedule[[#This Row],[Capacity Approx]]*'[1]Load Factor Sheet June Acft  '!$B$5</f>
        <v>150.61772727272728</v>
      </c>
      <c r="S5216">
        <f>tblDailySchedule[[#This Row],[Capacity Approx]]*'[1]Load Factor Sheet June Acft  '!$D$5</f>
        <v>163.08818181818182</v>
      </c>
      <c r="T5216" s="22">
        <f>tblDailySchedule[[#This Row],[STD]]</f>
        <v>0.37152777777777779</v>
      </c>
    </row>
    <row r="5217" spans="1:20" hidden="1" x14ac:dyDescent="0.35">
      <c r="A5217" s="11">
        <v>46298</v>
      </c>
      <c r="B5217" s="3">
        <v>6</v>
      </c>
      <c r="C5217" t="s">
        <v>116</v>
      </c>
      <c r="D5217" t="s">
        <v>18</v>
      </c>
      <c r="E5217" s="3">
        <v>7</v>
      </c>
      <c r="F5217" t="s">
        <v>19</v>
      </c>
      <c r="G5217" t="s">
        <v>42</v>
      </c>
      <c r="H5217" t="s">
        <v>43</v>
      </c>
      <c r="I5217" s="12">
        <v>0.3923611111111111</v>
      </c>
      <c r="J5217" t="s">
        <v>44</v>
      </c>
      <c r="K5217" t="s">
        <v>43</v>
      </c>
      <c r="L5217" s="12">
        <v>0.40277777777777779</v>
      </c>
      <c r="M5217" t="s">
        <v>45</v>
      </c>
      <c r="N5217" s="3">
        <v>9</v>
      </c>
      <c r="O5217" t="s">
        <v>24</v>
      </c>
      <c r="P5217" t="s">
        <v>25</v>
      </c>
      <c r="R5217">
        <f>tblDailySchedule[[#This Row],[Capacity Approx]]*'[1]Load Factor Sheet June Acft  '!$B$5</f>
        <v>7.2879545454545456</v>
      </c>
      <c r="S5217">
        <f>tblDailySchedule[[#This Row],[Capacity Approx]]*'[1]Load Factor Sheet June Acft  '!$D$5</f>
        <v>7.8913636363636366</v>
      </c>
      <c r="T5217" s="22">
        <f>tblDailySchedule[[#This Row],[STD]]</f>
        <v>0.40277777777777779</v>
      </c>
    </row>
    <row r="5218" spans="1:20" hidden="1" x14ac:dyDescent="0.35">
      <c r="A5218" s="11">
        <v>46298</v>
      </c>
      <c r="B5218" s="3">
        <v>6</v>
      </c>
      <c r="C5218" t="s">
        <v>116</v>
      </c>
      <c r="D5218" t="s">
        <v>18</v>
      </c>
      <c r="E5218" s="3">
        <v>8</v>
      </c>
      <c r="F5218" t="s">
        <v>19</v>
      </c>
      <c r="G5218" t="s">
        <v>46</v>
      </c>
      <c r="H5218" t="s">
        <v>31</v>
      </c>
      <c r="I5218" s="12">
        <v>0.4201388888888889</v>
      </c>
      <c r="J5218" t="s">
        <v>47</v>
      </c>
      <c r="K5218" t="s">
        <v>31</v>
      </c>
      <c r="L5218" s="12">
        <v>0.44444444444444442</v>
      </c>
      <c r="M5218" t="s">
        <v>29</v>
      </c>
      <c r="N5218" s="3">
        <v>186</v>
      </c>
      <c r="O5218" t="s">
        <v>24</v>
      </c>
      <c r="P5218" t="s">
        <v>25</v>
      </c>
      <c r="R5218">
        <f>tblDailySchedule[[#This Row],[Capacity Approx]]*'[1]Load Factor Sheet June Acft  '!$B$5</f>
        <v>150.61772727272728</v>
      </c>
      <c r="S5218">
        <f>tblDailySchedule[[#This Row],[Capacity Approx]]*'[1]Load Factor Sheet June Acft  '!$D$5</f>
        <v>163.08818181818182</v>
      </c>
      <c r="T5218" s="22">
        <f>tblDailySchedule[[#This Row],[STD]]</f>
        <v>0.44444444444444442</v>
      </c>
    </row>
    <row r="5219" spans="1:20" hidden="1" x14ac:dyDescent="0.35">
      <c r="A5219" s="11">
        <v>46298</v>
      </c>
      <c r="B5219" s="3">
        <v>6</v>
      </c>
      <c r="C5219" t="s">
        <v>116</v>
      </c>
      <c r="D5219" t="s">
        <v>18</v>
      </c>
      <c r="E5219" s="3">
        <v>9</v>
      </c>
      <c r="F5219" t="s">
        <v>19</v>
      </c>
      <c r="G5219" t="s">
        <v>48</v>
      </c>
      <c r="H5219" t="s">
        <v>49</v>
      </c>
      <c r="I5219" s="12">
        <v>0.4375</v>
      </c>
      <c r="J5219" t="s">
        <v>50</v>
      </c>
      <c r="K5219" t="s">
        <v>49</v>
      </c>
      <c r="L5219" s="12">
        <v>0.45833333333333331</v>
      </c>
      <c r="M5219" t="s">
        <v>51</v>
      </c>
      <c r="N5219" s="3">
        <v>78</v>
      </c>
      <c r="O5219" t="s">
        <v>24</v>
      </c>
      <c r="P5219" t="s">
        <v>25</v>
      </c>
      <c r="R5219">
        <f>tblDailySchedule[[#This Row],[Capacity Approx]]*'[1]Load Factor Sheet June Acft  '!$B$5</f>
        <v>63.162272727272729</v>
      </c>
      <c r="S5219">
        <f>tblDailySchedule[[#This Row],[Capacity Approx]]*'[1]Load Factor Sheet June Acft  '!$D$5</f>
        <v>68.391818181818181</v>
      </c>
      <c r="T5219" s="22">
        <f>tblDailySchedule[[#This Row],[STD]]</f>
        <v>0.45833333333333331</v>
      </c>
    </row>
    <row r="5220" spans="1:20" hidden="1" x14ac:dyDescent="0.35">
      <c r="A5220" s="11">
        <v>46298</v>
      </c>
      <c r="B5220" s="3">
        <v>6</v>
      </c>
      <c r="C5220" t="s">
        <v>116</v>
      </c>
      <c r="D5220" t="s">
        <v>18</v>
      </c>
      <c r="E5220" s="3">
        <v>10</v>
      </c>
      <c r="F5220" t="s">
        <v>19</v>
      </c>
      <c r="G5220" t="s">
        <v>52</v>
      </c>
      <c r="H5220" t="s">
        <v>27</v>
      </c>
      <c r="I5220" s="12">
        <v>0.4826388888888889</v>
      </c>
      <c r="J5220" t="s">
        <v>53</v>
      </c>
      <c r="K5220" t="s">
        <v>27</v>
      </c>
      <c r="L5220" s="12">
        <v>0.51041666666666663</v>
      </c>
      <c r="M5220" t="s">
        <v>23</v>
      </c>
      <c r="N5220" s="3">
        <v>186</v>
      </c>
      <c r="O5220" t="s">
        <v>24</v>
      </c>
      <c r="P5220" t="s">
        <v>25</v>
      </c>
      <c r="R5220">
        <f>tblDailySchedule[[#This Row],[Capacity Approx]]*'[1]Load Factor Sheet June Acft  '!$B$5</f>
        <v>150.61772727272728</v>
      </c>
      <c r="S5220">
        <f>tblDailySchedule[[#This Row],[Capacity Approx]]*'[1]Load Factor Sheet June Acft  '!$D$5</f>
        <v>163.08818181818182</v>
      </c>
      <c r="T5220" s="22">
        <f>tblDailySchedule[[#This Row],[STD]]</f>
        <v>0.51041666666666663</v>
      </c>
    </row>
    <row r="5221" spans="1:20" hidden="1" x14ac:dyDescent="0.35">
      <c r="A5221" s="11">
        <v>46298</v>
      </c>
      <c r="B5221" s="3">
        <v>6</v>
      </c>
      <c r="C5221" t="s">
        <v>116</v>
      </c>
      <c r="D5221" t="s">
        <v>18</v>
      </c>
      <c r="E5221" s="3">
        <v>11</v>
      </c>
      <c r="F5221" t="s">
        <v>19</v>
      </c>
      <c r="G5221" t="s">
        <v>54</v>
      </c>
      <c r="H5221" t="s">
        <v>31</v>
      </c>
      <c r="I5221" s="12">
        <v>0.51388888888888884</v>
      </c>
      <c r="J5221" t="s">
        <v>55</v>
      </c>
      <c r="K5221" t="s">
        <v>31</v>
      </c>
      <c r="L5221" s="12">
        <v>0.54166666666666663</v>
      </c>
      <c r="M5221" t="s">
        <v>23</v>
      </c>
      <c r="N5221" s="3">
        <v>186</v>
      </c>
      <c r="O5221" t="s">
        <v>24</v>
      </c>
      <c r="P5221" t="s">
        <v>56</v>
      </c>
      <c r="R5221">
        <f>tblDailySchedule[[#This Row],[Capacity Approx]]*'[1]Load Factor Sheet June Acft  '!$B$5</f>
        <v>150.61772727272728</v>
      </c>
      <c r="S5221">
        <f>tblDailySchedule[[#This Row],[Capacity Approx]]*'[1]Load Factor Sheet June Acft  '!$D$5</f>
        <v>163.08818181818182</v>
      </c>
      <c r="T5221" s="22">
        <f>tblDailySchedule[[#This Row],[STD]]</f>
        <v>0.54166666666666663</v>
      </c>
    </row>
    <row r="5222" spans="1:20" hidden="1" x14ac:dyDescent="0.35">
      <c r="A5222" s="11">
        <v>46298</v>
      </c>
      <c r="B5222" s="3">
        <v>6</v>
      </c>
      <c r="C5222" t="s">
        <v>116</v>
      </c>
      <c r="D5222" t="s">
        <v>18</v>
      </c>
      <c r="E5222" s="3">
        <v>12</v>
      </c>
      <c r="F5222" t="s">
        <v>109</v>
      </c>
      <c r="G5222" t="s">
        <v>110</v>
      </c>
      <c r="H5222" t="s">
        <v>111</v>
      </c>
      <c r="I5222" s="12">
        <v>0.55555555555555558</v>
      </c>
      <c r="J5222" t="s">
        <v>112</v>
      </c>
      <c r="K5222" t="s">
        <v>111</v>
      </c>
      <c r="L5222" s="12">
        <v>0.56944444444444442</v>
      </c>
      <c r="M5222" t="s">
        <v>51</v>
      </c>
      <c r="N5222" s="3">
        <v>78</v>
      </c>
      <c r="O5222" t="s">
        <v>24</v>
      </c>
      <c r="P5222" t="s">
        <v>56</v>
      </c>
      <c r="R5222">
        <f>tblDailySchedule[[#This Row],[Capacity Approx]]*'[1]Load Factor Sheet June Acft  '!$B$5</f>
        <v>63.162272727272729</v>
      </c>
      <c r="S5222">
        <f>tblDailySchedule[[#This Row],[Capacity Approx]]*'[1]Load Factor Sheet June Acft  '!$D$5</f>
        <v>68.391818181818181</v>
      </c>
      <c r="T5222" s="22">
        <f>tblDailySchedule[[#This Row],[STD]]</f>
        <v>0.56944444444444442</v>
      </c>
    </row>
    <row r="5223" spans="1:20" hidden="1" x14ac:dyDescent="0.35">
      <c r="A5223" s="11">
        <v>46298</v>
      </c>
      <c r="B5223" s="3">
        <v>6</v>
      </c>
      <c r="C5223" t="s">
        <v>116</v>
      </c>
      <c r="D5223" t="s">
        <v>18</v>
      </c>
      <c r="E5223" s="3">
        <v>13</v>
      </c>
      <c r="F5223" t="s">
        <v>19</v>
      </c>
      <c r="G5223" t="s">
        <v>57</v>
      </c>
      <c r="H5223" t="s">
        <v>58</v>
      </c>
      <c r="I5223" s="12">
        <v>0.55902777777777779</v>
      </c>
      <c r="J5223" t="s">
        <v>59</v>
      </c>
      <c r="K5223" t="s">
        <v>58</v>
      </c>
      <c r="L5223" s="12">
        <v>0.57638888888888884</v>
      </c>
      <c r="M5223" t="s">
        <v>51</v>
      </c>
      <c r="N5223" s="3">
        <v>78</v>
      </c>
      <c r="O5223" t="s">
        <v>24</v>
      </c>
      <c r="P5223" t="s">
        <v>56</v>
      </c>
      <c r="R5223">
        <f>tblDailySchedule[[#This Row],[Capacity Approx]]*'[1]Load Factor Sheet June Acft  '!$B$5</f>
        <v>63.162272727272729</v>
      </c>
      <c r="S5223">
        <f>tblDailySchedule[[#This Row],[Capacity Approx]]*'[1]Load Factor Sheet June Acft  '!$D$5</f>
        <v>68.391818181818181</v>
      </c>
      <c r="T5223" s="22">
        <f>tblDailySchedule[[#This Row],[STD]]</f>
        <v>0.57638888888888884</v>
      </c>
    </row>
    <row r="5224" spans="1:20" hidden="1" x14ac:dyDescent="0.35">
      <c r="A5224" s="11">
        <v>46298</v>
      </c>
      <c r="B5224" s="3">
        <v>6</v>
      </c>
      <c r="C5224" t="s">
        <v>116</v>
      </c>
      <c r="D5224" t="s">
        <v>18</v>
      </c>
      <c r="E5224" s="3">
        <v>14</v>
      </c>
      <c r="F5224" t="s">
        <v>19</v>
      </c>
      <c r="G5224" t="s">
        <v>60</v>
      </c>
      <c r="H5224" t="s">
        <v>61</v>
      </c>
      <c r="I5224" s="12">
        <v>0.59027777777777779</v>
      </c>
      <c r="J5224" t="s">
        <v>62</v>
      </c>
      <c r="K5224" t="s">
        <v>61</v>
      </c>
      <c r="L5224" s="12">
        <v>0.62152777777777779</v>
      </c>
      <c r="M5224" t="s">
        <v>63</v>
      </c>
      <c r="N5224" s="3">
        <v>232</v>
      </c>
      <c r="O5224" t="s">
        <v>24</v>
      </c>
      <c r="P5224" t="s">
        <v>56</v>
      </c>
      <c r="R5224">
        <f>tblDailySchedule[[#This Row],[Capacity Approx]]*'[1]Load Factor Sheet June Acft  '!$B$5</f>
        <v>187.86727272727273</v>
      </c>
      <c r="S5224">
        <f>tblDailySchedule[[#This Row],[Capacity Approx]]*'[1]Load Factor Sheet June Acft  '!$D$5</f>
        <v>203.4218181818182</v>
      </c>
      <c r="T5224" s="22">
        <f>tblDailySchedule[[#This Row],[STD]]</f>
        <v>0.62152777777777779</v>
      </c>
    </row>
    <row r="5225" spans="1:20" hidden="1" x14ac:dyDescent="0.35">
      <c r="A5225" s="11">
        <v>46298</v>
      </c>
      <c r="B5225" s="3">
        <v>6</v>
      </c>
      <c r="C5225" t="s">
        <v>116</v>
      </c>
      <c r="D5225" t="s">
        <v>18</v>
      </c>
      <c r="E5225" s="3">
        <v>15</v>
      </c>
      <c r="F5225" t="s">
        <v>19</v>
      </c>
      <c r="G5225" t="s">
        <v>64</v>
      </c>
      <c r="H5225" t="s">
        <v>31</v>
      </c>
      <c r="I5225" s="12">
        <v>0.60069444444444442</v>
      </c>
      <c r="J5225" t="s">
        <v>65</v>
      </c>
      <c r="K5225" t="s">
        <v>66</v>
      </c>
      <c r="L5225" s="12">
        <v>0.62847222222222221</v>
      </c>
      <c r="M5225" t="s">
        <v>63</v>
      </c>
      <c r="N5225" s="3">
        <v>232</v>
      </c>
      <c r="O5225" t="s">
        <v>24</v>
      </c>
      <c r="P5225" t="s">
        <v>56</v>
      </c>
      <c r="R5225">
        <f>tblDailySchedule[[#This Row],[Capacity Approx]]*'[1]Load Factor Sheet June Acft  '!$B$5</f>
        <v>187.86727272727273</v>
      </c>
      <c r="S5225">
        <f>tblDailySchedule[[#This Row],[Capacity Approx]]*'[1]Load Factor Sheet June Acft  '!$D$5</f>
        <v>203.4218181818182</v>
      </c>
      <c r="T5225" s="22">
        <f>tblDailySchedule[[#This Row],[STD]]</f>
        <v>0.62847222222222221</v>
      </c>
    </row>
    <row r="5226" spans="1:20" hidden="1" x14ac:dyDescent="0.35">
      <c r="A5226" s="11">
        <v>46298</v>
      </c>
      <c r="B5226" s="3">
        <v>6</v>
      </c>
      <c r="C5226" t="s">
        <v>116</v>
      </c>
      <c r="D5226" t="s">
        <v>18</v>
      </c>
      <c r="E5226" s="3">
        <v>16</v>
      </c>
      <c r="F5226" t="s">
        <v>19</v>
      </c>
      <c r="G5226" t="s">
        <v>67</v>
      </c>
      <c r="H5226" t="s">
        <v>31</v>
      </c>
      <c r="I5226" s="12">
        <v>0.65625</v>
      </c>
      <c r="J5226" t="s">
        <v>68</v>
      </c>
      <c r="K5226" t="s">
        <v>31</v>
      </c>
      <c r="L5226" s="12">
        <v>0.68402777777777779</v>
      </c>
      <c r="M5226" t="s">
        <v>63</v>
      </c>
      <c r="N5226" s="3">
        <v>232</v>
      </c>
      <c r="O5226" t="s">
        <v>24</v>
      </c>
      <c r="P5226" t="s">
        <v>56</v>
      </c>
      <c r="R5226">
        <f>tblDailySchedule[[#This Row],[Capacity Approx]]*'[1]Load Factor Sheet June Acft  '!$B$5</f>
        <v>187.86727272727273</v>
      </c>
      <c r="S5226">
        <f>tblDailySchedule[[#This Row],[Capacity Approx]]*'[1]Load Factor Sheet June Acft  '!$D$5</f>
        <v>203.4218181818182</v>
      </c>
      <c r="T5226" s="22">
        <f>tblDailySchedule[[#This Row],[STD]]</f>
        <v>0.68402777777777779</v>
      </c>
    </row>
    <row r="5227" spans="1:20" hidden="1" x14ac:dyDescent="0.35">
      <c r="A5227" s="11">
        <v>46298</v>
      </c>
      <c r="B5227" s="3">
        <v>6</v>
      </c>
      <c r="C5227" t="s">
        <v>116</v>
      </c>
      <c r="D5227" t="s">
        <v>18</v>
      </c>
      <c r="E5227" s="3">
        <v>17</v>
      </c>
      <c r="F5227" t="s">
        <v>19</v>
      </c>
      <c r="G5227" t="s">
        <v>69</v>
      </c>
      <c r="H5227" t="s">
        <v>31</v>
      </c>
      <c r="I5227" s="12">
        <v>0.66319444444444442</v>
      </c>
      <c r="J5227" t="s">
        <v>70</v>
      </c>
      <c r="K5227" t="s">
        <v>31</v>
      </c>
      <c r="L5227" s="12">
        <v>0.69097222222222221</v>
      </c>
      <c r="M5227" t="s">
        <v>33</v>
      </c>
      <c r="N5227" s="3">
        <v>189</v>
      </c>
      <c r="O5227" t="s">
        <v>24</v>
      </c>
      <c r="P5227" t="s">
        <v>56</v>
      </c>
      <c r="R5227">
        <f>tblDailySchedule[[#This Row],[Capacity Approx]]*'[1]Load Factor Sheet June Acft  '!$B$5</f>
        <v>153.04704545454547</v>
      </c>
      <c r="S5227">
        <f>tblDailySchedule[[#This Row],[Capacity Approx]]*'[1]Load Factor Sheet June Acft  '!$D$5</f>
        <v>165.71863636363636</v>
      </c>
      <c r="T5227" s="22">
        <f>tblDailySchedule[[#This Row],[STD]]</f>
        <v>0.69097222222222221</v>
      </c>
    </row>
    <row r="5228" spans="1:20" hidden="1" x14ac:dyDescent="0.35">
      <c r="A5228" s="11">
        <v>46298</v>
      </c>
      <c r="B5228" s="3">
        <v>6</v>
      </c>
      <c r="C5228" t="s">
        <v>116</v>
      </c>
      <c r="D5228" t="s">
        <v>18</v>
      </c>
      <c r="E5228" s="3">
        <v>18</v>
      </c>
      <c r="F5228" t="s">
        <v>19</v>
      </c>
      <c r="G5228" t="s">
        <v>71</v>
      </c>
      <c r="H5228" t="s">
        <v>21</v>
      </c>
      <c r="I5228" s="12">
        <v>0.67013888888888884</v>
      </c>
      <c r="J5228" t="s">
        <v>72</v>
      </c>
      <c r="K5228" t="s">
        <v>21</v>
      </c>
      <c r="L5228" s="12">
        <v>0.69791666666666663</v>
      </c>
      <c r="M5228" t="s">
        <v>63</v>
      </c>
      <c r="N5228" s="3">
        <v>232</v>
      </c>
      <c r="O5228" t="s">
        <v>24</v>
      </c>
      <c r="P5228" t="s">
        <v>56</v>
      </c>
      <c r="R5228">
        <f>tblDailySchedule[[#This Row],[Capacity Approx]]*'[1]Load Factor Sheet June Acft  '!$B$5</f>
        <v>187.86727272727273</v>
      </c>
      <c r="S5228">
        <f>tblDailySchedule[[#This Row],[Capacity Approx]]*'[1]Load Factor Sheet June Acft  '!$D$5</f>
        <v>203.4218181818182</v>
      </c>
      <c r="T5228" s="22">
        <f>tblDailySchedule[[#This Row],[STD]]</f>
        <v>0.69791666666666663</v>
      </c>
    </row>
    <row r="5229" spans="1:20" hidden="1" x14ac:dyDescent="0.35">
      <c r="A5229" s="11">
        <v>46298</v>
      </c>
      <c r="B5229" s="3">
        <v>6</v>
      </c>
      <c r="C5229" t="s">
        <v>116</v>
      </c>
      <c r="D5229" t="s">
        <v>18</v>
      </c>
      <c r="E5229" s="3">
        <v>19</v>
      </c>
      <c r="F5229" t="s">
        <v>19</v>
      </c>
      <c r="G5229" t="s">
        <v>73</v>
      </c>
      <c r="H5229" t="s">
        <v>27</v>
      </c>
      <c r="I5229" s="12">
        <v>0.74652777777777779</v>
      </c>
      <c r="J5229" t="s">
        <v>74</v>
      </c>
      <c r="K5229" t="s">
        <v>27</v>
      </c>
      <c r="L5229" s="12">
        <v>0.77430555555555558</v>
      </c>
      <c r="M5229" t="s">
        <v>63</v>
      </c>
      <c r="N5229" s="3">
        <v>232</v>
      </c>
      <c r="O5229" t="s">
        <v>24</v>
      </c>
      <c r="P5229" t="s">
        <v>56</v>
      </c>
      <c r="R5229">
        <f>tblDailySchedule[[#This Row],[Capacity Approx]]*'[1]Load Factor Sheet June Acft  '!$B$5</f>
        <v>187.86727272727273</v>
      </c>
      <c r="S5229">
        <f>tblDailySchedule[[#This Row],[Capacity Approx]]*'[1]Load Factor Sheet June Acft  '!$D$5</f>
        <v>203.4218181818182</v>
      </c>
      <c r="T5229" s="22">
        <f>tblDailySchedule[[#This Row],[STD]]</f>
        <v>0.77430555555555558</v>
      </c>
    </row>
    <row r="5230" spans="1:20" hidden="1" x14ac:dyDescent="0.35">
      <c r="A5230" s="11">
        <v>46298</v>
      </c>
      <c r="B5230" s="3">
        <v>6</v>
      </c>
      <c r="C5230" t="s">
        <v>116</v>
      </c>
      <c r="D5230" t="s">
        <v>18</v>
      </c>
      <c r="E5230" s="3">
        <v>21</v>
      </c>
      <c r="F5230" t="s">
        <v>19</v>
      </c>
      <c r="G5230" t="s">
        <v>81</v>
      </c>
      <c r="H5230" t="s">
        <v>61</v>
      </c>
      <c r="I5230" s="12">
        <v>0.77083333333333337</v>
      </c>
      <c r="J5230" t="s">
        <v>82</v>
      </c>
      <c r="K5230" t="s">
        <v>49</v>
      </c>
      <c r="L5230" s="12">
        <v>0.79166666666666663</v>
      </c>
      <c r="M5230" t="s">
        <v>33</v>
      </c>
      <c r="N5230" s="3">
        <v>189</v>
      </c>
      <c r="O5230" t="s">
        <v>24</v>
      </c>
      <c r="P5230" t="s">
        <v>79</v>
      </c>
      <c r="R5230">
        <f>tblDailySchedule[[#This Row],[Capacity Approx]]*'[1]Load Factor Sheet June Acft  '!$B$5</f>
        <v>153.04704545454547</v>
      </c>
      <c r="S5230">
        <f>tblDailySchedule[[#This Row],[Capacity Approx]]*'[1]Load Factor Sheet June Acft  '!$D$5</f>
        <v>165.71863636363636</v>
      </c>
      <c r="T5230" s="22">
        <f>tblDailySchedule[[#This Row],[STD]]</f>
        <v>0.79166666666666663</v>
      </c>
    </row>
    <row r="5231" spans="1:20" hidden="1" x14ac:dyDescent="0.35">
      <c r="A5231" s="11">
        <v>46298</v>
      </c>
      <c r="B5231" s="3">
        <v>6</v>
      </c>
      <c r="C5231" t="s">
        <v>116</v>
      </c>
      <c r="D5231" t="s">
        <v>18</v>
      </c>
      <c r="E5231" s="3">
        <v>22</v>
      </c>
      <c r="F5231" t="s">
        <v>19</v>
      </c>
      <c r="G5231" t="s">
        <v>83</v>
      </c>
      <c r="H5231" t="s">
        <v>31</v>
      </c>
      <c r="I5231" s="12">
        <v>0.77777777777777779</v>
      </c>
      <c r="J5231" t="s">
        <v>84</v>
      </c>
      <c r="K5231" t="s">
        <v>31</v>
      </c>
      <c r="L5231" s="12">
        <v>0.80555555555555558</v>
      </c>
      <c r="M5231" t="s">
        <v>63</v>
      </c>
      <c r="N5231" s="3">
        <v>232</v>
      </c>
      <c r="O5231" t="s">
        <v>24</v>
      </c>
      <c r="P5231" t="s">
        <v>79</v>
      </c>
      <c r="R5231">
        <f>tblDailySchedule[[#This Row],[Capacity Approx]]*'[1]Load Factor Sheet June Acft  '!$B$5</f>
        <v>187.86727272727273</v>
      </c>
      <c r="S5231">
        <f>tblDailySchedule[[#This Row],[Capacity Approx]]*'[1]Load Factor Sheet June Acft  '!$D$5</f>
        <v>203.4218181818182</v>
      </c>
      <c r="T5231" s="22">
        <f>tblDailySchedule[[#This Row],[STD]]</f>
        <v>0.80555555555555558</v>
      </c>
    </row>
    <row r="5232" spans="1:20" hidden="1" x14ac:dyDescent="0.35">
      <c r="A5232" s="11">
        <v>46298</v>
      </c>
      <c r="B5232" s="3">
        <v>6</v>
      </c>
      <c r="C5232" t="s">
        <v>116</v>
      </c>
      <c r="D5232" t="s">
        <v>18</v>
      </c>
      <c r="E5232" s="3">
        <v>23</v>
      </c>
      <c r="F5232" t="s">
        <v>19</v>
      </c>
      <c r="G5232" t="s">
        <v>85</v>
      </c>
      <c r="H5232" t="s">
        <v>86</v>
      </c>
      <c r="I5232" s="12">
        <v>0.79861111111111116</v>
      </c>
      <c r="J5232" t="s">
        <v>87</v>
      </c>
      <c r="K5232" t="s">
        <v>86</v>
      </c>
      <c r="L5232" s="12">
        <v>0.82638888888888884</v>
      </c>
      <c r="M5232" t="s">
        <v>63</v>
      </c>
      <c r="N5232" s="3">
        <v>232</v>
      </c>
      <c r="O5232" t="s">
        <v>24</v>
      </c>
      <c r="P5232" t="s">
        <v>79</v>
      </c>
      <c r="R5232">
        <f>tblDailySchedule[[#This Row],[Capacity Approx]]*'[1]Load Factor Sheet June Acft  '!$B$5</f>
        <v>187.86727272727273</v>
      </c>
      <c r="S5232">
        <f>tblDailySchedule[[#This Row],[Capacity Approx]]*'[1]Load Factor Sheet June Acft  '!$D$5</f>
        <v>203.4218181818182</v>
      </c>
      <c r="T5232" s="22">
        <f>tblDailySchedule[[#This Row],[STD]]</f>
        <v>0.82638888888888884</v>
      </c>
    </row>
    <row r="5233" spans="1:20" hidden="1" x14ac:dyDescent="0.35">
      <c r="A5233" s="11">
        <v>46298</v>
      </c>
      <c r="B5233" s="3">
        <v>6</v>
      </c>
      <c r="C5233" t="s">
        <v>116</v>
      </c>
      <c r="D5233" t="s">
        <v>18</v>
      </c>
      <c r="E5233" s="3">
        <v>24</v>
      </c>
      <c r="F5233" t="s">
        <v>19</v>
      </c>
      <c r="G5233" t="s">
        <v>88</v>
      </c>
      <c r="H5233" t="s">
        <v>89</v>
      </c>
      <c r="I5233" s="12">
        <v>0.83333333333333337</v>
      </c>
      <c r="J5233" t="s">
        <v>90</v>
      </c>
      <c r="K5233" t="s">
        <v>31</v>
      </c>
      <c r="L5233" s="12">
        <v>0.86111111111111116</v>
      </c>
      <c r="M5233" t="s">
        <v>63</v>
      </c>
      <c r="N5233" s="3">
        <v>232</v>
      </c>
      <c r="O5233" t="s">
        <v>24</v>
      </c>
      <c r="P5233" t="s">
        <v>79</v>
      </c>
      <c r="R5233">
        <f>tblDailySchedule[[#This Row],[Capacity Approx]]*'[1]Load Factor Sheet June Acft  '!$B$5</f>
        <v>187.86727272727273</v>
      </c>
      <c r="S5233">
        <f>tblDailySchedule[[#This Row],[Capacity Approx]]*'[1]Load Factor Sheet June Acft  '!$D$5</f>
        <v>203.4218181818182</v>
      </c>
      <c r="T5233" s="22">
        <f>tblDailySchedule[[#This Row],[STD]]</f>
        <v>0.86111111111111116</v>
      </c>
    </row>
    <row r="5234" spans="1:20" hidden="1" x14ac:dyDescent="0.35">
      <c r="A5234" s="11">
        <v>46298</v>
      </c>
      <c r="B5234" s="3">
        <v>6</v>
      </c>
      <c r="C5234" t="s">
        <v>116</v>
      </c>
      <c r="D5234" t="s">
        <v>18</v>
      </c>
      <c r="E5234" s="3">
        <v>25</v>
      </c>
      <c r="F5234" t="s">
        <v>19</v>
      </c>
      <c r="G5234" t="s">
        <v>91</v>
      </c>
      <c r="H5234" t="s">
        <v>61</v>
      </c>
      <c r="I5234" s="12">
        <v>0.85416666666666663</v>
      </c>
      <c r="J5234" t="s">
        <v>92</v>
      </c>
      <c r="K5234" t="s">
        <v>61</v>
      </c>
      <c r="L5234" s="12">
        <v>0.88194444444444442</v>
      </c>
      <c r="M5234" t="s">
        <v>63</v>
      </c>
      <c r="N5234" s="3">
        <v>232</v>
      </c>
      <c r="O5234" t="s">
        <v>24</v>
      </c>
      <c r="P5234" t="s">
        <v>79</v>
      </c>
      <c r="R5234">
        <f>tblDailySchedule[[#This Row],[Capacity Approx]]*'[1]Load Factor Sheet June Acft  '!$B$5</f>
        <v>187.86727272727273</v>
      </c>
      <c r="S5234">
        <f>tblDailySchedule[[#This Row],[Capacity Approx]]*'[1]Load Factor Sheet June Acft  '!$D$5</f>
        <v>203.4218181818182</v>
      </c>
      <c r="T5234" s="22">
        <f>tblDailySchedule[[#This Row],[STD]]</f>
        <v>0.88194444444444442</v>
      </c>
    </row>
    <row r="5235" spans="1:20" hidden="1" x14ac:dyDescent="0.35">
      <c r="A5235" s="11">
        <v>46298</v>
      </c>
      <c r="B5235" s="3">
        <v>6</v>
      </c>
      <c r="C5235" t="s">
        <v>116</v>
      </c>
      <c r="D5235" t="s">
        <v>18</v>
      </c>
      <c r="E5235" s="3">
        <v>26</v>
      </c>
      <c r="F5235" t="s">
        <v>19</v>
      </c>
      <c r="G5235" t="s">
        <v>93</v>
      </c>
      <c r="H5235" t="s">
        <v>31</v>
      </c>
      <c r="I5235" s="12">
        <v>0.86111111111111116</v>
      </c>
      <c r="J5235" t="s">
        <v>94</v>
      </c>
      <c r="K5235" t="s">
        <v>31</v>
      </c>
      <c r="L5235" s="12">
        <v>0.88888888888888884</v>
      </c>
      <c r="M5235" t="s">
        <v>23</v>
      </c>
      <c r="N5235" s="3">
        <v>186</v>
      </c>
      <c r="O5235" t="s">
        <v>24</v>
      </c>
      <c r="P5235" t="s">
        <v>79</v>
      </c>
      <c r="R5235">
        <f>tblDailySchedule[[#This Row],[Capacity Approx]]*'[1]Load Factor Sheet June Acft  '!$B$5</f>
        <v>150.61772727272728</v>
      </c>
      <c r="S5235">
        <f>tblDailySchedule[[#This Row],[Capacity Approx]]*'[1]Load Factor Sheet June Acft  '!$D$5</f>
        <v>163.08818181818182</v>
      </c>
      <c r="T5235" s="22">
        <f>tblDailySchedule[[#This Row],[STD]]</f>
        <v>0.88888888888888884</v>
      </c>
    </row>
    <row r="5236" spans="1:20" hidden="1" x14ac:dyDescent="0.35">
      <c r="A5236" s="11">
        <v>46298</v>
      </c>
      <c r="B5236" s="3">
        <v>6</v>
      </c>
      <c r="C5236" t="s">
        <v>116</v>
      </c>
      <c r="D5236" t="s">
        <v>18</v>
      </c>
      <c r="E5236" s="3">
        <v>27</v>
      </c>
      <c r="F5236" t="s">
        <v>19</v>
      </c>
      <c r="G5236" t="s">
        <v>95</v>
      </c>
      <c r="H5236" t="s">
        <v>21</v>
      </c>
      <c r="I5236" s="12">
        <v>0.86805555555555558</v>
      </c>
      <c r="J5236" t="s">
        <v>96</v>
      </c>
      <c r="K5236" t="s">
        <v>21</v>
      </c>
      <c r="L5236" s="12">
        <v>0.89583333333333337</v>
      </c>
      <c r="M5236" t="s">
        <v>29</v>
      </c>
      <c r="N5236" s="3">
        <v>186</v>
      </c>
      <c r="O5236" t="s">
        <v>24</v>
      </c>
      <c r="P5236" t="s">
        <v>79</v>
      </c>
      <c r="R5236">
        <f>tblDailySchedule[[#This Row],[Capacity Approx]]*'[1]Load Factor Sheet June Acft  '!$B$5</f>
        <v>150.61772727272728</v>
      </c>
      <c r="S5236">
        <f>tblDailySchedule[[#This Row],[Capacity Approx]]*'[1]Load Factor Sheet June Acft  '!$D$5</f>
        <v>163.08818181818182</v>
      </c>
      <c r="T5236" s="22">
        <f>tblDailySchedule[[#This Row],[STD]]</f>
        <v>0.89583333333333337</v>
      </c>
    </row>
    <row r="5237" spans="1:20" hidden="1" x14ac:dyDescent="0.35">
      <c r="A5237" s="11">
        <v>46298</v>
      </c>
      <c r="B5237" s="3">
        <v>6</v>
      </c>
      <c r="C5237" t="s">
        <v>116</v>
      </c>
      <c r="D5237" t="s">
        <v>18</v>
      </c>
      <c r="E5237" s="3">
        <v>28</v>
      </c>
      <c r="F5237" t="s">
        <v>19</v>
      </c>
      <c r="G5237" t="s">
        <v>97</v>
      </c>
      <c r="H5237" t="s">
        <v>49</v>
      </c>
      <c r="I5237" s="12">
        <v>0.90277777777777779</v>
      </c>
      <c r="J5237" t="s">
        <v>97</v>
      </c>
      <c r="K5237" t="s">
        <v>61</v>
      </c>
      <c r="L5237" s="12">
        <v>0.92361111111111116</v>
      </c>
      <c r="M5237" t="s">
        <v>33</v>
      </c>
      <c r="N5237" s="3">
        <v>189</v>
      </c>
      <c r="O5237" t="s">
        <v>24</v>
      </c>
      <c r="P5237" t="s">
        <v>79</v>
      </c>
      <c r="R5237">
        <f>tblDailySchedule[[#This Row],[Capacity Approx]]*'[1]Load Factor Sheet June Acft  '!$B$5</f>
        <v>153.04704545454547</v>
      </c>
      <c r="S5237">
        <f>tblDailySchedule[[#This Row],[Capacity Approx]]*'[1]Load Factor Sheet June Acft  '!$D$5</f>
        <v>165.71863636363636</v>
      </c>
      <c r="T5237" s="22">
        <f>tblDailySchedule[[#This Row],[STD]]</f>
        <v>0.92361111111111116</v>
      </c>
    </row>
    <row r="5238" spans="1:20" hidden="1" x14ac:dyDescent="0.35">
      <c r="A5238" s="11">
        <v>46298</v>
      </c>
      <c r="B5238" s="3">
        <v>6</v>
      </c>
      <c r="C5238" t="s">
        <v>116</v>
      </c>
      <c r="D5238" t="s">
        <v>18</v>
      </c>
      <c r="E5238" s="3">
        <v>29</v>
      </c>
      <c r="F5238" t="s">
        <v>19</v>
      </c>
      <c r="G5238" t="s">
        <v>98</v>
      </c>
      <c r="H5238" t="s">
        <v>21</v>
      </c>
      <c r="I5238" s="12">
        <v>0.92013888888888884</v>
      </c>
      <c r="J5238" t="s">
        <v>99</v>
      </c>
      <c r="K5238" t="s">
        <v>21</v>
      </c>
      <c r="L5238" s="12">
        <v>0.94791666666666663</v>
      </c>
      <c r="M5238" t="s">
        <v>63</v>
      </c>
      <c r="N5238" s="3">
        <v>232</v>
      </c>
      <c r="O5238" t="s">
        <v>24</v>
      </c>
      <c r="P5238" t="s">
        <v>79</v>
      </c>
      <c r="R5238">
        <f>tblDailySchedule[[#This Row],[Capacity Approx]]*'[1]Load Factor Sheet June Acft  '!$B$5</f>
        <v>187.86727272727273</v>
      </c>
      <c r="S5238">
        <f>tblDailySchedule[[#This Row],[Capacity Approx]]*'[1]Load Factor Sheet June Acft  '!$D$5</f>
        <v>203.4218181818182</v>
      </c>
      <c r="T5238" s="22">
        <f>tblDailySchedule[[#This Row],[STD]]</f>
        <v>0.94791666666666663</v>
      </c>
    </row>
    <row r="5239" spans="1:20" hidden="1" x14ac:dyDescent="0.35">
      <c r="A5239" s="13">
        <v>46298</v>
      </c>
      <c r="B5239" s="7">
        <v>6</v>
      </c>
      <c r="C5239" s="14" t="s">
        <v>116</v>
      </c>
      <c r="D5239" s="14" t="s">
        <v>18</v>
      </c>
      <c r="E5239" s="7">
        <v>30</v>
      </c>
      <c r="F5239" s="14" t="s">
        <v>104</v>
      </c>
      <c r="G5239" s="14" t="s">
        <v>105</v>
      </c>
      <c r="H5239" s="14" t="s">
        <v>106</v>
      </c>
      <c r="I5239" s="15">
        <v>0.92708333333333337</v>
      </c>
      <c r="J5239" s="14" t="s">
        <v>107</v>
      </c>
      <c r="K5239" s="14" t="s">
        <v>106</v>
      </c>
      <c r="L5239" s="15">
        <v>0.95833333333333337</v>
      </c>
      <c r="M5239" s="14" t="s">
        <v>38</v>
      </c>
      <c r="N5239" s="7">
        <v>186</v>
      </c>
      <c r="O5239" s="14" t="s">
        <v>39</v>
      </c>
      <c r="P5239" s="14" t="s">
        <v>79</v>
      </c>
      <c r="Q5239" s="14" t="s">
        <v>39</v>
      </c>
      <c r="R5239">
        <f>tblDailySchedule[[#This Row],[Capacity Approx]]*'[1]Load Factor Sheet June Acft  '!$B$5</f>
        <v>150.61772727272728</v>
      </c>
      <c r="S5239">
        <f>tblDailySchedule[[#This Row],[Capacity Approx]]*'[1]Load Factor Sheet June Acft  '!$D$5</f>
        <v>163.08818181818182</v>
      </c>
      <c r="T5239" s="22">
        <f>tblDailySchedule[[#This Row],[STD]]</f>
        <v>0.95833333333333337</v>
      </c>
    </row>
    <row r="5240" spans="1:20" hidden="1" x14ac:dyDescent="0.35">
      <c r="A5240" s="11">
        <v>46299</v>
      </c>
      <c r="B5240" s="3">
        <v>7</v>
      </c>
      <c r="C5240" t="s">
        <v>17</v>
      </c>
      <c r="D5240" t="s">
        <v>18</v>
      </c>
      <c r="E5240" s="3">
        <v>2</v>
      </c>
      <c r="F5240" t="s">
        <v>19</v>
      </c>
      <c r="G5240" t="s">
        <v>20</v>
      </c>
      <c r="H5240" t="s">
        <v>21</v>
      </c>
      <c r="I5240" s="12">
        <v>0.31944444444444442</v>
      </c>
      <c r="J5240" t="s">
        <v>22</v>
      </c>
      <c r="K5240" t="s">
        <v>21</v>
      </c>
      <c r="L5240" s="12">
        <v>0.34722222222222221</v>
      </c>
      <c r="M5240" t="s">
        <v>23</v>
      </c>
      <c r="N5240" s="3">
        <v>186</v>
      </c>
      <c r="O5240" t="s">
        <v>24</v>
      </c>
      <c r="P5240" t="s">
        <v>25</v>
      </c>
      <c r="R5240">
        <f>tblDailySchedule[[#This Row],[Capacity Approx]]*'[1]Load Factor Sheet June Acft  '!$B$5</f>
        <v>150.61772727272728</v>
      </c>
      <c r="S5240">
        <f>tblDailySchedule[[#This Row],[Capacity Approx]]*'[1]Load Factor Sheet June Acft  '!$D$5</f>
        <v>163.08818181818182</v>
      </c>
      <c r="T5240" s="22">
        <f>tblDailySchedule[[#This Row],[STD]]</f>
        <v>0.34722222222222221</v>
      </c>
    </row>
    <row r="5241" spans="1:20" hidden="1" x14ac:dyDescent="0.35">
      <c r="A5241" s="11">
        <v>46299</v>
      </c>
      <c r="B5241" s="3">
        <v>7</v>
      </c>
      <c r="C5241" t="s">
        <v>17</v>
      </c>
      <c r="D5241" t="s">
        <v>18</v>
      </c>
      <c r="E5241" s="3">
        <v>3</v>
      </c>
      <c r="F5241" t="s">
        <v>19</v>
      </c>
      <c r="G5241" t="s">
        <v>26</v>
      </c>
      <c r="H5241" t="s">
        <v>27</v>
      </c>
      <c r="I5241" s="12">
        <v>0.3263888888888889</v>
      </c>
      <c r="J5241" t="s">
        <v>28</v>
      </c>
      <c r="K5241" t="s">
        <v>27</v>
      </c>
      <c r="L5241" s="12">
        <v>0.35416666666666669</v>
      </c>
      <c r="M5241" t="s">
        <v>29</v>
      </c>
      <c r="N5241" s="3">
        <v>186</v>
      </c>
      <c r="O5241" t="s">
        <v>24</v>
      </c>
      <c r="P5241" t="s">
        <v>25</v>
      </c>
      <c r="R5241">
        <f>tblDailySchedule[[#This Row],[Capacity Approx]]*'[1]Load Factor Sheet June Acft  '!$B$5</f>
        <v>150.61772727272728</v>
      </c>
      <c r="S5241">
        <f>tblDailySchedule[[#This Row],[Capacity Approx]]*'[1]Load Factor Sheet June Acft  '!$D$5</f>
        <v>163.08818181818182</v>
      </c>
      <c r="T5241" s="22">
        <f>tblDailySchedule[[#This Row],[STD]]</f>
        <v>0.35416666666666669</v>
      </c>
    </row>
    <row r="5242" spans="1:20" hidden="1" x14ac:dyDescent="0.35">
      <c r="A5242" s="11">
        <v>46299</v>
      </c>
      <c r="B5242" s="3">
        <v>7</v>
      </c>
      <c r="C5242" t="s">
        <v>17</v>
      </c>
      <c r="D5242" t="s">
        <v>18</v>
      </c>
      <c r="E5242" s="3">
        <v>4</v>
      </c>
      <c r="F5242" t="s">
        <v>19</v>
      </c>
      <c r="G5242" t="s">
        <v>30</v>
      </c>
      <c r="H5242" t="s">
        <v>31</v>
      </c>
      <c r="I5242" s="12">
        <v>0.34722222222222221</v>
      </c>
      <c r="J5242" t="s">
        <v>32</v>
      </c>
      <c r="K5242" t="s">
        <v>31</v>
      </c>
      <c r="L5242" s="12">
        <v>0.36805555555555558</v>
      </c>
      <c r="M5242" t="s">
        <v>33</v>
      </c>
      <c r="N5242" s="3">
        <v>189</v>
      </c>
      <c r="O5242" t="s">
        <v>24</v>
      </c>
      <c r="P5242" t="s">
        <v>25</v>
      </c>
      <c r="R5242">
        <f>tblDailySchedule[[#This Row],[Capacity Approx]]*'[1]Load Factor Sheet June Acft  '!$B$5</f>
        <v>153.04704545454547</v>
      </c>
      <c r="S5242">
        <f>tblDailySchedule[[#This Row],[Capacity Approx]]*'[1]Load Factor Sheet June Acft  '!$D$5</f>
        <v>165.71863636363636</v>
      </c>
      <c r="T5242" s="22">
        <f>tblDailySchedule[[#This Row],[STD]]</f>
        <v>0.36805555555555558</v>
      </c>
    </row>
    <row r="5243" spans="1:20" hidden="1" x14ac:dyDescent="0.35">
      <c r="A5243" s="13">
        <v>46299</v>
      </c>
      <c r="B5243" s="7">
        <v>7</v>
      </c>
      <c r="C5243" s="14" t="s">
        <v>17</v>
      </c>
      <c r="D5243" s="14" t="s">
        <v>18</v>
      </c>
      <c r="E5243" s="7">
        <v>6</v>
      </c>
      <c r="F5243" s="14" t="s">
        <v>34</v>
      </c>
      <c r="G5243" s="14" t="s">
        <v>35</v>
      </c>
      <c r="H5243" s="14" t="s">
        <v>36</v>
      </c>
      <c r="I5243" s="15">
        <v>0.34722222222222221</v>
      </c>
      <c r="J5243" s="14" t="s">
        <v>37</v>
      </c>
      <c r="K5243" s="14" t="s">
        <v>36</v>
      </c>
      <c r="L5243" s="15">
        <v>0.40972222222222221</v>
      </c>
      <c r="M5243" s="14" t="s">
        <v>38</v>
      </c>
      <c r="N5243" s="7">
        <v>186</v>
      </c>
      <c r="O5243" s="14" t="s">
        <v>39</v>
      </c>
      <c r="P5243" s="14" t="s">
        <v>25</v>
      </c>
      <c r="Q5243" s="14" t="s">
        <v>39</v>
      </c>
      <c r="R5243">
        <f>tblDailySchedule[[#This Row],[Capacity Approx]]*'[1]Load Factor Sheet June Acft  '!$B$5</f>
        <v>150.61772727272728</v>
      </c>
      <c r="S5243">
        <f>tblDailySchedule[[#This Row],[Capacity Approx]]*'[1]Load Factor Sheet June Acft  '!$D$5</f>
        <v>163.08818181818182</v>
      </c>
      <c r="T5243" s="22">
        <f>tblDailySchedule[[#This Row],[STD]]</f>
        <v>0.40972222222222221</v>
      </c>
    </row>
    <row r="5244" spans="1:20" hidden="1" x14ac:dyDescent="0.35">
      <c r="A5244" s="11">
        <v>46299</v>
      </c>
      <c r="B5244" s="3">
        <v>7</v>
      </c>
      <c r="C5244" t="s">
        <v>17</v>
      </c>
      <c r="D5244" t="s">
        <v>18</v>
      </c>
      <c r="E5244" s="3">
        <v>5</v>
      </c>
      <c r="F5244" t="s">
        <v>19</v>
      </c>
      <c r="G5244" t="s">
        <v>40</v>
      </c>
      <c r="H5244" t="s">
        <v>31</v>
      </c>
      <c r="I5244" s="12">
        <v>0.35069444444444442</v>
      </c>
      <c r="J5244" t="s">
        <v>41</v>
      </c>
      <c r="K5244" t="s">
        <v>31</v>
      </c>
      <c r="L5244" s="12">
        <v>0.37152777777777779</v>
      </c>
      <c r="M5244" t="s">
        <v>23</v>
      </c>
      <c r="N5244" s="3">
        <v>186</v>
      </c>
      <c r="O5244" t="s">
        <v>24</v>
      </c>
      <c r="P5244" t="s">
        <v>25</v>
      </c>
      <c r="R5244">
        <f>tblDailySchedule[[#This Row],[Capacity Approx]]*'[1]Load Factor Sheet June Acft  '!$B$5</f>
        <v>150.61772727272728</v>
      </c>
      <c r="S5244">
        <f>tblDailySchedule[[#This Row],[Capacity Approx]]*'[1]Load Factor Sheet June Acft  '!$D$5</f>
        <v>163.08818181818182</v>
      </c>
      <c r="T5244" s="22">
        <f>tblDailySchedule[[#This Row],[STD]]</f>
        <v>0.37152777777777779</v>
      </c>
    </row>
    <row r="5245" spans="1:20" hidden="1" x14ac:dyDescent="0.35">
      <c r="A5245" s="11">
        <v>46299</v>
      </c>
      <c r="B5245" s="3">
        <v>7</v>
      </c>
      <c r="C5245" t="s">
        <v>17</v>
      </c>
      <c r="D5245" t="s">
        <v>18</v>
      </c>
      <c r="E5245" s="3">
        <v>7</v>
      </c>
      <c r="F5245" t="s">
        <v>19</v>
      </c>
      <c r="G5245" t="s">
        <v>42</v>
      </c>
      <c r="H5245" t="s">
        <v>43</v>
      </c>
      <c r="I5245" s="12">
        <v>0.3923611111111111</v>
      </c>
      <c r="J5245" t="s">
        <v>44</v>
      </c>
      <c r="K5245" t="s">
        <v>43</v>
      </c>
      <c r="L5245" s="12">
        <v>0.40277777777777779</v>
      </c>
      <c r="M5245" t="s">
        <v>45</v>
      </c>
      <c r="N5245" s="3">
        <v>9</v>
      </c>
      <c r="O5245" t="s">
        <v>24</v>
      </c>
      <c r="P5245" t="s">
        <v>25</v>
      </c>
      <c r="R5245">
        <f>tblDailySchedule[[#This Row],[Capacity Approx]]*'[1]Load Factor Sheet June Acft  '!$B$5</f>
        <v>7.2879545454545456</v>
      </c>
      <c r="S5245">
        <f>tblDailySchedule[[#This Row],[Capacity Approx]]*'[1]Load Factor Sheet June Acft  '!$D$5</f>
        <v>7.8913636363636366</v>
      </c>
      <c r="T5245" s="22">
        <f>tblDailySchedule[[#This Row],[STD]]</f>
        <v>0.40277777777777779</v>
      </c>
    </row>
    <row r="5246" spans="1:20" hidden="1" x14ac:dyDescent="0.35">
      <c r="A5246" s="11">
        <v>46299</v>
      </c>
      <c r="B5246" s="3">
        <v>7</v>
      </c>
      <c r="C5246" t="s">
        <v>17</v>
      </c>
      <c r="D5246" t="s">
        <v>18</v>
      </c>
      <c r="E5246" s="3">
        <v>8</v>
      </c>
      <c r="F5246" t="s">
        <v>19</v>
      </c>
      <c r="G5246" t="s">
        <v>46</v>
      </c>
      <c r="H5246" t="s">
        <v>31</v>
      </c>
      <c r="I5246" s="12">
        <v>0.4201388888888889</v>
      </c>
      <c r="J5246" t="s">
        <v>47</v>
      </c>
      <c r="K5246" t="s">
        <v>31</v>
      </c>
      <c r="L5246" s="12">
        <v>0.44444444444444442</v>
      </c>
      <c r="M5246" t="s">
        <v>29</v>
      </c>
      <c r="N5246" s="3">
        <v>186</v>
      </c>
      <c r="O5246" t="s">
        <v>24</v>
      </c>
      <c r="P5246" t="s">
        <v>25</v>
      </c>
      <c r="R5246">
        <f>tblDailySchedule[[#This Row],[Capacity Approx]]*'[1]Load Factor Sheet June Acft  '!$B$5</f>
        <v>150.61772727272728</v>
      </c>
      <c r="S5246">
        <f>tblDailySchedule[[#This Row],[Capacity Approx]]*'[1]Load Factor Sheet June Acft  '!$D$5</f>
        <v>163.08818181818182</v>
      </c>
      <c r="T5246" s="22">
        <f>tblDailySchedule[[#This Row],[STD]]</f>
        <v>0.44444444444444442</v>
      </c>
    </row>
    <row r="5247" spans="1:20" hidden="1" x14ac:dyDescent="0.35">
      <c r="A5247" s="11">
        <v>46299</v>
      </c>
      <c r="B5247" s="3">
        <v>7</v>
      </c>
      <c r="C5247" t="s">
        <v>17</v>
      </c>
      <c r="D5247" t="s">
        <v>18</v>
      </c>
      <c r="E5247" s="3">
        <v>9</v>
      </c>
      <c r="F5247" t="s">
        <v>19</v>
      </c>
      <c r="G5247" t="s">
        <v>48</v>
      </c>
      <c r="H5247" t="s">
        <v>49</v>
      </c>
      <c r="I5247" s="12">
        <v>0.4375</v>
      </c>
      <c r="J5247" t="s">
        <v>50</v>
      </c>
      <c r="K5247" t="s">
        <v>49</v>
      </c>
      <c r="L5247" s="12">
        <v>0.45833333333333331</v>
      </c>
      <c r="M5247" t="s">
        <v>51</v>
      </c>
      <c r="N5247" s="3">
        <v>78</v>
      </c>
      <c r="O5247" t="s">
        <v>24</v>
      </c>
      <c r="P5247" t="s">
        <v>25</v>
      </c>
      <c r="R5247">
        <f>tblDailySchedule[[#This Row],[Capacity Approx]]*'[1]Load Factor Sheet June Acft  '!$B$5</f>
        <v>63.162272727272729</v>
      </c>
      <c r="S5247">
        <f>tblDailySchedule[[#This Row],[Capacity Approx]]*'[1]Load Factor Sheet June Acft  '!$D$5</f>
        <v>68.391818181818181</v>
      </c>
      <c r="T5247" s="22">
        <f>tblDailySchedule[[#This Row],[STD]]</f>
        <v>0.45833333333333331</v>
      </c>
    </row>
    <row r="5248" spans="1:20" hidden="1" x14ac:dyDescent="0.35">
      <c r="A5248" s="11">
        <v>46299</v>
      </c>
      <c r="B5248" s="3">
        <v>7</v>
      </c>
      <c r="C5248" t="s">
        <v>17</v>
      </c>
      <c r="D5248" t="s">
        <v>18</v>
      </c>
      <c r="E5248" s="3">
        <v>10</v>
      </c>
      <c r="F5248" t="s">
        <v>19</v>
      </c>
      <c r="G5248" t="s">
        <v>52</v>
      </c>
      <c r="H5248" t="s">
        <v>27</v>
      </c>
      <c r="I5248" s="12">
        <v>0.4826388888888889</v>
      </c>
      <c r="J5248" t="s">
        <v>53</v>
      </c>
      <c r="K5248" t="s">
        <v>27</v>
      </c>
      <c r="L5248" s="12">
        <v>0.51041666666666663</v>
      </c>
      <c r="M5248" t="s">
        <v>23</v>
      </c>
      <c r="N5248" s="3">
        <v>186</v>
      </c>
      <c r="O5248" t="s">
        <v>24</v>
      </c>
      <c r="P5248" t="s">
        <v>25</v>
      </c>
      <c r="R5248">
        <f>tblDailySchedule[[#This Row],[Capacity Approx]]*'[1]Load Factor Sheet June Acft  '!$B$5</f>
        <v>150.61772727272728</v>
      </c>
      <c r="S5248">
        <f>tblDailySchedule[[#This Row],[Capacity Approx]]*'[1]Load Factor Sheet June Acft  '!$D$5</f>
        <v>163.08818181818182</v>
      </c>
      <c r="T5248" s="22">
        <f>tblDailySchedule[[#This Row],[STD]]</f>
        <v>0.51041666666666663</v>
      </c>
    </row>
    <row r="5249" spans="1:20" hidden="1" x14ac:dyDescent="0.35">
      <c r="A5249" s="11">
        <v>46299</v>
      </c>
      <c r="B5249" s="3">
        <v>7</v>
      </c>
      <c r="C5249" t="s">
        <v>17</v>
      </c>
      <c r="D5249" t="s">
        <v>18</v>
      </c>
      <c r="E5249" s="3">
        <v>11</v>
      </c>
      <c r="F5249" t="s">
        <v>19</v>
      </c>
      <c r="G5249" t="s">
        <v>54</v>
      </c>
      <c r="H5249" t="s">
        <v>31</v>
      </c>
      <c r="I5249" s="12">
        <v>0.51388888888888884</v>
      </c>
      <c r="J5249" t="s">
        <v>55</v>
      </c>
      <c r="K5249" t="s">
        <v>31</v>
      </c>
      <c r="L5249" s="12">
        <v>0.54166666666666663</v>
      </c>
      <c r="M5249" t="s">
        <v>23</v>
      </c>
      <c r="N5249" s="3">
        <v>186</v>
      </c>
      <c r="O5249" t="s">
        <v>24</v>
      </c>
      <c r="P5249" t="s">
        <v>56</v>
      </c>
      <c r="R5249">
        <f>tblDailySchedule[[#This Row],[Capacity Approx]]*'[1]Load Factor Sheet June Acft  '!$B$5</f>
        <v>150.61772727272728</v>
      </c>
      <c r="S5249">
        <f>tblDailySchedule[[#This Row],[Capacity Approx]]*'[1]Load Factor Sheet June Acft  '!$D$5</f>
        <v>163.08818181818182</v>
      </c>
      <c r="T5249" s="22">
        <f>tblDailySchedule[[#This Row],[STD]]</f>
        <v>0.54166666666666663</v>
      </c>
    </row>
    <row r="5250" spans="1:20" hidden="1" x14ac:dyDescent="0.35">
      <c r="A5250" s="11">
        <v>46299</v>
      </c>
      <c r="B5250" s="3">
        <v>7</v>
      </c>
      <c r="C5250" t="s">
        <v>17</v>
      </c>
      <c r="D5250" t="s">
        <v>18</v>
      </c>
      <c r="E5250" s="3">
        <v>13</v>
      </c>
      <c r="F5250" t="s">
        <v>19</v>
      </c>
      <c r="G5250" t="s">
        <v>57</v>
      </c>
      <c r="H5250" t="s">
        <v>58</v>
      </c>
      <c r="I5250" s="12">
        <v>0.55902777777777779</v>
      </c>
      <c r="J5250" t="s">
        <v>59</v>
      </c>
      <c r="K5250" t="s">
        <v>58</v>
      </c>
      <c r="L5250" s="12">
        <v>0.57638888888888884</v>
      </c>
      <c r="M5250" t="s">
        <v>51</v>
      </c>
      <c r="N5250" s="3">
        <v>78</v>
      </c>
      <c r="O5250" t="s">
        <v>24</v>
      </c>
      <c r="P5250" t="s">
        <v>56</v>
      </c>
      <c r="R5250">
        <f>tblDailySchedule[[#This Row],[Capacity Approx]]*'[1]Load Factor Sheet June Acft  '!$B$5</f>
        <v>63.162272727272729</v>
      </c>
      <c r="S5250">
        <f>tblDailySchedule[[#This Row],[Capacity Approx]]*'[1]Load Factor Sheet June Acft  '!$D$5</f>
        <v>68.391818181818181</v>
      </c>
      <c r="T5250" s="22">
        <f>tblDailySchedule[[#This Row],[STD]]</f>
        <v>0.57638888888888884</v>
      </c>
    </row>
    <row r="5251" spans="1:20" hidden="1" x14ac:dyDescent="0.35">
      <c r="A5251" s="11">
        <v>46299</v>
      </c>
      <c r="B5251" s="3">
        <v>7</v>
      </c>
      <c r="C5251" t="s">
        <v>17</v>
      </c>
      <c r="D5251" t="s">
        <v>18</v>
      </c>
      <c r="E5251" s="3">
        <v>14</v>
      </c>
      <c r="F5251" t="s">
        <v>19</v>
      </c>
      <c r="G5251" t="s">
        <v>60</v>
      </c>
      <c r="H5251" t="s">
        <v>61</v>
      </c>
      <c r="I5251" s="12">
        <v>0.59027777777777779</v>
      </c>
      <c r="J5251" t="s">
        <v>62</v>
      </c>
      <c r="K5251" t="s">
        <v>61</v>
      </c>
      <c r="L5251" s="12">
        <v>0.62152777777777779</v>
      </c>
      <c r="M5251" t="s">
        <v>63</v>
      </c>
      <c r="N5251" s="3">
        <v>232</v>
      </c>
      <c r="O5251" t="s">
        <v>24</v>
      </c>
      <c r="P5251" t="s">
        <v>56</v>
      </c>
      <c r="R5251">
        <f>tblDailySchedule[[#This Row],[Capacity Approx]]*'[1]Load Factor Sheet June Acft  '!$B$5</f>
        <v>187.86727272727273</v>
      </c>
      <c r="S5251">
        <f>tblDailySchedule[[#This Row],[Capacity Approx]]*'[1]Load Factor Sheet June Acft  '!$D$5</f>
        <v>203.4218181818182</v>
      </c>
      <c r="T5251" s="22">
        <f>tblDailySchedule[[#This Row],[STD]]</f>
        <v>0.62152777777777779</v>
      </c>
    </row>
    <row r="5252" spans="1:20" hidden="1" x14ac:dyDescent="0.35">
      <c r="A5252" s="11">
        <v>46299</v>
      </c>
      <c r="B5252" s="3">
        <v>7</v>
      </c>
      <c r="C5252" t="s">
        <v>17</v>
      </c>
      <c r="D5252" t="s">
        <v>18</v>
      </c>
      <c r="E5252" s="3">
        <v>15</v>
      </c>
      <c r="F5252" t="s">
        <v>19</v>
      </c>
      <c r="G5252" t="s">
        <v>64</v>
      </c>
      <c r="H5252" t="s">
        <v>31</v>
      </c>
      <c r="I5252" s="12">
        <v>0.60069444444444442</v>
      </c>
      <c r="J5252" t="s">
        <v>65</v>
      </c>
      <c r="K5252" t="s">
        <v>66</v>
      </c>
      <c r="L5252" s="12">
        <v>0.62847222222222221</v>
      </c>
      <c r="M5252" t="s">
        <v>63</v>
      </c>
      <c r="N5252" s="3">
        <v>232</v>
      </c>
      <c r="O5252" t="s">
        <v>24</v>
      </c>
      <c r="P5252" t="s">
        <v>56</v>
      </c>
      <c r="R5252">
        <f>tblDailySchedule[[#This Row],[Capacity Approx]]*'[1]Load Factor Sheet June Acft  '!$B$5</f>
        <v>187.86727272727273</v>
      </c>
      <c r="S5252">
        <f>tblDailySchedule[[#This Row],[Capacity Approx]]*'[1]Load Factor Sheet June Acft  '!$D$5</f>
        <v>203.4218181818182</v>
      </c>
      <c r="T5252" s="22">
        <f>tblDailySchedule[[#This Row],[STD]]</f>
        <v>0.62847222222222221</v>
      </c>
    </row>
    <row r="5253" spans="1:20" hidden="1" x14ac:dyDescent="0.35">
      <c r="A5253" s="11">
        <v>46299</v>
      </c>
      <c r="B5253" s="3">
        <v>7</v>
      </c>
      <c r="C5253" t="s">
        <v>17</v>
      </c>
      <c r="D5253" t="s">
        <v>18</v>
      </c>
      <c r="E5253" s="3">
        <v>16</v>
      </c>
      <c r="F5253" t="s">
        <v>19</v>
      </c>
      <c r="G5253" t="s">
        <v>67</v>
      </c>
      <c r="H5253" t="s">
        <v>31</v>
      </c>
      <c r="I5253" s="12">
        <v>0.65625</v>
      </c>
      <c r="J5253" t="s">
        <v>68</v>
      </c>
      <c r="K5253" t="s">
        <v>31</v>
      </c>
      <c r="L5253" s="12">
        <v>0.68402777777777779</v>
      </c>
      <c r="M5253" t="s">
        <v>63</v>
      </c>
      <c r="N5253" s="3">
        <v>232</v>
      </c>
      <c r="O5253" t="s">
        <v>24</v>
      </c>
      <c r="P5253" t="s">
        <v>56</v>
      </c>
      <c r="R5253">
        <f>tblDailySchedule[[#This Row],[Capacity Approx]]*'[1]Load Factor Sheet June Acft  '!$B$5</f>
        <v>187.86727272727273</v>
      </c>
      <c r="S5253">
        <f>tblDailySchedule[[#This Row],[Capacity Approx]]*'[1]Load Factor Sheet June Acft  '!$D$5</f>
        <v>203.4218181818182</v>
      </c>
      <c r="T5253" s="22">
        <f>tblDailySchedule[[#This Row],[STD]]</f>
        <v>0.68402777777777779</v>
      </c>
    </row>
    <row r="5254" spans="1:20" hidden="1" x14ac:dyDescent="0.35">
      <c r="A5254" s="11">
        <v>46299</v>
      </c>
      <c r="B5254" s="3">
        <v>7</v>
      </c>
      <c r="C5254" t="s">
        <v>17</v>
      </c>
      <c r="D5254" t="s">
        <v>18</v>
      </c>
      <c r="E5254" s="3">
        <v>17</v>
      </c>
      <c r="F5254" t="s">
        <v>19</v>
      </c>
      <c r="G5254" t="s">
        <v>69</v>
      </c>
      <c r="H5254" t="s">
        <v>31</v>
      </c>
      <c r="I5254" s="12">
        <v>0.66319444444444442</v>
      </c>
      <c r="J5254" t="s">
        <v>70</v>
      </c>
      <c r="K5254" t="s">
        <v>31</v>
      </c>
      <c r="L5254" s="12">
        <v>0.69097222222222221</v>
      </c>
      <c r="M5254" t="s">
        <v>33</v>
      </c>
      <c r="N5254" s="3">
        <v>189</v>
      </c>
      <c r="O5254" t="s">
        <v>24</v>
      </c>
      <c r="P5254" t="s">
        <v>56</v>
      </c>
      <c r="R5254">
        <f>tblDailySchedule[[#This Row],[Capacity Approx]]*'[1]Load Factor Sheet June Acft  '!$B$5</f>
        <v>153.04704545454547</v>
      </c>
      <c r="S5254">
        <f>tblDailySchedule[[#This Row],[Capacity Approx]]*'[1]Load Factor Sheet June Acft  '!$D$5</f>
        <v>165.71863636363636</v>
      </c>
      <c r="T5254" s="22">
        <f>tblDailySchedule[[#This Row],[STD]]</f>
        <v>0.69097222222222221</v>
      </c>
    </row>
    <row r="5255" spans="1:20" hidden="1" x14ac:dyDescent="0.35">
      <c r="A5255" s="11">
        <v>46299</v>
      </c>
      <c r="B5255" s="3">
        <v>7</v>
      </c>
      <c r="C5255" t="s">
        <v>17</v>
      </c>
      <c r="D5255" t="s">
        <v>18</v>
      </c>
      <c r="E5255" s="3">
        <v>18</v>
      </c>
      <c r="F5255" t="s">
        <v>19</v>
      </c>
      <c r="G5255" t="s">
        <v>71</v>
      </c>
      <c r="H5255" t="s">
        <v>21</v>
      </c>
      <c r="I5255" s="12">
        <v>0.67013888888888884</v>
      </c>
      <c r="J5255" t="s">
        <v>72</v>
      </c>
      <c r="K5255" t="s">
        <v>21</v>
      </c>
      <c r="L5255" s="12">
        <v>0.69791666666666663</v>
      </c>
      <c r="M5255" t="s">
        <v>63</v>
      </c>
      <c r="N5255" s="3">
        <v>232</v>
      </c>
      <c r="O5255" t="s">
        <v>24</v>
      </c>
      <c r="P5255" t="s">
        <v>56</v>
      </c>
      <c r="R5255">
        <f>tblDailySchedule[[#This Row],[Capacity Approx]]*'[1]Load Factor Sheet June Acft  '!$B$5</f>
        <v>187.86727272727273</v>
      </c>
      <c r="S5255">
        <f>tblDailySchedule[[#This Row],[Capacity Approx]]*'[1]Load Factor Sheet June Acft  '!$D$5</f>
        <v>203.4218181818182</v>
      </c>
      <c r="T5255" s="22">
        <f>tblDailySchedule[[#This Row],[STD]]</f>
        <v>0.69791666666666663</v>
      </c>
    </row>
    <row r="5256" spans="1:20" hidden="1" x14ac:dyDescent="0.35">
      <c r="A5256" s="11">
        <v>46299</v>
      </c>
      <c r="B5256" s="3">
        <v>7</v>
      </c>
      <c r="C5256" t="s">
        <v>17</v>
      </c>
      <c r="D5256" t="s">
        <v>18</v>
      </c>
      <c r="E5256" s="3">
        <v>19</v>
      </c>
      <c r="F5256" t="s">
        <v>19</v>
      </c>
      <c r="G5256" t="s">
        <v>73</v>
      </c>
      <c r="H5256" t="s">
        <v>27</v>
      </c>
      <c r="I5256" s="12">
        <v>0.74652777777777779</v>
      </c>
      <c r="J5256" t="s">
        <v>74</v>
      </c>
      <c r="K5256" t="s">
        <v>27</v>
      </c>
      <c r="L5256" s="12">
        <v>0.77430555555555558</v>
      </c>
      <c r="M5256" t="s">
        <v>63</v>
      </c>
      <c r="N5256" s="3">
        <v>232</v>
      </c>
      <c r="O5256" t="s">
        <v>24</v>
      </c>
      <c r="P5256" t="s">
        <v>56</v>
      </c>
      <c r="R5256">
        <f>tblDailySchedule[[#This Row],[Capacity Approx]]*'[1]Load Factor Sheet June Acft  '!$B$5</f>
        <v>187.86727272727273</v>
      </c>
      <c r="S5256">
        <f>tblDailySchedule[[#This Row],[Capacity Approx]]*'[1]Load Factor Sheet June Acft  '!$D$5</f>
        <v>203.4218181818182</v>
      </c>
      <c r="T5256" s="22">
        <f>tblDailySchedule[[#This Row],[STD]]</f>
        <v>0.77430555555555558</v>
      </c>
    </row>
    <row r="5257" spans="1:20" hidden="1" x14ac:dyDescent="0.35">
      <c r="A5257" s="11">
        <v>46299</v>
      </c>
      <c r="B5257" s="3">
        <v>7</v>
      </c>
      <c r="C5257" t="s">
        <v>17</v>
      </c>
      <c r="D5257" t="s">
        <v>18</v>
      </c>
      <c r="E5257" s="3">
        <v>20</v>
      </c>
      <c r="F5257" t="s">
        <v>34</v>
      </c>
      <c r="G5257" t="s">
        <v>75</v>
      </c>
      <c r="H5257" t="s">
        <v>76</v>
      </c>
      <c r="I5257" s="12">
        <v>0.76388888888888884</v>
      </c>
      <c r="J5257" t="s">
        <v>77</v>
      </c>
      <c r="K5257" t="s">
        <v>78</v>
      </c>
      <c r="L5257" s="12">
        <v>0.78472222222222221</v>
      </c>
      <c r="M5257" t="s">
        <v>51</v>
      </c>
      <c r="N5257" s="3">
        <v>78</v>
      </c>
      <c r="O5257" t="s">
        <v>24</v>
      </c>
      <c r="P5257" t="s">
        <v>79</v>
      </c>
      <c r="Q5257" s="16" t="s">
        <v>80</v>
      </c>
      <c r="R5257">
        <f>tblDailySchedule[[#This Row],[Capacity Approx]]*'[1]Load Factor Sheet June Acft  '!$B$5</f>
        <v>63.162272727272729</v>
      </c>
      <c r="S5257">
        <f>tblDailySchedule[[#This Row],[Capacity Approx]]*'[1]Load Factor Sheet June Acft  '!$D$5</f>
        <v>68.391818181818181</v>
      </c>
      <c r="T5257" s="22">
        <f>tblDailySchedule[[#This Row],[STD]]</f>
        <v>0.78472222222222221</v>
      </c>
    </row>
    <row r="5258" spans="1:20" hidden="1" x14ac:dyDescent="0.35">
      <c r="A5258" s="11">
        <v>46299</v>
      </c>
      <c r="B5258" s="3">
        <v>7</v>
      </c>
      <c r="C5258" t="s">
        <v>17</v>
      </c>
      <c r="D5258" t="s">
        <v>18</v>
      </c>
      <c r="E5258" s="3">
        <v>21</v>
      </c>
      <c r="F5258" t="s">
        <v>19</v>
      </c>
      <c r="G5258" t="s">
        <v>81</v>
      </c>
      <c r="H5258" t="s">
        <v>61</v>
      </c>
      <c r="I5258" s="12">
        <v>0.77083333333333337</v>
      </c>
      <c r="J5258" t="s">
        <v>82</v>
      </c>
      <c r="K5258" t="s">
        <v>49</v>
      </c>
      <c r="L5258" s="12">
        <v>0.79166666666666663</v>
      </c>
      <c r="M5258" t="s">
        <v>33</v>
      </c>
      <c r="N5258" s="3">
        <v>189</v>
      </c>
      <c r="O5258" t="s">
        <v>24</v>
      </c>
      <c r="P5258" t="s">
        <v>79</v>
      </c>
      <c r="R5258">
        <f>tblDailySchedule[[#This Row],[Capacity Approx]]*'[1]Load Factor Sheet June Acft  '!$B$5</f>
        <v>153.04704545454547</v>
      </c>
      <c r="S5258">
        <f>tblDailySchedule[[#This Row],[Capacity Approx]]*'[1]Load Factor Sheet June Acft  '!$D$5</f>
        <v>165.71863636363636</v>
      </c>
      <c r="T5258" s="22">
        <f>tblDailySchedule[[#This Row],[STD]]</f>
        <v>0.79166666666666663</v>
      </c>
    </row>
    <row r="5259" spans="1:20" hidden="1" x14ac:dyDescent="0.35">
      <c r="A5259" s="11">
        <v>46299</v>
      </c>
      <c r="B5259" s="3">
        <v>7</v>
      </c>
      <c r="C5259" t="s">
        <v>17</v>
      </c>
      <c r="D5259" t="s">
        <v>18</v>
      </c>
      <c r="E5259" s="3">
        <v>22</v>
      </c>
      <c r="F5259" t="s">
        <v>19</v>
      </c>
      <c r="G5259" t="s">
        <v>83</v>
      </c>
      <c r="H5259" t="s">
        <v>31</v>
      </c>
      <c r="I5259" s="12">
        <v>0.77777777777777779</v>
      </c>
      <c r="J5259" t="s">
        <v>84</v>
      </c>
      <c r="K5259" t="s">
        <v>31</v>
      </c>
      <c r="L5259" s="12">
        <v>0.80555555555555558</v>
      </c>
      <c r="M5259" t="s">
        <v>63</v>
      </c>
      <c r="N5259" s="3">
        <v>232</v>
      </c>
      <c r="O5259" t="s">
        <v>24</v>
      </c>
      <c r="P5259" t="s">
        <v>79</v>
      </c>
      <c r="R5259">
        <f>tblDailySchedule[[#This Row],[Capacity Approx]]*'[1]Load Factor Sheet June Acft  '!$B$5</f>
        <v>187.86727272727273</v>
      </c>
      <c r="S5259">
        <f>tblDailySchedule[[#This Row],[Capacity Approx]]*'[1]Load Factor Sheet June Acft  '!$D$5</f>
        <v>203.4218181818182</v>
      </c>
      <c r="T5259" s="22">
        <f>tblDailySchedule[[#This Row],[STD]]</f>
        <v>0.80555555555555558</v>
      </c>
    </row>
    <row r="5260" spans="1:20" hidden="1" x14ac:dyDescent="0.35">
      <c r="A5260" s="11">
        <v>46299</v>
      </c>
      <c r="B5260" s="3">
        <v>7</v>
      </c>
      <c r="C5260" t="s">
        <v>17</v>
      </c>
      <c r="D5260" t="s">
        <v>18</v>
      </c>
      <c r="E5260" s="3">
        <v>23</v>
      </c>
      <c r="F5260" t="s">
        <v>19</v>
      </c>
      <c r="G5260" t="s">
        <v>85</v>
      </c>
      <c r="H5260" t="s">
        <v>86</v>
      </c>
      <c r="I5260" s="12">
        <v>0.79861111111111116</v>
      </c>
      <c r="J5260" t="s">
        <v>87</v>
      </c>
      <c r="K5260" t="s">
        <v>86</v>
      </c>
      <c r="L5260" s="12">
        <v>0.82638888888888884</v>
      </c>
      <c r="M5260" t="s">
        <v>63</v>
      </c>
      <c r="N5260" s="3">
        <v>232</v>
      </c>
      <c r="O5260" t="s">
        <v>24</v>
      </c>
      <c r="P5260" t="s">
        <v>79</v>
      </c>
      <c r="R5260">
        <f>tblDailySchedule[[#This Row],[Capacity Approx]]*'[1]Load Factor Sheet June Acft  '!$B$5</f>
        <v>187.86727272727273</v>
      </c>
      <c r="S5260">
        <f>tblDailySchedule[[#This Row],[Capacity Approx]]*'[1]Load Factor Sheet June Acft  '!$D$5</f>
        <v>203.4218181818182</v>
      </c>
      <c r="T5260" s="22">
        <f>tblDailySchedule[[#This Row],[STD]]</f>
        <v>0.82638888888888884</v>
      </c>
    </row>
    <row r="5261" spans="1:20" hidden="1" x14ac:dyDescent="0.35">
      <c r="A5261" s="11">
        <v>46299</v>
      </c>
      <c r="B5261" s="3">
        <v>7</v>
      </c>
      <c r="C5261" t="s">
        <v>17</v>
      </c>
      <c r="D5261" t="s">
        <v>18</v>
      </c>
      <c r="E5261" s="3">
        <v>24</v>
      </c>
      <c r="F5261" t="s">
        <v>19</v>
      </c>
      <c r="G5261" t="s">
        <v>88</v>
      </c>
      <c r="H5261" t="s">
        <v>89</v>
      </c>
      <c r="I5261" s="12">
        <v>0.83333333333333337</v>
      </c>
      <c r="J5261" t="s">
        <v>90</v>
      </c>
      <c r="K5261" t="s">
        <v>31</v>
      </c>
      <c r="L5261" s="12">
        <v>0.86111111111111116</v>
      </c>
      <c r="M5261" t="s">
        <v>63</v>
      </c>
      <c r="N5261" s="3">
        <v>232</v>
      </c>
      <c r="O5261" t="s">
        <v>24</v>
      </c>
      <c r="P5261" t="s">
        <v>79</v>
      </c>
      <c r="R5261">
        <f>tblDailySchedule[[#This Row],[Capacity Approx]]*'[1]Load Factor Sheet June Acft  '!$B$5</f>
        <v>187.86727272727273</v>
      </c>
      <c r="S5261">
        <f>tblDailySchedule[[#This Row],[Capacity Approx]]*'[1]Load Factor Sheet June Acft  '!$D$5</f>
        <v>203.4218181818182</v>
      </c>
      <c r="T5261" s="22">
        <f>tblDailySchedule[[#This Row],[STD]]</f>
        <v>0.86111111111111116</v>
      </c>
    </row>
    <row r="5262" spans="1:20" hidden="1" x14ac:dyDescent="0.35">
      <c r="A5262" s="11">
        <v>46299</v>
      </c>
      <c r="B5262" s="3">
        <v>7</v>
      </c>
      <c r="C5262" t="s">
        <v>17</v>
      </c>
      <c r="D5262" t="s">
        <v>18</v>
      </c>
      <c r="E5262" s="3">
        <v>25</v>
      </c>
      <c r="F5262" t="s">
        <v>19</v>
      </c>
      <c r="G5262" t="s">
        <v>91</v>
      </c>
      <c r="H5262" t="s">
        <v>61</v>
      </c>
      <c r="I5262" s="12">
        <v>0.85416666666666663</v>
      </c>
      <c r="J5262" t="s">
        <v>92</v>
      </c>
      <c r="K5262" t="s">
        <v>61</v>
      </c>
      <c r="L5262" s="12">
        <v>0.88194444444444442</v>
      </c>
      <c r="M5262" t="s">
        <v>63</v>
      </c>
      <c r="N5262" s="3">
        <v>232</v>
      </c>
      <c r="O5262" t="s">
        <v>24</v>
      </c>
      <c r="P5262" t="s">
        <v>79</v>
      </c>
      <c r="R5262">
        <f>tblDailySchedule[[#This Row],[Capacity Approx]]*'[1]Load Factor Sheet June Acft  '!$B$5</f>
        <v>187.86727272727273</v>
      </c>
      <c r="S5262">
        <f>tblDailySchedule[[#This Row],[Capacity Approx]]*'[1]Load Factor Sheet June Acft  '!$D$5</f>
        <v>203.4218181818182</v>
      </c>
      <c r="T5262" s="22">
        <f>tblDailySchedule[[#This Row],[STD]]</f>
        <v>0.88194444444444442</v>
      </c>
    </row>
    <row r="5263" spans="1:20" hidden="1" x14ac:dyDescent="0.35">
      <c r="A5263" s="11">
        <v>46299</v>
      </c>
      <c r="B5263" s="3">
        <v>7</v>
      </c>
      <c r="C5263" t="s">
        <v>17</v>
      </c>
      <c r="D5263" t="s">
        <v>18</v>
      </c>
      <c r="E5263" s="3">
        <v>26</v>
      </c>
      <c r="F5263" t="s">
        <v>19</v>
      </c>
      <c r="G5263" t="s">
        <v>93</v>
      </c>
      <c r="H5263" t="s">
        <v>31</v>
      </c>
      <c r="I5263" s="12">
        <v>0.86111111111111116</v>
      </c>
      <c r="J5263" t="s">
        <v>94</v>
      </c>
      <c r="K5263" t="s">
        <v>31</v>
      </c>
      <c r="L5263" s="12">
        <v>0.88888888888888884</v>
      </c>
      <c r="M5263" t="s">
        <v>23</v>
      </c>
      <c r="N5263" s="3">
        <v>186</v>
      </c>
      <c r="O5263" t="s">
        <v>24</v>
      </c>
      <c r="P5263" t="s">
        <v>79</v>
      </c>
      <c r="R5263">
        <f>tblDailySchedule[[#This Row],[Capacity Approx]]*'[1]Load Factor Sheet June Acft  '!$B$5</f>
        <v>150.61772727272728</v>
      </c>
      <c r="S5263">
        <f>tblDailySchedule[[#This Row],[Capacity Approx]]*'[1]Load Factor Sheet June Acft  '!$D$5</f>
        <v>163.08818181818182</v>
      </c>
      <c r="T5263" s="22">
        <f>tblDailySchedule[[#This Row],[STD]]</f>
        <v>0.88888888888888884</v>
      </c>
    </row>
    <row r="5264" spans="1:20" hidden="1" x14ac:dyDescent="0.35">
      <c r="A5264" s="11">
        <v>46299</v>
      </c>
      <c r="B5264" s="3">
        <v>7</v>
      </c>
      <c r="C5264" t="s">
        <v>17</v>
      </c>
      <c r="D5264" t="s">
        <v>18</v>
      </c>
      <c r="E5264" s="3">
        <v>27</v>
      </c>
      <c r="F5264" t="s">
        <v>19</v>
      </c>
      <c r="G5264" t="s">
        <v>95</v>
      </c>
      <c r="H5264" t="s">
        <v>21</v>
      </c>
      <c r="I5264" s="12">
        <v>0.86805555555555558</v>
      </c>
      <c r="J5264" t="s">
        <v>96</v>
      </c>
      <c r="K5264" t="s">
        <v>21</v>
      </c>
      <c r="L5264" s="12">
        <v>0.89583333333333337</v>
      </c>
      <c r="M5264" t="s">
        <v>29</v>
      </c>
      <c r="N5264" s="3">
        <v>186</v>
      </c>
      <c r="O5264" t="s">
        <v>24</v>
      </c>
      <c r="P5264" t="s">
        <v>79</v>
      </c>
      <c r="R5264">
        <f>tblDailySchedule[[#This Row],[Capacity Approx]]*'[1]Load Factor Sheet June Acft  '!$B$5</f>
        <v>150.61772727272728</v>
      </c>
      <c r="S5264">
        <f>tblDailySchedule[[#This Row],[Capacity Approx]]*'[1]Load Factor Sheet June Acft  '!$D$5</f>
        <v>163.08818181818182</v>
      </c>
      <c r="T5264" s="22">
        <f>tblDailySchedule[[#This Row],[STD]]</f>
        <v>0.89583333333333337</v>
      </c>
    </row>
    <row r="5265" spans="1:20" hidden="1" x14ac:dyDescent="0.35">
      <c r="A5265" s="11">
        <v>46299</v>
      </c>
      <c r="B5265" s="3">
        <v>7</v>
      </c>
      <c r="C5265" t="s">
        <v>17</v>
      </c>
      <c r="D5265" t="s">
        <v>18</v>
      </c>
      <c r="E5265" s="3">
        <v>28</v>
      </c>
      <c r="F5265" t="s">
        <v>19</v>
      </c>
      <c r="G5265" t="s">
        <v>97</v>
      </c>
      <c r="H5265" t="s">
        <v>49</v>
      </c>
      <c r="I5265" s="12">
        <v>0.90277777777777779</v>
      </c>
      <c r="J5265" t="s">
        <v>97</v>
      </c>
      <c r="K5265" t="s">
        <v>61</v>
      </c>
      <c r="L5265" s="12">
        <v>0.92361111111111116</v>
      </c>
      <c r="M5265" t="s">
        <v>33</v>
      </c>
      <c r="N5265" s="3">
        <v>189</v>
      </c>
      <c r="O5265" t="s">
        <v>24</v>
      </c>
      <c r="P5265" t="s">
        <v>79</v>
      </c>
      <c r="R5265">
        <f>tblDailySchedule[[#This Row],[Capacity Approx]]*'[1]Load Factor Sheet June Acft  '!$B$5</f>
        <v>153.04704545454547</v>
      </c>
      <c r="S5265">
        <f>tblDailySchedule[[#This Row],[Capacity Approx]]*'[1]Load Factor Sheet June Acft  '!$D$5</f>
        <v>165.71863636363636</v>
      </c>
      <c r="T5265" s="22">
        <f>tblDailySchedule[[#This Row],[STD]]</f>
        <v>0.92361111111111116</v>
      </c>
    </row>
    <row r="5266" spans="1:20" hidden="1" x14ac:dyDescent="0.35">
      <c r="A5266" s="11">
        <v>46299</v>
      </c>
      <c r="B5266" s="3">
        <v>7</v>
      </c>
      <c r="C5266" t="s">
        <v>17</v>
      </c>
      <c r="D5266" t="s">
        <v>18</v>
      </c>
      <c r="E5266" s="3">
        <v>29</v>
      </c>
      <c r="F5266" t="s">
        <v>19</v>
      </c>
      <c r="G5266" t="s">
        <v>98</v>
      </c>
      <c r="H5266" t="s">
        <v>21</v>
      </c>
      <c r="I5266" s="12">
        <v>0.92013888888888884</v>
      </c>
      <c r="J5266" t="s">
        <v>99</v>
      </c>
      <c r="K5266" t="s">
        <v>21</v>
      </c>
      <c r="L5266" s="12">
        <v>0.94791666666666663</v>
      </c>
      <c r="M5266" t="s">
        <v>63</v>
      </c>
      <c r="N5266" s="3">
        <v>232</v>
      </c>
      <c r="O5266" t="s">
        <v>24</v>
      </c>
      <c r="P5266" t="s">
        <v>79</v>
      </c>
      <c r="R5266">
        <f>tblDailySchedule[[#This Row],[Capacity Approx]]*'[1]Load Factor Sheet June Acft  '!$B$5</f>
        <v>187.86727272727273</v>
      </c>
      <c r="S5266">
        <f>tblDailySchedule[[#This Row],[Capacity Approx]]*'[1]Load Factor Sheet June Acft  '!$D$5</f>
        <v>203.4218181818182</v>
      </c>
      <c r="T5266" s="22">
        <f>tblDailySchedule[[#This Row],[STD]]</f>
        <v>0.94791666666666663</v>
      </c>
    </row>
    <row r="5267" spans="1:20" hidden="1" x14ac:dyDescent="0.35">
      <c r="A5267" s="11">
        <v>46300</v>
      </c>
      <c r="B5267" s="3">
        <v>1</v>
      </c>
      <c r="C5267" t="s">
        <v>100</v>
      </c>
      <c r="D5267" t="s">
        <v>18</v>
      </c>
      <c r="E5267" s="3">
        <v>1</v>
      </c>
      <c r="F5267" t="s">
        <v>101</v>
      </c>
      <c r="G5267" t="s">
        <v>102</v>
      </c>
      <c r="H5267" t="s">
        <v>61</v>
      </c>
      <c r="I5267" s="12">
        <v>0.3125</v>
      </c>
      <c r="J5267" t="s">
        <v>103</v>
      </c>
      <c r="K5267" t="s">
        <v>61</v>
      </c>
      <c r="L5267" s="12">
        <v>0.33333333333333331</v>
      </c>
      <c r="M5267" t="s">
        <v>33</v>
      </c>
      <c r="N5267" s="3">
        <v>189</v>
      </c>
      <c r="O5267" t="s">
        <v>24</v>
      </c>
      <c r="P5267" t="s">
        <v>25</v>
      </c>
      <c r="R5267">
        <f>tblDailySchedule[[#This Row],[Capacity Approx]]*'[1]Load Factor Sheet June Acft  '!$B$5</f>
        <v>153.04704545454547</v>
      </c>
      <c r="S5267">
        <f>tblDailySchedule[[#This Row],[Capacity Approx]]*'[1]Load Factor Sheet June Acft  '!$D$5</f>
        <v>165.71863636363636</v>
      </c>
      <c r="T5267" s="22">
        <f>tblDailySchedule[[#This Row],[STD]]</f>
        <v>0.33333333333333331</v>
      </c>
    </row>
    <row r="5268" spans="1:20" hidden="1" x14ac:dyDescent="0.35">
      <c r="A5268" s="11">
        <v>46300</v>
      </c>
      <c r="B5268" s="3">
        <v>1</v>
      </c>
      <c r="C5268" t="s">
        <v>100</v>
      </c>
      <c r="D5268" t="s">
        <v>18</v>
      </c>
      <c r="E5268" s="3">
        <v>2</v>
      </c>
      <c r="F5268" t="s">
        <v>19</v>
      </c>
      <c r="G5268" t="s">
        <v>20</v>
      </c>
      <c r="H5268" t="s">
        <v>21</v>
      </c>
      <c r="I5268" s="12">
        <v>0.31944444444444442</v>
      </c>
      <c r="J5268" t="s">
        <v>22</v>
      </c>
      <c r="K5268" t="s">
        <v>21</v>
      </c>
      <c r="L5268" s="12">
        <v>0.34722222222222221</v>
      </c>
      <c r="M5268" t="s">
        <v>23</v>
      </c>
      <c r="N5268" s="3">
        <v>186</v>
      </c>
      <c r="O5268" t="s">
        <v>24</v>
      </c>
      <c r="P5268" t="s">
        <v>25</v>
      </c>
      <c r="R5268">
        <f>tblDailySchedule[[#This Row],[Capacity Approx]]*'[1]Load Factor Sheet June Acft  '!$B$5</f>
        <v>150.61772727272728</v>
      </c>
      <c r="S5268">
        <f>tblDailySchedule[[#This Row],[Capacity Approx]]*'[1]Load Factor Sheet June Acft  '!$D$5</f>
        <v>163.08818181818182</v>
      </c>
      <c r="T5268" s="22">
        <f>tblDailySchedule[[#This Row],[STD]]</f>
        <v>0.34722222222222221</v>
      </c>
    </row>
    <row r="5269" spans="1:20" hidden="1" x14ac:dyDescent="0.35">
      <c r="A5269" s="11">
        <v>46300</v>
      </c>
      <c r="B5269" s="3">
        <v>1</v>
      </c>
      <c r="C5269" t="s">
        <v>100</v>
      </c>
      <c r="D5269" t="s">
        <v>18</v>
      </c>
      <c r="E5269" s="3">
        <v>3</v>
      </c>
      <c r="F5269" t="s">
        <v>19</v>
      </c>
      <c r="G5269" t="s">
        <v>26</v>
      </c>
      <c r="H5269" t="s">
        <v>27</v>
      </c>
      <c r="I5269" s="12">
        <v>0.3263888888888889</v>
      </c>
      <c r="J5269" t="s">
        <v>28</v>
      </c>
      <c r="K5269" t="s">
        <v>27</v>
      </c>
      <c r="L5269" s="12">
        <v>0.35416666666666669</v>
      </c>
      <c r="M5269" t="s">
        <v>29</v>
      </c>
      <c r="N5269" s="3">
        <v>186</v>
      </c>
      <c r="O5269" t="s">
        <v>24</v>
      </c>
      <c r="P5269" t="s">
        <v>25</v>
      </c>
      <c r="R5269">
        <f>tblDailySchedule[[#This Row],[Capacity Approx]]*'[1]Load Factor Sheet June Acft  '!$B$5</f>
        <v>150.61772727272728</v>
      </c>
      <c r="S5269">
        <f>tblDailySchedule[[#This Row],[Capacity Approx]]*'[1]Load Factor Sheet June Acft  '!$D$5</f>
        <v>163.08818181818182</v>
      </c>
      <c r="T5269" s="22">
        <f>tblDailySchedule[[#This Row],[STD]]</f>
        <v>0.35416666666666669</v>
      </c>
    </row>
    <row r="5270" spans="1:20" hidden="1" x14ac:dyDescent="0.35">
      <c r="A5270" s="11">
        <v>46300</v>
      </c>
      <c r="B5270" s="3">
        <v>1</v>
      </c>
      <c r="C5270" t="s">
        <v>100</v>
      </c>
      <c r="D5270" t="s">
        <v>18</v>
      </c>
      <c r="E5270" s="3">
        <v>4</v>
      </c>
      <c r="F5270" t="s">
        <v>19</v>
      </c>
      <c r="G5270" t="s">
        <v>30</v>
      </c>
      <c r="H5270" t="s">
        <v>31</v>
      </c>
      <c r="I5270" s="12">
        <v>0.34722222222222221</v>
      </c>
      <c r="J5270" t="s">
        <v>32</v>
      </c>
      <c r="K5270" t="s">
        <v>31</v>
      </c>
      <c r="L5270" s="12">
        <v>0.36805555555555558</v>
      </c>
      <c r="M5270" t="s">
        <v>33</v>
      </c>
      <c r="N5270" s="3">
        <v>189</v>
      </c>
      <c r="O5270" t="s">
        <v>24</v>
      </c>
      <c r="P5270" t="s">
        <v>25</v>
      </c>
      <c r="R5270">
        <f>tblDailySchedule[[#This Row],[Capacity Approx]]*'[1]Load Factor Sheet June Acft  '!$B$5</f>
        <v>153.04704545454547</v>
      </c>
      <c r="S5270">
        <f>tblDailySchedule[[#This Row],[Capacity Approx]]*'[1]Load Factor Sheet June Acft  '!$D$5</f>
        <v>165.71863636363636</v>
      </c>
      <c r="T5270" s="22">
        <f>tblDailySchedule[[#This Row],[STD]]</f>
        <v>0.36805555555555558</v>
      </c>
    </row>
    <row r="5271" spans="1:20" hidden="1" x14ac:dyDescent="0.35">
      <c r="A5271" s="13">
        <v>46300</v>
      </c>
      <c r="B5271" s="7">
        <v>1</v>
      </c>
      <c r="C5271" s="14" t="s">
        <v>100</v>
      </c>
      <c r="D5271" s="14" t="s">
        <v>18</v>
      </c>
      <c r="E5271" s="7">
        <v>6</v>
      </c>
      <c r="F5271" s="14" t="s">
        <v>34</v>
      </c>
      <c r="G5271" s="14" t="s">
        <v>35</v>
      </c>
      <c r="H5271" s="14" t="s">
        <v>36</v>
      </c>
      <c r="I5271" s="15">
        <v>0.34722222222222221</v>
      </c>
      <c r="J5271" s="14" t="s">
        <v>37</v>
      </c>
      <c r="K5271" s="14" t="s">
        <v>36</v>
      </c>
      <c r="L5271" s="15">
        <v>0.40972222222222221</v>
      </c>
      <c r="M5271" s="14" t="s">
        <v>38</v>
      </c>
      <c r="N5271" s="7">
        <v>186</v>
      </c>
      <c r="O5271" s="14" t="s">
        <v>39</v>
      </c>
      <c r="P5271" s="14" t="s">
        <v>25</v>
      </c>
      <c r="Q5271" s="14" t="s">
        <v>39</v>
      </c>
      <c r="R5271">
        <f>tblDailySchedule[[#This Row],[Capacity Approx]]*'[1]Load Factor Sheet June Acft  '!$B$5</f>
        <v>150.61772727272728</v>
      </c>
      <c r="S5271">
        <f>tblDailySchedule[[#This Row],[Capacity Approx]]*'[1]Load Factor Sheet June Acft  '!$D$5</f>
        <v>163.08818181818182</v>
      </c>
      <c r="T5271" s="22">
        <f>tblDailySchedule[[#This Row],[STD]]</f>
        <v>0.40972222222222221</v>
      </c>
    </row>
    <row r="5272" spans="1:20" hidden="1" x14ac:dyDescent="0.35">
      <c r="A5272" s="11">
        <v>46300</v>
      </c>
      <c r="B5272" s="3">
        <v>1</v>
      </c>
      <c r="C5272" t="s">
        <v>100</v>
      </c>
      <c r="D5272" t="s">
        <v>18</v>
      </c>
      <c r="E5272" s="3">
        <v>5</v>
      </c>
      <c r="F5272" t="s">
        <v>19</v>
      </c>
      <c r="G5272" t="s">
        <v>40</v>
      </c>
      <c r="H5272" t="s">
        <v>31</v>
      </c>
      <c r="I5272" s="12">
        <v>0.35069444444444442</v>
      </c>
      <c r="J5272" t="s">
        <v>41</v>
      </c>
      <c r="K5272" t="s">
        <v>31</v>
      </c>
      <c r="L5272" s="12">
        <v>0.37152777777777779</v>
      </c>
      <c r="M5272" t="s">
        <v>23</v>
      </c>
      <c r="N5272" s="3">
        <v>186</v>
      </c>
      <c r="O5272" t="s">
        <v>24</v>
      </c>
      <c r="P5272" t="s">
        <v>25</v>
      </c>
      <c r="R5272">
        <f>tblDailySchedule[[#This Row],[Capacity Approx]]*'[1]Load Factor Sheet June Acft  '!$B$5</f>
        <v>150.61772727272728</v>
      </c>
      <c r="S5272">
        <f>tblDailySchedule[[#This Row],[Capacity Approx]]*'[1]Load Factor Sheet June Acft  '!$D$5</f>
        <v>163.08818181818182</v>
      </c>
      <c r="T5272" s="22">
        <f>tblDailySchedule[[#This Row],[STD]]</f>
        <v>0.37152777777777779</v>
      </c>
    </row>
    <row r="5273" spans="1:20" hidden="1" x14ac:dyDescent="0.35">
      <c r="A5273" s="11">
        <v>46300</v>
      </c>
      <c r="B5273" s="3">
        <v>1</v>
      </c>
      <c r="C5273" t="s">
        <v>100</v>
      </c>
      <c r="D5273" t="s">
        <v>18</v>
      </c>
      <c r="E5273" s="3">
        <v>7</v>
      </c>
      <c r="F5273" t="s">
        <v>19</v>
      </c>
      <c r="G5273" t="s">
        <v>42</v>
      </c>
      <c r="H5273" t="s">
        <v>43</v>
      </c>
      <c r="I5273" s="12">
        <v>0.3923611111111111</v>
      </c>
      <c r="J5273" t="s">
        <v>44</v>
      </c>
      <c r="K5273" t="s">
        <v>43</v>
      </c>
      <c r="L5273" s="12">
        <v>0.40277777777777779</v>
      </c>
      <c r="M5273" t="s">
        <v>45</v>
      </c>
      <c r="N5273" s="3">
        <v>9</v>
      </c>
      <c r="O5273" t="s">
        <v>24</v>
      </c>
      <c r="P5273" t="s">
        <v>25</v>
      </c>
      <c r="R5273">
        <f>tblDailySchedule[[#This Row],[Capacity Approx]]*'[1]Load Factor Sheet June Acft  '!$B$5</f>
        <v>7.2879545454545456</v>
      </c>
      <c r="S5273">
        <f>tblDailySchedule[[#This Row],[Capacity Approx]]*'[1]Load Factor Sheet June Acft  '!$D$5</f>
        <v>7.8913636363636366</v>
      </c>
      <c r="T5273" s="22">
        <f>tblDailySchedule[[#This Row],[STD]]</f>
        <v>0.40277777777777779</v>
      </c>
    </row>
    <row r="5274" spans="1:20" hidden="1" x14ac:dyDescent="0.35">
      <c r="A5274" s="11">
        <v>46300</v>
      </c>
      <c r="B5274" s="3">
        <v>1</v>
      </c>
      <c r="C5274" t="s">
        <v>100</v>
      </c>
      <c r="D5274" t="s">
        <v>18</v>
      </c>
      <c r="E5274" s="3">
        <v>8</v>
      </c>
      <c r="F5274" t="s">
        <v>19</v>
      </c>
      <c r="G5274" t="s">
        <v>46</v>
      </c>
      <c r="H5274" t="s">
        <v>31</v>
      </c>
      <c r="I5274" s="12">
        <v>0.4201388888888889</v>
      </c>
      <c r="J5274" t="s">
        <v>47</v>
      </c>
      <c r="K5274" t="s">
        <v>31</v>
      </c>
      <c r="L5274" s="12">
        <v>0.44444444444444442</v>
      </c>
      <c r="M5274" t="s">
        <v>29</v>
      </c>
      <c r="N5274" s="3">
        <v>186</v>
      </c>
      <c r="O5274" t="s">
        <v>24</v>
      </c>
      <c r="P5274" t="s">
        <v>25</v>
      </c>
      <c r="R5274">
        <f>tblDailySchedule[[#This Row],[Capacity Approx]]*'[1]Load Factor Sheet June Acft  '!$B$5</f>
        <v>150.61772727272728</v>
      </c>
      <c r="S5274">
        <f>tblDailySchedule[[#This Row],[Capacity Approx]]*'[1]Load Factor Sheet June Acft  '!$D$5</f>
        <v>163.08818181818182</v>
      </c>
      <c r="T5274" s="22">
        <f>tblDailySchedule[[#This Row],[STD]]</f>
        <v>0.44444444444444442</v>
      </c>
    </row>
    <row r="5275" spans="1:20" hidden="1" x14ac:dyDescent="0.35">
      <c r="A5275" s="11">
        <v>46300</v>
      </c>
      <c r="B5275" s="3">
        <v>1</v>
      </c>
      <c r="C5275" t="s">
        <v>100</v>
      </c>
      <c r="D5275" t="s">
        <v>18</v>
      </c>
      <c r="E5275" s="3">
        <v>9</v>
      </c>
      <c r="F5275" t="s">
        <v>19</v>
      </c>
      <c r="G5275" t="s">
        <v>48</v>
      </c>
      <c r="H5275" t="s">
        <v>49</v>
      </c>
      <c r="I5275" s="12">
        <v>0.4375</v>
      </c>
      <c r="J5275" t="s">
        <v>50</v>
      </c>
      <c r="K5275" t="s">
        <v>49</v>
      </c>
      <c r="L5275" s="12">
        <v>0.45833333333333331</v>
      </c>
      <c r="M5275" t="s">
        <v>51</v>
      </c>
      <c r="N5275" s="3">
        <v>78</v>
      </c>
      <c r="O5275" t="s">
        <v>24</v>
      </c>
      <c r="P5275" t="s">
        <v>25</v>
      </c>
      <c r="R5275">
        <f>tblDailySchedule[[#This Row],[Capacity Approx]]*'[1]Load Factor Sheet June Acft  '!$B$5</f>
        <v>63.162272727272729</v>
      </c>
      <c r="S5275">
        <f>tblDailySchedule[[#This Row],[Capacity Approx]]*'[1]Load Factor Sheet June Acft  '!$D$5</f>
        <v>68.391818181818181</v>
      </c>
      <c r="T5275" s="22">
        <f>tblDailySchedule[[#This Row],[STD]]</f>
        <v>0.45833333333333331</v>
      </c>
    </row>
    <row r="5276" spans="1:20" hidden="1" x14ac:dyDescent="0.35">
      <c r="A5276" s="11">
        <v>46300</v>
      </c>
      <c r="B5276" s="3">
        <v>1</v>
      </c>
      <c r="C5276" t="s">
        <v>100</v>
      </c>
      <c r="D5276" t="s">
        <v>18</v>
      </c>
      <c r="E5276" s="3">
        <v>10</v>
      </c>
      <c r="F5276" t="s">
        <v>19</v>
      </c>
      <c r="G5276" t="s">
        <v>52</v>
      </c>
      <c r="H5276" t="s">
        <v>27</v>
      </c>
      <c r="I5276" s="12">
        <v>0.4826388888888889</v>
      </c>
      <c r="J5276" t="s">
        <v>53</v>
      </c>
      <c r="K5276" t="s">
        <v>27</v>
      </c>
      <c r="L5276" s="12">
        <v>0.51041666666666663</v>
      </c>
      <c r="M5276" t="s">
        <v>23</v>
      </c>
      <c r="N5276" s="3">
        <v>186</v>
      </c>
      <c r="O5276" t="s">
        <v>24</v>
      </c>
      <c r="P5276" t="s">
        <v>25</v>
      </c>
      <c r="R5276">
        <f>tblDailySchedule[[#This Row],[Capacity Approx]]*'[1]Load Factor Sheet June Acft  '!$B$5</f>
        <v>150.61772727272728</v>
      </c>
      <c r="S5276">
        <f>tblDailySchedule[[#This Row],[Capacity Approx]]*'[1]Load Factor Sheet June Acft  '!$D$5</f>
        <v>163.08818181818182</v>
      </c>
      <c r="T5276" s="22">
        <f>tblDailySchedule[[#This Row],[STD]]</f>
        <v>0.51041666666666663</v>
      </c>
    </row>
    <row r="5277" spans="1:20" hidden="1" x14ac:dyDescent="0.35">
      <c r="A5277" s="11">
        <v>46300</v>
      </c>
      <c r="B5277" s="3">
        <v>1</v>
      </c>
      <c r="C5277" t="s">
        <v>100</v>
      </c>
      <c r="D5277" t="s">
        <v>18</v>
      </c>
      <c r="E5277" s="3">
        <v>11</v>
      </c>
      <c r="F5277" t="s">
        <v>19</v>
      </c>
      <c r="G5277" t="s">
        <v>54</v>
      </c>
      <c r="H5277" t="s">
        <v>31</v>
      </c>
      <c r="I5277" s="12">
        <v>0.51388888888888884</v>
      </c>
      <c r="J5277" t="s">
        <v>55</v>
      </c>
      <c r="K5277" t="s">
        <v>31</v>
      </c>
      <c r="L5277" s="12">
        <v>0.54166666666666663</v>
      </c>
      <c r="M5277" t="s">
        <v>23</v>
      </c>
      <c r="N5277" s="3">
        <v>186</v>
      </c>
      <c r="O5277" t="s">
        <v>24</v>
      </c>
      <c r="P5277" t="s">
        <v>56</v>
      </c>
      <c r="R5277">
        <f>tblDailySchedule[[#This Row],[Capacity Approx]]*'[1]Load Factor Sheet June Acft  '!$B$5</f>
        <v>150.61772727272728</v>
      </c>
      <c r="S5277">
        <f>tblDailySchedule[[#This Row],[Capacity Approx]]*'[1]Load Factor Sheet June Acft  '!$D$5</f>
        <v>163.08818181818182</v>
      </c>
      <c r="T5277" s="22">
        <f>tblDailySchedule[[#This Row],[STD]]</f>
        <v>0.54166666666666663</v>
      </c>
    </row>
    <row r="5278" spans="1:20" hidden="1" x14ac:dyDescent="0.35">
      <c r="A5278" s="11">
        <v>46300</v>
      </c>
      <c r="B5278" s="3">
        <v>1</v>
      </c>
      <c r="C5278" t="s">
        <v>100</v>
      </c>
      <c r="D5278" t="s">
        <v>18</v>
      </c>
      <c r="E5278" s="3">
        <v>13</v>
      </c>
      <c r="F5278" t="s">
        <v>19</v>
      </c>
      <c r="G5278" t="s">
        <v>57</v>
      </c>
      <c r="H5278" t="s">
        <v>58</v>
      </c>
      <c r="I5278" s="12">
        <v>0.55902777777777779</v>
      </c>
      <c r="J5278" t="s">
        <v>59</v>
      </c>
      <c r="K5278" t="s">
        <v>58</v>
      </c>
      <c r="L5278" s="12">
        <v>0.57638888888888884</v>
      </c>
      <c r="M5278" t="s">
        <v>51</v>
      </c>
      <c r="N5278" s="3">
        <v>78</v>
      </c>
      <c r="O5278" t="s">
        <v>24</v>
      </c>
      <c r="P5278" t="s">
        <v>56</v>
      </c>
      <c r="R5278">
        <f>tblDailySchedule[[#This Row],[Capacity Approx]]*'[1]Load Factor Sheet June Acft  '!$B$5</f>
        <v>63.162272727272729</v>
      </c>
      <c r="S5278">
        <f>tblDailySchedule[[#This Row],[Capacity Approx]]*'[1]Load Factor Sheet June Acft  '!$D$5</f>
        <v>68.391818181818181</v>
      </c>
      <c r="T5278" s="22">
        <f>tblDailySchedule[[#This Row],[STD]]</f>
        <v>0.57638888888888884</v>
      </c>
    </row>
    <row r="5279" spans="1:20" hidden="1" x14ac:dyDescent="0.35">
      <c r="A5279" s="11">
        <v>46300</v>
      </c>
      <c r="B5279" s="3">
        <v>1</v>
      </c>
      <c r="C5279" t="s">
        <v>100</v>
      </c>
      <c r="D5279" t="s">
        <v>18</v>
      </c>
      <c r="E5279" s="3">
        <v>14</v>
      </c>
      <c r="F5279" t="s">
        <v>19</v>
      </c>
      <c r="G5279" t="s">
        <v>60</v>
      </c>
      <c r="H5279" t="s">
        <v>61</v>
      </c>
      <c r="I5279" s="12">
        <v>0.59027777777777779</v>
      </c>
      <c r="J5279" t="s">
        <v>62</v>
      </c>
      <c r="K5279" t="s">
        <v>61</v>
      </c>
      <c r="L5279" s="12">
        <v>0.62152777777777779</v>
      </c>
      <c r="M5279" t="s">
        <v>63</v>
      </c>
      <c r="N5279" s="3">
        <v>232</v>
      </c>
      <c r="O5279" t="s">
        <v>24</v>
      </c>
      <c r="P5279" t="s">
        <v>56</v>
      </c>
      <c r="R5279">
        <f>tblDailySchedule[[#This Row],[Capacity Approx]]*'[1]Load Factor Sheet June Acft  '!$B$5</f>
        <v>187.86727272727273</v>
      </c>
      <c r="S5279">
        <f>tblDailySchedule[[#This Row],[Capacity Approx]]*'[1]Load Factor Sheet June Acft  '!$D$5</f>
        <v>203.4218181818182</v>
      </c>
      <c r="T5279" s="22">
        <f>tblDailySchedule[[#This Row],[STD]]</f>
        <v>0.62152777777777779</v>
      </c>
    </row>
    <row r="5280" spans="1:20" hidden="1" x14ac:dyDescent="0.35">
      <c r="A5280" s="11">
        <v>46300</v>
      </c>
      <c r="B5280" s="3">
        <v>1</v>
      </c>
      <c r="C5280" t="s">
        <v>100</v>
      </c>
      <c r="D5280" t="s">
        <v>18</v>
      </c>
      <c r="E5280" s="3">
        <v>15</v>
      </c>
      <c r="F5280" t="s">
        <v>19</v>
      </c>
      <c r="G5280" t="s">
        <v>64</v>
      </c>
      <c r="H5280" t="s">
        <v>31</v>
      </c>
      <c r="I5280" s="12">
        <v>0.60069444444444442</v>
      </c>
      <c r="J5280" t="s">
        <v>65</v>
      </c>
      <c r="K5280" t="s">
        <v>66</v>
      </c>
      <c r="L5280" s="12">
        <v>0.62847222222222221</v>
      </c>
      <c r="M5280" t="s">
        <v>63</v>
      </c>
      <c r="N5280" s="3">
        <v>232</v>
      </c>
      <c r="O5280" t="s">
        <v>24</v>
      </c>
      <c r="P5280" t="s">
        <v>56</v>
      </c>
      <c r="R5280">
        <f>tblDailySchedule[[#This Row],[Capacity Approx]]*'[1]Load Factor Sheet June Acft  '!$B$5</f>
        <v>187.86727272727273</v>
      </c>
      <c r="S5280">
        <f>tblDailySchedule[[#This Row],[Capacity Approx]]*'[1]Load Factor Sheet June Acft  '!$D$5</f>
        <v>203.4218181818182</v>
      </c>
      <c r="T5280" s="22">
        <f>tblDailySchedule[[#This Row],[STD]]</f>
        <v>0.62847222222222221</v>
      </c>
    </row>
    <row r="5281" spans="1:20" hidden="1" x14ac:dyDescent="0.35">
      <c r="A5281" s="11">
        <v>46300</v>
      </c>
      <c r="B5281" s="3">
        <v>1</v>
      </c>
      <c r="C5281" t="s">
        <v>100</v>
      </c>
      <c r="D5281" t="s">
        <v>18</v>
      </c>
      <c r="E5281" s="3">
        <v>16</v>
      </c>
      <c r="F5281" t="s">
        <v>19</v>
      </c>
      <c r="G5281" t="s">
        <v>67</v>
      </c>
      <c r="H5281" t="s">
        <v>31</v>
      </c>
      <c r="I5281" s="12">
        <v>0.65625</v>
      </c>
      <c r="J5281" t="s">
        <v>68</v>
      </c>
      <c r="K5281" t="s">
        <v>31</v>
      </c>
      <c r="L5281" s="12">
        <v>0.68402777777777779</v>
      </c>
      <c r="M5281" t="s">
        <v>63</v>
      </c>
      <c r="N5281" s="3">
        <v>232</v>
      </c>
      <c r="O5281" t="s">
        <v>24</v>
      </c>
      <c r="P5281" t="s">
        <v>56</v>
      </c>
      <c r="R5281">
        <f>tblDailySchedule[[#This Row],[Capacity Approx]]*'[1]Load Factor Sheet June Acft  '!$B$5</f>
        <v>187.86727272727273</v>
      </c>
      <c r="S5281">
        <f>tblDailySchedule[[#This Row],[Capacity Approx]]*'[1]Load Factor Sheet June Acft  '!$D$5</f>
        <v>203.4218181818182</v>
      </c>
      <c r="T5281" s="22">
        <f>tblDailySchedule[[#This Row],[STD]]</f>
        <v>0.68402777777777779</v>
      </c>
    </row>
    <row r="5282" spans="1:20" hidden="1" x14ac:dyDescent="0.35">
      <c r="A5282" s="11">
        <v>46300</v>
      </c>
      <c r="B5282" s="3">
        <v>1</v>
      </c>
      <c r="C5282" t="s">
        <v>100</v>
      </c>
      <c r="D5282" t="s">
        <v>18</v>
      </c>
      <c r="E5282" s="3">
        <v>17</v>
      </c>
      <c r="F5282" t="s">
        <v>19</v>
      </c>
      <c r="G5282" t="s">
        <v>69</v>
      </c>
      <c r="H5282" t="s">
        <v>31</v>
      </c>
      <c r="I5282" s="12">
        <v>0.66319444444444442</v>
      </c>
      <c r="J5282" t="s">
        <v>70</v>
      </c>
      <c r="K5282" t="s">
        <v>31</v>
      </c>
      <c r="L5282" s="12">
        <v>0.69097222222222221</v>
      </c>
      <c r="M5282" t="s">
        <v>33</v>
      </c>
      <c r="N5282" s="3">
        <v>189</v>
      </c>
      <c r="O5282" t="s">
        <v>24</v>
      </c>
      <c r="P5282" t="s">
        <v>56</v>
      </c>
      <c r="R5282">
        <f>tblDailySchedule[[#This Row],[Capacity Approx]]*'[1]Load Factor Sheet June Acft  '!$B$5</f>
        <v>153.04704545454547</v>
      </c>
      <c r="S5282">
        <f>tblDailySchedule[[#This Row],[Capacity Approx]]*'[1]Load Factor Sheet June Acft  '!$D$5</f>
        <v>165.71863636363636</v>
      </c>
      <c r="T5282" s="22">
        <f>tblDailySchedule[[#This Row],[STD]]</f>
        <v>0.69097222222222221</v>
      </c>
    </row>
    <row r="5283" spans="1:20" hidden="1" x14ac:dyDescent="0.35">
      <c r="A5283" s="11">
        <v>46300</v>
      </c>
      <c r="B5283" s="3">
        <v>1</v>
      </c>
      <c r="C5283" t="s">
        <v>100</v>
      </c>
      <c r="D5283" t="s">
        <v>18</v>
      </c>
      <c r="E5283" s="3">
        <v>18</v>
      </c>
      <c r="F5283" t="s">
        <v>19</v>
      </c>
      <c r="G5283" t="s">
        <v>71</v>
      </c>
      <c r="H5283" t="s">
        <v>21</v>
      </c>
      <c r="I5283" s="12">
        <v>0.67013888888888884</v>
      </c>
      <c r="J5283" t="s">
        <v>72</v>
      </c>
      <c r="K5283" t="s">
        <v>21</v>
      </c>
      <c r="L5283" s="12">
        <v>0.69791666666666663</v>
      </c>
      <c r="M5283" t="s">
        <v>63</v>
      </c>
      <c r="N5283" s="3">
        <v>232</v>
      </c>
      <c r="O5283" t="s">
        <v>24</v>
      </c>
      <c r="P5283" t="s">
        <v>56</v>
      </c>
      <c r="R5283">
        <f>tblDailySchedule[[#This Row],[Capacity Approx]]*'[1]Load Factor Sheet June Acft  '!$B$5</f>
        <v>187.86727272727273</v>
      </c>
      <c r="S5283">
        <f>tblDailySchedule[[#This Row],[Capacity Approx]]*'[1]Load Factor Sheet June Acft  '!$D$5</f>
        <v>203.4218181818182</v>
      </c>
      <c r="T5283" s="22">
        <f>tblDailySchedule[[#This Row],[STD]]</f>
        <v>0.69791666666666663</v>
      </c>
    </row>
    <row r="5284" spans="1:20" hidden="1" x14ac:dyDescent="0.35">
      <c r="A5284" s="11">
        <v>46300</v>
      </c>
      <c r="B5284" s="3">
        <v>1</v>
      </c>
      <c r="C5284" t="s">
        <v>100</v>
      </c>
      <c r="D5284" t="s">
        <v>18</v>
      </c>
      <c r="E5284" s="3">
        <v>19</v>
      </c>
      <c r="F5284" t="s">
        <v>19</v>
      </c>
      <c r="G5284" t="s">
        <v>73</v>
      </c>
      <c r="H5284" t="s">
        <v>27</v>
      </c>
      <c r="I5284" s="12">
        <v>0.74652777777777779</v>
      </c>
      <c r="J5284" t="s">
        <v>74</v>
      </c>
      <c r="K5284" t="s">
        <v>27</v>
      </c>
      <c r="L5284" s="12">
        <v>0.77430555555555558</v>
      </c>
      <c r="M5284" t="s">
        <v>63</v>
      </c>
      <c r="N5284" s="3">
        <v>232</v>
      </c>
      <c r="O5284" t="s">
        <v>24</v>
      </c>
      <c r="P5284" t="s">
        <v>56</v>
      </c>
      <c r="R5284">
        <f>tblDailySchedule[[#This Row],[Capacity Approx]]*'[1]Load Factor Sheet June Acft  '!$B$5</f>
        <v>187.86727272727273</v>
      </c>
      <c r="S5284">
        <f>tblDailySchedule[[#This Row],[Capacity Approx]]*'[1]Load Factor Sheet June Acft  '!$D$5</f>
        <v>203.4218181818182</v>
      </c>
      <c r="T5284" s="22">
        <f>tblDailySchedule[[#This Row],[STD]]</f>
        <v>0.77430555555555558</v>
      </c>
    </row>
    <row r="5285" spans="1:20" hidden="1" x14ac:dyDescent="0.35">
      <c r="A5285" s="11">
        <v>46300</v>
      </c>
      <c r="B5285" s="3">
        <v>1</v>
      </c>
      <c r="C5285" t="s">
        <v>100</v>
      </c>
      <c r="D5285" t="s">
        <v>18</v>
      </c>
      <c r="E5285" s="3">
        <v>20</v>
      </c>
      <c r="F5285" t="s">
        <v>34</v>
      </c>
      <c r="G5285" t="s">
        <v>75</v>
      </c>
      <c r="H5285" t="s">
        <v>76</v>
      </c>
      <c r="I5285" s="12">
        <v>0.76388888888888884</v>
      </c>
      <c r="J5285" t="s">
        <v>77</v>
      </c>
      <c r="K5285" t="s">
        <v>78</v>
      </c>
      <c r="L5285" s="12">
        <v>0.78472222222222221</v>
      </c>
      <c r="M5285" t="s">
        <v>51</v>
      </c>
      <c r="N5285" s="3">
        <v>78</v>
      </c>
      <c r="O5285" t="s">
        <v>24</v>
      </c>
      <c r="P5285" t="s">
        <v>79</v>
      </c>
      <c r="Q5285" s="16" t="s">
        <v>80</v>
      </c>
      <c r="R5285">
        <f>tblDailySchedule[[#This Row],[Capacity Approx]]*'[1]Load Factor Sheet June Acft  '!$B$5</f>
        <v>63.162272727272729</v>
      </c>
      <c r="S5285">
        <f>tblDailySchedule[[#This Row],[Capacity Approx]]*'[1]Load Factor Sheet June Acft  '!$D$5</f>
        <v>68.391818181818181</v>
      </c>
      <c r="T5285" s="22">
        <f>tblDailySchedule[[#This Row],[STD]]</f>
        <v>0.78472222222222221</v>
      </c>
    </row>
    <row r="5286" spans="1:20" hidden="1" x14ac:dyDescent="0.35">
      <c r="A5286" s="11">
        <v>46300</v>
      </c>
      <c r="B5286" s="3">
        <v>1</v>
      </c>
      <c r="C5286" t="s">
        <v>100</v>
      </c>
      <c r="D5286" t="s">
        <v>18</v>
      </c>
      <c r="E5286" s="3">
        <v>21</v>
      </c>
      <c r="F5286" t="s">
        <v>19</v>
      </c>
      <c r="G5286" t="s">
        <v>81</v>
      </c>
      <c r="H5286" t="s">
        <v>61</v>
      </c>
      <c r="I5286" s="12">
        <v>0.77083333333333337</v>
      </c>
      <c r="J5286" t="s">
        <v>82</v>
      </c>
      <c r="K5286" t="s">
        <v>49</v>
      </c>
      <c r="L5286" s="12">
        <v>0.79166666666666663</v>
      </c>
      <c r="M5286" t="s">
        <v>33</v>
      </c>
      <c r="N5286" s="3">
        <v>189</v>
      </c>
      <c r="O5286" t="s">
        <v>24</v>
      </c>
      <c r="P5286" t="s">
        <v>79</v>
      </c>
      <c r="R5286">
        <f>tblDailySchedule[[#This Row],[Capacity Approx]]*'[1]Load Factor Sheet June Acft  '!$B$5</f>
        <v>153.04704545454547</v>
      </c>
      <c r="S5286">
        <f>tblDailySchedule[[#This Row],[Capacity Approx]]*'[1]Load Factor Sheet June Acft  '!$D$5</f>
        <v>165.71863636363636</v>
      </c>
      <c r="T5286" s="22">
        <f>tblDailySchedule[[#This Row],[STD]]</f>
        <v>0.79166666666666663</v>
      </c>
    </row>
    <row r="5287" spans="1:20" hidden="1" x14ac:dyDescent="0.35">
      <c r="A5287" s="11">
        <v>46300</v>
      </c>
      <c r="B5287" s="3">
        <v>1</v>
      </c>
      <c r="C5287" t="s">
        <v>100</v>
      </c>
      <c r="D5287" t="s">
        <v>18</v>
      </c>
      <c r="E5287" s="3">
        <v>22</v>
      </c>
      <c r="F5287" t="s">
        <v>19</v>
      </c>
      <c r="G5287" t="s">
        <v>83</v>
      </c>
      <c r="H5287" t="s">
        <v>31</v>
      </c>
      <c r="I5287" s="12">
        <v>0.77777777777777779</v>
      </c>
      <c r="J5287" t="s">
        <v>84</v>
      </c>
      <c r="K5287" t="s">
        <v>31</v>
      </c>
      <c r="L5287" s="12">
        <v>0.80555555555555558</v>
      </c>
      <c r="M5287" t="s">
        <v>63</v>
      </c>
      <c r="N5287" s="3">
        <v>232</v>
      </c>
      <c r="O5287" t="s">
        <v>24</v>
      </c>
      <c r="P5287" t="s">
        <v>79</v>
      </c>
      <c r="R5287">
        <f>tblDailySchedule[[#This Row],[Capacity Approx]]*'[1]Load Factor Sheet June Acft  '!$B$5</f>
        <v>187.86727272727273</v>
      </c>
      <c r="S5287">
        <f>tblDailySchedule[[#This Row],[Capacity Approx]]*'[1]Load Factor Sheet June Acft  '!$D$5</f>
        <v>203.4218181818182</v>
      </c>
      <c r="T5287" s="22">
        <f>tblDailySchedule[[#This Row],[STD]]</f>
        <v>0.80555555555555558</v>
      </c>
    </row>
    <row r="5288" spans="1:20" hidden="1" x14ac:dyDescent="0.35">
      <c r="A5288" s="11">
        <v>46300</v>
      </c>
      <c r="B5288" s="3">
        <v>1</v>
      </c>
      <c r="C5288" t="s">
        <v>100</v>
      </c>
      <c r="D5288" t="s">
        <v>18</v>
      </c>
      <c r="E5288" s="3">
        <v>23</v>
      </c>
      <c r="F5288" t="s">
        <v>19</v>
      </c>
      <c r="G5288" t="s">
        <v>85</v>
      </c>
      <c r="H5288" t="s">
        <v>86</v>
      </c>
      <c r="I5288" s="12">
        <v>0.79861111111111116</v>
      </c>
      <c r="J5288" t="s">
        <v>87</v>
      </c>
      <c r="K5288" t="s">
        <v>86</v>
      </c>
      <c r="L5288" s="12">
        <v>0.82638888888888884</v>
      </c>
      <c r="M5288" t="s">
        <v>63</v>
      </c>
      <c r="N5288" s="3">
        <v>232</v>
      </c>
      <c r="O5288" t="s">
        <v>24</v>
      </c>
      <c r="P5288" t="s">
        <v>79</v>
      </c>
      <c r="R5288">
        <f>tblDailySchedule[[#This Row],[Capacity Approx]]*'[1]Load Factor Sheet June Acft  '!$B$5</f>
        <v>187.86727272727273</v>
      </c>
      <c r="S5288">
        <f>tblDailySchedule[[#This Row],[Capacity Approx]]*'[1]Load Factor Sheet June Acft  '!$D$5</f>
        <v>203.4218181818182</v>
      </c>
      <c r="T5288" s="22">
        <f>tblDailySchedule[[#This Row],[STD]]</f>
        <v>0.82638888888888884</v>
      </c>
    </row>
    <row r="5289" spans="1:20" hidden="1" x14ac:dyDescent="0.35">
      <c r="A5289" s="11">
        <v>46300</v>
      </c>
      <c r="B5289" s="3">
        <v>1</v>
      </c>
      <c r="C5289" t="s">
        <v>100</v>
      </c>
      <c r="D5289" t="s">
        <v>18</v>
      </c>
      <c r="E5289" s="3">
        <v>24</v>
      </c>
      <c r="F5289" t="s">
        <v>19</v>
      </c>
      <c r="G5289" t="s">
        <v>88</v>
      </c>
      <c r="H5289" t="s">
        <v>89</v>
      </c>
      <c r="I5289" s="12">
        <v>0.83333333333333337</v>
      </c>
      <c r="J5289" t="s">
        <v>90</v>
      </c>
      <c r="K5289" t="s">
        <v>31</v>
      </c>
      <c r="L5289" s="12">
        <v>0.86111111111111116</v>
      </c>
      <c r="M5289" t="s">
        <v>63</v>
      </c>
      <c r="N5289" s="3">
        <v>232</v>
      </c>
      <c r="O5289" t="s">
        <v>24</v>
      </c>
      <c r="P5289" t="s">
        <v>79</v>
      </c>
      <c r="R5289">
        <f>tblDailySchedule[[#This Row],[Capacity Approx]]*'[1]Load Factor Sheet June Acft  '!$B$5</f>
        <v>187.86727272727273</v>
      </c>
      <c r="S5289">
        <f>tblDailySchedule[[#This Row],[Capacity Approx]]*'[1]Load Factor Sheet June Acft  '!$D$5</f>
        <v>203.4218181818182</v>
      </c>
      <c r="T5289" s="22">
        <f>tblDailySchedule[[#This Row],[STD]]</f>
        <v>0.86111111111111116</v>
      </c>
    </row>
    <row r="5290" spans="1:20" hidden="1" x14ac:dyDescent="0.35">
      <c r="A5290" s="11">
        <v>46300</v>
      </c>
      <c r="B5290" s="3">
        <v>1</v>
      </c>
      <c r="C5290" t="s">
        <v>100</v>
      </c>
      <c r="D5290" t="s">
        <v>18</v>
      </c>
      <c r="E5290" s="3">
        <v>25</v>
      </c>
      <c r="F5290" t="s">
        <v>19</v>
      </c>
      <c r="G5290" t="s">
        <v>91</v>
      </c>
      <c r="H5290" t="s">
        <v>61</v>
      </c>
      <c r="I5290" s="12">
        <v>0.85416666666666663</v>
      </c>
      <c r="J5290" t="s">
        <v>92</v>
      </c>
      <c r="K5290" t="s">
        <v>61</v>
      </c>
      <c r="L5290" s="12">
        <v>0.88194444444444442</v>
      </c>
      <c r="M5290" t="s">
        <v>63</v>
      </c>
      <c r="N5290" s="3">
        <v>232</v>
      </c>
      <c r="O5290" t="s">
        <v>24</v>
      </c>
      <c r="P5290" t="s">
        <v>79</v>
      </c>
      <c r="R5290">
        <f>tblDailySchedule[[#This Row],[Capacity Approx]]*'[1]Load Factor Sheet June Acft  '!$B$5</f>
        <v>187.86727272727273</v>
      </c>
      <c r="S5290">
        <f>tblDailySchedule[[#This Row],[Capacity Approx]]*'[1]Load Factor Sheet June Acft  '!$D$5</f>
        <v>203.4218181818182</v>
      </c>
      <c r="T5290" s="22">
        <f>tblDailySchedule[[#This Row],[STD]]</f>
        <v>0.88194444444444442</v>
      </c>
    </row>
    <row r="5291" spans="1:20" hidden="1" x14ac:dyDescent="0.35">
      <c r="A5291" s="11">
        <v>46300</v>
      </c>
      <c r="B5291" s="3">
        <v>1</v>
      </c>
      <c r="C5291" t="s">
        <v>100</v>
      </c>
      <c r="D5291" t="s">
        <v>18</v>
      </c>
      <c r="E5291" s="3">
        <v>26</v>
      </c>
      <c r="F5291" t="s">
        <v>19</v>
      </c>
      <c r="G5291" t="s">
        <v>93</v>
      </c>
      <c r="H5291" t="s">
        <v>31</v>
      </c>
      <c r="I5291" s="12">
        <v>0.86111111111111116</v>
      </c>
      <c r="J5291" t="s">
        <v>94</v>
      </c>
      <c r="K5291" t="s">
        <v>31</v>
      </c>
      <c r="L5291" s="12">
        <v>0.88888888888888884</v>
      </c>
      <c r="M5291" t="s">
        <v>23</v>
      </c>
      <c r="N5291" s="3">
        <v>186</v>
      </c>
      <c r="O5291" t="s">
        <v>24</v>
      </c>
      <c r="P5291" t="s">
        <v>79</v>
      </c>
      <c r="R5291">
        <f>tblDailySchedule[[#This Row],[Capacity Approx]]*'[1]Load Factor Sheet June Acft  '!$B$5</f>
        <v>150.61772727272728</v>
      </c>
      <c r="S5291">
        <f>tblDailySchedule[[#This Row],[Capacity Approx]]*'[1]Load Factor Sheet June Acft  '!$D$5</f>
        <v>163.08818181818182</v>
      </c>
      <c r="T5291" s="22">
        <f>tblDailySchedule[[#This Row],[STD]]</f>
        <v>0.88888888888888884</v>
      </c>
    </row>
    <row r="5292" spans="1:20" hidden="1" x14ac:dyDescent="0.35">
      <c r="A5292" s="11">
        <v>46300</v>
      </c>
      <c r="B5292" s="3">
        <v>1</v>
      </c>
      <c r="C5292" t="s">
        <v>100</v>
      </c>
      <c r="D5292" t="s">
        <v>18</v>
      </c>
      <c r="E5292" s="3">
        <v>27</v>
      </c>
      <c r="F5292" t="s">
        <v>19</v>
      </c>
      <c r="G5292" t="s">
        <v>95</v>
      </c>
      <c r="H5292" t="s">
        <v>21</v>
      </c>
      <c r="I5292" s="12">
        <v>0.86805555555555558</v>
      </c>
      <c r="J5292" t="s">
        <v>96</v>
      </c>
      <c r="K5292" t="s">
        <v>21</v>
      </c>
      <c r="L5292" s="12">
        <v>0.89583333333333337</v>
      </c>
      <c r="M5292" t="s">
        <v>29</v>
      </c>
      <c r="N5292" s="3">
        <v>186</v>
      </c>
      <c r="O5292" t="s">
        <v>24</v>
      </c>
      <c r="P5292" t="s">
        <v>79</v>
      </c>
      <c r="R5292">
        <f>tblDailySchedule[[#This Row],[Capacity Approx]]*'[1]Load Factor Sheet June Acft  '!$B$5</f>
        <v>150.61772727272728</v>
      </c>
      <c r="S5292">
        <f>tblDailySchedule[[#This Row],[Capacity Approx]]*'[1]Load Factor Sheet June Acft  '!$D$5</f>
        <v>163.08818181818182</v>
      </c>
      <c r="T5292" s="22">
        <f>tblDailySchedule[[#This Row],[STD]]</f>
        <v>0.89583333333333337</v>
      </c>
    </row>
    <row r="5293" spans="1:20" hidden="1" x14ac:dyDescent="0.35">
      <c r="A5293" s="11">
        <v>46300</v>
      </c>
      <c r="B5293" s="3">
        <v>1</v>
      </c>
      <c r="C5293" t="s">
        <v>100</v>
      </c>
      <c r="D5293" t="s">
        <v>18</v>
      </c>
      <c r="E5293" s="3">
        <v>28</v>
      </c>
      <c r="F5293" t="s">
        <v>19</v>
      </c>
      <c r="G5293" t="s">
        <v>97</v>
      </c>
      <c r="H5293" t="s">
        <v>49</v>
      </c>
      <c r="I5293" s="12">
        <v>0.90277777777777779</v>
      </c>
      <c r="J5293" t="s">
        <v>97</v>
      </c>
      <c r="K5293" t="s">
        <v>61</v>
      </c>
      <c r="L5293" s="12">
        <v>0.92361111111111116</v>
      </c>
      <c r="M5293" t="s">
        <v>33</v>
      </c>
      <c r="N5293" s="3">
        <v>189</v>
      </c>
      <c r="O5293" t="s">
        <v>24</v>
      </c>
      <c r="P5293" t="s">
        <v>79</v>
      </c>
      <c r="R5293">
        <f>tblDailySchedule[[#This Row],[Capacity Approx]]*'[1]Load Factor Sheet June Acft  '!$B$5</f>
        <v>153.04704545454547</v>
      </c>
      <c r="S5293">
        <f>tblDailySchedule[[#This Row],[Capacity Approx]]*'[1]Load Factor Sheet June Acft  '!$D$5</f>
        <v>165.71863636363636</v>
      </c>
      <c r="T5293" s="22">
        <f>tblDailySchedule[[#This Row],[STD]]</f>
        <v>0.92361111111111116</v>
      </c>
    </row>
    <row r="5294" spans="1:20" hidden="1" x14ac:dyDescent="0.35">
      <c r="A5294" s="11">
        <v>46300</v>
      </c>
      <c r="B5294" s="3">
        <v>1</v>
      </c>
      <c r="C5294" t="s">
        <v>100</v>
      </c>
      <c r="D5294" t="s">
        <v>18</v>
      </c>
      <c r="E5294" s="3">
        <v>29</v>
      </c>
      <c r="F5294" t="s">
        <v>19</v>
      </c>
      <c r="G5294" t="s">
        <v>98</v>
      </c>
      <c r="H5294" t="s">
        <v>21</v>
      </c>
      <c r="I5294" s="12">
        <v>0.92013888888888884</v>
      </c>
      <c r="J5294" t="s">
        <v>99</v>
      </c>
      <c r="K5294" t="s">
        <v>21</v>
      </c>
      <c r="L5294" s="12">
        <v>0.94791666666666663</v>
      </c>
      <c r="M5294" t="s">
        <v>63</v>
      </c>
      <c r="N5294" s="3">
        <v>232</v>
      </c>
      <c r="O5294" t="s">
        <v>24</v>
      </c>
      <c r="P5294" t="s">
        <v>79</v>
      </c>
      <c r="R5294">
        <f>tblDailySchedule[[#This Row],[Capacity Approx]]*'[1]Load Factor Sheet June Acft  '!$B$5</f>
        <v>187.86727272727273</v>
      </c>
      <c r="S5294">
        <f>tblDailySchedule[[#This Row],[Capacity Approx]]*'[1]Load Factor Sheet June Acft  '!$D$5</f>
        <v>203.4218181818182</v>
      </c>
      <c r="T5294" s="22">
        <f>tblDailySchedule[[#This Row],[STD]]</f>
        <v>0.94791666666666663</v>
      </c>
    </row>
    <row r="5295" spans="1:20" hidden="1" x14ac:dyDescent="0.35">
      <c r="A5295" s="13">
        <v>46300</v>
      </c>
      <c r="B5295" s="7">
        <v>1</v>
      </c>
      <c r="C5295" s="14" t="s">
        <v>100</v>
      </c>
      <c r="D5295" s="14" t="s">
        <v>18</v>
      </c>
      <c r="E5295" s="7">
        <v>30</v>
      </c>
      <c r="F5295" s="14" t="s">
        <v>104</v>
      </c>
      <c r="G5295" s="14" t="s">
        <v>105</v>
      </c>
      <c r="H5295" s="14" t="s">
        <v>106</v>
      </c>
      <c r="I5295" s="15">
        <v>0.92708333333333337</v>
      </c>
      <c r="J5295" s="14" t="s">
        <v>107</v>
      </c>
      <c r="K5295" s="14" t="s">
        <v>106</v>
      </c>
      <c r="L5295" s="15">
        <v>0.95833333333333337</v>
      </c>
      <c r="M5295" s="14" t="s">
        <v>38</v>
      </c>
      <c r="N5295" s="7">
        <v>186</v>
      </c>
      <c r="O5295" s="14" t="s">
        <v>39</v>
      </c>
      <c r="P5295" s="14" t="s">
        <v>79</v>
      </c>
      <c r="Q5295" s="14" t="s">
        <v>39</v>
      </c>
      <c r="R5295">
        <f>tblDailySchedule[[#This Row],[Capacity Approx]]*'[1]Load Factor Sheet June Acft  '!$B$5</f>
        <v>150.61772727272728</v>
      </c>
      <c r="S5295">
        <f>tblDailySchedule[[#This Row],[Capacity Approx]]*'[1]Load Factor Sheet June Acft  '!$D$5</f>
        <v>163.08818181818182</v>
      </c>
      <c r="T5295" s="22">
        <f>tblDailySchedule[[#This Row],[STD]]</f>
        <v>0.95833333333333337</v>
      </c>
    </row>
    <row r="5296" spans="1:20" hidden="1" x14ac:dyDescent="0.35">
      <c r="A5296" s="11">
        <v>46301</v>
      </c>
      <c r="B5296" s="3">
        <v>2</v>
      </c>
      <c r="C5296" t="s">
        <v>108</v>
      </c>
      <c r="D5296" t="s">
        <v>18</v>
      </c>
      <c r="E5296" s="3">
        <v>1</v>
      </c>
      <c r="F5296" t="s">
        <v>101</v>
      </c>
      <c r="G5296" t="s">
        <v>102</v>
      </c>
      <c r="H5296" t="s">
        <v>61</v>
      </c>
      <c r="I5296" s="12">
        <v>0.3125</v>
      </c>
      <c r="J5296" t="s">
        <v>103</v>
      </c>
      <c r="K5296" t="s">
        <v>61</v>
      </c>
      <c r="L5296" s="12">
        <v>0.33333333333333331</v>
      </c>
      <c r="M5296" t="s">
        <v>33</v>
      </c>
      <c r="N5296" s="3">
        <v>189</v>
      </c>
      <c r="O5296" t="s">
        <v>24</v>
      </c>
      <c r="P5296" t="s">
        <v>25</v>
      </c>
      <c r="R5296">
        <f>tblDailySchedule[[#This Row],[Capacity Approx]]*'[1]Load Factor Sheet June Acft  '!$B$5</f>
        <v>153.04704545454547</v>
      </c>
      <c r="S5296">
        <f>tblDailySchedule[[#This Row],[Capacity Approx]]*'[1]Load Factor Sheet June Acft  '!$D$5</f>
        <v>165.71863636363636</v>
      </c>
      <c r="T5296" s="22">
        <f>tblDailySchedule[[#This Row],[STD]]</f>
        <v>0.33333333333333331</v>
      </c>
    </row>
    <row r="5297" spans="1:20" hidden="1" x14ac:dyDescent="0.35">
      <c r="A5297" s="11">
        <v>46301</v>
      </c>
      <c r="B5297" s="3">
        <v>2</v>
      </c>
      <c r="C5297" t="s">
        <v>108</v>
      </c>
      <c r="D5297" t="s">
        <v>18</v>
      </c>
      <c r="E5297" s="3">
        <v>2</v>
      </c>
      <c r="F5297" t="s">
        <v>19</v>
      </c>
      <c r="G5297" t="s">
        <v>20</v>
      </c>
      <c r="H5297" t="s">
        <v>21</v>
      </c>
      <c r="I5297" s="12">
        <v>0.31944444444444442</v>
      </c>
      <c r="J5297" t="s">
        <v>22</v>
      </c>
      <c r="K5297" t="s">
        <v>21</v>
      </c>
      <c r="L5297" s="12">
        <v>0.34722222222222221</v>
      </c>
      <c r="M5297" t="s">
        <v>23</v>
      </c>
      <c r="N5297" s="3">
        <v>186</v>
      </c>
      <c r="O5297" t="s">
        <v>24</v>
      </c>
      <c r="P5297" t="s">
        <v>25</v>
      </c>
      <c r="R5297">
        <f>tblDailySchedule[[#This Row],[Capacity Approx]]*'[1]Load Factor Sheet June Acft  '!$B$5</f>
        <v>150.61772727272728</v>
      </c>
      <c r="S5297">
        <f>tblDailySchedule[[#This Row],[Capacity Approx]]*'[1]Load Factor Sheet June Acft  '!$D$5</f>
        <v>163.08818181818182</v>
      </c>
      <c r="T5297" s="22">
        <f>tblDailySchedule[[#This Row],[STD]]</f>
        <v>0.34722222222222221</v>
      </c>
    </row>
    <row r="5298" spans="1:20" hidden="1" x14ac:dyDescent="0.35">
      <c r="A5298" s="11">
        <v>46301</v>
      </c>
      <c r="B5298" s="3">
        <v>2</v>
      </c>
      <c r="C5298" t="s">
        <v>108</v>
      </c>
      <c r="D5298" t="s">
        <v>18</v>
      </c>
      <c r="E5298" s="3">
        <v>3</v>
      </c>
      <c r="F5298" t="s">
        <v>19</v>
      </c>
      <c r="G5298" t="s">
        <v>26</v>
      </c>
      <c r="H5298" t="s">
        <v>27</v>
      </c>
      <c r="I5298" s="12">
        <v>0.3263888888888889</v>
      </c>
      <c r="J5298" t="s">
        <v>28</v>
      </c>
      <c r="K5298" t="s">
        <v>27</v>
      </c>
      <c r="L5298" s="12">
        <v>0.35416666666666669</v>
      </c>
      <c r="M5298" t="s">
        <v>29</v>
      </c>
      <c r="N5298" s="3">
        <v>186</v>
      </c>
      <c r="O5298" t="s">
        <v>24</v>
      </c>
      <c r="P5298" t="s">
        <v>25</v>
      </c>
      <c r="R5298">
        <f>tblDailySchedule[[#This Row],[Capacity Approx]]*'[1]Load Factor Sheet June Acft  '!$B$5</f>
        <v>150.61772727272728</v>
      </c>
      <c r="S5298">
        <f>tblDailySchedule[[#This Row],[Capacity Approx]]*'[1]Load Factor Sheet June Acft  '!$D$5</f>
        <v>163.08818181818182</v>
      </c>
      <c r="T5298" s="22">
        <f>tblDailySchedule[[#This Row],[STD]]</f>
        <v>0.35416666666666669</v>
      </c>
    </row>
    <row r="5299" spans="1:20" hidden="1" x14ac:dyDescent="0.35">
      <c r="A5299" s="11">
        <v>46301</v>
      </c>
      <c r="B5299" s="3">
        <v>2</v>
      </c>
      <c r="C5299" t="s">
        <v>108</v>
      </c>
      <c r="D5299" t="s">
        <v>18</v>
      </c>
      <c r="E5299" s="3">
        <v>4</v>
      </c>
      <c r="F5299" t="s">
        <v>19</v>
      </c>
      <c r="G5299" t="s">
        <v>30</v>
      </c>
      <c r="H5299" t="s">
        <v>31</v>
      </c>
      <c r="I5299" s="12">
        <v>0.34722222222222221</v>
      </c>
      <c r="J5299" t="s">
        <v>32</v>
      </c>
      <c r="K5299" t="s">
        <v>31</v>
      </c>
      <c r="L5299" s="12">
        <v>0.36805555555555558</v>
      </c>
      <c r="M5299" t="s">
        <v>33</v>
      </c>
      <c r="N5299" s="3">
        <v>189</v>
      </c>
      <c r="O5299" t="s">
        <v>24</v>
      </c>
      <c r="P5299" t="s">
        <v>25</v>
      </c>
      <c r="R5299">
        <f>tblDailySchedule[[#This Row],[Capacity Approx]]*'[1]Load Factor Sheet June Acft  '!$B$5</f>
        <v>153.04704545454547</v>
      </c>
      <c r="S5299">
        <f>tblDailySchedule[[#This Row],[Capacity Approx]]*'[1]Load Factor Sheet June Acft  '!$D$5</f>
        <v>165.71863636363636</v>
      </c>
      <c r="T5299" s="22">
        <f>tblDailySchedule[[#This Row],[STD]]</f>
        <v>0.36805555555555558</v>
      </c>
    </row>
    <row r="5300" spans="1:20" hidden="1" x14ac:dyDescent="0.35">
      <c r="A5300" s="11">
        <v>46301</v>
      </c>
      <c r="B5300" s="3">
        <v>2</v>
      </c>
      <c r="C5300" t="s">
        <v>108</v>
      </c>
      <c r="D5300" t="s">
        <v>18</v>
      </c>
      <c r="E5300" s="3">
        <v>5</v>
      </c>
      <c r="F5300" t="s">
        <v>19</v>
      </c>
      <c r="G5300" t="s">
        <v>40</v>
      </c>
      <c r="H5300" t="s">
        <v>31</v>
      </c>
      <c r="I5300" s="12">
        <v>0.35069444444444442</v>
      </c>
      <c r="J5300" t="s">
        <v>41</v>
      </c>
      <c r="K5300" t="s">
        <v>31</v>
      </c>
      <c r="L5300" s="12">
        <v>0.37152777777777779</v>
      </c>
      <c r="M5300" t="s">
        <v>23</v>
      </c>
      <c r="N5300" s="3">
        <v>186</v>
      </c>
      <c r="O5300" t="s">
        <v>24</v>
      </c>
      <c r="P5300" t="s">
        <v>25</v>
      </c>
      <c r="R5300">
        <f>tblDailySchedule[[#This Row],[Capacity Approx]]*'[1]Load Factor Sheet June Acft  '!$B$5</f>
        <v>150.61772727272728</v>
      </c>
      <c r="S5300">
        <f>tblDailySchedule[[#This Row],[Capacity Approx]]*'[1]Load Factor Sheet June Acft  '!$D$5</f>
        <v>163.08818181818182</v>
      </c>
      <c r="T5300" s="22">
        <f>tblDailySchedule[[#This Row],[STD]]</f>
        <v>0.37152777777777779</v>
      </c>
    </row>
    <row r="5301" spans="1:20" hidden="1" x14ac:dyDescent="0.35">
      <c r="A5301" s="11">
        <v>46301</v>
      </c>
      <c r="B5301" s="3">
        <v>2</v>
      </c>
      <c r="C5301" t="s">
        <v>108</v>
      </c>
      <c r="D5301" t="s">
        <v>18</v>
      </c>
      <c r="E5301" s="3">
        <v>7</v>
      </c>
      <c r="F5301" t="s">
        <v>19</v>
      </c>
      <c r="G5301" t="s">
        <v>42</v>
      </c>
      <c r="H5301" t="s">
        <v>43</v>
      </c>
      <c r="I5301" s="12">
        <v>0.3923611111111111</v>
      </c>
      <c r="J5301" t="s">
        <v>44</v>
      </c>
      <c r="K5301" t="s">
        <v>43</v>
      </c>
      <c r="L5301" s="12">
        <v>0.40277777777777779</v>
      </c>
      <c r="M5301" t="s">
        <v>45</v>
      </c>
      <c r="N5301" s="3">
        <v>9</v>
      </c>
      <c r="O5301" t="s">
        <v>24</v>
      </c>
      <c r="P5301" t="s">
        <v>25</v>
      </c>
      <c r="R5301">
        <f>tblDailySchedule[[#This Row],[Capacity Approx]]*'[1]Load Factor Sheet June Acft  '!$B$5</f>
        <v>7.2879545454545456</v>
      </c>
      <c r="S5301">
        <f>tblDailySchedule[[#This Row],[Capacity Approx]]*'[1]Load Factor Sheet June Acft  '!$D$5</f>
        <v>7.8913636363636366</v>
      </c>
      <c r="T5301" s="22">
        <f>tblDailySchedule[[#This Row],[STD]]</f>
        <v>0.40277777777777779</v>
      </c>
    </row>
    <row r="5302" spans="1:20" hidden="1" x14ac:dyDescent="0.35">
      <c r="A5302" s="11">
        <v>46301</v>
      </c>
      <c r="B5302" s="3">
        <v>2</v>
      </c>
      <c r="C5302" t="s">
        <v>108</v>
      </c>
      <c r="D5302" t="s">
        <v>18</v>
      </c>
      <c r="E5302" s="3">
        <v>8</v>
      </c>
      <c r="F5302" t="s">
        <v>19</v>
      </c>
      <c r="G5302" t="s">
        <v>46</v>
      </c>
      <c r="H5302" t="s">
        <v>31</v>
      </c>
      <c r="I5302" s="12">
        <v>0.4201388888888889</v>
      </c>
      <c r="J5302" t="s">
        <v>47</v>
      </c>
      <c r="K5302" t="s">
        <v>31</v>
      </c>
      <c r="L5302" s="12">
        <v>0.44444444444444442</v>
      </c>
      <c r="M5302" t="s">
        <v>29</v>
      </c>
      <c r="N5302" s="3">
        <v>186</v>
      </c>
      <c r="O5302" t="s">
        <v>24</v>
      </c>
      <c r="P5302" t="s">
        <v>25</v>
      </c>
      <c r="R5302">
        <f>tblDailySchedule[[#This Row],[Capacity Approx]]*'[1]Load Factor Sheet June Acft  '!$B$5</f>
        <v>150.61772727272728</v>
      </c>
      <c r="S5302">
        <f>tblDailySchedule[[#This Row],[Capacity Approx]]*'[1]Load Factor Sheet June Acft  '!$D$5</f>
        <v>163.08818181818182</v>
      </c>
      <c r="T5302" s="22">
        <f>tblDailySchedule[[#This Row],[STD]]</f>
        <v>0.44444444444444442</v>
      </c>
    </row>
    <row r="5303" spans="1:20" hidden="1" x14ac:dyDescent="0.35">
      <c r="A5303" s="11">
        <v>46301</v>
      </c>
      <c r="B5303" s="3">
        <v>2</v>
      </c>
      <c r="C5303" t="s">
        <v>108</v>
      </c>
      <c r="D5303" t="s">
        <v>18</v>
      </c>
      <c r="E5303" s="3">
        <v>9</v>
      </c>
      <c r="F5303" t="s">
        <v>19</v>
      </c>
      <c r="G5303" t="s">
        <v>48</v>
      </c>
      <c r="H5303" t="s">
        <v>49</v>
      </c>
      <c r="I5303" s="12">
        <v>0.4375</v>
      </c>
      <c r="J5303" t="s">
        <v>50</v>
      </c>
      <c r="K5303" t="s">
        <v>49</v>
      </c>
      <c r="L5303" s="12">
        <v>0.45833333333333331</v>
      </c>
      <c r="M5303" t="s">
        <v>51</v>
      </c>
      <c r="N5303" s="3">
        <v>78</v>
      </c>
      <c r="O5303" t="s">
        <v>24</v>
      </c>
      <c r="P5303" t="s">
        <v>25</v>
      </c>
      <c r="R5303">
        <f>tblDailySchedule[[#This Row],[Capacity Approx]]*'[1]Load Factor Sheet June Acft  '!$B$5</f>
        <v>63.162272727272729</v>
      </c>
      <c r="S5303">
        <f>tblDailySchedule[[#This Row],[Capacity Approx]]*'[1]Load Factor Sheet June Acft  '!$D$5</f>
        <v>68.391818181818181</v>
      </c>
      <c r="T5303" s="22">
        <f>tblDailySchedule[[#This Row],[STD]]</f>
        <v>0.45833333333333331</v>
      </c>
    </row>
    <row r="5304" spans="1:20" hidden="1" x14ac:dyDescent="0.35">
      <c r="A5304" s="11">
        <v>46301</v>
      </c>
      <c r="B5304" s="3">
        <v>2</v>
      </c>
      <c r="C5304" t="s">
        <v>108</v>
      </c>
      <c r="D5304" t="s">
        <v>18</v>
      </c>
      <c r="E5304" s="3">
        <v>10</v>
      </c>
      <c r="F5304" t="s">
        <v>19</v>
      </c>
      <c r="G5304" t="s">
        <v>52</v>
      </c>
      <c r="H5304" t="s">
        <v>27</v>
      </c>
      <c r="I5304" s="12">
        <v>0.4826388888888889</v>
      </c>
      <c r="J5304" t="s">
        <v>53</v>
      </c>
      <c r="K5304" t="s">
        <v>27</v>
      </c>
      <c r="L5304" s="12">
        <v>0.51041666666666663</v>
      </c>
      <c r="M5304" t="s">
        <v>23</v>
      </c>
      <c r="N5304" s="3">
        <v>186</v>
      </c>
      <c r="O5304" t="s">
        <v>24</v>
      </c>
      <c r="P5304" t="s">
        <v>25</v>
      </c>
      <c r="R5304">
        <f>tblDailySchedule[[#This Row],[Capacity Approx]]*'[1]Load Factor Sheet June Acft  '!$B$5</f>
        <v>150.61772727272728</v>
      </c>
      <c r="S5304">
        <f>tblDailySchedule[[#This Row],[Capacity Approx]]*'[1]Load Factor Sheet June Acft  '!$D$5</f>
        <v>163.08818181818182</v>
      </c>
      <c r="T5304" s="22">
        <f>tblDailySchedule[[#This Row],[STD]]</f>
        <v>0.51041666666666663</v>
      </c>
    </row>
    <row r="5305" spans="1:20" hidden="1" x14ac:dyDescent="0.35">
      <c r="A5305" s="11">
        <v>46301</v>
      </c>
      <c r="B5305" s="3">
        <v>2</v>
      </c>
      <c r="C5305" t="s">
        <v>108</v>
      </c>
      <c r="D5305" t="s">
        <v>18</v>
      </c>
      <c r="E5305" s="3">
        <v>11</v>
      </c>
      <c r="F5305" t="s">
        <v>19</v>
      </c>
      <c r="G5305" t="s">
        <v>54</v>
      </c>
      <c r="H5305" t="s">
        <v>31</v>
      </c>
      <c r="I5305" s="12">
        <v>0.51388888888888884</v>
      </c>
      <c r="J5305" t="s">
        <v>55</v>
      </c>
      <c r="K5305" t="s">
        <v>31</v>
      </c>
      <c r="L5305" s="12">
        <v>0.54166666666666663</v>
      </c>
      <c r="M5305" t="s">
        <v>23</v>
      </c>
      <c r="N5305" s="3">
        <v>186</v>
      </c>
      <c r="O5305" t="s">
        <v>24</v>
      </c>
      <c r="P5305" t="s">
        <v>56</v>
      </c>
      <c r="R5305">
        <f>tblDailySchedule[[#This Row],[Capacity Approx]]*'[1]Load Factor Sheet June Acft  '!$B$5</f>
        <v>150.61772727272728</v>
      </c>
      <c r="S5305">
        <f>tblDailySchedule[[#This Row],[Capacity Approx]]*'[1]Load Factor Sheet June Acft  '!$D$5</f>
        <v>163.08818181818182</v>
      </c>
      <c r="T5305" s="22">
        <f>tblDailySchedule[[#This Row],[STD]]</f>
        <v>0.54166666666666663</v>
      </c>
    </row>
    <row r="5306" spans="1:20" hidden="1" x14ac:dyDescent="0.35">
      <c r="A5306" s="11">
        <v>46301</v>
      </c>
      <c r="B5306" s="3">
        <v>2</v>
      </c>
      <c r="C5306" t="s">
        <v>108</v>
      </c>
      <c r="D5306" t="s">
        <v>18</v>
      </c>
      <c r="E5306" s="3">
        <v>12</v>
      </c>
      <c r="F5306" t="s">
        <v>109</v>
      </c>
      <c r="G5306" t="s">
        <v>110</v>
      </c>
      <c r="H5306" t="s">
        <v>111</v>
      </c>
      <c r="I5306" s="12">
        <v>0.55555555555555558</v>
      </c>
      <c r="J5306" t="s">
        <v>112</v>
      </c>
      <c r="K5306" t="s">
        <v>111</v>
      </c>
      <c r="L5306" s="12">
        <v>0.56944444444444442</v>
      </c>
      <c r="M5306" t="s">
        <v>51</v>
      </c>
      <c r="N5306" s="3">
        <v>78</v>
      </c>
      <c r="O5306" t="s">
        <v>24</v>
      </c>
      <c r="P5306" t="s">
        <v>56</v>
      </c>
      <c r="R5306">
        <f>tblDailySchedule[[#This Row],[Capacity Approx]]*'[1]Load Factor Sheet June Acft  '!$B$5</f>
        <v>63.162272727272729</v>
      </c>
      <c r="S5306">
        <f>tblDailySchedule[[#This Row],[Capacity Approx]]*'[1]Load Factor Sheet June Acft  '!$D$5</f>
        <v>68.391818181818181</v>
      </c>
      <c r="T5306" s="22">
        <f>tblDailySchedule[[#This Row],[STD]]</f>
        <v>0.56944444444444442</v>
      </c>
    </row>
    <row r="5307" spans="1:20" hidden="1" x14ac:dyDescent="0.35">
      <c r="A5307" s="11">
        <v>46301</v>
      </c>
      <c r="B5307" s="3">
        <v>2</v>
      </c>
      <c r="C5307" t="s">
        <v>108</v>
      </c>
      <c r="D5307" t="s">
        <v>18</v>
      </c>
      <c r="E5307" s="3">
        <v>13</v>
      </c>
      <c r="F5307" t="s">
        <v>19</v>
      </c>
      <c r="G5307" t="s">
        <v>57</v>
      </c>
      <c r="H5307" t="s">
        <v>58</v>
      </c>
      <c r="I5307" s="12">
        <v>0.55902777777777779</v>
      </c>
      <c r="J5307" t="s">
        <v>59</v>
      </c>
      <c r="K5307" t="s">
        <v>58</v>
      </c>
      <c r="L5307" s="12">
        <v>0.57638888888888884</v>
      </c>
      <c r="M5307" t="s">
        <v>51</v>
      </c>
      <c r="N5307" s="3">
        <v>78</v>
      </c>
      <c r="O5307" t="s">
        <v>24</v>
      </c>
      <c r="P5307" t="s">
        <v>56</v>
      </c>
      <c r="R5307">
        <f>tblDailySchedule[[#This Row],[Capacity Approx]]*'[1]Load Factor Sheet June Acft  '!$B$5</f>
        <v>63.162272727272729</v>
      </c>
      <c r="S5307">
        <f>tblDailySchedule[[#This Row],[Capacity Approx]]*'[1]Load Factor Sheet June Acft  '!$D$5</f>
        <v>68.391818181818181</v>
      </c>
      <c r="T5307" s="22">
        <f>tblDailySchedule[[#This Row],[STD]]</f>
        <v>0.57638888888888884</v>
      </c>
    </row>
    <row r="5308" spans="1:20" hidden="1" x14ac:dyDescent="0.35">
      <c r="A5308" s="11">
        <v>46301</v>
      </c>
      <c r="B5308" s="3">
        <v>2</v>
      </c>
      <c r="C5308" t="s">
        <v>108</v>
      </c>
      <c r="D5308" t="s">
        <v>18</v>
      </c>
      <c r="E5308" s="3">
        <v>14</v>
      </c>
      <c r="F5308" t="s">
        <v>19</v>
      </c>
      <c r="G5308" t="s">
        <v>60</v>
      </c>
      <c r="H5308" t="s">
        <v>61</v>
      </c>
      <c r="I5308" s="12">
        <v>0.59027777777777779</v>
      </c>
      <c r="J5308" t="s">
        <v>62</v>
      </c>
      <c r="K5308" t="s">
        <v>61</v>
      </c>
      <c r="L5308" s="12">
        <v>0.62152777777777779</v>
      </c>
      <c r="M5308" t="s">
        <v>63</v>
      </c>
      <c r="N5308" s="3">
        <v>232</v>
      </c>
      <c r="O5308" t="s">
        <v>24</v>
      </c>
      <c r="P5308" t="s">
        <v>56</v>
      </c>
      <c r="R5308">
        <f>tblDailySchedule[[#This Row],[Capacity Approx]]*'[1]Load Factor Sheet June Acft  '!$B$5</f>
        <v>187.86727272727273</v>
      </c>
      <c r="S5308">
        <f>tblDailySchedule[[#This Row],[Capacity Approx]]*'[1]Load Factor Sheet June Acft  '!$D$5</f>
        <v>203.4218181818182</v>
      </c>
      <c r="T5308" s="22">
        <f>tblDailySchedule[[#This Row],[STD]]</f>
        <v>0.62152777777777779</v>
      </c>
    </row>
    <row r="5309" spans="1:20" hidden="1" x14ac:dyDescent="0.35">
      <c r="A5309" s="11">
        <v>46301</v>
      </c>
      <c r="B5309" s="3">
        <v>2</v>
      </c>
      <c r="C5309" t="s">
        <v>108</v>
      </c>
      <c r="D5309" t="s">
        <v>18</v>
      </c>
      <c r="E5309" s="3">
        <v>15</v>
      </c>
      <c r="F5309" t="s">
        <v>19</v>
      </c>
      <c r="G5309" t="s">
        <v>64</v>
      </c>
      <c r="H5309" t="s">
        <v>31</v>
      </c>
      <c r="I5309" s="12">
        <v>0.60069444444444442</v>
      </c>
      <c r="J5309" t="s">
        <v>65</v>
      </c>
      <c r="K5309" t="s">
        <v>66</v>
      </c>
      <c r="L5309" s="12">
        <v>0.62847222222222221</v>
      </c>
      <c r="M5309" t="s">
        <v>63</v>
      </c>
      <c r="N5309" s="3">
        <v>232</v>
      </c>
      <c r="O5309" t="s">
        <v>24</v>
      </c>
      <c r="P5309" t="s">
        <v>56</v>
      </c>
      <c r="R5309">
        <f>tblDailySchedule[[#This Row],[Capacity Approx]]*'[1]Load Factor Sheet June Acft  '!$B$5</f>
        <v>187.86727272727273</v>
      </c>
      <c r="S5309">
        <f>tblDailySchedule[[#This Row],[Capacity Approx]]*'[1]Load Factor Sheet June Acft  '!$D$5</f>
        <v>203.4218181818182</v>
      </c>
      <c r="T5309" s="22">
        <f>tblDailySchedule[[#This Row],[STD]]</f>
        <v>0.62847222222222221</v>
      </c>
    </row>
    <row r="5310" spans="1:20" hidden="1" x14ac:dyDescent="0.35">
      <c r="A5310" s="11">
        <v>46301</v>
      </c>
      <c r="B5310" s="3">
        <v>2</v>
      </c>
      <c r="C5310" t="s">
        <v>108</v>
      </c>
      <c r="D5310" t="s">
        <v>18</v>
      </c>
      <c r="E5310" s="3">
        <v>16</v>
      </c>
      <c r="F5310" t="s">
        <v>19</v>
      </c>
      <c r="G5310" t="s">
        <v>67</v>
      </c>
      <c r="H5310" t="s">
        <v>31</v>
      </c>
      <c r="I5310" s="12">
        <v>0.65625</v>
      </c>
      <c r="J5310" t="s">
        <v>68</v>
      </c>
      <c r="K5310" t="s">
        <v>31</v>
      </c>
      <c r="L5310" s="12">
        <v>0.68402777777777779</v>
      </c>
      <c r="M5310" t="s">
        <v>63</v>
      </c>
      <c r="N5310" s="3">
        <v>232</v>
      </c>
      <c r="O5310" t="s">
        <v>24</v>
      </c>
      <c r="P5310" t="s">
        <v>56</v>
      </c>
      <c r="R5310">
        <f>tblDailySchedule[[#This Row],[Capacity Approx]]*'[1]Load Factor Sheet June Acft  '!$B$5</f>
        <v>187.86727272727273</v>
      </c>
      <c r="S5310">
        <f>tblDailySchedule[[#This Row],[Capacity Approx]]*'[1]Load Factor Sheet June Acft  '!$D$5</f>
        <v>203.4218181818182</v>
      </c>
      <c r="T5310" s="22">
        <f>tblDailySchedule[[#This Row],[STD]]</f>
        <v>0.68402777777777779</v>
      </c>
    </row>
    <row r="5311" spans="1:20" hidden="1" x14ac:dyDescent="0.35">
      <c r="A5311" s="11">
        <v>46301</v>
      </c>
      <c r="B5311" s="3">
        <v>2</v>
      </c>
      <c r="C5311" t="s">
        <v>108</v>
      </c>
      <c r="D5311" t="s">
        <v>18</v>
      </c>
      <c r="E5311" s="3">
        <v>17</v>
      </c>
      <c r="F5311" t="s">
        <v>19</v>
      </c>
      <c r="G5311" t="s">
        <v>69</v>
      </c>
      <c r="H5311" t="s">
        <v>31</v>
      </c>
      <c r="I5311" s="12">
        <v>0.66319444444444442</v>
      </c>
      <c r="J5311" t="s">
        <v>70</v>
      </c>
      <c r="K5311" t="s">
        <v>31</v>
      </c>
      <c r="L5311" s="12">
        <v>0.69097222222222221</v>
      </c>
      <c r="M5311" t="s">
        <v>33</v>
      </c>
      <c r="N5311" s="3">
        <v>189</v>
      </c>
      <c r="O5311" t="s">
        <v>24</v>
      </c>
      <c r="P5311" t="s">
        <v>56</v>
      </c>
      <c r="R5311">
        <f>tblDailySchedule[[#This Row],[Capacity Approx]]*'[1]Load Factor Sheet June Acft  '!$B$5</f>
        <v>153.04704545454547</v>
      </c>
      <c r="S5311">
        <f>tblDailySchedule[[#This Row],[Capacity Approx]]*'[1]Load Factor Sheet June Acft  '!$D$5</f>
        <v>165.71863636363636</v>
      </c>
      <c r="T5311" s="22">
        <f>tblDailySchedule[[#This Row],[STD]]</f>
        <v>0.69097222222222221</v>
      </c>
    </row>
    <row r="5312" spans="1:20" hidden="1" x14ac:dyDescent="0.35">
      <c r="A5312" s="11">
        <v>46301</v>
      </c>
      <c r="B5312" s="3">
        <v>2</v>
      </c>
      <c r="C5312" t="s">
        <v>108</v>
      </c>
      <c r="D5312" t="s">
        <v>18</v>
      </c>
      <c r="E5312" s="3">
        <v>18</v>
      </c>
      <c r="F5312" t="s">
        <v>19</v>
      </c>
      <c r="G5312" t="s">
        <v>71</v>
      </c>
      <c r="H5312" t="s">
        <v>21</v>
      </c>
      <c r="I5312" s="12">
        <v>0.67013888888888884</v>
      </c>
      <c r="J5312" t="s">
        <v>72</v>
      </c>
      <c r="K5312" t="s">
        <v>21</v>
      </c>
      <c r="L5312" s="12">
        <v>0.69791666666666663</v>
      </c>
      <c r="M5312" t="s">
        <v>63</v>
      </c>
      <c r="N5312" s="3">
        <v>232</v>
      </c>
      <c r="O5312" t="s">
        <v>24</v>
      </c>
      <c r="P5312" t="s">
        <v>56</v>
      </c>
      <c r="R5312">
        <f>tblDailySchedule[[#This Row],[Capacity Approx]]*'[1]Load Factor Sheet June Acft  '!$B$5</f>
        <v>187.86727272727273</v>
      </c>
      <c r="S5312">
        <f>tblDailySchedule[[#This Row],[Capacity Approx]]*'[1]Load Factor Sheet June Acft  '!$D$5</f>
        <v>203.4218181818182</v>
      </c>
      <c r="T5312" s="22">
        <f>tblDailySchedule[[#This Row],[STD]]</f>
        <v>0.69791666666666663</v>
      </c>
    </row>
    <row r="5313" spans="1:20" hidden="1" x14ac:dyDescent="0.35">
      <c r="A5313" s="11">
        <v>46301</v>
      </c>
      <c r="B5313" s="3">
        <v>2</v>
      </c>
      <c r="C5313" t="s">
        <v>108</v>
      </c>
      <c r="D5313" t="s">
        <v>18</v>
      </c>
      <c r="E5313" s="3">
        <v>19</v>
      </c>
      <c r="F5313" t="s">
        <v>19</v>
      </c>
      <c r="G5313" t="s">
        <v>73</v>
      </c>
      <c r="H5313" t="s">
        <v>27</v>
      </c>
      <c r="I5313" s="12">
        <v>0.74652777777777779</v>
      </c>
      <c r="J5313" t="s">
        <v>74</v>
      </c>
      <c r="K5313" t="s">
        <v>27</v>
      </c>
      <c r="L5313" s="12">
        <v>0.77430555555555558</v>
      </c>
      <c r="M5313" t="s">
        <v>63</v>
      </c>
      <c r="N5313" s="3">
        <v>232</v>
      </c>
      <c r="O5313" t="s">
        <v>24</v>
      </c>
      <c r="P5313" t="s">
        <v>56</v>
      </c>
      <c r="R5313">
        <f>tblDailySchedule[[#This Row],[Capacity Approx]]*'[1]Load Factor Sheet June Acft  '!$B$5</f>
        <v>187.86727272727273</v>
      </c>
      <c r="S5313">
        <f>tblDailySchedule[[#This Row],[Capacity Approx]]*'[1]Load Factor Sheet June Acft  '!$D$5</f>
        <v>203.4218181818182</v>
      </c>
      <c r="T5313" s="22">
        <f>tblDailySchedule[[#This Row],[STD]]</f>
        <v>0.77430555555555558</v>
      </c>
    </row>
    <row r="5314" spans="1:20" hidden="1" x14ac:dyDescent="0.35">
      <c r="A5314" s="11">
        <v>46301</v>
      </c>
      <c r="B5314" s="3">
        <v>2</v>
      </c>
      <c r="C5314" t="s">
        <v>108</v>
      </c>
      <c r="D5314" t="s">
        <v>18</v>
      </c>
      <c r="E5314" s="3">
        <v>21</v>
      </c>
      <c r="F5314" t="s">
        <v>19</v>
      </c>
      <c r="G5314" t="s">
        <v>81</v>
      </c>
      <c r="H5314" t="s">
        <v>61</v>
      </c>
      <c r="I5314" s="12">
        <v>0.77083333333333337</v>
      </c>
      <c r="J5314" t="s">
        <v>82</v>
      </c>
      <c r="K5314" t="s">
        <v>49</v>
      </c>
      <c r="L5314" s="12">
        <v>0.79166666666666663</v>
      </c>
      <c r="M5314" t="s">
        <v>33</v>
      </c>
      <c r="N5314" s="3">
        <v>189</v>
      </c>
      <c r="O5314" t="s">
        <v>24</v>
      </c>
      <c r="P5314" t="s">
        <v>79</v>
      </c>
      <c r="R5314">
        <f>tblDailySchedule[[#This Row],[Capacity Approx]]*'[1]Load Factor Sheet June Acft  '!$B$5</f>
        <v>153.04704545454547</v>
      </c>
      <c r="S5314">
        <f>tblDailySchedule[[#This Row],[Capacity Approx]]*'[1]Load Factor Sheet June Acft  '!$D$5</f>
        <v>165.71863636363636</v>
      </c>
      <c r="T5314" s="22">
        <f>tblDailySchedule[[#This Row],[STD]]</f>
        <v>0.79166666666666663</v>
      </c>
    </row>
    <row r="5315" spans="1:20" hidden="1" x14ac:dyDescent="0.35">
      <c r="A5315" s="11">
        <v>46301</v>
      </c>
      <c r="B5315" s="3">
        <v>2</v>
      </c>
      <c r="C5315" t="s">
        <v>108</v>
      </c>
      <c r="D5315" t="s">
        <v>18</v>
      </c>
      <c r="E5315" s="3">
        <v>22</v>
      </c>
      <c r="F5315" t="s">
        <v>19</v>
      </c>
      <c r="G5315" t="s">
        <v>83</v>
      </c>
      <c r="H5315" t="s">
        <v>31</v>
      </c>
      <c r="I5315" s="12">
        <v>0.77777777777777779</v>
      </c>
      <c r="J5315" t="s">
        <v>84</v>
      </c>
      <c r="K5315" t="s">
        <v>31</v>
      </c>
      <c r="L5315" s="12">
        <v>0.80555555555555558</v>
      </c>
      <c r="M5315" t="s">
        <v>63</v>
      </c>
      <c r="N5315" s="3">
        <v>232</v>
      </c>
      <c r="O5315" t="s">
        <v>24</v>
      </c>
      <c r="P5315" t="s">
        <v>79</v>
      </c>
      <c r="R5315">
        <f>tblDailySchedule[[#This Row],[Capacity Approx]]*'[1]Load Factor Sheet June Acft  '!$B$5</f>
        <v>187.86727272727273</v>
      </c>
      <c r="S5315">
        <f>tblDailySchedule[[#This Row],[Capacity Approx]]*'[1]Load Factor Sheet June Acft  '!$D$5</f>
        <v>203.4218181818182</v>
      </c>
      <c r="T5315" s="22">
        <f>tblDailySchedule[[#This Row],[STD]]</f>
        <v>0.80555555555555558</v>
      </c>
    </row>
    <row r="5316" spans="1:20" hidden="1" x14ac:dyDescent="0.35">
      <c r="A5316" s="11">
        <v>46301</v>
      </c>
      <c r="B5316" s="3">
        <v>2</v>
      </c>
      <c r="C5316" t="s">
        <v>108</v>
      </c>
      <c r="D5316" t="s">
        <v>18</v>
      </c>
      <c r="E5316" s="3">
        <v>23</v>
      </c>
      <c r="F5316" t="s">
        <v>19</v>
      </c>
      <c r="G5316" t="s">
        <v>85</v>
      </c>
      <c r="H5316" t="s">
        <v>86</v>
      </c>
      <c r="I5316" s="12">
        <v>0.79861111111111116</v>
      </c>
      <c r="J5316" t="s">
        <v>87</v>
      </c>
      <c r="K5316" t="s">
        <v>86</v>
      </c>
      <c r="L5316" s="12">
        <v>0.82638888888888884</v>
      </c>
      <c r="M5316" t="s">
        <v>63</v>
      </c>
      <c r="N5316" s="3">
        <v>232</v>
      </c>
      <c r="O5316" t="s">
        <v>24</v>
      </c>
      <c r="P5316" t="s">
        <v>79</v>
      </c>
      <c r="R5316">
        <f>tblDailySchedule[[#This Row],[Capacity Approx]]*'[1]Load Factor Sheet June Acft  '!$B$5</f>
        <v>187.86727272727273</v>
      </c>
      <c r="S5316">
        <f>tblDailySchedule[[#This Row],[Capacity Approx]]*'[1]Load Factor Sheet June Acft  '!$D$5</f>
        <v>203.4218181818182</v>
      </c>
      <c r="T5316" s="22">
        <f>tblDailySchedule[[#This Row],[STD]]</f>
        <v>0.82638888888888884</v>
      </c>
    </row>
    <row r="5317" spans="1:20" hidden="1" x14ac:dyDescent="0.35">
      <c r="A5317" s="11">
        <v>46301</v>
      </c>
      <c r="B5317" s="3">
        <v>2</v>
      </c>
      <c r="C5317" t="s">
        <v>108</v>
      </c>
      <c r="D5317" t="s">
        <v>18</v>
      </c>
      <c r="E5317" s="3">
        <v>24</v>
      </c>
      <c r="F5317" t="s">
        <v>19</v>
      </c>
      <c r="G5317" t="s">
        <v>88</v>
      </c>
      <c r="H5317" t="s">
        <v>89</v>
      </c>
      <c r="I5317" s="12">
        <v>0.83333333333333337</v>
      </c>
      <c r="J5317" t="s">
        <v>90</v>
      </c>
      <c r="K5317" t="s">
        <v>31</v>
      </c>
      <c r="L5317" s="12">
        <v>0.86111111111111116</v>
      </c>
      <c r="M5317" t="s">
        <v>63</v>
      </c>
      <c r="N5317" s="3">
        <v>232</v>
      </c>
      <c r="O5317" t="s">
        <v>24</v>
      </c>
      <c r="P5317" t="s">
        <v>79</v>
      </c>
      <c r="R5317">
        <f>tblDailySchedule[[#This Row],[Capacity Approx]]*'[1]Load Factor Sheet June Acft  '!$B$5</f>
        <v>187.86727272727273</v>
      </c>
      <c r="S5317">
        <f>tblDailySchedule[[#This Row],[Capacity Approx]]*'[1]Load Factor Sheet June Acft  '!$D$5</f>
        <v>203.4218181818182</v>
      </c>
      <c r="T5317" s="22">
        <f>tblDailySchedule[[#This Row],[STD]]</f>
        <v>0.86111111111111116</v>
      </c>
    </row>
    <row r="5318" spans="1:20" hidden="1" x14ac:dyDescent="0.35">
      <c r="A5318" s="11">
        <v>46301</v>
      </c>
      <c r="B5318" s="3">
        <v>2</v>
      </c>
      <c r="C5318" t="s">
        <v>108</v>
      </c>
      <c r="D5318" t="s">
        <v>18</v>
      </c>
      <c r="E5318" s="3">
        <v>25</v>
      </c>
      <c r="F5318" t="s">
        <v>19</v>
      </c>
      <c r="G5318" t="s">
        <v>91</v>
      </c>
      <c r="H5318" t="s">
        <v>61</v>
      </c>
      <c r="I5318" s="12">
        <v>0.85416666666666663</v>
      </c>
      <c r="J5318" t="s">
        <v>92</v>
      </c>
      <c r="K5318" t="s">
        <v>61</v>
      </c>
      <c r="L5318" s="12">
        <v>0.88194444444444442</v>
      </c>
      <c r="M5318" t="s">
        <v>63</v>
      </c>
      <c r="N5318" s="3">
        <v>232</v>
      </c>
      <c r="O5318" t="s">
        <v>24</v>
      </c>
      <c r="P5318" t="s">
        <v>79</v>
      </c>
      <c r="R5318">
        <f>tblDailySchedule[[#This Row],[Capacity Approx]]*'[1]Load Factor Sheet June Acft  '!$B$5</f>
        <v>187.86727272727273</v>
      </c>
      <c r="S5318">
        <f>tblDailySchedule[[#This Row],[Capacity Approx]]*'[1]Load Factor Sheet June Acft  '!$D$5</f>
        <v>203.4218181818182</v>
      </c>
      <c r="T5318" s="22">
        <f>tblDailySchedule[[#This Row],[STD]]</f>
        <v>0.88194444444444442</v>
      </c>
    </row>
    <row r="5319" spans="1:20" hidden="1" x14ac:dyDescent="0.35">
      <c r="A5319" s="11">
        <v>46301</v>
      </c>
      <c r="B5319" s="3">
        <v>2</v>
      </c>
      <c r="C5319" t="s">
        <v>108</v>
      </c>
      <c r="D5319" t="s">
        <v>18</v>
      </c>
      <c r="E5319" s="3">
        <v>26</v>
      </c>
      <c r="F5319" t="s">
        <v>19</v>
      </c>
      <c r="G5319" t="s">
        <v>93</v>
      </c>
      <c r="H5319" t="s">
        <v>31</v>
      </c>
      <c r="I5319" s="12">
        <v>0.86111111111111116</v>
      </c>
      <c r="J5319" t="s">
        <v>94</v>
      </c>
      <c r="K5319" t="s">
        <v>31</v>
      </c>
      <c r="L5319" s="12">
        <v>0.88888888888888884</v>
      </c>
      <c r="M5319" t="s">
        <v>23</v>
      </c>
      <c r="N5319" s="3">
        <v>186</v>
      </c>
      <c r="O5319" t="s">
        <v>24</v>
      </c>
      <c r="P5319" t="s">
        <v>79</v>
      </c>
      <c r="R5319">
        <f>tblDailySchedule[[#This Row],[Capacity Approx]]*'[1]Load Factor Sheet June Acft  '!$B$5</f>
        <v>150.61772727272728</v>
      </c>
      <c r="S5319">
        <f>tblDailySchedule[[#This Row],[Capacity Approx]]*'[1]Load Factor Sheet June Acft  '!$D$5</f>
        <v>163.08818181818182</v>
      </c>
      <c r="T5319" s="22">
        <f>tblDailySchedule[[#This Row],[STD]]</f>
        <v>0.88888888888888884</v>
      </c>
    </row>
    <row r="5320" spans="1:20" hidden="1" x14ac:dyDescent="0.35">
      <c r="A5320" s="11">
        <v>46301</v>
      </c>
      <c r="B5320" s="3">
        <v>2</v>
      </c>
      <c r="C5320" t="s">
        <v>108</v>
      </c>
      <c r="D5320" t="s">
        <v>18</v>
      </c>
      <c r="E5320" s="3">
        <v>27</v>
      </c>
      <c r="F5320" t="s">
        <v>19</v>
      </c>
      <c r="G5320" t="s">
        <v>95</v>
      </c>
      <c r="H5320" t="s">
        <v>21</v>
      </c>
      <c r="I5320" s="12">
        <v>0.86805555555555558</v>
      </c>
      <c r="J5320" t="s">
        <v>96</v>
      </c>
      <c r="K5320" t="s">
        <v>21</v>
      </c>
      <c r="L5320" s="12">
        <v>0.89583333333333337</v>
      </c>
      <c r="M5320" t="s">
        <v>29</v>
      </c>
      <c r="N5320" s="3">
        <v>186</v>
      </c>
      <c r="O5320" t="s">
        <v>24</v>
      </c>
      <c r="P5320" t="s">
        <v>79</v>
      </c>
      <c r="R5320">
        <f>tblDailySchedule[[#This Row],[Capacity Approx]]*'[1]Load Factor Sheet June Acft  '!$B$5</f>
        <v>150.61772727272728</v>
      </c>
      <c r="S5320">
        <f>tblDailySchedule[[#This Row],[Capacity Approx]]*'[1]Load Factor Sheet June Acft  '!$D$5</f>
        <v>163.08818181818182</v>
      </c>
      <c r="T5320" s="22">
        <f>tblDailySchedule[[#This Row],[STD]]</f>
        <v>0.89583333333333337</v>
      </c>
    </row>
    <row r="5321" spans="1:20" hidden="1" x14ac:dyDescent="0.35">
      <c r="A5321" s="11">
        <v>46301</v>
      </c>
      <c r="B5321" s="3">
        <v>2</v>
      </c>
      <c r="C5321" t="s">
        <v>108</v>
      </c>
      <c r="D5321" t="s">
        <v>18</v>
      </c>
      <c r="E5321" s="3">
        <v>28</v>
      </c>
      <c r="F5321" t="s">
        <v>19</v>
      </c>
      <c r="G5321" t="s">
        <v>97</v>
      </c>
      <c r="H5321" t="s">
        <v>49</v>
      </c>
      <c r="I5321" s="12">
        <v>0.90277777777777779</v>
      </c>
      <c r="J5321" t="s">
        <v>97</v>
      </c>
      <c r="K5321" t="s">
        <v>61</v>
      </c>
      <c r="L5321" s="12">
        <v>0.92361111111111116</v>
      </c>
      <c r="M5321" t="s">
        <v>33</v>
      </c>
      <c r="N5321" s="3">
        <v>189</v>
      </c>
      <c r="O5321" t="s">
        <v>24</v>
      </c>
      <c r="P5321" t="s">
        <v>79</v>
      </c>
      <c r="R5321">
        <f>tblDailySchedule[[#This Row],[Capacity Approx]]*'[1]Load Factor Sheet June Acft  '!$B$5</f>
        <v>153.04704545454547</v>
      </c>
      <c r="S5321">
        <f>tblDailySchedule[[#This Row],[Capacity Approx]]*'[1]Load Factor Sheet June Acft  '!$D$5</f>
        <v>165.71863636363636</v>
      </c>
      <c r="T5321" s="22">
        <f>tblDailySchedule[[#This Row],[STD]]</f>
        <v>0.92361111111111116</v>
      </c>
    </row>
    <row r="5322" spans="1:20" hidden="1" x14ac:dyDescent="0.35">
      <c r="A5322" s="11">
        <v>46301</v>
      </c>
      <c r="B5322" s="3">
        <v>2</v>
      </c>
      <c r="C5322" t="s">
        <v>108</v>
      </c>
      <c r="D5322" t="s">
        <v>18</v>
      </c>
      <c r="E5322" s="3">
        <v>29</v>
      </c>
      <c r="F5322" t="s">
        <v>19</v>
      </c>
      <c r="G5322" t="s">
        <v>98</v>
      </c>
      <c r="H5322" t="s">
        <v>21</v>
      </c>
      <c r="I5322" s="12">
        <v>0.92013888888888884</v>
      </c>
      <c r="J5322" t="s">
        <v>99</v>
      </c>
      <c r="K5322" t="s">
        <v>21</v>
      </c>
      <c r="L5322" s="12">
        <v>0.94791666666666663</v>
      </c>
      <c r="M5322" t="s">
        <v>63</v>
      </c>
      <c r="N5322" s="3">
        <v>232</v>
      </c>
      <c r="O5322" t="s">
        <v>24</v>
      </c>
      <c r="P5322" t="s">
        <v>79</v>
      </c>
      <c r="R5322">
        <f>tblDailySchedule[[#This Row],[Capacity Approx]]*'[1]Load Factor Sheet June Acft  '!$B$5</f>
        <v>187.86727272727273</v>
      </c>
      <c r="S5322">
        <f>tblDailySchedule[[#This Row],[Capacity Approx]]*'[1]Load Factor Sheet June Acft  '!$D$5</f>
        <v>203.4218181818182</v>
      </c>
      <c r="T5322" s="22">
        <f>tblDailySchedule[[#This Row],[STD]]</f>
        <v>0.94791666666666663</v>
      </c>
    </row>
    <row r="5323" spans="1:20" hidden="1" x14ac:dyDescent="0.35">
      <c r="A5323" s="11">
        <v>46302</v>
      </c>
      <c r="B5323" s="3">
        <v>3</v>
      </c>
      <c r="C5323" t="s">
        <v>113</v>
      </c>
      <c r="D5323" t="s">
        <v>18</v>
      </c>
      <c r="E5323" s="3">
        <v>2</v>
      </c>
      <c r="F5323" t="s">
        <v>19</v>
      </c>
      <c r="G5323" t="s">
        <v>20</v>
      </c>
      <c r="H5323" t="s">
        <v>21</v>
      </c>
      <c r="I5323" s="12">
        <v>0.31944444444444442</v>
      </c>
      <c r="J5323" t="s">
        <v>22</v>
      </c>
      <c r="K5323" t="s">
        <v>21</v>
      </c>
      <c r="L5323" s="12">
        <v>0.34722222222222221</v>
      </c>
      <c r="M5323" t="s">
        <v>23</v>
      </c>
      <c r="N5323" s="3">
        <v>186</v>
      </c>
      <c r="O5323" t="s">
        <v>24</v>
      </c>
      <c r="P5323" t="s">
        <v>25</v>
      </c>
      <c r="R5323">
        <f>tblDailySchedule[[#This Row],[Capacity Approx]]*'[1]Load Factor Sheet June Acft  '!$B$5</f>
        <v>150.61772727272728</v>
      </c>
      <c r="S5323">
        <f>tblDailySchedule[[#This Row],[Capacity Approx]]*'[1]Load Factor Sheet June Acft  '!$D$5</f>
        <v>163.08818181818182</v>
      </c>
      <c r="T5323" s="22">
        <f>tblDailySchedule[[#This Row],[STD]]</f>
        <v>0.34722222222222221</v>
      </c>
    </row>
    <row r="5324" spans="1:20" hidden="1" x14ac:dyDescent="0.35">
      <c r="A5324" s="11">
        <v>46302</v>
      </c>
      <c r="B5324" s="3">
        <v>3</v>
      </c>
      <c r="C5324" t="s">
        <v>113</v>
      </c>
      <c r="D5324" t="s">
        <v>18</v>
      </c>
      <c r="E5324" s="3">
        <v>3</v>
      </c>
      <c r="F5324" t="s">
        <v>19</v>
      </c>
      <c r="G5324" t="s">
        <v>26</v>
      </c>
      <c r="H5324" t="s">
        <v>27</v>
      </c>
      <c r="I5324" s="12">
        <v>0.3263888888888889</v>
      </c>
      <c r="J5324" t="s">
        <v>28</v>
      </c>
      <c r="K5324" t="s">
        <v>27</v>
      </c>
      <c r="L5324" s="12">
        <v>0.35416666666666669</v>
      </c>
      <c r="M5324" t="s">
        <v>29</v>
      </c>
      <c r="N5324" s="3">
        <v>186</v>
      </c>
      <c r="O5324" t="s">
        <v>24</v>
      </c>
      <c r="P5324" t="s">
        <v>25</v>
      </c>
      <c r="R5324">
        <f>tblDailySchedule[[#This Row],[Capacity Approx]]*'[1]Load Factor Sheet June Acft  '!$B$5</f>
        <v>150.61772727272728</v>
      </c>
      <c r="S5324">
        <f>tblDailySchedule[[#This Row],[Capacity Approx]]*'[1]Load Factor Sheet June Acft  '!$D$5</f>
        <v>163.08818181818182</v>
      </c>
      <c r="T5324" s="22">
        <f>tblDailySchedule[[#This Row],[STD]]</f>
        <v>0.35416666666666669</v>
      </c>
    </row>
    <row r="5325" spans="1:20" hidden="1" x14ac:dyDescent="0.35">
      <c r="A5325" s="11">
        <v>46302</v>
      </c>
      <c r="B5325" s="3">
        <v>3</v>
      </c>
      <c r="C5325" t="s">
        <v>113</v>
      </c>
      <c r="D5325" t="s">
        <v>18</v>
      </c>
      <c r="E5325" s="3">
        <v>4</v>
      </c>
      <c r="F5325" t="s">
        <v>19</v>
      </c>
      <c r="G5325" t="s">
        <v>30</v>
      </c>
      <c r="H5325" t="s">
        <v>31</v>
      </c>
      <c r="I5325" s="12">
        <v>0.34722222222222221</v>
      </c>
      <c r="J5325" t="s">
        <v>32</v>
      </c>
      <c r="K5325" t="s">
        <v>31</v>
      </c>
      <c r="L5325" s="12">
        <v>0.36805555555555558</v>
      </c>
      <c r="M5325" t="s">
        <v>33</v>
      </c>
      <c r="N5325" s="3">
        <v>189</v>
      </c>
      <c r="O5325" t="s">
        <v>24</v>
      </c>
      <c r="P5325" t="s">
        <v>25</v>
      </c>
      <c r="R5325">
        <f>tblDailySchedule[[#This Row],[Capacity Approx]]*'[1]Load Factor Sheet June Acft  '!$B$5</f>
        <v>153.04704545454547</v>
      </c>
      <c r="S5325">
        <f>tblDailySchedule[[#This Row],[Capacity Approx]]*'[1]Load Factor Sheet June Acft  '!$D$5</f>
        <v>165.71863636363636</v>
      </c>
      <c r="T5325" s="22">
        <f>tblDailySchedule[[#This Row],[STD]]</f>
        <v>0.36805555555555558</v>
      </c>
    </row>
    <row r="5326" spans="1:20" hidden="1" x14ac:dyDescent="0.35">
      <c r="A5326" s="13">
        <v>46302</v>
      </c>
      <c r="B5326" s="7">
        <v>3</v>
      </c>
      <c r="C5326" s="14" t="s">
        <v>113</v>
      </c>
      <c r="D5326" s="14" t="s">
        <v>18</v>
      </c>
      <c r="E5326" s="7">
        <v>6</v>
      </c>
      <c r="F5326" s="14" t="s">
        <v>34</v>
      </c>
      <c r="G5326" s="14" t="s">
        <v>35</v>
      </c>
      <c r="H5326" s="14" t="s">
        <v>36</v>
      </c>
      <c r="I5326" s="15">
        <v>0.34722222222222221</v>
      </c>
      <c r="J5326" s="14" t="s">
        <v>37</v>
      </c>
      <c r="K5326" s="14" t="s">
        <v>36</v>
      </c>
      <c r="L5326" s="15">
        <v>0.40972222222222221</v>
      </c>
      <c r="M5326" s="14" t="s">
        <v>38</v>
      </c>
      <c r="N5326" s="7">
        <v>186</v>
      </c>
      <c r="O5326" s="14" t="s">
        <v>39</v>
      </c>
      <c r="P5326" s="14" t="s">
        <v>25</v>
      </c>
      <c r="Q5326" s="14" t="s">
        <v>39</v>
      </c>
      <c r="R5326">
        <f>tblDailySchedule[[#This Row],[Capacity Approx]]*'[1]Load Factor Sheet June Acft  '!$B$5</f>
        <v>150.61772727272728</v>
      </c>
      <c r="S5326">
        <f>tblDailySchedule[[#This Row],[Capacity Approx]]*'[1]Load Factor Sheet June Acft  '!$D$5</f>
        <v>163.08818181818182</v>
      </c>
      <c r="T5326" s="22">
        <f>tblDailySchedule[[#This Row],[STD]]</f>
        <v>0.40972222222222221</v>
      </c>
    </row>
    <row r="5327" spans="1:20" hidden="1" x14ac:dyDescent="0.35">
      <c r="A5327" s="11">
        <v>46302</v>
      </c>
      <c r="B5327" s="3">
        <v>3</v>
      </c>
      <c r="C5327" t="s">
        <v>113</v>
      </c>
      <c r="D5327" t="s">
        <v>18</v>
      </c>
      <c r="E5327" s="3">
        <v>5</v>
      </c>
      <c r="F5327" t="s">
        <v>19</v>
      </c>
      <c r="G5327" t="s">
        <v>40</v>
      </c>
      <c r="H5327" t="s">
        <v>31</v>
      </c>
      <c r="I5327" s="12">
        <v>0.35069444444444442</v>
      </c>
      <c r="J5327" t="s">
        <v>41</v>
      </c>
      <c r="K5327" t="s">
        <v>31</v>
      </c>
      <c r="L5327" s="12">
        <v>0.37152777777777779</v>
      </c>
      <c r="M5327" t="s">
        <v>23</v>
      </c>
      <c r="N5327" s="3">
        <v>186</v>
      </c>
      <c r="O5327" t="s">
        <v>24</v>
      </c>
      <c r="P5327" t="s">
        <v>25</v>
      </c>
      <c r="R5327">
        <f>tblDailySchedule[[#This Row],[Capacity Approx]]*'[1]Load Factor Sheet June Acft  '!$B$5</f>
        <v>150.61772727272728</v>
      </c>
      <c r="S5327">
        <f>tblDailySchedule[[#This Row],[Capacity Approx]]*'[1]Load Factor Sheet June Acft  '!$D$5</f>
        <v>163.08818181818182</v>
      </c>
      <c r="T5327" s="22">
        <f>tblDailySchedule[[#This Row],[STD]]</f>
        <v>0.37152777777777779</v>
      </c>
    </row>
    <row r="5328" spans="1:20" hidden="1" x14ac:dyDescent="0.35">
      <c r="A5328" s="11">
        <v>46302</v>
      </c>
      <c r="B5328" s="3">
        <v>3</v>
      </c>
      <c r="C5328" t="s">
        <v>113</v>
      </c>
      <c r="D5328" t="s">
        <v>18</v>
      </c>
      <c r="E5328" s="3">
        <v>7</v>
      </c>
      <c r="F5328" t="s">
        <v>19</v>
      </c>
      <c r="G5328" t="s">
        <v>42</v>
      </c>
      <c r="H5328" t="s">
        <v>43</v>
      </c>
      <c r="I5328" s="12">
        <v>0.3923611111111111</v>
      </c>
      <c r="J5328" t="s">
        <v>44</v>
      </c>
      <c r="K5328" t="s">
        <v>43</v>
      </c>
      <c r="L5328" s="12">
        <v>0.40277777777777779</v>
      </c>
      <c r="M5328" t="s">
        <v>45</v>
      </c>
      <c r="N5328" s="3">
        <v>9</v>
      </c>
      <c r="O5328" t="s">
        <v>24</v>
      </c>
      <c r="P5328" t="s">
        <v>25</v>
      </c>
      <c r="R5328">
        <f>tblDailySchedule[[#This Row],[Capacity Approx]]*'[1]Load Factor Sheet June Acft  '!$B$5</f>
        <v>7.2879545454545456</v>
      </c>
      <c r="S5328">
        <f>tblDailySchedule[[#This Row],[Capacity Approx]]*'[1]Load Factor Sheet June Acft  '!$D$5</f>
        <v>7.8913636363636366</v>
      </c>
      <c r="T5328" s="22">
        <f>tblDailySchedule[[#This Row],[STD]]</f>
        <v>0.40277777777777779</v>
      </c>
    </row>
    <row r="5329" spans="1:20" hidden="1" x14ac:dyDescent="0.35">
      <c r="A5329" s="11">
        <v>46302</v>
      </c>
      <c r="B5329" s="3">
        <v>3</v>
      </c>
      <c r="C5329" t="s">
        <v>113</v>
      </c>
      <c r="D5329" t="s">
        <v>18</v>
      </c>
      <c r="E5329" s="3">
        <v>8</v>
      </c>
      <c r="F5329" t="s">
        <v>19</v>
      </c>
      <c r="G5329" t="s">
        <v>46</v>
      </c>
      <c r="H5329" t="s">
        <v>31</v>
      </c>
      <c r="I5329" s="12">
        <v>0.4201388888888889</v>
      </c>
      <c r="J5329" t="s">
        <v>47</v>
      </c>
      <c r="K5329" t="s">
        <v>31</v>
      </c>
      <c r="L5329" s="12">
        <v>0.44444444444444442</v>
      </c>
      <c r="M5329" t="s">
        <v>29</v>
      </c>
      <c r="N5329" s="3">
        <v>186</v>
      </c>
      <c r="O5329" t="s">
        <v>24</v>
      </c>
      <c r="P5329" t="s">
        <v>25</v>
      </c>
      <c r="R5329">
        <f>tblDailySchedule[[#This Row],[Capacity Approx]]*'[1]Load Factor Sheet June Acft  '!$B$5</f>
        <v>150.61772727272728</v>
      </c>
      <c r="S5329">
        <f>tblDailySchedule[[#This Row],[Capacity Approx]]*'[1]Load Factor Sheet June Acft  '!$D$5</f>
        <v>163.08818181818182</v>
      </c>
      <c r="T5329" s="22">
        <f>tblDailySchedule[[#This Row],[STD]]</f>
        <v>0.44444444444444442</v>
      </c>
    </row>
    <row r="5330" spans="1:20" hidden="1" x14ac:dyDescent="0.35">
      <c r="A5330" s="11">
        <v>46302</v>
      </c>
      <c r="B5330" s="3">
        <v>3</v>
      </c>
      <c r="C5330" t="s">
        <v>113</v>
      </c>
      <c r="D5330" t="s">
        <v>18</v>
      </c>
      <c r="E5330" s="3">
        <v>9</v>
      </c>
      <c r="F5330" t="s">
        <v>19</v>
      </c>
      <c r="G5330" t="s">
        <v>48</v>
      </c>
      <c r="H5330" t="s">
        <v>49</v>
      </c>
      <c r="I5330" s="12">
        <v>0.4375</v>
      </c>
      <c r="J5330" t="s">
        <v>50</v>
      </c>
      <c r="K5330" t="s">
        <v>49</v>
      </c>
      <c r="L5330" s="12">
        <v>0.45833333333333331</v>
      </c>
      <c r="M5330" t="s">
        <v>51</v>
      </c>
      <c r="N5330" s="3">
        <v>78</v>
      </c>
      <c r="O5330" t="s">
        <v>24</v>
      </c>
      <c r="P5330" t="s">
        <v>25</v>
      </c>
      <c r="R5330">
        <f>tblDailySchedule[[#This Row],[Capacity Approx]]*'[1]Load Factor Sheet June Acft  '!$B$5</f>
        <v>63.162272727272729</v>
      </c>
      <c r="S5330">
        <f>tblDailySchedule[[#This Row],[Capacity Approx]]*'[1]Load Factor Sheet June Acft  '!$D$5</f>
        <v>68.391818181818181</v>
      </c>
      <c r="T5330" s="22">
        <f>tblDailySchedule[[#This Row],[STD]]</f>
        <v>0.45833333333333331</v>
      </c>
    </row>
    <row r="5331" spans="1:20" hidden="1" x14ac:dyDescent="0.35">
      <c r="A5331" s="11">
        <v>46302</v>
      </c>
      <c r="B5331" s="3">
        <v>3</v>
      </c>
      <c r="C5331" t="s">
        <v>113</v>
      </c>
      <c r="D5331" t="s">
        <v>18</v>
      </c>
      <c r="E5331" s="3">
        <v>10</v>
      </c>
      <c r="F5331" t="s">
        <v>19</v>
      </c>
      <c r="G5331" t="s">
        <v>52</v>
      </c>
      <c r="H5331" t="s">
        <v>27</v>
      </c>
      <c r="I5331" s="12">
        <v>0.4826388888888889</v>
      </c>
      <c r="J5331" t="s">
        <v>53</v>
      </c>
      <c r="K5331" t="s">
        <v>27</v>
      </c>
      <c r="L5331" s="12">
        <v>0.51041666666666663</v>
      </c>
      <c r="M5331" t="s">
        <v>23</v>
      </c>
      <c r="N5331" s="3">
        <v>186</v>
      </c>
      <c r="O5331" t="s">
        <v>24</v>
      </c>
      <c r="P5331" t="s">
        <v>25</v>
      </c>
      <c r="R5331">
        <f>tblDailySchedule[[#This Row],[Capacity Approx]]*'[1]Load Factor Sheet June Acft  '!$B$5</f>
        <v>150.61772727272728</v>
      </c>
      <c r="S5331">
        <f>tblDailySchedule[[#This Row],[Capacity Approx]]*'[1]Load Factor Sheet June Acft  '!$D$5</f>
        <v>163.08818181818182</v>
      </c>
      <c r="T5331" s="22">
        <f>tblDailySchedule[[#This Row],[STD]]</f>
        <v>0.51041666666666663</v>
      </c>
    </row>
    <row r="5332" spans="1:20" hidden="1" x14ac:dyDescent="0.35">
      <c r="A5332" s="11">
        <v>46302</v>
      </c>
      <c r="B5332" s="3">
        <v>3</v>
      </c>
      <c r="C5332" t="s">
        <v>113</v>
      </c>
      <c r="D5332" t="s">
        <v>18</v>
      </c>
      <c r="E5332" s="3">
        <v>11</v>
      </c>
      <c r="F5332" t="s">
        <v>19</v>
      </c>
      <c r="G5332" t="s">
        <v>54</v>
      </c>
      <c r="H5332" t="s">
        <v>31</v>
      </c>
      <c r="I5332" s="12">
        <v>0.51388888888888884</v>
      </c>
      <c r="J5332" t="s">
        <v>55</v>
      </c>
      <c r="K5332" t="s">
        <v>31</v>
      </c>
      <c r="L5332" s="12">
        <v>0.54166666666666663</v>
      </c>
      <c r="M5332" t="s">
        <v>23</v>
      </c>
      <c r="N5332" s="3">
        <v>186</v>
      </c>
      <c r="O5332" t="s">
        <v>24</v>
      </c>
      <c r="P5332" t="s">
        <v>56</v>
      </c>
      <c r="R5332">
        <f>tblDailySchedule[[#This Row],[Capacity Approx]]*'[1]Load Factor Sheet June Acft  '!$B$5</f>
        <v>150.61772727272728</v>
      </c>
      <c r="S5332">
        <f>tblDailySchedule[[#This Row],[Capacity Approx]]*'[1]Load Factor Sheet June Acft  '!$D$5</f>
        <v>163.08818181818182</v>
      </c>
      <c r="T5332" s="22">
        <f>tblDailySchedule[[#This Row],[STD]]</f>
        <v>0.54166666666666663</v>
      </c>
    </row>
    <row r="5333" spans="1:20" hidden="1" x14ac:dyDescent="0.35">
      <c r="A5333" s="11">
        <v>46302</v>
      </c>
      <c r="B5333" s="3">
        <v>3</v>
      </c>
      <c r="C5333" t="s">
        <v>113</v>
      </c>
      <c r="D5333" t="s">
        <v>18</v>
      </c>
      <c r="E5333" s="3">
        <v>13</v>
      </c>
      <c r="F5333" t="s">
        <v>19</v>
      </c>
      <c r="G5333" t="s">
        <v>57</v>
      </c>
      <c r="H5333" t="s">
        <v>58</v>
      </c>
      <c r="I5333" s="12">
        <v>0.55902777777777779</v>
      </c>
      <c r="J5333" t="s">
        <v>59</v>
      </c>
      <c r="K5333" t="s">
        <v>58</v>
      </c>
      <c r="L5333" s="12">
        <v>0.57638888888888884</v>
      </c>
      <c r="M5333" t="s">
        <v>51</v>
      </c>
      <c r="N5333" s="3">
        <v>78</v>
      </c>
      <c r="O5333" t="s">
        <v>24</v>
      </c>
      <c r="P5333" t="s">
        <v>56</v>
      </c>
      <c r="R5333">
        <f>tblDailySchedule[[#This Row],[Capacity Approx]]*'[1]Load Factor Sheet June Acft  '!$B$5</f>
        <v>63.162272727272729</v>
      </c>
      <c r="S5333">
        <f>tblDailySchedule[[#This Row],[Capacity Approx]]*'[1]Load Factor Sheet June Acft  '!$D$5</f>
        <v>68.391818181818181</v>
      </c>
      <c r="T5333" s="22">
        <f>tblDailySchedule[[#This Row],[STD]]</f>
        <v>0.57638888888888884</v>
      </c>
    </row>
    <row r="5334" spans="1:20" hidden="1" x14ac:dyDescent="0.35">
      <c r="A5334" s="11">
        <v>46302</v>
      </c>
      <c r="B5334" s="3">
        <v>3</v>
      </c>
      <c r="C5334" t="s">
        <v>113</v>
      </c>
      <c r="D5334" t="s">
        <v>18</v>
      </c>
      <c r="E5334" s="3">
        <v>14</v>
      </c>
      <c r="F5334" t="s">
        <v>19</v>
      </c>
      <c r="G5334" t="s">
        <v>60</v>
      </c>
      <c r="H5334" t="s">
        <v>61</v>
      </c>
      <c r="I5334" s="12">
        <v>0.59027777777777779</v>
      </c>
      <c r="J5334" t="s">
        <v>62</v>
      </c>
      <c r="K5334" t="s">
        <v>61</v>
      </c>
      <c r="L5334" s="12">
        <v>0.62152777777777779</v>
      </c>
      <c r="M5334" t="s">
        <v>63</v>
      </c>
      <c r="N5334" s="3">
        <v>232</v>
      </c>
      <c r="O5334" t="s">
        <v>24</v>
      </c>
      <c r="P5334" t="s">
        <v>56</v>
      </c>
      <c r="R5334">
        <f>tblDailySchedule[[#This Row],[Capacity Approx]]*'[1]Load Factor Sheet June Acft  '!$B$5</f>
        <v>187.86727272727273</v>
      </c>
      <c r="S5334">
        <f>tblDailySchedule[[#This Row],[Capacity Approx]]*'[1]Load Factor Sheet June Acft  '!$D$5</f>
        <v>203.4218181818182</v>
      </c>
      <c r="T5334" s="22">
        <f>tblDailySchedule[[#This Row],[STD]]</f>
        <v>0.62152777777777779</v>
      </c>
    </row>
    <row r="5335" spans="1:20" hidden="1" x14ac:dyDescent="0.35">
      <c r="A5335" s="11">
        <v>46302</v>
      </c>
      <c r="B5335" s="3">
        <v>3</v>
      </c>
      <c r="C5335" t="s">
        <v>113</v>
      </c>
      <c r="D5335" t="s">
        <v>18</v>
      </c>
      <c r="E5335" s="3">
        <v>15</v>
      </c>
      <c r="F5335" t="s">
        <v>19</v>
      </c>
      <c r="G5335" t="s">
        <v>64</v>
      </c>
      <c r="H5335" t="s">
        <v>31</v>
      </c>
      <c r="I5335" s="12">
        <v>0.60069444444444442</v>
      </c>
      <c r="J5335" t="s">
        <v>65</v>
      </c>
      <c r="K5335" t="s">
        <v>66</v>
      </c>
      <c r="L5335" s="12">
        <v>0.62847222222222221</v>
      </c>
      <c r="M5335" t="s">
        <v>63</v>
      </c>
      <c r="N5335" s="3">
        <v>232</v>
      </c>
      <c r="O5335" t="s">
        <v>24</v>
      </c>
      <c r="P5335" t="s">
        <v>56</v>
      </c>
      <c r="R5335">
        <f>tblDailySchedule[[#This Row],[Capacity Approx]]*'[1]Load Factor Sheet June Acft  '!$B$5</f>
        <v>187.86727272727273</v>
      </c>
      <c r="S5335">
        <f>tblDailySchedule[[#This Row],[Capacity Approx]]*'[1]Load Factor Sheet June Acft  '!$D$5</f>
        <v>203.4218181818182</v>
      </c>
      <c r="T5335" s="22">
        <f>tblDailySchedule[[#This Row],[STD]]</f>
        <v>0.62847222222222221</v>
      </c>
    </row>
    <row r="5336" spans="1:20" hidden="1" x14ac:dyDescent="0.35">
      <c r="A5336" s="11">
        <v>46302</v>
      </c>
      <c r="B5336" s="3">
        <v>3</v>
      </c>
      <c r="C5336" t="s">
        <v>113</v>
      </c>
      <c r="D5336" t="s">
        <v>18</v>
      </c>
      <c r="E5336" s="3">
        <v>16</v>
      </c>
      <c r="F5336" t="s">
        <v>19</v>
      </c>
      <c r="G5336" t="s">
        <v>67</v>
      </c>
      <c r="H5336" t="s">
        <v>31</v>
      </c>
      <c r="I5336" s="12">
        <v>0.65625</v>
      </c>
      <c r="J5336" t="s">
        <v>68</v>
      </c>
      <c r="K5336" t="s">
        <v>31</v>
      </c>
      <c r="L5336" s="12">
        <v>0.68402777777777779</v>
      </c>
      <c r="M5336" t="s">
        <v>63</v>
      </c>
      <c r="N5336" s="3">
        <v>232</v>
      </c>
      <c r="O5336" t="s">
        <v>24</v>
      </c>
      <c r="P5336" t="s">
        <v>56</v>
      </c>
      <c r="R5336">
        <f>tblDailySchedule[[#This Row],[Capacity Approx]]*'[1]Load Factor Sheet June Acft  '!$B$5</f>
        <v>187.86727272727273</v>
      </c>
      <c r="S5336">
        <f>tblDailySchedule[[#This Row],[Capacity Approx]]*'[1]Load Factor Sheet June Acft  '!$D$5</f>
        <v>203.4218181818182</v>
      </c>
      <c r="T5336" s="22">
        <f>tblDailySchedule[[#This Row],[STD]]</f>
        <v>0.68402777777777779</v>
      </c>
    </row>
    <row r="5337" spans="1:20" hidden="1" x14ac:dyDescent="0.35">
      <c r="A5337" s="11">
        <v>46302</v>
      </c>
      <c r="B5337" s="3">
        <v>3</v>
      </c>
      <c r="C5337" t="s">
        <v>113</v>
      </c>
      <c r="D5337" t="s">
        <v>18</v>
      </c>
      <c r="E5337" s="3">
        <v>17</v>
      </c>
      <c r="F5337" t="s">
        <v>19</v>
      </c>
      <c r="G5337" t="s">
        <v>69</v>
      </c>
      <c r="H5337" t="s">
        <v>31</v>
      </c>
      <c r="I5337" s="12">
        <v>0.66319444444444442</v>
      </c>
      <c r="J5337" t="s">
        <v>70</v>
      </c>
      <c r="K5337" t="s">
        <v>31</v>
      </c>
      <c r="L5337" s="12">
        <v>0.69097222222222221</v>
      </c>
      <c r="M5337" t="s">
        <v>33</v>
      </c>
      <c r="N5337" s="3">
        <v>189</v>
      </c>
      <c r="O5337" t="s">
        <v>24</v>
      </c>
      <c r="P5337" t="s">
        <v>56</v>
      </c>
      <c r="R5337">
        <f>tblDailySchedule[[#This Row],[Capacity Approx]]*'[1]Load Factor Sheet June Acft  '!$B$5</f>
        <v>153.04704545454547</v>
      </c>
      <c r="S5337">
        <f>tblDailySchedule[[#This Row],[Capacity Approx]]*'[1]Load Factor Sheet June Acft  '!$D$5</f>
        <v>165.71863636363636</v>
      </c>
      <c r="T5337" s="22">
        <f>tblDailySchedule[[#This Row],[STD]]</f>
        <v>0.69097222222222221</v>
      </c>
    </row>
    <row r="5338" spans="1:20" hidden="1" x14ac:dyDescent="0.35">
      <c r="A5338" s="11">
        <v>46302</v>
      </c>
      <c r="B5338" s="3">
        <v>3</v>
      </c>
      <c r="C5338" t="s">
        <v>113</v>
      </c>
      <c r="D5338" t="s">
        <v>18</v>
      </c>
      <c r="E5338" s="3">
        <v>18</v>
      </c>
      <c r="F5338" t="s">
        <v>19</v>
      </c>
      <c r="G5338" t="s">
        <v>71</v>
      </c>
      <c r="H5338" t="s">
        <v>21</v>
      </c>
      <c r="I5338" s="12">
        <v>0.67013888888888884</v>
      </c>
      <c r="J5338" t="s">
        <v>72</v>
      </c>
      <c r="K5338" t="s">
        <v>21</v>
      </c>
      <c r="L5338" s="12">
        <v>0.69791666666666663</v>
      </c>
      <c r="M5338" t="s">
        <v>63</v>
      </c>
      <c r="N5338" s="3">
        <v>232</v>
      </c>
      <c r="O5338" t="s">
        <v>24</v>
      </c>
      <c r="P5338" t="s">
        <v>56</v>
      </c>
      <c r="R5338">
        <f>tblDailySchedule[[#This Row],[Capacity Approx]]*'[1]Load Factor Sheet June Acft  '!$B$5</f>
        <v>187.86727272727273</v>
      </c>
      <c r="S5338">
        <f>tblDailySchedule[[#This Row],[Capacity Approx]]*'[1]Load Factor Sheet June Acft  '!$D$5</f>
        <v>203.4218181818182</v>
      </c>
      <c r="T5338" s="22">
        <f>tblDailySchedule[[#This Row],[STD]]</f>
        <v>0.69791666666666663</v>
      </c>
    </row>
    <row r="5339" spans="1:20" hidden="1" x14ac:dyDescent="0.35">
      <c r="A5339" s="11">
        <v>46302</v>
      </c>
      <c r="B5339" s="3">
        <v>3</v>
      </c>
      <c r="C5339" t="s">
        <v>113</v>
      </c>
      <c r="D5339" t="s">
        <v>18</v>
      </c>
      <c r="E5339" s="3">
        <v>19</v>
      </c>
      <c r="F5339" t="s">
        <v>19</v>
      </c>
      <c r="G5339" t="s">
        <v>73</v>
      </c>
      <c r="H5339" t="s">
        <v>27</v>
      </c>
      <c r="I5339" s="12">
        <v>0.74652777777777779</v>
      </c>
      <c r="J5339" t="s">
        <v>74</v>
      </c>
      <c r="K5339" t="s">
        <v>27</v>
      </c>
      <c r="L5339" s="12">
        <v>0.77430555555555558</v>
      </c>
      <c r="M5339" t="s">
        <v>63</v>
      </c>
      <c r="N5339" s="3">
        <v>232</v>
      </c>
      <c r="O5339" t="s">
        <v>24</v>
      </c>
      <c r="P5339" t="s">
        <v>56</v>
      </c>
      <c r="R5339">
        <f>tblDailySchedule[[#This Row],[Capacity Approx]]*'[1]Load Factor Sheet June Acft  '!$B$5</f>
        <v>187.86727272727273</v>
      </c>
      <c r="S5339">
        <f>tblDailySchedule[[#This Row],[Capacity Approx]]*'[1]Load Factor Sheet June Acft  '!$D$5</f>
        <v>203.4218181818182</v>
      </c>
      <c r="T5339" s="22">
        <f>tblDailySchedule[[#This Row],[STD]]</f>
        <v>0.77430555555555558</v>
      </c>
    </row>
    <row r="5340" spans="1:20" hidden="1" x14ac:dyDescent="0.35">
      <c r="A5340" s="11">
        <v>46302</v>
      </c>
      <c r="B5340" s="3">
        <v>3</v>
      </c>
      <c r="C5340" t="s">
        <v>113</v>
      </c>
      <c r="D5340" t="s">
        <v>18</v>
      </c>
      <c r="E5340" s="3">
        <v>20</v>
      </c>
      <c r="F5340" t="s">
        <v>34</v>
      </c>
      <c r="G5340" t="s">
        <v>75</v>
      </c>
      <c r="H5340" t="s">
        <v>76</v>
      </c>
      <c r="I5340" s="12">
        <v>0.76388888888888884</v>
      </c>
      <c r="J5340" t="s">
        <v>77</v>
      </c>
      <c r="K5340" t="s">
        <v>78</v>
      </c>
      <c r="L5340" s="12">
        <v>0.78472222222222221</v>
      </c>
      <c r="M5340" t="s">
        <v>51</v>
      </c>
      <c r="N5340" s="3">
        <v>78</v>
      </c>
      <c r="O5340" t="s">
        <v>24</v>
      </c>
      <c r="P5340" t="s">
        <v>79</v>
      </c>
      <c r="Q5340" s="16" t="s">
        <v>80</v>
      </c>
      <c r="R5340">
        <f>tblDailySchedule[[#This Row],[Capacity Approx]]*'[1]Load Factor Sheet June Acft  '!$B$5</f>
        <v>63.162272727272729</v>
      </c>
      <c r="S5340">
        <f>tblDailySchedule[[#This Row],[Capacity Approx]]*'[1]Load Factor Sheet June Acft  '!$D$5</f>
        <v>68.391818181818181</v>
      </c>
      <c r="T5340" s="22">
        <f>tblDailySchedule[[#This Row],[STD]]</f>
        <v>0.78472222222222221</v>
      </c>
    </row>
    <row r="5341" spans="1:20" hidden="1" x14ac:dyDescent="0.35">
      <c r="A5341" s="11">
        <v>46302</v>
      </c>
      <c r="B5341" s="3">
        <v>3</v>
      </c>
      <c r="C5341" t="s">
        <v>113</v>
      </c>
      <c r="D5341" t="s">
        <v>18</v>
      </c>
      <c r="E5341" s="3">
        <v>21</v>
      </c>
      <c r="F5341" t="s">
        <v>19</v>
      </c>
      <c r="G5341" t="s">
        <v>81</v>
      </c>
      <c r="H5341" t="s">
        <v>61</v>
      </c>
      <c r="I5341" s="12">
        <v>0.77083333333333337</v>
      </c>
      <c r="J5341" t="s">
        <v>82</v>
      </c>
      <c r="K5341" t="s">
        <v>49</v>
      </c>
      <c r="L5341" s="12">
        <v>0.79166666666666663</v>
      </c>
      <c r="M5341" t="s">
        <v>33</v>
      </c>
      <c r="N5341" s="3">
        <v>189</v>
      </c>
      <c r="O5341" t="s">
        <v>24</v>
      </c>
      <c r="P5341" t="s">
        <v>79</v>
      </c>
      <c r="R5341">
        <f>tblDailySchedule[[#This Row],[Capacity Approx]]*'[1]Load Factor Sheet June Acft  '!$B$5</f>
        <v>153.04704545454547</v>
      </c>
      <c r="S5341">
        <f>tblDailySchedule[[#This Row],[Capacity Approx]]*'[1]Load Factor Sheet June Acft  '!$D$5</f>
        <v>165.71863636363636</v>
      </c>
      <c r="T5341" s="22">
        <f>tblDailySchedule[[#This Row],[STD]]</f>
        <v>0.79166666666666663</v>
      </c>
    </row>
    <row r="5342" spans="1:20" hidden="1" x14ac:dyDescent="0.35">
      <c r="A5342" s="11">
        <v>46302</v>
      </c>
      <c r="B5342" s="3">
        <v>3</v>
      </c>
      <c r="C5342" t="s">
        <v>113</v>
      </c>
      <c r="D5342" t="s">
        <v>18</v>
      </c>
      <c r="E5342" s="3">
        <v>22</v>
      </c>
      <c r="F5342" t="s">
        <v>19</v>
      </c>
      <c r="G5342" t="s">
        <v>83</v>
      </c>
      <c r="H5342" t="s">
        <v>31</v>
      </c>
      <c r="I5342" s="12">
        <v>0.77777777777777779</v>
      </c>
      <c r="J5342" t="s">
        <v>84</v>
      </c>
      <c r="K5342" t="s">
        <v>31</v>
      </c>
      <c r="L5342" s="12">
        <v>0.80555555555555558</v>
      </c>
      <c r="M5342" t="s">
        <v>63</v>
      </c>
      <c r="N5342" s="3">
        <v>232</v>
      </c>
      <c r="O5342" t="s">
        <v>24</v>
      </c>
      <c r="P5342" t="s">
        <v>79</v>
      </c>
      <c r="R5342">
        <f>tblDailySchedule[[#This Row],[Capacity Approx]]*'[1]Load Factor Sheet June Acft  '!$B$5</f>
        <v>187.86727272727273</v>
      </c>
      <c r="S5342">
        <f>tblDailySchedule[[#This Row],[Capacity Approx]]*'[1]Load Factor Sheet June Acft  '!$D$5</f>
        <v>203.4218181818182</v>
      </c>
      <c r="T5342" s="22">
        <f>tblDailySchedule[[#This Row],[STD]]</f>
        <v>0.80555555555555558</v>
      </c>
    </row>
    <row r="5343" spans="1:20" hidden="1" x14ac:dyDescent="0.35">
      <c r="A5343" s="11">
        <v>46302</v>
      </c>
      <c r="B5343" s="3">
        <v>3</v>
      </c>
      <c r="C5343" t="s">
        <v>113</v>
      </c>
      <c r="D5343" t="s">
        <v>18</v>
      </c>
      <c r="E5343" s="3">
        <v>23</v>
      </c>
      <c r="F5343" t="s">
        <v>19</v>
      </c>
      <c r="G5343" t="s">
        <v>85</v>
      </c>
      <c r="H5343" t="s">
        <v>86</v>
      </c>
      <c r="I5343" s="12">
        <v>0.79861111111111116</v>
      </c>
      <c r="J5343" t="s">
        <v>87</v>
      </c>
      <c r="K5343" t="s">
        <v>86</v>
      </c>
      <c r="L5343" s="12">
        <v>0.82638888888888884</v>
      </c>
      <c r="M5343" t="s">
        <v>63</v>
      </c>
      <c r="N5343" s="3">
        <v>232</v>
      </c>
      <c r="O5343" t="s">
        <v>24</v>
      </c>
      <c r="P5343" t="s">
        <v>79</v>
      </c>
      <c r="R5343">
        <f>tblDailySchedule[[#This Row],[Capacity Approx]]*'[1]Load Factor Sheet June Acft  '!$B$5</f>
        <v>187.86727272727273</v>
      </c>
      <c r="S5343">
        <f>tblDailySchedule[[#This Row],[Capacity Approx]]*'[1]Load Factor Sheet June Acft  '!$D$5</f>
        <v>203.4218181818182</v>
      </c>
      <c r="T5343" s="22">
        <f>tblDailySchedule[[#This Row],[STD]]</f>
        <v>0.82638888888888884</v>
      </c>
    </row>
    <row r="5344" spans="1:20" hidden="1" x14ac:dyDescent="0.35">
      <c r="A5344" s="11">
        <v>46302</v>
      </c>
      <c r="B5344" s="3">
        <v>3</v>
      </c>
      <c r="C5344" t="s">
        <v>113</v>
      </c>
      <c r="D5344" t="s">
        <v>18</v>
      </c>
      <c r="E5344" s="3">
        <v>24</v>
      </c>
      <c r="F5344" t="s">
        <v>19</v>
      </c>
      <c r="G5344" t="s">
        <v>88</v>
      </c>
      <c r="H5344" t="s">
        <v>89</v>
      </c>
      <c r="I5344" s="12">
        <v>0.83333333333333337</v>
      </c>
      <c r="J5344" t="s">
        <v>90</v>
      </c>
      <c r="K5344" t="s">
        <v>31</v>
      </c>
      <c r="L5344" s="12">
        <v>0.86111111111111116</v>
      </c>
      <c r="M5344" t="s">
        <v>63</v>
      </c>
      <c r="N5344" s="3">
        <v>232</v>
      </c>
      <c r="O5344" t="s">
        <v>24</v>
      </c>
      <c r="P5344" t="s">
        <v>79</v>
      </c>
      <c r="R5344">
        <f>tblDailySchedule[[#This Row],[Capacity Approx]]*'[1]Load Factor Sheet June Acft  '!$B$5</f>
        <v>187.86727272727273</v>
      </c>
      <c r="S5344">
        <f>tblDailySchedule[[#This Row],[Capacity Approx]]*'[1]Load Factor Sheet June Acft  '!$D$5</f>
        <v>203.4218181818182</v>
      </c>
      <c r="T5344" s="22">
        <f>tblDailySchedule[[#This Row],[STD]]</f>
        <v>0.86111111111111116</v>
      </c>
    </row>
    <row r="5345" spans="1:20" hidden="1" x14ac:dyDescent="0.35">
      <c r="A5345" s="11">
        <v>46302</v>
      </c>
      <c r="B5345" s="3">
        <v>3</v>
      </c>
      <c r="C5345" t="s">
        <v>113</v>
      </c>
      <c r="D5345" t="s">
        <v>18</v>
      </c>
      <c r="E5345" s="3">
        <v>25</v>
      </c>
      <c r="F5345" t="s">
        <v>19</v>
      </c>
      <c r="G5345" t="s">
        <v>91</v>
      </c>
      <c r="H5345" t="s">
        <v>61</v>
      </c>
      <c r="I5345" s="12">
        <v>0.85416666666666663</v>
      </c>
      <c r="J5345" t="s">
        <v>92</v>
      </c>
      <c r="K5345" t="s">
        <v>61</v>
      </c>
      <c r="L5345" s="12">
        <v>0.88194444444444442</v>
      </c>
      <c r="M5345" t="s">
        <v>63</v>
      </c>
      <c r="N5345" s="3">
        <v>232</v>
      </c>
      <c r="O5345" t="s">
        <v>24</v>
      </c>
      <c r="P5345" t="s">
        <v>79</v>
      </c>
      <c r="R5345">
        <f>tblDailySchedule[[#This Row],[Capacity Approx]]*'[1]Load Factor Sheet June Acft  '!$B$5</f>
        <v>187.86727272727273</v>
      </c>
      <c r="S5345">
        <f>tblDailySchedule[[#This Row],[Capacity Approx]]*'[1]Load Factor Sheet June Acft  '!$D$5</f>
        <v>203.4218181818182</v>
      </c>
      <c r="T5345" s="22">
        <f>tblDailySchedule[[#This Row],[STD]]</f>
        <v>0.88194444444444442</v>
      </c>
    </row>
    <row r="5346" spans="1:20" hidden="1" x14ac:dyDescent="0.35">
      <c r="A5346" s="11">
        <v>46302</v>
      </c>
      <c r="B5346" s="3">
        <v>3</v>
      </c>
      <c r="C5346" t="s">
        <v>113</v>
      </c>
      <c r="D5346" t="s">
        <v>18</v>
      </c>
      <c r="E5346" s="3">
        <v>26</v>
      </c>
      <c r="F5346" t="s">
        <v>19</v>
      </c>
      <c r="G5346" t="s">
        <v>93</v>
      </c>
      <c r="H5346" t="s">
        <v>31</v>
      </c>
      <c r="I5346" s="12">
        <v>0.86111111111111116</v>
      </c>
      <c r="J5346" t="s">
        <v>94</v>
      </c>
      <c r="K5346" t="s">
        <v>31</v>
      </c>
      <c r="L5346" s="12">
        <v>0.88888888888888884</v>
      </c>
      <c r="M5346" t="s">
        <v>23</v>
      </c>
      <c r="N5346" s="3">
        <v>186</v>
      </c>
      <c r="O5346" t="s">
        <v>24</v>
      </c>
      <c r="P5346" t="s">
        <v>79</v>
      </c>
      <c r="R5346">
        <f>tblDailySchedule[[#This Row],[Capacity Approx]]*'[1]Load Factor Sheet June Acft  '!$B$5</f>
        <v>150.61772727272728</v>
      </c>
      <c r="S5346">
        <f>tblDailySchedule[[#This Row],[Capacity Approx]]*'[1]Load Factor Sheet June Acft  '!$D$5</f>
        <v>163.08818181818182</v>
      </c>
      <c r="T5346" s="22">
        <f>tblDailySchedule[[#This Row],[STD]]</f>
        <v>0.88888888888888884</v>
      </c>
    </row>
    <row r="5347" spans="1:20" hidden="1" x14ac:dyDescent="0.35">
      <c r="A5347" s="11">
        <v>46302</v>
      </c>
      <c r="B5347" s="3">
        <v>3</v>
      </c>
      <c r="C5347" t="s">
        <v>113</v>
      </c>
      <c r="D5347" t="s">
        <v>18</v>
      </c>
      <c r="E5347" s="3">
        <v>27</v>
      </c>
      <c r="F5347" t="s">
        <v>19</v>
      </c>
      <c r="G5347" t="s">
        <v>95</v>
      </c>
      <c r="H5347" t="s">
        <v>21</v>
      </c>
      <c r="I5347" s="12">
        <v>0.86805555555555558</v>
      </c>
      <c r="J5347" t="s">
        <v>96</v>
      </c>
      <c r="K5347" t="s">
        <v>21</v>
      </c>
      <c r="L5347" s="12">
        <v>0.89583333333333337</v>
      </c>
      <c r="M5347" t="s">
        <v>29</v>
      </c>
      <c r="N5347" s="3">
        <v>186</v>
      </c>
      <c r="O5347" t="s">
        <v>24</v>
      </c>
      <c r="P5347" t="s">
        <v>79</v>
      </c>
      <c r="R5347">
        <f>tblDailySchedule[[#This Row],[Capacity Approx]]*'[1]Load Factor Sheet June Acft  '!$B$5</f>
        <v>150.61772727272728</v>
      </c>
      <c r="S5347">
        <f>tblDailySchedule[[#This Row],[Capacity Approx]]*'[1]Load Factor Sheet June Acft  '!$D$5</f>
        <v>163.08818181818182</v>
      </c>
      <c r="T5347" s="22">
        <f>tblDailySchedule[[#This Row],[STD]]</f>
        <v>0.89583333333333337</v>
      </c>
    </row>
    <row r="5348" spans="1:20" hidden="1" x14ac:dyDescent="0.35">
      <c r="A5348" s="11">
        <v>46302</v>
      </c>
      <c r="B5348" s="3">
        <v>3</v>
      </c>
      <c r="C5348" t="s">
        <v>113</v>
      </c>
      <c r="D5348" t="s">
        <v>18</v>
      </c>
      <c r="E5348" s="3">
        <v>28</v>
      </c>
      <c r="F5348" t="s">
        <v>19</v>
      </c>
      <c r="G5348" t="s">
        <v>97</v>
      </c>
      <c r="H5348" t="s">
        <v>49</v>
      </c>
      <c r="I5348" s="12">
        <v>0.90277777777777779</v>
      </c>
      <c r="J5348" t="s">
        <v>97</v>
      </c>
      <c r="K5348" t="s">
        <v>61</v>
      </c>
      <c r="L5348" s="12">
        <v>0.92361111111111116</v>
      </c>
      <c r="M5348" t="s">
        <v>33</v>
      </c>
      <c r="N5348" s="3">
        <v>189</v>
      </c>
      <c r="O5348" t="s">
        <v>24</v>
      </c>
      <c r="P5348" t="s">
        <v>79</v>
      </c>
      <c r="R5348">
        <f>tblDailySchedule[[#This Row],[Capacity Approx]]*'[1]Load Factor Sheet June Acft  '!$B$5</f>
        <v>153.04704545454547</v>
      </c>
      <c r="S5348">
        <f>tblDailySchedule[[#This Row],[Capacity Approx]]*'[1]Load Factor Sheet June Acft  '!$D$5</f>
        <v>165.71863636363636</v>
      </c>
      <c r="T5348" s="22">
        <f>tblDailySchedule[[#This Row],[STD]]</f>
        <v>0.92361111111111116</v>
      </c>
    </row>
    <row r="5349" spans="1:20" hidden="1" x14ac:dyDescent="0.35">
      <c r="A5349" s="11">
        <v>46302</v>
      </c>
      <c r="B5349" s="3">
        <v>3</v>
      </c>
      <c r="C5349" t="s">
        <v>113</v>
      </c>
      <c r="D5349" t="s">
        <v>18</v>
      </c>
      <c r="E5349" s="3">
        <v>29</v>
      </c>
      <c r="F5349" t="s">
        <v>19</v>
      </c>
      <c r="G5349" t="s">
        <v>98</v>
      </c>
      <c r="H5349" t="s">
        <v>21</v>
      </c>
      <c r="I5349" s="12">
        <v>0.92013888888888884</v>
      </c>
      <c r="J5349" t="s">
        <v>99</v>
      </c>
      <c r="K5349" t="s">
        <v>21</v>
      </c>
      <c r="L5349" s="12">
        <v>0.94791666666666663</v>
      </c>
      <c r="M5349" t="s">
        <v>63</v>
      </c>
      <c r="N5349" s="3">
        <v>232</v>
      </c>
      <c r="O5349" t="s">
        <v>24</v>
      </c>
      <c r="P5349" t="s">
        <v>79</v>
      </c>
      <c r="R5349">
        <f>tblDailySchedule[[#This Row],[Capacity Approx]]*'[1]Load Factor Sheet June Acft  '!$B$5</f>
        <v>187.86727272727273</v>
      </c>
      <c r="S5349">
        <f>tblDailySchedule[[#This Row],[Capacity Approx]]*'[1]Load Factor Sheet June Acft  '!$D$5</f>
        <v>203.4218181818182</v>
      </c>
      <c r="T5349" s="22">
        <f>tblDailySchedule[[#This Row],[STD]]</f>
        <v>0.94791666666666663</v>
      </c>
    </row>
    <row r="5350" spans="1:20" hidden="1" x14ac:dyDescent="0.35">
      <c r="A5350" s="13">
        <v>46302</v>
      </c>
      <c r="B5350" s="7">
        <v>3</v>
      </c>
      <c r="C5350" s="14" t="s">
        <v>113</v>
      </c>
      <c r="D5350" s="14" t="s">
        <v>18</v>
      </c>
      <c r="E5350" s="7">
        <v>30</v>
      </c>
      <c r="F5350" s="14" t="s">
        <v>104</v>
      </c>
      <c r="G5350" s="14" t="s">
        <v>105</v>
      </c>
      <c r="H5350" s="14" t="s">
        <v>106</v>
      </c>
      <c r="I5350" s="15">
        <v>0.92708333333333337</v>
      </c>
      <c r="J5350" s="14" t="s">
        <v>107</v>
      </c>
      <c r="K5350" s="14" t="s">
        <v>106</v>
      </c>
      <c r="L5350" s="15">
        <v>0.95833333333333337</v>
      </c>
      <c r="M5350" s="14" t="s">
        <v>38</v>
      </c>
      <c r="N5350" s="7">
        <v>186</v>
      </c>
      <c r="O5350" s="14" t="s">
        <v>39</v>
      </c>
      <c r="P5350" s="14" t="s">
        <v>79</v>
      </c>
      <c r="Q5350" s="14" t="s">
        <v>39</v>
      </c>
      <c r="R5350">
        <f>tblDailySchedule[[#This Row],[Capacity Approx]]*'[1]Load Factor Sheet June Acft  '!$B$5</f>
        <v>150.61772727272728</v>
      </c>
      <c r="S5350">
        <f>tblDailySchedule[[#This Row],[Capacity Approx]]*'[1]Load Factor Sheet June Acft  '!$D$5</f>
        <v>163.08818181818182</v>
      </c>
      <c r="T5350" s="22">
        <f>tblDailySchedule[[#This Row],[STD]]</f>
        <v>0.95833333333333337</v>
      </c>
    </row>
    <row r="5351" spans="1:20" hidden="1" x14ac:dyDescent="0.35">
      <c r="A5351" s="11">
        <v>46303</v>
      </c>
      <c r="B5351" s="3">
        <v>4</v>
      </c>
      <c r="C5351" t="s">
        <v>114</v>
      </c>
      <c r="D5351" t="s">
        <v>18</v>
      </c>
      <c r="E5351" s="3">
        <v>1</v>
      </c>
      <c r="F5351" t="s">
        <v>101</v>
      </c>
      <c r="G5351" t="s">
        <v>102</v>
      </c>
      <c r="H5351" t="s">
        <v>61</v>
      </c>
      <c r="I5351" s="12">
        <v>0.3125</v>
      </c>
      <c r="J5351" t="s">
        <v>103</v>
      </c>
      <c r="K5351" t="s">
        <v>61</v>
      </c>
      <c r="L5351" s="12">
        <v>0.33333333333333331</v>
      </c>
      <c r="M5351" t="s">
        <v>33</v>
      </c>
      <c r="N5351" s="3">
        <v>189</v>
      </c>
      <c r="O5351" t="s">
        <v>24</v>
      </c>
      <c r="P5351" t="s">
        <v>25</v>
      </c>
      <c r="R5351">
        <f>tblDailySchedule[[#This Row],[Capacity Approx]]*'[1]Load Factor Sheet June Acft  '!$B$5</f>
        <v>153.04704545454547</v>
      </c>
      <c r="S5351">
        <f>tblDailySchedule[[#This Row],[Capacity Approx]]*'[1]Load Factor Sheet June Acft  '!$D$5</f>
        <v>165.71863636363636</v>
      </c>
      <c r="T5351" s="22">
        <f>tblDailySchedule[[#This Row],[STD]]</f>
        <v>0.33333333333333331</v>
      </c>
    </row>
    <row r="5352" spans="1:20" hidden="1" x14ac:dyDescent="0.35">
      <c r="A5352" s="11">
        <v>46303</v>
      </c>
      <c r="B5352" s="3">
        <v>4</v>
      </c>
      <c r="C5352" t="s">
        <v>114</v>
      </c>
      <c r="D5352" t="s">
        <v>18</v>
      </c>
      <c r="E5352" s="3">
        <v>2</v>
      </c>
      <c r="F5352" t="s">
        <v>19</v>
      </c>
      <c r="G5352" t="s">
        <v>20</v>
      </c>
      <c r="H5352" t="s">
        <v>21</v>
      </c>
      <c r="I5352" s="12">
        <v>0.31944444444444442</v>
      </c>
      <c r="J5352" t="s">
        <v>22</v>
      </c>
      <c r="K5352" t="s">
        <v>21</v>
      </c>
      <c r="L5352" s="12">
        <v>0.34722222222222221</v>
      </c>
      <c r="M5352" t="s">
        <v>23</v>
      </c>
      <c r="N5352" s="3">
        <v>186</v>
      </c>
      <c r="O5352" t="s">
        <v>24</v>
      </c>
      <c r="P5352" t="s">
        <v>25</v>
      </c>
      <c r="R5352">
        <f>tblDailySchedule[[#This Row],[Capacity Approx]]*'[1]Load Factor Sheet June Acft  '!$B$5</f>
        <v>150.61772727272728</v>
      </c>
      <c r="S5352">
        <f>tblDailySchedule[[#This Row],[Capacity Approx]]*'[1]Load Factor Sheet June Acft  '!$D$5</f>
        <v>163.08818181818182</v>
      </c>
      <c r="T5352" s="22">
        <f>tblDailySchedule[[#This Row],[STD]]</f>
        <v>0.34722222222222221</v>
      </c>
    </row>
    <row r="5353" spans="1:20" hidden="1" x14ac:dyDescent="0.35">
      <c r="A5353" s="11">
        <v>46303</v>
      </c>
      <c r="B5353" s="3">
        <v>4</v>
      </c>
      <c r="C5353" t="s">
        <v>114</v>
      </c>
      <c r="D5353" t="s">
        <v>18</v>
      </c>
      <c r="E5353" s="3">
        <v>3</v>
      </c>
      <c r="F5353" t="s">
        <v>19</v>
      </c>
      <c r="G5353" t="s">
        <v>26</v>
      </c>
      <c r="H5353" t="s">
        <v>27</v>
      </c>
      <c r="I5353" s="12">
        <v>0.3263888888888889</v>
      </c>
      <c r="J5353" t="s">
        <v>28</v>
      </c>
      <c r="K5353" t="s">
        <v>27</v>
      </c>
      <c r="L5353" s="12">
        <v>0.35416666666666669</v>
      </c>
      <c r="M5353" t="s">
        <v>29</v>
      </c>
      <c r="N5353" s="3">
        <v>186</v>
      </c>
      <c r="O5353" t="s">
        <v>24</v>
      </c>
      <c r="P5353" t="s">
        <v>25</v>
      </c>
      <c r="R5353">
        <f>tblDailySchedule[[#This Row],[Capacity Approx]]*'[1]Load Factor Sheet June Acft  '!$B$5</f>
        <v>150.61772727272728</v>
      </c>
      <c r="S5353">
        <f>tblDailySchedule[[#This Row],[Capacity Approx]]*'[1]Load Factor Sheet June Acft  '!$D$5</f>
        <v>163.08818181818182</v>
      </c>
      <c r="T5353" s="22">
        <f>tblDailySchedule[[#This Row],[STD]]</f>
        <v>0.35416666666666669</v>
      </c>
    </row>
    <row r="5354" spans="1:20" hidden="1" x14ac:dyDescent="0.35">
      <c r="A5354" s="11">
        <v>46303</v>
      </c>
      <c r="B5354" s="3">
        <v>4</v>
      </c>
      <c r="C5354" t="s">
        <v>114</v>
      </c>
      <c r="D5354" t="s">
        <v>18</v>
      </c>
      <c r="E5354" s="3">
        <v>4</v>
      </c>
      <c r="F5354" t="s">
        <v>19</v>
      </c>
      <c r="G5354" t="s">
        <v>30</v>
      </c>
      <c r="H5354" t="s">
        <v>31</v>
      </c>
      <c r="I5354" s="12">
        <v>0.34722222222222221</v>
      </c>
      <c r="J5354" t="s">
        <v>32</v>
      </c>
      <c r="K5354" t="s">
        <v>31</v>
      </c>
      <c r="L5354" s="12">
        <v>0.36805555555555558</v>
      </c>
      <c r="M5354" t="s">
        <v>33</v>
      </c>
      <c r="N5354" s="3">
        <v>189</v>
      </c>
      <c r="O5354" t="s">
        <v>24</v>
      </c>
      <c r="P5354" t="s">
        <v>25</v>
      </c>
      <c r="R5354">
        <f>tblDailySchedule[[#This Row],[Capacity Approx]]*'[1]Load Factor Sheet June Acft  '!$B$5</f>
        <v>153.04704545454547</v>
      </c>
      <c r="S5354">
        <f>tblDailySchedule[[#This Row],[Capacity Approx]]*'[1]Load Factor Sheet June Acft  '!$D$5</f>
        <v>165.71863636363636</v>
      </c>
      <c r="T5354" s="22">
        <f>tblDailySchedule[[#This Row],[STD]]</f>
        <v>0.36805555555555558</v>
      </c>
    </row>
    <row r="5355" spans="1:20" hidden="1" x14ac:dyDescent="0.35">
      <c r="A5355" s="11">
        <v>46303</v>
      </c>
      <c r="B5355" s="3">
        <v>4</v>
      </c>
      <c r="C5355" t="s">
        <v>114</v>
      </c>
      <c r="D5355" t="s">
        <v>18</v>
      </c>
      <c r="E5355" s="3">
        <v>5</v>
      </c>
      <c r="F5355" t="s">
        <v>19</v>
      </c>
      <c r="G5355" t="s">
        <v>40</v>
      </c>
      <c r="H5355" t="s">
        <v>31</v>
      </c>
      <c r="I5355" s="12">
        <v>0.35069444444444442</v>
      </c>
      <c r="J5355" t="s">
        <v>41</v>
      </c>
      <c r="K5355" t="s">
        <v>31</v>
      </c>
      <c r="L5355" s="12">
        <v>0.37152777777777779</v>
      </c>
      <c r="M5355" t="s">
        <v>23</v>
      </c>
      <c r="N5355" s="3">
        <v>186</v>
      </c>
      <c r="O5355" t="s">
        <v>24</v>
      </c>
      <c r="P5355" t="s">
        <v>25</v>
      </c>
      <c r="R5355">
        <f>tblDailySchedule[[#This Row],[Capacity Approx]]*'[1]Load Factor Sheet June Acft  '!$B$5</f>
        <v>150.61772727272728</v>
      </c>
      <c r="S5355">
        <f>tblDailySchedule[[#This Row],[Capacity Approx]]*'[1]Load Factor Sheet June Acft  '!$D$5</f>
        <v>163.08818181818182</v>
      </c>
      <c r="T5355" s="22">
        <f>tblDailySchedule[[#This Row],[STD]]</f>
        <v>0.37152777777777779</v>
      </c>
    </row>
    <row r="5356" spans="1:20" hidden="1" x14ac:dyDescent="0.35">
      <c r="A5356" s="11">
        <v>46303</v>
      </c>
      <c r="B5356" s="3">
        <v>4</v>
      </c>
      <c r="C5356" t="s">
        <v>114</v>
      </c>
      <c r="D5356" t="s">
        <v>18</v>
      </c>
      <c r="E5356" s="3">
        <v>7</v>
      </c>
      <c r="F5356" t="s">
        <v>19</v>
      </c>
      <c r="G5356" t="s">
        <v>42</v>
      </c>
      <c r="H5356" t="s">
        <v>43</v>
      </c>
      <c r="I5356" s="12">
        <v>0.3923611111111111</v>
      </c>
      <c r="J5356" t="s">
        <v>44</v>
      </c>
      <c r="K5356" t="s">
        <v>43</v>
      </c>
      <c r="L5356" s="12">
        <v>0.40277777777777779</v>
      </c>
      <c r="M5356" t="s">
        <v>45</v>
      </c>
      <c r="N5356" s="3">
        <v>9</v>
      </c>
      <c r="O5356" t="s">
        <v>24</v>
      </c>
      <c r="P5356" t="s">
        <v>25</v>
      </c>
      <c r="R5356">
        <f>tblDailySchedule[[#This Row],[Capacity Approx]]*'[1]Load Factor Sheet June Acft  '!$B$5</f>
        <v>7.2879545454545456</v>
      </c>
      <c r="S5356">
        <f>tblDailySchedule[[#This Row],[Capacity Approx]]*'[1]Load Factor Sheet June Acft  '!$D$5</f>
        <v>7.8913636363636366</v>
      </c>
      <c r="T5356" s="22">
        <f>tblDailySchedule[[#This Row],[STD]]</f>
        <v>0.40277777777777779</v>
      </c>
    </row>
    <row r="5357" spans="1:20" hidden="1" x14ac:dyDescent="0.35">
      <c r="A5357" s="11">
        <v>46303</v>
      </c>
      <c r="B5357" s="3">
        <v>4</v>
      </c>
      <c r="C5357" t="s">
        <v>114</v>
      </c>
      <c r="D5357" t="s">
        <v>18</v>
      </c>
      <c r="E5357" s="3">
        <v>8</v>
      </c>
      <c r="F5357" t="s">
        <v>19</v>
      </c>
      <c r="G5357" t="s">
        <v>46</v>
      </c>
      <c r="H5357" t="s">
        <v>31</v>
      </c>
      <c r="I5357" s="12">
        <v>0.4201388888888889</v>
      </c>
      <c r="J5357" t="s">
        <v>47</v>
      </c>
      <c r="K5357" t="s">
        <v>31</v>
      </c>
      <c r="L5357" s="12">
        <v>0.44444444444444442</v>
      </c>
      <c r="M5357" t="s">
        <v>29</v>
      </c>
      <c r="N5357" s="3">
        <v>186</v>
      </c>
      <c r="O5357" t="s">
        <v>24</v>
      </c>
      <c r="P5357" t="s">
        <v>25</v>
      </c>
      <c r="R5357">
        <f>tblDailySchedule[[#This Row],[Capacity Approx]]*'[1]Load Factor Sheet June Acft  '!$B$5</f>
        <v>150.61772727272728</v>
      </c>
      <c r="S5357">
        <f>tblDailySchedule[[#This Row],[Capacity Approx]]*'[1]Load Factor Sheet June Acft  '!$D$5</f>
        <v>163.08818181818182</v>
      </c>
      <c r="T5357" s="22">
        <f>tblDailySchedule[[#This Row],[STD]]</f>
        <v>0.44444444444444442</v>
      </c>
    </row>
    <row r="5358" spans="1:20" hidden="1" x14ac:dyDescent="0.35">
      <c r="A5358" s="11">
        <v>46303</v>
      </c>
      <c r="B5358" s="3">
        <v>4</v>
      </c>
      <c r="C5358" t="s">
        <v>114</v>
      </c>
      <c r="D5358" t="s">
        <v>18</v>
      </c>
      <c r="E5358" s="3">
        <v>9</v>
      </c>
      <c r="F5358" t="s">
        <v>19</v>
      </c>
      <c r="G5358" t="s">
        <v>48</v>
      </c>
      <c r="H5358" t="s">
        <v>49</v>
      </c>
      <c r="I5358" s="12">
        <v>0.4375</v>
      </c>
      <c r="J5358" t="s">
        <v>50</v>
      </c>
      <c r="K5358" t="s">
        <v>49</v>
      </c>
      <c r="L5358" s="12">
        <v>0.45833333333333331</v>
      </c>
      <c r="M5358" t="s">
        <v>51</v>
      </c>
      <c r="N5358" s="3">
        <v>78</v>
      </c>
      <c r="O5358" t="s">
        <v>24</v>
      </c>
      <c r="P5358" t="s">
        <v>25</v>
      </c>
      <c r="R5358">
        <f>tblDailySchedule[[#This Row],[Capacity Approx]]*'[1]Load Factor Sheet June Acft  '!$B$5</f>
        <v>63.162272727272729</v>
      </c>
      <c r="S5358">
        <f>tblDailySchedule[[#This Row],[Capacity Approx]]*'[1]Load Factor Sheet June Acft  '!$D$5</f>
        <v>68.391818181818181</v>
      </c>
      <c r="T5358" s="22">
        <f>tblDailySchedule[[#This Row],[STD]]</f>
        <v>0.45833333333333331</v>
      </c>
    </row>
    <row r="5359" spans="1:20" hidden="1" x14ac:dyDescent="0.35">
      <c r="A5359" s="11">
        <v>46303</v>
      </c>
      <c r="B5359" s="3">
        <v>4</v>
      </c>
      <c r="C5359" t="s">
        <v>114</v>
      </c>
      <c r="D5359" t="s">
        <v>18</v>
      </c>
      <c r="E5359" s="3">
        <v>10</v>
      </c>
      <c r="F5359" t="s">
        <v>19</v>
      </c>
      <c r="G5359" t="s">
        <v>52</v>
      </c>
      <c r="H5359" t="s">
        <v>27</v>
      </c>
      <c r="I5359" s="12">
        <v>0.4826388888888889</v>
      </c>
      <c r="J5359" t="s">
        <v>53</v>
      </c>
      <c r="K5359" t="s">
        <v>27</v>
      </c>
      <c r="L5359" s="12">
        <v>0.51041666666666663</v>
      </c>
      <c r="M5359" t="s">
        <v>23</v>
      </c>
      <c r="N5359" s="3">
        <v>186</v>
      </c>
      <c r="O5359" t="s">
        <v>24</v>
      </c>
      <c r="P5359" t="s">
        <v>25</v>
      </c>
      <c r="R5359">
        <f>tblDailySchedule[[#This Row],[Capacity Approx]]*'[1]Load Factor Sheet June Acft  '!$B$5</f>
        <v>150.61772727272728</v>
      </c>
      <c r="S5359">
        <f>tblDailySchedule[[#This Row],[Capacity Approx]]*'[1]Load Factor Sheet June Acft  '!$D$5</f>
        <v>163.08818181818182</v>
      </c>
      <c r="T5359" s="22">
        <f>tblDailySchedule[[#This Row],[STD]]</f>
        <v>0.51041666666666663</v>
      </c>
    </row>
    <row r="5360" spans="1:20" hidden="1" x14ac:dyDescent="0.35">
      <c r="A5360" s="11">
        <v>46303</v>
      </c>
      <c r="B5360" s="3">
        <v>4</v>
      </c>
      <c r="C5360" t="s">
        <v>114</v>
      </c>
      <c r="D5360" t="s">
        <v>18</v>
      </c>
      <c r="E5360" s="3">
        <v>11</v>
      </c>
      <c r="F5360" t="s">
        <v>19</v>
      </c>
      <c r="G5360" t="s">
        <v>54</v>
      </c>
      <c r="H5360" t="s">
        <v>31</v>
      </c>
      <c r="I5360" s="12">
        <v>0.51388888888888884</v>
      </c>
      <c r="J5360" t="s">
        <v>55</v>
      </c>
      <c r="K5360" t="s">
        <v>31</v>
      </c>
      <c r="L5360" s="12">
        <v>0.54166666666666663</v>
      </c>
      <c r="M5360" t="s">
        <v>23</v>
      </c>
      <c r="N5360" s="3">
        <v>186</v>
      </c>
      <c r="O5360" t="s">
        <v>24</v>
      </c>
      <c r="P5360" t="s">
        <v>56</v>
      </c>
      <c r="R5360">
        <f>tblDailySchedule[[#This Row],[Capacity Approx]]*'[1]Load Factor Sheet June Acft  '!$B$5</f>
        <v>150.61772727272728</v>
      </c>
      <c r="S5360">
        <f>tblDailySchedule[[#This Row],[Capacity Approx]]*'[1]Load Factor Sheet June Acft  '!$D$5</f>
        <v>163.08818181818182</v>
      </c>
      <c r="T5360" s="22">
        <f>tblDailySchedule[[#This Row],[STD]]</f>
        <v>0.54166666666666663</v>
      </c>
    </row>
    <row r="5361" spans="1:20" hidden="1" x14ac:dyDescent="0.35">
      <c r="A5361" s="11">
        <v>46303</v>
      </c>
      <c r="B5361" s="3">
        <v>4</v>
      </c>
      <c r="C5361" t="s">
        <v>114</v>
      </c>
      <c r="D5361" t="s">
        <v>18</v>
      </c>
      <c r="E5361" s="3">
        <v>12</v>
      </c>
      <c r="F5361" t="s">
        <v>109</v>
      </c>
      <c r="G5361" t="s">
        <v>110</v>
      </c>
      <c r="H5361" t="s">
        <v>111</v>
      </c>
      <c r="I5361" s="12">
        <v>0.55555555555555558</v>
      </c>
      <c r="J5361" t="s">
        <v>112</v>
      </c>
      <c r="K5361" t="s">
        <v>111</v>
      </c>
      <c r="L5361" s="12">
        <v>0.56944444444444442</v>
      </c>
      <c r="M5361" t="s">
        <v>51</v>
      </c>
      <c r="N5361" s="3">
        <v>78</v>
      </c>
      <c r="O5361" t="s">
        <v>24</v>
      </c>
      <c r="P5361" t="s">
        <v>56</v>
      </c>
      <c r="R5361">
        <f>tblDailySchedule[[#This Row],[Capacity Approx]]*'[1]Load Factor Sheet June Acft  '!$B$5</f>
        <v>63.162272727272729</v>
      </c>
      <c r="S5361">
        <f>tblDailySchedule[[#This Row],[Capacity Approx]]*'[1]Load Factor Sheet June Acft  '!$D$5</f>
        <v>68.391818181818181</v>
      </c>
      <c r="T5361" s="22">
        <f>tblDailySchedule[[#This Row],[STD]]</f>
        <v>0.56944444444444442</v>
      </c>
    </row>
    <row r="5362" spans="1:20" hidden="1" x14ac:dyDescent="0.35">
      <c r="A5362" s="11">
        <v>46303</v>
      </c>
      <c r="B5362" s="3">
        <v>4</v>
      </c>
      <c r="C5362" t="s">
        <v>114</v>
      </c>
      <c r="D5362" t="s">
        <v>18</v>
      </c>
      <c r="E5362" s="3">
        <v>13</v>
      </c>
      <c r="F5362" t="s">
        <v>19</v>
      </c>
      <c r="G5362" t="s">
        <v>57</v>
      </c>
      <c r="H5362" t="s">
        <v>58</v>
      </c>
      <c r="I5362" s="12">
        <v>0.55902777777777779</v>
      </c>
      <c r="J5362" t="s">
        <v>59</v>
      </c>
      <c r="K5362" t="s">
        <v>58</v>
      </c>
      <c r="L5362" s="12">
        <v>0.57638888888888884</v>
      </c>
      <c r="M5362" t="s">
        <v>51</v>
      </c>
      <c r="N5362" s="3">
        <v>78</v>
      </c>
      <c r="O5362" t="s">
        <v>24</v>
      </c>
      <c r="P5362" t="s">
        <v>56</v>
      </c>
      <c r="R5362">
        <f>tblDailySchedule[[#This Row],[Capacity Approx]]*'[1]Load Factor Sheet June Acft  '!$B$5</f>
        <v>63.162272727272729</v>
      </c>
      <c r="S5362">
        <f>tblDailySchedule[[#This Row],[Capacity Approx]]*'[1]Load Factor Sheet June Acft  '!$D$5</f>
        <v>68.391818181818181</v>
      </c>
      <c r="T5362" s="22">
        <f>tblDailySchedule[[#This Row],[STD]]</f>
        <v>0.57638888888888884</v>
      </c>
    </row>
    <row r="5363" spans="1:20" hidden="1" x14ac:dyDescent="0.35">
      <c r="A5363" s="11">
        <v>46303</v>
      </c>
      <c r="B5363" s="3">
        <v>4</v>
      </c>
      <c r="C5363" t="s">
        <v>114</v>
      </c>
      <c r="D5363" t="s">
        <v>18</v>
      </c>
      <c r="E5363" s="3">
        <v>14</v>
      </c>
      <c r="F5363" t="s">
        <v>19</v>
      </c>
      <c r="G5363" t="s">
        <v>60</v>
      </c>
      <c r="H5363" t="s">
        <v>61</v>
      </c>
      <c r="I5363" s="12">
        <v>0.59027777777777779</v>
      </c>
      <c r="J5363" t="s">
        <v>62</v>
      </c>
      <c r="K5363" t="s">
        <v>61</v>
      </c>
      <c r="L5363" s="12">
        <v>0.62152777777777779</v>
      </c>
      <c r="M5363" t="s">
        <v>63</v>
      </c>
      <c r="N5363" s="3">
        <v>232</v>
      </c>
      <c r="O5363" t="s">
        <v>24</v>
      </c>
      <c r="P5363" t="s">
        <v>56</v>
      </c>
      <c r="R5363">
        <f>tblDailySchedule[[#This Row],[Capacity Approx]]*'[1]Load Factor Sheet June Acft  '!$B$5</f>
        <v>187.86727272727273</v>
      </c>
      <c r="S5363">
        <f>tblDailySchedule[[#This Row],[Capacity Approx]]*'[1]Load Factor Sheet June Acft  '!$D$5</f>
        <v>203.4218181818182</v>
      </c>
      <c r="T5363" s="22">
        <f>tblDailySchedule[[#This Row],[STD]]</f>
        <v>0.62152777777777779</v>
      </c>
    </row>
    <row r="5364" spans="1:20" hidden="1" x14ac:dyDescent="0.35">
      <c r="A5364" s="11">
        <v>46303</v>
      </c>
      <c r="B5364" s="3">
        <v>4</v>
      </c>
      <c r="C5364" t="s">
        <v>114</v>
      </c>
      <c r="D5364" t="s">
        <v>18</v>
      </c>
      <c r="E5364" s="3">
        <v>15</v>
      </c>
      <c r="F5364" t="s">
        <v>19</v>
      </c>
      <c r="G5364" t="s">
        <v>64</v>
      </c>
      <c r="H5364" t="s">
        <v>31</v>
      </c>
      <c r="I5364" s="12">
        <v>0.60069444444444442</v>
      </c>
      <c r="J5364" t="s">
        <v>65</v>
      </c>
      <c r="K5364" t="s">
        <v>66</v>
      </c>
      <c r="L5364" s="12">
        <v>0.62847222222222221</v>
      </c>
      <c r="M5364" t="s">
        <v>63</v>
      </c>
      <c r="N5364" s="3">
        <v>232</v>
      </c>
      <c r="O5364" t="s">
        <v>24</v>
      </c>
      <c r="P5364" t="s">
        <v>56</v>
      </c>
      <c r="R5364">
        <f>tblDailySchedule[[#This Row],[Capacity Approx]]*'[1]Load Factor Sheet June Acft  '!$B$5</f>
        <v>187.86727272727273</v>
      </c>
      <c r="S5364">
        <f>tblDailySchedule[[#This Row],[Capacity Approx]]*'[1]Load Factor Sheet June Acft  '!$D$5</f>
        <v>203.4218181818182</v>
      </c>
      <c r="T5364" s="22">
        <f>tblDailySchedule[[#This Row],[STD]]</f>
        <v>0.62847222222222221</v>
      </c>
    </row>
    <row r="5365" spans="1:20" hidden="1" x14ac:dyDescent="0.35">
      <c r="A5365" s="11">
        <v>46303</v>
      </c>
      <c r="B5365" s="3">
        <v>4</v>
      </c>
      <c r="C5365" t="s">
        <v>114</v>
      </c>
      <c r="D5365" t="s">
        <v>18</v>
      </c>
      <c r="E5365" s="3">
        <v>16</v>
      </c>
      <c r="F5365" t="s">
        <v>19</v>
      </c>
      <c r="G5365" t="s">
        <v>67</v>
      </c>
      <c r="H5365" t="s">
        <v>31</v>
      </c>
      <c r="I5365" s="12">
        <v>0.65625</v>
      </c>
      <c r="J5365" t="s">
        <v>68</v>
      </c>
      <c r="K5365" t="s">
        <v>31</v>
      </c>
      <c r="L5365" s="12">
        <v>0.68402777777777779</v>
      </c>
      <c r="M5365" t="s">
        <v>63</v>
      </c>
      <c r="N5365" s="3">
        <v>232</v>
      </c>
      <c r="O5365" t="s">
        <v>24</v>
      </c>
      <c r="P5365" t="s">
        <v>56</v>
      </c>
      <c r="R5365">
        <f>tblDailySchedule[[#This Row],[Capacity Approx]]*'[1]Load Factor Sheet June Acft  '!$B$5</f>
        <v>187.86727272727273</v>
      </c>
      <c r="S5365">
        <f>tblDailySchedule[[#This Row],[Capacity Approx]]*'[1]Load Factor Sheet June Acft  '!$D$5</f>
        <v>203.4218181818182</v>
      </c>
      <c r="T5365" s="22">
        <f>tblDailySchedule[[#This Row],[STD]]</f>
        <v>0.68402777777777779</v>
      </c>
    </row>
    <row r="5366" spans="1:20" hidden="1" x14ac:dyDescent="0.35">
      <c r="A5366" s="11">
        <v>46303</v>
      </c>
      <c r="B5366" s="3">
        <v>4</v>
      </c>
      <c r="C5366" t="s">
        <v>114</v>
      </c>
      <c r="D5366" t="s">
        <v>18</v>
      </c>
      <c r="E5366" s="3">
        <v>17</v>
      </c>
      <c r="F5366" t="s">
        <v>19</v>
      </c>
      <c r="G5366" t="s">
        <v>69</v>
      </c>
      <c r="H5366" t="s">
        <v>31</v>
      </c>
      <c r="I5366" s="12">
        <v>0.66319444444444442</v>
      </c>
      <c r="J5366" t="s">
        <v>70</v>
      </c>
      <c r="K5366" t="s">
        <v>31</v>
      </c>
      <c r="L5366" s="12">
        <v>0.69097222222222221</v>
      </c>
      <c r="M5366" t="s">
        <v>33</v>
      </c>
      <c r="N5366" s="3">
        <v>189</v>
      </c>
      <c r="O5366" t="s">
        <v>24</v>
      </c>
      <c r="P5366" t="s">
        <v>56</v>
      </c>
      <c r="R5366">
        <f>tblDailySchedule[[#This Row],[Capacity Approx]]*'[1]Load Factor Sheet June Acft  '!$B$5</f>
        <v>153.04704545454547</v>
      </c>
      <c r="S5366">
        <f>tblDailySchedule[[#This Row],[Capacity Approx]]*'[1]Load Factor Sheet June Acft  '!$D$5</f>
        <v>165.71863636363636</v>
      </c>
      <c r="T5366" s="22">
        <f>tblDailySchedule[[#This Row],[STD]]</f>
        <v>0.69097222222222221</v>
      </c>
    </row>
    <row r="5367" spans="1:20" hidden="1" x14ac:dyDescent="0.35">
      <c r="A5367" s="11">
        <v>46303</v>
      </c>
      <c r="B5367" s="3">
        <v>4</v>
      </c>
      <c r="C5367" t="s">
        <v>114</v>
      </c>
      <c r="D5367" t="s">
        <v>18</v>
      </c>
      <c r="E5367" s="3">
        <v>18</v>
      </c>
      <c r="F5367" t="s">
        <v>19</v>
      </c>
      <c r="G5367" t="s">
        <v>71</v>
      </c>
      <c r="H5367" t="s">
        <v>21</v>
      </c>
      <c r="I5367" s="12">
        <v>0.67013888888888884</v>
      </c>
      <c r="J5367" t="s">
        <v>72</v>
      </c>
      <c r="K5367" t="s">
        <v>21</v>
      </c>
      <c r="L5367" s="12">
        <v>0.69791666666666663</v>
      </c>
      <c r="M5367" t="s">
        <v>63</v>
      </c>
      <c r="N5367" s="3">
        <v>232</v>
      </c>
      <c r="O5367" t="s">
        <v>24</v>
      </c>
      <c r="P5367" t="s">
        <v>56</v>
      </c>
      <c r="R5367">
        <f>tblDailySchedule[[#This Row],[Capacity Approx]]*'[1]Load Factor Sheet June Acft  '!$B$5</f>
        <v>187.86727272727273</v>
      </c>
      <c r="S5367">
        <f>tblDailySchedule[[#This Row],[Capacity Approx]]*'[1]Load Factor Sheet June Acft  '!$D$5</f>
        <v>203.4218181818182</v>
      </c>
      <c r="T5367" s="22">
        <f>tblDailySchedule[[#This Row],[STD]]</f>
        <v>0.69791666666666663</v>
      </c>
    </row>
    <row r="5368" spans="1:20" hidden="1" x14ac:dyDescent="0.35">
      <c r="A5368" s="11">
        <v>46303</v>
      </c>
      <c r="B5368" s="3">
        <v>4</v>
      </c>
      <c r="C5368" t="s">
        <v>114</v>
      </c>
      <c r="D5368" t="s">
        <v>18</v>
      </c>
      <c r="E5368" s="3">
        <v>19</v>
      </c>
      <c r="F5368" t="s">
        <v>19</v>
      </c>
      <c r="G5368" t="s">
        <v>73</v>
      </c>
      <c r="H5368" t="s">
        <v>27</v>
      </c>
      <c r="I5368" s="12">
        <v>0.74652777777777779</v>
      </c>
      <c r="J5368" t="s">
        <v>74</v>
      </c>
      <c r="K5368" t="s">
        <v>27</v>
      </c>
      <c r="L5368" s="12">
        <v>0.77430555555555558</v>
      </c>
      <c r="M5368" t="s">
        <v>63</v>
      </c>
      <c r="N5368" s="3">
        <v>232</v>
      </c>
      <c r="O5368" t="s">
        <v>24</v>
      </c>
      <c r="P5368" t="s">
        <v>56</v>
      </c>
      <c r="R5368">
        <f>tblDailySchedule[[#This Row],[Capacity Approx]]*'[1]Load Factor Sheet June Acft  '!$B$5</f>
        <v>187.86727272727273</v>
      </c>
      <c r="S5368">
        <f>tblDailySchedule[[#This Row],[Capacity Approx]]*'[1]Load Factor Sheet June Acft  '!$D$5</f>
        <v>203.4218181818182</v>
      </c>
      <c r="T5368" s="22">
        <f>tblDailySchedule[[#This Row],[STD]]</f>
        <v>0.77430555555555558</v>
      </c>
    </row>
    <row r="5369" spans="1:20" hidden="1" x14ac:dyDescent="0.35">
      <c r="A5369" s="11">
        <v>46303</v>
      </c>
      <c r="B5369" s="3">
        <v>4</v>
      </c>
      <c r="C5369" t="s">
        <v>114</v>
      </c>
      <c r="D5369" t="s">
        <v>18</v>
      </c>
      <c r="E5369" s="3">
        <v>21</v>
      </c>
      <c r="F5369" t="s">
        <v>19</v>
      </c>
      <c r="G5369" t="s">
        <v>81</v>
      </c>
      <c r="H5369" t="s">
        <v>61</v>
      </c>
      <c r="I5369" s="12">
        <v>0.77083333333333337</v>
      </c>
      <c r="J5369" t="s">
        <v>82</v>
      </c>
      <c r="K5369" t="s">
        <v>49</v>
      </c>
      <c r="L5369" s="12">
        <v>0.79166666666666663</v>
      </c>
      <c r="M5369" t="s">
        <v>33</v>
      </c>
      <c r="N5369" s="3">
        <v>189</v>
      </c>
      <c r="O5369" t="s">
        <v>24</v>
      </c>
      <c r="P5369" t="s">
        <v>79</v>
      </c>
      <c r="R5369">
        <f>tblDailySchedule[[#This Row],[Capacity Approx]]*'[1]Load Factor Sheet June Acft  '!$B$5</f>
        <v>153.04704545454547</v>
      </c>
      <c r="S5369">
        <f>tblDailySchedule[[#This Row],[Capacity Approx]]*'[1]Load Factor Sheet June Acft  '!$D$5</f>
        <v>165.71863636363636</v>
      </c>
      <c r="T5369" s="22">
        <f>tblDailySchedule[[#This Row],[STD]]</f>
        <v>0.79166666666666663</v>
      </c>
    </row>
    <row r="5370" spans="1:20" hidden="1" x14ac:dyDescent="0.35">
      <c r="A5370" s="11">
        <v>46303</v>
      </c>
      <c r="B5370" s="3">
        <v>4</v>
      </c>
      <c r="C5370" t="s">
        <v>114</v>
      </c>
      <c r="D5370" t="s">
        <v>18</v>
      </c>
      <c r="E5370" s="3">
        <v>22</v>
      </c>
      <c r="F5370" t="s">
        <v>19</v>
      </c>
      <c r="G5370" t="s">
        <v>83</v>
      </c>
      <c r="H5370" t="s">
        <v>31</v>
      </c>
      <c r="I5370" s="12">
        <v>0.77777777777777779</v>
      </c>
      <c r="J5370" t="s">
        <v>84</v>
      </c>
      <c r="K5370" t="s">
        <v>31</v>
      </c>
      <c r="L5370" s="12">
        <v>0.80555555555555558</v>
      </c>
      <c r="M5370" t="s">
        <v>63</v>
      </c>
      <c r="N5370" s="3">
        <v>232</v>
      </c>
      <c r="O5370" t="s">
        <v>24</v>
      </c>
      <c r="P5370" t="s">
        <v>79</v>
      </c>
      <c r="R5370">
        <f>tblDailySchedule[[#This Row],[Capacity Approx]]*'[1]Load Factor Sheet June Acft  '!$B$5</f>
        <v>187.86727272727273</v>
      </c>
      <c r="S5370">
        <f>tblDailySchedule[[#This Row],[Capacity Approx]]*'[1]Load Factor Sheet June Acft  '!$D$5</f>
        <v>203.4218181818182</v>
      </c>
      <c r="T5370" s="22">
        <f>tblDailySchedule[[#This Row],[STD]]</f>
        <v>0.80555555555555558</v>
      </c>
    </row>
    <row r="5371" spans="1:20" hidden="1" x14ac:dyDescent="0.35">
      <c r="A5371" s="11">
        <v>46303</v>
      </c>
      <c r="B5371" s="3">
        <v>4</v>
      </c>
      <c r="C5371" t="s">
        <v>114</v>
      </c>
      <c r="D5371" t="s">
        <v>18</v>
      </c>
      <c r="E5371" s="3">
        <v>23</v>
      </c>
      <c r="F5371" t="s">
        <v>19</v>
      </c>
      <c r="G5371" t="s">
        <v>85</v>
      </c>
      <c r="H5371" t="s">
        <v>86</v>
      </c>
      <c r="I5371" s="12">
        <v>0.79861111111111116</v>
      </c>
      <c r="J5371" t="s">
        <v>87</v>
      </c>
      <c r="K5371" t="s">
        <v>86</v>
      </c>
      <c r="L5371" s="12">
        <v>0.82638888888888884</v>
      </c>
      <c r="M5371" t="s">
        <v>63</v>
      </c>
      <c r="N5371" s="3">
        <v>232</v>
      </c>
      <c r="O5371" t="s">
        <v>24</v>
      </c>
      <c r="P5371" t="s">
        <v>79</v>
      </c>
      <c r="R5371">
        <f>tblDailySchedule[[#This Row],[Capacity Approx]]*'[1]Load Factor Sheet June Acft  '!$B$5</f>
        <v>187.86727272727273</v>
      </c>
      <c r="S5371">
        <f>tblDailySchedule[[#This Row],[Capacity Approx]]*'[1]Load Factor Sheet June Acft  '!$D$5</f>
        <v>203.4218181818182</v>
      </c>
      <c r="T5371" s="22">
        <f>tblDailySchedule[[#This Row],[STD]]</f>
        <v>0.82638888888888884</v>
      </c>
    </row>
    <row r="5372" spans="1:20" hidden="1" x14ac:dyDescent="0.35">
      <c r="A5372" s="11">
        <v>46303</v>
      </c>
      <c r="B5372" s="3">
        <v>4</v>
      </c>
      <c r="C5372" t="s">
        <v>114</v>
      </c>
      <c r="D5372" t="s">
        <v>18</v>
      </c>
      <c r="E5372" s="3">
        <v>24</v>
      </c>
      <c r="F5372" t="s">
        <v>19</v>
      </c>
      <c r="G5372" t="s">
        <v>88</v>
      </c>
      <c r="H5372" t="s">
        <v>89</v>
      </c>
      <c r="I5372" s="12">
        <v>0.83333333333333337</v>
      </c>
      <c r="J5372" t="s">
        <v>90</v>
      </c>
      <c r="K5372" t="s">
        <v>31</v>
      </c>
      <c r="L5372" s="12">
        <v>0.86111111111111116</v>
      </c>
      <c r="M5372" t="s">
        <v>63</v>
      </c>
      <c r="N5372" s="3">
        <v>232</v>
      </c>
      <c r="O5372" t="s">
        <v>24</v>
      </c>
      <c r="P5372" t="s">
        <v>79</v>
      </c>
      <c r="R5372">
        <f>tblDailySchedule[[#This Row],[Capacity Approx]]*'[1]Load Factor Sheet June Acft  '!$B$5</f>
        <v>187.86727272727273</v>
      </c>
      <c r="S5372">
        <f>tblDailySchedule[[#This Row],[Capacity Approx]]*'[1]Load Factor Sheet June Acft  '!$D$5</f>
        <v>203.4218181818182</v>
      </c>
      <c r="T5372" s="22">
        <f>tblDailySchedule[[#This Row],[STD]]</f>
        <v>0.86111111111111116</v>
      </c>
    </row>
    <row r="5373" spans="1:20" hidden="1" x14ac:dyDescent="0.35">
      <c r="A5373" s="11">
        <v>46303</v>
      </c>
      <c r="B5373" s="3">
        <v>4</v>
      </c>
      <c r="C5373" t="s">
        <v>114</v>
      </c>
      <c r="D5373" t="s">
        <v>18</v>
      </c>
      <c r="E5373" s="3">
        <v>25</v>
      </c>
      <c r="F5373" t="s">
        <v>19</v>
      </c>
      <c r="G5373" t="s">
        <v>91</v>
      </c>
      <c r="H5373" t="s">
        <v>61</v>
      </c>
      <c r="I5373" s="12">
        <v>0.85416666666666663</v>
      </c>
      <c r="J5373" t="s">
        <v>92</v>
      </c>
      <c r="K5373" t="s">
        <v>61</v>
      </c>
      <c r="L5373" s="12">
        <v>0.88194444444444442</v>
      </c>
      <c r="M5373" t="s">
        <v>63</v>
      </c>
      <c r="N5373" s="3">
        <v>232</v>
      </c>
      <c r="O5373" t="s">
        <v>24</v>
      </c>
      <c r="P5373" t="s">
        <v>79</v>
      </c>
      <c r="R5373">
        <f>tblDailySchedule[[#This Row],[Capacity Approx]]*'[1]Load Factor Sheet June Acft  '!$B$5</f>
        <v>187.86727272727273</v>
      </c>
      <c r="S5373">
        <f>tblDailySchedule[[#This Row],[Capacity Approx]]*'[1]Load Factor Sheet June Acft  '!$D$5</f>
        <v>203.4218181818182</v>
      </c>
      <c r="T5373" s="22">
        <f>tblDailySchedule[[#This Row],[STD]]</f>
        <v>0.88194444444444442</v>
      </c>
    </row>
    <row r="5374" spans="1:20" hidden="1" x14ac:dyDescent="0.35">
      <c r="A5374" s="11">
        <v>46303</v>
      </c>
      <c r="B5374" s="3">
        <v>4</v>
      </c>
      <c r="C5374" t="s">
        <v>114</v>
      </c>
      <c r="D5374" t="s">
        <v>18</v>
      </c>
      <c r="E5374" s="3">
        <v>26</v>
      </c>
      <c r="F5374" t="s">
        <v>19</v>
      </c>
      <c r="G5374" t="s">
        <v>93</v>
      </c>
      <c r="H5374" t="s">
        <v>31</v>
      </c>
      <c r="I5374" s="12">
        <v>0.86111111111111116</v>
      </c>
      <c r="J5374" t="s">
        <v>94</v>
      </c>
      <c r="K5374" t="s">
        <v>31</v>
      </c>
      <c r="L5374" s="12">
        <v>0.88888888888888884</v>
      </c>
      <c r="M5374" t="s">
        <v>23</v>
      </c>
      <c r="N5374" s="3">
        <v>186</v>
      </c>
      <c r="O5374" t="s">
        <v>24</v>
      </c>
      <c r="P5374" t="s">
        <v>79</v>
      </c>
      <c r="R5374">
        <f>tblDailySchedule[[#This Row],[Capacity Approx]]*'[1]Load Factor Sheet June Acft  '!$B$5</f>
        <v>150.61772727272728</v>
      </c>
      <c r="S5374">
        <f>tblDailySchedule[[#This Row],[Capacity Approx]]*'[1]Load Factor Sheet June Acft  '!$D$5</f>
        <v>163.08818181818182</v>
      </c>
      <c r="T5374" s="22">
        <f>tblDailySchedule[[#This Row],[STD]]</f>
        <v>0.88888888888888884</v>
      </c>
    </row>
    <row r="5375" spans="1:20" hidden="1" x14ac:dyDescent="0.35">
      <c r="A5375" s="11">
        <v>46303</v>
      </c>
      <c r="B5375" s="3">
        <v>4</v>
      </c>
      <c r="C5375" t="s">
        <v>114</v>
      </c>
      <c r="D5375" t="s">
        <v>18</v>
      </c>
      <c r="E5375" s="3">
        <v>27</v>
      </c>
      <c r="F5375" t="s">
        <v>19</v>
      </c>
      <c r="G5375" t="s">
        <v>95</v>
      </c>
      <c r="H5375" t="s">
        <v>21</v>
      </c>
      <c r="I5375" s="12">
        <v>0.86805555555555558</v>
      </c>
      <c r="J5375" t="s">
        <v>96</v>
      </c>
      <c r="K5375" t="s">
        <v>21</v>
      </c>
      <c r="L5375" s="12">
        <v>0.89583333333333337</v>
      </c>
      <c r="M5375" t="s">
        <v>29</v>
      </c>
      <c r="N5375" s="3">
        <v>186</v>
      </c>
      <c r="O5375" t="s">
        <v>24</v>
      </c>
      <c r="P5375" t="s">
        <v>79</v>
      </c>
      <c r="R5375">
        <f>tblDailySchedule[[#This Row],[Capacity Approx]]*'[1]Load Factor Sheet June Acft  '!$B$5</f>
        <v>150.61772727272728</v>
      </c>
      <c r="S5375">
        <f>tblDailySchedule[[#This Row],[Capacity Approx]]*'[1]Load Factor Sheet June Acft  '!$D$5</f>
        <v>163.08818181818182</v>
      </c>
      <c r="T5375" s="22">
        <f>tblDailySchedule[[#This Row],[STD]]</f>
        <v>0.89583333333333337</v>
      </c>
    </row>
    <row r="5376" spans="1:20" hidden="1" x14ac:dyDescent="0.35">
      <c r="A5376" s="11">
        <v>46303</v>
      </c>
      <c r="B5376" s="3">
        <v>4</v>
      </c>
      <c r="C5376" t="s">
        <v>114</v>
      </c>
      <c r="D5376" t="s">
        <v>18</v>
      </c>
      <c r="E5376" s="3">
        <v>28</v>
      </c>
      <c r="F5376" t="s">
        <v>19</v>
      </c>
      <c r="G5376" t="s">
        <v>97</v>
      </c>
      <c r="H5376" t="s">
        <v>49</v>
      </c>
      <c r="I5376" s="12">
        <v>0.90277777777777779</v>
      </c>
      <c r="J5376" t="s">
        <v>97</v>
      </c>
      <c r="K5376" t="s">
        <v>61</v>
      </c>
      <c r="L5376" s="12">
        <v>0.92361111111111116</v>
      </c>
      <c r="M5376" t="s">
        <v>33</v>
      </c>
      <c r="N5376" s="3">
        <v>189</v>
      </c>
      <c r="O5376" t="s">
        <v>24</v>
      </c>
      <c r="P5376" t="s">
        <v>79</v>
      </c>
      <c r="R5376">
        <f>tblDailySchedule[[#This Row],[Capacity Approx]]*'[1]Load Factor Sheet June Acft  '!$B$5</f>
        <v>153.04704545454547</v>
      </c>
      <c r="S5376">
        <f>tblDailySchedule[[#This Row],[Capacity Approx]]*'[1]Load Factor Sheet June Acft  '!$D$5</f>
        <v>165.71863636363636</v>
      </c>
      <c r="T5376" s="22">
        <f>tblDailySchedule[[#This Row],[STD]]</f>
        <v>0.92361111111111116</v>
      </c>
    </row>
    <row r="5377" spans="1:20" hidden="1" x14ac:dyDescent="0.35">
      <c r="A5377" s="11">
        <v>46303</v>
      </c>
      <c r="B5377" s="3">
        <v>4</v>
      </c>
      <c r="C5377" t="s">
        <v>114</v>
      </c>
      <c r="D5377" t="s">
        <v>18</v>
      </c>
      <c r="E5377" s="3">
        <v>29</v>
      </c>
      <c r="F5377" t="s">
        <v>19</v>
      </c>
      <c r="G5377" t="s">
        <v>98</v>
      </c>
      <c r="H5377" t="s">
        <v>21</v>
      </c>
      <c r="I5377" s="12">
        <v>0.92013888888888884</v>
      </c>
      <c r="J5377" t="s">
        <v>99</v>
      </c>
      <c r="K5377" t="s">
        <v>21</v>
      </c>
      <c r="L5377" s="12">
        <v>0.94791666666666663</v>
      </c>
      <c r="M5377" t="s">
        <v>63</v>
      </c>
      <c r="N5377" s="3">
        <v>232</v>
      </c>
      <c r="O5377" t="s">
        <v>24</v>
      </c>
      <c r="P5377" t="s">
        <v>79</v>
      </c>
      <c r="R5377">
        <f>tblDailySchedule[[#This Row],[Capacity Approx]]*'[1]Load Factor Sheet June Acft  '!$B$5</f>
        <v>187.86727272727273</v>
      </c>
      <c r="S5377">
        <f>tblDailySchedule[[#This Row],[Capacity Approx]]*'[1]Load Factor Sheet June Acft  '!$D$5</f>
        <v>203.4218181818182</v>
      </c>
      <c r="T5377" s="22">
        <f>tblDailySchedule[[#This Row],[STD]]</f>
        <v>0.94791666666666663</v>
      </c>
    </row>
    <row r="5378" spans="1:20" hidden="1" x14ac:dyDescent="0.35">
      <c r="A5378" s="11">
        <v>46304</v>
      </c>
      <c r="B5378" s="3">
        <v>5</v>
      </c>
      <c r="C5378" t="s">
        <v>115</v>
      </c>
      <c r="D5378" t="s">
        <v>18</v>
      </c>
      <c r="E5378" s="3">
        <v>2</v>
      </c>
      <c r="F5378" t="s">
        <v>19</v>
      </c>
      <c r="G5378" t="s">
        <v>20</v>
      </c>
      <c r="H5378" t="s">
        <v>21</v>
      </c>
      <c r="I5378" s="12">
        <v>0.31944444444444442</v>
      </c>
      <c r="J5378" t="s">
        <v>22</v>
      </c>
      <c r="K5378" t="s">
        <v>21</v>
      </c>
      <c r="L5378" s="12">
        <v>0.34722222222222221</v>
      </c>
      <c r="M5378" t="s">
        <v>23</v>
      </c>
      <c r="N5378" s="3">
        <v>186</v>
      </c>
      <c r="O5378" t="s">
        <v>24</v>
      </c>
      <c r="P5378" t="s">
        <v>25</v>
      </c>
      <c r="R5378">
        <f>tblDailySchedule[[#This Row],[Capacity Approx]]*'[1]Load Factor Sheet June Acft  '!$B$5</f>
        <v>150.61772727272728</v>
      </c>
      <c r="S5378">
        <f>tblDailySchedule[[#This Row],[Capacity Approx]]*'[1]Load Factor Sheet June Acft  '!$D$5</f>
        <v>163.08818181818182</v>
      </c>
      <c r="T5378" s="22">
        <f>tblDailySchedule[[#This Row],[STD]]</f>
        <v>0.34722222222222221</v>
      </c>
    </row>
    <row r="5379" spans="1:20" hidden="1" x14ac:dyDescent="0.35">
      <c r="A5379" s="11">
        <v>46304</v>
      </c>
      <c r="B5379" s="3">
        <v>5</v>
      </c>
      <c r="C5379" t="s">
        <v>115</v>
      </c>
      <c r="D5379" t="s">
        <v>18</v>
      </c>
      <c r="E5379" s="3">
        <v>3</v>
      </c>
      <c r="F5379" t="s">
        <v>19</v>
      </c>
      <c r="G5379" t="s">
        <v>26</v>
      </c>
      <c r="H5379" t="s">
        <v>27</v>
      </c>
      <c r="I5379" s="12">
        <v>0.3263888888888889</v>
      </c>
      <c r="J5379" t="s">
        <v>28</v>
      </c>
      <c r="K5379" t="s">
        <v>27</v>
      </c>
      <c r="L5379" s="12">
        <v>0.35416666666666669</v>
      </c>
      <c r="M5379" t="s">
        <v>29</v>
      </c>
      <c r="N5379" s="3">
        <v>186</v>
      </c>
      <c r="O5379" t="s">
        <v>24</v>
      </c>
      <c r="P5379" t="s">
        <v>25</v>
      </c>
      <c r="R5379">
        <f>tblDailySchedule[[#This Row],[Capacity Approx]]*'[1]Load Factor Sheet June Acft  '!$B$5</f>
        <v>150.61772727272728</v>
      </c>
      <c r="S5379">
        <f>tblDailySchedule[[#This Row],[Capacity Approx]]*'[1]Load Factor Sheet June Acft  '!$D$5</f>
        <v>163.08818181818182</v>
      </c>
      <c r="T5379" s="22">
        <f>tblDailySchedule[[#This Row],[STD]]</f>
        <v>0.35416666666666669</v>
      </c>
    </row>
    <row r="5380" spans="1:20" hidden="1" x14ac:dyDescent="0.35">
      <c r="A5380" s="11">
        <v>46304</v>
      </c>
      <c r="B5380" s="3">
        <v>5</v>
      </c>
      <c r="C5380" t="s">
        <v>115</v>
      </c>
      <c r="D5380" t="s">
        <v>18</v>
      </c>
      <c r="E5380" s="3">
        <v>4</v>
      </c>
      <c r="F5380" t="s">
        <v>19</v>
      </c>
      <c r="G5380" t="s">
        <v>30</v>
      </c>
      <c r="H5380" t="s">
        <v>31</v>
      </c>
      <c r="I5380" s="12">
        <v>0.34722222222222221</v>
      </c>
      <c r="J5380" t="s">
        <v>32</v>
      </c>
      <c r="K5380" t="s">
        <v>31</v>
      </c>
      <c r="L5380" s="12">
        <v>0.36805555555555558</v>
      </c>
      <c r="M5380" t="s">
        <v>33</v>
      </c>
      <c r="N5380" s="3">
        <v>189</v>
      </c>
      <c r="O5380" t="s">
        <v>24</v>
      </c>
      <c r="P5380" t="s">
        <v>25</v>
      </c>
      <c r="R5380">
        <f>tblDailySchedule[[#This Row],[Capacity Approx]]*'[1]Load Factor Sheet June Acft  '!$B$5</f>
        <v>153.04704545454547</v>
      </c>
      <c r="S5380">
        <f>tblDailySchedule[[#This Row],[Capacity Approx]]*'[1]Load Factor Sheet June Acft  '!$D$5</f>
        <v>165.71863636363636</v>
      </c>
      <c r="T5380" s="22">
        <f>tblDailySchedule[[#This Row],[STD]]</f>
        <v>0.36805555555555558</v>
      </c>
    </row>
    <row r="5381" spans="1:20" hidden="1" x14ac:dyDescent="0.35">
      <c r="A5381" s="13">
        <v>46304</v>
      </c>
      <c r="B5381" s="7">
        <v>5</v>
      </c>
      <c r="C5381" s="14" t="s">
        <v>115</v>
      </c>
      <c r="D5381" s="14" t="s">
        <v>18</v>
      </c>
      <c r="E5381" s="7">
        <v>6</v>
      </c>
      <c r="F5381" s="14" t="s">
        <v>34</v>
      </c>
      <c r="G5381" s="14" t="s">
        <v>35</v>
      </c>
      <c r="H5381" s="14" t="s">
        <v>36</v>
      </c>
      <c r="I5381" s="15">
        <v>0.34722222222222221</v>
      </c>
      <c r="J5381" s="14" t="s">
        <v>37</v>
      </c>
      <c r="K5381" s="14" t="s">
        <v>36</v>
      </c>
      <c r="L5381" s="15">
        <v>0.40972222222222221</v>
      </c>
      <c r="M5381" s="14" t="s">
        <v>38</v>
      </c>
      <c r="N5381" s="7">
        <v>186</v>
      </c>
      <c r="O5381" s="14" t="s">
        <v>39</v>
      </c>
      <c r="P5381" s="14" t="s">
        <v>25</v>
      </c>
      <c r="Q5381" s="14" t="s">
        <v>39</v>
      </c>
      <c r="R5381">
        <f>tblDailySchedule[[#This Row],[Capacity Approx]]*'[1]Load Factor Sheet June Acft  '!$B$5</f>
        <v>150.61772727272728</v>
      </c>
      <c r="S5381">
        <f>tblDailySchedule[[#This Row],[Capacity Approx]]*'[1]Load Factor Sheet June Acft  '!$D$5</f>
        <v>163.08818181818182</v>
      </c>
      <c r="T5381" s="22">
        <f>tblDailySchedule[[#This Row],[STD]]</f>
        <v>0.40972222222222221</v>
      </c>
    </row>
    <row r="5382" spans="1:20" hidden="1" x14ac:dyDescent="0.35">
      <c r="A5382" s="11">
        <v>46304</v>
      </c>
      <c r="B5382" s="3">
        <v>5</v>
      </c>
      <c r="C5382" t="s">
        <v>115</v>
      </c>
      <c r="D5382" t="s">
        <v>18</v>
      </c>
      <c r="E5382" s="3">
        <v>5</v>
      </c>
      <c r="F5382" t="s">
        <v>19</v>
      </c>
      <c r="G5382" t="s">
        <v>40</v>
      </c>
      <c r="H5382" t="s">
        <v>31</v>
      </c>
      <c r="I5382" s="12">
        <v>0.35069444444444442</v>
      </c>
      <c r="J5382" t="s">
        <v>41</v>
      </c>
      <c r="K5382" t="s">
        <v>31</v>
      </c>
      <c r="L5382" s="12">
        <v>0.37152777777777779</v>
      </c>
      <c r="M5382" t="s">
        <v>23</v>
      </c>
      <c r="N5382" s="3">
        <v>186</v>
      </c>
      <c r="O5382" t="s">
        <v>24</v>
      </c>
      <c r="P5382" t="s">
        <v>25</v>
      </c>
      <c r="R5382">
        <f>tblDailySchedule[[#This Row],[Capacity Approx]]*'[1]Load Factor Sheet June Acft  '!$B$5</f>
        <v>150.61772727272728</v>
      </c>
      <c r="S5382">
        <f>tblDailySchedule[[#This Row],[Capacity Approx]]*'[1]Load Factor Sheet June Acft  '!$D$5</f>
        <v>163.08818181818182</v>
      </c>
      <c r="T5382" s="22">
        <f>tblDailySchedule[[#This Row],[STD]]</f>
        <v>0.37152777777777779</v>
      </c>
    </row>
    <row r="5383" spans="1:20" hidden="1" x14ac:dyDescent="0.35">
      <c r="A5383" s="11">
        <v>46304</v>
      </c>
      <c r="B5383" s="3">
        <v>5</v>
      </c>
      <c r="C5383" t="s">
        <v>115</v>
      </c>
      <c r="D5383" t="s">
        <v>18</v>
      </c>
      <c r="E5383" s="3">
        <v>7</v>
      </c>
      <c r="F5383" t="s">
        <v>19</v>
      </c>
      <c r="G5383" t="s">
        <v>42</v>
      </c>
      <c r="H5383" t="s">
        <v>43</v>
      </c>
      <c r="I5383" s="12">
        <v>0.3923611111111111</v>
      </c>
      <c r="J5383" t="s">
        <v>44</v>
      </c>
      <c r="K5383" t="s">
        <v>43</v>
      </c>
      <c r="L5383" s="12">
        <v>0.40277777777777779</v>
      </c>
      <c r="M5383" t="s">
        <v>45</v>
      </c>
      <c r="N5383" s="3">
        <v>9</v>
      </c>
      <c r="O5383" t="s">
        <v>24</v>
      </c>
      <c r="P5383" t="s">
        <v>25</v>
      </c>
      <c r="R5383">
        <f>tblDailySchedule[[#This Row],[Capacity Approx]]*'[1]Load Factor Sheet June Acft  '!$B$5</f>
        <v>7.2879545454545456</v>
      </c>
      <c r="S5383">
        <f>tblDailySchedule[[#This Row],[Capacity Approx]]*'[1]Load Factor Sheet June Acft  '!$D$5</f>
        <v>7.8913636363636366</v>
      </c>
      <c r="T5383" s="22">
        <f>tblDailySchedule[[#This Row],[STD]]</f>
        <v>0.40277777777777779</v>
      </c>
    </row>
    <row r="5384" spans="1:20" hidden="1" x14ac:dyDescent="0.35">
      <c r="A5384" s="11">
        <v>46304</v>
      </c>
      <c r="B5384" s="3">
        <v>5</v>
      </c>
      <c r="C5384" t="s">
        <v>115</v>
      </c>
      <c r="D5384" t="s">
        <v>18</v>
      </c>
      <c r="E5384" s="3">
        <v>8</v>
      </c>
      <c r="F5384" t="s">
        <v>19</v>
      </c>
      <c r="G5384" t="s">
        <v>46</v>
      </c>
      <c r="H5384" t="s">
        <v>31</v>
      </c>
      <c r="I5384" s="12">
        <v>0.4201388888888889</v>
      </c>
      <c r="J5384" t="s">
        <v>47</v>
      </c>
      <c r="K5384" t="s">
        <v>31</v>
      </c>
      <c r="L5384" s="12">
        <v>0.44444444444444442</v>
      </c>
      <c r="M5384" t="s">
        <v>29</v>
      </c>
      <c r="N5384" s="3">
        <v>186</v>
      </c>
      <c r="O5384" t="s">
        <v>24</v>
      </c>
      <c r="P5384" t="s">
        <v>25</v>
      </c>
      <c r="R5384">
        <f>tblDailySchedule[[#This Row],[Capacity Approx]]*'[1]Load Factor Sheet June Acft  '!$B$5</f>
        <v>150.61772727272728</v>
      </c>
      <c r="S5384">
        <f>tblDailySchedule[[#This Row],[Capacity Approx]]*'[1]Load Factor Sheet June Acft  '!$D$5</f>
        <v>163.08818181818182</v>
      </c>
      <c r="T5384" s="22">
        <f>tblDailySchedule[[#This Row],[STD]]</f>
        <v>0.44444444444444442</v>
      </c>
    </row>
    <row r="5385" spans="1:20" hidden="1" x14ac:dyDescent="0.35">
      <c r="A5385" s="11">
        <v>46304</v>
      </c>
      <c r="B5385" s="3">
        <v>5</v>
      </c>
      <c r="C5385" t="s">
        <v>115</v>
      </c>
      <c r="D5385" t="s">
        <v>18</v>
      </c>
      <c r="E5385" s="3">
        <v>9</v>
      </c>
      <c r="F5385" t="s">
        <v>19</v>
      </c>
      <c r="G5385" t="s">
        <v>48</v>
      </c>
      <c r="H5385" t="s">
        <v>49</v>
      </c>
      <c r="I5385" s="12">
        <v>0.4375</v>
      </c>
      <c r="J5385" t="s">
        <v>50</v>
      </c>
      <c r="K5385" t="s">
        <v>49</v>
      </c>
      <c r="L5385" s="12">
        <v>0.45833333333333331</v>
      </c>
      <c r="M5385" t="s">
        <v>51</v>
      </c>
      <c r="N5385" s="3">
        <v>78</v>
      </c>
      <c r="O5385" t="s">
        <v>24</v>
      </c>
      <c r="P5385" t="s">
        <v>25</v>
      </c>
      <c r="R5385">
        <f>tblDailySchedule[[#This Row],[Capacity Approx]]*'[1]Load Factor Sheet June Acft  '!$B$5</f>
        <v>63.162272727272729</v>
      </c>
      <c r="S5385">
        <f>tblDailySchedule[[#This Row],[Capacity Approx]]*'[1]Load Factor Sheet June Acft  '!$D$5</f>
        <v>68.391818181818181</v>
      </c>
      <c r="T5385" s="22">
        <f>tblDailySchedule[[#This Row],[STD]]</f>
        <v>0.45833333333333331</v>
      </c>
    </row>
    <row r="5386" spans="1:20" hidden="1" x14ac:dyDescent="0.35">
      <c r="A5386" s="11">
        <v>46304</v>
      </c>
      <c r="B5386" s="3">
        <v>5</v>
      </c>
      <c r="C5386" t="s">
        <v>115</v>
      </c>
      <c r="D5386" t="s">
        <v>18</v>
      </c>
      <c r="E5386" s="3">
        <v>10</v>
      </c>
      <c r="F5386" t="s">
        <v>19</v>
      </c>
      <c r="G5386" t="s">
        <v>52</v>
      </c>
      <c r="H5386" t="s">
        <v>27</v>
      </c>
      <c r="I5386" s="12">
        <v>0.4826388888888889</v>
      </c>
      <c r="J5386" t="s">
        <v>53</v>
      </c>
      <c r="K5386" t="s">
        <v>27</v>
      </c>
      <c r="L5386" s="12">
        <v>0.51041666666666663</v>
      </c>
      <c r="M5386" t="s">
        <v>23</v>
      </c>
      <c r="N5386" s="3">
        <v>186</v>
      </c>
      <c r="O5386" t="s">
        <v>24</v>
      </c>
      <c r="P5386" t="s">
        <v>25</v>
      </c>
      <c r="R5386">
        <f>tblDailySchedule[[#This Row],[Capacity Approx]]*'[1]Load Factor Sheet June Acft  '!$B$5</f>
        <v>150.61772727272728</v>
      </c>
      <c r="S5386">
        <f>tblDailySchedule[[#This Row],[Capacity Approx]]*'[1]Load Factor Sheet June Acft  '!$D$5</f>
        <v>163.08818181818182</v>
      </c>
      <c r="T5386" s="22">
        <f>tblDailySchedule[[#This Row],[STD]]</f>
        <v>0.51041666666666663</v>
      </c>
    </row>
    <row r="5387" spans="1:20" hidden="1" x14ac:dyDescent="0.35">
      <c r="A5387" s="11">
        <v>46304</v>
      </c>
      <c r="B5387" s="3">
        <v>5</v>
      </c>
      <c r="C5387" t="s">
        <v>115</v>
      </c>
      <c r="D5387" t="s">
        <v>18</v>
      </c>
      <c r="E5387" s="3">
        <v>11</v>
      </c>
      <c r="F5387" t="s">
        <v>19</v>
      </c>
      <c r="G5387" t="s">
        <v>54</v>
      </c>
      <c r="H5387" t="s">
        <v>31</v>
      </c>
      <c r="I5387" s="12">
        <v>0.51388888888888884</v>
      </c>
      <c r="J5387" t="s">
        <v>55</v>
      </c>
      <c r="K5387" t="s">
        <v>31</v>
      </c>
      <c r="L5387" s="12">
        <v>0.54166666666666663</v>
      </c>
      <c r="M5387" t="s">
        <v>23</v>
      </c>
      <c r="N5387" s="3">
        <v>186</v>
      </c>
      <c r="O5387" t="s">
        <v>24</v>
      </c>
      <c r="P5387" t="s">
        <v>56</v>
      </c>
      <c r="R5387">
        <f>tblDailySchedule[[#This Row],[Capacity Approx]]*'[1]Load Factor Sheet June Acft  '!$B$5</f>
        <v>150.61772727272728</v>
      </c>
      <c r="S5387">
        <f>tblDailySchedule[[#This Row],[Capacity Approx]]*'[1]Load Factor Sheet June Acft  '!$D$5</f>
        <v>163.08818181818182</v>
      </c>
      <c r="T5387" s="22">
        <f>tblDailySchedule[[#This Row],[STD]]</f>
        <v>0.54166666666666663</v>
      </c>
    </row>
    <row r="5388" spans="1:20" hidden="1" x14ac:dyDescent="0.35">
      <c r="A5388" s="11">
        <v>46304</v>
      </c>
      <c r="B5388" s="3">
        <v>5</v>
      </c>
      <c r="C5388" t="s">
        <v>115</v>
      </c>
      <c r="D5388" t="s">
        <v>18</v>
      </c>
      <c r="E5388" s="3">
        <v>13</v>
      </c>
      <c r="F5388" t="s">
        <v>19</v>
      </c>
      <c r="G5388" t="s">
        <v>57</v>
      </c>
      <c r="H5388" t="s">
        <v>58</v>
      </c>
      <c r="I5388" s="12">
        <v>0.55902777777777779</v>
      </c>
      <c r="J5388" t="s">
        <v>59</v>
      </c>
      <c r="K5388" t="s">
        <v>58</v>
      </c>
      <c r="L5388" s="12">
        <v>0.57638888888888884</v>
      </c>
      <c r="M5388" t="s">
        <v>51</v>
      </c>
      <c r="N5388" s="3">
        <v>78</v>
      </c>
      <c r="O5388" t="s">
        <v>24</v>
      </c>
      <c r="P5388" t="s">
        <v>56</v>
      </c>
      <c r="R5388">
        <f>tblDailySchedule[[#This Row],[Capacity Approx]]*'[1]Load Factor Sheet June Acft  '!$B$5</f>
        <v>63.162272727272729</v>
      </c>
      <c r="S5388">
        <f>tblDailySchedule[[#This Row],[Capacity Approx]]*'[1]Load Factor Sheet June Acft  '!$D$5</f>
        <v>68.391818181818181</v>
      </c>
      <c r="T5388" s="22">
        <f>tblDailySchedule[[#This Row],[STD]]</f>
        <v>0.57638888888888884</v>
      </c>
    </row>
    <row r="5389" spans="1:20" hidden="1" x14ac:dyDescent="0.35">
      <c r="A5389" s="11">
        <v>46304</v>
      </c>
      <c r="B5389" s="3">
        <v>5</v>
      </c>
      <c r="C5389" t="s">
        <v>115</v>
      </c>
      <c r="D5389" t="s">
        <v>18</v>
      </c>
      <c r="E5389" s="3">
        <v>14</v>
      </c>
      <c r="F5389" t="s">
        <v>19</v>
      </c>
      <c r="G5389" t="s">
        <v>60</v>
      </c>
      <c r="H5389" t="s">
        <v>61</v>
      </c>
      <c r="I5389" s="12">
        <v>0.59027777777777779</v>
      </c>
      <c r="J5389" t="s">
        <v>62</v>
      </c>
      <c r="K5389" t="s">
        <v>61</v>
      </c>
      <c r="L5389" s="12">
        <v>0.62152777777777779</v>
      </c>
      <c r="M5389" t="s">
        <v>63</v>
      </c>
      <c r="N5389" s="3">
        <v>232</v>
      </c>
      <c r="O5389" t="s">
        <v>24</v>
      </c>
      <c r="P5389" t="s">
        <v>56</v>
      </c>
      <c r="R5389">
        <f>tblDailySchedule[[#This Row],[Capacity Approx]]*'[1]Load Factor Sheet June Acft  '!$B$5</f>
        <v>187.86727272727273</v>
      </c>
      <c r="S5389">
        <f>tblDailySchedule[[#This Row],[Capacity Approx]]*'[1]Load Factor Sheet June Acft  '!$D$5</f>
        <v>203.4218181818182</v>
      </c>
      <c r="T5389" s="22">
        <f>tblDailySchedule[[#This Row],[STD]]</f>
        <v>0.62152777777777779</v>
      </c>
    </row>
    <row r="5390" spans="1:20" hidden="1" x14ac:dyDescent="0.35">
      <c r="A5390" s="11">
        <v>46304</v>
      </c>
      <c r="B5390" s="3">
        <v>5</v>
      </c>
      <c r="C5390" t="s">
        <v>115</v>
      </c>
      <c r="D5390" t="s">
        <v>18</v>
      </c>
      <c r="E5390" s="3">
        <v>15</v>
      </c>
      <c r="F5390" t="s">
        <v>19</v>
      </c>
      <c r="G5390" t="s">
        <v>64</v>
      </c>
      <c r="H5390" t="s">
        <v>31</v>
      </c>
      <c r="I5390" s="12">
        <v>0.60069444444444442</v>
      </c>
      <c r="J5390" t="s">
        <v>65</v>
      </c>
      <c r="K5390" t="s">
        <v>66</v>
      </c>
      <c r="L5390" s="12">
        <v>0.62847222222222221</v>
      </c>
      <c r="M5390" t="s">
        <v>63</v>
      </c>
      <c r="N5390" s="3">
        <v>232</v>
      </c>
      <c r="O5390" t="s">
        <v>24</v>
      </c>
      <c r="P5390" t="s">
        <v>56</v>
      </c>
      <c r="R5390">
        <f>tblDailySchedule[[#This Row],[Capacity Approx]]*'[1]Load Factor Sheet June Acft  '!$B$5</f>
        <v>187.86727272727273</v>
      </c>
      <c r="S5390">
        <f>tblDailySchedule[[#This Row],[Capacity Approx]]*'[1]Load Factor Sheet June Acft  '!$D$5</f>
        <v>203.4218181818182</v>
      </c>
      <c r="T5390" s="22">
        <f>tblDailySchedule[[#This Row],[STD]]</f>
        <v>0.62847222222222221</v>
      </c>
    </row>
    <row r="5391" spans="1:20" hidden="1" x14ac:dyDescent="0.35">
      <c r="A5391" s="11">
        <v>46304</v>
      </c>
      <c r="B5391" s="3">
        <v>5</v>
      </c>
      <c r="C5391" t="s">
        <v>115</v>
      </c>
      <c r="D5391" t="s">
        <v>18</v>
      </c>
      <c r="E5391" s="3">
        <v>16</v>
      </c>
      <c r="F5391" t="s">
        <v>19</v>
      </c>
      <c r="G5391" t="s">
        <v>67</v>
      </c>
      <c r="H5391" t="s">
        <v>31</v>
      </c>
      <c r="I5391" s="12">
        <v>0.65625</v>
      </c>
      <c r="J5391" t="s">
        <v>68</v>
      </c>
      <c r="K5391" t="s">
        <v>31</v>
      </c>
      <c r="L5391" s="12">
        <v>0.68402777777777779</v>
      </c>
      <c r="M5391" t="s">
        <v>63</v>
      </c>
      <c r="N5391" s="3">
        <v>232</v>
      </c>
      <c r="O5391" t="s">
        <v>24</v>
      </c>
      <c r="P5391" t="s">
        <v>56</v>
      </c>
      <c r="R5391">
        <f>tblDailySchedule[[#This Row],[Capacity Approx]]*'[1]Load Factor Sheet June Acft  '!$B$5</f>
        <v>187.86727272727273</v>
      </c>
      <c r="S5391">
        <f>tblDailySchedule[[#This Row],[Capacity Approx]]*'[1]Load Factor Sheet June Acft  '!$D$5</f>
        <v>203.4218181818182</v>
      </c>
      <c r="T5391" s="22">
        <f>tblDailySchedule[[#This Row],[STD]]</f>
        <v>0.68402777777777779</v>
      </c>
    </row>
    <row r="5392" spans="1:20" hidden="1" x14ac:dyDescent="0.35">
      <c r="A5392" s="11">
        <v>46304</v>
      </c>
      <c r="B5392" s="3">
        <v>5</v>
      </c>
      <c r="C5392" t="s">
        <v>115</v>
      </c>
      <c r="D5392" t="s">
        <v>18</v>
      </c>
      <c r="E5392" s="3">
        <v>17</v>
      </c>
      <c r="F5392" t="s">
        <v>19</v>
      </c>
      <c r="G5392" t="s">
        <v>69</v>
      </c>
      <c r="H5392" t="s">
        <v>31</v>
      </c>
      <c r="I5392" s="12">
        <v>0.66319444444444442</v>
      </c>
      <c r="J5392" t="s">
        <v>70</v>
      </c>
      <c r="K5392" t="s">
        <v>31</v>
      </c>
      <c r="L5392" s="12">
        <v>0.69097222222222221</v>
      </c>
      <c r="M5392" t="s">
        <v>33</v>
      </c>
      <c r="N5392" s="3">
        <v>189</v>
      </c>
      <c r="O5392" t="s">
        <v>24</v>
      </c>
      <c r="P5392" t="s">
        <v>56</v>
      </c>
      <c r="R5392">
        <f>tblDailySchedule[[#This Row],[Capacity Approx]]*'[1]Load Factor Sheet June Acft  '!$B$5</f>
        <v>153.04704545454547</v>
      </c>
      <c r="S5392">
        <f>tblDailySchedule[[#This Row],[Capacity Approx]]*'[1]Load Factor Sheet June Acft  '!$D$5</f>
        <v>165.71863636363636</v>
      </c>
      <c r="T5392" s="22">
        <f>tblDailySchedule[[#This Row],[STD]]</f>
        <v>0.69097222222222221</v>
      </c>
    </row>
    <row r="5393" spans="1:20" hidden="1" x14ac:dyDescent="0.35">
      <c r="A5393" s="11">
        <v>46304</v>
      </c>
      <c r="B5393" s="3">
        <v>5</v>
      </c>
      <c r="C5393" t="s">
        <v>115</v>
      </c>
      <c r="D5393" t="s">
        <v>18</v>
      </c>
      <c r="E5393" s="3">
        <v>18</v>
      </c>
      <c r="F5393" t="s">
        <v>19</v>
      </c>
      <c r="G5393" t="s">
        <v>71</v>
      </c>
      <c r="H5393" t="s">
        <v>21</v>
      </c>
      <c r="I5393" s="12">
        <v>0.67013888888888884</v>
      </c>
      <c r="J5393" t="s">
        <v>72</v>
      </c>
      <c r="K5393" t="s">
        <v>21</v>
      </c>
      <c r="L5393" s="12">
        <v>0.69791666666666663</v>
      </c>
      <c r="M5393" t="s">
        <v>63</v>
      </c>
      <c r="N5393" s="3">
        <v>232</v>
      </c>
      <c r="O5393" t="s">
        <v>24</v>
      </c>
      <c r="P5393" t="s">
        <v>56</v>
      </c>
      <c r="R5393">
        <f>tblDailySchedule[[#This Row],[Capacity Approx]]*'[1]Load Factor Sheet June Acft  '!$B$5</f>
        <v>187.86727272727273</v>
      </c>
      <c r="S5393">
        <f>tblDailySchedule[[#This Row],[Capacity Approx]]*'[1]Load Factor Sheet June Acft  '!$D$5</f>
        <v>203.4218181818182</v>
      </c>
      <c r="T5393" s="22">
        <f>tblDailySchedule[[#This Row],[STD]]</f>
        <v>0.69791666666666663</v>
      </c>
    </row>
    <row r="5394" spans="1:20" hidden="1" x14ac:dyDescent="0.35">
      <c r="A5394" s="11">
        <v>46304</v>
      </c>
      <c r="B5394" s="3">
        <v>5</v>
      </c>
      <c r="C5394" t="s">
        <v>115</v>
      </c>
      <c r="D5394" t="s">
        <v>18</v>
      </c>
      <c r="E5394" s="3">
        <v>19</v>
      </c>
      <c r="F5394" t="s">
        <v>19</v>
      </c>
      <c r="G5394" t="s">
        <v>73</v>
      </c>
      <c r="H5394" t="s">
        <v>27</v>
      </c>
      <c r="I5394" s="12">
        <v>0.74652777777777779</v>
      </c>
      <c r="J5394" t="s">
        <v>74</v>
      </c>
      <c r="K5394" t="s">
        <v>27</v>
      </c>
      <c r="L5394" s="12">
        <v>0.77430555555555558</v>
      </c>
      <c r="M5394" t="s">
        <v>63</v>
      </c>
      <c r="N5394" s="3">
        <v>232</v>
      </c>
      <c r="O5394" t="s">
        <v>24</v>
      </c>
      <c r="P5394" t="s">
        <v>56</v>
      </c>
      <c r="R5394">
        <f>tblDailySchedule[[#This Row],[Capacity Approx]]*'[1]Load Factor Sheet June Acft  '!$B$5</f>
        <v>187.86727272727273</v>
      </c>
      <c r="S5394">
        <f>tblDailySchedule[[#This Row],[Capacity Approx]]*'[1]Load Factor Sheet June Acft  '!$D$5</f>
        <v>203.4218181818182</v>
      </c>
      <c r="T5394" s="22">
        <f>tblDailySchedule[[#This Row],[STD]]</f>
        <v>0.77430555555555558</v>
      </c>
    </row>
    <row r="5395" spans="1:20" hidden="1" x14ac:dyDescent="0.35">
      <c r="A5395" s="11">
        <v>46304</v>
      </c>
      <c r="B5395" s="3">
        <v>5</v>
      </c>
      <c r="C5395" t="s">
        <v>115</v>
      </c>
      <c r="D5395" t="s">
        <v>18</v>
      </c>
      <c r="E5395" s="3">
        <v>20</v>
      </c>
      <c r="F5395" t="s">
        <v>34</v>
      </c>
      <c r="G5395" t="s">
        <v>75</v>
      </c>
      <c r="H5395" t="s">
        <v>76</v>
      </c>
      <c r="I5395" s="12">
        <v>0.76388888888888884</v>
      </c>
      <c r="J5395" t="s">
        <v>77</v>
      </c>
      <c r="K5395" t="s">
        <v>78</v>
      </c>
      <c r="L5395" s="12">
        <v>0.78472222222222221</v>
      </c>
      <c r="M5395" t="s">
        <v>51</v>
      </c>
      <c r="N5395" s="3">
        <v>78</v>
      </c>
      <c r="O5395" t="s">
        <v>24</v>
      </c>
      <c r="P5395" t="s">
        <v>79</v>
      </c>
      <c r="Q5395" s="16" t="s">
        <v>80</v>
      </c>
      <c r="R5395">
        <f>tblDailySchedule[[#This Row],[Capacity Approx]]*'[1]Load Factor Sheet June Acft  '!$B$5</f>
        <v>63.162272727272729</v>
      </c>
      <c r="S5395">
        <f>tblDailySchedule[[#This Row],[Capacity Approx]]*'[1]Load Factor Sheet June Acft  '!$D$5</f>
        <v>68.391818181818181</v>
      </c>
      <c r="T5395" s="22">
        <f>tblDailySchedule[[#This Row],[STD]]</f>
        <v>0.78472222222222221</v>
      </c>
    </row>
    <row r="5396" spans="1:20" hidden="1" x14ac:dyDescent="0.35">
      <c r="A5396" s="11">
        <v>46304</v>
      </c>
      <c r="B5396" s="3">
        <v>5</v>
      </c>
      <c r="C5396" t="s">
        <v>115</v>
      </c>
      <c r="D5396" t="s">
        <v>18</v>
      </c>
      <c r="E5396" s="3">
        <v>21</v>
      </c>
      <c r="F5396" t="s">
        <v>19</v>
      </c>
      <c r="G5396" t="s">
        <v>81</v>
      </c>
      <c r="H5396" t="s">
        <v>61</v>
      </c>
      <c r="I5396" s="12">
        <v>0.77083333333333337</v>
      </c>
      <c r="J5396" t="s">
        <v>82</v>
      </c>
      <c r="K5396" t="s">
        <v>49</v>
      </c>
      <c r="L5396" s="12">
        <v>0.79166666666666663</v>
      </c>
      <c r="M5396" t="s">
        <v>33</v>
      </c>
      <c r="N5396" s="3">
        <v>189</v>
      </c>
      <c r="O5396" t="s">
        <v>24</v>
      </c>
      <c r="P5396" t="s">
        <v>79</v>
      </c>
      <c r="R5396">
        <f>tblDailySchedule[[#This Row],[Capacity Approx]]*'[1]Load Factor Sheet June Acft  '!$B$5</f>
        <v>153.04704545454547</v>
      </c>
      <c r="S5396">
        <f>tblDailySchedule[[#This Row],[Capacity Approx]]*'[1]Load Factor Sheet June Acft  '!$D$5</f>
        <v>165.71863636363636</v>
      </c>
      <c r="T5396" s="22">
        <f>tblDailySchedule[[#This Row],[STD]]</f>
        <v>0.79166666666666663</v>
      </c>
    </row>
    <row r="5397" spans="1:20" hidden="1" x14ac:dyDescent="0.35">
      <c r="A5397" s="11">
        <v>46304</v>
      </c>
      <c r="B5397" s="3">
        <v>5</v>
      </c>
      <c r="C5397" t="s">
        <v>115</v>
      </c>
      <c r="D5397" t="s">
        <v>18</v>
      </c>
      <c r="E5397" s="3">
        <v>22</v>
      </c>
      <c r="F5397" t="s">
        <v>19</v>
      </c>
      <c r="G5397" t="s">
        <v>83</v>
      </c>
      <c r="H5397" t="s">
        <v>31</v>
      </c>
      <c r="I5397" s="12">
        <v>0.77777777777777779</v>
      </c>
      <c r="J5397" t="s">
        <v>84</v>
      </c>
      <c r="K5397" t="s">
        <v>31</v>
      </c>
      <c r="L5397" s="12">
        <v>0.80555555555555558</v>
      </c>
      <c r="M5397" t="s">
        <v>63</v>
      </c>
      <c r="N5397" s="3">
        <v>232</v>
      </c>
      <c r="O5397" t="s">
        <v>24</v>
      </c>
      <c r="P5397" t="s">
        <v>79</v>
      </c>
      <c r="R5397">
        <f>tblDailySchedule[[#This Row],[Capacity Approx]]*'[1]Load Factor Sheet June Acft  '!$B$5</f>
        <v>187.86727272727273</v>
      </c>
      <c r="S5397">
        <f>tblDailySchedule[[#This Row],[Capacity Approx]]*'[1]Load Factor Sheet June Acft  '!$D$5</f>
        <v>203.4218181818182</v>
      </c>
      <c r="T5397" s="22">
        <f>tblDailySchedule[[#This Row],[STD]]</f>
        <v>0.80555555555555558</v>
      </c>
    </row>
    <row r="5398" spans="1:20" hidden="1" x14ac:dyDescent="0.35">
      <c r="A5398" s="11">
        <v>46304</v>
      </c>
      <c r="B5398" s="3">
        <v>5</v>
      </c>
      <c r="C5398" t="s">
        <v>115</v>
      </c>
      <c r="D5398" t="s">
        <v>18</v>
      </c>
      <c r="E5398" s="3">
        <v>23</v>
      </c>
      <c r="F5398" t="s">
        <v>19</v>
      </c>
      <c r="G5398" t="s">
        <v>85</v>
      </c>
      <c r="H5398" t="s">
        <v>86</v>
      </c>
      <c r="I5398" s="12">
        <v>0.79861111111111116</v>
      </c>
      <c r="J5398" t="s">
        <v>87</v>
      </c>
      <c r="K5398" t="s">
        <v>86</v>
      </c>
      <c r="L5398" s="12">
        <v>0.82638888888888884</v>
      </c>
      <c r="M5398" t="s">
        <v>63</v>
      </c>
      <c r="N5398" s="3">
        <v>232</v>
      </c>
      <c r="O5398" t="s">
        <v>24</v>
      </c>
      <c r="P5398" t="s">
        <v>79</v>
      </c>
      <c r="R5398">
        <f>tblDailySchedule[[#This Row],[Capacity Approx]]*'[1]Load Factor Sheet June Acft  '!$B$5</f>
        <v>187.86727272727273</v>
      </c>
      <c r="S5398">
        <f>tblDailySchedule[[#This Row],[Capacity Approx]]*'[1]Load Factor Sheet June Acft  '!$D$5</f>
        <v>203.4218181818182</v>
      </c>
      <c r="T5398" s="22">
        <f>tblDailySchedule[[#This Row],[STD]]</f>
        <v>0.82638888888888884</v>
      </c>
    </row>
    <row r="5399" spans="1:20" hidden="1" x14ac:dyDescent="0.35">
      <c r="A5399" s="11">
        <v>46304</v>
      </c>
      <c r="B5399" s="3">
        <v>5</v>
      </c>
      <c r="C5399" t="s">
        <v>115</v>
      </c>
      <c r="D5399" t="s">
        <v>18</v>
      </c>
      <c r="E5399" s="3">
        <v>24</v>
      </c>
      <c r="F5399" t="s">
        <v>19</v>
      </c>
      <c r="G5399" t="s">
        <v>88</v>
      </c>
      <c r="H5399" t="s">
        <v>89</v>
      </c>
      <c r="I5399" s="12">
        <v>0.83333333333333337</v>
      </c>
      <c r="J5399" t="s">
        <v>90</v>
      </c>
      <c r="K5399" t="s">
        <v>31</v>
      </c>
      <c r="L5399" s="12">
        <v>0.86111111111111116</v>
      </c>
      <c r="M5399" t="s">
        <v>63</v>
      </c>
      <c r="N5399" s="3">
        <v>232</v>
      </c>
      <c r="O5399" t="s">
        <v>24</v>
      </c>
      <c r="P5399" t="s">
        <v>79</v>
      </c>
      <c r="R5399">
        <f>tblDailySchedule[[#This Row],[Capacity Approx]]*'[1]Load Factor Sheet June Acft  '!$B$5</f>
        <v>187.86727272727273</v>
      </c>
      <c r="S5399">
        <f>tblDailySchedule[[#This Row],[Capacity Approx]]*'[1]Load Factor Sheet June Acft  '!$D$5</f>
        <v>203.4218181818182</v>
      </c>
      <c r="T5399" s="22">
        <f>tblDailySchedule[[#This Row],[STD]]</f>
        <v>0.86111111111111116</v>
      </c>
    </row>
    <row r="5400" spans="1:20" hidden="1" x14ac:dyDescent="0.35">
      <c r="A5400" s="11">
        <v>46304</v>
      </c>
      <c r="B5400" s="3">
        <v>5</v>
      </c>
      <c r="C5400" t="s">
        <v>115</v>
      </c>
      <c r="D5400" t="s">
        <v>18</v>
      </c>
      <c r="E5400" s="3">
        <v>25</v>
      </c>
      <c r="F5400" t="s">
        <v>19</v>
      </c>
      <c r="G5400" t="s">
        <v>91</v>
      </c>
      <c r="H5400" t="s">
        <v>61</v>
      </c>
      <c r="I5400" s="12">
        <v>0.85416666666666663</v>
      </c>
      <c r="J5400" t="s">
        <v>92</v>
      </c>
      <c r="K5400" t="s">
        <v>61</v>
      </c>
      <c r="L5400" s="12">
        <v>0.88194444444444442</v>
      </c>
      <c r="M5400" t="s">
        <v>63</v>
      </c>
      <c r="N5400" s="3">
        <v>232</v>
      </c>
      <c r="O5400" t="s">
        <v>24</v>
      </c>
      <c r="P5400" t="s">
        <v>79</v>
      </c>
      <c r="R5400">
        <f>tblDailySchedule[[#This Row],[Capacity Approx]]*'[1]Load Factor Sheet June Acft  '!$B$5</f>
        <v>187.86727272727273</v>
      </c>
      <c r="S5400">
        <f>tblDailySchedule[[#This Row],[Capacity Approx]]*'[1]Load Factor Sheet June Acft  '!$D$5</f>
        <v>203.4218181818182</v>
      </c>
      <c r="T5400" s="22">
        <f>tblDailySchedule[[#This Row],[STD]]</f>
        <v>0.88194444444444442</v>
      </c>
    </row>
    <row r="5401" spans="1:20" hidden="1" x14ac:dyDescent="0.35">
      <c r="A5401" s="11">
        <v>46304</v>
      </c>
      <c r="B5401" s="3">
        <v>5</v>
      </c>
      <c r="C5401" t="s">
        <v>115</v>
      </c>
      <c r="D5401" t="s">
        <v>18</v>
      </c>
      <c r="E5401" s="3">
        <v>26</v>
      </c>
      <c r="F5401" t="s">
        <v>19</v>
      </c>
      <c r="G5401" t="s">
        <v>93</v>
      </c>
      <c r="H5401" t="s">
        <v>31</v>
      </c>
      <c r="I5401" s="12">
        <v>0.86111111111111116</v>
      </c>
      <c r="J5401" t="s">
        <v>94</v>
      </c>
      <c r="K5401" t="s">
        <v>31</v>
      </c>
      <c r="L5401" s="12">
        <v>0.88888888888888884</v>
      </c>
      <c r="M5401" t="s">
        <v>23</v>
      </c>
      <c r="N5401" s="3">
        <v>186</v>
      </c>
      <c r="O5401" t="s">
        <v>24</v>
      </c>
      <c r="P5401" t="s">
        <v>79</v>
      </c>
      <c r="R5401">
        <f>tblDailySchedule[[#This Row],[Capacity Approx]]*'[1]Load Factor Sheet June Acft  '!$B$5</f>
        <v>150.61772727272728</v>
      </c>
      <c r="S5401">
        <f>tblDailySchedule[[#This Row],[Capacity Approx]]*'[1]Load Factor Sheet June Acft  '!$D$5</f>
        <v>163.08818181818182</v>
      </c>
      <c r="T5401" s="22">
        <f>tblDailySchedule[[#This Row],[STD]]</f>
        <v>0.88888888888888884</v>
      </c>
    </row>
    <row r="5402" spans="1:20" hidden="1" x14ac:dyDescent="0.35">
      <c r="A5402" s="11">
        <v>46304</v>
      </c>
      <c r="B5402" s="3">
        <v>5</v>
      </c>
      <c r="C5402" t="s">
        <v>115</v>
      </c>
      <c r="D5402" t="s">
        <v>18</v>
      </c>
      <c r="E5402" s="3">
        <v>27</v>
      </c>
      <c r="F5402" t="s">
        <v>19</v>
      </c>
      <c r="G5402" t="s">
        <v>95</v>
      </c>
      <c r="H5402" t="s">
        <v>21</v>
      </c>
      <c r="I5402" s="12">
        <v>0.86805555555555558</v>
      </c>
      <c r="J5402" t="s">
        <v>96</v>
      </c>
      <c r="K5402" t="s">
        <v>21</v>
      </c>
      <c r="L5402" s="12">
        <v>0.89583333333333337</v>
      </c>
      <c r="M5402" t="s">
        <v>29</v>
      </c>
      <c r="N5402" s="3">
        <v>186</v>
      </c>
      <c r="O5402" t="s">
        <v>24</v>
      </c>
      <c r="P5402" t="s">
        <v>79</v>
      </c>
      <c r="R5402">
        <f>tblDailySchedule[[#This Row],[Capacity Approx]]*'[1]Load Factor Sheet June Acft  '!$B$5</f>
        <v>150.61772727272728</v>
      </c>
      <c r="S5402">
        <f>tblDailySchedule[[#This Row],[Capacity Approx]]*'[1]Load Factor Sheet June Acft  '!$D$5</f>
        <v>163.08818181818182</v>
      </c>
      <c r="T5402" s="22">
        <f>tblDailySchedule[[#This Row],[STD]]</f>
        <v>0.89583333333333337</v>
      </c>
    </row>
    <row r="5403" spans="1:20" hidden="1" x14ac:dyDescent="0.35">
      <c r="A5403" s="11">
        <v>46304</v>
      </c>
      <c r="B5403" s="3">
        <v>5</v>
      </c>
      <c r="C5403" t="s">
        <v>115</v>
      </c>
      <c r="D5403" t="s">
        <v>18</v>
      </c>
      <c r="E5403" s="3">
        <v>28</v>
      </c>
      <c r="F5403" t="s">
        <v>19</v>
      </c>
      <c r="G5403" t="s">
        <v>97</v>
      </c>
      <c r="H5403" t="s">
        <v>49</v>
      </c>
      <c r="I5403" s="12">
        <v>0.90277777777777779</v>
      </c>
      <c r="J5403" t="s">
        <v>97</v>
      </c>
      <c r="K5403" t="s">
        <v>61</v>
      </c>
      <c r="L5403" s="12">
        <v>0.92361111111111116</v>
      </c>
      <c r="M5403" t="s">
        <v>33</v>
      </c>
      <c r="N5403" s="3">
        <v>189</v>
      </c>
      <c r="O5403" t="s">
        <v>24</v>
      </c>
      <c r="P5403" t="s">
        <v>79</v>
      </c>
      <c r="R5403">
        <f>tblDailySchedule[[#This Row],[Capacity Approx]]*'[1]Load Factor Sheet June Acft  '!$B$5</f>
        <v>153.04704545454547</v>
      </c>
      <c r="S5403">
        <f>tblDailySchedule[[#This Row],[Capacity Approx]]*'[1]Load Factor Sheet June Acft  '!$D$5</f>
        <v>165.71863636363636</v>
      </c>
      <c r="T5403" s="22">
        <f>tblDailySchedule[[#This Row],[STD]]</f>
        <v>0.92361111111111116</v>
      </c>
    </row>
    <row r="5404" spans="1:20" hidden="1" x14ac:dyDescent="0.35">
      <c r="A5404" s="11">
        <v>46304</v>
      </c>
      <c r="B5404" s="3">
        <v>5</v>
      </c>
      <c r="C5404" t="s">
        <v>115</v>
      </c>
      <c r="D5404" t="s">
        <v>18</v>
      </c>
      <c r="E5404" s="3">
        <v>29</v>
      </c>
      <c r="F5404" t="s">
        <v>19</v>
      </c>
      <c r="G5404" t="s">
        <v>98</v>
      </c>
      <c r="H5404" t="s">
        <v>21</v>
      </c>
      <c r="I5404" s="12">
        <v>0.92013888888888884</v>
      </c>
      <c r="J5404" t="s">
        <v>99</v>
      </c>
      <c r="K5404" t="s">
        <v>21</v>
      </c>
      <c r="L5404" s="12">
        <v>0.94791666666666663</v>
      </c>
      <c r="M5404" t="s">
        <v>63</v>
      </c>
      <c r="N5404" s="3">
        <v>232</v>
      </c>
      <c r="O5404" t="s">
        <v>24</v>
      </c>
      <c r="P5404" t="s">
        <v>79</v>
      </c>
      <c r="R5404">
        <f>tblDailySchedule[[#This Row],[Capacity Approx]]*'[1]Load Factor Sheet June Acft  '!$B$5</f>
        <v>187.86727272727273</v>
      </c>
      <c r="S5404">
        <f>tblDailySchedule[[#This Row],[Capacity Approx]]*'[1]Load Factor Sheet June Acft  '!$D$5</f>
        <v>203.4218181818182</v>
      </c>
      <c r="T5404" s="22">
        <f>tblDailySchedule[[#This Row],[STD]]</f>
        <v>0.94791666666666663</v>
      </c>
    </row>
    <row r="5405" spans="1:20" hidden="1" x14ac:dyDescent="0.35">
      <c r="A5405" s="13">
        <v>46304</v>
      </c>
      <c r="B5405" s="7">
        <v>5</v>
      </c>
      <c r="C5405" s="14" t="s">
        <v>115</v>
      </c>
      <c r="D5405" s="14" t="s">
        <v>18</v>
      </c>
      <c r="E5405" s="7">
        <v>30</v>
      </c>
      <c r="F5405" s="14" t="s">
        <v>104</v>
      </c>
      <c r="G5405" s="14" t="s">
        <v>105</v>
      </c>
      <c r="H5405" s="14" t="s">
        <v>106</v>
      </c>
      <c r="I5405" s="15">
        <v>0.92708333333333337</v>
      </c>
      <c r="J5405" s="14" t="s">
        <v>107</v>
      </c>
      <c r="K5405" s="14" t="s">
        <v>106</v>
      </c>
      <c r="L5405" s="15">
        <v>0.95833333333333337</v>
      </c>
      <c r="M5405" s="14" t="s">
        <v>38</v>
      </c>
      <c r="N5405" s="7">
        <v>186</v>
      </c>
      <c r="O5405" s="14" t="s">
        <v>39</v>
      </c>
      <c r="P5405" s="14" t="s">
        <v>79</v>
      </c>
      <c r="Q5405" s="14" t="s">
        <v>39</v>
      </c>
      <c r="R5405">
        <f>tblDailySchedule[[#This Row],[Capacity Approx]]*'[1]Load Factor Sheet June Acft  '!$B$5</f>
        <v>150.61772727272728</v>
      </c>
      <c r="S5405">
        <f>tblDailySchedule[[#This Row],[Capacity Approx]]*'[1]Load Factor Sheet June Acft  '!$D$5</f>
        <v>163.08818181818182</v>
      </c>
      <c r="T5405" s="22">
        <f>tblDailySchedule[[#This Row],[STD]]</f>
        <v>0.95833333333333337</v>
      </c>
    </row>
    <row r="5406" spans="1:20" hidden="1" x14ac:dyDescent="0.35">
      <c r="A5406" s="11">
        <v>46305</v>
      </c>
      <c r="B5406" s="3">
        <v>6</v>
      </c>
      <c r="C5406" t="s">
        <v>116</v>
      </c>
      <c r="D5406" t="s">
        <v>18</v>
      </c>
      <c r="E5406" s="3">
        <v>1</v>
      </c>
      <c r="F5406" t="s">
        <v>101</v>
      </c>
      <c r="G5406" t="s">
        <v>102</v>
      </c>
      <c r="H5406" t="s">
        <v>61</v>
      </c>
      <c r="I5406" s="12">
        <v>0.3125</v>
      </c>
      <c r="J5406" t="s">
        <v>103</v>
      </c>
      <c r="K5406" t="s">
        <v>61</v>
      </c>
      <c r="L5406" s="12">
        <v>0.33333333333333331</v>
      </c>
      <c r="M5406" t="s">
        <v>33</v>
      </c>
      <c r="N5406" s="3">
        <v>189</v>
      </c>
      <c r="O5406" t="s">
        <v>24</v>
      </c>
      <c r="P5406" t="s">
        <v>25</v>
      </c>
      <c r="R5406">
        <f>tblDailySchedule[[#This Row],[Capacity Approx]]*'[1]Load Factor Sheet June Acft  '!$B$5</f>
        <v>153.04704545454547</v>
      </c>
      <c r="S5406">
        <f>tblDailySchedule[[#This Row],[Capacity Approx]]*'[1]Load Factor Sheet June Acft  '!$D$5</f>
        <v>165.71863636363636</v>
      </c>
      <c r="T5406" s="22">
        <f>tblDailySchedule[[#This Row],[STD]]</f>
        <v>0.33333333333333331</v>
      </c>
    </row>
    <row r="5407" spans="1:20" hidden="1" x14ac:dyDescent="0.35">
      <c r="A5407" s="11">
        <v>46305</v>
      </c>
      <c r="B5407" s="3">
        <v>6</v>
      </c>
      <c r="C5407" t="s">
        <v>116</v>
      </c>
      <c r="D5407" t="s">
        <v>18</v>
      </c>
      <c r="E5407" s="3">
        <v>2</v>
      </c>
      <c r="F5407" t="s">
        <v>19</v>
      </c>
      <c r="G5407" t="s">
        <v>20</v>
      </c>
      <c r="H5407" t="s">
        <v>21</v>
      </c>
      <c r="I5407" s="12">
        <v>0.31944444444444442</v>
      </c>
      <c r="J5407" t="s">
        <v>22</v>
      </c>
      <c r="K5407" t="s">
        <v>21</v>
      </c>
      <c r="L5407" s="12">
        <v>0.34722222222222221</v>
      </c>
      <c r="M5407" t="s">
        <v>23</v>
      </c>
      <c r="N5407" s="3">
        <v>186</v>
      </c>
      <c r="O5407" t="s">
        <v>24</v>
      </c>
      <c r="P5407" t="s">
        <v>25</v>
      </c>
      <c r="R5407">
        <f>tblDailySchedule[[#This Row],[Capacity Approx]]*'[1]Load Factor Sheet June Acft  '!$B$5</f>
        <v>150.61772727272728</v>
      </c>
      <c r="S5407">
        <f>tblDailySchedule[[#This Row],[Capacity Approx]]*'[1]Load Factor Sheet June Acft  '!$D$5</f>
        <v>163.08818181818182</v>
      </c>
      <c r="T5407" s="22">
        <f>tblDailySchedule[[#This Row],[STD]]</f>
        <v>0.34722222222222221</v>
      </c>
    </row>
    <row r="5408" spans="1:20" hidden="1" x14ac:dyDescent="0.35">
      <c r="A5408" s="11">
        <v>46305</v>
      </c>
      <c r="B5408" s="3">
        <v>6</v>
      </c>
      <c r="C5408" t="s">
        <v>116</v>
      </c>
      <c r="D5408" t="s">
        <v>18</v>
      </c>
      <c r="E5408" s="3">
        <v>3</v>
      </c>
      <c r="F5408" t="s">
        <v>19</v>
      </c>
      <c r="G5408" t="s">
        <v>26</v>
      </c>
      <c r="H5408" t="s">
        <v>27</v>
      </c>
      <c r="I5408" s="12">
        <v>0.3263888888888889</v>
      </c>
      <c r="J5408" t="s">
        <v>28</v>
      </c>
      <c r="K5408" t="s">
        <v>27</v>
      </c>
      <c r="L5408" s="12">
        <v>0.35416666666666669</v>
      </c>
      <c r="M5408" t="s">
        <v>29</v>
      </c>
      <c r="N5408" s="3">
        <v>186</v>
      </c>
      <c r="O5408" t="s">
        <v>24</v>
      </c>
      <c r="P5408" t="s">
        <v>25</v>
      </c>
      <c r="R5408">
        <f>tblDailySchedule[[#This Row],[Capacity Approx]]*'[1]Load Factor Sheet June Acft  '!$B$5</f>
        <v>150.61772727272728</v>
      </c>
      <c r="S5408">
        <f>tblDailySchedule[[#This Row],[Capacity Approx]]*'[1]Load Factor Sheet June Acft  '!$D$5</f>
        <v>163.08818181818182</v>
      </c>
      <c r="T5408" s="22">
        <f>tblDailySchedule[[#This Row],[STD]]</f>
        <v>0.35416666666666669</v>
      </c>
    </row>
    <row r="5409" spans="1:20" hidden="1" x14ac:dyDescent="0.35">
      <c r="A5409" s="11">
        <v>46305</v>
      </c>
      <c r="B5409" s="3">
        <v>6</v>
      </c>
      <c r="C5409" t="s">
        <v>116</v>
      </c>
      <c r="D5409" t="s">
        <v>18</v>
      </c>
      <c r="E5409" s="3">
        <v>4</v>
      </c>
      <c r="F5409" t="s">
        <v>19</v>
      </c>
      <c r="G5409" t="s">
        <v>30</v>
      </c>
      <c r="H5409" t="s">
        <v>31</v>
      </c>
      <c r="I5409" s="12">
        <v>0.34722222222222221</v>
      </c>
      <c r="J5409" t="s">
        <v>32</v>
      </c>
      <c r="K5409" t="s">
        <v>31</v>
      </c>
      <c r="L5409" s="12">
        <v>0.36805555555555558</v>
      </c>
      <c r="M5409" t="s">
        <v>33</v>
      </c>
      <c r="N5409" s="3">
        <v>189</v>
      </c>
      <c r="O5409" t="s">
        <v>24</v>
      </c>
      <c r="P5409" t="s">
        <v>25</v>
      </c>
      <c r="R5409">
        <f>tblDailySchedule[[#This Row],[Capacity Approx]]*'[1]Load Factor Sheet June Acft  '!$B$5</f>
        <v>153.04704545454547</v>
      </c>
      <c r="S5409">
        <f>tblDailySchedule[[#This Row],[Capacity Approx]]*'[1]Load Factor Sheet June Acft  '!$D$5</f>
        <v>165.71863636363636</v>
      </c>
      <c r="T5409" s="22">
        <f>tblDailySchedule[[#This Row],[STD]]</f>
        <v>0.36805555555555558</v>
      </c>
    </row>
    <row r="5410" spans="1:20" hidden="1" x14ac:dyDescent="0.35">
      <c r="A5410" s="11">
        <v>46305</v>
      </c>
      <c r="B5410" s="3">
        <v>6</v>
      </c>
      <c r="C5410" t="s">
        <v>116</v>
      </c>
      <c r="D5410" t="s">
        <v>18</v>
      </c>
      <c r="E5410" s="3">
        <v>5</v>
      </c>
      <c r="F5410" t="s">
        <v>19</v>
      </c>
      <c r="G5410" t="s">
        <v>40</v>
      </c>
      <c r="H5410" t="s">
        <v>31</v>
      </c>
      <c r="I5410" s="12">
        <v>0.35069444444444442</v>
      </c>
      <c r="J5410" t="s">
        <v>41</v>
      </c>
      <c r="K5410" t="s">
        <v>31</v>
      </c>
      <c r="L5410" s="12">
        <v>0.37152777777777779</v>
      </c>
      <c r="M5410" t="s">
        <v>23</v>
      </c>
      <c r="N5410" s="3">
        <v>186</v>
      </c>
      <c r="O5410" t="s">
        <v>24</v>
      </c>
      <c r="P5410" t="s">
        <v>25</v>
      </c>
      <c r="R5410">
        <f>tblDailySchedule[[#This Row],[Capacity Approx]]*'[1]Load Factor Sheet June Acft  '!$B$5</f>
        <v>150.61772727272728</v>
      </c>
      <c r="S5410">
        <f>tblDailySchedule[[#This Row],[Capacity Approx]]*'[1]Load Factor Sheet June Acft  '!$D$5</f>
        <v>163.08818181818182</v>
      </c>
      <c r="T5410" s="22">
        <f>tblDailySchedule[[#This Row],[STD]]</f>
        <v>0.37152777777777779</v>
      </c>
    </row>
    <row r="5411" spans="1:20" hidden="1" x14ac:dyDescent="0.35">
      <c r="A5411" s="11">
        <v>46305</v>
      </c>
      <c r="B5411" s="3">
        <v>6</v>
      </c>
      <c r="C5411" t="s">
        <v>116</v>
      </c>
      <c r="D5411" t="s">
        <v>18</v>
      </c>
      <c r="E5411" s="3">
        <v>7</v>
      </c>
      <c r="F5411" t="s">
        <v>19</v>
      </c>
      <c r="G5411" t="s">
        <v>42</v>
      </c>
      <c r="H5411" t="s">
        <v>43</v>
      </c>
      <c r="I5411" s="12">
        <v>0.3923611111111111</v>
      </c>
      <c r="J5411" t="s">
        <v>44</v>
      </c>
      <c r="K5411" t="s">
        <v>43</v>
      </c>
      <c r="L5411" s="12">
        <v>0.40277777777777779</v>
      </c>
      <c r="M5411" t="s">
        <v>45</v>
      </c>
      <c r="N5411" s="3">
        <v>9</v>
      </c>
      <c r="O5411" t="s">
        <v>24</v>
      </c>
      <c r="P5411" t="s">
        <v>25</v>
      </c>
      <c r="R5411">
        <f>tblDailySchedule[[#This Row],[Capacity Approx]]*'[1]Load Factor Sheet June Acft  '!$B$5</f>
        <v>7.2879545454545456</v>
      </c>
      <c r="S5411">
        <f>tblDailySchedule[[#This Row],[Capacity Approx]]*'[1]Load Factor Sheet June Acft  '!$D$5</f>
        <v>7.8913636363636366</v>
      </c>
      <c r="T5411" s="22">
        <f>tblDailySchedule[[#This Row],[STD]]</f>
        <v>0.40277777777777779</v>
      </c>
    </row>
    <row r="5412" spans="1:20" hidden="1" x14ac:dyDescent="0.35">
      <c r="A5412" s="11">
        <v>46305</v>
      </c>
      <c r="B5412" s="3">
        <v>6</v>
      </c>
      <c r="C5412" t="s">
        <v>116</v>
      </c>
      <c r="D5412" t="s">
        <v>18</v>
      </c>
      <c r="E5412" s="3">
        <v>8</v>
      </c>
      <c r="F5412" t="s">
        <v>19</v>
      </c>
      <c r="G5412" t="s">
        <v>46</v>
      </c>
      <c r="H5412" t="s">
        <v>31</v>
      </c>
      <c r="I5412" s="12">
        <v>0.4201388888888889</v>
      </c>
      <c r="J5412" t="s">
        <v>47</v>
      </c>
      <c r="K5412" t="s">
        <v>31</v>
      </c>
      <c r="L5412" s="12">
        <v>0.44444444444444442</v>
      </c>
      <c r="M5412" t="s">
        <v>29</v>
      </c>
      <c r="N5412" s="3">
        <v>186</v>
      </c>
      <c r="O5412" t="s">
        <v>24</v>
      </c>
      <c r="P5412" t="s">
        <v>25</v>
      </c>
      <c r="R5412">
        <f>tblDailySchedule[[#This Row],[Capacity Approx]]*'[1]Load Factor Sheet June Acft  '!$B$5</f>
        <v>150.61772727272728</v>
      </c>
      <c r="S5412">
        <f>tblDailySchedule[[#This Row],[Capacity Approx]]*'[1]Load Factor Sheet June Acft  '!$D$5</f>
        <v>163.08818181818182</v>
      </c>
      <c r="T5412" s="22">
        <f>tblDailySchedule[[#This Row],[STD]]</f>
        <v>0.44444444444444442</v>
      </c>
    </row>
    <row r="5413" spans="1:20" hidden="1" x14ac:dyDescent="0.35">
      <c r="A5413" s="11">
        <v>46305</v>
      </c>
      <c r="B5413" s="3">
        <v>6</v>
      </c>
      <c r="C5413" t="s">
        <v>116</v>
      </c>
      <c r="D5413" t="s">
        <v>18</v>
      </c>
      <c r="E5413" s="3">
        <v>9</v>
      </c>
      <c r="F5413" t="s">
        <v>19</v>
      </c>
      <c r="G5413" t="s">
        <v>48</v>
      </c>
      <c r="H5413" t="s">
        <v>49</v>
      </c>
      <c r="I5413" s="12">
        <v>0.4375</v>
      </c>
      <c r="J5413" t="s">
        <v>50</v>
      </c>
      <c r="K5413" t="s">
        <v>49</v>
      </c>
      <c r="L5413" s="12">
        <v>0.45833333333333331</v>
      </c>
      <c r="M5413" t="s">
        <v>51</v>
      </c>
      <c r="N5413" s="3">
        <v>78</v>
      </c>
      <c r="O5413" t="s">
        <v>24</v>
      </c>
      <c r="P5413" t="s">
        <v>25</v>
      </c>
      <c r="R5413">
        <f>tblDailySchedule[[#This Row],[Capacity Approx]]*'[1]Load Factor Sheet June Acft  '!$B$5</f>
        <v>63.162272727272729</v>
      </c>
      <c r="S5413">
        <f>tblDailySchedule[[#This Row],[Capacity Approx]]*'[1]Load Factor Sheet June Acft  '!$D$5</f>
        <v>68.391818181818181</v>
      </c>
      <c r="T5413" s="22">
        <f>tblDailySchedule[[#This Row],[STD]]</f>
        <v>0.45833333333333331</v>
      </c>
    </row>
    <row r="5414" spans="1:20" hidden="1" x14ac:dyDescent="0.35">
      <c r="A5414" s="11">
        <v>46305</v>
      </c>
      <c r="B5414" s="3">
        <v>6</v>
      </c>
      <c r="C5414" t="s">
        <v>116</v>
      </c>
      <c r="D5414" t="s">
        <v>18</v>
      </c>
      <c r="E5414" s="3">
        <v>10</v>
      </c>
      <c r="F5414" t="s">
        <v>19</v>
      </c>
      <c r="G5414" t="s">
        <v>52</v>
      </c>
      <c r="H5414" t="s">
        <v>27</v>
      </c>
      <c r="I5414" s="12">
        <v>0.4826388888888889</v>
      </c>
      <c r="J5414" t="s">
        <v>53</v>
      </c>
      <c r="K5414" t="s">
        <v>27</v>
      </c>
      <c r="L5414" s="12">
        <v>0.51041666666666663</v>
      </c>
      <c r="M5414" t="s">
        <v>23</v>
      </c>
      <c r="N5414" s="3">
        <v>186</v>
      </c>
      <c r="O5414" t="s">
        <v>24</v>
      </c>
      <c r="P5414" t="s">
        <v>25</v>
      </c>
      <c r="R5414">
        <f>tblDailySchedule[[#This Row],[Capacity Approx]]*'[1]Load Factor Sheet June Acft  '!$B$5</f>
        <v>150.61772727272728</v>
      </c>
      <c r="S5414">
        <f>tblDailySchedule[[#This Row],[Capacity Approx]]*'[1]Load Factor Sheet June Acft  '!$D$5</f>
        <v>163.08818181818182</v>
      </c>
      <c r="T5414" s="22">
        <f>tblDailySchedule[[#This Row],[STD]]</f>
        <v>0.51041666666666663</v>
      </c>
    </row>
    <row r="5415" spans="1:20" hidden="1" x14ac:dyDescent="0.35">
      <c r="A5415" s="11">
        <v>46305</v>
      </c>
      <c r="B5415" s="3">
        <v>6</v>
      </c>
      <c r="C5415" t="s">
        <v>116</v>
      </c>
      <c r="D5415" t="s">
        <v>18</v>
      </c>
      <c r="E5415" s="3">
        <v>11</v>
      </c>
      <c r="F5415" t="s">
        <v>19</v>
      </c>
      <c r="G5415" t="s">
        <v>54</v>
      </c>
      <c r="H5415" t="s">
        <v>31</v>
      </c>
      <c r="I5415" s="12">
        <v>0.51388888888888884</v>
      </c>
      <c r="J5415" t="s">
        <v>55</v>
      </c>
      <c r="K5415" t="s">
        <v>31</v>
      </c>
      <c r="L5415" s="12">
        <v>0.54166666666666663</v>
      </c>
      <c r="M5415" t="s">
        <v>23</v>
      </c>
      <c r="N5415" s="3">
        <v>186</v>
      </c>
      <c r="O5415" t="s">
        <v>24</v>
      </c>
      <c r="P5415" t="s">
        <v>56</v>
      </c>
      <c r="R5415">
        <f>tblDailySchedule[[#This Row],[Capacity Approx]]*'[1]Load Factor Sheet June Acft  '!$B$5</f>
        <v>150.61772727272728</v>
      </c>
      <c r="S5415">
        <f>tblDailySchedule[[#This Row],[Capacity Approx]]*'[1]Load Factor Sheet June Acft  '!$D$5</f>
        <v>163.08818181818182</v>
      </c>
      <c r="T5415" s="22">
        <f>tblDailySchedule[[#This Row],[STD]]</f>
        <v>0.54166666666666663</v>
      </c>
    </row>
    <row r="5416" spans="1:20" hidden="1" x14ac:dyDescent="0.35">
      <c r="A5416" s="11">
        <v>46305</v>
      </c>
      <c r="B5416" s="3">
        <v>6</v>
      </c>
      <c r="C5416" t="s">
        <v>116</v>
      </c>
      <c r="D5416" t="s">
        <v>18</v>
      </c>
      <c r="E5416" s="3">
        <v>12</v>
      </c>
      <c r="F5416" t="s">
        <v>109</v>
      </c>
      <c r="G5416" t="s">
        <v>110</v>
      </c>
      <c r="H5416" t="s">
        <v>111</v>
      </c>
      <c r="I5416" s="12">
        <v>0.55555555555555558</v>
      </c>
      <c r="J5416" t="s">
        <v>112</v>
      </c>
      <c r="K5416" t="s">
        <v>111</v>
      </c>
      <c r="L5416" s="12">
        <v>0.56944444444444442</v>
      </c>
      <c r="M5416" t="s">
        <v>51</v>
      </c>
      <c r="N5416" s="3">
        <v>78</v>
      </c>
      <c r="O5416" t="s">
        <v>24</v>
      </c>
      <c r="P5416" t="s">
        <v>56</v>
      </c>
      <c r="R5416">
        <f>tblDailySchedule[[#This Row],[Capacity Approx]]*'[1]Load Factor Sheet June Acft  '!$B$5</f>
        <v>63.162272727272729</v>
      </c>
      <c r="S5416">
        <f>tblDailySchedule[[#This Row],[Capacity Approx]]*'[1]Load Factor Sheet June Acft  '!$D$5</f>
        <v>68.391818181818181</v>
      </c>
      <c r="T5416" s="22">
        <f>tblDailySchedule[[#This Row],[STD]]</f>
        <v>0.56944444444444442</v>
      </c>
    </row>
    <row r="5417" spans="1:20" hidden="1" x14ac:dyDescent="0.35">
      <c r="A5417" s="11">
        <v>46305</v>
      </c>
      <c r="B5417" s="3">
        <v>6</v>
      </c>
      <c r="C5417" t="s">
        <v>116</v>
      </c>
      <c r="D5417" t="s">
        <v>18</v>
      </c>
      <c r="E5417" s="3">
        <v>13</v>
      </c>
      <c r="F5417" t="s">
        <v>19</v>
      </c>
      <c r="G5417" t="s">
        <v>57</v>
      </c>
      <c r="H5417" t="s">
        <v>58</v>
      </c>
      <c r="I5417" s="12">
        <v>0.55902777777777779</v>
      </c>
      <c r="J5417" t="s">
        <v>59</v>
      </c>
      <c r="K5417" t="s">
        <v>58</v>
      </c>
      <c r="L5417" s="12">
        <v>0.57638888888888884</v>
      </c>
      <c r="M5417" t="s">
        <v>51</v>
      </c>
      <c r="N5417" s="3">
        <v>78</v>
      </c>
      <c r="O5417" t="s">
        <v>24</v>
      </c>
      <c r="P5417" t="s">
        <v>56</v>
      </c>
      <c r="R5417">
        <f>tblDailySchedule[[#This Row],[Capacity Approx]]*'[1]Load Factor Sheet June Acft  '!$B$5</f>
        <v>63.162272727272729</v>
      </c>
      <c r="S5417">
        <f>tblDailySchedule[[#This Row],[Capacity Approx]]*'[1]Load Factor Sheet June Acft  '!$D$5</f>
        <v>68.391818181818181</v>
      </c>
      <c r="T5417" s="22">
        <f>tblDailySchedule[[#This Row],[STD]]</f>
        <v>0.57638888888888884</v>
      </c>
    </row>
    <row r="5418" spans="1:20" hidden="1" x14ac:dyDescent="0.35">
      <c r="A5418" s="11">
        <v>46305</v>
      </c>
      <c r="B5418" s="3">
        <v>6</v>
      </c>
      <c r="C5418" t="s">
        <v>116</v>
      </c>
      <c r="D5418" t="s">
        <v>18</v>
      </c>
      <c r="E5418" s="3">
        <v>14</v>
      </c>
      <c r="F5418" t="s">
        <v>19</v>
      </c>
      <c r="G5418" t="s">
        <v>60</v>
      </c>
      <c r="H5418" t="s">
        <v>61</v>
      </c>
      <c r="I5418" s="12">
        <v>0.59027777777777779</v>
      </c>
      <c r="J5418" t="s">
        <v>62</v>
      </c>
      <c r="K5418" t="s">
        <v>61</v>
      </c>
      <c r="L5418" s="12">
        <v>0.62152777777777779</v>
      </c>
      <c r="M5418" t="s">
        <v>63</v>
      </c>
      <c r="N5418" s="3">
        <v>232</v>
      </c>
      <c r="O5418" t="s">
        <v>24</v>
      </c>
      <c r="P5418" t="s">
        <v>56</v>
      </c>
      <c r="R5418">
        <f>tblDailySchedule[[#This Row],[Capacity Approx]]*'[1]Load Factor Sheet June Acft  '!$B$5</f>
        <v>187.86727272727273</v>
      </c>
      <c r="S5418">
        <f>tblDailySchedule[[#This Row],[Capacity Approx]]*'[1]Load Factor Sheet June Acft  '!$D$5</f>
        <v>203.4218181818182</v>
      </c>
      <c r="T5418" s="22">
        <f>tblDailySchedule[[#This Row],[STD]]</f>
        <v>0.62152777777777779</v>
      </c>
    </row>
    <row r="5419" spans="1:20" hidden="1" x14ac:dyDescent="0.35">
      <c r="A5419" s="11">
        <v>46305</v>
      </c>
      <c r="B5419" s="3">
        <v>6</v>
      </c>
      <c r="C5419" t="s">
        <v>116</v>
      </c>
      <c r="D5419" t="s">
        <v>18</v>
      </c>
      <c r="E5419" s="3">
        <v>15</v>
      </c>
      <c r="F5419" t="s">
        <v>19</v>
      </c>
      <c r="G5419" t="s">
        <v>64</v>
      </c>
      <c r="H5419" t="s">
        <v>31</v>
      </c>
      <c r="I5419" s="12">
        <v>0.60069444444444442</v>
      </c>
      <c r="J5419" t="s">
        <v>65</v>
      </c>
      <c r="K5419" t="s">
        <v>66</v>
      </c>
      <c r="L5419" s="12">
        <v>0.62847222222222221</v>
      </c>
      <c r="M5419" t="s">
        <v>63</v>
      </c>
      <c r="N5419" s="3">
        <v>232</v>
      </c>
      <c r="O5419" t="s">
        <v>24</v>
      </c>
      <c r="P5419" t="s">
        <v>56</v>
      </c>
      <c r="R5419">
        <f>tblDailySchedule[[#This Row],[Capacity Approx]]*'[1]Load Factor Sheet June Acft  '!$B$5</f>
        <v>187.86727272727273</v>
      </c>
      <c r="S5419">
        <f>tblDailySchedule[[#This Row],[Capacity Approx]]*'[1]Load Factor Sheet June Acft  '!$D$5</f>
        <v>203.4218181818182</v>
      </c>
      <c r="T5419" s="22">
        <f>tblDailySchedule[[#This Row],[STD]]</f>
        <v>0.62847222222222221</v>
      </c>
    </row>
    <row r="5420" spans="1:20" hidden="1" x14ac:dyDescent="0.35">
      <c r="A5420" s="11">
        <v>46305</v>
      </c>
      <c r="B5420" s="3">
        <v>6</v>
      </c>
      <c r="C5420" t="s">
        <v>116</v>
      </c>
      <c r="D5420" t="s">
        <v>18</v>
      </c>
      <c r="E5420" s="3">
        <v>16</v>
      </c>
      <c r="F5420" t="s">
        <v>19</v>
      </c>
      <c r="G5420" t="s">
        <v>67</v>
      </c>
      <c r="H5420" t="s">
        <v>31</v>
      </c>
      <c r="I5420" s="12">
        <v>0.65625</v>
      </c>
      <c r="J5420" t="s">
        <v>68</v>
      </c>
      <c r="K5420" t="s">
        <v>31</v>
      </c>
      <c r="L5420" s="12">
        <v>0.68402777777777779</v>
      </c>
      <c r="M5420" t="s">
        <v>63</v>
      </c>
      <c r="N5420" s="3">
        <v>232</v>
      </c>
      <c r="O5420" t="s">
        <v>24</v>
      </c>
      <c r="P5420" t="s">
        <v>56</v>
      </c>
      <c r="R5420">
        <f>tblDailySchedule[[#This Row],[Capacity Approx]]*'[1]Load Factor Sheet June Acft  '!$B$5</f>
        <v>187.86727272727273</v>
      </c>
      <c r="S5420">
        <f>tblDailySchedule[[#This Row],[Capacity Approx]]*'[1]Load Factor Sheet June Acft  '!$D$5</f>
        <v>203.4218181818182</v>
      </c>
      <c r="T5420" s="22">
        <f>tblDailySchedule[[#This Row],[STD]]</f>
        <v>0.68402777777777779</v>
      </c>
    </row>
    <row r="5421" spans="1:20" hidden="1" x14ac:dyDescent="0.35">
      <c r="A5421" s="11">
        <v>46305</v>
      </c>
      <c r="B5421" s="3">
        <v>6</v>
      </c>
      <c r="C5421" t="s">
        <v>116</v>
      </c>
      <c r="D5421" t="s">
        <v>18</v>
      </c>
      <c r="E5421" s="3">
        <v>17</v>
      </c>
      <c r="F5421" t="s">
        <v>19</v>
      </c>
      <c r="G5421" t="s">
        <v>69</v>
      </c>
      <c r="H5421" t="s">
        <v>31</v>
      </c>
      <c r="I5421" s="12">
        <v>0.66319444444444442</v>
      </c>
      <c r="J5421" t="s">
        <v>70</v>
      </c>
      <c r="K5421" t="s">
        <v>31</v>
      </c>
      <c r="L5421" s="12">
        <v>0.69097222222222221</v>
      </c>
      <c r="M5421" t="s">
        <v>33</v>
      </c>
      <c r="N5421" s="3">
        <v>189</v>
      </c>
      <c r="O5421" t="s">
        <v>24</v>
      </c>
      <c r="P5421" t="s">
        <v>56</v>
      </c>
      <c r="R5421">
        <f>tblDailySchedule[[#This Row],[Capacity Approx]]*'[1]Load Factor Sheet June Acft  '!$B$5</f>
        <v>153.04704545454547</v>
      </c>
      <c r="S5421">
        <f>tblDailySchedule[[#This Row],[Capacity Approx]]*'[1]Load Factor Sheet June Acft  '!$D$5</f>
        <v>165.71863636363636</v>
      </c>
      <c r="T5421" s="22">
        <f>tblDailySchedule[[#This Row],[STD]]</f>
        <v>0.69097222222222221</v>
      </c>
    </row>
    <row r="5422" spans="1:20" hidden="1" x14ac:dyDescent="0.35">
      <c r="A5422" s="11">
        <v>46305</v>
      </c>
      <c r="B5422" s="3">
        <v>6</v>
      </c>
      <c r="C5422" t="s">
        <v>116</v>
      </c>
      <c r="D5422" t="s">
        <v>18</v>
      </c>
      <c r="E5422" s="3">
        <v>18</v>
      </c>
      <c r="F5422" t="s">
        <v>19</v>
      </c>
      <c r="G5422" t="s">
        <v>71</v>
      </c>
      <c r="H5422" t="s">
        <v>21</v>
      </c>
      <c r="I5422" s="12">
        <v>0.67013888888888884</v>
      </c>
      <c r="J5422" t="s">
        <v>72</v>
      </c>
      <c r="K5422" t="s">
        <v>21</v>
      </c>
      <c r="L5422" s="12">
        <v>0.69791666666666663</v>
      </c>
      <c r="M5422" t="s">
        <v>63</v>
      </c>
      <c r="N5422" s="3">
        <v>232</v>
      </c>
      <c r="O5422" t="s">
        <v>24</v>
      </c>
      <c r="P5422" t="s">
        <v>56</v>
      </c>
      <c r="R5422">
        <f>tblDailySchedule[[#This Row],[Capacity Approx]]*'[1]Load Factor Sheet June Acft  '!$B$5</f>
        <v>187.86727272727273</v>
      </c>
      <c r="S5422">
        <f>tblDailySchedule[[#This Row],[Capacity Approx]]*'[1]Load Factor Sheet June Acft  '!$D$5</f>
        <v>203.4218181818182</v>
      </c>
      <c r="T5422" s="22">
        <f>tblDailySchedule[[#This Row],[STD]]</f>
        <v>0.69791666666666663</v>
      </c>
    </row>
    <row r="5423" spans="1:20" hidden="1" x14ac:dyDescent="0.35">
      <c r="A5423" s="11">
        <v>46305</v>
      </c>
      <c r="B5423" s="3">
        <v>6</v>
      </c>
      <c r="C5423" t="s">
        <v>116</v>
      </c>
      <c r="D5423" t="s">
        <v>18</v>
      </c>
      <c r="E5423" s="3">
        <v>19</v>
      </c>
      <c r="F5423" t="s">
        <v>19</v>
      </c>
      <c r="G5423" t="s">
        <v>73</v>
      </c>
      <c r="H5423" t="s">
        <v>27</v>
      </c>
      <c r="I5423" s="12">
        <v>0.74652777777777779</v>
      </c>
      <c r="J5423" t="s">
        <v>74</v>
      </c>
      <c r="K5423" t="s">
        <v>27</v>
      </c>
      <c r="L5423" s="12">
        <v>0.77430555555555558</v>
      </c>
      <c r="M5423" t="s">
        <v>63</v>
      </c>
      <c r="N5423" s="3">
        <v>232</v>
      </c>
      <c r="O5423" t="s">
        <v>24</v>
      </c>
      <c r="P5423" t="s">
        <v>56</v>
      </c>
      <c r="R5423">
        <f>tblDailySchedule[[#This Row],[Capacity Approx]]*'[1]Load Factor Sheet June Acft  '!$B$5</f>
        <v>187.86727272727273</v>
      </c>
      <c r="S5423">
        <f>tblDailySchedule[[#This Row],[Capacity Approx]]*'[1]Load Factor Sheet June Acft  '!$D$5</f>
        <v>203.4218181818182</v>
      </c>
      <c r="T5423" s="22">
        <f>tblDailySchedule[[#This Row],[STD]]</f>
        <v>0.77430555555555558</v>
      </c>
    </row>
    <row r="5424" spans="1:20" hidden="1" x14ac:dyDescent="0.35">
      <c r="A5424" s="11">
        <v>46305</v>
      </c>
      <c r="B5424" s="3">
        <v>6</v>
      </c>
      <c r="C5424" t="s">
        <v>116</v>
      </c>
      <c r="D5424" t="s">
        <v>18</v>
      </c>
      <c r="E5424" s="3">
        <v>21</v>
      </c>
      <c r="F5424" t="s">
        <v>19</v>
      </c>
      <c r="G5424" t="s">
        <v>81</v>
      </c>
      <c r="H5424" t="s">
        <v>61</v>
      </c>
      <c r="I5424" s="12">
        <v>0.77083333333333337</v>
      </c>
      <c r="J5424" t="s">
        <v>82</v>
      </c>
      <c r="K5424" t="s">
        <v>49</v>
      </c>
      <c r="L5424" s="12">
        <v>0.79166666666666663</v>
      </c>
      <c r="M5424" t="s">
        <v>33</v>
      </c>
      <c r="N5424" s="3">
        <v>189</v>
      </c>
      <c r="O5424" t="s">
        <v>24</v>
      </c>
      <c r="P5424" t="s">
        <v>79</v>
      </c>
      <c r="R5424">
        <f>tblDailySchedule[[#This Row],[Capacity Approx]]*'[1]Load Factor Sheet June Acft  '!$B$5</f>
        <v>153.04704545454547</v>
      </c>
      <c r="S5424">
        <f>tblDailySchedule[[#This Row],[Capacity Approx]]*'[1]Load Factor Sheet June Acft  '!$D$5</f>
        <v>165.71863636363636</v>
      </c>
      <c r="T5424" s="22">
        <f>tblDailySchedule[[#This Row],[STD]]</f>
        <v>0.79166666666666663</v>
      </c>
    </row>
    <row r="5425" spans="1:20" hidden="1" x14ac:dyDescent="0.35">
      <c r="A5425" s="11">
        <v>46305</v>
      </c>
      <c r="B5425" s="3">
        <v>6</v>
      </c>
      <c r="C5425" t="s">
        <v>116</v>
      </c>
      <c r="D5425" t="s">
        <v>18</v>
      </c>
      <c r="E5425" s="3">
        <v>22</v>
      </c>
      <c r="F5425" t="s">
        <v>19</v>
      </c>
      <c r="G5425" t="s">
        <v>83</v>
      </c>
      <c r="H5425" t="s">
        <v>31</v>
      </c>
      <c r="I5425" s="12">
        <v>0.77777777777777779</v>
      </c>
      <c r="J5425" t="s">
        <v>84</v>
      </c>
      <c r="K5425" t="s">
        <v>31</v>
      </c>
      <c r="L5425" s="12">
        <v>0.80555555555555558</v>
      </c>
      <c r="M5425" t="s">
        <v>63</v>
      </c>
      <c r="N5425" s="3">
        <v>232</v>
      </c>
      <c r="O5425" t="s">
        <v>24</v>
      </c>
      <c r="P5425" t="s">
        <v>79</v>
      </c>
      <c r="R5425">
        <f>tblDailySchedule[[#This Row],[Capacity Approx]]*'[1]Load Factor Sheet June Acft  '!$B$5</f>
        <v>187.86727272727273</v>
      </c>
      <c r="S5425">
        <f>tblDailySchedule[[#This Row],[Capacity Approx]]*'[1]Load Factor Sheet June Acft  '!$D$5</f>
        <v>203.4218181818182</v>
      </c>
      <c r="T5425" s="22">
        <f>tblDailySchedule[[#This Row],[STD]]</f>
        <v>0.80555555555555558</v>
      </c>
    </row>
    <row r="5426" spans="1:20" hidden="1" x14ac:dyDescent="0.35">
      <c r="A5426" s="11">
        <v>46305</v>
      </c>
      <c r="B5426" s="3">
        <v>6</v>
      </c>
      <c r="C5426" t="s">
        <v>116</v>
      </c>
      <c r="D5426" t="s">
        <v>18</v>
      </c>
      <c r="E5426" s="3">
        <v>23</v>
      </c>
      <c r="F5426" t="s">
        <v>19</v>
      </c>
      <c r="G5426" t="s">
        <v>85</v>
      </c>
      <c r="H5426" t="s">
        <v>86</v>
      </c>
      <c r="I5426" s="12">
        <v>0.79861111111111116</v>
      </c>
      <c r="J5426" t="s">
        <v>87</v>
      </c>
      <c r="K5426" t="s">
        <v>86</v>
      </c>
      <c r="L5426" s="12">
        <v>0.82638888888888884</v>
      </c>
      <c r="M5426" t="s">
        <v>63</v>
      </c>
      <c r="N5426" s="3">
        <v>232</v>
      </c>
      <c r="O5426" t="s">
        <v>24</v>
      </c>
      <c r="P5426" t="s">
        <v>79</v>
      </c>
      <c r="R5426">
        <f>tblDailySchedule[[#This Row],[Capacity Approx]]*'[1]Load Factor Sheet June Acft  '!$B$5</f>
        <v>187.86727272727273</v>
      </c>
      <c r="S5426">
        <f>tblDailySchedule[[#This Row],[Capacity Approx]]*'[1]Load Factor Sheet June Acft  '!$D$5</f>
        <v>203.4218181818182</v>
      </c>
      <c r="T5426" s="22">
        <f>tblDailySchedule[[#This Row],[STD]]</f>
        <v>0.82638888888888884</v>
      </c>
    </row>
    <row r="5427" spans="1:20" hidden="1" x14ac:dyDescent="0.35">
      <c r="A5427" s="11">
        <v>46305</v>
      </c>
      <c r="B5427" s="3">
        <v>6</v>
      </c>
      <c r="C5427" t="s">
        <v>116</v>
      </c>
      <c r="D5427" t="s">
        <v>18</v>
      </c>
      <c r="E5427" s="3">
        <v>24</v>
      </c>
      <c r="F5427" t="s">
        <v>19</v>
      </c>
      <c r="G5427" t="s">
        <v>88</v>
      </c>
      <c r="H5427" t="s">
        <v>89</v>
      </c>
      <c r="I5427" s="12">
        <v>0.83333333333333337</v>
      </c>
      <c r="J5427" t="s">
        <v>90</v>
      </c>
      <c r="K5427" t="s">
        <v>31</v>
      </c>
      <c r="L5427" s="12">
        <v>0.86111111111111116</v>
      </c>
      <c r="M5427" t="s">
        <v>63</v>
      </c>
      <c r="N5427" s="3">
        <v>232</v>
      </c>
      <c r="O5427" t="s">
        <v>24</v>
      </c>
      <c r="P5427" t="s">
        <v>79</v>
      </c>
      <c r="R5427">
        <f>tblDailySchedule[[#This Row],[Capacity Approx]]*'[1]Load Factor Sheet June Acft  '!$B$5</f>
        <v>187.86727272727273</v>
      </c>
      <c r="S5427">
        <f>tblDailySchedule[[#This Row],[Capacity Approx]]*'[1]Load Factor Sheet June Acft  '!$D$5</f>
        <v>203.4218181818182</v>
      </c>
      <c r="T5427" s="22">
        <f>tblDailySchedule[[#This Row],[STD]]</f>
        <v>0.86111111111111116</v>
      </c>
    </row>
    <row r="5428" spans="1:20" hidden="1" x14ac:dyDescent="0.35">
      <c r="A5428" s="11">
        <v>46305</v>
      </c>
      <c r="B5428" s="3">
        <v>6</v>
      </c>
      <c r="C5428" t="s">
        <v>116</v>
      </c>
      <c r="D5428" t="s">
        <v>18</v>
      </c>
      <c r="E5428" s="3">
        <v>25</v>
      </c>
      <c r="F5428" t="s">
        <v>19</v>
      </c>
      <c r="G5428" t="s">
        <v>91</v>
      </c>
      <c r="H5428" t="s">
        <v>61</v>
      </c>
      <c r="I5428" s="12">
        <v>0.85416666666666663</v>
      </c>
      <c r="J5428" t="s">
        <v>92</v>
      </c>
      <c r="K5428" t="s">
        <v>61</v>
      </c>
      <c r="L5428" s="12">
        <v>0.88194444444444442</v>
      </c>
      <c r="M5428" t="s">
        <v>63</v>
      </c>
      <c r="N5428" s="3">
        <v>232</v>
      </c>
      <c r="O5428" t="s">
        <v>24</v>
      </c>
      <c r="P5428" t="s">
        <v>79</v>
      </c>
      <c r="R5428">
        <f>tblDailySchedule[[#This Row],[Capacity Approx]]*'[1]Load Factor Sheet June Acft  '!$B$5</f>
        <v>187.86727272727273</v>
      </c>
      <c r="S5428">
        <f>tblDailySchedule[[#This Row],[Capacity Approx]]*'[1]Load Factor Sheet June Acft  '!$D$5</f>
        <v>203.4218181818182</v>
      </c>
      <c r="T5428" s="22">
        <f>tblDailySchedule[[#This Row],[STD]]</f>
        <v>0.88194444444444442</v>
      </c>
    </row>
    <row r="5429" spans="1:20" hidden="1" x14ac:dyDescent="0.35">
      <c r="A5429" s="11">
        <v>46305</v>
      </c>
      <c r="B5429" s="3">
        <v>6</v>
      </c>
      <c r="C5429" t="s">
        <v>116</v>
      </c>
      <c r="D5429" t="s">
        <v>18</v>
      </c>
      <c r="E5429" s="3">
        <v>26</v>
      </c>
      <c r="F5429" t="s">
        <v>19</v>
      </c>
      <c r="G5429" t="s">
        <v>93</v>
      </c>
      <c r="H5429" t="s">
        <v>31</v>
      </c>
      <c r="I5429" s="12">
        <v>0.86111111111111116</v>
      </c>
      <c r="J5429" t="s">
        <v>94</v>
      </c>
      <c r="K5429" t="s">
        <v>31</v>
      </c>
      <c r="L5429" s="12">
        <v>0.88888888888888884</v>
      </c>
      <c r="M5429" t="s">
        <v>23</v>
      </c>
      <c r="N5429" s="3">
        <v>186</v>
      </c>
      <c r="O5429" t="s">
        <v>24</v>
      </c>
      <c r="P5429" t="s">
        <v>79</v>
      </c>
      <c r="R5429">
        <f>tblDailySchedule[[#This Row],[Capacity Approx]]*'[1]Load Factor Sheet June Acft  '!$B$5</f>
        <v>150.61772727272728</v>
      </c>
      <c r="S5429">
        <f>tblDailySchedule[[#This Row],[Capacity Approx]]*'[1]Load Factor Sheet June Acft  '!$D$5</f>
        <v>163.08818181818182</v>
      </c>
      <c r="T5429" s="22">
        <f>tblDailySchedule[[#This Row],[STD]]</f>
        <v>0.88888888888888884</v>
      </c>
    </row>
    <row r="5430" spans="1:20" hidden="1" x14ac:dyDescent="0.35">
      <c r="A5430" s="11">
        <v>46305</v>
      </c>
      <c r="B5430" s="3">
        <v>6</v>
      </c>
      <c r="C5430" t="s">
        <v>116</v>
      </c>
      <c r="D5430" t="s">
        <v>18</v>
      </c>
      <c r="E5430" s="3">
        <v>27</v>
      </c>
      <c r="F5430" t="s">
        <v>19</v>
      </c>
      <c r="G5430" t="s">
        <v>95</v>
      </c>
      <c r="H5430" t="s">
        <v>21</v>
      </c>
      <c r="I5430" s="12">
        <v>0.86805555555555558</v>
      </c>
      <c r="J5430" t="s">
        <v>96</v>
      </c>
      <c r="K5430" t="s">
        <v>21</v>
      </c>
      <c r="L5430" s="12">
        <v>0.89583333333333337</v>
      </c>
      <c r="M5430" t="s">
        <v>29</v>
      </c>
      <c r="N5430" s="3">
        <v>186</v>
      </c>
      <c r="O5430" t="s">
        <v>24</v>
      </c>
      <c r="P5430" t="s">
        <v>79</v>
      </c>
      <c r="R5430">
        <f>tblDailySchedule[[#This Row],[Capacity Approx]]*'[1]Load Factor Sheet June Acft  '!$B$5</f>
        <v>150.61772727272728</v>
      </c>
      <c r="S5430">
        <f>tblDailySchedule[[#This Row],[Capacity Approx]]*'[1]Load Factor Sheet June Acft  '!$D$5</f>
        <v>163.08818181818182</v>
      </c>
      <c r="T5430" s="22">
        <f>tblDailySchedule[[#This Row],[STD]]</f>
        <v>0.89583333333333337</v>
      </c>
    </row>
    <row r="5431" spans="1:20" hidden="1" x14ac:dyDescent="0.35">
      <c r="A5431" s="11">
        <v>46305</v>
      </c>
      <c r="B5431" s="3">
        <v>6</v>
      </c>
      <c r="C5431" t="s">
        <v>116</v>
      </c>
      <c r="D5431" t="s">
        <v>18</v>
      </c>
      <c r="E5431" s="3">
        <v>28</v>
      </c>
      <c r="F5431" t="s">
        <v>19</v>
      </c>
      <c r="G5431" t="s">
        <v>97</v>
      </c>
      <c r="H5431" t="s">
        <v>49</v>
      </c>
      <c r="I5431" s="12">
        <v>0.90277777777777779</v>
      </c>
      <c r="J5431" t="s">
        <v>97</v>
      </c>
      <c r="K5431" t="s">
        <v>61</v>
      </c>
      <c r="L5431" s="12">
        <v>0.92361111111111116</v>
      </c>
      <c r="M5431" t="s">
        <v>33</v>
      </c>
      <c r="N5431" s="3">
        <v>189</v>
      </c>
      <c r="O5431" t="s">
        <v>24</v>
      </c>
      <c r="P5431" t="s">
        <v>79</v>
      </c>
      <c r="R5431">
        <f>tblDailySchedule[[#This Row],[Capacity Approx]]*'[1]Load Factor Sheet June Acft  '!$B$5</f>
        <v>153.04704545454547</v>
      </c>
      <c r="S5431">
        <f>tblDailySchedule[[#This Row],[Capacity Approx]]*'[1]Load Factor Sheet June Acft  '!$D$5</f>
        <v>165.71863636363636</v>
      </c>
      <c r="T5431" s="22">
        <f>tblDailySchedule[[#This Row],[STD]]</f>
        <v>0.92361111111111116</v>
      </c>
    </row>
    <row r="5432" spans="1:20" hidden="1" x14ac:dyDescent="0.35">
      <c r="A5432" s="11">
        <v>46305</v>
      </c>
      <c r="B5432" s="3">
        <v>6</v>
      </c>
      <c r="C5432" t="s">
        <v>116</v>
      </c>
      <c r="D5432" t="s">
        <v>18</v>
      </c>
      <c r="E5432" s="3">
        <v>29</v>
      </c>
      <c r="F5432" t="s">
        <v>19</v>
      </c>
      <c r="G5432" t="s">
        <v>98</v>
      </c>
      <c r="H5432" t="s">
        <v>21</v>
      </c>
      <c r="I5432" s="12">
        <v>0.92013888888888884</v>
      </c>
      <c r="J5432" t="s">
        <v>99</v>
      </c>
      <c r="K5432" t="s">
        <v>21</v>
      </c>
      <c r="L5432" s="12">
        <v>0.94791666666666663</v>
      </c>
      <c r="M5432" t="s">
        <v>63</v>
      </c>
      <c r="N5432" s="3">
        <v>232</v>
      </c>
      <c r="O5432" t="s">
        <v>24</v>
      </c>
      <c r="P5432" t="s">
        <v>79</v>
      </c>
      <c r="R5432">
        <f>tblDailySchedule[[#This Row],[Capacity Approx]]*'[1]Load Factor Sheet June Acft  '!$B$5</f>
        <v>187.86727272727273</v>
      </c>
      <c r="S5432">
        <f>tblDailySchedule[[#This Row],[Capacity Approx]]*'[1]Load Factor Sheet June Acft  '!$D$5</f>
        <v>203.4218181818182</v>
      </c>
      <c r="T5432" s="22">
        <f>tblDailySchedule[[#This Row],[STD]]</f>
        <v>0.94791666666666663</v>
      </c>
    </row>
    <row r="5433" spans="1:20" hidden="1" x14ac:dyDescent="0.35">
      <c r="A5433" s="13">
        <v>46305</v>
      </c>
      <c r="B5433" s="7">
        <v>6</v>
      </c>
      <c r="C5433" s="14" t="s">
        <v>116</v>
      </c>
      <c r="D5433" s="14" t="s">
        <v>18</v>
      </c>
      <c r="E5433" s="7">
        <v>30</v>
      </c>
      <c r="F5433" s="14" t="s">
        <v>104</v>
      </c>
      <c r="G5433" s="14" t="s">
        <v>105</v>
      </c>
      <c r="H5433" s="14" t="s">
        <v>106</v>
      </c>
      <c r="I5433" s="15">
        <v>0.92708333333333337</v>
      </c>
      <c r="J5433" s="14" t="s">
        <v>107</v>
      </c>
      <c r="K5433" s="14" t="s">
        <v>106</v>
      </c>
      <c r="L5433" s="15">
        <v>0.95833333333333337</v>
      </c>
      <c r="M5433" s="14" t="s">
        <v>38</v>
      </c>
      <c r="N5433" s="7">
        <v>186</v>
      </c>
      <c r="O5433" s="14" t="s">
        <v>39</v>
      </c>
      <c r="P5433" s="14" t="s">
        <v>79</v>
      </c>
      <c r="Q5433" s="14" t="s">
        <v>39</v>
      </c>
      <c r="R5433">
        <f>tblDailySchedule[[#This Row],[Capacity Approx]]*'[1]Load Factor Sheet June Acft  '!$B$5</f>
        <v>150.61772727272728</v>
      </c>
      <c r="S5433">
        <f>tblDailySchedule[[#This Row],[Capacity Approx]]*'[1]Load Factor Sheet June Acft  '!$D$5</f>
        <v>163.08818181818182</v>
      </c>
      <c r="T5433" s="22">
        <f>tblDailySchedule[[#This Row],[STD]]</f>
        <v>0.95833333333333337</v>
      </c>
    </row>
    <row r="5434" spans="1:20" hidden="1" x14ac:dyDescent="0.35">
      <c r="A5434" s="11">
        <v>46306</v>
      </c>
      <c r="B5434" s="3">
        <v>7</v>
      </c>
      <c r="C5434" t="s">
        <v>17</v>
      </c>
      <c r="D5434" t="s">
        <v>18</v>
      </c>
      <c r="E5434" s="3">
        <v>2</v>
      </c>
      <c r="F5434" t="s">
        <v>19</v>
      </c>
      <c r="G5434" t="s">
        <v>20</v>
      </c>
      <c r="H5434" t="s">
        <v>21</v>
      </c>
      <c r="I5434" s="12">
        <v>0.31944444444444442</v>
      </c>
      <c r="J5434" t="s">
        <v>22</v>
      </c>
      <c r="K5434" t="s">
        <v>21</v>
      </c>
      <c r="L5434" s="12">
        <v>0.34722222222222221</v>
      </c>
      <c r="M5434" t="s">
        <v>23</v>
      </c>
      <c r="N5434" s="3">
        <v>186</v>
      </c>
      <c r="O5434" t="s">
        <v>24</v>
      </c>
      <c r="P5434" t="s">
        <v>25</v>
      </c>
      <c r="R5434">
        <f>tblDailySchedule[[#This Row],[Capacity Approx]]*'[1]Load Factor Sheet June Acft  '!$B$5</f>
        <v>150.61772727272728</v>
      </c>
      <c r="S5434">
        <f>tblDailySchedule[[#This Row],[Capacity Approx]]*'[1]Load Factor Sheet June Acft  '!$D$5</f>
        <v>163.08818181818182</v>
      </c>
      <c r="T5434" s="22">
        <f>tblDailySchedule[[#This Row],[STD]]</f>
        <v>0.34722222222222221</v>
      </c>
    </row>
    <row r="5435" spans="1:20" hidden="1" x14ac:dyDescent="0.35">
      <c r="A5435" s="11">
        <v>46306</v>
      </c>
      <c r="B5435" s="3">
        <v>7</v>
      </c>
      <c r="C5435" t="s">
        <v>17</v>
      </c>
      <c r="D5435" t="s">
        <v>18</v>
      </c>
      <c r="E5435" s="3">
        <v>3</v>
      </c>
      <c r="F5435" t="s">
        <v>19</v>
      </c>
      <c r="G5435" t="s">
        <v>26</v>
      </c>
      <c r="H5435" t="s">
        <v>27</v>
      </c>
      <c r="I5435" s="12">
        <v>0.3263888888888889</v>
      </c>
      <c r="J5435" t="s">
        <v>28</v>
      </c>
      <c r="K5435" t="s">
        <v>27</v>
      </c>
      <c r="L5435" s="12">
        <v>0.35416666666666669</v>
      </c>
      <c r="M5435" t="s">
        <v>29</v>
      </c>
      <c r="N5435" s="3">
        <v>186</v>
      </c>
      <c r="O5435" t="s">
        <v>24</v>
      </c>
      <c r="P5435" t="s">
        <v>25</v>
      </c>
      <c r="R5435">
        <f>tblDailySchedule[[#This Row],[Capacity Approx]]*'[1]Load Factor Sheet June Acft  '!$B$5</f>
        <v>150.61772727272728</v>
      </c>
      <c r="S5435">
        <f>tblDailySchedule[[#This Row],[Capacity Approx]]*'[1]Load Factor Sheet June Acft  '!$D$5</f>
        <v>163.08818181818182</v>
      </c>
      <c r="T5435" s="22">
        <f>tblDailySchedule[[#This Row],[STD]]</f>
        <v>0.35416666666666669</v>
      </c>
    </row>
    <row r="5436" spans="1:20" hidden="1" x14ac:dyDescent="0.35">
      <c r="A5436" s="11">
        <v>46306</v>
      </c>
      <c r="B5436" s="3">
        <v>7</v>
      </c>
      <c r="C5436" t="s">
        <v>17</v>
      </c>
      <c r="D5436" t="s">
        <v>18</v>
      </c>
      <c r="E5436" s="3">
        <v>4</v>
      </c>
      <c r="F5436" t="s">
        <v>19</v>
      </c>
      <c r="G5436" t="s">
        <v>30</v>
      </c>
      <c r="H5436" t="s">
        <v>31</v>
      </c>
      <c r="I5436" s="12">
        <v>0.34722222222222221</v>
      </c>
      <c r="J5436" t="s">
        <v>32</v>
      </c>
      <c r="K5436" t="s">
        <v>31</v>
      </c>
      <c r="L5436" s="12">
        <v>0.36805555555555558</v>
      </c>
      <c r="M5436" t="s">
        <v>33</v>
      </c>
      <c r="N5436" s="3">
        <v>189</v>
      </c>
      <c r="O5436" t="s">
        <v>24</v>
      </c>
      <c r="P5436" t="s">
        <v>25</v>
      </c>
      <c r="R5436">
        <f>tblDailySchedule[[#This Row],[Capacity Approx]]*'[1]Load Factor Sheet June Acft  '!$B$5</f>
        <v>153.04704545454547</v>
      </c>
      <c r="S5436">
        <f>tblDailySchedule[[#This Row],[Capacity Approx]]*'[1]Load Factor Sheet June Acft  '!$D$5</f>
        <v>165.71863636363636</v>
      </c>
      <c r="T5436" s="22">
        <f>tblDailySchedule[[#This Row],[STD]]</f>
        <v>0.36805555555555558</v>
      </c>
    </row>
    <row r="5437" spans="1:20" hidden="1" x14ac:dyDescent="0.35">
      <c r="A5437" s="13">
        <v>46306</v>
      </c>
      <c r="B5437" s="7">
        <v>7</v>
      </c>
      <c r="C5437" s="14" t="s">
        <v>17</v>
      </c>
      <c r="D5437" s="14" t="s">
        <v>18</v>
      </c>
      <c r="E5437" s="7">
        <v>6</v>
      </c>
      <c r="F5437" s="14" t="s">
        <v>34</v>
      </c>
      <c r="G5437" s="14" t="s">
        <v>35</v>
      </c>
      <c r="H5437" s="14" t="s">
        <v>36</v>
      </c>
      <c r="I5437" s="15">
        <v>0.34722222222222221</v>
      </c>
      <c r="J5437" s="14" t="s">
        <v>37</v>
      </c>
      <c r="K5437" s="14" t="s">
        <v>36</v>
      </c>
      <c r="L5437" s="15">
        <v>0.40972222222222221</v>
      </c>
      <c r="M5437" s="14" t="s">
        <v>38</v>
      </c>
      <c r="N5437" s="7">
        <v>186</v>
      </c>
      <c r="O5437" s="14" t="s">
        <v>39</v>
      </c>
      <c r="P5437" s="14" t="s">
        <v>25</v>
      </c>
      <c r="Q5437" s="14" t="s">
        <v>39</v>
      </c>
      <c r="R5437">
        <f>tblDailySchedule[[#This Row],[Capacity Approx]]*'[1]Load Factor Sheet June Acft  '!$B$5</f>
        <v>150.61772727272728</v>
      </c>
      <c r="S5437">
        <f>tblDailySchedule[[#This Row],[Capacity Approx]]*'[1]Load Factor Sheet June Acft  '!$D$5</f>
        <v>163.08818181818182</v>
      </c>
      <c r="T5437" s="22">
        <f>tblDailySchedule[[#This Row],[STD]]</f>
        <v>0.40972222222222221</v>
      </c>
    </row>
    <row r="5438" spans="1:20" hidden="1" x14ac:dyDescent="0.35">
      <c r="A5438" s="11">
        <v>46306</v>
      </c>
      <c r="B5438" s="3">
        <v>7</v>
      </c>
      <c r="C5438" t="s">
        <v>17</v>
      </c>
      <c r="D5438" t="s">
        <v>18</v>
      </c>
      <c r="E5438" s="3">
        <v>5</v>
      </c>
      <c r="F5438" t="s">
        <v>19</v>
      </c>
      <c r="G5438" t="s">
        <v>40</v>
      </c>
      <c r="H5438" t="s">
        <v>31</v>
      </c>
      <c r="I5438" s="12">
        <v>0.35069444444444442</v>
      </c>
      <c r="J5438" t="s">
        <v>41</v>
      </c>
      <c r="K5438" t="s">
        <v>31</v>
      </c>
      <c r="L5438" s="12">
        <v>0.37152777777777779</v>
      </c>
      <c r="M5438" t="s">
        <v>23</v>
      </c>
      <c r="N5438" s="3">
        <v>186</v>
      </c>
      <c r="O5438" t="s">
        <v>24</v>
      </c>
      <c r="P5438" t="s">
        <v>25</v>
      </c>
      <c r="R5438">
        <f>tblDailySchedule[[#This Row],[Capacity Approx]]*'[1]Load Factor Sheet June Acft  '!$B$5</f>
        <v>150.61772727272728</v>
      </c>
      <c r="S5438">
        <f>tblDailySchedule[[#This Row],[Capacity Approx]]*'[1]Load Factor Sheet June Acft  '!$D$5</f>
        <v>163.08818181818182</v>
      </c>
      <c r="T5438" s="22">
        <f>tblDailySchedule[[#This Row],[STD]]</f>
        <v>0.37152777777777779</v>
      </c>
    </row>
    <row r="5439" spans="1:20" hidden="1" x14ac:dyDescent="0.35">
      <c r="A5439" s="11">
        <v>46306</v>
      </c>
      <c r="B5439" s="3">
        <v>7</v>
      </c>
      <c r="C5439" t="s">
        <v>17</v>
      </c>
      <c r="D5439" t="s">
        <v>18</v>
      </c>
      <c r="E5439" s="3">
        <v>7</v>
      </c>
      <c r="F5439" t="s">
        <v>19</v>
      </c>
      <c r="G5439" t="s">
        <v>42</v>
      </c>
      <c r="H5439" t="s">
        <v>43</v>
      </c>
      <c r="I5439" s="12">
        <v>0.3923611111111111</v>
      </c>
      <c r="J5439" t="s">
        <v>44</v>
      </c>
      <c r="K5439" t="s">
        <v>43</v>
      </c>
      <c r="L5439" s="12">
        <v>0.40277777777777779</v>
      </c>
      <c r="M5439" t="s">
        <v>45</v>
      </c>
      <c r="N5439" s="3">
        <v>9</v>
      </c>
      <c r="O5439" t="s">
        <v>24</v>
      </c>
      <c r="P5439" t="s">
        <v>25</v>
      </c>
      <c r="R5439">
        <f>tblDailySchedule[[#This Row],[Capacity Approx]]*'[1]Load Factor Sheet June Acft  '!$B$5</f>
        <v>7.2879545454545456</v>
      </c>
      <c r="S5439">
        <f>tblDailySchedule[[#This Row],[Capacity Approx]]*'[1]Load Factor Sheet June Acft  '!$D$5</f>
        <v>7.8913636363636366</v>
      </c>
      <c r="T5439" s="22">
        <f>tblDailySchedule[[#This Row],[STD]]</f>
        <v>0.40277777777777779</v>
      </c>
    </row>
    <row r="5440" spans="1:20" hidden="1" x14ac:dyDescent="0.35">
      <c r="A5440" s="11">
        <v>46306</v>
      </c>
      <c r="B5440" s="3">
        <v>7</v>
      </c>
      <c r="C5440" t="s">
        <v>17</v>
      </c>
      <c r="D5440" t="s">
        <v>18</v>
      </c>
      <c r="E5440" s="3">
        <v>8</v>
      </c>
      <c r="F5440" t="s">
        <v>19</v>
      </c>
      <c r="G5440" t="s">
        <v>46</v>
      </c>
      <c r="H5440" t="s">
        <v>31</v>
      </c>
      <c r="I5440" s="12">
        <v>0.4201388888888889</v>
      </c>
      <c r="J5440" t="s">
        <v>47</v>
      </c>
      <c r="K5440" t="s">
        <v>31</v>
      </c>
      <c r="L5440" s="12">
        <v>0.44444444444444442</v>
      </c>
      <c r="M5440" t="s">
        <v>29</v>
      </c>
      <c r="N5440" s="3">
        <v>186</v>
      </c>
      <c r="O5440" t="s">
        <v>24</v>
      </c>
      <c r="P5440" t="s">
        <v>25</v>
      </c>
      <c r="R5440">
        <f>tblDailySchedule[[#This Row],[Capacity Approx]]*'[1]Load Factor Sheet June Acft  '!$B$5</f>
        <v>150.61772727272728</v>
      </c>
      <c r="S5440">
        <f>tblDailySchedule[[#This Row],[Capacity Approx]]*'[1]Load Factor Sheet June Acft  '!$D$5</f>
        <v>163.08818181818182</v>
      </c>
      <c r="T5440" s="22">
        <f>tblDailySchedule[[#This Row],[STD]]</f>
        <v>0.44444444444444442</v>
      </c>
    </row>
    <row r="5441" spans="1:20" hidden="1" x14ac:dyDescent="0.35">
      <c r="A5441" s="11">
        <v>46306</v>
      </c>
      <c r="B5441" s="3">
        <v>7</v>
      </c>
      <c r="C5441" t="s">
        <v>17</v>
      </c>
      <c r="D5441" t="s">
        <v>18</v>
      </c>
      <c r="E5441" s="3">
        <v>9</v>
      </c>
      <c r="F5441" t="s">
        <v>19</v>
      </c>
      <c r="G5441" t="s">
        <v>48</v>
      </c>
      <c r="H5441" t="s">
        <v>49</v>
      </c>
      <c r="I5441" s="12">
        <v>0.4375</v>
      </c>
      <c r="J5441" t="s">
        <v>50</v>
      </c>
      <c r="K5441" t="s">
        <v>49</v>
      </c>
      <c r="L5441" s="12">
        <v>0.45833333333333331</v>
      </c>
      <c r="M5441" t="s">
        <v>51</v>
      </c>
      <c r="N5441" s="3">
        <v>78</v>
      </c>
      <c r="O5441" t="s">
        <v>24</v>
      </c>
      <c r="P5441" t="s">
        <v>25</v>
      </c>
      <c r="R5441">
        <f>tblDailySchedule[[#This Row],[Capacity Approx]]*'[1]Load Factor Sheet June Acft  '!$B$5</f>
        <v>63.162272727272729</v>
      </c>
      <c r="S5441">
        <f>tblDailySchedule[[#This Row],[Capacity Approx]]*'[1]Load Factor Sheet June Acft  '!$D$5</f>
        <v>68.391818181818181</v>
      </c>
      <c r="T5441" s="22">
        <f>tblDailySchedule[[#This Row],[STD]]</f>
        <v>0.45833333333333331</v>
      </c>
    </row>
    <row r="5442" spans="1:20" hidden="1" x14ac:dyDescent="0.35">
      <c r="A5442" s="11">
        <v>46306</v>
      </c>
      <c r="B5442" s="3">
        <v>7</v>
      </c>
      <c r="C5442" t="s">
        <v>17</v>
      </c>
      <c r="D5442" t="s">
        <v>18</v>
      </c>
      <c r="E5442" s="3">
        <v>10</v>
      </c>
      <c r="F5442" t="s">
        <v>19</v>
      </c>
      <c r="G5442" t="s">
        <v>52</v>
      </c>
      <c r="H5442" t="s">
        <v>27</v>
      </c>
      <c r="I5442" s="12">
        <v>0.4826388888888889</v>
      </c>
      <c r="J5442" t="s">
        <v>53</v>
      </c>
      <c r="K5442" t="s">
        <v>27</v>
      </c>
      <c r="L5442" s="12">
        <v>0.51041666666666663</v>
      </c>
      <c r="M5442" t="s">
        <v>23</v>
      </c>
      <c r="N5442" s="3">
        <v>186</v>
      </c>
      <c r="O5442" t="s">
        <v>24</v>
      </c>
      <c r="P5442" t="s">
        <v>25</v>
      </c>
      <c r="R5442">
        <f>tblDailySchedule[[#This Row],[Capacity Approx]]*'[1]Load Factor Sheet June Acft  '!$B$5</f>
        <v>150.61772727272728</v>
      </c>
      <c r="S5442">
        <f>tblDailySchedule[[#This Row],[Capacity Approx]]*'[1]Load Factor Sheet June Acft  '!$D$5</f>
        <v>163.08818181818182</v>
      </c>
      <c r="T5442" s="22">
        <f>tblDailySchedule[[#This Row],[STD]]</f>
        <v>0.51041666666666663</v>
      </c>
    </row>
    <row r="5443" spans="1:20" hidden="1" x14ac:dyDescent="0.35">
      <c r="A5443" s="11">
        <v>46306</v>
      </c>
      <c r="B5443" s="3">
        <v>7</v>
      </c>
      <c r="C5443" t="s">
        <v>17</v>
      </c>
      <c r="D5443" t="s">
        <v>18</v>
      </c>
      <c r="E5443" s="3">
        <v>11</v>
      </c>
      <c r="F5443" t="s">
        <v>19</v>
      </c>
      <c r="G5443" t="s">
        <v>54</v>
      </c>
      <c r="H5443" t="s">
        <v>31</v>
      </c>
      <c r="I5443" s="12">
        <v>0.51388888888888884</v>
      </c>
      <c r="J5443" t="s">
        <v>55</v>
      </c>
      <c r="K5443" t="s">
        <v>31</v>
      </c>
      <c r="L5443" s="12">
        <v>0.54166666666666663</v>
      </c>
      <c r="M5443" t="s">
        <v>23</v>
      </c>
      <c r="N5443" s="3">
        <v>186</v>
      </c>
      <c r="O5443" t="s">
        <v>24</v>
      </c>
      <c r="P5443" t="s">
        <v>56</v>
      </c>
      <c r="R5443">
        <f>tblDailySchedule[[#This Row],[Capacity Approx]]*'[1]Load Factor Sheet June Acft  '!$B$5</f>
        <v>150.61772727272728</v>
      </c>
      <c r="S5443">
        <f>tblDailySchedule[[#This Row],[Capacity Approx]]*'[1]Load Factor Sheet June Acft  '!$D$5</f>
        <v>163.08818181818182</v>
      </c>
      <c r="T5443" s="22">
        <f>tblDailySchedule[[#This Row],[STD]]</f>
        <v>0.54166666666666663</v>
      </c>
    </row>
    <row r="5444" spans="1:20" hidden="1" x14ac:dyDescent="0.35">
      <c r="A5444" s="11">
        <v>46306</v>
      </c>
      <c r="B5444" s="3">
        <v>7</v>
      </c>
      <c r="C5444" t="s">
        <v>17</v>
      </c>
      <c r="D5444" t="s">
        <v>18</v>
      </c>
      <c r="E5444" s="3">
        <v>13</v>
      </c>
      <c r="F5444" t="s">
        <v>19</v>
      </c>
      <c r="G5444" t="s">
        <v>57</v>
      </c>
      <c r="H5444" t="s">
        <v>58</v>
      </c>
      <c r="I5444" s="12">
        <v>0.55902777777777779</v>
      </c>
      <c r="J5444" t="s">
        <v>59</v>
      </c>
      <c r="K5444" t="s">
        <v>58</v>
      </c>
      <c r="L5444" s="12">
        <v>0.57638888888888884</v>
      </c>
      <c r="M5444" t="s">
        <v>51</v>
      </c>
      <c r="N5444" s="3">
        <v>78</v>
      </c>
      <c r="O5444" t="s">
        <v>24</v>
      </c>
      <c r="P5444" t="s">
        <v>56</v>
      </c>
      <c r="R5444">
        <f>tblDailySchedule[[#This Row],[Capacity Approx]]*'[1]Load Factor Sheet June Acft  '!$B$5</f>
        <v>63.162272727272729</v>
      </c>
      <c r="S5444">
        <f>tblDailySchedule[[#This Row],[Capacity Approx]]*'[1]Load Factor Sheet June Acft  '!$D$5</f>
        <v>68.391818181818181</v>
      </c>
      <c r="T5444" s="22">
        <f>tblDailySchedule[[#This Row],[STD]]</f>
        <v>0.57638888888888884</v>
      </c>
    </row>
    <row r="5445" spans="1:20" hidden="1" x14ac:dyDescent="0.35">
      <c r="A5445" s="11">
        <v>46306</v>
      </c>
      <c r="B5445" s="3">
        <v>7</v>
      </c>
      <c r="C5445" t="s">
        <v>17</v>
      </c>
      <c r="D5445" t="s">
        <v>18</v>
      </c>
      <c r="E5445" s="3">
        <v>14</v>
      </c>
      <c r="F5445" t="s">
        <v>19</v>
      </c>
      <c r="G5445" t="s">
        <v>60</v>
      </c>
      <c r="H5445" t="s">
        <v>61</v>
      </c>
      <c r="I5445" s="12">
        <v>0.59027777777777779</v>
      </c>
      <c r="J5445" t="s">
        <v>62</v>
      </c>
      <c r="K5445" t="s">
        <v>61</v>
      </c>
      <c r="L5445" s="12">
        <v>0.62152777777777779</v>
      </c>
      <c r="M5445" t="s">
        <v>63</v>
      </c>
      <c r="N5445" s="3">
        <v>232</v>
      </c>
      <c r="O5445" t="s">
        <v>24</v>
      </c>
      <c r="P5445" t="s">
        <v>56</v>
      </c>
      <c r="R5445">
        <f>tblDailySchedule[[#This Row],[Capacity Approx]]*'[1]Load Factor Sheet June Acft  '!$B$5</f>
        <v>187.86727272727273</v>
      </c>
      <c r="S5445">
        <f>tblDailySchedule[[#This Row],[Capacity Approx]]*'[1]Load Factor Sheet June Acft  '!$D$5</f>
        <v>203.4218181818182</v>
      </c>
      <c r="T5445" s="22">
        <f>tblDailySchedule[[#This Row],[STD]]</f>
        <v>0.62152777777777779</v>
      </c>
    </row>
    <row r="5446" spans="1:20" hidden="1" x14ac:dyDescent="0.35">
      <c r="A5446" s="11">
        <v>46306</v>
      </c>
      <c r="B5446" s="3">
        <v>7</v>
      </c>
      <c r="C5446" t="s">
        <v>17</v>
      </c>
      <c r="D5446" t="s">
        <v>18</v>
      </c>
      <c r="E5446" s="3">
        <v>15</v>
      </c>
      <c r="F5446" t="s">
        <v>19</v>
      </c>
      <c r="G5446" t="s">
        <v>64</v>
      </c>
      <c r="H5446" t="s">
        <v>31</v>
      </c>
      <c r="I5446" s="12">
        <v>0.60069444444444442</v>
      </c>
      <c r="J5446" t="s">
        <v>65</v>
      </c>
      <c r="K5446" t="s">
        <v>66</v>
      </c>
      <c r="L5446" s="12">
        <v>0.62847222222222221</v>
      </c>
      <c r="M5446" t="s">
        <v>63</v>
      </c>
      <c r="N5446" s="3">
        <v>232</v>
      </c>
      <c r="O5446" t="s">
        <v>24</v>
      </c>
      <c r="P5446" t="s">
        <v>56</v>
      </c>
      <c r="R5446">
        <f>tblDailySchedule[[#This Row],[Capacity Approx]]*'[1]Load Factor Sheet June Acft  '!$B$5</f>
        <v>187.86727272727273</v>
      </c>
      <c r="S5446">
        <f>tblDailySchedule[[#This Row],[Capacity Approx]]*'[1]Load Factor Sheet June Acft  '!$D$5</f>
        <v>203.4218181818182</v>
      </c>
      <c r="T5446" s="22">
        <f>tblDailySchedule[[#This Row],[STD]]</f>
        <v>0.62847222222222221</v>
      </c>
    </row>
    <row r="5447" spans="1:20" hidden="1" x14ac:dyDescent="0.35">
      <c r="A5447" s="11">
        <v>46306</v>
      </c>
      <c r="B5447" s="3">
        <v>7</v>
      </c>
      <c r="C5447" t="s">
        <v>17</v>
      </c>
      <c r="D5447" t="s">
        <v>18</v>
      </c>
      <c r="E5447" s="3">
        <v>16</v>
      </c>
      <c r="F5447" t="s">
        <v>19</v>
      </c>
      <c r="G5447" t="s">
        <v>67</v>
      </c>
      <c r="H5447" t="s">
        <v>31</v>
      </c>
      <c r="I5447" s="12">
        <v>0.65625</v>
      </c>
      <c r="J5447" t="s">
        <v>68</v>
      </c>
      <c r="K5447" t="s">
        <v>31</v>
      </c>
      <c r="L5447" s="12">
        <v>0.68402777777777779</v>
      </c>
      <c r="M5447" t="s">
        <v>63</v>
      </c>
      <c r="N5447" s="3">
        <v>232</v>
      </c>
      <c r="O5447" t="s">
        <v>24</v>
      </c>
      <c r="P5447" t="s">
        <v>56</v>
      </c>
      <c r="R5447">
        <f>tblDailySchedule[[#This Row],[Capacity Approx]]*'[1]Load Factor Sheet June Acft  '!$B$5</f>
        <v>187.86727272727273</v>
      </c>
      <c r="S5447">
        <f>tblDailySchedule[[#This Row],[Capacity Approx]]*'[1]Load Factor Sheet June Acft  '!$D$5</f>
        <v>203.4218181818182</v>
      </c>
      <c r="T5447" s="22">
        <f>tblDailySchedule[[#This Row],[STD]]</f>
        <v>0.68402777777777779</v>
      </c>
    </row>
    <row r="5448" spans="1:20" hidden="1" x14ac:dyDescent="0.35">
      <c r="A5448" s="11">
        <v>46306</v>
      </c>
      <c r="B5448" s="3">
        <v>7</v>
      </c>
      <c r="C5448" t="s">
        <v>17</v>
      </c>
      <c r="D5448" t="s">
        <v>18</v>
      </c>
      <c r="E5448" s="3">
        <v>17</v>
      </c>
      <c r="F5448" t="s">
        <v>19</v>
      </c>
      <c r="G5448" t="s">
        <v>69</v>
      </c>
      <c r="H5448" t="s">
        <v>31</v>
      </c>
      <c r="I5448" s="12">
        <v>0.66319444444444442</v>
      </c>
      <c r="J5448" t="s">
        <v>70</v>
      </c>
      <c r="K5448" t="s">
        <v>31</v>
      </c>
      <c r="L5448" s="12">
        <v>0.69097222222222221</v>
      </c>
      <c r="M5448" t="s">
        <v>33</v>
      </c>
      <c r="N5448" s="3">
        <v>189</v>
      </c>
      <c r="O5448" t="s">
        <v>24</v>
      </c>
      <c r="P5448" t="s">
        <v>56</v>
      </c>
      <c r="R5448">
        <f>tblDailySchedule[[#This Row],[Capacity Approx]]*'[1]Load Factor Sheet June Acft  '!$B$5</f>
        <v>153.04704545454547</v>
      </c>
      <c r="S5448">
        <f>tblDailySchedule[[#This Row],[Capacity Approx]]*'[1]Load Factor Sheet June Acft  '!$D$5</f>
        <v>165.71863636363636</v>
      </c>
      <c r="T5448" s="22">
        <f>tblDailySchedule[[#This Row],[STD]]</f>
        <v>0.69097222222222221</v>
      </c>
    </row>
    <row r="5449" spans="1:20" hidden="1" x14ac:dyDescent="0.35">
      <c r="A5449" s="11">
        <v>46306</v>
      </c>
      <c r="B5449" s="3">
        <v>7</v>
      </c>
      <c r="C5449" t="s">
        <v>17</v>
      </c>
      <c r="D5449" t="s">
        <v>18</v>
      </c>
      <c r="E5449" s="3">
        <v>18</v>
      </c>
      <c r="F5449" t="s">
        <v>19</v>
      </c>
      <c r="G5449" t="s">
        <v>71</v>
      </c>
      <c r="H5449" t="s">
        <v>21</v>
      </c>
      <c r="I5449" s="12">
        <v>0.67013888888888884</v>
      </c>
      <c r="J5449" t="s">
        <v>72</v>
      </c>
      <c r="K5449" t="s">
        <v>21</v>
      </c>
      <c r="L5449" s="12">
        <v>0.69791666666666663</v>
      </c>
      <c r="M5449" t="s">
        <v>63</v>
      </c>
      <c r="N5449" s="3">
        <v>232</v>
      </c>
      <c r="O5449" t="s">
        <v>24</v>
      </c>
      <c r="P5449" t="s">
        <v>56</v>
      </c>
      <c r="R5449">
        <f>tblDailySchedule[[#This Row],[Capacity Approx]]*'[1]Load Factor Sheet June Acft  '!$B$5</f>
        <v>187.86727272727273</v>
      </c>
      <c r="S5449">
        <f>tblDailySchedule[[#This Row],[Capacity Approx]]*'[1]Load Factor Sheet June Acft  '!$D$5</f>
        <v>203.4218181818182</v>
      </c>
      <c r="T5449" s="22">
        <f>tblDailySchedule[[#This Row],[STD]]</f>
        <v>0.69791666666666663</v>
      </c>
    </row>
    <row r="5450" spans="1:20" hidden="1" x14ac:dyDescent="0.35">
      <c r="A5450" s="11">
        <v>46306</v>
      </c>
      <c r="B5450" s="3">
        <v>7</v>
      </c>
      <c r="C5450" t="s">
        <v>17</v>
      </c>
      <c r="D5450" t="s">
        <v>18</v>
      </c>
      <c r="E5450" s="3">
        <v>19</v>
      </c>
      <c r="F5450" t="s">
        <v>19</v>
      </c>
      <c r="G5450" t="s">
        <v>73</v>
      </c>
      <c r="H5450" t="s">
        <v>27</v>
      </c>
      <c r="I5450" s="12">
        <v>0.74652777777777779</v>
      </c>
      <c r="J5450" t="s">
        <v>74</v>
      </c>
      <c r="K5450" t="s">
        <v>27</v>
      </c>
      <c r="L5450" s="12">
        <v>0.77430555555555558</v>
      </c>
      <c r="M5450" t="s">
        <v>63</v>
      </c>
      <c r="N5450" s="3">
        <v>232</v>
      </c>
      <c r="O5450" t="s">
        <v>24</v>
      </c>
      <c r="P5450" t="s">
        <v>56</v>
      </c>
      <c r="R5450">
        <f>tblDailySchedule[[#This Row],[Capacity Approx]]*'[1]Load Factor Sheet June Acft  '!$B$5</f>
        <v>187.86727272727273</v>
      </c>
      <c r="S5450">
        <f>tblDailySchedule[[#This Row],[Capacity Approx]]*'[1]Load Factor Sheet June Acft  '!$D$5</f>
        <v>203.4218181818182</v>
      </c>
      <c r="T5450" s="22">
        <f>tblDailySchedule[[#This Row],[STD]]</f>
        <v>0.77430555555555558</v>
      </c>
    </row>
    <row r="5451" spans="1:20" hidden="1" x14ac:dyDescent="0.35">
      <c r="A5451" s="11">
        <v>46306</v>
      </c>
      <c r="B5451" s="3">
        <v>7</v>
      </c>
      <c r="C5451" t="s">
        <v>17</v>
      </c>
      <c r="D5451" t="s">
        <v>18</v>
      </c>
      <c r="E5451" s="3">
        <v>20</v>
      </c>
      <c r="F5451" t="s">
        <v>34</v>
      </c>
      <c r="G5451" t="s">
        <v>75</v>
      </c>
      <c r="H5451" t="s">
        <v>76</v>
      </c>
      <c r="I5451" s="12">
        <v>0.76388888888888884</v>
      </c>
      <c r="J5451" t="s">
        <v>77</v>
      </c>
      <c r="K5451" t="s">
        <v>78</v>
      </c>
      <c r="L5451" s="12">
        <v>0.78472222222222221</v>
      </c>
      <c r="M5451" t="s">
        <v>51</v>
      </c>
      <c r="N5451" s="3">
        <v>78</v>
      </c>
      <c r="O5451" t="s">
        <v>24</v>
      </c>
      <c r="P5451" t="s">
        <v>79</v>
      </c>
      <c r="Q5451" s="16" t="s">
        <v>80</v>
      </c>
      <c r="R5451">
        <f>tblDailySchedule[[#This Row],[Capacity Approx]]*'[1]Load Factor Sheet June Acft  '!$B$5</f>
        <v>63.162272727272729</v>
      </c>
      <c r="S5451">
        <f>tblDailySchedule[[#This Row],[Capacity Approx]]*'[1]Load Factor Sheet June Acft  '!$D$5</f>
        <v>68.391818181818181</v>
      </c>
      <c r="T5451" s="22">
        <f>tblDailySchedule[[#This Row],[STD]]</f>
        <v>0.78472222222222221</v>
      </c>
    </row>
    <row r="5452" spans="1:20" hidden="1" x14ac:dyDescent="0.35">
      <c r="A5452" s="11">
        <v>46306</v>
      </c>
      <c r="B5452" s="3">
        <v>7</v>
      </c>
      <c r="C5452" t="s">
        <v>17</v>
      </c>
      <c r="D5452" t="s">
        <v>18</v>
      </c>
      <c r="E5452" s="3">
        <v>21</v>
      </c>
      <c r="F5452" t="s">
        <v>19</v>
      </c>
      <c r="G5452" t="s">
        <v>81</v>
      </c>
      <c r="H5452" t="s">
        <v>61</v>
      </c>
      <c r="I5452" s="12">
        <v>0.77083333333333337</v>
      </c>
      <c r="J5452" t="s">
        <v>82</v>
      </c>
      <c r="K5452" t="s">
        <v>49</v>
      </c>
      <c r="L5452" s="12">
        <v>0.79166666666666663</v>
      </c>
      <c r="M5452" t="s">
        <v>33</v>
      </c>
      <c r="N5452" s="3">
        <v>189</v>
      </c>
      <c r="O5452" t="s">
        <v>24</v>
      </c>
      <c r="P5452" t="s">
        <v>79</v>
      </c>
      <c r="R5452">
        <f>tblDailySchedule[[#This Row],[Capacity Approx]]*'[1]Load Factor Sheet June Acft  '!$B$5</f>
        <v>153.04704545454547</v>
      </c>
      <c r="S5452">
        <f>tblDailySchedule[[#This Row],[Capacity Approx]]*'[1]Load Factor Sheet June Acft  '!$D$5</f>
        <v>165.71863636363636</v>
      </c>
      <c r="T5452" s="22">
        <f>tblDailySchedule[[#This Row],[STD]]</f>
        <v>0.79166666666666663</v>
      </c>
    </row>
    <row r="5453" spans="1:20" hidden="1" x14ac:dyDescent="0.35">
      <c r="A5453" s="11">
        <v>46306</v>
      </c>
      <c r="B5453" s="3">
        <v>7</v>
      </c>
      <c r="C5453" t="s">
        <v>17</v>
      </c>
      <c r="D5453" t="s">
        <v>18</v>
      </c>
      <c r="E5453" s="3">
        <v>22</v>
      </c>
      <c r="F5453" t="s">
        <v>19</v>
      </c>
      <c r="G5453" t="s">
        <v>83</v>
      </c>
      <c r="H5453" t="s">
        <v>31</v>
      </c>
      <c r="I5453" s="12">
        <v>0.77777777777777779</v>
      </c>
      <c r="J5453" t="s">
        <v>84</v>
      </c>
      <c r="K5453" t="s">
        <v>31</v>
      </c>
      <c r="L5453" s="12">
        <v>0.80555555555555558</v>
      </c>
      <c r="M5453" t="s">
        <v>63</v>
      </c>
      <c r="N5453" s="3">
        <v>232</v>
      </c>
      <c r="O5453" t="s">
        <v>24</v>
      </c>
      <c r="P5453" t="s">
        <v>79</v>
      </c>
      <c r="R5453">
        <f>tblDailySchedule[[#This Row],[Capacity Approx]]*'[1]Load Factor Sheet June Acft  '!$B$5</f>
        <v>187.86727272727273</v>
      </c>
      <c r="S5453">
        <f>tblDailySchedule[[#This Row],[Capacity Approx]]*'[1]Load Factor Sheet June Acft  '!$D$5</f>
        <v>203.4218181818182</v>
      </c>
      <c r="T5453" s="22">
        <f>tblDailySchedule[[#This Row],[STD]]</f>
        <v>0.80555555555555558</v>
      </c>
    </row>
    <row r="5454" spans="1:20" hidden="1" x14ac:dyDescent="0.35">
      <c r="A5454" s="11">
        <v>46306</v>
      </c>
      <c r="B5454" s="3">
        <v>7</v>
      </c>
      <c r="C5454" t="s">
        <v>17</v>
      </c>
      <c r="D5454" t="s">
        <v>18</v>
      </c>
      <c r="E5454" s="3">
        <v>23</v>
      </c>
      <c r="F5454" t="s">
        <v>19</v>
      </c>
      <c r="G5454" t="s">
        <v>85</v>
      </c>
      <c r="H5454" t="s">
        <v>86</v>
      </c>
      <c r="I5454" s="12">
        <v>0.79861111111111116</v>
      </c>
      <c r="J5454" t="s">
        <v>87</v>
      </c>
      <c r="K5454" t="s">
        <v>86</v>
      </c>
      <c r="L5454" s="12">
        <v>0.82638888888888884</v>
      </c>
      <c r="M5454" t="s">
        <v>63</v>
      </c>
      <c r="N5454" s="3">
        <v>232</v>
      </c>
      <c r="O5454" t="s">
        <v>24</v>
      </c>
      <c r="P5454" t="s">
        <v>79</v>
      </c>
      <c r="R5454">
        <f>tblDailySchedule[[#This Row],[Capacity Approx]]*'[1]Load Factor Sheet June Acft  '!$B$5</f>
        <v>187.86727272727273</v>
      </c>
      <c r="S5454">
        <f>tblDailySchedule[[#This Row],[Capacity Approx]]*'[1]Load Factor Sheet June Acft  '!$D$5</f>
        <v>203.4218181818182</v>
      </c>
      <c r="T5454" s="22">
        <f>tblDailySchedule[[#This Row],[STD]]</f>
        <v>0.82638888888888884</v>
      </c>
    </row>
    <row r="5455" spans="1:20" hidden="1" x14ac:dyDescent="0.35">
      <c r="A5455" s="11">
        <v>46306</v>
      </c>
      <c r="B5455" s="3">
        <v>7</v>
      </c>
      <c r="C5455" t="s">
        <v>17</v>
      </c>
      <c r="D5455" t="s">
        <v>18</v>
      </c>
      <c r="E5455" s="3">
        <v>24</v>
      </c>
      <c r="F5455" t="s">
        <v>19</v>
      </c>
      <c r="G5455" t="s">
        <v>88</v>
      </c>
      <c r="H5455" t="s">
        <v>89</v>
      </c>
      <c r="I5455" s="12">
        <v>0.83333333333333337</v>
      </c>
      <c r="J5455" t="s">
        <v>90</v>
      </c>
      <c r="K5455" t="s">
        <v>31</v>
      </c>
      <c r="L5455" s="12">
        <v>0.86111111111111116</v>
      </c>
      <c r="M5455" t="s">
        <v>63</v>
      </c>
      <c r="N5455" s="3">
        <v>232</v>
      </c>
      <c r="O5455" t="s">
        <v>24</v>
      </c>
      <c r="P5455" t="s">
        <v>79</v>
      </c>
      <c r="R5455">
        <f>tblDailySchedule[[#This Row],[Capacity Approx]]*'[1]Load Factor Sheet June Acft  '!$B$5</f>
        <v>187.86727272727273</v>
      </c>
      <c r="S5455">
        <f>tblDailySchedule[[#This Row],[Capacity Approx]]*'[1]Load Factor Sheet June Acft  '!$D$5</f>
        <v>203.4218181818182</v>
      </c>
      <c r="T5455" s="22">
        <f>tblDailySchedule[[#This Row],[STD]]</f>
        <v>0.86111111111111116</v>
      </c>
    </row>
    <row r="5456" spans="1:20" hidden="1" x14ac:dyDescent="0.35">
      <c r="A5456" s="11">
        <v>46306</v>
      </c>
      <c r="B5456" s="3">
        <v>7</v>
      </c>
      <c r="C5456" t="s">
        <v>17</v>
      </c>
      <c r="D5456" t="s">
        <v>18</v>
      </c>
      <c r="E5456" s="3">
        <v>25</v>
      </c>
      <c r="F5456" t="s">
        <v>19</v>
      </c>
      <c r="G5456" t="s">
        <v>91</v>
      </c>
      <c r="H5456" t="s">
        <v>61</v>
      </c>
      <c r="I5456" s="12">
        <v>0.85416666666666663</v>
      </c>
      <c r="J5456" t="s">
        <v>92</v>
      </c>
      <c r="K5456" t="s">
        <v>61</v>
      </c>
      <c r="L5456" s="12">
        <v>0.88194444444444442</v>
      </c>
      <c r="M5456" t="s">
        <v>63</v>
      </c>
      <c r="N5456" s="3">
        <v>232</v>
      </c>
      <c r="O5456" t="s">
        <v>24</v>
      </c>
      <c r="P5456" t="s">
        <v>79</v>
      </c>
      <c r="R5456">
        <f>tblDailySchedule[[#This Row],[Capacity Approx]]*'[1]Load Factor Sheet June Acft  '!$B$5</f>
        <v>187.86727272727273</v>
      </c>
      <c r="S5456">
        <f>tblDailySchedule[[#This Row],[Capacity Approx]]*'[1]Load Factor Sheet June Acft  '!$D$5</f>
        <v>203.4218181818182</v>
      </c>
      <c r="T5456" s="22">
        <f>tblDailySchedule[[#This Row],[STD]]</f>
        <v>0.88194444444444442</v>
      </c>
    </row>
    <row r="5457" spans="1:20" hidden="1" x14ac:dyDescent="0.35">
      <c r="A5457" s="11">
        <v>46306</v>
      </c>
      <c r="B5457" s="3">
        <v>7</v>
      </c>
      <c r="C5457" t="s">
        <v>17</v>
      </c>
      <c r="D5457" t="s">
        <v>18</v>
      </c>
      <c r="E5457" s="3">
        <v>26</v>
      </c>
      <c r="F5457" t="s">
        <v>19</v>
      </c>
      <c r="G5457" t="s">
        <v>93</v>
      </c>
      <c r="H5457" t="s">
        <v>31</v>
      </c>
      <c r="I5457" s="12">
        <v>0.86111111111111116</v>
      </c>
      <c r="J5457" t="s">
        <v>94</v>
      </c>
      <c r="K5457" t="s">
        <v>31</v>
      </c>
      <c r="L5457" s="12">
        <v>0.88888888888888884</v>
      </c>
      <c r="M5457" t="s">
        <v>23</v>
      </c>
      <c r="N5457" s="3">
        <v>186</v>
      </c>
      <c r="O5457" t="s">
        <v>24</v>
      </c>
      <c r="P5457" t="s">
        <v>79</v>
      </c>
      <c r="R5457">
        <f>tblDailySchedule[[#This Row],[Capacity Approx]]*'[1]Load Factor Sheet June Acft  '!$B$5</f>
        <v>150.61772727272728</v>
      </c>
      <c r="S5457">
        <f>tblDailySchedule[[#This Row],[Capacity Approx]]*'[1]Load Factor Sheet June Acft  '!$D$5</f>
        <v>163.08818181818182</v>
      </c>
      <c r="T5457" s="22">
        <f>tblDailySchedule[[#This Row],[STD]]</f>
        <v>0.88888888888888884</v>
      </c>
    </row>
    <row r="5458" spans="1:20" hidden="1" x14ac:dyDescent="0.35">
      <c r="A5458" s="11">
        <v>46306</v>
      </c>
      <c r="B5458" s="3">
        <v>7</v>
      </c>
      <c r="C5458" t="s">
        <v>17</v>
      </c>
      <c r="D5458" t="s">
        <v>18</v>
      </c>
      <c r="E5458" s="3">
        <v>27</v>
      </c>
      <c r="F5458" t="s">
        <v>19</v>
      </c>
      <c r="G5458" t="s">
        <v>95</v>
      </c>
      <c r="H5458" t="s">
        <v>21</v>
      </c>
      <c r="I5458" s="12">
        <v>0.86805555555555558</v>
      </c>
      <c r="J5458" t="s">
        <v>96</v>
      </c>
      <c r="K5458" t="s">
        <v>21</v>
      </c>
      <c r="L5458" s="12">
        <v>0.89583333333333337</v>
      </c>
      <c r="M5458" t="s">
        <v>29</v>
      </c>
      <c r="N5458" s="3">
        <v>186</v>
      </c>
      <c r="O5458" t="s">
        <v>24</v>
      </c>
      <c r="P5458" t="s">
        <v>79</v>
      </c>
      <c r="R5458">
        <f>tblDailySchedule[[#This Row],[Capacity Approx]]*'[1]Load Factor Sheet June Acft  '!$B$5</f>
        <v>150.61772727272728</v>
      </c>
      <c r="S5458">
        <f>tblDailySchedule[[#This Row],[Capacity Approx]]*'[1]Load Factor Sheet June Acft  '!$D$5</f>
        <v>163.08818181818182</v>
      </c>
      <c r="T5458" s="22">
        <f>tblDailySchedule[[#This Row],[STD]]</f>
        <v>0.89583333333333337</v>
      </c>
    </row>
    <row r="5459" spans="1:20" hidden="1" x14ac:dyDescent="0.35">
      <c r="A5459" s="11">
        <v>46306</v>
      </c>
      <c r="B5459" s="3">
        <v>7</v>
      </c>
      <c r="C5459" t="s">
        <v>17</v>
      </c>
      <c r="D5459" t="s">
        <v>18</v>
      </c>
      <c r="E5459" s="3">
        <v>28</v>
      </c>
      <c r="F5459" t="s">
        <v>19</v>
      </c>
      <c r="G5459" t="s">
        <v>97</v>
      </c>
      <c r="H5459" t="s">
        <v>49</v>
      </c>
      <c r="I5459" s="12">
        <v>0.90277777777777779</v>
      </c>
      <c r="J5459" t="s">
        <v>97</v>
      </c>
      <c r="K5459" t="s">
        <v>61</v>
      </c>
      <c r="L5459" s="12">
        <v>0.92361111111111116</v>
      </c>
      <c r="M5459" t="s">
        <v>33</v>
      </c>
      <c r="N5459" s="3">
        <v>189</v>
      </c>
      <c r="O5459" t="s">
        <v>24</v>
      </c>
      <c r="P5459" t="s">
        <v>79</v>
      </c>
      <c r="R5459">
        <f>tblDailySchedule[[#This Row],[Capacity Approx]]*'[1]Load Factor Sheet June Acft  '!$B$5</f>
        <v>153.04704545454547</v>
      </c>
      <c r="S5459">
        <f>tblDailySchedule[[#This Row],[Capacity Approx]]*'[1]Load Factor Sheet June Acft  '!$D$5</f>
        <v>165.71863636363636</v>
      </c>
      <c r="T5459" s="22">
        <f>tblDailySchedule[[#This Row],[STD]]</f>
        <v>0.92361111111111116</v>
      </c>
    </row>
    <row r="5460" spans="1:20" hidden="1" x14ac:dyDescent="0.35">
      <c r="A5460" s="11">
        <v>46306</v>
      </c>
      <c r="B5460" s="3">
        <v>7</v>
      </c>
      <c r="C5460" t="s">
        <v>17</v>
      </c>
      <c r="D5460" t="s">
        <v>18</v>
      </c>
      <c r="E5460" s="3">
        <v>29</v>
      </c>
      <c r="F5460" t="s">
        <v>19</v>
      </c>
      <c r="G5460" t="s">
        <v>98</v>
      </c>
      <c r="H5460" t="s">
        <v>21</v>
      </c>
      <c r="I5460" s="12">
        <v>0.92013888888888884</v>
      </c>
      <c r="J5460" t="s">
        <v>99</v>
      </c>
      <c r="K5460" t="s">
        <v>21</v>
      </c>
      <c r="L5460" s="12">
        <v>0.94791666666666663</v>
      </c>
      <c r="M5460" t="s">
        <v>63</v>
      </c>
      <c r="N5460" s="3">
        <v>232</v>
      </c>
      <c r="O5460" t="s">
        <v>24</v>
      </c>
      <c r="P5460" t="s">
        <v>79</v>
      </c>
      <c r="R5460">
        <f>tblDailySchedule[[#This Row],[Capacity Approx]]*'[1]Load Factor Sheet June Acft  '!$B$5</f>
        <v>187.86727272727273</v>
      </c>
      <c r="S5460">
        <f>tblDailySchedule[[#This Row],[Capacity Approx]]*'[1]Load Factor Sheet June Acft  '!$D$5</f>
        <v>203.4218181818182</v>
      </c>
      <c r="T5460" s="22">
        <f>tblDailySchedule[[#This Row],[STD]]</f>
        <v>0.94791666666666663</v>
      </c>
    </row>
    <row r="5461" spans="1:20" hidden="1" x14ac:dyDescent="0.35">
      <c r="A5461" s="11">
        <v>46307</v>
      </c>
      <c r="B5461" s="3">
        <v>1</v>
      </c>
      <c r="C5461" t="s">
        <v>100</v>
      </c>
      <c r="D5461" t="s">
        <v>18</v>
      </c>
      <c r="E5461" s="3">
        <v>1</v>
      </c>
      <c r="F5461" t="s">
        <v>101</v>
      </c>
      <c r="G5461" t="s">
        <v>102</v>
      </c>
      <c r="H5461" t="s">
        <v>61</v>
      </c>
      <c r="I5461" s="12">
        <v>0.3125</v>
      </c>
      <c r="J5461" t="s">
        <v>103</v>
      </c>
      <c r="K5461" t="s">
        <v>61</v>
      </c>
      <c r="L5461" s="12">
        <v>0.33333333333333331</v>
      </c>
      <c r="M5461" t="s">
        <v>33</v>
      </c>
      <c r="N5461" s="3">
        <v>189</v>
      </c>
      <c r="O5461" t="s">
        <v>24</v>
      </c>
      <c r="P5461" t="s">
        <v>25</v>
      </c>
      <c r="R5461">
        <f>tblDailySchedule[[#This Row],[Capacity Approx]]*'[1]Load Factor Sheet June Acft  '!$B$5</f>
        <v>153.04704545454547</v>
      </c>
      <c r="S5461">
        <f>tblDailySchedule[[#This Row],[Capacity Approx]]*'[1]Load Factor Sheet June Acft  '!$D$5</f>
        <v>165.71863636363636</v>
      </c>
      <c r="T5461" s="22">
        <f>tblDailySchedule[[#This Row],[STD]]</f>
        <v>0.33333333333333331</v>
      </c>
    </row>
    <row r="5462" spans="1:20" hidden="1" x14ac:dyDescent="0.35">
      <c r="A5462" s="11">
        <v>46307</v>
      </c>
      <c r="B5462" s="3">
        <v>1</v>
      </c>
      <c r="C5462" t="s">
        <v>100</v>
      </c>
      <c r="D5462" t="s">
        <v>18</v>
      </c>
      <c r="E5462" s="3">
        <v>2</v>
      </c>
      <c r="F5462" t="s">
        <v>19</v>
      </c>
      <c r="G5462" t="s">
        <v>20</v>
      </c>
      <c r="H5462" t="s">
        <v>21</v>
      </c>
      <c r="I5462" s="12">
        <v>0.31944444444444442</v>
      </c>
      <c r="J5462" t="s">
        <v>22</v>
      </c>
      <c r="K5462" t="s">
        <v>21</v>
      </c>
      <c r="L5462" s="12">
        <v>0.34722222222222221</v>
      </c>
      <c r="M5462" t="s">
        <v>23</v>
      </c>
      <c r="N5462" s="3">
        <v>186</v>
      </c>
      <c r="O5462" t="s">
        <v>24</v>
      </c>
      <c r="P5462" t="s">
        <v>25</v>
      </c>
      <c r="R5462">
        <f>tblDailySchedule[[#This Row],[Capacity Approx]]*'[1]Load Factor Sheet June Acft  '!$B$5</f>
        <v>150.61772727272728</v>
      </c>
      <c r="S5462">
        <f>tblDailySchedule[[#This Row],[Capacity Approx]]*'[1]Load Factor Sheet June Acft  '!$D$5</f>
        <v>163.08818181818182</v>
      </c>
      <c r="T5462" s="22">
        <f>tblDailySchedule[[#This Row],[STD]]</f>
        <v>0.34722222222222221</v>
      </c>
    </row>
    <row r="5463" spans="1:20" hidden="1" x14ac:dyDescent="0.35">
      <c r="A5463" s="11">
        <v>46307</v>
      </c>
      <c r="B5463" s="3">
        <v>1</v>
      </c>
      <c r="C5463" t="s">
        <v>100</v>
      </c>
      <c r="D5463" t="s">
        <v>18</v>
      </c>
      <c r="E5463" s="3">
        <v>3</v>
      </c>
      <c r="F5463" t="s">
        <v>19</v>
      </c>
      <c r="G5463" t="s">
        <v>26</v>
      </c>
      <c r="H5463" t="s">
        <v>27</v>
      </c>
      <c r="I5463" s="12">
        <v>0.3263888888888889</v>
      </c>
      <c r="J5463" t="s">
        <v>28</v>
      </c>
      <c r="K5463" t="s">
        <v>27</v>
      </c>
      <c r="L5463" s="12">
        <v>0.35416666666666669</v>
      </c>
      <c r="M5463" t="s">
        <v>29</v>
      </c>
      <c r="N5463" s="3">
        <v>186</v>
      </c>
      <c r="O5463" t="s">
        <v>24</v>
      </c>
      <c r="P5463" t="s">
        <v>25</v>
      </c>
      <c r="R5463">
        <f>tblDailySchedule[[#This Row],[Capacity Approx]]*'[1]Load Factor Sheet June Acft  '!$B$5</f>
        <v>150.61772727272728</v>
      </c>
      <c r="S5463">
        <f>tblDailySchedule[[#This Row],[Capacity Approx]]*'[1]Load Factor Sheet June Acft  '!$D$5</f>
        <v>163.08818181818182</v>
      </c>
      <c r="T5463" s="22">
        <f>tblDailySchedule[[#This Row],[STD]]</f>
        <v>0.35416666666666669</v>
      </c>
    </row>
    <row r="5464" spans="1:20" hidden="1" x14ac:dyDescent="0.35">
      <c r="A5464" s="11">
        <v>46307</v>
      </c>
      <c r="B5464" s="3">
        <v>1</v>
      </c>
      <c r="C5464" t="s">
        <v>100</v>
      </c>
      <c r="D5464" t="s">
        <v>18</v>
      </c>
      <c r="E5464" s="3">
        <v>4</v>
      </c>
      <c r="F5464" t="s">
        <v>19</v>
      </c>
      <c r="G5464" t="s">
        <v>30</v>
      </c>
      <c r="H5464" t="s">
        <v>31</v>
      </c>
      <c r="I5464" s="12">
        <v>0.34722222222222221</v>
      </c>
      <c r="J5464" t="s">
        <v>32</v>
      </c>
      <c r="K5464" t="s">
        <v>31</v>
      </c>
      <c r="L5464" s="12">
        <v>0.36805555555555558</v>
      </c>
      <c r="M5464" t="s">
        <v>33</v>
      </c>
      <c r="N5464" s="3">
        <v>189</v>
      </c>
      <c r="O5464" t="s">
        <v>24</v>
      </c>
      <c r="P5464" t="s">
        <v>25</v>
      </c>
      <c r="R5464">
        <f>tblDailySchedule[[#This Row],[Capacity Approx]]*'[1]Load Factor Sheet June Acft  '!$B$5</f>
        <v>153.04704545454547</v>
      </c>
      <c r="S5464">
        <f>tblDailySchedule[[#This Row],[Capacity Approx]]*'[1]Load Factor Sheet June Acft  '!$D$5</f>
        <v>165.71863636363636</v>
      </c>
      <c r="T5464" s="22">
        <f>tblDailySchedule[[#This Row],[STD]]</f>
        <v>0.36805555555555558</v>
      </c>
    </row>
    <row r="5465" spans="1:20" hidden="1" x14ac:dyDescent="0.35">
      <c r="A5465" s="13">
        <v>46307</v>
      </c>
      <c r="B5465" s="7">
        <v>1</v>
      </c>
      <c r="C5465" s="14" t="s">
        <v>100</v>
      </c>
      <c r="D5465" s="14" t="s">
        <v>18</v>
      </c>
      <c r="E5465" s="7">
        <v>6</v>
      </c>
      <c r="F5465" s="14" t="s">
        <v>34</v>
      </c>
      <c r="G5465" s="14" t="s">
        <v>35</v>
      </c>
      <c r="H5465" s="14" t="s">
        <v>36</v>
      </c>
      <c r="I5465" s="15">
        <v>0.34722222222222221</v>
      </c>
      <c r="J5465" s="14" t="s">
        <v>37</v>
      </c>
      <c r="K5465" s="14" t="s">
        <v>36</v>
      </c>
      <c r="L5465" s="15">
        <v>0.40972222222222221</v>
      </c>
      <c r="M5465" s="14" t="s">
        <v>38</v>
      </c>
      <c r="N5465" s="7">
        <v>186</v>
      </c>
      <c r="O5465" s="14" t="s">
        <v>39</v>
      </c>
      <c r="P5465" s="14" t="s">
        <v>25</v>
      </c>
      <c r="Q5465" s="14" t="s">
        <v>39</v>
      </c>
      <c r="R5465">
        <f>tblDailySchedule[[#This Row],[Capacity Approx]]*'[1]Load Factor Sheet June Acft  '!$B$5</f>
        <v>150.61772727272728</v>
      </c>
      <c r="S5465">
        <f>tblDailySchedule[[#This Row],[Capacity Approx]]*'[1]Load Factor Sheet June Acft  '!$D$5</f>
        <v>163.08818181818182</v>
      </c>
      <c r="T5465" s="22">
        <f>tblDailySchedule[[#This Row],[STD]]</f>
        <v>0.40972222222222221</v>
      </c>
    </row>
    <row r="5466" spans="1:20" hidden="1" x14ac:dyDescent="0.35">
      <c r="A5466" s="11">
        <v>46307</v>
      </c>
      <c r="B5466" s="3">
        <v>1</v>
      </c>
      <c r="C5466" t="s">
        <v>100</v>
      </c>
      <c r="D5466" t="s">
        <v>18</v>
      </c>
      <c r="E5466" s="3">
        <v>5</v>
      </c>
      <c r="F5466" t="s">
        <v>19</v>
      </c>
      <c r="G5466" t="s">
        <v>40</v>
      </c>
      <c r="H5466" t="s">
        <v>31</v>
      </c>
      <c r="I5466" s="12">
        <v>0.35069444444444442</v>
      </c>
      <c r="J5466" t="s">
        <v>41</v>
      </c>
      <c r="K5466" t="s">
        <v>31</v>
      </c>
      <c r="L5466" s="12">
        <v>0.37152777777777779</v>
      </c>
      <c r="M5466" t="s">
        <v>23</v>
      </c>
      <c r="N5466" s="3">
        <v>186</v>
      </c>
      <c r="O5466" t="s">
        <v>24</v>
      </c>
      <c r="P5466" t="s">
        <v>25</v>
      </c>
      <c r="R5466">
        <f>tblDailySchedule[[#This Row],[Capacity Approx]]*'[1]Load Factor Sheet June Acft  '!$B$5</f>
        <v>150.61772727272728</v>
      </c>
      <c r="S5466">
        <f>tblDailySchedule[[#This Row],[Capacity Approx]]*'[1]Load Factor Sheet June Acft  '!$D$5</f>
        <v>163.08818181818182</v>
      </c>
      <c r="T5466" s="22">
        <f>tblDailySchedule[[#This Row],[STD]]</f>
        <v>0.37152777777777779</v>
      </c>
    </row>
    <row r="5467" spans="1:20" hidden="1" x14ac:dyDescent="0.35">
      <c r="A5467" s="11">
        <v>46307</v>
      </c>
      <c r="B5467" s="3">
        <v>1</v>
      </c>
      <c r="C5467" t="s">
        <v>100</v>
      </c>
      <c r="D5467" t="s">
        <v>18</v>
      </c>
      <c r="E5467" s="3">
        <v>7</v>
      </c>
      <c r="F5467" t="s">
        <v>19</v>
      </c>
      <c r="G5467" t="s">
        <v>42</v>
      </c>
      <c r="H5467" t="s">
        <v>43</v>
      </c>
      <c r="I5467" s="12">
        <v>0.3923611111111111</v>
      </c>
      <c r="J5467" t="s">
        <v>44</v>
      </c>
      <c r="K5467" t="s">
        <v>43</v>
      </c>
      <c r="L5467" s="12">
        <v>0.40277777777777779</v>
      </c>
      <c r="M5467" t="s">
        <v>45</v>
      </c>
      <c r="N5467" s="3">
        <v>9</v>
      </c>
      <c r="O5467" t="s">
        <v>24</v>
      </c>
      <c r="P5467" t="s">
        <v>25</v>
      </c>
      <c r="R5467">
        <f>tblDailySchedule[[#This Row],[Capacity Approx]]*'[1]Load Factor Sheet June Acft  '!$B$5</f>
        <v>7.2879545454545456</v>
      </c>
      <c r="S5467">
        <f>tblDailySchedule[[#This Row],[Capacity Approx]]*'[1]Load Factor Sheet June Acft  '!$D$5</f>
        <v>7.8913636363636366</v>
      </c>
      <c r="T5467" s="22">
        <f>tblDailySchedule[[#This Row],[STD]]</f>
        <v>0.40277777777777779</v>
      </c>
    </row>
    <row r="5468" spans="1:20" hidden="1" x14ac:dyDescent="0.35">
      <c r="A5468" s="11">
        <v>46307</v>
      </c>
      <c r="B5468" s="3">
        <v>1</v>
      </c>
      <c r="C5468" t="s">
        <v>100</v>
      </c>
      <c r="D5468" t="s">
        <v>18</v>
      </c>
      <c r="E5468" s="3">
        <v>8</v>
      </c>
      <c r="F5468" t="s">
        <v>19</v>
      </c>
      <c r="G5468" t="s">
        <v>46</v>
      </c>
      <c r="H5468" t="s">
        <v>31</v>
      </c>
      <c r="I5468" s="12">
        <v>0.4201388888888889</v>
      </c>
      <c r="J5468" t="s">
        <v>47</v>
      </c>
      <c r="K5468" t="s">
        <v>31</v>
      </c>
      <c r="L5468" s="12">
        <v>0.44444444444444442</v>
      </c>
      <c r="M5468" t="s">
        <v>29</v>
      </c>
      <c r="N5468" s="3">
        <v>186</v>
      </c>
      <c r="O5468" t="s">
        <v>24</v>
      </c>
      <c r="P5468" t="s">
        <v>25</v>
      </c>
      <c r="R5468">
        <f>tblDailySchedule[[#This Row],[Capacity Approx]]*'[1]Load Factor Sheet June Acft  '!$B$5</f>
        <v>150.61772727272728</v>
      </c>
      <c r="S5468">
        <f>tblDailySchedule[[#This Row],[Capacity Approx]]*'[1]Load Factor Sheet June Acft  '!$D$5</f>
        <v>163.08818181818182</v>
      </c>
      <c r="T5468" s="22">
        <f>tblDailySchedule[[#This Row],[STD]]</f>
        <v>0.44444444444444442</v>
      </c>
    </row>
    <row r="5469" spans="1:20" hidden="1" x14ac:dyDescent="0.35">
      <c r="A5469" s="11">
        <v>46307</v>
      </c>
      <c r="B5469" s="3">
        <v>1</v>
      </c>
      <c r="C5469" t="s">
        <v>100</v>
      </c>
      <c r="D5469" t="s">
        <v>18</v>
      </c>
      <c r="E5469" s="3">
        <v>9</v>
      </c>
      <c r="F5469" t="s">
        <v>19</v>
      </c>
      <c r="G5469" t="s">
        <v>48</v>
      </c>
      <c r="H5469" t="s">
        <v>49</v>
      </c>
      <c r="I5469" s="12">
        <v>0.4375</v>
      </c>
      <c r="J5469" t="s">
        <v>50</v>
      </c>
      <c r="K5469" t="s">
        <v>49</v>
      </c>
      <c r="L5469" s="12">
        <v>0.45833333333333331</v>
      </c>
      <c r="M5469" t="s">
        <v>51</v>
      </c>
      <c r="N5469" s="3">
        <v>78</v>
      </c>
      <c r="O5469" t="s">
        <v>24</v>
      </c>
      <c r="P5469" t="s">
        <v>25</v>
      </c>
      <c r="R5469">
        <f>tblDailySchedule[[#This Row],[Capacity Approx]]*'[1]Load Factor Sheet June Acft  '!$B$5</f>
        <v>63.162272727272729</v>
      </c>
      <c r="S5469">
        <f>tblDailySchedule[[#This Row],[Capacity Approx]]*'[1]Load Factor Sheet June Acft  '!$D$5</f>
        <v>68.391818181818181</v>
      </c>
      <c r="T5469" s="22">
        <f>tblDailySchedule[[#This Row],[STD]]</f>
        <v>0.45833333333333331</v>
      </c>
    </row>
    <row r="5470" spans="1:20" hidden="1" x14ac:dyDescent="0.35">
      <c r="A5470" s="11">
        <v>46307</v>
      </c>
      <c r="B5470" s="3">
        <v>1</v>
      </c>
      <c r="C5470" t="s">
        <v>100</v>
      </c>
      <c r="D5470" t="s">
        <v>18</v>
      </c>
      <c r="E5470" s="3">
        <v>10</v>
      </c>
      <c r="F5470" t="s">
        <v>19</v>
      </c>
      <c r="G5470" t="s">
        <v>52</v>
      </c>
      <c r="H5470" t="s">
        <v>27</v>
      </c>
      <c r="I5470" s="12">
        <v>0.4826388888888889</v>
      </c>
      <c r="J5470" t="s">
        <v>53</v>
      </c>
      <c r="K5470" t="s">
        <v>27</v>
      </c>
      <c r="L5470" s="12">
        <v>0.51041666666666663</v>
      </c>
      <c r="M5470" t="s">
        <v>23</v>
      </c>
      <c r="N5470" s="3">
        <v>186</v>
      </c>
      <c r="O5470" t="s">
        <v>24</v>
      </c>
      <c r="P5470" t="s">
        <v>25</v>
      </c>
      <c r="R5470">
        <f>tblDailySchedule[[#This Row],[Capacity Approx]]*'[1]Load Factor Sheet June Acft  '!$B$5</f>
        <v>150.61772727272728</v>
      </c>
      <c r="S5470">
        <f>tblDailySchedule[[#This Row],[Capacity Approx]]*'[1]Load Factor Sheet June Acft  '!$D$5</f>
        <v>163.08818181818182</v>
      </c>
      <c r="T5470" s="22">
        <f>tblDailySchedule[[#This Row],[STD]]</f>
        <v>0.51041666666666663</v>
      </c>
    </row>
    <row r="5471" spans="1:20" hidden="1" x14ac:dyDescent="0.35">
      <c r="A5471" s="11">
        <v>46307</v>
      </c>
      <c r="B5471" s="3">
        <v>1</v>
      </c>
      <c r="C5471" t="s">
        <v>100</v>
      </c>
      <c r="D5471" t="s">
        <v>18</v>
      </c>
      <c r="E5471" s="3">
        <v>11</v>
      </c>
      <c r="F5471" t="s">
        <v>19</v>
      </c>
      <c r="G5471" t="s">
        <v>54</v>
      </c>
      <c r="H5471" t="s">
        <v>31</v>
      </c>
      <c r="I5471" s="12">
        <v>0.51388888888888884</v>
      </c>
      <c r="J5471" t="s">
        <v>55</v>
      </c>
      <c r="K5471" t="s">
        <v>31</v>
      </c>
      <c r="L5471" s="12">
        <v>0.54166666666666663</v>
      </c>
      <c r="M5471" t="s">
        <v>23</v>
      </c>
      <c r="N5471" s="3">
        <v>186</v>
      </c>
      <c r="O5471" t="s">
        <v>24</v>
      </c>
      <c r="P5471" t="s">
        <v>56</v>
      </c>
      <c r="R5471">
        <f>tblDailySchedule[[#This Row],[Capacity Approx]]*'[1]Load Factor Sheet June Acft  '!$B$5</f>
        <v>150.61772727272728</v>
      </c>
      <c r="S5471">
        <f>tblDailySchedule[[#This Row],[Capacity Approx]]*'[1]Load Factor Sheet June Acft  '!$D$5</f>
        <v>163.08818181818182</v>
      </c>
      <c r="T5471" s="22">
        <f>tblDailySchedule[[#This Row],[STD]]</f>
        <v>0.54166666666666663</v>
      </c>
    </row>
    <row r="5472" spans="1:20" hidden="1" x14ac:dyDescent="0.35">
      <c r="A5472" s="11">
        <v>46307</v>
      </c>
      <c r="B5472" s="3">
        <v>1</v>
      </c>
      <c r="C5472" t="s">
        <v>100</v>
      </c>
      <c r="D5472" t="s">
        <v>18</v>
      </c>
      <c r="E5472" s="3">
        <v>13</v>
      </c>
      <c r="F5472" t="s">
        <v>19</v>
      </c>
      <c r="G5472" t="s">
        <v>57</v>
      </c>
      <c r="H5472" t="s">
        <v>58</v>
      </c>
      <c r="I5472" s="12">
        <v>0.55902777777777779</v>
      </c>
      <c r="J5472" t="s">
        <v>59</v>
      </c>
      <c r="K5472" t="s">
        <v>58</v>
      </c>
      <c r="L5472" s="12">
        <v>0.57638888888888884</v>
      </c>
      <c r="M5472" t="s">
        <v>51</v>
      </c>
      <c r="N5472" s="3">
        <v>78</v>
      </c>
      <c r="O5472" t="s">
        <v>24</v>
      </c>
      <c r="P5472" t="s">
        <v>56</v>
      </c>
      <c r="R5472">
        <f>tblDailySchedule[[#This Row],[Capacity Approx]]*'[1]Load Factor Sheet June Acft  '!$B$5</f>
        <v>63.162272727272729</v>
      </c>
      <c r="S5472">
        <f>tblDailySchedule[[#This Row],[Capacity Approx]]*'[1]Load Factor Sheet June Acft  '!$D$5</f>
        <v>68.391818181818181</v>
      </c>
      <c r="T5472" s="22">
        <f>tblDailySchedule[[#This Row],[STD]]</f>
        <v>0.57638888888888884</v>
      </c>
    </row>
    <row r="5473" spans="1:20" hidden="1" x14ac:dyDescent="0.35">
      <c r="A5473" s="11">
        <v>46307</v>
      </c>
      <c r="B5473" s="3">
        <v>1</v>
      </c>
      <c r="C5473" t="s">
        <v>100</v>
      </c>
      <c r="D5473" t="s">
        <v>18</v>
      </c>
      <c r="E5473" s="3">
        <v>14</v>
      </c>
      <c r="F5473" t="s">
        <v>19</v>
      </c>
      <c r="G5473" t="s">
        <v>60</v>
      </c>
      <c r="H5473" t="s">
        <v>61</v>
      </c>
      <c r="I5473" s="12">
        <v>0.59027777777777779</v>
      </c>
      <c r="J5473" t="s">
        <v>62</v>
      </c>
      <c r="K5473" t="s">
        <v>61</v>
      </c>
      <c r="L5473" s="12">
        <v>0.62152777777777779</v>
      </c>
      <c r="M5473" t="s">
        <v>63</v>
      </c>
      <c r="N5473" s="3">
        <v>232</v>
      </c>
      <c r="O5473" t="s">
        <v>24</v>
      </c>
      <c r="P5473" t="s">
        <v>56</v>
      </c>
      <c r="R5473">
        <f>tblDailySchedule[[#This Row],[Capacity Approx]]*'[1]Load Factor Sheet June Acft  '!$B$5</f>
        <v>187.86727272727273</v>
      </c>
      <c r="S5473">
        <f>tblDailySchedule[[#This Row],[Capacity Approx]]*'[1]Load Factor Sheet June Acft  '!$D$5</f>
        <v>203.4218181818182</v>
      </c>
      <c r="T5473" s="22">
        <f>tblDailySchedule[[#This Row],[STD]]</f>
        <v>0.62152777777777779</v>
      </c>
    </row>
    <row r="5474" spans="1:20" hidden="1" x14ac:dyDescent="0.35">
      <c r="A5474" s="11">
        <v>46307</v>
      </c>
      <c r="B5474" s="3">
        <v>1</v>
      </c>
      <c r="C5474" t="s">
        <v>100</v>
      </c>
      <c r="D5474" t="s">
        <v>18</v>
      </c>
      <c r="E5474" s="3">
        <v>15</v>
      </c>
      <c r="F5474" t="s">
        <v>19</v>
      </c>
      <c r="G5474" t="s">
        <v>64</v>
      </c>
      <c r="H5474" t="s">
        <v>31</v>
      </c>
      <c r="I5474" s="12">
        <v>0.60069444444444442</v>
      </c>
      <c r="J5474" t="s">
        <v>65</v>
      </c>
      <c r="K5474" t="s">
        <v>66</v>
      </c>
      <c r="L5474" s="12">
        <v>0.62847222222222221</v>
      </c>
      <c r="M5474" t="s">
        <v>63</v>
      </c>
      <c r="N5474" s="3">
        <v>232</v>
      </c>
      <c r="O5474" t="s">
        <v>24</v>
      </c>
      <c r="P5474" t="s">
        <v>56</v>
      </c>
      <c r="R5474">
        <f>tblDailySchedule[[#This Row],[Capacity Approx]]*'[1]Load Factor Sheet June Acft  '!$B$5</f>
        <v>187.86727272727273</v>
      </c>
      <c r="S5474">
        <f>tblDailySchedule[[#This Row],[Capacity Approx]]*'[1]Load Factor Sheet June Acft  '!$D$5</f>
        <v>203.4218181818182</v>
      </c>
      <c r="T5474" s="22">
        <f>tblDailySchedule[[#This Row],[STD]]</f>
        <v>0.62847222222222221</v>
      </c>
    </row>
    <row r="5475" spans="1:20" hidden="1" x14ac:dyDescent="0.35">
      <c r="A5475" s="11">
        <v>46307</v>
      </c>
      <c r="B5475" s="3">
        <v>1</v>
      </c>
      <c r="C5475" t="s">
        <v>100</v>
      </c>
      <c r="D5475" t="s">
        <v>18</v>
      </c>
      <c r="E5475" s="3">
        <v>16</v>
      </c>
      <c r="F5475" t="s">
        <v>19</v>
      </c>
      <c r="G5475" t="s">
        <v>67</v>
      </c>
      <c r="H5475" t="s">
        <v>31</v>
      </c>
      <c r="I5475" s="12">
        <v>0.65625</v>
      </c>
      <c r="J5475" t="s">
        <v>68</v>
      </c>
      <c r="K5475" t="s">
        <v>31</v>
      </c>
      <c r="L5475" s="12">
        <v>0.68402777777777779</v>
      </c>
      <c r="M5475" t="s">
        <v>63</v>
      </c>
      <c r="N5475" s="3">
        <v>232</v>
      </c>
      <c r="O5475" t="s">
        <v>24</v>
      </c>
      <c r="P5475" t="s">
        <v>56</v>
      </c>
      <c r="R5475">
        <f>tblDailySchedule[[#This Row],[Capacity Approx]]*'[1]Load Factor Sheet June Acft  '!$B$5</f>
        <v>187.86727272727273</v>
      </c>
      <c r="S5475">
        <f>tblDailySchedule[[#This Row],[Capacity Approx]]*'[1]Load Factor Sheet June Acft  '!$D$5</f>
        <v>203.4218181818182</v>
      </c>
      <c r="T5475" s="22">
        <f>tblDailySchedule[[#This Row],[STD]]</f>
        <v>0.68402777777777779</v>
      </c>
    </row>
    <row r="5476" spans="1:20" hidden="1" x14ac:dyDescent="0.35">
      <c r="A5476" s="11">
        <v>46307</v>
      </c>
      <c r="B5476" s="3">
        <v>1</v>
      </c>
      <c r="C5476" t="s">
        <v>100</v>
      </c>
      <c r="D5476" t="s">
        <v>18</v>
      </c>
      <c r="E5476" s="3">
        <v>17</v>
      </c>
      <c r="F5476" t="s">
        <v>19</v>
      </c>
      <c r="G5476" t="s">
        <v>69</v>
      </c>
      <c r="H5476" t="s">
        <v>31</v>
      </c>
      <c r="I5476" s="12">
        <v>0.66319444444444442</v>
      </c>
      <c r="J5476" t="s">
        <v>70</v>
      </c>
      <c r="K5476" t="s">
        <v>31</v>
      </c>
      <c r="L5476" s="12">
        <v>0.69097222222222221</v>
      </c>
      <c r="M5476" t="s">
        <v>33</v>
      </c>
      <c r="N5476" s="3">
        <v>189</v>
      </c>
      <c r="O5476" t="s">
        <v>24</v>
      </c>
      <c r="P5476" t="s">
        <v>56</v>
      </c>
      <c r="R5476">
        <f>tblDailySchedule[[#This Row],[Capacity Approx]]*'[1]Load Factor Sheet June Acft  '!$B$5</f>
        <v>153.04704545454547</v>
      </c>
      <c r="S5476">
        <f>tblDailySchedule[[#This Row],[Capacity Approx]]*'[1]Load Factor Sheet June Acft  '!$D$5</f>
        <v>165.71863636363636</v>
      </c>
      <c r="T5476" s="22">
        <f>tblDailySchedule[[#This Row],[STD]]</f>
        <v>0.69097222222222221</v>
      </c>
    </row>
    <row r="5477" spans="1:20" hidden="1" x14ac:dyDescent="0.35">
      <c r="A5477" s="11">
        <v>46307</v>
      </c>
      <c r="B5477" s="3">
        <v>1</v>
      </c>
      <c r="C5477" t="s">
        <v>100</v>
      </c>
      <c r="D5477" t="s">
        <v>18</v>
      </c>
      <c r="E5477" s="3">
        <v>18</v>
      </c>
      <c r="F5477" t="s">
        <v>19</v>
      </c>
      <c r="G5477" t="s">
        <v>71</v>
      </c>
      <c r="H5477" t="s">
        <v>21</v>
      </c>
      <c r="I5477" s="12">
        <v>0.67013888888888884</v>
      </c>
      <c r="J5477" t="s">
        <v>72</v>
      </c>
      <c r="K5477" t="s">
        <v>21</v>
      </c>
      <c r="L5477" s="12">
        <v>0.69791666666666663</v>
      </c>
      <c r="M5477" t="s">
        <v>63</v>
      </c>
      <c r="N5477" s="3">
        <v>232</v>
      </c>
      <c r="O5477" t="s">
        <v>24</v>
      </c>
      <c r="P5477" t="s">
        <v>56</v>
      </c>
      <c r="R5477">
        <f>tblDailySchedule[[#This Row],[Capacity Approx]]*'[1]Load Factor Sheet June Acft  '!$B$5</f>
        <v>187.86727272727273</v>
      </c>
      <c r="S5477">
        <f>tblDailySchedule[[#This Row],[Capacity Approx]]*'[1]Load Factor Sheet June Acft  '!$D$5</f>
        <v>203.4218181818182</v>
      </c>
      <c r="T5477" s="22">
        <f>tblDailySchedule[[#This Row],[STD]]</f>
        <v>0.69791666666666663</v>
      </c>
    </row>
    <row r="5478" spans="1:20" hidden="1" x14ac:dyDescent="0.35">
      <c r="A5478" s="11">
        <v>46307</v>
      </c>
      <c r="B5478" s="3">
        <v>1</v>
      </c>
      <c r="C5478" t="s">
        <v>100</v>
      </c>
      <c r="D5478" t="s">
        <v>18</v>
      </c>
      <c r="E5478" s="3">
        <v>19</v>
      </c>
      <c r="F5478" t="s">
        <v>19</v>
      </c>
      <c r="G5478" t="s">
        <v>73</v>
      </c>
      <c r="H5478" t="s">
        <v>27</v>
      </c>
      <c r="I5478" s="12">
        <v>0.74652777777777779</v>
      </c>
      <c r="J5478" t="s">
        <v>74</v>
      </c>
      <c r="K5478" t="s">
        <v>27</v>
      </c>
      <c r="L5478" s="12">
        <v>0.77430555555555558</v>
      </c>
      <c r="M5478" t="s">
        <v>63</v>
      </c>
      <c r="N5478" s="3">
        <v>232</v>
      </c>
      <c r="O5478" t="s">
        <v>24</v>
      </c>
      <c r="P5478" t="s">
        <v>56</v>
      </c>
      <c r="R5478">
        <f>tblDailySchedule[[#This Row],[Capacity Approx]]*'[1]Load Factor Sheet June Acft  '!$B$5</f>
        <v>187.86727272727273</v>
      </c>
      <c r="S5478">
        <f>tblDailySchedule[[#This Row],[Capacity Approx]]*'[1]Load Factor Sheet June Acft  '!$D$5</f>
        <v>203.4218181818182</v>
      </c>
      <c r="T5478" s="22">
        <f>tblDailySchedule[[#This Row],[STD]]</f>
        <v>0.77430555555555558</v>
      </c>
    </row>
    <row r="5479" spans="1:20" hidden="1" x14ac:dyDescent="0.35">
      <c r="A5479" s="11">
        <v>46307</v>
      </c>
      <c r="B5479" s="3">
        <v>1</v>
      </c>
      <c r="C5479" t="s">
        <v>100</v>
      </c>
      <c r="D5479" t="s">
        <v>18</v>
      </c>
      <c r="E5479" s="3">
        <v>20</v>
      </c>
      <c r="F5479" t="s">
        <v>34</v>
      </c>
      <c r="G5479" t="s">
        <v>75</v>
      </c>
      <c r="H5479" t="s">
        <v>76</v>
      </c>
      <c r="I5479" s="12">
        <v>0.76388888888888884</v>
      </c>
      <c r="J5479" t="s">
        <v>77</v>
      </c>
      <c r="K5479" t="s">
        <v>78</v>
      </c>
      <c r="L5479" s="12">
        <v>0.78472222222222221</v>
      </c>
      <c r="M5479" t="s">
        <v>51</v>
      </c>
      <c r="N5479" s="3">
        <v>78</v>
      </c>
      <c r="O5479" t="s">
        <v>24</v>
      </c>
      <c r="P5479" t="s">
        <v>79</v>
      </c>
      <c r="Q5479" s="16" t="s">
        <v>80</v>
      </c>
      <c r="R5479">
        <f>tblDailySchedule[[#This Row],[Capacity Approx]]*'[1]Load Factor Sheet June Acft  '!$B$5</f>
        <v>63.162272727272729</v>
      </c>
      <c r="S5479">
        <f>tblDailySchedule[[#This Row],[Capacity Approx]]*'[1]Load Factor Sheet June Acft  '!$D$5</f>
        <v>68.391818181818181</v>
      </c>
      <c r="T5479" s="22">
        <f>tblDailySchedule[[#This Row],[STD]]</f>
        <v>0.78472222222222221</v>
      </c>
    </row>
    <row r="5480" spans="1:20" hidden="1" x14ac:dyDescent="0.35">
      <c r="A5480" s="11">
        <v>46307</v>
      </c>
      <c r="B5480" s="3">
        <v>1</v>
      </c>
      <c r="C5480" t="s">
        <v>100</v>
      </c>
      <c r="D5480" t="s">
        <v>18</v>
      </c>
      <c r="E5480" s="3">
        <v>21</v>
      </c>
      <c r="F5480" t="s">
        <v>19</v>
      </c>
      <c r="G5480" t="s">
        <v>81</v>
      </c>
      <c r="H5480" t="s">
        <v>61</v>
      </c>
      <c r="I5480" s="12">
        <v>0.77083333333333337</v>
      </c>
      <c r="J5480" t="s">
        <v>82</v>
      </c>
      <c r="K5480" t="s">
        <v>49</v>
      </c>
      <c r="L5480" s="12">
        <v>0.79166666666666663</v>
      </c>
      <c r="M5480" t="s">
        <v>33</v>
      </c>
      <c r="N5480" s="3">
        <v>189</v>
      </c>
      <c r="O5480" t="s">
        <v>24</v>
      </c>
      <c r="P5480" t="s">
        <v>79</v>
      </c>
      <c r="R5480">
        <f>tblDailySchedule[[#This Row],[Capacity Approx]]*'[1]Load Factor Sheet June Acft  '!$B$5</f>
        <v>153.04704545454547</v>
      </c>
      <c r="S5480">
        <f>tblDailySchedule[[#This Row],[Capacity Approx]]*'[1]Load Factor Sheet June Acft  '!$D$5</f>
        <v>165.71863636363636</v>
      </c>
      <c r="T5480" s="22">
        <f>tblDailySchedule[[#This Row],[STD]]</f>
        <v>0.79166666666666663</v>
      </c>
    </row>
    <row r="5481" spans="1:20" hidden="1" x14ac:dyDescent="0.35">
      <c r="A5481" s="11">
        <v>46307</v>
      </c>
      <c r="B5481" s="3">
        <v>1</v>
      </c>
      <c r="C5481" t="s">
        <v>100</v>
      </c>
      <c r="D5481" t="s">
        <v>18</v>
      </c>
      <c r="E5481" s="3">
        <v>22</v>
      </c>
      <c r="F5481" t="s">
        <v>19</v>
      </c>
      <c r="G5481" t="s">
        <v>83</v>
      </c>
      <c r="H5481" t="s">
        <v>31</v>
      </c>
      <c r="I5481" s="12">
        <v>0.77777777777777779</v>
      </c>
      <c r="J5481" t="s">
        <v>84</v>
      </c>
      <c r="K5481" t="s">
        <v>31</v>
      </c>
      <c r="L5481" s="12">
        <v>0.80555555555555558</v>
      </c>
      <c r="M5481" t="s">
        <v>63</v>
      </c>
      <c r="N5481" s="3">
        <v>232</v>
      </c>
      <c r="O5481" t="s">
        <v>24</v>
      </c>
      <c r="P5481" t="s">
        <v>79</v>
      </c>
      <c r="R5481">
        <f>tblDailySchedule[[#This Row],[Capacity Approx]]*'[1]Load Factor Sheet June Acft  '!$B$5</f>
        <v>187.86727272727273</v>
      </c>
      <c r="S5481">
        <f>tblDailySchedule[[#This Row],[Capacity Approx]]*'[1]Load Factor Sheet June Acft  '!$D$5</f>
        <v>203.4218181818182</v>
      </c>
      <c r="T5481" s="22">
        <f>tblDailySchedule[[#This Row],[STD]]</f>
        <v>0.80555555555555558</v>
      </c>
    </row>
    <row r="5482" spans="1:20" hidden="1" x14ac:dyDescent="0.35">
      <c r="A5482" s="11">
        <v>46307</v>
      </c>
      <c r="B5482" s="3">
        <v>1</v>
      </c>
      <c r="C5482" t="s">
        <v>100</v>
      </c>
      <c r="D5482" t="s">
        <v>18</v>
      </c>
      <c r="E5482" s="3">
        <v>23</v>
      </c>
      <c r="F5482" t="s">
        <v>19</v>
      </c>
      <c r="G5482" t="s">
        <v>85</v>
      </c>
      <c r="H5482" t="s">
        <v>86</v>
      </c>
      <c r="I5482" s="12">
        <v>0.79861111111111116</v>
      </c>
      <c r="J5482" t="s">
        <v>87</v>
      </c>
      <c r="K5482" t="s">
        <v>86</v>
      </c>
      <c r="L5482" s="12">
        <v>0.82638888888888884</v>
      </c>
      <c r="M5482" t="s">
        <v>63</v>
      </c>
      <c r="N5482" s="3">
        <v>232</v>
      </c>
      <c r="O5482" t="s">
        <v>24</v>
      </c>
      <c r="P5482" t="s">
        <v>79</v>
      </c>
      <c r="R5482">
        <f>tblDailySchedule[[#This Row],[Capacity Approx]]*'[1]Load Factor Sheet June Acft  '!$B$5</f>
        <v>187.86727272727273</v>
      </c>
      <c r="S5482">
        <f>tblDailySchedule[[#This Row],[Capacity Approx]]*'[1]Load Factor Sheet June Acft  '!$D$5</f>
        <v>203.4218181818182</v>
      </c>
      <c r="T5482" s="22">
        <f>tblDailySchedule[[#This Row],[STD]]</f>
        <v>0.82638888888888884</v>
      </c>
    </row>
    <row r="5483" spans="1:20" hidden="1" x14ac:dyDescent="0.35">
      <c r="A5483" s="11">
        <v>46307</v>
      </c>
      <c r="B5483" s="3">
        <v>1</v>
      </c>
      <c r="C5483" t="s">
        <v>100</v>
      </c>
      <c r="D5483" t="s">
        <v>18</v>
      </c>
      <c r="E5483" s="3">
        <v>24</v>
      </c>
      <c r="F5483" t="s">
        <v>19</v>
      </c>
      <c r="G5483" t="s">
        <v>88</v>
      </c>
      <c r="H5483" t="s">
        <v>89</v>
      </c>
      <c r="I5483" s="12">
        <v>0.83333333333333337</v>
      </c>
      <c r="J5483" t="s">
        <v>90</v>
      </c>
      <c r="K5483" t="s">
        <v>31</v>
      </c>
      <c r="L5483" s="12">
        <v>0.86111111111111116</v>
      </c>
      <c r="M5483" t="s">
        <v>63</v>
      </c>
      <c r="N5483" s="3">
        <v>232</v>
      </c>
      <c r="O5483" t="s">
        <v>24</v>
      </c>
      <c r="P5483" t="s">
        <v>79</v>
      </c>
      <c r="R5483">
        <f>tblDailySchedule[[#This Row],[Capacity Approx]]*'[1]Load Factor Sheet June Acft  '!$B$5</f>
        <v>187.86727272727273</v>
      </c>
      <c r="S5483">
        <f>tblDailySchedule[[#This Row],[Capacity Approx]]*'[1]Load Factor Sheet June Acft  '!$D$5</f>
        <v>203.4218181818182</v>
      </c>
      <c r="T5483" s="22">
        <f>tblDailySchedule[[#This Row],[STD]]</f>
        <v>0.86111111111111116</v>
      </c>
    </row>
    <row r="5484" spans="1:20" hidden="1" x14ac:dyDescent="0.35">
      <c r="A5484" s="11">
        <v>46307</v>
      </c>
      <c r="B5484" s="3">
        <v>1</v>
      </c>
      <c r="C5484" t="s">
        <v>100</v>
      </c>
      <c r="D5484" t="s">
        <v>18</v>
      </c>
      <c r="E5484" s="3">
        <v>25</v>
      </c>
      <c r="F5484" t="s">
        <v>19</v>
      </c>
      <c r="G5484" t="s">
        <v>91</v>
      </c>
      <c r="H5484" t="s">
        <v>61</v>
      </c>
      <c r="I5484" s="12">
        <v>0.85416666666666663</v>
      </c>
      <c r="J5484" t="s">
        <v>92</v>
      </c>
      <c r="K5484" t="s">
        <v>61</v>
      </c>
      <c r="L5484" s="12">
        <v>0.88194444444444442</v>
      </c>
      <c r="M5484" t="s">
        <v>63</v>
      </c>
      <c r="N5484" s="3">
        <v>232</v>
      </c>
      <c r="O5484" t="s">
        <v>24</v>
      </c>
      <c r="P5484" t="s">
        <v>79</v>
      </c>
      <c r="R5484">
        <f>tblDailySchedule[[#This Row],[Capacity Approx]]*'[1]Load Factor Sheet June Acft  '!$B$5</f>
        <v>187.86727272727273</v>
      </c>
      <c r="S5484">
        <f>tblDailySchedule[[#This Row],[Capacity Approx]]*'[1]Load Factor Sheet June Acft  '!$D$5</f>
        <v>203.4218181818182</v>
      </c>
      <c r="T5484" s="22">
        <f>tblDailySchedule[[#This Row],[STD]]</f>
        <v>0.88194444444444442</v>
      </c>
    </row>
    <row r="5485" spans="1:20" hidden="1" x14ac:dyDescent="0.35">
      <c r="A5485" s="11">
        <v>46307</v>
      </c>
      <c r="B5485" s="3">
        <v>1</v>
      </c>
      <c r="C5485" t="s">
        <v>100</v>
      </c>
      <c r="D5485" t="s">
        <v>18</v>
      </c>
      <c r="E5485" s="3">
        <v>26</v>
      </c>
      <c r="F5485" t="s">
        <v>19</v>
      </c>
      <c r="G5485" t="s">
        <v>93</v>
      </c>
      <c r="H5485" t="s">
        <v>31</v>
      </c>
      <c r="I5485" s="12">
        <v>0.86111111111111116</v>
      </c>
      <c r="J5485" t="s">
        <v>94</v>
      </c>
      <c r="K5485" t="s">
        <v>31</v>
      </c>
      <c r="L5485" s="12">
        <v>0.88888888888888884</v>
      </c>
      <c r="M5485" t="s">
        <v>23</v>
      </c>
      <c r="N5485" s="3">
        <v>186</v>
      </c>
      <c r="O5485" t="s">
        <v>24</v>
      </c>
      <c r="P5485" t="s">
        <v>79</v>
      </c>
      <c r="R5485">
        <f>tblDailySchedule[[#This Row],[Capacity Approx]]*'[1]Load Factor Sheet June Acft  '!$B$5</f>
        <v>150.61772727272728</v>
      </c>
      <c r="S5485">
        <f>tblDailySchedule[[#This Row],[Capacity Approx]]*'[1]Load Factor Sheet June Acft  '!$D$5</f>
        <v>163.08818181818182</v>
      </c>
      <c r="T5485" s="22">
        <f>tblDailySchedule[[#This Row],[STD]]</f>
        <v>0.88888888888888884</v>
      </c>
    </row>
    <row r="5486" spans="1:20" hidden="1" x14ac:dyDescent="0.35">
      <c r="A5486" s="11">
        <v>46307</v>
      </c>
      <c r="B5486" s="3">
        <v>1</v>
      </c>
      <c r="C5486" t="s">
        <v>100</v>
      </c>
      <c r="D5486" t="s">
        <v>18</v>
      </c>
      <c r="E5486" s="3">
        <v>27</v>
      </c>
      <c r="F5486" t="s">
        <v>19</v>
      </c>
      <c r="G5486" t="s">
        <v>95</v>
      </c>
      <c r="H5486" t="s">
        <v>21</v>
      </c>
      <c r="I5486" s="12">
        <v>0.86805555555555558</v>
      </c>
      <c r="J5486" t="s">
        <v>96</v>
      </c>
      <c r="K5486" t="s">
        <v>21</v>
      </c>
      <c r="L5486" s="12">
        <v>0.89583333333333337</v>
      </c>
      <c r="M5486" t="s">
        <v>29</v>
      </c>
      <c r="N5486" s="3">
        <v>186</v>
      </c>
      <c r="O5486" t="s">
        <v>24</v>
      </c>
      <c r="P5486" t="s">
        <v>79</v>
      </c>
      <c r="R5486">
        <f>tblDailySchedule[[#This Row],[Capacity Approx]]*'[1]Load Factor Sheet June Acft  '!$B$5</f>
        <v>150.61772727272728</v>
      </c>
      <c r="S5486">
        <f>tblDailySchedule[[#This Row],[Capacity Approx]]*'[1]Load Factor Sheet June Acft  '!$D$5</f>
        <v>163.08818181818182</v>
      </c>
      <c r="T5486" s="22">
        <f>tblDailySchedule[[#This Row],[STD]]</f>
        <v>0.89583333333333337</v>
      </c>
    </row>
    <row r="5487" spans="1:20" hidden="1" x14ac:dyDescent="0.35">
      <c r="A5487" s="11">
        <v>46307</v>
      </c>
      <c r="B5487" s="3">
        <v>1</v>
      </c>
      <c r="C5487" t="s">
        <v>100</v>
      </c>
      <c r="D5487" t="s">
        <v>18</v>
      </c>
      <c r="E5487" s="3">
        <v>28</v>
      </c>
      <c r="F5487" t="s">
        <v>19</v>
      </c>
      <c r="G5487" t="s">
        <v>97</v>
      </c>
      <c r="H5487" t="s">
        <v>49</v>
      </c>
      <c r="I5487" s="12">
        <v>0.90277777777777779</v>
      </c>
      <c r="J5487" t="s">
        <v>97</v>
      </c>
      <c r="K5487" t="s">
        <v>61</v>
      </c>
      <c r="L5487" s="12">
        <v>0.92361111111111116</v>
      </c>
      <c r="M5487" t="s">
        <v>33</v>
      </c>
      <c r="N5487" s="3">
        <v>189</v>
      </c>
      <c r="O5487" t="s">
        <v>24</v>
      </c>
      <c r="P5487" t="s">
        <v>79</v>
      </c>
      <c r="R5487">
        <f>tblDailySchedule[[#This Row],[Capacity Approx]]*'[1]Load Factor Sheet June Acft  '!$B$5</f>
        <v>153.04704545454547</v>
      </c>
      <c r="S5487">
        <f>tblDailySchedule[[#This Row],[Capacity Approx]]*'[1]Load Factor Sheet June Acft  '!$D$5</f>
        <v>165.71863636363636</v>
      </c>
      <c r="T5487" s="22">
        <f>tblDailySchedule[[#This Row],[STD]]</f>
        <v>0.92361111111111116</v>
      </c>
    </row>
    <row r="5488" spans="1:20" hidden="1" x14ac:dyDescent="0.35">
      <c r="A5488" s="11">
        <v>46307</v>
      </c>
      <c r="B5488" s="3">
        <v>1</v>
      </c>
      <c r="C5488" t="s">
        <v>100</v>
      </c>
      <c r="D5488" t="s">
        <v>18</v>
      </c>
      <c r="E5488" s="3">
        <v>29</v>
      </c>
      <c r="F5488" t="s">
        <v>19</v>
      </c>
      <c r="G5488" t="s">
        <v>98</v>
      </c>
      <c r="H5488" t="s">
        <v>21</v>
      </c>
      <c r="I5488" s="12">
        <v>0.92013888888888884</v>
      </c>
      <c r="J5488" t="s">
        <v>99</v>
      </c>
      <c r="K5488" t="s">
        <v>21</v>
      </c>
      <c r="L5488" s="12">
        <v>0.94791666666666663</v>
      </c>
      <c r="M5488" t="s">
        <v>63</v>
      </c>
      <c r="N5488" s="3">
        <v>232</v>
      </c>
      <c r="O5488" t="s">
        <v>24</v>
      </c>
      <c r="P5488" t="s">
        <v>79</v>
      </c>
      <c r="R5488">
        <f>tblDailySchedule[[#This Row],[Capacity Approx]]*'[1]Load Factor Sheet June Acft  '!$B$5</f>
        <v>187.86727272727273</v>
      </c>
      <c r="S5488">
        <f>tblDailySchedule[[#This Row],[Capacity Approx]]*'[1]Load Factor Sheet June Acft  '!$D$5</f>
        <v>203.4218181818182</v>
      </c>
      <c r="T5488" s="22">
        <f>tblDailySchedule[[#This Row],[STD]]</f>
        <v>0.94791666666666663</v>
      </c>
    </row>
    <row r="5489" spans="1:20" hidden="1" x14ac:dyDescent="0.35">
      <c r="A5489" s="13">
        <v>46307</v>
      </c>
      <c r="B5489" s="7">
        <v>1</v>
      </c>
      <c r="C5489" s="14" t="s">
        <v>100</v>
      </c>
      <c r="D5489" s="14" t="s">
        <v>18</v>
      </c>
      <c r="E5489" s="7">
        <v>30</v>
      </c>
      <c r="F5489" s="14" t="s">
        <v>104</v>
      </c>
      <c r="G5489" s="14" t="s">
        <v>105</v>
      </c>
      <c r="H5489" s="14" t="s">
        <v>106</v>
      </c>
      <c r="I5489" s="15">
        <v>0.92708333333333337</v>
      </c>
      <c r="J5489" s="14" t="s">
        <v>107</v>
      </c>
      <c r="K5489" s="14" t="s">
        <v>106</v>
      </c>
      <c r="L5489" s="15">
        <v>0.95833333333333337</v>
      </c>
      <c r="M5489" s="14" t="s">
        <v>38</v>
      </c>
      <c r="N5489" s="7">
        <v>186</v>
      </c>
      <c r="O5489" s="14" t="s">
        <v>39</v>
      </c>
      <c r="P5489" s="14" t="s">
        <v>79</v>
      </c>
      <c r="Q5489" s="14" t="s">
        <v>39</v>
      </c>
      <c r="R5489">
        <f>tblDailySchedule[[#This Row],[Capacity Approx]]*'[1]Load Factor Sheet June Acft  '!$B$5</f>
        <v>150.61772727272728</v>
      </c>
      <c r="S5489">
        <f>tblDailySchedule[[#This Row],[Capacity Approx]]*'[1]Load Factor Sheet June Acft  '!$D$5</f>
        <v>163.08818181818182</v>
      </c>
      <c r="T5489" s="22">
        <f>tblDailySchedule[[#This Row],[STD]]</f>
        <v>0.95833333333333337</v>
      </c>
    </row>
    <row r="5490" spans="1:20" hidden="1" x14ac:dyDescent="0.35">
      <c r="A5490" s="11">
        <v>46308</v>
      </c>
      <c r="B5490" s="3">
        <v>2</v>
      </c>
      <c r="C5490" t="s">
        <v>108</v>
      </c>
      <c r="D5490" t="s">
        <v>18</v>
      </c>
      <c r="E5490" s="3">
        <v>1</v>
      </c>
      <c r="F5490" t="s">
        <v>101</v>
      </c>
      <c r="G5490" t="s">
        <v>102</v>
      </c>
      <c r="H5490" t="s">
        <v>61</v>
      </c>
      <c r="I5490" s="12">
        <v>0.3125</v>
      </c>
      <c r="J5490" t="s">
        <v>103</v>
      </c>
      <c r="K5490" t="s">
        <v>61</v>
      </c>
      <c r="L5490" s="12">
        <v>0.33333333333333331</v>
      </c>
      <c r="M5490" t="s">
        <v>33</v>
      </c>
      <c r="N5490" s="3">
        <v>189</v>
      </c>
      <c r="O5490" t="s">
        <v>24</v>
      </c>
      <c r="P5490" t="s">
        <v>25</v>
      </c>
      <c r="R5490">
        <f>tblDailySchedule[[#This Row],[Capacity Approx]]*'[1]Load Factor Sheet June Acft  '!$B$5</f>
        <v>153.04704545454547</v>
      </c>
      <c r="S5490">
        <f>tblDailySchedule[[#This Row],[Capacity Approx]]*'[1]Load Factor Sheet June Acft  '!$D$5</f>
        <v>165.71863636363636</v>
      </c>
      <c r="T5490" s="22">
        <f>tblDailySchedule[[#This Row],[STD]]</f>
        <v>0.33333333333333331</v>
      </c>
    </row>
    <row r="5491" spans="1:20" hidden="1" x14ac:dyDescent="0.35">
      <c r="A5491" s="11">
        <v>46308</v>
      </c>
      <c r="B5491" s="3">
        <v>2</v>
      </c>
      <c r="C5491" t="s">
        <v>108</v>
      </c>
      <c r="D5491" t="s">
        <v>18</v>
      </c>
      <c r="E5491" s="3">
        <v>2</v>
      </c>
      <c r="F5491" t="s">
        <v>19</v>
      </c>
      <c r="G5491" t="s">
        <v>20</v>
      </c>
      <c r="H5491" t="s">
        <v>21</v>
      </c>
      <c r="I5491" s="12">
        <v>0.31944444444444442</v>
      </c>
      <c r="J5491" t="s">
        <v>22</v>
      </c>
      <c r="K5491" t="s">
        <v>21</v>
      </c>
      <c r="L5491" s="12">
        <v>0.34722222222222221</v>
      </c>
      <c r="M5491" t="s">
        <v>23</v>
      </c>
      <c r="N5491" s="3">
        <v>186</v>
      </c>
      <c r="O5491" t="s">
        <v>24</v>
      </c>
      <c r="P5491" t="s">
        <v>25</v>
      </c>
      <c r="R5491">
        <f>tblDailySchedule[[#This Row],[Capacity Approx]]*'[1]Load Factor Sheet June Acft  '!$B$5</f>
        <v>150.61772727272728</v>
      </c>
      <c r="S5491">
        <f>tblDailySchedule[[#This Row],[Capacity Approx]]*'[1]Load Factor Sheet June Acft  '!$D$5</f>
        <v>163.08818181818182</v>
      </c>
      <c r="T5491" s="22">
        <f>tblDailySchedule[[#This Row],[STD]]</f>
        <v>0.34722222222222221</v>
      </c>
    </row>
    <row r="5492" spans="1:20" hidden="1" x14ac:dyDescent="0.35">
      <c r="A5492" s="11">
        <v>46308</v>
      </c>
      <c r="B5492" s="3">
        <v>2</v>
      </c>
      <c r="C5492" t="s">
        <v>108</v>
      </c>
      <c r="D5492" t="s">
        <v>18</v>
      </c>
      <c r="E5492" s="3">
        <v>3</v>
      </c>
      <c r="F5492" t="s">
        <v>19</v>
      </c>
      <c r="G5492" t="s">
        <v>26</v>
      </c>
      <c r="H5492" t="s">
        <v>27</v>
      </c>
      <c r="I5492" s="12">
        <v>0.3263888888888889</v>
      </c>
      <c r="J5492" t="s">
        <v>28</v>
      </c>
      <c r="K5492" t="s">
        <v>27</v>
      </c>
      <c r="L5492" s="12">
        <v>0.35416666666666669</v>
      </c>
      <c r="M5492" t="s">
        <v>29</v>
      </c>
      <c r="N5492" s="3">
        <v>186</v>
      </c>
      <c r="O5492" t="s">
        <v>24</v>
      </c>
      <c r="P5492" t="s">
        <v>25</v>
      </c>
      <c r="R5492">
        <f>tblDailySchedule[[#This Row],[Capacity Approx]]*'[1]Load Factor Sheet June Acft  '!$B$5</f>
        <v>150.61772727272728</v>
      </c>
      <c r="S5492">
        <f>tblDailySchedule[[#This Row],[Capacity Approx]]*'[1]Load Factor Sheet June Acft  '!$D$5</f>
        <v>163.08818181818182</v>
      </c>
      <c r="T5492" s="22">
        <f>tblDailySchedule[[#This Row],[STD]]</f>
        <v>0.35416666666666669</v>
      </c>
    </row>
    <row r="5493" spans="1:20" hidden="1" x14ac:dyDescent="0.35">
      <c r="A5493" s="11">
        <v>46308</v>
      </c>
      <c r="B5493" s="3">
        <v>2</v>
      </c>
      <c r="C5493" t="s">
        <v>108</v>
      </c>
      <c r="D5493" t="s">
        <v>18</v>
      </c>
      <c r="E5493" s="3">
        <v>4</v>
      </c>
      <c r="F5493" t="s">
        <v>19</v>
      </c>
      <c r="G5493" t="s">
        <v>30</v>
      </c>
      <c r="H5493" t="s">
        <v>31</v>
      </c>
      <c r="I5493" s="12">
        <v>0.34722222222222221</v>
      </c>
      <c r="J5493" t="s">
        <v>32</v>
      </c>
      <c r="K5493" t="s">
        <v>31</v>
      </c>
      <c r="L5493" s="12">
        <v>0.36805555555555558</v>
      </c>
      <c r="M5493" t="s">
        <v>33</v>
      </c>
      <c r="N5493" s="3">
        <v>189</v>
      </c>
      <c r="O5493" t="s">
        <v>24</v>
      </c>
      <c r="P5493" t="s">
        <v>25</v>
      </c>
      <c r="R5493">
        <f>tblDailySchedule[[#This Row],[Capacity Approx]]*'[1]Load Factor Sheet June Acft  '!$B$5</f>
        <v>153.04704545454547</v>
      </c>
      <c r="S5493">
        <f>tblDailySchedule[[#This Row],[Capacity Approx]]*'[1]Load Factor Sheet June Acft  '!$D$5</f>
        <v>165.71863636363636</v>
      </c>
      <c r="T5493" s="22">
        <f>tblDailySchedule[[#This Row],[STD]]</f>
        <v>0.36805555555555558</v>
      </c>
    </row>
    <row r="5494" spans="1:20" hidden="1" x14ac:dyDescent="0.35">
      <c r="A5494" s="11">
        <v>46308</v>
      </c>
      <c r="B5494" s="3">
        <v>2</v>
      </c>
      <c r="C5494" t="s">
        <v>108</v>
      </c>
      <c r="D5494" t="s">
        <v>18</v>
      </c>
      <c r="E5494" s="3">
        <v>5</v>
      </c>
      <c r="F5494" t="s">
        <v>19</v>
      </c>
      <c r="G5494" t="s">
        <v>40</v>
      </c>
      <c r="H5494" t="s">
        <v>31</v>
      </c>
      <c r="I5494" s="12">
        <v>0.35069444444444442</v>
      </c>
      <c r="J5494" t="s">
        <v>41</v>
      </c>
      <c r="K5494" t="s">
        <v>31</v>
      </c>
      <c r="L5494" s="12">
        <v>0.37152777777777779</v>
      </c>
      <c r="M5494" t="s">
        <v>23</v>
      </c>
      <c r="N5494" s="3">
        <v>186</v>
      </c>
      <c r="O5494" t="s">
        <v>24</v>
      </c>
      <c r="P5494" t="s">
        <v>25</v>
      </c>
      <c r="R5494">
        <f>tblDailySchedule[[#This Row],[Capacity Approx]]*'[1]Load Factor Sheet June Acft  '!$B$5</f>
        <v>150.61772727272728</v>
      </c>
      <c r="S5494">
        <f>tblDailySchedule[[#This Row],[Capacity Approx]]*'[1]Load Factor Sheet June Acft  '!$D$5</f>
        <v>163.08818181818182</v>
      </c>
      <c r="T5494" s="22">
        <f>tblDailySchedule[[#This Row],[STD]]</f>
        <v>0.37152777777777779</v>
      </c>
    </row>
    <row r="5495" spans="1:20" hidden="1" x14ac:dyDescent="0.35">
      <c r="A5495" s="11">
        <v>46308</v>
      </c>
      <c r="B5495" s="3">
        <v>2</v>
      </c>
      <c r="C5495" t="s">
        <v>108</v>
      </c>
      <c r="D5495" t="s">
        <v>18</v>
      </c>
      <c r="E5495" s="3">
        <v>7</v>
      </c>
      <c r="F5495" t="s">
        <v>19</v>
      </c>
      <c r="G5495" t="s">
        <v>42</v>
      </c>
      <c r="H5495" t="s">
        <v>43</v>
      </c>
      <c r="I5495" s="12">
        <v>0.3923611111111111</v>
      </c>
      <c r="J5495" t="s">
        <v>44</v>
      </c>
      <c r="K5495" t="s">
        <v>43</v>
      </c>
      <c r="L5495" s="12">
        <v>0.40277777777777779</v>
      </c>
      <c r="M5495" t="s">
        <v>45</v>
      </c>
      <c r="N5495" s="3">
        <v>9</v>
      </c>
      <c r="O5495" t="s">
        <v>24</v>
      </c>
      <c r="P5495" t="s">
        <v>25</v>
      </c>
      <c r="R5495">
        <f>tblDailySchedule[[#This Row],[Capacity Approx]]*'[1]Load Factor Sheet June Acft  '!$B$5</f>
        <v>7.2879545454545456</v>
      </c>
      <c r="S5495">
        <f>tblDailySchedule[[#This Row],[Capacity Approx]]*'[1]Load Factor Sheet June Acft  '!$D$5</f>
        <v>7.8913636363636366</v>
      </c>
      <c r="T5495" s="22">
        <f>tblDailySchedule[[#This Row],[STD]]</f>
        <v>0.40277777777777779</v>
      </c>
    </row>
    <row r="5496" spans="1:20" hidden="1" x14ac:dyDescent="0.35">
      <c r="A5496" s="11">
        <v>46308</v>
      </c>
      <c r="B5496" s="3">
        <v>2</v>
      </c>
      <c r="C5496" t="s">
        <v>108</v>
      </c>
      <c r="D5496" t="s">
        <v>18</v>
      </c>
      <c r="E5496" s="3">
        <v>8</v>
      </c>
      <c r="F5496" t="s">
        <v>19</v>
      </c>
      <c r="G5496" t="s">
        <v>46</v>
      </c>
      <c r="H5496" t="s">
        <v>31</v>
      </c>
      <c r="I5496" s="12">
        <v>0.4201388888888889</v>
      </c>
      <c r="J5496" t="s">
        <v>47</v>
      </c>
      <c r="K5496" t="s">
        <v>31</v>
      </c>
      <c r="L5496" s="12">
        <v>0.44444444444444442</v>
      </c>
      <c r="M5496" t="s">
        <v>29</v>
      </c>
      <c r="N5496" s="3">
        <v>186</v>
      </c>
      <c r="O5496" t="s">
        <v>24</v>
      </c>
      <c r="P5496" t="s">
        <v>25</v>
      </c>
      <c r="R5496">
        <f>tblDailySchedule[[#This Row],[Capacity Approx]]*'[1]Load Factor Sheet June Acft  '!$B$5</f>
        <v>150.61772727272728</v>
      </c>
      <c r="S5496">
        <f>tblDailySchedule[[#This Row],[Capacity Approx]]*'[1]Load Factor Sheet June Acft  '!$D$5</f>
        <v>163.08818181818182</v>
      </c>
      <c r="T5496" s="22">
        <f>tblDailySchedule[[#This Row],[STD]]</f>
        <v>0.44444444444444442</v>
      </c>
    </row>
    <row r="5497" spans="1:20" hidden="1" x14ac:dyDescent="0.35">
      <c r="A5497" s="11">
        <v>46308</v>
      </c>
      <c r="B5497" s="3">
        <v>2</v>
      </c>
      <c r="C5497" t="s">
        <v>108</v>
      </c>
      <c r="D5497" t="s">
        <v>18</v>
      </c>
      <c r="E5497" s="3">
        <v>9</v>
      </c>
      <c r="F5497" t="s">
        <v>19</v>
      </c>
      <c r="G5497" t="s">
        <v>48</v>
      </c>
      <c r="H5497" t="s">
        <v>49</v>
      </c>
      <c r="I5497" s="12">
        <v>0.4375</v>
      </c>
      <c r="J5497" t="s">
        <v>50</v>
      </c>
      <c r="K5497" t="s">
        <v>49</v>
      </c>
      <c r="L5497" s="12">
        <v>0.45833333333333331</v>
      </c>
      <c r="M5497" t="s">
        <v>51</v>
      </c>
      <c r="N5497" s="3">
        <v>78</v>
      </c>
      <c r="O5497" t="s">
        <v>24</v>
      </c>
      <c r="P5497" t="s">
        <v>25</v>
      </c>
      <c r="R5497">
        <f>tblDailySchedule[[#This Row],[Capacity Approx]]*'[1]Load Factor Sheet June Acft  '!$B$5</f>
        <v>63.162272727272729</v>
      </c>
      <c r="S5497">
        <f>tblDailySchedule[[#This Row],[Capacity Approx]]*'[1]Load Factor Sheet June Acft  '!$D$5</f>
        <v>68.391818181818181</v>
      </c>
      <c r="T5497" s="22">
        <f>tblDailySchedule[[#This Row],[STD]]</f>
        <v>0.45833333333333331</v>
      </c>
    </row>
    <row r="5498" spans="1:20" hidden="1" x14ac:dyDescent="0.35">
      <c r="A5498" s="11">
        <v>46308</v>
      </c>
      <c r="B5498" s="3">
        <v>2</v>
      </c>
      <c r="C5498" t="s">
        <v>108</v>
      </c>
      <c r="D5498" t="s">
        <v>18</v>
      </c>
      <c r="E5498" s="3">
        <v>10</v>
      </c>
      <c r="F5498" t="s">
        <v>19</v>
      </c>
      <c r="G5498" t="s">
        <v>52</v>
      </c>
      <c r="H5498" t="s">
        <v>27</v>
      </c>
      <c r="I5498" s="12">
        <v>0.4826388888888889</v>
      </c>
      <c r="J5498" t="s">
        <v>53</v>
      </c>
      <c r="K5498" t="s">
        <v>27</v>
      </c>
      <c r="L5498" s="12">
        <v>0.51041666666666663</v>
      </c>
      <c r="M5498" t="s">
        <v>23</v>
      </c>
      <c r="N5498" s="3">
        <v>186</v>
      </c>
      <c r="O5498" t="s">
        <v>24</v>
      </c>
      <c r="P5498" t="s">
        <v>25</v>
      </c>
      <c r="R5498">
        <f>tblDailySchedule[[#This Row],[Capacity Approx]]*'[1]Load Factor Sheet June Acft  '!$B$5</f>
        <v>150.61772727272728</v>
      </c>
      <c r="S5498">
        <f>tblDailySchedule[[#This Row],[Capacity Approx]]*'[1]Load Factor Sheet June Acft  '!$D$5</f>
        <v>163.08818181818182</v>
      </c>
      <c r="T5498" s="22">
        <f>tblDailySchedule[[#This Row],[STD]]</f>
        <v>0.51041666666666663</v>
      </c>
    </row>
    <row r="5499" spans="1:20" hidden="1" x14ac:dyDescent="0.35">
      <c r="A5499" s="11">
        <v>46308</v>
      </c>
      <c r="B5499" s="3">
        <v>2</v>
      </c>
      <c r="C5499" t="s">
        <v>108</v>
      </c>
      <c r="D5499" t="s">
        <v>18</v>
      </c>
      <c r="E5499" s="3">
        <v>11</v>
      </c>
      <c r="F5499" t="s">
        <v>19</v>
      </c>
      <c r="G5499" t="s">
        <v>54</v>
      </c>
      <c r="H5499" t="s">
        <v>31</v>
      </c>
      <c r="I5499" s="12">
        <v>0.51388888888888884</v>
      </c>
      <c r="J5499" t="s">
        <v>55</v>
      </c>
      <c r="K5499" t="s">
        <v>31</v>
      </c>
      <c r="L5499" s="12">
        <v>0.54166666666666663</v>
      </c>
      <c r="M5499" t="s">
        <v>23</v>
      </c>
      <c r="N5499" s="3">
        <v>186</v>
      </c>
      <c r="O5499" t="s">
        <v>24</v>
      </c>
      <c r="P5499" t="s">
        <v>56</v>
      </c>
      <c r="R5499">
        <f>tblDailySchedule[[#This Row],[Capacity Approx]]*'[1]Load Factor Sheet June Acft  '!$B$5</f>
        <v>150.61772727272728</v>
      </c>
      <c r="S5499">
        <f>tblDailySchedule[[#This Row],[Capacity Approx]]*'[1]Load Factor Sheet June Acft  '!$D$5</f>
        <v>163.08818181818182</v>
      </c>
      <c r="T5499" s="22">
        <f>tblDailySchedule[[#This Row],[STD]]</f>
        <v>0.54166666666666663</v>
      </c>
    </row>
    <row r="5500" spans="1:20" hidden="1" x14ac:dyDescent="0.35">
      <c r="A5500" s="11">
        <v>46308</v>
      </c>
      <c r="B5500" s="3">
        <v>2</v>
      </c>
      <c r="C5500" t="s">
        <v>108</v>
      </c>
      <c r="D5500" t="s">
        <v>18</v>
      </c>
      <c r="E5500" s="3">
        <v>12</v>
      </c>
      <c r="F5500" t="s">
        <v>109</v>
      </c>
      <c r="G5500" t="s">
        <v>110</v>
      </c>
      <c r="H5500" t="s">
        <v>111</v>
      </c>
      <c r="I5500" s="12">
        <v>0.55555555555555558</v>
      </c>
      <c r="J5500" t="s">
        <v>112</v>
      </c>
      <c r="K5500" t="s">
        <v>111</v>
      </c>
      <c r="L5500" s="12">
        <v>0.56944444444444442</v>
      </c>
      <c r="M5500" t="s">
        <v>51</v>
      </c>
      <c r="N5500" s="3">
        <v>78</v>
      </c>
      <c r="O5500" t="s">
        <v>24</v>
      </c>
      <c r="P5500" t="s">
        <v>56</v>
      </c>
      <c r="R5500">
        <f>tblDailySchedule[[#This Row],[Capacity Approx]]*'[1]Load Factor Sheet June Acft  '!$B$5</f>
        <v>63.162272727272729</v>
      </c>
      <c r="S5500">
        <f>tblDailySchedule[[#This Row],[Capacity Approx]]*'[1]Load Factor Sheet June Acft  '!$D$5</f>
        <v>68.391818181818181</v>
      </c>
      <c r="T5500" s="22">
        <f>tblDailySchedule[[#This Row],[STD]]</f>
        <v>0.56944444444444442</v>
      </c>
    </row>
    <row r="5501" spans="1:20" hidden="1" x14ac:dyDescent="0.35">
      <c r="A5501" s="11">
        <v>46308</v>
      </c>
      <c r="B5501" s="3">
        <v>2</v>
      </c>
      <c r="C5501" t="s">
        <v>108</v>
      </c>
      <c r="D5501" t="s">
        <v>18</v>
      </c>
      <c r="E5501" s="3">
        <v>13</v>
      </c>
      <c r="F5501" t="s">
        <v>19</v>
      </c>
      <c r="G5501" t="s">
        <v>57</v>
      </c>
      <c r="H5501" t="s">
        <v>58</v>
      </c>
      <c r="I5501" s="12">
        <v>0.55902777777777779</v>
      </c>
      <c r="J5501" t="s">
        <v>59</v>
      </c>
      <c r="K5501" t="s">
        <v>58</v>
      </c>
      <c r="L5501" s="12">
        <v>0.57638888888888884</v>
      </c>
      <c r="M5501" t="s">
        <v>51</v>
      </c>
      <c r="N5501" s="3">
        <v>78</v>
      </c>
      <c r="O5501" t="s">
        <v>24</v>
      </c>
      <c r="P5501" t="s">
        <v>56</v>
      </c>
      <c r="R5501">
        <f>tblDailySchedule[[#This Row],[Capacity Approx]]*'[1]Load Factor Sheet June Acft  '!$B$5</f>
        <v>63.162272727272729</v>
      </c>
      <c r="S5501">
        <f>tblDailySchedule[[#This Row],[Capacity Approx]]*'[1]Load Factor Sheet June Acft  '!$D$5</f>
        <v>68.391818181818181</v>
      </c>
      <c r="T5501" s="22">
        <f>tblDailySchedule[[#This Row],[STD]]</f>
        <v>0.57638888888888884</v>
      </c>
    </row>
    <row r="5502" spans="1:20" hidden="1" x14ac:dyDescent="0.35">
      <c r="A5502" s="11">
        <v>46308</v>
      </c>
      <c r="B5502" s="3">
        <v>2</v>
      </c>
      <c r="C5502" t="s">
        <v>108</v>
      </c>
      <c r="D5502" t="s">
        <v>18</v>
      </c>
      <c r="E5502" s="3">
        <v>14</v>
      </c>
      <c r="F5502" t="s">
        <v>19</v>
      </c>
      <c r="G5502" t="s">
        <v>60</v>
      </c>
      <c r="H5502" t="s">
        <v>61</v>
      </c>
      <c r="I5502" s="12">
        <v>0.59027777777777779</v>
      </c>
      <c r="J5502" t="s">
        <v>62</v>
      </c>
      <c r="K5502" t="s">
        <v>61</v>
      </c>
      <c r="L5502" s="12">
        <v>0.62152777777777779</v>
      </c>
      <c r="M5502" t="s">
        <v>63</v>
      </c>
      <c r="N5502" s="3">
        <v>232</v>
      </c>
      <c r="O5502" t="s">
        <v>24</v>
      </c>
      <c r="P5502" t="s">
        <v>56</v>
      </c>
      <c r="R5502">
        <f>tblDailySchedule[[#This Row],[Capacity Approx]]*'[1]Load Factor Sheet June Acft  '!$B$5</f>
        <v>187.86727272727273</v>
      </c>
      <c r="S5502">
        <f>tblDailySchedule[[#This Row],[Capacity Approx]]*'[1]Load Factor Sheet June Acft  '!$D$5</f>
        <v>203.4218181818182</v>
      </c>
      <c r="T5502" s="22">
        <f>tblDailySchedule[[#This Row],[STD]]</f>
        <v>0.62152777777777779</v>
      </c>
    </row>
    <row r="5503" spans="1:20" hidden="1" x14ac:dyDescent="0.35">
      <c r="A5503" s="11">
        <v>46308</v>
      </c>
      <c r="B5503" s="3">
        <v>2</v>
      </c>
      <c r="C5503" t="s">
        <v>108</v>
      </c>
      <c r="D5503" t="s">
        <v>18</v>
      </c>
      <c r="E5503" s="3">
        <v>15</v>
      </c>
      <c r="F5503" t="s">
        <v>19</v>
      </c>
      <c r="G5503" t="s">
        <v>64</v>
      </c>
      <c r="H5503" t="s">
        <v>31</v>
      </c>
      <c r="I5503" s="12">
        <v>0.60069444444444442</v>
      </c>
      <c r="J5503" t="s">
        <v>65</v>
      </c>
      <c r="K5503" t="s">
        <v>66</v>
      </c>
      <c r="L5503" s="12">
        <v>0.62847222222222221</v>
      </c>
      <c r="M5503" t="s">
        <v>63</v>
      </c>
      <c r="N5503" s="3">
        <v>232</v>
      </c>
      <c r="O5503" t="s">
        <v>24</v>
      </c>
      <c r="P5503" t="s">
        <v>56</v>
      </c>
      <c r="R5503">
        <f>tblDailySchedule[[#This Row],[Capacity Approx]]*'[1]Load Factor Sheet June Acft  '!$B$5</f>
        <v>187.86727272727273</v>
      </c>
      <c r="S5503">
        <f>tblDailySchedule[[#This Row],[Capacity Approx]]*'[1]Load Factor Sheet June Acft  '!$D$5</f>
        <v>203.4218181818182</v>
      </c>
      <c r="T5503" s="22">
        <f>tblDailySchedule[[#This Row],[STD]]</f>
        <v>0.62847222222222221</v>
      </c>
    </row>
    <row r="5504" spans="1:20" hidden="1" x14ac:dyDescent="0.35">
      <c r="A5504" s="11">
        <v>46308</v>
      </c>
      <c r="B5504" s="3">
        <v>2</v>
      </c>
      <c r="C5504" t="s">
        <v>108</v>
      </c>
      <c r="D5504" t="s">
        <v>18</v>
      </c>
      <c r="E5504" s="3">
        <v>16</v>
      </c>
      <c r="F5504" t="s">
        <v>19</v>
      </c>
      <c r="G5504" t="s">
        <v>67</v>
      </c>
      <c r="H5504" t="s">
        <v>31</v>
      </c>
      <c r="I5504" s="12">
        <v>0.65625</v>
      </c>
      <c r="J5504" t="s">
        <v>68</v>
      </c>
      <c r="K5504" t="s">
        <v>31</v>
      </c>
      <c r="L5504" s="12">
        <v>0.68402777777777779</v>
      </c>
      <c r="M5504" t="s">
        <v>63</v>
      </c>
      <c r="N5504" s="3">
        <v>232</v>
      </c>
      <c r="O5504" t="s">
        <v>24</v>
      </c>
      <c r="P5504" t="s">
        <v>56</v>
      </c>
      <c r="R5504">
        <f>tblDailySchedule[[#This Row],[Capacity Approx]]*'[1]Load Factor Sheet June Acft  '!$B$5</f>
        <v>187.86727272727273</v>
      </c>
      <c r="S5504">
        <f>tblDailySchedule[[#This Row],[Capacity Approx]]*'[1]Load Factor Sheet June Acft  '!$D$5</f>
        <v>203.4218181818182</v>
      </c>
      <c r="T5504" s="22">
        <f>tblDailySchedule[[#This Row],[STD]]</f>
        <v>0.68402777777777779</v>
      </c>
    </row>
    <row r="5505" spans="1:20" hidden="1" x14ac:dyDescent="0.35">
      <c r="A5505" s="11">
        <v>46308</v>
      </c>
      <c r="B5505" s="3">
        <v>2</v>
      </c>
      <c r="C5505" t="s">
        <v>108</v>
      </c>
      <c r="D5505" t="s">
        <v>18</v>
      </c>
      <c r="E5505" s="3">
        <v>17</v>
      </c>
      <c r="F5505" t="s">
        <v>19</v>
      </c>
      <c r="G5505" t="s">
        <v>69</v>
      </c>
      <c r="H5505" t="s">
        <v>31</v>
      </c>
      <c r="I5505" s="12">
        <v>0.66319444444444442</v>
      </c>
      <c r="J5505" t="s">
        <v>70</v>
      </c>
      <c r="K5505" t="s">
        <v>31</v>
      </c>
      <c r="L5505" s="12">
        <v>0.69097222222222221</v>
      </c>
      <c r="M5505" t="s">
        <v>33</v>
      </c>
      <c r="N5505" s="3">
        <v>189</v>
      </c>
      <c r="O5505" t="s">
        <v>24</v>
      </c>
      <c r="P5505" t="s">
        <v>56</v>
      </c>
      <c r="R5505">
        <f>tblDailySchedule[[#This Row],[Capacity Approx]]*'[1]Load Factor Sheet June Acft  '!$B$5</f>
        <v>153.04704545454547</v>
      </c>
      <c r="S5505">
        <f>tblDailySchedule[[#This Row],[Capacity Approx]]*'[1]Load Factor Sheet June Acft  '!$D$5</f>
        <v>165.71863636363636</v>
      </c>
      <c r="T5505" s="22">
        <f>tblDailySchedule[[#This Row],[STD]]</f>
        <v>0.69097222222222221</v>
      </c>
    </row>
    <row r="5506" spans="1:20" hidden="1" x14ac:dyDescent="0.35">
      <c r="A5506" s="11">
        <v>46308</v>
      </c>
      <c r="B5506" s="3">
        <v>2</v>
      </c>
      <c r="C5506" t="s">
        <v>108</v>
      </c>
      <c r="D5506" t="s">
        <v>18</v>
      </c>
      <c r="E5506" s="3">
        <v>18</v>
      </c>
      <c r="F5506" t="s">
        <v>19</v>
      </c>
      <c r="G5506" t="s">
        <v>71</v>
      </c>
      <c r="H5506" t="s">
        <v>21</v>
      </c>
      <c r="I5506" s="12">
        <v>0.67013888888888884</v>
      </c>
      <c r="J5506" t="s">
        <v>72</v>
      </c>
      <c r="K5506" t="s">
        <v>21</v>
      </c>
      <c r="L5506" s="12">
        <v>0.69791666666666663</v>
      </c>
      <c r="M5506" t="s">
        <v>63</v>
      </c>
      <c r="N5506" s="3">
        <v>232</v>
      </c>
      <c r="O5506" t="s">
        <v>24</v>
      </c>
      <c r="P5506" t="s">
        <v>56</v>
      </c>
      <c r="R5506">
        <f>tblDailySchedule[[#This Row],[Capacity Approx]]*'[1]Load Factor Sheet June Acft  '!$B$5</f>
        <v>187.86727272727273</v>
      </c>
      <c r="S5506">
        <f>tblDailySchedule[[#This Row],[Capacity Approx]]*'[1]Load Factor Sheet June Acft  '!$D$5</f>
        <v>203.4218181818182</v>
      </c>
      <c r="T5506" s="22">
        <f>tblDailySchedule[[#This Row],[STD]]</f>
        <v>0.69791666666666663</v>
      </c>
    </row>
    <row r="5507" spans="1:20" hidden="1" x14ac:dyDescent="0.35">
      <c r="A5507" s="11">
        <v>46308</v>
      </c>
      <c r="B5507" s="3">
        <v>2</v>
      </c>
      <c r="C5507" t="s">
        <v>108</v>
      </c>
      <c r="D5507" t="s">
        <v>18</v>
      </c>
      <c r="E5507" s="3">
        <v>19</v>
      </c>
      <c r="F5507" t="s">
        <v>19</v>
      </c>
      <c r="G5507" t="s">
        <v>73</v>
      </c>
      <c r="H5507" t="s">
        <v>27</v>
      </c>
      <c r="I5507" s="12">
        <v>0.74652777777777779</v>
      </c>
      <c r="J5507" t="s">
        <v>74</v>
      </c>
      <c r="K5507" t="s">
        <v>27</v>
      </c>
      <c r="L5507" s="12">
        <v>0.77430555555555558</v>
      </c>
      <c r="M5507" t="s">
        <v>63</v>
      </c>
      <c r="N5507" s="3">
        <v>232</v>
      </c>
      <c r="O5507" t="s">
        <v>24</v>
      </c>
      <c r="P5507" t="s">
        <v>56</v>
      </c>
      <c r="R5507">
        <f>tblDailySchedule[[#This Row],[Capacity Approx]]*'[1]Load Factor Sheet June Acft  '!$B$5</f>
        <v>187.86727272727273</v>
      </c>
      <c r="S5507">
        <f>tblDailySchedule[[#This Row],[Capacity Approx]]*'[1]Load Factor Sheet June Acft  '!$D$5</f>
        <v>203.4218181818182</v>
      </c>
      <c r="T5507" s="22">
        <f>tblDailySchedule[[#This Row],[STD]]</f>
        <v>0.77430555555555558</v>
      </c>
    </row>
    <row r="5508" spans="1:20" hidden="1" x14ac:dyDescent="0.35">
      <c r="A5508" s="11">
        <v>46308</v>
      </c>
      <c r="B5508" s="3">
        <v>2</v>
      </c>
      <c r="C5508" t="s">
        <v>108</v>
      </c>
      <c r="D5508" t="s">
        <v>18</v>
      </c>
      <c r="E5508" s="3">
        <v>21</v>
      </c>
      <c r="F5508" t="s">
        <v>19</v>
      </c>
      <c r="G5508" t="s">
        <v>81</v>
      </c>
      <c r="H5508" t="s">
        <v>61</v>
      </c>
      <c r="I5508" s="12">
        <v>0.77083333333333337</v>
      </c>
      <c r="J5508" t="s">
        <v>82</v>
      </c>
      <c r="K5508" t="s">
        <v>49</v>
      </c>
      <c r="L5508" s="12">
        <v>0.79166666666666663</v>
      </c>
      <c r="M5508" t="s">
        <v>33</v>
      </c>
      <c r="N5508" s="3">
        <v>189</v>
      </c>
      <c r="O5508" t="s">
        <v>24</v>
      </c>
      <c r="P5508" t="s">
        <v>79</v>
      </c>
      <c r="R5508">
        <f>tblDailySchedule[[#This Row],[Capacity Approx]]*'[1]Load Factor Sheet June Acft  '!$B$5</f>
        <v>153.04704545454547</v>
      </c>
      <c r="S5508">
        <f>tblDailySchedule[[#This Row],[Capacity Approx]]*'[1]Load Factor Sheet June Acft  '!$D$5</f>
        <v>165.71863636363636</v>
      </c>
      <c r="T5508" s="22">
        <f>tblDailySchedule[[#This Row],[STD]]</f>
        <v>0.79166666666666663</v>
      </c>
    </row>
    <row r="5509" spans="1:20" hidden="1" x14ac:dyDescent="0.35">
      <c r="A5509" s="11">
        <v>46308</v>
      </c>
      <c r="B5509" s="3">
        <v>2</v>
      </c>
      <c r="C5509" t="s">
        <v>108</v>
      </c>
      <c r="D5509" t="s">
        <v>18</v>
      </c>
      <c r="E5509" s="3">
        <v>22</v>
      </c>
      <c r="F5509" t="s">
        <v>19</v>
      </c>
      <c r="G5509" t="s">
        <v>83</v>
      </c>
      <c r="H5509" t="s">
        <v>31</v>
      </c>
      <c r="I5509" s="12">
        <v>0.77777777777777779</v>
      </c>
      <c r="J5509" t="s">
        <v>84</v>
      </c>
      <c r="K5509" t="s">
        <v>31</v>
      </c>
      <c r="L5509" s="12">
        <v>0.80555555555555558</v>
      </c>
      <c r="M5509" t="s">
        <v>63</v>
      </c>
      <c r="N5509" s="3">
        <v>232</v>
      </c>
      <c r="O5509" t="s">
        <v>24</v>
      </c>
      <c r="P5509" t="s">
        <v>79</v>
      </c>
      <c r="R5509">
        <f>tblDailySchedule[[#This Row],[Capacity Approx]]*'[1]Load Factor Sheet June Acft  '!$B$5</f>
        <v>187.86727272727273</v>
      </c>
      <c r="S5509">
        <f>tblDailySchedule[[#This Row],[Capacity Approx]]*'[1]Load Factor Sheet June Acft  '!$D$5</f>
        <v>203.4218181818182</v>
      </c>
      <c r="T5509" s="22">
        <f>tblDailySchedule[[#This Row],[STD]]</f>
        <v>0.80555555555555558</v>
      </c>
    </row>
    <row r="5510" spans="1:20" hidden="1" x14ac:dyDescent="0.35">
      <c r="A5510" s="11">
        <v>46308</v>
      </c>
      <c r="B5510" s="3">
        <v>2</v>
      </c>
      <c r="C5510" t="s">
        <v>108</v>
      </c>
      <c r="D5510" t="s">
        <v>18</v>
      </c>
      <c r="E5510" s="3">
        <v>23</v>
      </c>
      <c r="F5510" t="s">
        <v>19</v>
      </c>
      <c r="G5510" t="s">
        <v>85</v>
      </c>
      <c r="H5510" t="s">
        <v>86</v>
      </c>
      <c r="I5510" s="12">
        <v>0.79861111111111116</v>
      </c>
      <c r="J5510" t="s">
        <v>87</v>
      </c>
      <c r="K5510" t="s">
        <v>86</v>
      </c>
      <c r="L5510" s="12">
        <v>0.82638888888888884</v>
      </c>
      <c r="M5510" t="s">
        <v>63</v>
      </c>
      <c r="N5510" s="3">
        <v>232</v>
      </c>
      <c r="O5510" t="s">
        <v>24</v>
      </c>
      <c r="P5510" t="s">
        <v>79</v>
      </c>
      <c r="R5510">
        <f>tblDailySchedule[[#This Row],[Capacity Approx]]*'[1]Load Factor Sheet June Acft  '!$B$5</f>
        <v>187.86727272727273</v>
      </c>
      <c r="S5510">
        <f>tblDailySchedule[[#This Row],[Capacity Approx]]*'[1]Load Factor Sheet June Acft  '!$D$5</f>
        <v>203.4218181818182</v>
      </c>
      <c r="T5510" s="22">
        <f>tblDailySchedule[[#This Row],[STD]]</f>
        <v>0.82638888888888884</v>
      </c>
    </row>
    <row r="5511" spans="1:20" hidden="1" x14ac:dyDescent="0.35">
      <c r="A5511" s="11">
        <v>46308</v>
      </c>
      <c r="B5511" s="3">
        <v>2</v>
      </c>
      <c r="C5511" t="s">
        <v>108</v>
      </c>
      <c r="D5511" t="s">
        <v>18</v>
      </c>
      <c r="E5511" s="3">
        <v>24</v>
      </c>
      <c r="F5511" t="s">
        <v>19</v>
      </c>
      <c r="G5511" t="s">
        <v>88</v>
      </c>
      <c r="H5511" t="s">
        <v>89</v>
      </c>
      <c r="I5511" s="12">
        <v>0.83333333333333337</v>
      </c>
      <c r="J5511" t="s">
        <v>90</v>
      </c>
      <c r="K5511" t="s">
        <v>31</v>
      </c>
      <c r="L5511" s="12">
        <v>0.86111111111111116</v>
      </c>
      <c r="M5511" t="s">
        <v>63</v>
      </c>
      <c r="N5511" s="3">
        <v>232</v>
      </c>
      <c r="O5511" t="s">
        <v>24</v>
      </c>
      <c r="P5511" t="s">
        <v>79</v>
      </c>
      <c r="R5511">
        <f>tblDailySchedule[[#This Row],[Capacity Approx]]*'[1]Load Factor Sheet June Acft  '!$B$5</f>
        <v>187.86727272727273</v>
      </c>
      <c r="S5511">
        <f>tblDailySchedule[[#This Row],[Capacity Approx]]*'[1]Load Factor Sheet June Acft  '!$D$5</f>
        <v>203.4218181818182</v>
      </c>
      <c r="T5511" s="22">
        <f>tblDailySchedule[[#This Row],[STD]]</f>
        <v>0.86111111111111116</v>
      </c>
    </row>
    <row r="5512" spans="1:20" hidden="1" x14ac:dyDescent="0.35">
      <c r="A5512" s="11">
        <v>46308</v>
      </c>
      <c r="B5512" s="3">
        <v>2</v>
      </c>
      <c r="C5512" t="s">
        <v>108</v>
      </c>
      <c r="D5512" t="s">
        <v>18</v>
      </c>
      <c r="E5512" s="3">
        <v>25</v>
      </c>
      <c r="F5512" t="s">
        <v>19</v>
      </c>
      <c r="G5512" t="s">
        <v>91</v>
      </c>
      <c r="H5512" t="s">
        <v>61</v>
      </c>
      <c r="I5512" s="12">
        <v>0.85416666666666663</v>
      </c>
      <c r="J5512" t="s">
        <v>92</v>
      </c>
      <c r="K5512" t="s">
        <v>61</v>
      </c>
      <c r="L5512" s="12">
        <v>0.88194444444444442</v>
      </c>
      <c r="M5512" t="s">
        <v>63</v>
      </c>
      <c r="N5512" s="3">
        <v>232</v>
      </c>
      <c r="O5512" t="s">
        <v>24</v>
      </c>
      <c r="P5512" t="s">
        <v>79</v>
      </c>
      <c r="R5512">
        <f>tblDailySchedule[[#This Row],[Capacity Approx]]*'[1]Load Factor Sheet June Acft  '!$B$5</f>
        <v>187.86727272727273</v>
      </c>
      <c r="S5512">
        <f>tblDailySchedule[[#This Row],[Capacity Approx]]*'[1]Load Factor Sheet June Acft  '!$D$5</f>
        <v>203.4218181818182</v>
      </c>
      <c r="T5512" s="22">
        <f>tblDailySchedule[[#This Row],[STD]]</f>
        <v>0.88194444444444442</v>
      </c>
    </row>
    <row r="5513" spans="1:20" hidden="1" x14ac:dyDescent="0.35">
      <c r="A5513" s="11">
        <v>46308</v>
      </c>
      <c r="B5513" s="3">
        <v>2</v>
      </c>
      <c r="C5513" t="s">
        <v>108</v>
      </c>
      <c r="D5513" t="s">
        <v>18</v>
      </c>
      <c r="E5513" s="3">
        <v>26</v>
      </c>
      <c r="F5513" t="s">
        <v>19</v>
      </c>
      <c r="G5513" t="s">
        <v>93</v>
      </c>
      <c r="H5513" t="s">
        <v>31</v>
      </c>
      <c r="I5513" s="12">
        <v>0.86111111111111116</v>
      </c>
      <c r="J5513" t="s">
        <v>94</v>
      </c>
      <c r="K5513" t="s">
        <v>31</v>
      </c>
      <c r="L5513" s="12">
        <v>0.88888888888888884</v>
      </c>
      <c r="M5513" t="s">
        <v>23</v>
      </c>
      <c r="N5513" s="3">
        <v>186</v>
      </c>
      <c r="O5513" t="s">
        <v>24</v>
      </c>
      <c r="P5513" t="s">
        <v>79</v>
      </c>
      <c r="R5513">
        <f>tblDailySchedule[[#This Row],[Capacity Approx]]*'[1]Load Factor Sheet June Acft  '!$B$5</f>
        <v>150.61772727272728</v>
      </c>
      <c r="S5513">
        <f>tblDailySchedule[[#This Row],[Capacity Approx]]*'[1]Load Factor Sheet June Acft  '!$D$5</f>
        <v>163.08818181818182</v>
      </c>
      <c r="T5513" s="22">
        <f>tblDailySchedule[[#This Row],[STD]]</f>
        <v>0.88888888888888884</v>
      </c>
    </row>
    <row r="5514" spans="1:20" hidden="1" x14ac:dyDescent="0.35">
      <c r="A5514" s="11">
        <v>46308</v>
      </c>
      <c r="B5514" s="3">
        <v>2</v>
      </c>
      <c r="C5514" t="s">
        <v>108</v>
      </c>
      <c r="D5514" t="s">
        <v>18</v>
      </c>
      <c r="E5514" s="3">
        <v>27</v>
      </c>
      <c r="F5514" t="s">
        <v>19</v>
      </c>
      <c r="G5514" t="s">
        <v>95</v>
      </c>
      <c r="H5514" t="s">
        <v>21</v>
      </c>
      <c r="I5514" s="12">
        <v>0.86805555555555558</v>
      </c>
      <c r="J5514" t="s">
        <v>96</v>
      </c>
      <c r="K5514" t="s">
        <v>21</v>
      </c>
      <c r="L5514" s="12">
        <v>0.89583333333333337</v>
      </c>
      <c r="M5514" t="s">
        <v>29</v>
      </c>
      <c r="N5514" s="3">
        <v>186</v>
      </c>
      <c r="O5514" t="s">
        <v>24</v>
      </c>
      <c r="P5514" t="s">
        <v>79</v>
      </c>
      <c r="R5514">
        <f>tblDailySchedule[[#This Row],[Capacity Approx]]*'[1]Load Factor Sheet June Acft  '!$B$5</f>
        <v>150.61772727272728</v>
      </c>
      <c r="S5514">
        <f>tblDailySchedule[[#This Row],[Capacity Approx]]*'[1]Load Factor Sheet June Acft  '!$D$5</f>
        <v>163.08818181818182</v>
      </c>
      <c r="T5514" s="22">
        <f>tblDailySchedule[[#This Row],[STD]]</f>
        <v>0.89583333333333337</v>
      </c>
    </row>
    <row r="5515" spans="1:20" hidden="1" x14ac:dyDescent="0.35">
      <c r="A5515" s="11">
        <v>46308</v>
      </c>
      <c r="B5515" s="3">
        <v>2</v>
      </c>
      <c r="C5515" t="s">
        <v>108</v>
      </c>
      <c r="D5515" t="s">
        <v>18</v>
      </c>
      <c r="E5515" s="3">
        <v>28</v>
      </c>
      <c r="F5515" t="s">
        <v>19</v>
      </c>
      <c r="G5515" t="s">
        <v>97</v>
      </c>
      <c r="H5515" t="s">
        <v>49</v>
      </c>
      <c r="I5515" s="12">
        <v>0.90277777777777779</v>
      </c>
      <c r="J5515" t="s">
        <v>97</v>
      </c>
      <c r="K5515" t="s">
        <v>61</v>
      </c>
      <c r="L5515" s="12">
        <v>0.92361111111111116</v>
      </c>
      <c r="M5515" t="s">
        <v>33</v>
      </c>
      <c r="N5515" s="3">
        <v>189</v>
      </c>
      <c r="O5515" t="s">
        <v>24</v>
      </c>
      <c r="P5515" t="s">
        <v>79</v>
      </c>
      <c r="R5515">
        <f>tblDailySchedule[[#This Row],[Capacity Approx]]*'[1]Load Factor Sheet June Acft  '!$B$5</f>
        <v>153.04704545454547</v>
      </c>
      <c r="S5515">
        <f>tblDailySchedule[[#This Row],[Capacity Approx]]*'[1]Load Factor Sheet June Acft  '!$D$5</f>
        <v>165.71863636363636</v>
      </c>
      <c r="T5515" s="22">
        <f>tblDailySchedule[[#This Row],[STD]]</f>
        <v>0.92361111111111116</v>
      </c>
    </row>
    <row r="5516" spans="1:20" hidden="1" x14ac:dyDescent="0.35">
      <c r="A5516" s="11">
        <v>46308</v>
      </c>
      <c r="B5516" s="3">
        <v>2</v>
      </c>
      <c r="C5516" t="s">
        <v>108</v>
      </c>
      <c r="D5516" t="s">
        <v>18</v>
      </c>
      <c r="E5516" s="3">
        <v>29</v>
      </c>
      <c r="F5516" t="s">
        <v>19</v>
      </c>
      <c r="G5516" t="s">
        <v>98</v>
      </c>
      <c r="H5516" t="s">
        <v>21</v>
      </c>
      <c r="I5516" s="12">
        <v>0.92013888888888884</v>
      </c>
      <c r="J5516" t="s">
        <v>99</v>
      </c>
      <c r="K5516" t="s">
        <v>21</v>
      </c>
      <c r="L5516" s="12">
        <v>0.94791666666666663</v>
      </c>
      <c r="M5516" t="s">
        <v>63</v>
      </c>
      <c r="N5516" s="3">
        <v>232</v>
      </c>
      <c r="O5516" t="s">
        <v>24</v>
      </c>
      <c r="P5516" t="s">
        <v>79</v>
      </c>
      <c r="R5516">
        <f>tblDailySchedule[[#This Row],[Capacity Approx]]*'[1]Load Factor Sheet June Acft  '!$B$5</f>
        <v>187.86727272727273</v>
      </c>
      <c r="S5516">
        <f>tblDailySchedule[[#This Row],[Capacity Approx]]*'[1]Load Factor Sheet June Acft  '!$D$5</f>
        <v>203.4218181818182</v>
      </c>
      <c r="T5516" s="22">
        <f>tblDailySchedule[[#This Row],[STD]]</f>
        <v>0.94791666666666663</v>
      </c>
    </row>
    <row r="5517" spans="1:20" hidden="1" x14ac:dyDescent="0.35">
      <c r="A5517" s="11">
        <v>46309</v>
      </c>
      <c r="B5517" s="3">
        <v>3</v>
      </c>
      <c r="C5517" t="s">
        <v>113</v>
      </c>
      <c r="D5517" t="s">
        <v>18</v>
      </c>
      <c r="E5517" s="3">
        <v>2</v>
      </c>
      <c r="F5517" t="s">
        <v>19</v>
      </c>
      <c r="G5517" t="s">
        <v>20</v>
      </c>
      <c r="H5517" t="s">
        <v>21</v>
      </c>
      <c r="I5517" s="12">
        <v>0.31944444444444442</v>
      </c>
      <c r="J5517" t="s">
        <v>22</v>
      </c>
      <c r="K5517" t="s">
        <v>21</v>
      </c>
      <c r="L5517" s="12">
        <v>0.34722222222222221</v>
      </c>
      <c r="M5517" t="s">
        <v>23</v>
      </c>
      <c r="N5517" s="3">
        <v>186</v>
      </c>
      <c r="O5517" t="s">
        <v>24</v>
      </c>
      <c r="P5517" t="s">
        <v>25</v>
      </c>
      <c r="R5517">
        <f>tblDailySchedule[[#This Row],[Capacity Approx]]*'[1]Load Factor Sheet June Acft  '!$B$5</f>
        <v>150.61772727272728</v>
      </c>
      <c r="S5517">
        <f>tblDailySchedule[[#This Row],[Capacity Approx]]*'[1]Load Factor Sheet June Acft  '!$D$5</f>
        <v>163.08818181818182</v>
      </c>
      <c r="T5517" s="22">
        <f>tblDailySchedule[[#This Row],[STD]]</f>
        <v>0.34722222222222221</v>
      </c>
    </row>
    <row r="5518" spans="1:20" hidden="1" x14ac:dyDescent="0.35">
      <c r="A5518" s="11">
        <v>46309</v>
      </c>
      <c r="B5518" s="3">
        <v>3</v>
      </c>
      <c r="C5518" t="s">
        <v>113</v>
      </c>
      <c r="D5518" t="s">
        <v>18</v>
      </c>
      <c r="E5518" s="3">
        <v>3</v>
      </c>
      <c r="F5518" t="s">
        <v>19</v>
      </c>
      <c r="G5518" t="s">
        <v>26</v>
      </c>
      <c r="H5518" t="s">
        <v>27</v>
      </c>
      <c r="I5518" s="12">
        <v>0.3263888888888889</v>
      </c>
      <c r="J5518" t="s">
        <v>28</v>
      </c>
      <c r="K5518" t="s">
        <v>27</v>
      </c>
      <c r="L5518" s="12">
        <v>0.35416666666666669</v>
      </c>
      <c r="M5518" t="s">
        <v>29</v>
      </c>
      <c r="N5518" s="3">
        <v>186</v>
      </c>
      <c r="O5518" t="s">
        <v>24</v>
      </c>
      <c r="P5518" t="s">
        <v>25</v>
      </c>
      <c r="R5518">
        <f>tblDailySchedule[[#This Row],[Capacity Approx]]*'[1]Load Factor Sheet June Acft  '!$B$5</f>
        <v>150.61772727272728</v>
      </c>
      <c r="S5518">
        <f>tblDailySchedule[[#This Row],[Capacity Approx]]*'[1]Load Factor Sheet June Acft  '!$D$5</f>
        <v>163.08818181818182</v>
      </c>
      <c r="T5518" s="22">
        <f>tblDailySchedule[[#This Row],[STD]]</f>
        <v>0.35416666666666669</v>
      </c>
    </row>
    <row r="5519" spans="1:20" hidden="1" x14ac:dyDescent="0.35">
      <c r="A5519" s="11">
        <v>46309</v>
      </c>
      <c r="B5519" s="3">
        <v>3</v>
      </c>
      <c r="C5519" t="s">
        <v>113</v>
      </c>
      <c r="D5519" t="s">
        <v>18</v>
      </c>
      <c r="E5519" s="3">
        <v>4</v>
      </c>
      <c r="F5519" t="s">
        <v>19</v>
      </c>
      <c r="G5519" t="s">
        <v>30</v>
      </c>
      <c r="H5519" t="s">
        <v>31</v>
      </c>
      <c r="I5519" s="12">
        <v>0.34722222222222221</v>
      </c>
      <c r="J5519" t="s">
        <v>32</v>
      </c>
      <c r="K5519" t="s">
        <v>31</v>
      </c>
      <c r="L5519" s="12">
        <v>0.36805555555555558</v>
      </c>
      <c r="M5519" t="s">
        <v>33</v>
      </c>
      <c r="N5519" s="3">
        <v>189</v>
      </c>
      <c r="O5519" t="s">
        <v>24</v>
      </c>
      <c r="P5519" t="s">
        <v>25</v>
      </c>
      <c r="R5519">
        <f>tblDailySchedule[[#This Row],[Capacity Approx]]*'[1]Load Factor Sheet June Acft  '!$B$5</f>
        <v>153.04704545454547</v>
      </c>
      <c r="S5519">
        <f>tblDailySchedule[[#This Row],[Capacity Approx]]*'[1]Load Factor Sheet June Acft  '!$D$5</f>
        <v>165.71863636363636</v>
      </c>
      <c r="T5519" s="22">
        <f>tblDailySchedule[[#This Row],[STD]]</f>
        <v>0.36805555555555558</v>
      </c>
    </row>
    <row r="5520" spans="1:20" hidden="1" x14ac:dyDescent="0.35">
      <c r="A5520" s="13">
        <v>46309</v>
      </c>
      <c r="B5520" s="7">
        <v>3</v>
      </c>
      <c r="C5520" s="14" t="s">
        <v>113</v>
      </c>
      <c r="D5520" s="14" t="s">
        <v>18</v>
      </c>
      <c r="E5520" s="7">
        <v>6</v>
      </c>
      <c r="F5520" s="14" t="s">
        <v>34</v>
      </c>
      <c r="G5520" s="14" t="s">
        <v>35</v>
      </c>
      <c r="H5520" s="14" t="s">
        <v>36</v>
      </c>
      <c r="I5520" s="15">
        <v>0.34722222222222221</v>
      </c>
      <c r="J5520" s="14" t="s">
        <v>37</v>
      </c>
      <c r="K5520" s="14" t="s">
        <v>36</v>
      </c>
      <c r="L5520" s="15">
        <v>0.40972222222222221</v>
      </c>
      <c r="M5520" s="14" t="s">
        <v>38</v>
      </c>
      <c r="N5520" s="7">
        <v>186</v>
      </c>
      <c r="O5520" s="14" t="s">
        <v>39</v>
      </c>
      <c r="P5520" s="14" t="s">
        <v>25</v>
      </c>
      <c r="Q5520" s="14" t="s">
        <v>39</v>
      </c>
      <c r="R5520">
        <f>tblDailySchedule[[#This Row],[Capacity Approx]]*'[1]Load Factor Sheet June Acft  '!$B$5</f>
        <v>150.61772727272728</v>
      </c>
      <c r="S5520">
        <f>tblDailySchedule[[#This Row],[Capacity Approx]]*'[1]Load Factor Sheet June Acft  '!$D$5</f>
        <v>163.08818181818182</v>
      </c>
      <c r="T5520" s="22">
        <f>tblDailySchedule[[#This Row],[STD]]</f>
        <v>0.40972222222222221</v>
      </c>
    </row>
    <row r="5521" spans="1:20" hidden="1" x14ac:dyDescent="0.35">
      <c r="A5521" s="11">
        <v>46309</v>
      </c>
      <c r="B5521" s="3">
        <v>3</v>
      </c>
      <c r="C5521" t="s">
        <v>113</v>
      </c>
      <c r="D5521" t="s">
        <v>18</v>
      </c>
      <c r="E5521" s="3">
        <v>5</v>
      </c>
      <c r="F5521" t="s">
        <v>19</v>
      </c>
      <c r="G5521" t="s">
        <v>40</v>
      </c>
      <c r="H5521" t="s">
        <v>31</v>
      </c>
      <c r="I5521" s="12">
        <v>0.35069444444444442</v>
      </c>
      <c r="J5521" t="s">
        <v>41</v>
      </c>
      <c r="K5521" t="s">
        <v>31</v>
      </c>
      <c r="L5521" s="12">
        <v>0.37152777777777779</v>
      </c>
      <c r="M5521" t="s">
        <v>23</v>
      </c>
      <c r="N5521" s="3">
        <v>186</v>
      </c>
      <c r="O5521" t="s">
        <v>24</v>
      </c>
      <c r="P5521" t="s">
        <v>25</v>
      </c>
      <c r="R5521">
        <f>tblDailySchedule[[#This Row],[Capacity Approx]]*'[1]Load Factor Sheet June Acft  '!$B$5</f>
        <v>150.61772727272728</v>
      </c>
      <c r="S5521">
        <f>tblDailySchedule[[#This Row],[Capacity Approx]]*'[1]Load Factor Sheet June Acft  '!$D$5</f>
        <v>163.08818181818182</v>
      </c>
      <c r="T5521" s="22">
        <f>tblDailySchedule[[#This Row],[STD]]</f>
        <v>0.37152777777777779</v>
      </c>
    </row>
    <row r="5522" spans="1:20" hidden="1" x14ac:dyDescent="0.35">
      <c r="A5522" s="11">
        <v>46309</v>
      </c>
      <c r="B5522" s="3">
        <v>3</v>
      </c>
      <c r="C5522" t="s">
        <v>113</v>
      </c>
      <c r="D5522" t="s">
        <v>18</v>
      </c>
      <c r="E5522" s="3">
        <v>7</v>
      </c>
      <c r="F5522" t="s">
        <v>19</v>
      </c>
      <c r="G5522" t="s">
        <v>42</v>
      </c>
      <c r="H5522" t="s">
        <v>43</v>
      </c>
      <c r="I5522" s="12">
        <v>0.3923611111111111</v>
      </c>
      <c r="J5522" t="s">
        <v>44</v>
      </c>
      <c r="K5522" t="s">
        <v>43</v>
      </c>
      <c r="L5522" s="12">
        <v>0.40277777777777779</v>
      </c>
      <c r="M5522" t="s">
        <v>45</v>
      </c>
      <c r="N5522" s="3">
        <v>9</v>
      </c>
      <c r="O5522" t="s">
        <v>24</v>
      </c>
      <c r="P5522" t="s">
        <v>25</v>
      </c>
      <c r="R5522">
        <f>tblDailySchedule[[#This Row],[Capacity Approx]]*'[1]Load Factor Sheet June Acft  '!$B$5</f>
        <v>7.2879545454545456</v>
      </c>
      <c r="S5522">
        <f>tblDailySchedule[[#This Row],[Capacity Approx]]*'[1]Load Factor Sheet June Acft  '!$D$5</f>
        <v>7.8913636363636366</v>
      </c>
      <c r="T5522" s="22">
        <f>tblDailySchedule[[#This Row],[STD]]</f>
        <v>0.40277777777777779</v>
      </c>
    </row>
    <row r="5523" spans="1:20" hidden="1" x14ac:dyDescent="0.35">
      <c r="A5523" s="11">
        <v>46309</v>
      </c>
      <c r="B5523" s="3">
        <v>3</v>
      </c>
      <c r="C5523" t="s">
        <v>113</v>
      </c>
      <c r="D5523" t="s">
        <v>18</v>
      </c>
      <c r="E5523" s="3">
        <v>8</v>
      </c>
      <c r="F5523" t="s">
        <v>19</v>
      </c>
      <c r="G5523" t="s">
        <v>46</v>
      </c>
      <c r="H5523" t="s">
        <v>31</v>
      </c>
      <c r="I5523" s="12">
        <v>0.4201388888888889</v>
      </c>
      <c r="J5523" t="s">
        <v>47</v>
      </c>
      <c r="K5523" t="s">
        <v>31</v>
      </c>
      <c r="L5523" s="12">
        <v>0.44444444444444442</v>
      </c>
      <c r="M5523" t="s">
        <v>29</v>
      </c>
      <c r="N5523" s="3">
        <v>186</v>
      </c>
      <c r="O5523" t="s">
        <v>24</v>
      </c>
      <c r="P5523" t="s">
        <v>25</v>
      </c>
      <c r="R5523">
        <f>tblDailySchedule[[#This Row],[Capacity Approx]]*'[1]Load Factor Sheet June Acft  '!$B$5</f>
        <v>150.61772727272728</v>
      </c>
      <c r="S5523">
        <f>tblDailySchedule[[#This Row],[Capacity Approx]]*'[1]Load Factor Sheet June Acft  '!$D$5</f>
        <v>163.08818181818182</v>
      </c>
      <c r="T5523" s="22">
        <f>tblDailySchedule[[#This Row],[STD]]</f>
        <v>0.44444444444444442</v>
      </c>
    </row>
    <row r="5524" spans="1:20" hidden="1" x14ac:dyDescent="0.35">
      <c r="A5524" s="11">
        <v>46309</v>
      </c>
      <c r="B5524" s="3">
        <v>3</v>
      </c>
      <c r="C5524" t="s">
        <v>113</v>
      </c>
      <c r="D5524" t="s">
        <v>18</v>
      </c>
      <c r="E5524" s="3">
        <v>9</v>
      </c>
      <c r="F5524" t="s">
        <v>19</v>
      </c>
      <c r="G5524" t="s">
        <v>48</v>
      </c>
      <c r="H5524" t="s">
        <v>49</v>
      </c>
      <c r="I5524" s="12">
        <v>0.4375</v>
      </c>
      <c r="J5524" t="s">
        <v>50</v>
      </c>
      <c r="K5524" t="s">
        <v>49</v>
      </c>
      <c r="L5524" s="12">
        <v>0.45833333333333331</v>
      </c>
      <c r="M5524" t="s">
        <v>51</v>
      </c>
      <c r="N5524" s="3">
        <v>78</v>
      </c>
      <c r="O5524" t="s">
        <v>24</v>
      </c>
      <c r="P5524" t="s">
        <v>25</v>
      </c>
      <c r="R5524">
        <f>tblDailySchedule[[#This Row],[Capacity Approx]]*'[1]Load Factor Sheet June Acft  '!$B$5</f>
        <v>63.162272727272729</v>
      </c>
      <c r="S5524">
        <f>tblDailySchedule[[#This Row],[Capacity Approx]]*'[1]Load Factor Sheet June Acft  '!$D$5</f>
        <v>68.391818181818181</v>
      </c>
      <c r="T5524" s="22">
        <f>tblDailySchedule[[#This Row],[STD]]</f>
        <v>0.45833333333333331</v>
      </c>
    </row>
    <row r="5525" spans="1:20" hidden="1" x14ac:dyDescent="0.35">
      <c r="A5525" s="11">
        <v>46309</v>
      </c>
      <c r="B5525" s="3">
        <v>3</v>
      </c>
      <c r="C5525" t="s">
        <v>113</v>
      </c>
      <c r="D5525" t="s">
        <v>18</v>
      </c>
      <c r="E5525" s="3">
        <v>10</v>
      </c>
      <c r="F5525" t="s">
        <v>19</v>
      </c>
      <c r="G5525" t="s">
        <v>52</v>
      </c>
      <c r="H5525" t="s">
        <v>27</v>
      </c>
      <c r="I5525" s="12">
        <v>0.4826388888888889</v>
      </c>
      <c r="J5525" t="s">
        <v>53</v>
      </c>
      <c r="K5525" t="s">
        <v>27</v>
      </c>
      <c r="L5525" s="12">
        <v>0.51041666666666663</v>
      </c>
      <c r="M5525" t="s">
        <v>23</v>
      </c>
      <c r="N5525" s="3">
        <v>186</v>
      </c>
      <c r="O5525" t="s">
        <v>24</v>
      </c>
      <c r="P5525" t="s">
        <v>25</v>
      </c>
      <c r="R5525">
        <f>tblDailySchedule[[#This Row],[Capacity Approx]]*'[1]Load Factor Sheet June Acft  '!$B$5</f>
        <v>150.61772727272728</v>
      </c>
      <c r="S5525">
        <f>tblDailySchedule[[#This Row],[Capacity Approx]]*'[1]Load Factor Sheet June Acft  '!$D$5</f>
        <v>163.08818181818182</v>
      </c>
      <c r="T5525" s="22">
        <f>tblDailySchedule[[#This Row],[STD]]</f>
        <v>0.51041666666666663</v>
      </c>
    </row>
    <row r="5526" spans="1:20" hidden="1" x14ac:dyDescent="0.35">
      <c r="A5526" s="11">
        <v>46309</v>
      </c>
      <c r="B5526" s="3">
        <v>3</v>
      </c>
      <c r="C5526" t="s">
        <v>113</v>
      </c>
      <c r="D5526" t="s">
        <v>18</v>
      </c>
      <c r="E5526" s="3">
        <v>11</v>
      </c>
      <c r="F5526" t="s">
        <v>19</v>
      </c>
      <c r="G5526" t="s">
        <v>54</v>
      </c>
      <c r="H5526" t="s">
        <v>31</v>
      </c>
      <c r="I5526" s="12">
        <v>0.51388888888888884</v>
      </c>
      <c r="J5526" t="s">
        <v>55</v>
      </c>
      <c r="K5526" t="s">
        <v>31</v>
      </c>
      <c r="L5526" s="12">
        <v>0.54166666666666663</v>
      </c>
      <c r="M5526" t="s">
        <v>23</v>
      </c>
      <c r="N5526" s="3">
        <v>186</v>
      </c>
      <c r="O5526" t="s">
        <v>24</v>
      </c>
      <c r="P5526" t="s">
        <v>56</v>
      </c>
      <c r="R5526">
        <f>tblDailySchedule[[#This Row],[Capacity Approx]]*'[1]Load Factor Sheet June Acft  '!$B$5</f>
        <v>150.61772727272728</v>
      </c>
      <c r="S5526">
        <f>tblDailySchedule[[#This Row],[Capacity Approx]]*'[1]Load Factor Sheet June Acft  '!$D$5</f>
        <v>163.08818181818182</v>
      </c>
      <c r="T5526" s="22">
        <f>tblDailySchedule[[#This Row],[STD]]</f>
        <v>0.54166666666666663</v>
      </c>
    </row>
    <row r="5527" spans="1:20" hidden="1" x14ac:dyDescent="0.35">
      <c r="A5527" s="11">
        <v>46309</v>
      </c>
      <c r="B5527" s="3">
        <v>3</v>
      </c>
      <c r="C5527" t="s">
        <v>113</v>
      </c>
      <c r="D5527" t="s">
        <v>18</v>
      </c>
      <c r="E5527" s="3">
        <v>13</v>
      </c>
      <c r="F5527" t="s">
        <v>19</v>
      </c>
      <c r="G5527" t="s">
        <v>57</v>
      </c>
      <c r="H5527" t="s">
        <v>58</v>
      </c>
      <c r="I5527" s="12">
        <v>0.55902777777777779</v>
      </c>
      <c r="J5527" t="s">
        <v>59</v>
      </c>
      <c r="K5527" t="s">
        <v>58</v>
      </c>
      <c r="L5527" s="12">
        <v>0.57638888888888884</v>
      </c>
      <c r="M5527" t="s">
        <v>51</v>
      </c>
      <c r="N5527" s="3">
        <v>78</v>
      </c>
      <c r="O5527" t="s">
        <v>24</v>
      </c>
      <c r="P5527" t="s">
        <v>56</v>
      </c>
      <c r="R5527">
        <f>tblDailySchedule[[#This Row],[Capacity Approx]]*'[1]Load Factor Sheet June Acft  '!$B$5</f>
        <v>63.162272727272729</v>
      </c>
      <c r="S5527">
        <f>tblDailySchedule[[#This Row],[Capacity Approx]]*'[1]Load Factor Sheet June Acft  '!$D$5</f>
        <v>68.391818181818181</v>
      </c>
      <c r="T5527" s="22">
        <f>tblDailySchedule[[#This Row],[STD]]</f>
        <v>0.57638888888888884</v>
      </c>
    </row>
    <row r="5528" spans="1:20" hidden="1" x14ac:dyDescent="0.35">
      <c r="A5528" s="11">
        <v>46309</v>
      </c>
      <c r="B5528" s="3">
        <v>3</v>
      </c>
      <c r="C5528" t="s">
        <v>113</v>
      </c>
      <c r="D5528" t="s">
        <v>18</v>
      </c>
      <c r="E5528" s="3">
        <v>14</v>
      </c>
      <c r="F5528" t="s">
        <v>19</v>
      </c>
      <c r="G5528" t="s">
        <v>60</v>
      </c>
      <c r="H5528" t="s">
        <v>61</v>
      </c>
      <c r="I5528" s="12">
        <v>0.59027777777777779</v>
      </c>
      <c r="J5528" t="s">
        <v>62</v>
      </c>
      <c r="K5528" t="s">
        <v>61</v>
      </c>
      <c r="L5528" s="12">
        <v>0.62152777777777779</v>
      </c>
      <c r="M5528" t="s">
        <v>63</v>
      </c>
      <c r="N5528" s="3">
        <v>232</v>
      </c>
      <c r="O5528" t="s">
        <v>24</v>
      </c>
      <c r="P5528" t="s">
        <v>56</v>
      </c>
      <c r="R5528">
        <f>tblDailySchedule[[#This Row],[Capacity Approx]]*'[1]Load Factor Sheet June Acft  '!$B$5</f>
        <v>187.86727272727273</v>
      </c>
      <c r="S5528">
        <f>tblDailySchedule[[#This Row],[Capacity Approx]]*'[1]Load Factor Sheet June Acft  '!$D$5</f>
        <v>203.4218181818182</v>
      </c>
      <c r="T5528" s="22">
        <f>tblDailySchedule[[#This Row],[STD]]</f>
        <v>0.62152777777777779</v>
      </c>
    </row>
    <row r="5529" spans="1:20" hidden="1" x14ac:dyDescent="0.35">
      <c r="A5529" s="11">
        <v>46309</v>
      </c>
      <c r="B5529" s="3">
        <v>3</v>
      </c>
      <c r="C5529" t="s">
        <v>113</v>
      </c>
      <c r="D5529" t="s">
        <v>18</v>
      </c>
      <c r="E5529" s="3">
        <v>15</v>
      </c>
      <c r="F5529" t="s">
        <v>19</v>
      </c>
      <c r="G5529" t="s">
        <v>64</v>
      </c>
      <c r="H5529" t="s">
        <v>31</v>
      </c>
      <c r="I5529" s="12">
        <v>0.60069444444444442</v>
      </c>
      <c r="J5529" t="s">
        <v>65</v>
      </c>
      <c r="K5529" t="s">
        <v>66</v>
      </c>
      <c r="L5529" s="12">
        <v>0.62847222222222221</v>
      </c>
      <c r="M5529" t="s">
        <v>63</v>
      </c>
      <c r="N5529" s="3">
        <v>232</v>
      </c>
      <c r="O5529" t="s">
        <v>24</v>
      </c>
      <c r="P5529" t="s">
        <v>56</v>
      </c>
      <c r="R5529">
        <f>tblDailySchedule[[#This Row],[Capacity Approx]]*'[1]Load Factor Sheet June Acft  '!$B$5</f>
        <v>187.86727272727273</v>
      </c>
      <c r="S5529">
        <f>tblDailySchedule[[#This Row],[Capacity Approx]]*'[1]Load Factor Sheet June Acft  '!$D$5</f>
        <v>203.4218181818182</v>
      </c>
      <c r="T5529" s="22">
        <f>tblDailySchedule[[#This Row],[STD]]</f>
        <v>0.62847222222222221</v>
      </c>
    </row>
    <row r="5530" spans="1:20" hidden="1" x14ac:dyDescent="0.35">
      <c r="A5530" s="11">
        <v>46309</v>
      </c>
      <c r="B5530" s="3">
        <v>3</v>
      </c>
      <c r="C5530" t="s">
        <v>113</v>
      </c>
      <c r="D5530" t="s">
        <v>18</v>
      </c>
      <c r="E5530" s="3">
        <v>16</v>
      </c>
      <c r="F5530" t="s">
        <v>19</v>
      </c>
      <c r="G5530" t="s">
        <v>67</v>
      </c>
      <c r="H5530" t="s">
        <v>31</v>
      </c>
      <c r="I5530" s="12">
        <v>0.65625</v>
      </c>
      <c r="J5530" t="s">
        <v>68</v>
      </c>
      <c r="K5530" t="s">
        <v>31</v>
      </c>
      <c r="L5530" s="12">
        <v>0.68402777777777779</v>
      </c>
      <c r="M5530" t="s">
        <v>63</v>
      </c>
      <c r="N5530" s="3">
        <v>232</v>
      </c>
      <c r="O5530" t="s">
        <v>24</v>
      </c>
      <c r="P5530" t="s">
        <v>56</v>
      </c>
      <c r="R5530">
        <f>tblDailySchedule[[#This Row],[Capacity Approx]]*'[1]Load Factor Sheet June Acft  '!$B$5</f>
        <v>187.86727272727273</v>
      </c>
      <c r="S5530">
        <f>tblDailySchedule[[#This Row],[Capacity Approx]]*'[1]Load Factor Sheet June Acft  '!$D$5</f>
        <v>203.4218181818182</v>
      </c>
      <c r="T5530" s="22">
        <f>tblDailySchedule[[#This Row],[STD]]</f>
        <v>0.68402777777777779</v>
      </c>
    </row>
    <row r="5531" spans="1:20" hidden="1" x14ac:dyDescent="0.35">
      <c r="A5531" s="11">
        <v>46309</v>
      </c>
      <c r="B5531" s="3">
        <v>3</v>
      </c>
      <c r="C5531" t="s">
        <v>113</v>
      </c>
      <c r="D5531" t="s">
        <v>18</v>
      </c>
      <c r="E5531" s="3">
        <v>17</v>
      </c>
      <c r="F5531" t="s">
        <v>19</v>
      </c>
      <c r="G5531" t="s">
        <v>69</v>
      </c>
      <c r="H5531" t="s">
        <v>31</v>
      </c>
      <c r="I5531" s="12">
        <v>0.66319444444444442</v>
      </c>
      <c r="J5531" t="s">
        <v>70</v>
      </c>
      <c r="K5531" t="s">
        <v>31</v>
      </c>
      <c r="L5531" s="12">
        <v>0.69097222222222221</v>
      </c>
      <c r="M5531" t="s">
        <v>33</v>
      </c>
      <c r="N5531" s="3">
        <v>189</v>
      </c>
      <c r="O5531" t="s">
        <v>24</v>
      </c>
      <c r="P5531" t="s">
        <v>56</v>
      </c>
      <c r="R5531">
        <f>tblDailySchedule[[#This Row],[Capacity Approx]]*'[1]Load Factor Sheet June Acft  '!$B$5</f>
        <v>153.04704545454547</v>
      </c>
      <c r="S5531">
        <f>tblDailySchedule[[#This Row],[Capacity Approx]]*'[1]Load Factor Sheet June Acft  '!$D$5</f>
        <v>165.71863636363636</v>
      </c>
      <c r="T5531" s="22">
        <f>tblDailySchedule[[#This Row],[STD]]</f>
        <v>0.69097222222222221</v>
      </c>
    </row>
    <row r="5532" spans="1:20" hidden="1" x14ac:dyDescent="0.35">
      <c r="A5532" s="11">
        <v>46309</v>
      </c>
      <c r="B5532" s="3">
        <v>3</v>
      </c>
      <c r="C5532" t="s">
        <v>113</v>
      </c>
      <c r="D5532" t="s">
        <v>18</v>
      </c>
      <c r="E5532" s="3">
        <v>18</v>
      </c>
      <c r="F5532" t="s">
        <v>19</v>
      </c>
      <c r="G5532" t="s">
        <v>71</v>
      </c>
      <c r="H5532" t="s">
        <v>21</v>
      </c>
      <c r="I5532" s="12">
        <v>0.67013888888888884</v>
      </c>
      <c r="J5532" t="s">
        <v>72</v>
      </c>
      <c r="K5532" t="s">
        <v>21</v>
      </c>
      <c r="L5532" s="12">
        <v>0.69791666666666663</v>
      </c>
      <c r="M5532" t="s">
        <v>63</v>
      </c>
      <c r="N5532" s="3">
        <v>232</v>
      </c>
      <c r="O5532" t="s">
        <v>24</v>
      </c>
      <c r="P5532" t="s">
        <v>56</v>
      </c>
      <c r="R5532">
        <f>tblDailySchedule[[#This Row],[Capacity Approx]]*'[1]Load Factor Sheet June Acft  '!$B$5</f>
        <v>187.86727272727273</v>
      </c>
      <c r="S5532">
        <f>tblDailySchedule[[#This Row],[Capacity Approx]]*'[1]Load Factor Sheet June Acft  '!$D$5</f>
        <v>203.4218181818182</v>
      </c>
      <c r="T5532" s="22">
        <f>tblDailySchedule[[#This Row],[STD]]</f>
        <v>0.69791666666666663</v>
      </c>
    </row>
    <row r="5533" spans="1:20" hidden="1" x14ac:dyDescent="0.35">
      <c r="A5533" s="11">
        <v>46309</v>
      </c>
      <c r="B5533" s="3">
        <v>3</v>
      </c>
      <c r="C5533" t="s">
        <v>113</v>
      </c>
      <c r="D5533" t="s">
        <v>18</v>
      </c>
      <c r="E5533" s="3">
        <v>19</v>
      </c>
      <c r="F5533" t="s">
        <v>19</v>
      </c>
      <c r="G5533" t="s">
        <v>73</v>
      </c>
      <c r="H5533" t="s">
        <v>27</v>
      </c>
      <c r="I5533" s="12">
        <v>0.74652777777777779</v>
      </c>
      <c r="J5533" t="s">
        <v>74</v>
      </c>
      <c r="K5533" t="s">
        <v>27</v>
      </c>
      <c r="L5533" s="12">
        <v>0.77430555555555558</v>
      </c>
      <c r="M5533" t="s">
        <v>63</v>
      </c>
      <c r="N5533" s="3">
        <v>232</v>
      </c>
      <c r="O5533" t="s">
        <v>24</v>
      </c>
      <c r="P5533" t="s">
        <v>56</v>
      </c>
      <c r="R5533">
        <f>tblDailySchedule[[#This Row],[Capacity Approx]]*'[1]Load Factor Sheet June Acft  '!$B$5</f>
        <v>187.86727272727273</v>
      </c>
      <c r="S5533">
        <f>tblDailySchedule[[#This Row],[Capacity Approx]]*'[1]Load Factor Sheet June Acft  '!$D$5</f>
        <v>203.4218181818182</v>
      </c>
      <c r="T5533" s="22">
        <f>tblDailySchedule[[#This Row],[STD]]</f>
        <v>0.77430555555555558</v>
      </c>
    </row>
    <row r="5534" spans="1:20" hidden="1" x14ac:dyDescent="0.35">
      <c r="A5534" s="11">
        <v>46309</v>
      </c>
      <c r="B5534" s="3">
        <v>3</v>
      </c>
      <c r="C5534" t="s">
        <v>113</v>
      </c>
      <c r="D5534" t="s">
        <v>18</v>
      </c>
      <c r="E5534" s="3">
        <v>20</v>
      </c>
      <c r="F5534" t="s">
        <v>34</v>
      </c>
      <c r="G5534" t="s">
        <v>75</v>
      </c>
      <c r="H5534" t="s">
        <v>76</v>
      </c>
      <c r="I5534" s="12">
        <v>0.76388888888888884</v>
      </c>
      <c r="J5534" t="s">
        <v>77</v>
      </c>
      <c r="K5534" t="s">
        <v>78</v>
      </c>
      <c r="L5534" s="12">
        <v>0.78472222222222221</v>
      </c>
      <c r="M5534" t="s">
        <v>51</v>
      </c>
      <c r="N5534" s="3">
        <v>78</v>
      </c>
      <c r="O5534" t="s">
        <v>24</v>
      </c>
      <c r="P5534" t="s">
        <v>79</v>
      </c>
      <c r="Q5534" s="16" t="s">
        <v>80</v>
      </c>
      <c r="R5534">
        <f>tblDailySchedule[[#This Row],[Capacity Approx]]*'[1]Load Factor Sheet June Acft  '!$B$5</f>
        <v>63.162272727272729</v>
      </c>
      <c r="S5534">
        <f>tblDailySchedule[[#This Row],[Capacity Approx]]*'[1]Load Factor Sheet June Acft  '!$D$5</f>
        <v>68.391818181818181</v>
      </c>
      <c r="T5534" s="22">
        <f>tblDailySchedule[[#This Row],[STD]]</f>
        <v>0.78472222222222221</v>
      </c>
    </row>
    <row r="5535" spans="1:20" hidden="1" x14ac:dyDescent="0.35">
      <c r="A5535" s="11">
        <v>46309</v>
      </c>
      <c r="B5535" s="3">
        <v>3</v>
      </c>
      <c r="C5535" t="s">
        <v>113</v>
      </c>
      <c r="D5535" t="s">
        <v>18</v>
      </c>
      <c r="E5535" s="3">
        <v>21</v>
      </c>
      <c r="F5535" t="s">
        <v>19</v>
      </c>
      <c r="G5535" t="s">
        <v>81</v>
      </c>
      <c r="H5535" t="s">
        <v>61</v>
      </c>
      <c r="I5535" s="12">
        <v>0.77083333333333337</v>
      </c>
      <c r="J5535" t="s">
        <v>82</v>
      </c>
      <c r="K5535" t="s">
        <v>49</v>
      </c>
      <c r="L5535" s="12">
        <v>0.79166666666666663</v>
      </c>
      <c r="M5535" t="s">
        <v>33</v>
      </c>
      <c r="N5535" s="3">
        <v>189</v>
      </c>
      <c r="O5535" t="s">
        <v>24</v>
      </c>
      <c r="P5535" t="s">
        <v>79</v>
      </c>
      <c r="R5535">
        <f>tblDailySchedule[[#This Row],[Capacity Approx]]*'[1]Load Factor Sheet June Acft  '!$B$5</f>
        <v>153.04704545454547</v>
      </c>
      <c r="S5535">
        <f>tblDailySchedule[[#This Row],[Capacity Approx]]*'[1]Load Factor Sheet June Acft  '!$D$5</f>
        <v>165.71863636363636</v>
      </c>
      <c r="T5535" s="22">
        <f>tblDailySchedule[[#This Row],[STD]]</f>
        <v>0.79166666666666663</v>
      </c>
    </row>
    <row r="5536" spans="1:20" hidden="1" x14ac:dyDescent="0.35">
      <c r="A5536" s="11">
        <v>46309</v>
      </c>
      <c r="B5536" s="3">
        <v>3</v>
      </c>
      <c r="C5536" t="s">
        <v>113</v>
      </c>
      <c r="D5536" t="s">
        <v>18</v>
      </c>
      <c r="E5536" s="3">
        <v>22</v>
      </c>
      <c r="F5536" t="s">
        <v>19</v>
      </c>
      <c r="G5536" t="s">
        <v>83</v>
      </c>
      <c r="H5536" t="s">
        <v>31</v>
      </c>
      <c r="I5536" s="12">
        <v>0.77777777777777779</v>
      </c>
      <c r="J5536" t="s">
        <v>84</v>
      </c>
      <c r="K5536" t="s">
        <v>31</v>
      </c>
      <c r="L5536" s="12">
        <v>0.80555555555555558</v>
      </c>
      <c r="M5536" t="s">
        <v>63</v>
      </c>
      <c r="N5536" s="3">
        <v>232</v>
      </c>
      <c r="O5536" t="s">
        <v>24</v>
      </c>
      <c r="P5536" t="s">
        <v>79</v>
      </c>
      <c r="R5536">
        <f>tblDailySchedule[[#This Row],[Capacity Approx]]*'[1]Load Factor Sheet June Acft  '!$B$5</f>
        <v>187.86727272727273</v>
      </c>
      <c r="S5536">
        <f>tblDailySchedule[[#This Row],[Capacity Approx]]*'[1]Load Factor Sheet June Acft  '!$D$5</f>
        <v>203.4218181818182</v>
      </c>
      <c r="T5536" s="22">
        <f>tblDailySchedule[[#This Row],[STD]]</f>
        <v>0.80555555555555558</v>
      </c>
    </row>
    <row r="5537" spans="1:20" hidden="1" x14ac:dyDescent="0.35">
      <c r="A5537" s="11">
        <v>46309</v>
      </c>
      <c r="B5537" s="3">
        <v>3</v>
      </c>
      <c r="C5537" t="s">
        <v>113</v>
      </c>
      <c r="D5537" t="s">
        <v>18</v>
      </c>
      <c r="E5537" s="3">
        <v>23</v>
      </c>
      <c r="F5537" t="s">
        <v>19</v>
      </c>
      <c r="G5537" t="s">
        <v>85</v>
      </c>
      <c r="H5537" t="s">
        <v>86</v>
      </c>
      <c r="I5537" s="12">
        <v>0.79861111111111116</v>
      </c>
      <c r="J5537" t="s">
        <v>87</v>
      </c>
      <c r="K5537" t="s">
        <v>86</v>
      </c>
      <c r="L5537" s="12">
        <v>0.82638888888888884</v>
      </c>
      <c r="M5537" t="s">
        <v>63</v>
      </c>
      <c r="N5537" s="3">
        <v>232</v>
      </c>
      <c r="O5537" t="s">
        <v>24</v>
      </c>
      <c r="P5537" t="s">
        <v>79</v>
      </c>
      <c r="R5537">
        <f>tblDailySchedule[[#This Row],[Capacity Approx]]*'[1]Load Factor Sheet June Acft  '!$B$5</f>
        <v>187.86727272727273</v>
      </c>
      <c r="S5537">
        <f>tblDailySchedule[[#This Row],[Capacity Approx]]*'[1]Load Factor Sheet June Acft  '!$D$5</f>
        <v>203.4218181818182</v>
      </c>
      <c r="T5537" s="22">
        <f>tblDailySchedule[[#This Row],[STD]]</f>
        <v>0.82638888888888884</v>
      </c>
    </row>
    <row r="5538" spans="1:20" hidden="1" x14ac:dyDescent="0.35">
      <c r="A5538" s="11">
        <v>46309</v>
      </c>
      <c r="B5538" s="3">
        <v>3</v>
      </c>
      <c r="C5538" t="s">
        <v>113</v>
      </c>
      <c r="D5538" t="s">
        <v>18</v>
      </c>
      <c r="E5538" s="3">
        <v>24</v>
      </c>
      <c r="F5538" t="s">
        <v>19</v>
      </c>
      <c r="G5538" t="s">
        <v>88</v>
      </c>
      <c r="H5538" t="s">
        <v>89</v>
      </c>
      <c r="I5538" s="12">
        <v>0.83333333333333337</v>
      </c>
      <c r="J5538" t="s">
        <v>90</v>
      </c>
      <c r="K5538" t="s">
        <v>31</v>
      </c>
      <c r="L5538" s="12">
        <v>0.86111111111111116</v>
      </c>
      <c r="M5538" t="s">
        <v>63</v>
      </c>
      <c r="N5538" s="3">
        <v>232</v>
      </c>
      <c r="O5538" t="s">
        <v>24</v>
      </c>
      <c r="P5538" t="s">
        <v>79</v>
      </c>
      <c r="R5538">
        <f>tblDailySchedule[[#This Row],[Capacity Approx]]*'[1]Load Factor Sheet June Acft  '!$B$5</f>
        <v>187.86727272727273</v>
      </c>
      <c r="S5538">
        <f>tblDailySchedule[[#This Row],[Capacity Approx]]*'[1]Load Factor Sheet June Acft  '!$D$5</f>
        <v>203.4218181818182</v>
      </c>
      <c r="T5538" s="22">
        <f>tblDailySchedule[[#This Row],[STD]]</f>
        <v>0.86111111111111116</v>
      </c>
    </row>
    <row r="5539" spans="1:20" hidden="1" x14ac:dyDescent="0.35">
      <c r="A5539" s="11">
        <v>46309</v>
      </c>
      <c r="B5539" s="3">
        <v>3</v>
      </c>
      <c r="C5539" t="s">
        <v>113</v>
      </c>
      <c r="D5539" t="s">
        <v>18</v>
      </c>
      <c r="E5539" s="3">
        <v>25</v>
      </c>
      <c r="F5539" t="s">
        <v>19</v>
      </c>
      <c r="G5539" t="s">
        <v>91</v>
      </c>
      <c r="H5539" t="s">
        <v>61</v>
      </c>
      <c r="I5539" s="12">
        <v>0.85416666666666663</v>
      </c>
      <c r="J5539" t="s">
        <v>92</v>
      </c>
      <c r="K5539" t="s">
        <v>61</v>
      </c>
      <c r="L5539" s="12">
        <v>0.88194444444444442</v>
      </c>
      <c r="M5539" t="s">
        <v>63</v>
      </c>
      <c r="N5539" s="3">
        <v>232</v>
      </c>
      <c r="O5539" t="s">
        <v>24</v>
      </c>
      <c r="P5539" t="s">
        <v>79</v>
      </c>
      <c r="R5539">
        <f>tblDailySchedule[[#This Row],[Capacity Approx]]*'[1]Load Factor Sheet June Acft  '!$B$5</f>
        <v>187.86727272727273</v>
      </c>
      <c r="S5539">
        <f>tblDailySchedule[[#This Row],[Capacity Approx]]*'[1]Load Factor Sheet June Acft  '!$D$5</f>
        <v>203.4218181818182</v>
      </c>
      <c r="T5539" s="22">
        <f>tblDailySchedule[[#This Row],[STD]]</f>
        <v>0.88194444444444442</v>
      </c>
    </row>
    <row r="5540" spans="1:20" hidden="1" x14ac:dyDescent="0.35">
      <c r="A5540" s="11">
        <v>46309</v>
      </c>
      <c r="B5540" s="3">
        <v>3</v>
      </c>
      <c r="C5540" t="s">
        <v>113</v>
      </c>
      <c r="D5540" t="s">
        <v>18</v>
      </c>
      <c r="E5540" s="3">
        <v>26</v>
      </c>
      <c r="F5540" t="s">
        <v>19</v>
      </c>
      <c r="G5540" t="s">
        <v>93</v>
      </c>
      <c r="H5540" t="s">
        <v>31</v>
      </c>
      <c r="I5540" s="12">
        <v>0.86111111111111116</v>
      </c>
      <c r="J5540" t="s">
        <v>94</v>
      </c>
      <c r="K5540" t="s">
        <v>31</v>
      </c>
      <c r="L5540" s="12">
        <v>0.88888888888888884</v>
      </c>
      <c r="M5540" t="s">
        <v>23</v>
      </c>
      <c r="N5540" s="3">
        <v>186</v>
      </c>
      <c r="O5540" t="s">
        <v>24</v>
      </c>
      <c r="P5540" t="s">
        <v>79</v>
      </c>
      <c r="R5540">
        <f>tblDailySchedule[[#This Row],[Capacity Approx]]*'[1]Load Factor Sheet June Acft  '!$B$5</f>
        <v>150.61772727272728</v>
      </c>
      <c r="S5540">
        <f>tblDailySchedule[[#This Row],[Capacity Approx]]*'[1]Load Factor Sheet June Acft  '!$D$5</f>
        <v>163.08818181818182</v>
      </c>
      <c r="T5540" s="22">
        <f>tblDailySchedule[[#This Row],[STD]]</f>
        <v>0.88888888888888884</v>
      </c>
    </row>
    <row r="5541" spans="1:20" hidden="1" x14ac:dyDescent="0.35">
      <c r="A5541" s="11">
        <v>46309</v>
      </c>
      <c r="B5541" s="3">
        <v>3</v>
      </c>
      <c r="C5541" t="s">
        <v>113</v>
      </c>
      <c r="D5541" t="s">
        <v>18</v>
      </c>
      <c r="E5541" s="3">
        <v>27</v>
      </c>
      <c r="F5541" t="s">
        <v>19</v>
      </c>
      <c r="G5541" t="s">
        <v>95</v>
      </c>
      <c r="H5541" t="s">
        <v>21</v>
      </c>
      <c r="I5541" s="12">
        <v>0.86805555555555558</v>
      </c>
      <c r="J5541" t="s">
        <v>96</v>
      </c>
      <c r="K5541" t="s">
        <v>21</v>
      </c>
      <c r="L5541" s="12">
        <v>0.89583333333333337</v>
      </c>
      <c r="M5541" t="s">
        <v>29</v>
      </c>
      <c r="N5541" s="3">
        <v>186</v>
      </c>
      <c r="O5541" t="s">
        <v>24</v>
      </c>
      <c r="P5541" t="s">
        <v>79</v>
      </c>
      <c r="R5541">
        <f>tblDailySchedule[[#This Row],[Capacity Approx]]*'[1]Load Factor Sheet June Acft  '!$B$5</f>
        <v>150.61772727272728</v>
      </c>
      <c r="S5541">
        <f>tblDailySchedule[[#This Row],[Capacity Approx]]*'[1]Load Factor Sheet June Acft  '!$D$5</f>
        <v>163.08818181818182</v>
      </c>
      <c r="T5541" s="22">
        <f>tblDailySchedule[[#This Row],[STD]]</f>
        <v>0.89583333333333337</v>
      </c>
    </row>
    <row r="5542" spans="1:20" hidden="1" x14ac:dyDescent="0.35">
      <c r="A5542" s="11">
        <v>46309</v>
      </c>
      <c r="B5542" s="3">
        <v>3</v>
      </c>
      <c r="C5542" t="s">
        <v>113</v>
      </c>
      <c r="D5542" t="s">
        <v>18</v>
      </c>
      <c r="E5542" s="3">
        <v>28</v>
      </c>
      <c r="F5542" t="s">
        <v>19</v>
      </c>
      <c r="G5542" t="s">
        <v>97</v>
      </c>
      <c r="H5542" t="s">
        <v>49</v>
      </c>
      <c r="I5542" s="12">
        <v>0.90277777777777779</v>
      </c>
      <c r="J5542" t="s">
        <v>97</v>
      </c>
      <c r="K5542" t="s">
        <v>61</v>
      </c>
      <c r="L5542" s="12">
        <v>0.92361111111111116</v>
      </c>
      <c r="M5542" t="s">
        <v>33</v>
      </c>
      <c r="N5542" s="3">
        <v>189</v>
      </c>
      <c r="O5542" t="s">
        <v>24</v>
      </c>
      <c r="P5542" t="s">
        <v>79</v>
      </c>
      <c r="R5542">
        <f>tblDailySchedule[[#This Row],[Capacity Approx]]*'[1]Load Factor Sheet June Acft  '!$B$5</f>
        <v>153.04704545454547</v>
      </c>
      <c r="S5542">
        <f>tblDailySchedule[[#This Row],[Capacity Approx]]*'[1]Load Factor Sheet June Acft  '!$D$5</f>
        <v>165.71863636363636</v>
      </c>
      <c r="T5542" s="22">
        <f>tblDailySchedule[[#This Row],[STD]]</f>
        <v>0.92361111111111116</v>
      </c>
    </row>
    <row r="5543" spans="1:20" hidden="1" x14ac:dyDescent="0.35">
      <c r="A5543" s="11">
        <v>46309</v>
      </c>
      <c r="B5543" s="3">
        <v>3</v>
      </c>
      <c r="C5543" t="s">
        <v>113</v>
      </c>
      <c r="D5543" t="s">
        <v>18</v>
      </c>
      <c r="E5543" s="3">
        <v>29</v>
      </c>
      <c r="F5543" t="s">
        <v>19</v>
      </c>
      <c r="G5543" t="s">
        <v>98</v>
      </c>
      <c r="H5543" t="s">
        <v>21</v>
      </c>
      <c r="I5543" s="12">
        <v>0.92013888888888884</v>
      </c>
      <c r="J5543" t="s">
        <v>99</v>
      </c>
      <c r="K5543" t="s">
        <v>21</v>
      </c>
      <c r="L5543" s="12">
        <v>0.94791666666666663</v>
      </c>
      <c r="M5543" t="s">
        <v>63</v>
      </c>
      <c r="N5543" s="3">
        <v>232</v>
      </c>
      <c r="O5543" t="s">
        <v>24</v>
      </c>
      <c r="P5543" t="s">
        <v>79</v>
      </c>
      <c r="R5543">
        <f>tblDailySchedule[[#This Row],[Capacity Approx]]*'[1]Load Factor Sheet June Acft  '!$B$5</f>
        <v>187.86727272727273</v>
      </c>
      <c r="S5543">
        <f>tblDailySchedule[[#This Row],[Capacity Approx]]*'[1]Load Factor Sheet June Acft  '!$D$5</f>
        <v>203.4218181818182</v>
      </c>
      <c r="T5543" s="22">
        <f>tblDailySchedule[[#This Row],[STD]]</f>
        <v>0.94791666666666663</v>
      </c>
    </row>
    <row r="5544" spans="1:20" hidden="1" x14ac:dyDescent="0.35">
      <c r="A5544" s="13">
        <v>46309</v>
      </c>
      <c r="B5544" s="7">
        <v>3</v>
      </c>
      <c r="C5544" s="14" t="s">
        <v>113</v>
      </c>
      <c r="D5544" s="14" t="s">
        <v>18</v>
      </c>
      <c r="E5544" s="7">
        <v>30</v>
      </c>
      <c r="F5544" s="14" t="s">
        <v>104</v>
      </c>
      <c r="G5544" s="14" t="s">
        <v>105</v>
      </c>
      <c r="H5544" s="14" t="s">
        <v>106</v>
      </c>
      <c r="I5544" s="15">
        <v>0.92708333333333337</v>
      </c>
      <c r="J5544" s="14" t="s">
        <v>107</v>
      </c>
      <c r="K5544" s="14" t="s">
        <v>106</v>
      </c>
      <c r="L5544" s="15">
        <v>0.95833333333333337</v>
      </c>
      <c r="M5544" s="14" t="s">
        <v>38</v>
      </c>
      <c r="N5544" s="7">
        <v>186</v>
      </c>
      <c r="O5544" s="14" t="s">
        <v>39</v>
      </c>
      <c r="P5544" s="14" t="s">
        <v>79</v>
      </c>
      <c r="Q5544" s="14" t="s">
        <v>39</v>
      </c>
      <c r="R5544">
        <f>tblDailySchedule[[#This Row],[Capacity Approx]]*'[1]Load Factor Sheet June Acft  '!$B$5</f>
        <v>150.61772727272728</v>
      </c>
      <c r="S5544">
        <f>tblDailySchedule[[#This Row],[Capacity Approx]]*'[1]Load Factor Sheet June Acft  '!$D$5</f>
        <v>163.08818181818182</v>
      </c>
      <c r="T5544" s="22">
        <f>tblDailySchedule[[#This Row],[STD]]</f>
        <v>0.95833333333333337</v>
      </c>
    </row>
    <row r="5545" spans="1:20" hidden="1" x14ac:dyDescent="0.35">
      <c r="A5545" s="11">
        <v>46310</v>
      </c>
      <c r="B5545" s="3">
        <v>4</v>
      </c>
      <c r="C5545" t="s">
        <v>114</v>
      </c>
      <c r="D5545" t="s">
        <v>18</v>
      </c>
      <c r="E5545" s="3">
        <v>1</v>
      </c>
      <c r="F5545" t="s">
        <v>101</v>
      </c>
      <c r="G5545" t="s">
        <v>102</v>
      </c>
      <c r="H5545" t="s">
        <v>61</v>
      </c>
      <c r="I5545" s="12">
        <v>0.3125</v>
      </c>
      <c r="J5545" t="s">
        <v>103</v>
      </c>
      <c r="K5545" t="s">
        <v>61</v>
      </c>
      <c r="L5545" s="12">
        <v>0.33333333333333331</v>
      </c>
      <c r="M5545" t="s">
        <v>33</v>
      </c>
      <c r="N5545" s="3">
        <v>189</v>
      </c>
      <c r="O5545" t="s">
        <v>24</v>
      </c>
      <c r="P5545" t="s">
        <v>25</v>
      </c>
      <c r="R5545">
        <f>tblDailySchedule[[#This Row],[Capacity Approx]]*'[1]Load Factor Sheet June Acft  '!$B$5</f>
        <v>153.04704545454547</v>
      </c>
      <c r="S5545">
        <f>tblDailySchedule[[#This Row],[Capacity Approx]]*'[1]Load Factor Sheet June Acft  '!$D$5</f>
        <v>165.71863636363636</v>
      </c>
      <c r="T5545" s="22">
        <f>tblDailySchedule[[#This Row],[STD]]</f>
        <v>0.33333333333333331</v>
      </c>
    </row>
    <row r="5546" spans="1:20" hidden="1" x14ac:dyDescent="0.35">
      <c r="A5546" s="11">
        <v>46310</v>
      </c>
      <c r="B5546" s="3">
        <v>4</v>
      </c>
      <c r="C5546" t="s">
        <v>114</v>
      </c>
      <c r="D5546" t="s">
        <v>18</v>
      </c>
      <c r="E5546" s="3">
        <v>2</v>
      </c>
      <c r="F5546" t="s">
        <v>19</v>
      </c>
      <c r="G5546" t="s">
        <v>20</v>
      </c>
      <c r="H5546" t="s">
        <v>21</v>
      </c>
      <c r="I5546" s="12">
        <v>0.31944444444444442</v>
      </c>
      <c r="J5546" t="s">
        <v>22</v>
      </c>
      <c r="K5546" t="s">
        <v>21</v>
      </c>
      <c r="L5546" s="12">
        <v>0.34722222222222221</v>
      </c>
      <c r="M5546" t="s">
        <v>23</v>
      </c>
      <c r="N5546" s="3">
        <v>186</v>
      </c>
      <c r="O5546" t="s">
        <v>24</v>
      </c>
      <c r="P5546" t="s">
        <v>25</v>
      </c>
      <c r="R5546">
        <f>tblDailySchedule[[#This Row],[Capacity Approx]]*'[1]Load Factor Sheet June Acft  '!$B$5</f>
        <v>150.61772727272728</v>
      </c>
      <c r="S5546">
        <f>tblDailySchedule[[#This Row],[Capacity Approx]]*'[1]Load Factor Sheet June Acft  '!$D$5</f>
        <v>163.08818181818182</v>
      </c>
      <c r="T5546" s="22">
        <f>tblDailySchedule[[#This Row],[STD]]</f>
        <v>0.34722222222222221</v>
      </c>
    </row>
    <row r="5547" spans="1:20" hidden="1" x14ac:dyDescent="0.35">
      <c r="A5547" s="11">
        <v>46310</v>
      </c>
      <c r="B5547" s="3">
        <v>4</v>
      </c>
      <c r="C5547" t="s">
        <v>114</v>
      </c>
      <c r="D5547" t="s">
        <v>18</v>
      </c>
      <c r="E5547" s="3">
        <v>3</v>
      </c>
      <c r="F5547" t="s">
        <v>19</v>
      </c>
      <c r="G5547" t="s">
        <v>26</v>
      </c>
      <c r="H5547" t="s">
        <v>27</v>
      </c>
      <c r="I5547" s="12">
        <v>0.3263888888888889</v>
      </c>
      <c r="J5547" t="s">
        <v>28</v>
      </c>
      <c r="K5547" t="s">
        <v>27</v>
      </c>
      <c r="L5547" s="12">
        <v>0.35416666666666669</v>
      </c>
      <c r="M5547" t="s">
        <v>29</v>
      </c>
      <c r="N5547" s="3">
        <v>186</v>
      </c>
      <c r="O5547" t="s">
        <v>24</v>
      </c>
      <c r="P5547" t="s">
        <v>25</v>
      </c>
      <c r="R5547">
        <f>tblDailySchedule[[#This Row],[Capacity Approx]]*'[1]Load Factor Sheet June Acft  '!$B$5</f>
        <v>150.61772727272728</v>
      </c>
      <c r="S5547">
        <f>tblDailySchedule[[#This Row],[Capacity Approx]]*'[1]Load Factor Sheet June Acft  '!$D$5</f>
        <v>163.08818181818182</v>
      </c>
      <c r="T5547" s="22">
        <f>tblDailySchedule[[#This Row],[STD]]</f>
        <v>0.35416666666666669</v>
      </c>
    </row>
    <row r="5548" spans="1:20" hidden="1" x14ac:dyDescent="0.35">
      <c r="A5548" s="11">
        <v>46310</v>
      </c>
      <c r="B5548" s="3">
        <v>4</v>
      </c>
      <c r="C5548" t="s">
        <v>114</v>
      </c>
      <c r="D5548" t="s">
        <v>18</v>
      </c>
      <c r="E5548" s="3">
        <v>4</v>
      </c>
      <c r="F5548" t="s">
        <v>19</v>
      </c>
      <c r="G5548" t="s">
        <v>30</v>
      </c>
      <c r="H5548" t="s">
        <v>31</v>
      </c>
      <c r="I5548" s="12">
        <v>0.34722222222222221</v>
      </c>
      <c r="J5548" t="s">
        <v>32</v>
      </c>
      <c r="K5548" t="s">
        <v>31</v>
      </c>
      <c r="L5548" s="12">
        <v>0.36805555555555558</v>
      </c>
      <c r="M5548" t="s">
        <v>33</v>
      </c>
      <c r="N5548" s="3">
        <v>189</v>
      </c>
      <c r="O5548" t="s">
        <v>24</v>
      </c>
      <c r="P5548" t="s">
        <v>25</v>
      </c>
      <c r="R5548">
        <f>tblDailySchedule[[#This Row],[Capacity Approx]]*'[1]Load Factor Sheet June Acft  '!$B$5</f>
        <v>153.04704545454547</v>
      </c>
      <c r="S5548">
        <f>tblDailySchedule[[#This Row],[Capacity Approx]]*'[1]Load Factor Sheet June Acft  '!$D$5</f>
        <v>165.71863636363636</v>
      </c>
      <c r="T5548" s="22">
        <f>tblDailySchedule[[#This Row],[STD]]</f>
        <v>0.36805555555555558</v>
      </c>
    </row>
    <row r="5549" spans="1:20" hidden="1" x14ac:dyDescent="0.35">
      <c r="A5549" s="11">
        <v>46310</v>
      </c>
      <c r="B5549" s="3">
        <v>4</v>
      </c>
      <c r="C5549" t="s">
        <v>114</v>
      </c>
      <c r="D5549" t="s">
        <v>18</v>
      </c>
      <c r="E5549" s="3">
        <v>5</v>
      </c>
      <c r="F5549" t="s">
        <v>19</v>
      </c>
      <c r="G5549" t="s">
        <v>40</v>
      </c>
      <c r="H5549" t="s">
        <v>31</v>
      </c>
      <c r="I5549" s="12">
        <v>0.35069444444444442</v>
      </c>
      <c r="J5549" t="s">
        <v>41</v>
      </c>
      <c r="K5549" t="s">
        <v>31</v>
      </c>
      <c r="L5549" s="12">
        <v>0.37152777777777779</v>
      </c>
      <c r="M5549" t="s">
        <v>23</v>
      </c>
      <c r="N5549" s="3">
        <v>186</v>
      </c>
      <c r="O5549" t="s">
        <v>24</v>
      </c>
      <c r="P5549" t="s">
        <v>25</v>
      </c>
      <c r="R5549">
        <f>tblDailySchedule[[#This Row],[Capacity Approx]]*'[1]Load Factor Sheet June Acft  '!$B$5</f>
        <v>150.61772727272728</v>
      </c>
      <c r="S5549">
        <f>tblDailySchedule[[#This Row],[Capacity Approx]]*'[1]Load Factor Sheet June Acft  '!$D$5</f>
        <v>163.08818181818182</v>
      </c>
      <c r="T5549" s="22">
        <f>tblDailySchedule[[#This Row],[STD]]</f>
        <v>0.37152777777777779</v>
      </c>
    </row>
    <row r="5550" spans="1:20" hidden="1" x14ac:dyDescent="0.35">
      <c r="A5550" s="11">
        <v>46310</v>
      </c>
      <c r="B5550" s="3">
        <v>4</v>
      </c>
      <c r="C5550" t="s">
        <v>114</v>
      </c>
      <c r="D5550" t="s">
        <v>18</v>
      </c>
      <c r="E5550" s="3">
        <v>7</v>
      </c>
      <c r="F5550" t="s">
        <v>19</v>
      </c>
      <c r="G5550" t="s">
        <v>42</v>
      </c>
      <c r="H5550" t="s">
        <v>43</v>
      </c>
      <c r="I5550" s="12">
        <v>0.3923611111111111</v>
      </c>
      <c r="J5550" t="s">
        <v>44</v>
      </c>
      <c r="K5550" t="s">
        <v>43</v>
      </c>
      <c r="L5550" s="12">
        <v>0.40277777777777779</v>
      </c>
      <c r="M5550" t="s">
        <v>45</v>
      </c>
      <c r="N5550" s="3">
        <v>9</v>
      </c>
      <c r="O5550" t="s">
        <v>24</v>
      </c>
      <c r="P5550" t="s">
        <v>25</v>
      </c>
      <c r="R5550">
        <f>tblDailySchedule[[#This Row],[Capacity Approx]]*'[1]Load Factor Sheet June Acft  '!$B$5</f>
        <v>7.2879545454545456</v>
      </c>
      <c r="S5550">
        <f>tblDailySchedule[[#This Row],[Capacity Approx]]*'[1]Load Factor Sheet June Acft  '!$D$5</f>
        <v>7.8913636363636366</v>
      </c>
      <c r="T5550" s="22">
        <f>tblDailySchedule[[#This Row],[STD]]</f>
        <v>0.40277777777777779</v>
      </c>
    </row>
    <row r="5551" spans="1:20" hidden="1" x14ac:dyDescent="0.35">
      <c r="A5551" s="11">
        <v>46310</v>
      </c>
      <c r="B5551" s="3">
        <v>4</v>
      </c>
      <c r="C5551" t="s">
        <v>114</v>
      </c>
      <c r="D5551" t="s">
        <v>18</v>
      </c>
      <c r="E5551" s="3">
        <v>8</v>
      </c>
      <c r="F5551" t="s">
        <v>19</v>
      </c>
      <c r="G5551" t="s">
        <v>46</v>
      </c>
      <c r="H5551" t="s">
        <v>31</v>
      </c>
      <c r="I5551" s="12">
        <v>0.4201388888888889</v>
      </c>
      <c r="J5551" t="s">
        <v>47</v>
      </c>
      <c r="K5551" t="s">
        <v>31</v>
      </c>
      <c r="L5551" s="12">
        <v>0.44444444444444442</v>
      </c>
      <c r="M5551" t="s">
        <v>29</v>
      </c>
      <c r="N5551" s="3">
        <v>186</v>
      </c>
      <c r="O5551" t="s">
        <v>24</v>
      </c>
      <c r="P5551" t="s">
        <v>25</v>
      </c>
      <c r="R5551">
        <f>tblDailySchedule[[#This Row],[Capacity Approx]]*'[1]Load Factor Sheet June Acft  '!$B$5</f>
        <v>150.61772727272728</v>
      </c>
      <c r="S5551">
        <f>tblDailySchedule[[#This Row],[Capacity Approx]]*'[1]Load Factor Sheet June Acft  '!$D$5</f>
        <v>163.08818181818182</v>
      </c>
      <c r="T5551" s="22">
        <f>tblDailySchedule[[#This Row],[STD]]</f>
        <v>0.44444444444444442</v>
      </c>
    </row>
    <row r="5552" spans="1:20" hidden="1" x14ac:dyDescent="0.35">
      <c r="A5552" s="11">
        <v>46310</v>
      </c>
      <c r="B5552" s="3">
        <v>4</v>
      </c>
      <c r="C5552" t="s">
        <v>114</v>
      </c>
      <c r="D5552" t="s">
        <v>18</v>
      </c>
      <c r="E5552" s="3">
        <v>9</v>
      </c>
      <c r="F5552" t="s">
        <v>19</v>
      </c>
      <c r="G5552" t="s">
        <v>48</v>
      </c>
      <c r="H5552" t="s">
        <v>49</v>
      </c>
      <c r="I5552" s="12">
        <v>0.4375</v>
      </c>
      <c r="J5552" t="s">
        <v>50</v>
      </c>
      <c r="K5552" t="s">
        <v>49</v>
      </c>
      <c r="L5552" s="12">
        <v>0.45833333333333331</v>
      </c>
      <c r="M5552" t="s">
        <v>51</v>
      </c>
      <c r="N5552" s="3">
        <v>78</v>
      </c>
      <c r="O5552" t="s">
        <v>24</v>
      </c>
      <c r="P5552" t="s">
        <v>25</v>
      </c>
      <c r="R5552">
        <f>tblDailySchedule[[#This Row],[Capacity Approx]]*'[1]Load Factor Sheet June Acft  '!$B$5</f>
        <v>63.162272727272729</v>
      </c>
      <c r="S5552">
        <f>tblDailySchedule[[#This Row],[Capacity Approx]]*'[1]Load Factor Sheet June Acft  '!$D$5</f>
        <v>68.391818181818181</v>
      </c>
      <c r="T5552" s="22">
        <f>tblDailySchedule[[#This Row],[STD]]</f>
        <v>0.45833333333333331</v>
      </c>
    </row>
    <row r="5553" spans="1:20" hidden="1" x14ac:dyDescent="0.35">
      <c r="A5553" s="11">
        <v>46310</v>
      </c>
      <c r="B5553" s="3">
        <v>4</v>
      </c>
      <c r="C5553" t="s">
        <v>114</v>
      </c>
      <c r="D5553" t="s">
        <v>18</v>
      </c>
      <c r="E5553" s="3">
        <v>10</v>
      </c>
      <c r="F5553" t="s">
        <v>19</v>
      </c>
      <c r="G5553" t="s">
        <v>52</v>
      </c>
      <c r="H5553" t="s">
        <v>27</v>
      </c>
      <c r="I5553" s="12">
        <v>0.4826388888888889</v>
      </c>
      <c r="J5553" t="s">
        <v>53</v>
      </c>
      <c r="K5553" t="s">
        <v>27</v>
      </c>
      <c r="L5553" s="12">
        <v>0.51041666666666663</v>
      </c>
      <c r="M5553" t="s">
        <v>23</v>
      </c>
      <c r="N5553" s="3">
        <v>186</v>
      </c>
      <c r="O5553" t="s">
        <v>24</v>
      </c>
      <c r="P5553" t="s">
        <v>25</v>
      </c>
      <c r="R5553">
        <f>tblDailySchedule[[#This Row],[Capacity Approx]]*'[1]Load Factor Sheet June Acft  '!$B$5</f>
        <v>150.61772727272728</v>
      </c>
      <c r="S5553">
        <f>tblDailySchedule[[#This Row],[Capacity Approx]]*'[1]Load Factor Sheet June Acft  '!$D$5</f>
        <v>163.08818181818182</v>
      </c>
      <c r="T5553" s="22">
        <f>tblDailySchedule[[#This Row],[STD]]</f>
        <v>0.51041666666666663</v>
      </c>
    </row>
    <row r="5554" spans="1:20" hidden="1" x14ac:dyDescent="0.35">
      <c r="A5554" s="11">
        <v>46310</v>
      </c>
      <c r="B5554" s="3">
        <v>4</v>
      </c>
      <c r="C5554" t="s">
        <v>114</v>
      </c>
      <c r="D5554" t="s">
        <v>18</v>
      </c>
      <c r="E5554" s="3">
        <v>11</v>
      </c>
      <c r="F5554" t="s">
        <v>19</v>
      </c>
      <c r="G5554" t="s">
        <v>54</v>
      </c>
      <c r="H5554" t="s">
        <v>31</v>
      </c>
      <c r="I5554" s="12">
        <v>0.51388888888888884</v>
      </c>
      <c r="J5554" t="s">
        <v>55</v>
      </c>
      <c r="K5554" t="s">
        <v>31</v>
      </c>
      <c r="L5554" s="12">
        <v>0.54166666666666663</v>
      </c>
      <c r="M5554" t="s">
        <v>23</v>
      </c>
      <c r="N5554" s="3">
        <v>186</v>
      </c>
      <c r="O5554" t="s">
        <v>24</v>
      </c>
      <c r="P5554" t="s">
        <v>56</v>
      </c>
      <c r="R5554">
        <f>tblDailySchedule[[#This Row],[Capacity Approx]]*'[1]Load Factor Sheet June Acft  '!$B$5</f>
        <v>150.61772727272728</v>
      </c>
      <c r="S5554">
        <f>tblDailySchedule[[#This Row],[Capacity Approx]]*'[1]Load Factor Sheet June Acft  '!$D$5</f>
        <v>163.08818181818182</v>
      </c>
      <c r="T5554" s="22">
        <f>tblDailySchedule[[#This Row],[STD]]</f>
        <v>0.54166666666666663</v>
      </c>
    </row>
    <row r="5555" spans="1:20" hidden="1" x14ac:dyDescent="0.35">
      <c r="A5555" s="11">
        <v>46310</v>
      </c>
      <c r="B5555" s="3">
        <v>4</v>
      </c>
      <c r="C5555" t="s">
        <v>114</v>
      </c>
      <c r="D5555" t="s">
        <v>18</v>
      </c>
      <c r="E5555" s="3">
        <v>12</v>
      </c>
      <c r="F5555" t="s">
        <v>109</v>
      </c>
      <c r="G5555" t="s">
        <v>110</v>
      </c>
      <c r="H5555" t="s">
        <v>111</v>
      </c>
      <c r="I5555" s="12">
        <v>0.55555555555555558</v>
      </c>
      <c r="J5555" t="s">
        <v>112</v>
      </c>
      <c r="K5555" t="s">
        <v>111</v>
      </c>
      <c r="L5555" s="12">
        <v>0.56944444444444442</v>
      </c>
      <c r="M5555" t="s">
        <v>51</v>
      </c>
      <c r="N5555" s="3">
        <v>78</v>
      </c>
      <c r="O5555" t="s">
        <v>24</v>
      </c>
      <c r="P5555" t="s">
        <v>56</v>
      </c>
      <c r="R5555">
        <f>tblDailySchedule[[#This Row],[Capacity Approx]]*'[1]Load Factor Sheet June Acft  '!$B$5</f>
        <v>63.162272727272729</v>
      </c>
      <c r="S5555">
        <f>tblDailySchedule[[#This Row],[Capacity Approx]]*'[1]Load Factor Sheet June Acft  '!$D$5</f>
        <v>68.391818181818181</v>
      </c>
      <c r="T5555" s="22">
        <f>tblDailySchedule[[#This Row],[STD]]</f>
        <v>0.56944444444444442</v>
      </c>
    </row>
    <row r="5556" spans="1:20" hidden="1" x14ac:dyDescent="0.35">
      <c r="A5556" s="11">
        <v>46310</v>
      </c>
      <c r="B5556" s="3">
        <v>4</v>
      </c>
      <c r="C5556" t="s">
        <v>114</v>
      </c>
      <c r="D5556" t="s">
        <v>18</v>
      </c>
      <c r="E5556" s="3">
        <v>13</v>
      </c>
      <c r="F5556" t="s">
        <v>19</v>
      </c>
      <c r="G5556" t="s">
        <v>57</v>
      </c>
      <c r="H5556" t="s">
        <v>58</v>
      </c>
      <c r="I5556" s="12">
        <v>0.55902777777777779</v>
      </c>
      <c r="J5556" t="s">
        <v>59</v>
      </c>
      <c r="K5556" t="s">
        <v>58</v>
      </c>
      <c r="L5556" s="12">
        <v>0.57638888888888884</v>
      </c>
      <c r="M5556" t="s">
        <v>51</v>
      </c>
      <c r="N5556" s="3">
        <v>78</v>
      </c>
      <c r="O5556" t="s">
        <v>24</v>
      </c>
      <c r="P5556" t="s">
        <v>56</v>
      </c>
      <c r="R5556">
        <f>tblDailySchedule[[#This Row],[Capacity Approx]]*'[1]Load Factor Sheet June Acft  '!$B$5</f>
        <v>63.162272727272729</v>
      </c>
      <c r="S5556">
        <f>tblDailySchedule[[#This Row],[Capacity Approx]]*'[1]Load Factor Sheet June Acft  '!$D$5</f>
        <v>68.391818181818181</v>
      </c>
      <c r="T5556" s="22">
        <f>tblDailySchedule[[#This Row],[STD]]</f>
        <v>0.57638888888888884</v>
      </c>
    </row>
    <row r="5557" spans="1:20" hidden="1" x14ac:dyDescent="0.35">
      <c r="A5557" s="11">
        <v>46310</v>
      </c>
      <c r="B5557" s="3">
        <v>4</v>
      </c>
      <c r="C5557" t="s">
        <v>114</v>
      </c>
      <c r="D5557" t="s">
        <v>18</v>
      </c>
      <c r="E5557" s="3">
        <v>14</v>
      </c>
      <c r="F5557" t="s">
        <v>19</v>
      </c>
      <c r="G5557" t="s">
        <v>60</v>
      </c>
      <c r="H5557" t="s">
        <v>61</v>
      </c>
      <c r="I5557" s="12">
        <v>0.59027777777777779</v>
      </c>
      <c r="J5557" t="s">
        <v>62</v>
      </c>
      <c r="K5557" t="s">
        <v>61</v>
      </c>
      <c r="L5557" s="12">
        <v>0.62152777777777779</v>
      </c>
      <c r="M5557" t="s">
        <v>63</v>
      </c>
      <c r="N5557" s="3">
        <v>232</v>
      </c>
      <c r="O5557" t="s">
        <v>24</v>
      </c>
      <c r="P5557" t="s">
        <v>56</v>
      </c>
      <c r="R5557">
        <f>tblDailySchedule[[#This Row],[Capacity Approx]]*'[1]Load Factor Sheet June Acft  '!$B$5</f>
        <v>187.86727272727273</v>
      </c>
      <c r="S5557">
        <f>tblDailySchedule[[#This Row],[Capacity Approx]]*'[1]Load Factor Sheet June Acft  '!$D$5</f>
        <v>203.4218181818182</v>
      </c>
      <c r="T5557" s="22">
        <f>tblDailySchedule[[#This Row],[STD]]</f>
        <v>0.62152777777777779</v>
      </c>
    </row>
    <row r="5558" spans="1:20" hidden="1" x14ac:dyDescent="0.35">
      <c r="A5558" s="11">
        <v>46310</v>
      </c>
      <c r="B5558" s="3">
        <v>4</v>
      </c>
      <c r="C5558" t="s">
        <v>114</v>
      </c>
      <c r="D5558" t="s">
        <v>18</v>
      </c>
      <c r="E5558" s="3">
        <v>15</v>
      </c>
      <c r="F5558" t="s">
        <v>19</v>
      </c>
      <c r="G5558" t="s">
        <v>64</v>
      </c>
      <c r="H5558" t="s">
        <v>31</v>
      </c>
      <c r="I5558" s="12">
        <v>0.60069444444444442</v>
      </c>
      <c r="J5558" t="s">
        <v>65</v>
      </c>
      <c r="K5558" t="s">
        <v>66</v>
      </c>
      <c r="L5558" s="12">
        <v>0.62847222222222221</v>
      </c>
      <c r="M5558" t="s">
        <v>63</v>
      </c>
      <c r="N5558" s="3">
        <v>232</v>
      </c>
      <c r="O5558" t="s">
        <v>24</v>
      </c>
      <c r="P5558" t="s">
        <v>56</v>
      </c>
      <c r="R5558">
        <f>tblDailySchedule[[#This Row],[Capacity Approx]]*'[1]Load Factor Sheet June Acft  '!$B$5</f>
        <v>187.86727272727273</v>
      </c>
      <c r="S5558">
        <f>tblDailySchedule[[#This Row],[Capacity Approx]]*'[1]Load Factor Sheet June Acft  '!$D$5</f>
        <v>203.4218181818182</v>
      </c>
      <c r="T5558" s="22">
        <f>tblDailySchedule[[#This Row],[STD]]</f>
        <v>0.62847222222222221</v>
      </c>
    </row>
    <row r="5559" spans="1:20" hidden="1" x14ac:dyDescent="0.35">
      <c r="A5559" s="11">
        <v>46310</v>
      </c>
      <c r="B5559" s="3">
        <v>4</v>
      </c>
      <c r="C5559" t="s">
        <v>114</v>
      </c>
      <c r="D5559" t="s">
        <v>18</v>
      </c>
      <c r="E5559" s="3">
        <v>16</v>
      </c>
      <c r="F5559" t="s">
        <v>19</v>
      </c>
      <c r="G5559" t="s">
        <v>67</v>
      </c>
      <c r="H5559" t="s">
        <v>31</v>
      </c>
      <c r="I5559" s="12">
        <v>0.65625</v>
      </c>
      <c r="J5559" t="s">
        <v>68</v>
      </c>
      <c r="K5559" t="s">
        <v>31</v>
      </c>
      <c r="L5559" s="12">
        <v>0.68402777777777779</v>
      </c>
      <c r="M5559" t="s">
        <v>63</v>
      </c>
      <c r="N5559" s="3">
        <v>232</v>
      </c>
      <c r="O5559" t="s">
        <v>24</v>
      </c>
      <c r="P5559" t="s">
        <v>56</v>
      </c>
      <c r="R5559">
        <f>tblDailySchedule[[#This Row],[Capacity Approx]]*'[1]Load Factor Sheet June Acft  '!$B$5</f>
        <v>187.86727272727273</v>
      </c>
      <c r="S5559">
        <f>tblDailySchedule[[#This Row],[Capacity Approx]]*'[1]Load Factor Sheet June Acft  '!$D$5</f>
        <v>203.4218181818182</v>
      </c>
      <c r="T5559" s="22">
        <f>tblDailySchedule[[#This Row],[STD]]</f>
        <v>0.68402777777777779</v>
      </c>
    </row>
    <row r="5560" spans="1:20" hidden="1" x14ac:dyDescent="0.35">
      <c r="A5560" s="11">
        <v>46310</v>
      </c>
      <c r="B5560" s="3">
        <v>4</v>
      </c>
      <c r="C5560" t="s">
        <v>114</v>
      </c>
      <c r="D5560" t="s">
        <v>18</v>
      </c>
      <c r="E5560" s="3">
        <v>17</v>
      </c>
      <c r="F5560" t="s">
        <v>19</v>
      </c>
      <c r="G5560" t="s">
        <v>69</v>
      </c>
      <c r="H5560" t="s">
        <v>31</v>
      </c>
      <c r="I5560" s="12">
        <v>0.66319444444444442</v>
      </c>
      <c r="J5560" t="s">
        <v>70</v>
      </c>
      <c r="K5560" t="s">
        <v>31</v>
      </c>
      <c r="L5560" s="12">
        <v>0.69097222222222221</v>
      </c>
      <c r="M5560" t="s">
        <v>33</v>
      </c>
      <c r="N5560" s="3">
        <v>189</v>
      </c>
      <c r="O5560" t="s">
        <v>24</v>
      </c>
      <c r="P5560" t="s">
        <v>56</v>
      </c>
      <c r="R5560">
        <f>tblDailySchedule[[#This Row],[Capacity Approx]]*'[1]Load Factor Sheet June Acft  '!$B$5</f>
        <v>153.04704545454547</v>
      </c>
      <c r="S5560">
        <f>tblDailySchedule[[#This Row],[Capacity Approx]]*'[1]Load Factor Sheet June Acft  '!$D$5</f>
        <v>165.71863636363636</v>
      </c>
      <c r="T5560" s="22">
        <f>tblDailySchedule[[#This Row],[STD]]</f>
        <v>0.69097222222222221</v>
      </c>
    </row>
    <row r="5561" spans="1:20" hidden="1" x14ac:dyDescent="0.35">
      <c r="A5561" s="11">
        <v>46310</v>
      </c>
      <c r="B5561" s="3">
        <v>4</v>
      </c>
      <c r="C5561" t="s">
        <v>114</v>
      </c>
      <c r="D5561" t="s">
        <v>18</v>
      </c>
      <c r="E5561" s="3">
        <v>18</v>
      </c>
      <c r="F5561" t="s">
        <v>19</v>
      </c>
      <c r="G5561" t="s">
        <v>71</v>
      </c>
      <c r="H5561" t="s">
        <v>21</v>
      </c>
      <c r="I5561" s="12">
        <v>0.67013888888888884</v>
      </c>
      <c r="J5561" t="s">
        <v>72</v>
      </c>
      <c r="K5561" t="s">
        <v>21</v>
      </c>
      <c r="L5561" s="12">
        <v>0.69791666666666663</v>
      </c>
      <c r="M5561" t="s">
        <v>63</v>
      </c>
      <c r="N5561" s="3">
        <v>232</v>
      </c>
      <c r="O5561" t="s">
        <v>24</v>
      </c>
      <c r="P5561" t="s">
        <v>56</v>
      </c>
      <c r="R5561">
        <f>tblDailySchedule[[#This Row],[Capacity Approx]]*'[1]Load Factor Sheet June Acft  '!$B$5</f>
        <v>187.86727272727273</v>
      </c>
      <c r="S5561">
        <f>tblDailySchedule[[#This Row],[Capacity Approx]]*'[1]Load Factor Sheet June Acft  '!$D$5</f>
        <v>203.4218181818182</v>
      </c>
      <c r="T5561" s="22">
        <f>tblDailySchedule[[#This Row],[STD]]</f>
        <v>0.69791666666666663</v>
      </c>
    </row>
    <row r="5562" spans="1:20" hidden="1" x14ac:dyDescent="0.35">
      <c r="A5562" s="11">
        <v>46310</v>
      </c>
      <c r="B5562" s="3">
        <v>4</v>
      </c>
      <c r="C5562" t="s">
        <v>114</v>
      </c>
      <c r="D5562" t="s">
        <v>18</v>
      </c>
      <c r="E5562" s="3">
        <v>19</v>
      </c>
      <c r="F5562" t="s">
        <v>19</v>
      </c>
      <c r="G5562" t="s">
        <v>73</v>
      </c>
      <c r="H5562" t="s">
        <v>27</v>
      </c>
      <c r="I5562" s="12">
        <v>0.74652777777777779</v>
      </c>
      <c r="J5562" t="s">
        <v>74</v>
      </c>
      <c r="K5562" t="s">
        <v>27</v>
      </c>
      <c r="L5562" s="12">
        <v>0.77430555555555558</v>
      </c>
      <c r="M5562" t="s">
        <v>63</v>
      </c>
      <c r="N5562" s="3">
        <v>232</v>
      </c>
      <c r="O5562" t="s">
        <v>24</v>
      </c>
      <c r="P5562" t="s">
        <v>56</v>
      </c>
      <c r="R5562">
        <f>tblDailySchedule[[#This Row],[Capacity Approx]]*'[1]Load Factor Sheet June Acft  '!$B$5</f>
        <v>187.86727272727273</v>
      </c>
      <c r="S5562">
        <f>tblDailySchedule[[#This Row],[Capacity Approx]]*'[1]Load Factor Sheet June Acft  '!$D$5</f>
        <v>203.4218181818182</v>
      </c>
      <c r="T5562" s="22">
        <f>tblDailySchedule[[#This Row],[STD]]</f>
        <v>0.77430555555555558</v>
      </c>
    </row>
    <row r="5563" spans="1:20" hidden="1" x14ac:dyDescent="0.35">
      <c r="A5563" s="11">
        <v>46310</v>
      </c>
      <c r="B5563" s="3">
        <v>4</v>
      </c>
      <c r="C5563" t="s">
        <v>114</v>
      </c>
      <c r="D5563" t="s">
        <v>18</v>
      </c>
      <c r="E5563" s="3">
        <v>21</v>
      </c>
      <c r="F5563" t="s">
        <v>19</v>
      </c>
      <c r="G5563" t="s">
        <v>81</v>
      </c>
      <c r="H5563" t="s">
        <v>61</v>
      </c>
      <c r="I5563" s="12">
        <v>0.77083333333333337</v>
      </c>
      <c r="J5563" t="s">
        <v>82</v>
      </c>
      <c r="K5563" t="s">
        <v>49</v>
      </c>
      <c r="L5563" s="12">
        <v>0.79166666666666663</v>
      </c>
      <c r="M5563" t="s">
        <v>33</v>
      </c>
      <c r="N5563" s="3">
        <v>189</v>
      </c>
      <c r="O5563" t="s">
        <v>24</v>
      </c>
      <c r="P5563" t="s">
        <v>79</v>
      </c>
      <c r="R5563">
        <f>tblDailySchedule[[#This Row],[Capacity Approx]]*'[1]Load Factor Sheet June Acft  '!$B$5</f>
        <v>153.04704545454547</v>
      </c>
      <c r="S5563">
        <f>tblDailySchedule[[#This Row],[Capacity Approx]]*'[1]Load Factor Sheet June Acft  '!$D$5</f>
        <v>165.71863636363636</v>
      </c>
      <c r="T5563" s="22">
        <f>tblDailySchedule[[#This Row],[STD]]</f>
        <v>0.79166666666666663</v>
      </c>
    </row>
    <row r="5564" spans="1:20" hidden="1" x14ac:dyDescent="0.35">
      <c r="A5564" s="11">
        <v>46310</v>
      </c>
      <c r="B5564" s="3">
        <v>4</v>
      </c>
      <c r="C5564" t="s">
        <v>114</v>
      </c>
      <c r="D5564" t="s">
        <v>18</v>
      </c>
      <c r="E5564" s="3">
        <v>22</v>
      </c>
      <c r="F5564" t="s">
        <v>19</v>
      </c>
      <c r="G5564" t="s">
        <v>83</v>
      </c>
      <c r="H5564" t="s">
        <v>31</v>
      </c>
      <c r="I5564" s="12">
        <v>0.77777777777777779</v>
      </c>
      <c r="J5564" t="s">
        <v>84</v>
      </c>
      <c r="K5564" t="s">
        <v>31</v>
      </c>
      <c r="L5564" s="12">
        <v>0.80555555555555558</v>
      </c>
      <c r="M5564" t="s">
        <v>63</v>
      </c>
      <c r="N5564" s="3">
        <v>232</v>
      </c>
      <c r="O5564" t="s">
        <v>24</v>
      </c>
      <c r="P5564" t="s">
        <v>79</v>
      </c>
      <c r="R5564">
        <f>tblDailySchedule[[#This Row],[Capacity Approx]]*'[1]Load Factor Sheet June Acft  '!$B$5</f>
        <v>187.86727272727273</v>
      </c>
      <c r="S5564">
        <f>tblDailySchedule[[#This Row],[Capacity Approx]]*'[1]Load Factor Sheet June Acft  '!$D$5</f>
        <v>203.4218181818182</v>
      </c>
      <c r="T5564" s="22">
        <f>tblDailySchedule[[#This Row],[STD]]</f>
        <v>0.80555555555555558</v>
      </c>
    </row>
    <row r="5565" spans="1:20" hidden="1" x14ac:dyDescent="0.35">
      <c r="A5565" s="11">
        <v>46310</v>
      </c>
      <c r="B5565" s="3">
        <v>4</v>
      </c>
      <c r="C5565" t="s">
        <v>114</v>
      </c>
      <c r="D5565" t="s">
        <v>18</v>
      </c>
      <c r="E5565" s="3">
        <v>23</v>
      </c>
      <c r="F5565" t="s">
        <v>19</v>
      </c>
      <c r="G5565" t="s">
        <v>85</v>
      </c>
      <c r="H5565" t="s">
        <v>86</v>
      </c>
      <c r="I5565" s="12">
        <v>0.79861111111111116</v>
      </c>
      <c r="J5565" t="s">
        <v>87</v>
      </c>
      <c r="K5565" t="s">
        <v>86</v>
      </c>
      <c r="L5565" s="12">
        <v>0.82638888888888884</v>
      </c>
      <c r="M5565" t="s">
        <v>63</v>
      </c>
      <c r="N5565" s="3">
        <v>232</v>
      </c>
      <c r="O5565" t="s">
        <v>24</v>
      </c>
      <c r="P5565" t="s">
        <v>79</v>
      </c>
      <c r="R5565">
        <f>tblDailySchedule[[#This Row],[Capacity Approx]]*'[1]Load Factor Sheet June Acft  '!$B$5</f>
        <v>187.86727272727273</v>
      </c>
      <c r="S5565">
        <f>tblDailySchedule[[#This Row],[Capacity Approx]]*'[1]Load Factor Sheet June Acft  '!$D$5</f>
        <v>203.4218181818182</v>
      </c>
      <c r="T5565" s="22">
        <f>tblDailySchedule[[#This Row],[STD]]</f>
        <v>0.82638888888888884</v>
      </c>
    </row>
    <row r="5566" spans="1:20" hidden="1" x14ac:dyDescent="0.35">
      <c r="A5566" s="11">
        <v>46310</v>
      </c>
      <c r="B5566" s="3">
        <v>4</v>
      </c>
      <c r="C5566" t="s">
        <v>114</v>
      </c>
      <c r="D5566" t="s">
        <v>18</v>
      </c>
      <c r="E5566" s="3">
        <v>24</v>
      </c>
      <c r="F5566" t="s">
        <v>19</v>
      </c>
      <c r="G5566" t="s">
        <v>88</v>
      </c>
      <c r="H5566" t="s">
        <v>89</v>
      </c>
      <c r="I5566" s="12">
        <v>0.83333333333333337</v>
      </c>
      <c r="J5566" t="s">
        <v>90</v>
      </c>
      <c r="K5566" t="s">
        <v>31</v>
      </c>
      <c r="L5566" s="12">
        <v>0.86111111111111116</v>
      </c>
      <c r="M5566" t="s">
        <v>63</v>
      </c>
      <c r="N5566" s="3">
        <v>232</v>
      </c>
      <c r="O5566" t="s">
        <v>24</v>
      </c>
      <c r="P5566" t="s">
        <v>79</v>
      </c>
      <c r="R5566">
        <f>tblDailySchedule[[#This Row],[Capacity Approx]]*'[1]Load Factor Sheet June Acft  '!$B$5</f>
        <v>187.86727272727273</v>
      </c>
      <c r="S5566">
        <f>tblDailySchedule[[#This Row],[Capacity Approx]]*'[1]Load Factor Sheet June Acft  '!$D$5</f>
        <v>203.4218181818182</v>
      </c>
      <c r="T5566" s="22">
        <f>tblDailySchedule[[#This Row],[STD]]</f>
        <v>0.86111111111111116</v>
      </c>
    </row>
    <row r="5567" spans="1:20" hidden="1" x14ac:dyDescent="0.35">
      <c r="A5567" s="11">
        <v>46310</v>
      </c>
      <c r="B5567" s="3">
        <v>4</v>
      </c>
      <c r="C5567" t="s">
        <v>114</v>
      </c>
      <c r="D5567" t="s">
        <v>18</v>
      </c>
      <c r="E5567" s="3">
        <v>25</v>
      </c>
      <c r="F5567" t="s">
        <v>19</v>
      </c>
      <c r="G5567" t="s">
        <v>91</v>
      </c>
      <c r="H5567" t="s">
        <v>61</v>
      </c>
      <c r="I5567" s="12">
        <v>0.85416666666666663</v>
      </c>
      <c r="J5567" t="s">
        <v>92</v>
      </c>
      <c r="K5567" t="s">
        <v>61</v>
      </c>
      <c r="L5567" s="12">
        <v>0.88194444444444442</v>
      </c>
      <c r="M5567" t="s">
        <v>63</v>
      </c>
      <c r="N5567" s="3">
        <v>232</v>
      </c>
      <c r="O5567" t="s">
        <v>24</v>
      </c>
      <c r="P5567" t="s">
        <v>79</v>
      </c>
      <c r="R5567">
        <f>tblDailySchedule[[#This Row],[Capacity Approx]]*'[1]Load Factor Sheet June Acft  '!$B$5</f>
        <v>187.86727272727273</v>
      </c>
      <c r="S5567">
        <f>tblDailySchedule[[#This Row],[Capacity Approx]]*'[1]Load Factor Sheet June Acft  '!$D$5</f>
        <v>203.4218181818182</v>
      </c>
      <c r="T5567" s="22">
        <f>tblDailySchedule[[#This Row],[STD]]</f>
        <v>0.88194444444444442</v>
      </c>
    </row>
    <row r="5568" spans="1:20" hidden="1" x14ac:dyDescent="0.35">
      <c r="A5568" s="11">
        <v>46310</v>
      </c>
      <c r="B5568" s="3">
        <v>4</v>
      </c>
      <c r="C5568" t="s">
        <v>114</v>
      </c>
      <c r="D5568" t="s">
        <v>18</v>
      </c>
      <c r="E5568" s="3">
        <v>26</v>
      </c>
      <c r="F5568" t="s">
        <v>19</v>
      </c>
      <c r="G5568" t="s">
        <v>93</v>
      </c>
      <c r="H5568" t="s">
        <v>31</v>
      </c>
      <c r="I5568" s="12">
        <v>0.86111111111111116</v>
      </c>
      <c r="J5568" t="s">
        <v>94</v>
      </c>
      <c r="K5568" t="s">
        <v>31</v>
      </c>
      <c r="L5568" s="12">
        <v>0.88888888888888884</v>
      </c>
      <c r="M5568" t="s">
        <v>23</v>
      </c>
      <c r="N5568" s="3">
        <v>186</v>
      </c>
      <c r="O5568" t="s">
        <v>24</v>
      </c>
      <c r="P5568" t="s">
        <v>79</v>
      </c>
      <c r="R5568">
        <f>tblDailySchedule[[#This Row],[Capacity Approx]]*'[1]Load Factor Sheet June Acft  '!$B$5</f>
        <v>150.61772727272728</v>
      </c>
      <c r="S5568">
        <f>tblDailySchedule[[#This Row],[Capacity Approx]]*'[1]Load Factor Sheet June Acft  '!$D$5</f>
        <v>163.08818181818182</v>
      </c>
      <c r="T5568" s="22">
        <f>tblDailySchedule[[#This Row],[STD]]</f>
        <v>0.88888888888888884</v>
      </c>
    </row>
    <row r="5569" spans="1:20" hidden="1" x14ac:dyDescent="0.35">
      <c r="A5569" s="11">
        <v>46310</v>
      </c>
      <c r="B5569" s="3">
        <v>4</v>
      </c>
      <c r="C5569" t="s">
        <v>114</v>
      </c>
      <c r="D5569" t="s">
        <v>18</v>
      </c>
      <c r="E5569" s="3">
        <v>27</v>
      </c>
      <c r="F5569" t="s">
        <v>19</v>
      </c>
      <c r="G5569" t="s">
        <v>95</v>
      </c>
      <c r="H5569" t="s">
        <v>21</v>
      </c>
      <c r="I5569" s="12">
        <v>0.86805555555555558</v>
      </c>
      <c r="J5569" t="s">
        <v>96</v>
      </c>
      <c r="K5569" t="s">
        <v>21</v>
      </c>
      <c r="L5569" s="12">
        <v>0.89583333333333337</v>
      </c>
      <c r="M5569" t="s">
        <v>29</v>
      </c>
      <c r="N5569" s="3">
        <v>186</v>
      </c>
      <c r="O5569" t="s">
        <v>24</v>
      </c>
      <c r="P5569" t="s">
        <v>79</v>
      </c>
      <c r="R5569">
        <f>tblDailySchedule[[#This Row],[Capacity Approx]]*'[1]Load Factor Sheet June Acft  '!$B$5</f>
        <v>150.61772727272728</v>
      </c>
      <c r="S5569">
        <f>tblDailySchedule[[#This Row],[Capacity Approx]]*'[1]Load Factor Sheet June Acft  '!$D$5</f>
        <v>163.08818181818182</v>
      </c>
      <c r="T5569" s="22">
        <f>tblDailySchedule[[#This Row],[STD]]</f>
        <v>0.89583333333333337</v>
      </c>
    </row>
    <row r="5570" spans="1:20" hidden="1" x14ac:dyDescent="0.35">
      <c r="A5570" s="11">
        <v>46310</v>
      </c>
      <c r="B5570" s="3">
        <v>4</v>
      </c>
      <c r="C5570" t="s">
        <v>114</v>
      </c>
      <c r="D5570" t="s">
        <v>18</v>
      </c>
      <c r="E5570" s="3">
        <v>28</v>
      </c>
      <c r="F5570" t="s">
        <v>19</v>
      </c>
      <c r="G5570" t="s">
        <v>97</v>
      </c>
      <c r="H5570" t="s">
        <v>49</v>
      </c>
      <c r="I5570" s="12">
        <v>0.90277777777777779</v>
      </c>
      <c r="J5570" t="s">
        <v>97</v>
      </c>
      <c r="K5570" t="s">
        <v>61</v>
      </c>
      <c r="L5570" s="12">
        <v>0.92361111111111116</v>
      </c>
      <c r="M5570" t="s">
        <v>33</v>
      </c>
      <c r="N5570" s="3">
        <v>189</v>
      </c>
      <c r="O5570" t="s">
        <v>24</v>
      </c>
      <c r="P5570" t="s">
        <v>79</v>
      </c>
      <c r="R5570">
        <f>tblDailySchedule[[#This Row],[Capacity Approx]]*'[1]Load Factor Sheet June Acft  '!$B$5</f>
        <v>153.04704545454547</v>
      </c>
      <c r="S5570">
        <f>tblDailySchedule[[#This Row],[Capacity Approx]]*'[1]Load Factor Sheet June Acft  '!$D$5</f>
        <v>165.71863636363636</v>
      </c>
      <c r="T5570" s="22">
        <f>tblDailySchedule[[#This Row],[STD]]</f>
        <v>0.92361111111111116</v>
      </c>
    </row>
    <row r="5571" spans="1:20" hidden="1" x14ac:dyDescent="0.35">
      <c r="A5571" s="11">
        <v>46310</v>
      </c>
      <c r="B5571" s="3">
        <v>4</v>
      </c>
      <c r="C5571" t="s">
        <v>114</v>
      </c>
      <c r="D5571" t="s">
        <v>18</v>
      </c>
      <c r="E5571" s="3">
        <v>29</v>
      </c>
      <c r="F5571" t="s">
        <v>19</v>
      </c>
      <c r="G5571" t="s">
        <v>98</v>
      </c>
      <c r="H5571" t="s">
        <v>21</v>
      </c>
      <c r="I5571" s="12">
        <v>0.92013888888888884</v>
      </c>
      <c r="J5571" t="s">
        <v>99</v>
      </c>
      <c r="K5571" t="s">
        <v>21</v>
      </c>
      <c r="L5571" s="12">
        <v>0.94791666666666663</v>
      </c>
      <c r="M5571" t="s">
        <v>63</v>
      </c>
      <c r="N5571" s="3">
        <v>232</v>
      </c>
      <c r="O5571" t="s">
        <v>24</v>
      </c>
      <c r="P5571" t="s">
        <v>79</v>
      </c>
      <c r="R5571">
        <f>tblDailySchedule[[#This Row],[Capacity Approx]]*'[1]Load Factor Sheet June Acft  '!$B$5</f>
        <v>187.86727272727273</v>
      </c>
      <c r="S5571">
        <f>tblDailySchedule[[#This Row],[Capacity Approx]]*'[1]Load Factor Sheet June Acft  '!$D$5</f>
        <v>203.4218181818182</v>
      </c>
      <c r="T5571" s="22">
        <f>tblDailySchedule[[#This Row],[STD]]</f>
        <v>0.94791666666666663</v>
      </c>
    </row>
    <row r="5572" spans="1:20" hidden="1" x14ac:dyDescent="0.35">
      <c r="A5572" s="11">
        <v>46311</v>
      </c>
      <c r="B5572" s="3">
        <v>5</v>
      </c>
      <c r="C5572" t="s">
        <v>115</v>
      </c>
      <c r="D5572" t="s">
        <v>18</v>
      </c>
      <c r="E5572" s="3">
        <v>2</v>
      </c>
      <c r="F5572" t="s">
        <v>19</v>
      </c>
      <c r="G5572" t="s">
        <v>20</v>
      </c>
      <c r="H5572" t="s">
        <v>21</v>
      </c>
      <c r="I5572" s="12">
        <v>0.31944444444444442</v>
      </c>
      <c r="J5572" t="s">
        <v>22</v>
      </c>
      <c r="K5572" t="s">
        <v>21</v>
      </c>
      <c r="L5572" s="12">
        <v>0.34722222222222221</v>
      </c>
      <c r="M5572" t="s">
        <v>23</v>
      </c>
      <c r="N5572" s="3">
        <v>186</v>
      </c>
      <c r="O5572" t="s">
        <v>24</v>
      </c>
      <c r="P5572" t="s">
        <v>25</v>
      </c>
      <c r="R5572">
        <f>tblDailySchedule[[#This Row],[Capacity Approx]]*'[1]Load Factor Sheet June Acft  '!$B$5</f>
        <v>150.61772727272728</v>
      </c>
      <c r="S5572">
        <f>tblDailySchedule[[#This Row],[Capacity Approx]]*'[1]Load Factor Sheet June Acft  '!$D$5</f>
        <v>163.08818181818182</v>
      </c>
      <c r="T5572" s="22">
        <f>tblDailySchedule[[#This Row],[STD]]</f>
        <v>0.34722222222222221</v>
      </c>
    </row>
    <row r="5573" spans="1:20" hidden="1" x14ac:dyDescent="0.35">
      <c r="A5573" s="11">
        <v>46311</v>
      </c>
      <c r="B5573" s="3">
        <v>5</v>
      </c>
      <c r="C5573" t="s">
        <v>115</v>
      </c>
      <c r="D5573" t="s">
        <v>18</v>
      </c>
      <c r="E5573" s="3">
        <v>3</v>
      </c>
      <c r="F5573" t="s">
        <v>19</v>
      </c>
      <c r="G5573" t="s">
        <v>26</v>
      </c>
      <c r="H5573" t="s">
        <v>27</v>
      </c>
      <c r="I5573" s="12">
        <v>0.3263888888888889</v>
      </c>
      <c r="J5573" t="s">
        <v>28</v>
      </c>
      <c r="K5573" t="s">
        <v>27</v>
      </c>
      <c r="L5573" s="12">
        <v>0.35416666666666669</v>
      </c>
      <c r="M5573" t="s">
        <v>29</v>
      </c>
      <c r="N5573" s="3">
        <v>186</v>
      </c>
      <c r="O5573" t="s">
        <v>24</v>
      </c>
      <c r="P5573" t="s">
        <v>25</v>
      </c>
      <c r="R5573">
        <f>tblDailySchedule[[#This Row],[Capacity Approx]]*'[1]Load Factor Sheet June Acft  '!$B$5</f>
        <v>150.61772727272728</v>
      </c>
      <c r="S5573">
        <f>tblDailySchedule[[#This Row],[Capacity Approx]]*'[1]Load Factor Sheet June Acft  '!$D$5</f>
        <v>163.08818181818182</v>
      </c>
      <c r="T5573" s="22">
        <f>tblDailySchedule[[#This Row],[STD]]</f>
        <v>0.35416666666666669</v>
      </c>
    </row>
    <row r="5574" spans="1:20" hidden="1" x14ac:dyDescent="0.35">
      <c r="A5574" s="11">
        <v>46311</v>
      </c>
      <c r="B5574" s="3">
        <v>5</v>
      </c>
      <c r="C5574" t="s">
        <v>115</v>
      </c>
      <c r="D5574" t="s">
        <v>18</v>
      </c>
      <c r="E5574" s="3">
        <v>4</v>
      </c>
      <c r="F5574" t="s">
        <v>19</v>
      </c>
      <c r="G5574" t="s">
        <v>30</v>
      </c>
      <c r="H5574" t="s">
        <v>31</v>
      </c>
      <c r="I5574" s="12">
        <v>0.34722222222222221</v>
      </c>
      <c r="J5574" t="s">
        <v>32</v>
      </c>
      <c r="K5574" t="s">
        <v>31</v>
      </c>
      <c r="L5574" s="12">
        <v>0.36805555555555558</v>
      </c>
      <c r="M5574" t="s">
        <v>33</v>
      </c>
      <c r="N5574" s="3">
        <v>189</v>
      </c>
      <c r="O5574" t="s">
        <v>24</v>
      </c>
      <c r="P5574" t="s">
        <v>25</v>
      </c>
      <c r="R5574">
        <f>tblDailySchedule[[#This Row],[Capacity Approx]]*'[1]Load Factor Sheet June Acft  '!$B$5</f>
        <v>153.04704545454547</v>
      </c>
      <c r="S5574">
        <f>tblDailySchedule[[#This Row],[Capacity Approx]]*'[1]Load Factor Sheet June Acft  '!$D$5</f>
        <v>165.71863636363636</v>
      </c>
      <c r="T5574" s="22">
        <f>tblDailySchedule[[#This Row],[STD]]</f>
        <v>0.36805555555555558</v>
      </c>
    </row>
    <row r="5575" spans="1:20" hidden="1" x14ac:dyDescent="0.35">
      <c r="A5575" s="13">
        <v>46311</v>
      </c>
      <c r="B5575" s="7">
        <v>5</v>
      </c>
      <c r="C5575" s="14" t="s">
        <v>115</v>
      </c>
      <c r="D5575" s="14" t="s">
        <v>18</v>
      </c>
      <c r="E5575" s="7">
        <v>6</v>
      </c>
      <c r="F5575" s="14" t="s">
        <v>34</v>
      </c>
      <c r="G5575" s="14" t="s">
        <v>35</v>
      </c>
      <c r="H5575" s="14" t="s">
        <v>36</v>
      </c>
      <c r="I5575" s="15">
        <v>0.34722222222222221</v>
      </c>
      <c r="J5575" s="14" t="s">
        <v>37</v>
      </c>
      <c r="K5575" s="14" t="s">
        <v>36</v>
      </c>
      <c r="L5575" s="15">
        <v>0.40972222222222221</v>
      </c>
      <c r="M5575" s="14" t="s">
        <v>38</v>
      </c>
      <c r="N5575" s="7">
        <v>186</v>
      </c>
      <c r="O5575" s="14" t="s">
        <v>39</v>
      </c>
      <c r="P5575" s="14" t="s">
        <v>25</v>
      </c>
      <c r="Q5575" s="14" t="s">
        <v>39</v>
      </c>
      <c r="R5575">
        <f>tblDailySchedule[[#This Row],[Capacity Approx]]*'[1]Load Factor Sheet June Acft  '!$B$5</f>
        <v>150.61772727272728</v>
      </c>
      <c r="S5575">
        <f>tblDailySchedule[[#This Row],[Capacity Approx]]*'[1]Load Factor Sheet June Acft  '!$D$5</f>
        <v>163.08818181818182</v>
      </c>
      <c r="T5575" s="22">
        <f>tblDailySchedule[[#This Row],[STD]]</f>
        <v>0.40972222222222221</v>
      </c>
    </row>
    <row r="5576" spans="1:20" hidden="1" x14ac:dyDescent="0.35">
      <c r="A5576" s="11">
        <v>46311</v>
      </c>
      <c r="B5576" s="3">
        <v>5</v>
      </c>
      <c r="C5576" t="s">
        <v>115</v>
      </c>
      <c r="D5576" t="s">
        <v>18</v>
      </c>
      <c r="E5576" s="3">
        <v>5</v>
      </c>
      <c r="F5576" t="s">
        <v>19</v>
      </c>
      <c r="G5576" t="s">
        <v>40</v>
      </c>
      <c r="H5576" t="s">
        <v>31</v>
      </c>
      <c r="I5576" s="12">
        <v>0.35069444444444442</v>
      </c>
      <c r="J5576" t="s">
        <v>41</v>
      </c>
      <c r="K5576" t="s">
        <v>31</v>
      </c>
      <c r="L5576" s="12">
        <v>0.37152777777777779</v>
      </c>
      <c r="M5576" t="s">
        <v>23</v>
      </c>
      <c r="N5576" s="3">
        <v>186</v>
      </c>
      <c r="O5576" t="s">
        <v>24</v>
      </c>
      <c r="P5576" t="s">
        <v>25</v>
      </c>
      <c r="R5576">
        <f>tblDailySchedule[[#This Row],[Capacity Approx]]*'[1]Load Factor Sheet June Acft  '!$B$5</f>
        <v>150.61772727272728</v>
      </c>
      <c r="S5576">
        <f>tblDailySchedule[[#This Row],[Capacity Approx]]*'[1]Load Factor Sheet June Acft  '!$D$5</f>
        <v>163.08818181818182</v>
      </c>
      <c r="T5576" s="22">
        <f>tblDailySchedule[[#This Row],[STD]]</f>
        <v>0.37152777777777779</v>
      </c>
    </row>
    <row r="5577" spans="1:20" hidden="1" x14ac:dyDescent="0.35">
      <c r="A5577" s="11">
        <v>46311</v>
      </c>
      <c r="B5577" s="3">
        <v>5</v>
      </c>
      <c r="C5577" t="s">
        <v>115</v>
      </c>
      <c r="D5577" t="s">
        <v>18</v>
      </c>
      <c r="E5577" s="3">
        <v>7</v>
      </c>
      <c r="F5577" t="s">
        <v>19</v>
      </c>
      <c r="G5577" t="s">
        <v>42</v>
      </c>
      <c r="H5577" t="s">
        <v>43</v>
      </c>
      <c r="I5577" s="12">
        <v>0.3923611111111111</v>
      </c>
      <c r="J5577" t="s">
        <v>44</v>
      </c>
      <c r="K5577" t="s">
        <v>43</v>
      </c>
      <c r="L5577" s="12">
        <v>0.40277777777777779</v>
      </c>
      <c r="M5577" t="s">
        <v>45</v>
      </c>
      <c r="N5577" s="3">
        <v>9</v>
      </c>
      <c r="O5577" t="s">
        <v>24</v>
      </c>
      <c r="P5577" t="s">
        <v>25</v>
      </c>
      <c r="R5577">
        <f>tblDailySchedule[[#This Row],[Capacity Approx]]*'[1]Load Factor Sheet June Acft  '!$B$5</f>
        <v>7.2879545454545456</v>
      </c>
      <c r="S5577">
        <f>tblDailySchedule[[#This Row],[Capacity Approx]]*'[1]Load Factor Sheet June Acft  '!$D$5</f>
        <v>7.8913636363636366</v>
      </c>
      <c r="T5577" s="22">
        <f>tblDailySchedule[[#This Row],[STD]]</f>
        <v>0.40277777777777779</v>
      </c>
    </row>
    <row r="5578" spans="1:20" hidden="1" x14ac:dyDescent="0.35">
      <c r="A5578" s="11">
        <v>46311</v>
      </c>
      <c r="B5578" s="3">
        <v>5</v>
      </c>
      <c r="C5578" t="s">
        <v>115</v>
      </c>
      <c r="D5578" t="s">
        <v>18</v>
      </c>
      <c r="E5578" s="3">
        <v>8</v>
      </c>
      <c r="F5578" t="s">
        <v>19</v>
      </c>
      <c r="G5578" t="s">
        <v>46</v>
      </c>
      <c r="H5578" t="s">
        <v>31</v>
      </c>
      <c r="I5578" s="12">
        <v>0.4201388888888889</v>
      </c>
      <c r="J5578" t="s">
        <v>47</v>
      </c>
      <c r="K5578" t="s">
        <v>31</v>
      </c>
      <c r="L5578" s="12">
        <v>0.44444444444444442</v>
      </c>
      <c r="M5578" t="s">
        <v>29</v>
      </c>
      <c r="N5578" s="3">
        <v>186</v>
      </c>
      <c r="O5578" t="s">
        <v>24</v>
      </c>
      <c r="P5578" t="s">
        <v>25</v>
      </c>
      <c r="R5578">
        <f>tblDailySchedule[[#This Row],[Capacity Approx]]*'[1]Load Factor Sheet June Acft  '!$B$5</f>
        <v>150.61772727272728</v>
      </c>
      <c r="S5578">
        <f>tblDailySchedule[[#This Row],[Capacity Approx]]*'[1]Load Factor Sheet June Acft  '!$D$5</f>
        <v>163.08818181818182</v>
      </c>
      <c r="T5578" s="22">
        <f>tblDailySchedule[[#This Row],[STD]]</f>
        <v>0.44444444444444442</v>
      </c>
    </row>
    <row r="5579" spans="1:20" hidden="1" x14ac:dyDescent="0.35">
      <c r="A5579" s="11">
        <v>46311</v>
      </c>
      <c r="B5579" s="3">
        <v>5</v>
      </c>
      <c r="C5579" t="s">
        <v>115</v>
      </c>
      <c r="D5579" t="s">
        <v>18</v>
      </c>
      <c r="E5579" s="3">
        <v>9</v>
      </c>
      <c r="F5579" t="s">
        <v>19</v>
      </c>
      <c r="G5579" t="s">
        <v>48</v>
      </c>
      <c r="H5579" t="s">
        <v>49</v>
      </c>
      <c r="I5579" s="12">
        <v>0.4375</v>
      </c>
      <c r="J5579" t="s">
        <v>50</v>
      </c>
      <c r="K5579" t="s">
        <v>49</v>
      </c>
      <c r="L5579" s="12">
        <v>0.45833333333333331</v>
      </c>
      <c r="M5579" t="s">
        <v>51</v>
      </c>
      <c r="N5579" s="3">
        <v>78</v>
      </c>
      <c r="O5579" t="s">
        <v>24</v>
      </c>
      <c r="P5579" t="s">
        <v>25</v>
      </c>
      <c r="R5579">
        <f>tblDailySchedule[[#This Row],[Capacity Approx]]*'[1]Load Factor Sheet June Acft  '!$B$5</f>
        <v>63.162272727272729</v>
      </c>
      <c r="S5579">
        <f>tblDailySchedule[[#This Row],[Capacity Approx]]*'[1]Load Factor Sheet June Acft  '!$D$5</f>
        <v>68.391818181818181</v>
      </c>
      <c r="T5579" s="22">
        <f>tblDailySchedule[[#This Row],[STD]]</f>
        <v>0.45833333333333331</v>
      </c>
    </row>
    <row r="5580" spans="1:20" hidden="1" x14ac:dyDescent="0.35">
      <c r="A5580" s="11">
        <v>46311</v>
      </c>
      <c r="B5580" s="3">
        <v>5</v>
      </c>
      <c r="C5580" t="s">
        <v>115</v>
      </c>
      <c r="D5580" t="s">
        <v>18</v>
      </c>
      <c r="E5580" s="3">
        <v>10</v>
      </c>
      <c r="F5580" t="s">
        <v>19</v>
      </c>
      <c r="G5580" t="s">
        <v>52</v>
      </c>
      <c r="H5580" t="s">
        <v>27</v>
      </c>
      <c r="I5580" s="12">
        <v>0.4826388888888889</v>
      </c>
      <c r="J5580" t="s">
        <v>53</v>
      </c>
      <c r="K5580" t="s">
        <v>27</v>
      </c>
      <c r="L5580" s="12">
        <v>0.51041666666666663</v>
      </c>
      <c r="M5580" t="s">
        <v>23</v>
      </c>
      <c r="N5580" s="3">
        <v>186</v>
      </c>
      <c r="O5580" t="s">
        <v>24</v>
      </c>
      <c r="P5580" t="s">
        <v>25</v>
      </c>
      <c r="R5580">
        <f>tblDailySchedule[[#This Row],[Capacity Approx]]*'[1]Load Factor Sheet June Acft  '!$B$5</f>
        <v>150.61772727272728</v>
      </c>
      <c r="S5580">
        <f>tblDailySchedule[[#This Row],[Capacity Approx]]*'[1]Load Factor Sheet June Acft  '!$D$5</f>
        <v>163.08818181818182</v>
      </c>
      <c r="T5580" s="22">
        <f>tblDailySchedule[[#This Row],[STD]]</f>
        <v>0.51041666666666663</v>
      </c>
    </row>
    <row r="5581" spans="1:20" hidden="1" x14ac:dyDescent="0.35">
      <c r="A5581" s="11">
        <v>46311</v>
      </c>
      <c r="B5581" s="3">
        <v>5</v>
      </c>
      <c r="C5581" t="s">
        <v>115</v>
      </c>
      <c r="D5581" t="s">
        <v>18</v>
      </c>
      <c r="E5581" s="3">
        <v>11</v>
      </c>
      <c r="F5581" t="s">
        <v>19</v>
      </c>
      <c r="G5581" t="s">
        <v>54</v>
      </c>
      <c r="H5581" t="s">
        <v>31</v>
      </c>
      <c r="I5581" s="12">
        <v>0.51388888888888884</v>
      </c>
      <c r="J5581" t="s">
        <v>55</v>
      </c>
      <c r="K5581" t="s">
        <v>31</v>
      </c>
      <c r="L5581" s="12">
        <v>0.54166666666666663</v>
      </c>
      <c r="M5581" t="s">
        <v>23</v>
      </c>
      <c r="N5581" s="3">
        <v>186</v>
      </c>
      <c r="O5581" t="s">
        <v>24</v>
      </c>
      <c r="P5581" t="s">
        <v>56</v>
      </c>
      <c r="R5581">
        <f>tblDailySchedule[[#This Row],[Capacity Approx]]*'[1]Load Factor Sheet June Acft  '!$B$5</f>
        <v>150.61772727272728</v>
      </c>
      <c r="S5581">
        <f>tblDailySchedule[[#This Row],[Capacity Approx]]*'[1]Load Factor Sheet June Acft  '!$D$5</f>
        <v>163.08818181818182</v>
      </c>
      <c r="T5581" s="22">
        <f>tblDailySchedule[[#This Row],[STD]]</f>
        <v>0.54166666666666663</v>
      </c>
    </row>
    <row r="5582" spans="1:20" hidden="1" x14ac:dyDescent="0.35">
      <c r="A5582" s="11">
        <v>46311</v>
      </c>
      <c r="B5582" s="3">
        <v>5</v>
      </c>
      <c r="C5582" t="s">
        <v>115</v>
      </c>
      <c r="D5582" t="s">
        <v>18</v>
      </c>
      <c r="E5582" s="3">
        <v>13</v>
      </c>
      <c r="F5582" t="s">
        <v>19</v>
      </c>
      <c r="G5582" t="s">
        <v>57</v>
      </c>
      <c r="H5582" t="s">
        <v>58</v>
      </c>
      <c r="I5582" s="12">
        <v>0.55902777777777779</v>
      </c>
      <c r="J5582" t="s">
        <v>59</v>
      </c>
      <c r="K5582" t="s">
        <v>58</v>
      </c>
      <c r="L5582" s="12">
        <v>0.57638888888888884</v>
      </c>
      <c r="M5582" t="s">
        <v>51</v>
      </c>
      <c r="N5582" s="3">
        <v>78</v>
      </c>
      <c r="O5582" t="s">
        <v>24</v>
      </c>
      <c r="P5582" t="s">
        <v>56</v>
      </c>
      <c r="R5582">
        <f>tblDailySchedule[[#This Row],[Capacity Approx]]*'[1]Load Factor Sheet June Acft  '!$B$5</f>
        <v>63.162272727272729</v>
      </c>
      <c r="S5582">
        <f>tblDailySchedule[[#This Row],[Capacity Approx]]*'[1]Load Factor Sheet June Acft  '!$D$5</f>
        <v>68.391818181818181</v>
      </c>
      <c r="T5582" s="22">
        <f>tblDailySchedule[[#This Row],[STD]]</f>
        <v>0.57638888888888884</v>
      </c>
    </row>
    <row r="5583" spans="1:20" hidden="1" x14ac:dyDescent="0.35">
      <c r="A5583" s="11">
        <v>46311</v>
      </c>
      <c r="B5583" s="3">
        <v>5</v>
      </c>
      <c r="C5583" t="s">
        <v>115</v>
      </c>
      <c r="D5583" t="s">
        <v>18</v>
      </c>
      <c r="E5583" s="3">
        <v>14</v>
      </c>
      <c r="F5583" t="s">
        <v>19</v>
      </c>
      <c r="G5583" t="s">
        <v>60</v>
      </c>
      <c r="H5583" t="s">
        <v>61</v>
      </c>
      <c r="I5583" s="12">
        <v>0.59027777777777779</v>
      </c>
      <c r="J5583" t="s">
        <v>62</v>
      </c>
      <c r="K5583" t="s">
        <v>61</v>
      </c>
      <c r="L5583" s="12">
        <v>0.62152777777777779</v>
      </c>
      <c r="M5583" t="s">
        <v>63</v>
      </c>
      <c r="N5583" s="3">
        <v>232</v>
      </c>
      <c r="O5583" t="s">
        <v>24</v>
      </c>
      <c r="P5583" t="s">
        <v>56</v>
      </c>
      <c r="R5583">
        <f>tblDailySchedule[[#This Row],[Capacity Approx]]*'[1]Load Factor Sheet June Acft  '!$B$5</f>
        <v>187.86727272727273</v>
      </c>
      <c r="S5583">
        <f>tblDailySchedule[[#This Row],[Capacity Approx]]*'[1]Load Factor Sheet June Acft  '!$D$5</f>
        <v>203.4218181818182</v>
      </c>
      <c r="T5583" s="22">
        <f>tblDailySchedule[[#This Row],[STD]]</f>
        <v>0.62152777777777779</v>
      </c>
    </row>
    <row r="5584" spans="1:20" hidden="1" x14ac:dyDescent="0.35">
      <c r="A5584" s="11">
        <v>46311</v>
      </c>
      <c r="B5584" s="3">
        <v>5</v>
      </c>
      <c r="C5584" t="s">
        <v>115</v>
      </c>
      <c r="D5584" t="s">
        <v>18</v>
      </c>
      <c r="E5584" s="3">
        <v>15</v>
      </c>
      <c r="F5584" t="s">
        <v>19</v>
      </c>
      <c r="G5584" t="s">
        <v>64</v>
      </c>
      <c r="H5584" t="s">
        <v>31</v>
      </c>
      <c r="I5584" s="12">
        <v>0.60069444444444442</v>
      </c>
      <c r="J5584" t="s">
        <v>65</v>
      </c>
      <c r="K5584" t="s">
        <v>66</v>
      </c>
      <c r="L5584" s="12">
        <v>0.62847222222222221</v>
      </c>
      <c r="M5584" t="s">
        <v>63</v>
      </c>
      <c r="N5584" s="3">
        <v>232</v>
      </c>
      <c r="O5584" t="s">
        <v>24</v>
      </c>
      <c r="P5584" t="s">
        <v>56</v>
      </c>
      <c r="R5584">
        <f>tblDailySchedule[[#This Row],[Capacity Approx]]*'[1]Load Factor Sheet June Acft  '!$B$5</f>
        <v>187.86727272727273</v>
      </c>
      <c r="S5584">
        <f>tblDailySchedule[[#This Row],[Capacity Approx]]*'[1]Load Factor Sheet June Acft  '!$D$5</f>
        <v>203.4218181818182</v>
      </c>
      <c r="T5584" s="22">
        <f>tblDailySchedule[[#This Row],[STD]]</f>
        <v>0.62847222222222221</v>
      </c>
    </row>
    <row r="5585" spans="1:20" hidden="1" x14ac:dyDescent="0.35">
      <c r="A5585" s="11">
        <v>46311</v>
      </c>
      <c r="B5585" s="3">
        <v>5</v>
      </c>
      <c r="C5585" t="s">
        <v>115</v>
      </c>
      <c r="D5585" t="s">
        <v>18</v>
      </c>
      <c r="E5585" s="3">
        <v>16</v>
      </c>
      <c r="F5585" t="s">
        <v>19</v>
      </c>
      <c r="G5585" t="s">
        <v>67</v>
      </c>
      <c r="H5585" t="s">
        <v>31</v>
      </c>
      <c r="I5585" s="12">
        <v>0.65625</v>
      </c>
      <c r="J5585" t="s">
        <v>68</v>
      </c>
      <c r="K5585" t="s">
        <v>31</v>
      </c>
      <c r="L5585" s="12">
        <v>0.68402777777777779</v>
      </c>
      <c r="M5585" t="s">
        <v>63</v>
      </c>
      <c r="N5585" s="3">
        <v>232</v>
      </c>
      <c r="O5585" t="s">
        <v>24</v>
      </c>
      <c r="P5585" t="s">
        <v>56</v>
      </c>
      <c r="R5585">
        <f>tblDailySchedule[[#This Row],[Capacity Approx]]*'[1]Load Factor Sheet June Acft  '!$B$5</f>
        <v>187.86727272727273</v>
      </c>
      <c r="S5585">
        <f>tblDailySchedule[[#This Row],[Capacity Approx]]*'[1]Load Factor Sheet June Acft  '!$D$5</f>
        <v>203.4218181818182</v>
      </c>
      <c r="T5585" s="22">
        <f>tblDailySchedule[[#This Row],[STD]]</f>
        <v>0.68402777777777779</v>
      </c>
    </row>
    <row r="5586" spans="1:20" hidden="1" x14ac:dyDescent="0.35">
      <c r="A5586" s="11">
        <v>46311</v>
      </c>
      <c r="B5586" s="3">
        <v>5</v>
      </c>
      <c r="C5586" t="s">
        <v>115</v>
      </c>
      <c r="D5586" t="s">
        <v>18</v>
      </c>
      <c r="E5586" s="3">
        <v>17</v>
      </c>
      <c r="F5586" t="s">
        <v>19</v>
      </c>
      <c r="G5586" t="s">
        <v>69</v>
      </c>
      <c r="H5586" t="s">
        <v>31</v>
      </c>
      <c r="I5586" s="12">
        <v>0.66319444444444442</v>
      </c>
      <c r="J5586" t="s">
        <v>70</v>
      </c>
      <c r="K5586" t="s">
        <v>31</v>
      </c>
      <c r="L5586" s="12">
        <v>0.69097222222222221</v>
      </c>
      <c r="M5586" t="s">
        <v>33</v>
      </c>
      <c r="N5586" s="3">
        <v>189</v>
      </c>
      <c r="O5586" t="s">
        <v>24</v>
      </c>
      <c r="P5586" t="s">
        <v>56</v>
      </c>
      <c r="R5586">
        <f>tblDailySchedule[[#This Row],[Capacity Approx]]*'[1]Load Factor Sheet June Acft  '!$B$5</f>
        <v>153.04704545454547</v>
      </c>
      <c r="S5586">
        <f>tblDailySchedule[[#This Row],[Capacity Approx]]*'[1]Load Factor Sheet June Acft  '!$D$5</f>
        <v>165.71863636363636</v>
      </c>
      <c r="T5586" s="22">
        <f>tblDailySchedule[[#This Row],[STD]]</f>
        <v>0.69097222222222221</v>
      </c>
    </row>
    <row r="5587" spans="1:20" hidden="1" x14ac:dyDescent="0.35">
      <c r="A5587" s="11">
        <v>46311</v>
      </c>
      <c r="B5587" s="3">
        <v>5</v>
      </c>
      <c r="C5587" t="s">
        <v>115</v>
      </c>
      <c r="D5587" t="s">
        <v>18</v>
      </c>
      <c r="E5587" s="3">
        <v>18</v>
      </c>
      <c r="F5587" t="s">
        <v>19</v>
      </c>
      <c r="G5587" t="s">
        <v>71</v>
      </c>
      <c r="H5587" t="s">
        <v>21</v>
      </c>
      <c r="I5587" s="12">
        <v>0.67013888888888884</v>
      </c>
      <c r="J5587" t="s">
        <v>72</v>
      </c>
      <c r="K5587" t="s">
        <v>21</v>
      </c>
      <c r="L5587" s="12">
        <v>0.69791666666666663</v>
      </c>
      <c r="M5587" t="s">
        <v>63</v>
      </c>
      <c r="N5587" s="3">
        <v>232</v>
      </c>
      <c r="O5587" t="s">
        <v>24</v>
      </c>
      <c r="P5587" t="s">
        <v>56</v>
      </c>
      <c r="R5587">
        <f>tblDailySchedule[[#This Row],[Capacity Approx]]*'[1]Load Factor Sheet June Acft  '!$B$5</f>
        <v>187.86727272727273</v>
      </c>
      <c r="S5587">
        <f>tblDailySchedule[[#This Row],[Capacity Approx]]*'[1]Load Factor Sheet June Acft  '!$D$5</f>
        <v>203.4218181818182</v>
      </c>
      <c r="T5587" s="22">
        <f>tblDailySchedule[[#This Row],[STD]]</f>
        <v>0.69791666666666663</v>
      </c>
    </row>
    <row r="5588" spans="1:20" hidden="1" x14ac:dyDescent="0.35">
      <c r="A5588" s="11">
        <v>46311</v>
      </c>
      <c r="B5588" s="3">
        <v>5</v>
      </c>
      <c r="C5588" t="s">
        <v>115</v>
      </c>
      <c r="D5588" t="s">
        <v>18</v>
      </c>
      <c r="E5588" s="3">
        <v>19</v>
      </c>
      <c r="F5588" t="s">
        <v>19</v>
      </c>
      <c r="G5588" t="s">
        <v>73</v>
      </c>
      <c r="H5588" t="s">
        <v>27</v>
      </c>
      <c r="I5588" s="12">
        <v>0.74652777777777779</v>
      </c>
      <c r="J5588" t="s">
        <v>74</v>
      </c>
      <c r="K5588" t="s">
        <v>27</v>
      </c>
      <c r="L5588" s="12">
        <v>0.77430555555555558</v>
      </c>
      <c r="M5588" t="s">
        <v>63</v>
      </c>
      <c r="N5588" s="3">
        <v>232</v>
      </c>
      <c r="O5588" t="s">
        <v>24</v>
      </c>
      <c r="P5588" t="s">
        <v>56</v>
      </c>
      <c r="R5588">
        <f>tblDailySchedule[[#This Row],[Capacity Approx]]*'[1]Load Factor Sheet June Acft  '!$B$5</f>
        <v>187.86727272727273</v>
      </c>
      <c r="S5588">
        <f>tblDailySchedule[[#This Row],[Capacity Approx]]*'[1]Load Factor Sheet June Acft  '!$D$5</f>
        <v>203.4218181818182</v>
      </c>
      <c r="T5588" s="22">
        <f>tblDailySchedule[[#This Row],[STD]]</f>
        <v>0.77430555555555558</v>
      </c>
    </row>
    <row r="5589" spans="1:20" hidden="1" x14ac:dyDescent="0.35">
      <c r="A5589" s="11">
        <v>46311</v>
      </c>
      <c r="B5589" s="3">
        <v>5</v>
      </c>
      <c r="C5589" t="s">
        <v>115</v>
      </c>
      <c r="D5589" t="s">
        <v>18</v>
      </c>
      <c r="E5589" s="3">
        <v>20</v>
      </c>
      <c r="F5589" t="s">
        <v>34</v>
      </c>
      <c r="G5589" t="s">
        <v>75</v>
      </c>
      <c r="H5589" t="s">
        <v>76</v>
      </c>
      <c r="I5589" s="12">
        <v>0.76388888888888884</v>
      </c>
      <c r="J5589" t="s">
        <v>77</v>
      </c>
      <c r="K5589" t="s">
        <v>78</v>
      </c>
      <c r="L5589" s="12">
        <v>0.78472222222222221</v>
      </c>
      <c r="M5589" t="s">
        <v>51</v>
      </c>
      <c r="N5589" s="3">
        <v>78</v>
      </c>
      <c r="O5589" t="s">
        <v>24</v>
      </c>
      <c r="P5589" t="s">
        <v>79</v>
      </c>
      <c r="Q5589" s="16" t="s">
        <v>80</v>
      </c>
      <c r="R5589">
        <f>tblDailySchedule[[#This Row],[Capacity Approx]]*'[1]Load Factor Sheet June Acft  '!$B$5</f>
        <v>63.162272727272729</v>
      </c>
      <c r="S5589">
        <f>tblDailySchedule[[#This Row],[Capacity Approx]]*'[1]Load Factor Sheet June Acft  '!$D$5</f>
        <v>68.391818181818181</v>
      </c>
      <c r="T5589" s="22">
        <f>tblDailySchedule[[#This Row],[STD]]</f>
        <v>0.78472222222222221</v>
      </c>
    </row>
    <row r="5590" spans="1:20" hidden="1" x14ac:dyDescent="0.35">
      <c r="A5590" s="11">
        <v>46311</v>
      </c>
      <c r="B5590" s="3">
        <v>5</v>
      </c>
      <c r="C5590" t="s">
        <v>115</v>
      </c>
      <c r="D5590" t="s">
        <v>18</v>
      </c>
      <c r="E5590" s="3">
        <v>21</v>
      </c>
      <c r="F5590" t="s">
        <v>19</v>
      </c>
      <c r="G5590" t="s">
        <v>81</v>
      </c>
      <c r="H5590" t="s">
        <v>61</v>
      </c>
      <c r="I5590" s="12">
        <v>0.77083333333333337</v>
      </c>
      <c r="J5590" t="s">
        <v>82</v>
      </c>
      <c r="K5590" t="s">
        <v>49</v>
      </c>
      <c r="L5590" s="12">
        <v>0.79166666666666663</v>
      </c>
      <c r="M5590" t="s">
        <v>33</v>
      </c>
      <c r="N5590" s="3">
        <v>189</v>
      </c>
      <c r="O5590" t="s">
        <v>24</v>
      </c>
      <c r="P5590" t="s">
        <v>79</v>
      </c>
      <c r="R5590">
        <f>tblDailySchedule[[#This Row],[Capacity Approx]]*'[1]Load Factor Sheet June Acft  '!$B$5</f>
        <v>153.04704545454547</v>
      </c>
      <c r="S5590">
        <f>tblDailySchedule[[#This Row],[Capacity Approx]]*'[1]Load Factor Sheet June Acft  '!$D$5</f>
        <v>165.71863636363636</v>
      </c>
      <c r="T5590" s="22">
        <f>tblDailySchedule[[#This Row],[STD]]</f>
        <v>0.79166666666666663</v>
      </c>
    </row>
    <row r="5591" spans="1:20" hidden="1" x14ac:dyDescent="0.35">
      <c r="A5591" s="11">
        <v>46311</v>
      </c>
      <c r="B5591" s="3">
        <v>5</v>
      </c>
      <c r="C5591" t="s">
        <v>115</v>
      </c>
      <c r="D5591" t="s">
        <v>18</v>
      </c>
      <c r="E5591" s="3">
        <v>22</v>
      </c>
      <c r="F5591" t="s">
        <v>19</v>
      </c>
      <c r="G5591" t="s">
        <v>83</v>
      </c>
      <c r="H5591" t="s">
        <v>31</v>
      </c>
      <c r="I5591" s="12">
        <v>0.77777777777777779</v>
      </c>
      <c r="J5591" t="s">
        <v>84</v>
      </c>
      <c r="K5591" t="s">
        <v>31</v>
      </c>
      <c r="L5591" s="12">
        <v>0.80555555555555558</v>
      </c>
      <c r="M5591" t="s">
        <v>63</v>
      </c>
      <c r="N5591" s="3">
        <v>232</v>
      </c>
      <c r="O5591" t="s">
        <v>24</v>
      </c>
      <c r="P5591" t="s">
        <v>79</v>
      </c>
      <c r="R5591">
        <f>tblDailySchedule[[#This Row],[Capacity Approx]]*'[1]Load Factor Sheet June Acft  '!$B$5</f>
        <v>187.86727272727273</v>
      </c>
      <c r="S5591">
        <f>tblDailySchedule[[#This Row],[Capacity Approx]]*'[1]Load Factor Sheet June Acft  '!$D$5</f>
        <v>203.4218181818182</v>
      </c>
      <c r="T5591" s="22">
        <f>tblDailySchedule[[#This Row],[STD]]</f>
        <v>0.80555555555555558</v>
      </c>
    </row>
    <row r="5592" spans="1:20" hidden="1" x14ac:dyDescent="0.35">
      <c r="A5592" s="11">
        <v>46311</v>
      </c>
      <c r="B5592" s="3">
        <v>5</v>
      </c>
      <c r="C5592" t="s">
        <v>115</v>
      </c>
      <c r="D5592" t="s">
        <v>18</v>
      </c>
      <c r="E5592" s="3">
        <v>23</v>
      </c>
      <c r="F5592" t="s">
        <v>19</v>
      </c>
      <c r="G5592" t="s">
        <v>85</v>
      </c>
      <c r="H5592" t="s">
        <v>86</v>
      </c>
      <c r="I5592" s="12">
        <v>0.79861111111111116</v>
      </c>
      <c r="J5592" t="s">
        <v>87</v>
      </c>
      <c r="K5592" t="s">
        <v>86</v>
      </c>
      <c r="L5592" s="12">
        <v>0.82638888888888884</v>
      </c>
      <c r="M5592" t="s">
        <v>63</v>
      </c>
      <c r="N5592" s="3">
        <v>232</v>
      </c>
      <c r="O5592" t="s">
        <v>24</v>
      </c>
      <c r="P5592" t="s">
        <v>79</v>
      </c>
      <c r="R5592">
        <f>tblDailySchedule[[#This Row],[Capacity Approx]]*'[1]Load Factor Sheet June Acft  '!$B$5</f>
        <v>187.86727272727273</v>
      </c>
      <c r="S5592">
        <f>tblDailySchedule[[#This Row],[Capacity Approx]]*'[1]Load Factor Sheet June Acft  '!$D$5</f>
        <v>203.4218181818182</v>
      </c>
      <c r="T5592" s="22">
        <f>tblDailySchedule[[#This Row],[STD]]</f>
        <v>0.82638888888888884</v>
      </c>
    </row>
    <row r="5593" spans="1:20" hidden="1" x14ac:dyDescent="0.35">
      <c r="A5593" s="11">
        <v>46311</v>
      </c>
      <c r="B5593" s="3">
        <v>5</v>
      </c>
      <c r="C5593" t="s">
        <v>115</v>
      </c>
      <c r="D5593" t="s">
        <v>18</v>
      </c>
      <c r="E5593" s="3">
        <v>24</v>
      </c>
      <c r="F5593" t="s">
        <v>19</v>
      </c>
      <c r="G5593" t="s">
        <v>88</v>
      </c>
      <c r="H5593" t="s">
        <v>89</v>
      </c>
      <c r="I5593" s="12">
        <v>0.83333333333333337</v>
      </c>
      <c r="J5593" t="s">
        <v>90</v>
      </c>
      <c r="K5593" t="s">
        <v>31</v>
      </c>
      <c r="L5593" s="12">
        <v>0.86111111111111116</v>
      </c>
      <c r="M5593" t="s">
        <v>63</v>
      </c>
      <c r="N5593" s="3">
        <v>232</v>
      </c>
      <c r="O5593" t="s">
        <v>24</v>
      </c>
      <c r="P5593" t="s">
        <v>79</v>
      </c>
      <c r="R5593">
        <f>tblDailySchedule[[#This Row],[Capacity Approx]]*'[1]Load Factor Sheet June Acft  '!$B$5</f>
        <v>187.86727272727273</v>
      </c>
      <c r="S5593">
        <f>tblDailySchedule[[#This Row],[Capacity Approx]]*'[1]Load Factor Sheet June Acft  '!$D$5</f>
        <v>203.4218181818182</v>
      </c>
      <c r="T5593" s="22">
        <f>tblDailySchedule[[#This Row],[STD]]</f>
        <v>0.86111111111111116</v>
      </c>
    </row>
    <row r="5594" spans="1:20" hidden="1" x14ac:dyDescent="0.35">
      <c r="A5594" s="11">
        <v>46311</v>
      </c>
      <c r="B5594" s="3">
        <v>5</v>
      </c>
      <c r="C5594" t="s">
        <v>115</v>
      </c>
      <c r="D5594" t="s">
        <v>18</v>
      </c>
      <c r="E5594" s="3">
        <v>25</v>
      </c>
      <c r="F5594" t="s">
        <v>19</v>
      </c>
      <c r="G5594" t="s">
        <v>91</v>
      </c>
      <c r="H5594" t="s">
        <v>61</v>
      </c>
      <c r="I5594" s="12">
        <v>0.85416666666666663</v>
      </c>
      <c r="J5594" t="s">
        <v>92</v>
      </c>
      <c r="K5594" t="s">
        <v>61</v>
      </c>
      <c r="L5594" s="12">
        <v>0.88194444444444442</v>
      </c>
      <c r="M5594" t="s">
        <v>63</v>
      </c>
      <c r="N5594" s="3">
        <v>232</v>
      </c>
      <c r="O5594" t="s">
        <v>24</v>
      </c>
      <c r="P5594" t="s">
        <v>79</v>
      </c>
      <c r="R5594">
        <f>tblDailySchedule[[#This Row],[Capacity Approx]]*'[1]Load Factor Sheet June Acft  '!$B$5</f>
        <v>187.86727272727273</v>
      </c>
      <c r="S5594">
        <f>tblDailySchedule[[#This Row],[Capacity Approx]]*'[1]Load Factor Sheet June Acft  '!$D$5</f>
        <v>203.4218181818182</v>
      </c>
      <c r="T5594" s="22">
        <f>tblDailySchedule[[#This Row],[STD]]</f>
        <v>0.88194444444444442</v>
      </c>
    </row>
    <row r="5595" spans="1:20" hidden="1" x14ac:dyDescent="0.35">
      <c r="A5595" s="11">
        <v>46311</v>
      </c>
      <c r="B5595" s="3">
        <v>5</v>
      </c>
      <c r="C5595" t="s">
        <v>115</v>
      </c>
      <c r="D5595" t="s">
        <v>18</v>
      </c>
      <c r="E5595" s="3">
        <v>26</v>
      </c>
      <c r="F5595" t="s">
        <v>19</v>
      </c>
      <c r="G5595" t="s">
        <v>93</v>
      </c>
      <c r="H5595" t="s">
        <v>31</v>
      </c>
      <c r="I5595" s="12">
        <v>0.86111111111111116</v>
      </c>
      <c r="J5595" t="s">
        <v>94</v>
      </c>
      <c r="K5595" t="s">
        <v>31</v>
      </c>
      <c r="L5595" s="12">
        <v>0.88888888888888884</v>
      </c>
      <c r="M5595" t="s">
        <v>23</v>
      </c>
      <c r="N5595" s="3">
        <v>186</v>
      </c>
      <c r="O5595" t="s">
        <v>24</v>
      </c>
      <c r="P5595" t="s">
        <v>79</v>
      </c>
      <c r="R5595">
        <f>tblDailySchedule[[#This Row],[Capacity Approx]]*'[1]Load Factor Sheet June Acft  '!$B$5</f>
        <v>150.61772727272728</v>
      </c>
      <c r="S5595">
        <f>tblDailySchedule[[#This Row],[Capacity Approx]]*'[1]Load Factor Sheet June Acft  '!$D$5</f>
        <v>163.08818181818182</v>
      </c>
      <c r="T5595" s="22">
        <f>tblDailySchedule[[#This Row],[STD]]</f>
        <v>0.88888888888888884</v>
      </c>
    </row>
    <row r="5596" spans="1:20" hidden="1" x14ac:dyDescent="0.35">
      <c r="A5596" s="11">
        <v>46311</v>
      </c>
      <c r="B5596" s="3">
        <v>5</v>
      </c>
      <c r="C5596" t="s">
        <v>115</v>
      </c>
      <c r="D5596" t="s">
        <v>18</v>
      </c>
      <c r="E5596" s="3">
        <v>27</v>
      </c>
      <c r="F5596" t="s">
        <v>19</v>
      </c>
      <c r="G5596" t="s">
        <v>95</v>
      </c>
      <c r="H5596" t="s">
        <v>21</v>
      </c>
      <c r="I5596" s="12">
        <v>0.86805555555555558</v>
      </c>
      <c r="J5596" t="s">
        <v>96</v>
      </c>
      <c r="K5596" t="s">
        <v>21</v>
      </c>
      <c r="L5596" s="12">
        <v>0.89583333333333337</v>
      </c>
      <c r="M5596" t="s">
        <v>29</v>
      </c>
      <c r="N5596" s="3">
        <v>186</v>
      </c>
      <c r="O5596" t="s">
        <v>24</v>
      </c>
      <c r="P5596" t="s">
        <v>79</v>
      </c>
      <c r="R5596">
        <f>tblDailySchedule[[#This Row],[Capacity Approx]]*'[1]Load Factor Sheet June Acft  '!$B$5</f>
        <v>150.61772727272728</v>
      </c>
      <c r="S5596">
        <f>tblDailySchedule[[#This Row],[Capacity Approx]]*'[1]Load Factor Sheet June Acft  '!$D$5</f>
        <v>163.08818181818182</v>
      </c>
      <c r="T5596" s="22">
        <f>tblDailySchedule[[#This Row],[STD]]</f>
        <v>0.89583333333333337</v>
      </c>
    </row>
    <row r="5597" spans="1:20" hidden="1" x14ac:dyDescent="0.35">
      <c r="A5597" s="11">
        <v>46311</v>
      </c>
      <c r="B5597" s="3">
        <v>5</v>
      </c>
      <c r="C5597" t="s">
        <v>115</v>
      </c>
      <c r="D5597" t="s">
        <v>18</v>
      </c>
      <c r="E5597" s="3">
        <v>28</v>
      </c>
      <c r="F5597" t="s">
        <v>19</v>
      </c>
      <c r="G5597" t="s">
        <v>97</v>
      </c>
      <c r="H5597" t="s">
        <v>49</v>
      </c>
      <c r="I5597" s="12">
        <v>0.90277777777777779</v>
      </c>
      <c r="J5597" t="s">
        <v>97</v>
      </c>
      <c r="K5597" t="s">
        <v>61</v>
      </c>
      <c r="L5597" s="12">
        <v>0.92361111111111116</v>
      </c>
      <c r="M5597" t="s">
        <v>33</v>
      </c>
      <c r="N5597" s="3">
        <v>189</v>
      </c>
      <c r="O5597" t="s">
        <v>24</v>
      </c>
      <c r="P5597" t="s">
        <v>79</v>
      </c>
      <c r="R5597">
        <f>tblDailySchedule[[#This Row],[Capacity Approx]]*'[1]Load Factor Sheet June Acft  '!$B$5</f>
        <v>153.04704545454547</v>
      </c>
      <c r="S5597">
        <f>tblDailySchedule[[#This Row],[Capacity Approx]]*'[1]Load Factor Sheet June Acft  '!$D$5</f>
        <v>165.71863636363636</v>
      </c>
      <c r="T5597" s="22">
        <f>tblDailySchedule[[#This Row],[STD]]</f>
        <v>0.92361111111111116</v>
      </c>
    </row>
    <row r="5598" spans="1:20" hidden="1" x14ac:dyDescent="0.35">
      <c r="A5598" s="11">
        <v>46311</v>
      </c>
      <c r="B5598" s="3">
        <v>5</v>
      </c>
      <c r="C5598" t="s">
        <v>115</v>
      </c>
      <c r="D5598" t="s">
        <v>18</v>
      </c>
      <c r="E5598" s="3">
        <v>29</v>
      </c>
      <c r="F5598" t="s">
        <v>19</v>
      </c>
      <c r="G5598" t="s">
        <v>98</v>
      </c>
      <c r="H5598" t="s">
        <v>21</v>
      </c>
      <c r="I5598" s="12">
        <v>0.92013888888888884</v>
      </c>
      <c r="J5598" t="s">
        <v>99</v>
      </c>
      <c r="K5598" t="s">
        <v>21</v>
      </c>
      <c r="L5598" s="12">
        <v>0.94791666666666663</v>
      </c>
      <c r="M5598" t="s">
        <v>63</v>
      </c>
      <c r="N5598" s="3">
        <v>232</v>
      </c>
      <c r="O5598" t="s">
        <v>24</v>
      </c>
      <c r="P5598" t="s">
        <v>79</v>
      </c>
      <c r="R5598">
        <f>tblDailySchedule[[#This Row],[Capacity Approx]]*'[1]Load Factor Sheet June Acft  '!$B$5</f>
        <v>187.86727272727273</v>
      </c>
      <c r="S5598">
        <f>tblDailySchedule[[#This Row],[Capacity Approx]]*'[1]Load Factor Sheet June Acft  '!$D$5</f>
        <v>203.4218181818182</v>
      </c>
      <c r="T5598" s="22">
        <f>tblDailySchedule[[#This Row],[STD]]</f>
        <v>0.94791666666666663</v>
      </c>
    </row>
    <row r="5599" spans="1:20" hidden="1" x14ac:dyDescent="0.35">
      <c r="A5599" s="13">
        <v>46311</v>
      </c>
      <c r="B5599" s="7">
        <v>5</v>
      </c>
      <c r="C5599" s="14" t="s">
        <v>115</v>
      </c>
      <c r="D5599" s="14" t="s">
        <v>18</v>
      </c>
      <c r="E5599" s="7">
        <v>30</v>
      </c>
      <c r="F5599" s="14" t="s">
        <v>104</v>
      </c>
      <c r="G5599" s="14" t="s">
        <v>105</v>
      </c>
      <c r="H5599" s="14" t="s">
        <v>106</v>
      </c>
      <c r="I5599" s="15">
        <v>0.92708333333333337</v>
      </c>
      <c r="J5599" s="14" t="s">
        <v>107</v>
      </c>
      <c r="K5599" s="14" t="s">
        <v>106</v>
      </c>
      <c r="L5599" s="15">
        <v>0.95833333333333337</v>
      </c>
      <c r="M5599" s="14" t="s">
        <v>38</v>
      </c>
      <c r="N5599" s="7">
        <v>186</v>
      </c>
      <c r="O5599" s="14" t="s">
        <v>39</v>
      </c>
      <c r="P5599" s="14" t="s">
        <v>79</v>
      </c>
      <c r="Q5599" s="14" t="s">
        <v>39</v>
      </c>
      <c r="R5599">
        <f>tblDailySchedule[[#This Row],[Capacity Approx]]*'[1]Load Factor Sheet June Acft  '!$B$5</f>
        <v>150.61772727272728</v>
      </c>
      <c r="S5599">
        <f>tblDailySchedule[[#This Row],[Capacity Approx]]*'[1]Load Factor Sheet June Acft  '!$D$5</f>
        <v>163.08818181818182</v>
      </c>
      <c r="T5599" s="22">
        <f>tblDailySchedule[[#This Row],[STD]]</f>
        <v>0.95833333333333337</v>
      </c>
    </row>
    <row r="5600" spans="1:20" hidden="1" x14ac:dyDescent="0.35">
      <c r="A5600" s="11">
        <v>46312</v>
      </c>
      <c r="B5600" s="3">
        <v>6</v>
      </c>
      <c r="C5600" t="s">
        <v>116</v>
      </c>
      <c r="D5600" t="s">
        <v>18</v>
      </c>
      <c r="E5600" s="3">
        <v>1</v>
      </c>
      <c r="F5600" t="s">
        <v>101</v>
      </c>
      <c r="G5600" t="s">
        <v>102</v>
      </c>
      <c r="H5600" t="s">
        <v>61</v>
      </c>
      <c r="I5600" s="12">
        <v>0.3125</v>
      </c>
      <c r="J5600" t="s">
        <v>103</v>
      </c>
      <c r="K5600" t="s">
        <v>61</v>
      </c>
      <c r="L5600" s="12">
        <v>0.33333333333333331</v>
      </c>
      <c r="M5600" t="s">
        <v>33</v>
      </c>
      <c r="N5600" s="3">
        <v>189</v>
      </c>
      <c r="O5600" t="s">
        <v>24</v>
      </c>
      <c r="P5600" t="s">
        <v>25</v>
      </c>
      <c r="R5600">
        <f>tblDailySchedule[[#This Row],[Capacity Approx]]*'[1]Load Factor Sheet June Acft  '!$B$5</f>
        <v>153.04704545454547</v>
      </c>
      <c r="S5600">
        <f>tblDailySchedule[[#This Row],[Capacity Approx]]*'[1]Load Factor Sheet June Acft  '!$D$5</f>
        <v>165.71863636363636</v>
      </c>
      <c r="T5600" s="22">
        <f>tblDailySchedule[[#This Row],[STD]]</f>
        <v>0.33333333333333331</v>
      </c>
    </row>
    <row r="5601" spans="1:20" hidden="1" x14ac:dyDescent="0.35">
      <c r="A5601" s="11">
        <v>46312</v>
      </c>
      <c r="B5601" s="3">
        <v>6</v>
      </c>
      <c r="C5601" t="s">
        <v>116</v>
      </c>
      <c r="D5601" t="s">
        <v>18</v>
      </c>
      <c r="E5601" s="3">
        <v>2</v>
      </c>
      <c r="F5601" t="s">
        <v>19</v>
      </c>
      <c r="G5601" t="s">
        <v>20</v>
      </c>
      <c r="H5601" t="s">
        <v>21</v>
      </c>
      <c r="I5601" s="12">
        <v>0.31944444444444442</v>
      </c>
      <c r="J5601" t="s">
        <v>22</v>
      </c>
      <c r="K5601" t="s">
        <v>21</v>
      </c>
      <c r="L5601" s="12">
        <v>0.34722222222222221</v>
      </c>
      <c r="M5601" t="s">
        <v>23</v>
      </c>
      <c r="N5601" s="3">
        <v>186</v>
      </c>
      <c r="O5601" t="s">
        <v>24</v>
      </c>
      <c r="P5601" t="s">
        <v>25</v>
      </c>
      <c r="R5601">
        <f>tblDailySchedule[[#This Row],[Capacity Approx]]*'[1]Load Factor Sheet June Acft  '!$B$5</f>
        <v>150.61772727272728</v>
      </c>
      <c r="S5601">
        <f>tblDailySchedule[[#This Row],[Capacity Approx]]*'[1]Load Factor Sheet June Acft  '!$D$5</f>
        <v>163.08818181818182</v>
      </c>
      <c r="T5601" s="22">
        <f>tblDailySchedule[[#This Row],[STD]]</f>
        <v>0.34722222222222221</v>
      </c>
    </row>
    <row r="5602" spans="1:20" hidden="1" x14ac:dyDescent="0.35">
      <c r="A5602" s="11">
        <v>46312</v>
      </c>
      <c r="B5602" s="3">
        <v>6</v>
      </c>
      <c r="C5602" t="s">
        <v>116</v>
      </c>
      <c r="D5602" t="s">
        <v>18</v>
      </c>
      <c r="E5602" s="3">
        <v>3</v>
      </c>
      <c r="F5602" t="s">
        <v>19</v>
      </c>
      <c r="G5602" t="s">
        <v>26</v>
      </c>
      <c r="H5602" t="s">
        <v>27</v>
      </c>
      <c r="I5602" s="12">
        <v>0.3263888888888889</v>
      </c>
      <c r="J5602" t="s">
        <v>28</v>
      </c>
      <c r="K5602" t="s">
        <v>27</v>
      </c>
      <c r="L5602" s="12">
        <v>0.35416666666666669</v>
      </c>
      <c r="M5602" t="s">
        <v>29</v>
      </c>
      <c r="N5602" s="3">
        <v>186</v>
      </c>
      <c r="O5602" t="s">
        <v>24</v>
      </c>
      <c r="P5602" t="s">
        <v>25</v>
      </c>
      <c r="R5602">
        <f>tblDailySchedule[[#This Row],[Capacity Approx]]*'[1]Load Factor Sheet June Acft  '!$B$5</f>
        <v>150.61772727272728</v>
      </c>
      <c r="S5602">
        <f>tblDailySchedule[[#This Row],[Capacity Approx]]*'[1]Load Factor Sheet June Acft  '!$D$5</f>
        <v>163.08818181818182</v>
      </c>
      <c r="T5602" s="22">
        <f>tblDailySchedule[[#This Row],[STD]]</f>
        <v>0.35416666666666669</v>
      </c>
    </row>
    <row r="5603" spans="1:20" hidden="1" x14ac:dyDescent="0.35">
      <c r="A5603" s="11">
        <v>46312</v>
      </c>
      <c r="B5603" s="3">
        <v>6</v>
      </c>
      <c r="C5603" t="s">
        <v>116</v>
      </c>
      <c r="D5603" t="s">
        <v>18</v>
      </c>
      <c r="E5603" s="3">
        <v>4</v>
      </c>
      <c r="F5603" t="s">
        <v>19</v>
      </c>
      <c r="G5603" t="s">
        <v>30</v>
      </c>
      <c r="H5603" t="s">
        <v>31</v>
      </c>
      <c r="I5603" s="12">
        <v>0.34722222222222221</v>
      </c>
      <c r="J5603" t="s">
        <v>32</v>
      </c>
      <c r="K5603" t="s">
        <v>31</v>
      </c>
      <c r="L5603" s="12">
        <v>0.36805555555555558</v>
      </c>
      <c r="M5603" t="s">
        <v>33</v>
      </c>
      <c r="N5603" s="3">
        <v>189</v>
      </c>
      <c r="O5603" t="s">
        <v>24</v>
      </c>
      <c r="P5603" t="s">
        <v>25</v>
      </c>
      <c r="R5603">
        <f>tblDailySchedule[[#This Row],[Capacity Approx]]*'[1]Load Factor Sheet June Acft  '!$B$5</f>
        <v>153.04704545454547</v>
      </c>
      <c r="S5603">
        <f>tblDailySchedule[[#This Row],[Capacity Approx]]*'[1]Load Factor Sheet June Acft  '!$D$5</f>
        <v>165.71863636363636</v>
      </c>
      <c r="T5603" s="22">
        <f>tblDailySchedule[[#This Row],[STD]]</f>
        <v>0.36805555555555558</v>
      </c>
    </row>
    <row r="5604" spans="1:20" hidden="1" x14ac:dyDescent="0.35">
      <c r="A5604" s="11">
        <v>46312</v>
      </c>
      <c r="B5604" s="3">
        <v>6</v>
      </c>
      <c r="C5604" t="s">
        <v>116</v>
      </c>
      <c r="D5604" t="s">
        <v>18</v>
      </c>
      <c r="E5604" s="3">
        <v>5</v>
      </c>
      <c r="F5604" t="s">
        <v>19</v>
      </c>
      <c r="G5604" t="s">
        <v>40</v>
      </c>
      <c r="H5604" t="s">
        <v>31</v>
      </c>
      <c r="I5604" s="12">
        <v>0.35069444444444442</v>
      </c>
      <c r="J5604" t="s">
        <v>41</v>
      </c>
      <c r="K5604" t="s">
        <v>31</v>
      </c>
      <c r="L5604" s="12">
        <v>0.37152777777777779</v>
      </c>
      <c r="M5604" t="s">
        <v>23</v>
      </c>
      <c r="N5604" s="3">
        <v>186</v>
      </c>
      <c r="O5604" t="s">
        <v>24</v>
      </c>
      <c r="P5604" t="s">
        <v>25</v>
      </c>
      <c r="R5604">
        <f>tblDailySchedule[[#This Row],[Capacity Approx]]*'[1]Load Factor Sheet June Acft  '!$B$5</f>
        <v>150.61772727272728</v>
      </c>
      <c r="S5604">
        <f>tblDailySchedule[[#This Row],[Capacity Approx]]*'[1]Load Factor Sheet June Acft  '!$D$5</f>
        <v>163.08818181818182</v>
      </c>
      <c r="T5604" s="22">
        <f>tblDailySchedule[[#This Row],[STD]]</f>
        <v>0.37152777777777779</v>
      </c>
    </row>
    <row r="5605" spans="1:20" hidden="1" x14ac:dyDescent="0.35">
      <c r="A5605" s="11">
        <v>46312</v>
      </c>
      <c r="B5605" s="3">
        <v>6</v>
      </c>
      <c r="C5605" t="s">
        <v>116</v>
      </c>
      <c r="D5605" t="s">
        <v>18</v>
      </c>
      <c r="E5605" s="3">
        <v>7</v>
      </c>
      <c r="F5605" t="s">
        <v>19</v>
      </c>
      <c r="G5605" t="s">
        <v>42</v>
      </c>
      <c r="H5605" t="s">
        <v>43</v>
      </c>
      <c r="I5605" s="12">
        <v>0.3923611111111111</v>
      </c>
      <c r="J5605" t="s">
        <v>44</v>
      </c>
      <c r="K5605" t="s">
        <v>43</v>
      </c>
      <c r="L5605" s="12">
        <v>0.40277777777777779</v>
      </c>
      <c r="M5605" t="s">
        <v>45</v>
      </c>
      <c r="N5605" s="3">
        <v>9</v>
      </c>
      <c r="O5605" t="s">
        <v>24</v>
      </c>
      <c r="P5605" t="s">
        <v>25</v>
      </c>
      <c r="R5605">
        <f>tblDailySchedule[[#This Row],[Capacity Approx]]*'[1]Load Factor Sheet June Acft  '!$B$5</f>
        <v>7.2879545454545456</v>
      </c>
      <c r="S5605">
        <f>tblDailySchedule[[#This Row],[Capacity Approx]]*'[1]Load Factor Sheet June Acft  '!$D$5</f>
        <v>7.8913636363636366</v>
      </c>
      <c r="T5605" s="22">
        <f>tblDailySchedule[[#This Row],[STD]]</f>
        <v>0.40277777777777779</v>
      </c>
    </row>
    <row r="5606" spans="1:20" hidden="1" x14ac:dyDescent="0.35">
      <c r="A5606" s="11">
        <v>46312</v>
      </c>
      <c r="B5606" s="3">
        <v>6</v>
      </c>
      <c r="C5606" t="s">
        <v>116</v>
      </c>
      <c r="D5606" t="s">
        <v>18</v>
      </c>
      <c r="E5606" s="3">
        <v>8</v>
      </c>
      <c r="F5606" t="s">
        <v>19</v>
      </c>
      <c r="G5606" t="s">
        <v>46</v>
      </c>
      <c r="H5606" t="s">
        <v>31</v>
      </c>
      <c r="I5606" s="12">
        <v>0.4201388888888889</v>
      </c>
      <c r="J5606" t="s">
        <v>47</v>
      </c>
      <c r="K5606" t="s">
        <v>31</v>
      </c>
      <c r="L5606" s="12">
        <v>0.44444444444444442</v>
      </c>
      <c r="M5606" t="s">
        <v>29</v>
      </c>
      <c r="N5606" s="3">
        <v>186</v>
      </c>
      <c r="O5606" t="s">
        <v>24</v>
      </c>
      <c r="P5606" t="s">
        <v>25</v>
      </c>
      <c r="R5606">
        <f>tblDailySchedule[[#This Row],[Capacity Approx]]*'[1]Load Factor Sheet June Acft  '!$B$5</f>
        <v>150.61772727272728</v>
      </c>
      <c r="S5606">
        <f>tblDailySchedule[[#This Row],[Capacity Approx]]*'[1]Load Factor Sheet June Acft  '!$D$5</f>
        <v>163.08818181818182</v>
      </c>
      <c r="T5606" s="22">
        <f>tblDailySchedule[[#This Row],[STD]]</f>
        <v>0.44444444444444442</v>
      </c>
    </row>
    <row r="5607" spans="1:20" hidden="1" x14ac:dyDescent="0.35">
      <c r="A5607" s="11">
        <v>46312</v>
      </c>
      <c r="B5607" s="3">
        <v>6</v>
      </c>
      <c r="C5607" t="s">
        <v>116</v>
      </c>
      <c r="D5607" t="s">
        <v>18</v>
      </c>
      <c r="E5607" s="3">
        <v>9</v>
      </c>
      <c r="F5607" t="s">
        <v>19</v>
      </c>
      <c r="G5607" t="s">
        <v>48</v>
      </c>
      <c r="H5607" t="s">
        <v>49</v>
      </c>
      <c r="I5607" s="12">
        <v>0.4375</v>
      </c>
      <c r="J5607" t="s">
        <v>50</v>
      </c>
      <c r="K5607" t="s">
        <v>49</v>
      </c>
      <c r="L5607" s="12">
        <v>0.45833333333333331</v>
      </c>
      <c r="M5607" t="s">
        <v>51</v>
      </c>
      <c r="N5607" s="3">
        <v>78</v>
      </c>
      <c r="O5607" t="s">
        <v>24</v>
      </c>
      <c r="P5607" t="s">
        <v>25</v>
      </c>
      <c r="R5607">
        <f>tblDailySchedule[[#This Row],[Capacity Approx]]*'[1]Load Factor Sheet June Acft  '!$B$5</f>
        <v>63.162272727272729</v>
      </c>
      <c r="S5607">
        <f>tblDailySchedule[[#This Row],[Capacity Approx]]*'[1]Load Factor Sheet June Acft  '!$D$5</f>
        <v>68.391818181818181</v>
      </c>
      <c r="T5607" s="22">
        <f>tblDailySchedule[[#This Row],[STD]]</f>
        <v>0.45833333333333331</v>
      </c>
    </row>
    <row r="5608" spans="1:20" hidden="1" x14ac:dyDescent="0.35">
      <c r="A5608" s="11">
        <v>46312</v>
      </c>
      <c r="B5608" s="3">
        <v>6</v>
      </c>
      <c r="C5608" t="s">
        <v>116</v>
      </c>
      <c r="D5608" t="s">
        <v>18</v>
      </c>
      <c r="E5608" s="3">
        <v>10</v>
      </c>
      <c r="F5608" t="s">
        <v>19</v>
      </c>
      <c r="G5608" t="s">
        <v>52</v>
      </c>
      <c r="H5608" t="s">
        <v>27</v>
      </c>
      <c r="I5608" s="12">
        <v>0.4826388888888889</v>
      </c>
      <c r="J5608" t="s">
        <v>53</v>
      </c>
      <c r="K5608" t="s">
        <v>27</v>
      </c>
      <c r="L5608" s="12">
        <v>0.51041666666666663</v>
      </c>
      <c r="M5608" t="s">
        <v>23</v>
      </c>
      <c r="N5608" s="3">
        <v>186</v>
      </c>
      <c r="O5608" t="s">
        <v>24</v>
      </c>
      <c r="P5608" t="s">
        <v>25</v>
      </c>
      <c r="R5608">
        <f>tblDailySchedule[[#This Row],[Capacity Approx]]*'[1]Load Factor Sheet June Acft  '!$B$5</f>
        <v>150.61772727272728</v>
      </c>
      <c r="S5608">
        <f>tblDailySchedule[[#This Row],[Capacity Approx]]*'[1]Load Factor Sheet June Acft  '!$D$5</f>
        <v>163.08818181818182</v>
      </c>
      <c r="T5608" s="22">
        <f>tblDailySchedule[[#This Row],[STD]]</f>
        <v>0.51041666666666663</v>
      </c>
    </row>
    <row r="5609" spans="1:20" hidden="1" x14ac:dyDescent="0.35">
      <c r="A5609" s="11">
        <v>46312</v>
      </c>
      <c r="B5609" s="3">
        <v>6</v>
      </c>
      <c r="C5609" t="s">
        <v>116</v>
      </c>
      <c r="D5609" t="s">
        <v>18</v>
      </c>
      <c r="E5609" s="3">
        <v>11</v>
      </c>
      <c r="F5609" t="s">
        <v>19</v>
      </c>
      <c r="G5609" t="s">
        <v>54</v>
      </c>
      <c r="H5609" t="s">
        <v>31</v>
      </c>
      <c r="I5609" s="12">
        <v>0.51388888888888884</v>
      </c>
      <c r="J5609" t="s">
        <v>55</v>
      </c>
      <c r="K5609" t="s">
        <v>31</v>
      </c>
      <c r="L5609" s="12">
        <v>0.54166666666666663</v>
      </c>
      <c r="M5609" t="s">
        <v>23</v>
      </c>
      <c r="N5609" s="3">
        <v>186</v>
      </c>
      <c r="O5609" t="s">
        <v>24</v>
      </c>
      <c r="P5609" t="s">
        <v>56</v>
      </c>
      <c r="R5609">
        <f>tblDailySchedule[[#This Row],[Capacity Approx]]*'[1]Load Factor Sheet June Acft  '!$B$5</f>
        <v>150.61772727272728</v>
      </c>
      <c r="S5609">
        <f>tblDailySchedule[[#This Row],[Capacity Approx]]*'[1]Load Factor Sheet June Acft  '!$D$5</f>
        <v>163.08818181818182</v>
      </c>
      <c r="T5609" s="22">
        <f>tblDailySchedule[[#This Row],[STD]]</f>
        <v>0.54166666666666663</v>
      </c>
    </row>
    <row r="5610" spans="1:20" hidden="1" x14ac:dyDescent="0.35">
      <c r="A5610" s="11">
        <v>46312</v>
      </c>
      <c r="B5610" s="3">
        <v>6</v>
      </c>
      <c r="C5610" t="s">
        <v>116</v>
      </c>
      <c r="D5610" t="s">
        <v>18</v>
      </c>
      <c r="E5610" s="3">
        <v>12</v>
      </c>
      <c r="F5610" t="s">
        <v>109</v>
      </c>
      <c r="G5610" t="s">
        <v>110</v>
      </c>
      <c r="H5610" t="s">
        <v>111</v>
      </c>
      <c r="I5610" s="12">
        <v>0.55555555555555558</v>
      </c>
      <c r="J5610" t="s">
        <v>112</v>
      </c>
      <c r="K5610" t="s">
        <v>111</v>
      </c>
      <c r="L5610" s="12">
        <v>0.56944444444444442</v>
      </c>
      <c r="M5610" t="s">
        <v>51</v>
      </c>
      <c r="N5610" s="3">
        <v>78</v>
      </c>
      <c r="O5610" t="s">
        <v>24</v>
      </c>
      <c r="P5610" t="s">
        <v>56</v>
      </c>
      <c r="R5610">
        <f>tblDailySchedule[[#This Row],[Capacity Approx]]*'[1]Load Factor Sheet June Acft  '!$B$5</f>
        <v>63.162272727272729</v>
      </c>
      <c r="S5610">
        <f>tblDailySchedule[[#This Row],[Capacity Approx]]*'[1]Load Factor Sheet June Acft  '!$D$5</f>
        <v>68.391818181818181</v>
      </c>
      <c r="T5610" s="22">
        <f>tblDailySchedule[[#This Row],[STD]]</f>
        <v>0.56944444444444442</v>
      </c>
    </row>
    <row r="5611" spans="1:20" hidden="1" x14ac:dyDescent="0.35">
      <c r="A5611" s="11">
        <v>46312</v>
      </c>
      <c r="B5611" s="3">
        <v>6</v>
      </c>
      <c r="C5611" t="s">
        <v>116</v>
      </c>
      <c r="D5611" t="s">
        <v>18</v>
      </c>
      <c r="E5611" s="3">
        <v>13</v>
      </c>
      <c r="F5611" t="s">
        <v>19</v>
      </c>
      <c r="G5611" t="s">
        <v>57</v>
      </c>
      <c r="H5611" t="s">
        <v>58</v>
      </c>
      <c r="I5611" s="12">
        <v>0.55902777777777779</v>
      </c>
      <c r="J5611" t="s">
        <v>59</v>
      </c>
      <c r="K5611" t="s">
        <v>58</v>
      </c>
      <c r="L5611" s="12">
        <v>0.57638888888888884</v>
      </c>
      <c r="M5611" t="s">
        <v>51</v>
      </c>
      <c r="N5611" s="3">
        <v>78</v>
      </c>
      <c r="O5611" t="s">
        <v>24</v>
      </c>
      <c r="P5611" t="s">
        <v>56</v>
      </c>
      <c r="R5611">
        <f>tblDailySchedule[[#This Row],[Capacity Approx]]*'[1]Load Factor Sheet June Acft  '!$B$5</f>
        <v>63.162272727272729</v>
      </c>
      <c r="S5611">
        <f>tblDailySchedule[[#This Row],[Capacity Approx]]*'[1]Load Factor Sheet June Acft  '!$D$5</f>
        <v>68.391818181818181</v>
      </c>
      <c r="T5611" s="22">
        <f>tblDailySchedule[[#This Row],[STD]]</f>
        <v>0.57638888888888884</v>
      </c>
    </row>
    <row r="5612" spans="1:20" hidden="1" x14ac:dyDescent="0.35">
      <c r="A5612" s="11">
        <v>46312</v>
      </c>
      <c r="B5612" s="3">
        <v>6</v>
      </c>
      <c r="C5612" t="s">
        <v>116</v>
      </c>
      <c r="D5612" t="s">
        <v>18</v>
      </c>
      <c r="E5612" s="3">
        <v>14</v>
      </c>
      <c r="F5612" t="s">
        <v>19</v>
      </c>
      <c r="G5612" t="s">
        <v>60</v>
      </c>
      <c r="H5612" t="s">
        <v>61</v>
      </c>
      <c r="I5612" s="12">
        <v>0.59027777777777779</v>
      </c>
      <c r="J5612" t="s">
        <v>62</v>
      </c>
      <c r="K5612" t="s">
        <v>61</v>
      </c>
      <c r="L5612" s="12">
        <v>0.62152777777777779</v>
      </c>
      <c r="M5612" t="s">
        <v>63</v>
      </c>
      <c r="N5612" s="3">
        <v>232</v>
      </c>
      <c r="O5612" t="s">
        <v>24</v>
      </c>
      <c r="P5612" t="s">
        <v>56</v>
      </c>
      <c r="R5612">
        <f>tblDailySchedule[[#This Row],[Capacity Approx]]*'[1]Load Factor Sheet June Acft  '!$B$5</f>
        <v>187.86727272727273</v>
      </c>
      <c r="S5612">
        <f>tblDailySchedule[[#This Row],[Capacity Approx]]*'[1]Load Factor Sheet June Acft  '!$D$5</f>
        <v>203.4218181818182</v>
      </c>
      <c r="T5612" s="22">
        <f>tblDailySchedule[[#This Row],[STD]]</f>
        <v>0.62152777777777779</v>
      </c>
    </row>
    <row r="5613" spans="1:20" hidden="1" x14ac:dyDescent="0.35">
      <c r="A5613" s="11">
        <v>46312</v>
      </c>
      <c r="B5613" s="3">
        <v>6</v>
      </c>
      <c r="C5613" t="s">
        <v>116</v>
      </c>
      <c r="D5613" t="s">
        <v>18</v>
      </c>
      <c r="E5613" s="3">
        <v>15</v>
      </c>
      <c r="F5613" t="s">
        <v>19</v>
      </c>
      <c r="G5613" t="s">
        <v>64</v>
      </c>
      <c r="H5613" t="s">
        <v>31</v>
      </c>
      <c r="I5613" s="12">
        <v>0.60069444444444442</v>
      </c>
      <c r="J5613" t="s">
        <v>65</v>
      </c>
      <c r="K5613" t="s">
        <v>66</v>
      </c>
      <c r="L5613" s="12">
        <v>0.62847222222222221</v>
      </c>
      <c r="M5613" t="s">
        <v>63</v>
      </c>
      <c r="N5613" s="3">
        <v>232</v>
      </c>
      <c r="O5613" t="s">
        <v>24</v>
      </c>
      <c r="P5613" t="s">
        <v>56</v>
      </c>
      <c r="R5613">
        <f>tblDailySchedule[[#This Row],[Capacity Approx]]*'[1]Load Factor Sheet June Acft  '!$B$5</f>
        <v>187.86727272727273</v>
      </c>
      <c r="S5613">
        <f>tblDailySchedule[[#This Row],[Capacity Approx]]*'[1]Load Factor Sheet June Acft  '!$D$5</f>
        <v>203.4218181818182</v>
      </c>
      <c r="T5613" s="22">
        <f>tblDailySchedule[[#This Row],[STD]]</f>
        <v>0.62847222222222221</v>
      </c>
    </row>
    <row r="5614" spans="1:20" hidden="1" x14ac:dyDescent="0.35">
      <c r="A5614" s="11">
        <v>46312</v>
      </c>
      <c r="B5614" s="3">
        <v>6</v>
      </c>
      <c r="C5614" t="s">
        <v>116</v>
      </c>
      <c r="D5614" t="s">
        <v>18</v>
      </c>
      <c r="E5614" s="3">
        <v>16</v>
      </c>
      <c r="F5614" t="s">
        <v>19</v>
      </c>
      <c r="G5614" t="s">
        <v>67</v>
      </c>
      <c r="H5614" t="s">
        <v>31</v>
      </c>
      <c r="I5614" s="12">
        <v>0.65625</v>
      </c>
      <c r="J5614" t="s">
        <v>68</v>
      </c>
      <c r="K5614" t="s">
        <v>31</v>
      </c>
      <c r="L5614" s="12">
        <v>0.68402777777777779</v>
      </c>
      <c r="M5614" t="s">
        <v>63</v>
      </c>
      <c r="N5614" s="3">
        <v>232</v>
      </c>
      <c r="O5614" t="s">
        <v>24</v>
      </c>
      <c r="P5614" t="s">
        <v>56</v>
      </c>
      <c r="R5614">
        <f>tblDailySchedule[[#This Row],[Capacity Approx]]*'[1]Load Factor Sheet June Acft  '!$B$5</f>
        <v>187.86727272727273</v>
      </c>
      <c r="S5614">
        <f>tblDailySchedule[[#This Row],[Capacity Approx]]*'[1]Load Factor Sheet June Acft  '!$D$5</f>
        <v>203.4218181818182</v>
      </c>
      <c r="T5614" s="22">
        <f>tblDailySchedule[[#This Row],[STD]]</f>
        <v>0.68402777777777779</v>
      </c>
    </row>
    <row r="5615" spans="1:20" hidden="1" x14ac:dyDescent="0.35">
      <c r="A5615" s="11">
        <v>46312</v>
      </c>
      <c r="B5615" s="3">
        <v>6</v>
      </c>
      <c r="C5615" t="s">
        <v>116</v>
      </c>
      <c r="D5615" t="s">
        <v>18</v>
      </c>
      <c r="E5615" s="3">
        <v>17</v>
      </c>
      <c r="F5615" t="s">
        <v>19</v>
      </c>
      <c r="G5615" t="s">
        <v>69</v>
      </c>
      <c r="H5615" t="s">
        <v>31</v>
      </c>
      <c r="I5615" s="12">
        <v>0.66319444444444442</v>
      </c>
      <c r="J5615" t="s">
        <v>70</v>
      </c>
      <c r="K5615" t="s">
        <v>31</v>
      </c>
      <c r="L5615" s="12">
        <v>0.69097222222222221</v>
      </c>
      <c r="M5615" t="s">
        <v>33</v>
      </c>
      <c r="N5615" s="3">
        <v>189</v>
      </c>
      <c r="O5615" t="s">
        <v>24</v>
      </c>
      <c r="P5615" t="s">
        <v>56</v>
      </c>
      <c r="R5615">
        <f>tblDailySchedule[[#This Row],[Capacity Approx]]*'[1]Load Factor Sheet June Acft  '!$B$5</f>
        <v>153.04704545454547</v>
      </c>
      <c r="S5615">
        <f>tblDailySchedule[[#This Row],[Capacity Approx]]*'[1]Load Factor Sheet June Acft  '!$D$5</f>
        <v>165.71863636363636</v>
      </c>
      <c r="T5615" s="22">
        <f>tblDailySchedule[[#This Row],[STD]]</f>
        <v>0.69097222222222221</v>
      </c>
    </row>
    <row r="5616" spans="1:20" hidden="1" x14ac:dyDescent="0.35">
      <c r="A5616" s="11">
        <v>46312</v>
      </c>
      <c r="B5616" s="3">
        <v>6</v>
      </c>
      <c r="C5616" t="s">
        <v>116</v>
      </c>
      <c r="D5616" t="s">
        <v>18</v>
      </c>
      <c r="E5616" s="3">
        <v>18</v>
      </c>
      <c r="F5616" t="s">
        <v>19</v>
      </c>
      <c r="G5616" t="s">
        <v>71</v>
      </c>
      <c r="H5616" t="s">
        <v>21</v>
      </c>
      <c r="I5616" s="12">
        <v>0.67013888888888884</v>
      </c>
      <c r="J5616" t="s">
        <v>72</v>
      </c>
      <c r="K5616" t="s">
        <v>21</v>
      </c>
      <c r="L5616" s="12">
        <v>0.69791666666666663</v>
      </c>
      <c r="M5616" t="s">
        <v>63</v>
      </c>
      <c r="N5616" s="3">
        <v>232</v>
      </c>
      <c r="O5616" t="s">
        <v>24</v>
      </c>
      <c r="P5616" t="s">
        <v>56</v>
      </c>
      <c r="R5616">
        <f>tblDailySchedule[[#This Row],[Capacity Approx]]*'[1]Load Factor Sheet June Acft  '!$B$5</f>
        <v>187.86727272727273</v>
      </c>
      <c r="S5616">
        <f>tblDailySchedule[[#This Row],[Capacity Approx]]*'[1]Load Factor Sheet June Acft  '!$D$5</f>
        <v>203.4218181818182</v>
      </c>
      <c r="T5616" s="22">
        <f>tblDailySchedule[[#This Row],[STD]]</f>
        <v>0.69791666666666663</v>
      </c>
    </row>
    <row r="5617" spans="1:20" hidden="1" x14ac:dyDescent="0.35">
      <c r="A5617" s="11">
        <v>46312</v>
      </c>
      <c r="B5617" s="3">
        <v>6</v>
      </c>
      <c r="C5617" t="s">
        <v>116</v>
      </c>
      <c r="D5617" t="s">
        <v>18</v>
      </c>
      <c r="E5617" s="3">
        <v>19</v>
      </c>
      <c r="F5617" t="s">
        <v>19</v>
      </c>
      <c r="G5617" t="s">
        <v>73</v>
      </c>
      <c r="H5617" t="s">
        <v>27</v>
      </c>
      <c r="I5617" s="12">
        <v>0.74652777777777779</v>
      </c>
      <c r="J5617" t="s">
        <v>74</v>
      </c>
      <c r="K5617" t="s">
        <v>27</v>
      </c>
      <c r="L5617" s="12">
        <v>0.77430555555555558</v>
      </c>
      <c r="M5617" t="s">
        <v>63</v>
      </c>
      <c r="N5617" s="3">
        <v>232</v>
      </c>
      <c r="O5617" t="s">
        <v>24</v>
      </c>
      <c r="P5617" t="s">
        <v>56</v>
      </c>
      <c r="R5617">
        <f>tblDailySchedule[[#This Row],[Capacity Approx]]*'[1]Load Factor Sheet June Acft  '!$B$5</f>
        <v>187.86727272727273</v>
      </c>
      <c r="S5617">
        <f>tblDailySchedule[[#This Row],[Capacity Approx]]*'[1]Load Factor Sheet June Acft  '!$D$5</f>
        <v>203.4218181818182</v>
      </c>
      <c r="T5617" s="22">
        <f>tblDailySchedule[[#This Row],[STD]]</f>
        <v>0.77430555555555558</v>
      </c>
    </row>
    <row r="5618" spans="1:20" hidden="1" x14ac:dyDescent="0.35">
      <c r="A5618" s="11">
        <v>46312</v>
      </c>
      <c r="B5618" s="3">
        <v>6</v>
      </c>
      <c r="C5618" t="s">
        <v>116</v>
      </c>
      <c r="D5618" t="s">
        <v>18</v>
      </c>
      <c r="E5618" s="3">
        <v>21</v>
      </c>
      <c r="F5618" t="s">
        <v>19</v>
      </c>
      <c r="G5618" t="s">
        <v>81</v>
      </c>
      <c r="H5618" t="s">
        <v>61</v>
      </c>
      <c r="I5618" s="12">
        <v>0.77083333333333337</v>
      </c>
      <c r="J5618" t="s">
        <v>82</v>
      </c>
      <c r="K5618" t="s">
        <v>49</v>
      </c>
      <c r="L5618" s="12">
        <v>0.79166666666666663</v>
      </c>
      <c r="M5618" t="s">
        <v>33</v>
      </c>
      <c r="N5618" s="3">
        <v>189</v>
      </c>
      <c r="O5618" t="s">
        <v>24</v>
      </c>
      <c r="P5618" t="s">
        <v>79</v>
      </c>
      <c r="R5618">
        <f>tblDailySchedule[[#This Row],[Capacity Approx]]*'[1]Load Factor Sheet June Acft  '!$B$5</f>
        <v>153.04704545454547</v>
      </c>
      <c r="S5618">
        <f>tblDailySchedule[[#This Row],[Capacity Approx]]*'[1]Load Factor Sheet June Acft  '!$D$5</f>
        <v>165.71863636363636</v>
      </c>
      <c r="T5618" s="22">
        <f>tblDailySchedule[[#This Row],[STD]]</f>
        <v>0.79166666666666663</v>
      </c>
    </row>
    <row r="5619" spans="1:20" hidden="1" x14ac:dyDescent="0.35">
      <c r="A5619" s="11">
        <v>46312</v>
      </c>
      <c r="B5619" s="3">
        <v>6</v>
      </c>
      <c r="C5619" t="s">
        <v>116</v>
      </c>
      <c r="D5619" t="s">
        <v>18</v>
      </c>
      <c r="E5619" s="3">
        <v>22</v>
      </c>
      <c r="F5619" t="s">
        <v>19</v>
      </c>
      <c r="G5619" t="s">
        <v>83</v>
      </c>
      <c r="H5619" t="s">
        <v>31</v>
      </c>
      <c r="I5619" s="12">
        <v>0.77777777777777779</v>
      </c>
      <c r="J5619" t="s">
        <v>84</v>
      </c>
      <c r="K5619" t="s">
        <v>31</v>
      </c>
      <c r="L5619" s="12">
        <v>0.80555555555555558</v>
      </c>
      <c r="M5619" t="s">
        <v>63</v>
      </c>
      <c r="N5619" s="3">
        <v>232</v>
      </c>
      <c r="O5619" t="s">
        <v>24</v>
      </c>
      <c r="P5619" t="s">
        <v>79</v>
      </c>
      <c r="R5619">
        <f>tblDailySchedule[[#This Row],[Capacity Approx]]*'[1]Load Factor Sheet June Acft  '!$B$5</f>
        <v>187.86727272727273</v>
      </c>
      <c r="S5619">
        <f>tblDailySchedule[[#This Row],[Capacity Approx]]*'[1]Load Factor Sheet June Acft  '!$D$5</f>
        <v>203.4218181818182</v>
      </c>
      <c r="T5619" s="22">
        <f>tblDailySchedule[[#This Row],[STD]]</f>
        <v>0.80555555555555558</v>
      </c>
    </row>
    <row r="5620" spans="1:20" hidden="1" x14ac:dyDescent="0.35">
      <c r="A5620" s="11">
        <v>46312</v>
      </c>
      <c r="B5620" s="3">
        <v>6</v>
      </c>
      <c r="C5620" t="s">
        <v>116</v>
      </c>
      <c r="D5620" t="s">
        <v>18</v>
      </c>
      <c r="E5620" s="3">
        <v>23</v>
      </c>
      <c r="F5620" t="s">
        <v>19</v>
      </c>
      <c r="G5620" t="s">
        <v>85</v>
      </c>
      <c r="H5620" t="s">
        <v>86</v>
      </c>
      <c r="I5620" s="12">
        <v>0.79861111111111116</v>
      </c>
      <c r="J5620" t="s">
        <v>87</v>
      </c>
      <c r="K5620" t="s">
        <v>86</v>
      </c>
      <c r="L5620" s="12">
        <v>0.82638888888888884</v>
      </c>
      <c r="M5620" t="s">
        <v>63</v>
      </c>
      <c r="N5620" s="3">
        <v>232</v>
      </c>
      <c r="O5620" t="s">
        <v>24</v>
      </c>
      <c r="P5620" t="s">
        <v>79</v>
      </c>
      <c r="R5620">
        <f>tblDailySchedule[[#This Row],[Capacity Approx]]*'[1]Load Factor Sheet June Acft  '!$B$5</f>
        <v>187.86727272727273</v>
      </c>
      <c r="S5620">
        <f>tblDailySchedule[[#This Row],[Capacity Approx]]*'[1]Load Factor Sheet June Acft  '!$D$5</f>
        <v>203.4218181818182</v>
      </c>
      <c r="T5620" s="22">
        <f>tblDailySchedule[[#This Row],[STD]]</f>
        <v>0.82638888888888884</v>
      </c>
    </row>
    <row r="5621" spans="1:20" hidden="1" x14ac:dyDescent="0.35">
      <c r="A5621" s="11">
        <v>46312</v>
      </c>
      <c r="B5621" s="3">
        <v>6</v>
      </c>
      <c r="C5621" t="s">
        <v>116</v>
      </c>
      <c r="D5621" t="s">
        <v>18</v>
      </c>
      <c r="E5621" s="3">
        <v>24</v>
      </c>
      <c r="F5621" t="s">
        <v>19</v>
      </c>
      <c r="G5621" t="s">
        <v>88</v>
      </c>
      <c r="H5621" t="s">
        <v>89</v>
      </c>
      <c r="I5621" s="12">
        <v>0.83333333333333337</v>
      </c>
      <c r="J5621" t="s">
        <v>90</v>
      </c>
      <c r="K5621" t="s">
        <v>31</v>
      </c>
      <c r="L5621" s="12">
        <v>0.86111111111111116</v>
      </c>
      <c r="M5621" t="s">
        <v>63</v>
      </c>
      <c r="N5621" s="3">
        <v>232</v>
      </c>
      <c r="O5621" t="s">
        <v>24</v>
      </c>
      <c r="P5621" t="s">
        <v>79</v>
      </c>
      <c r="R5621">
        <f>tblDailySchedule[[#This Row],[Capacity Approx]]*'[1]Load Factor Sheet June Acft  '!$B$5</f>
        <v>187.86727272727273</v>
      </c>
      <c r="S5621">
        <f>tblDailySchedule[[#This Row],[Capacity Approx]]*'[1]Load Factor Sheet June Acft  '!$D$5</f>
        <v>203.4218181818182</v>
      </c>
      <c r="T5621" s="22">
        <f>tblDailySchedule[[#This Row],[STD]]</f>
        <v>0.86111111111111116</v>
      </c>
    </row>
    <row r="5622" spans="1:20" hidden="1" x14ac:dyDescent="0.35">
      <c r="A5622" s="11">
        <v>46312</v>
      </c>
      <c r="B5622" s="3">
        <v>6</v>
      </c>
      <c r="C5622" t="s">
        <v>116</v>
      </c>
      <c r="D5622" t="s">
        <v>18</v>
      </c>
      <c r="E5622" s="3">
        <v>25</v>
      </c>
      <c r="F5622" t="s">
        <v>19</v>
      </c>
      <c r="G5622" t="s">
        <v>91</v>
      </c>
      <c r="H5622" t="s">
        <v>61</v>
      </c>
      <c r="I5622" s="12">
        <v>0.85416666666666663</v>
      </c>
      <c r="J5622" t="s">
        <v>92</v>
      </c>
      <c r="K5622" t="s">
        <v>61</v>
      </c>
      <c r="L5622" s="12">
        <v>0.88194444444444442</v>
      </c>
      <c r="M5622" t="s">
        <v>63</v>
      </c>
      <c r="N5622" s="3">
        <v>232</v>
      </c>
      <c r="O5622" t="s">
        <v>24</v>
      </c>
      <c r="P5622" t="s">
        <v>79</v>
      </c>
      <c r="R5622">
        <f>tblDailySchedule[[#This Row],[Capacity Approx]]*'[1]Load Factor Sheet June Acft  '!$B$5</f>
        <v>187.86727272727273</v>
      </c>
      <c r="S5622">
        <f>tblDailySchedule[[#This Row],[Capacity Approx]]*'[1]Load Factor Sheet June Acft  '!$D$5</f>
        <v>203.4218181818182</v>
      </c>
      <c r="T5622" s="22">
        <f>tblDailySchedule[[#This Row],[STD]]</f>
        <v>0.88194444444444442</v>
      </c>
    </row>
    <row r="5623" spans="1:20" hidden="1" x14ac:dyDescent="0.35">
      <c r="A5623" s="11">
        <v>46312</v>
      </c>
      <c r="B5623" s="3">
        <v>6</v>
      </c>
      <c r="C5623" t="s">
        <v>116</v>
      </c>
      <c r="D5623" t="s">
        <v>18</v>
      </c>
      <c r="E5623" s="3">
        <v>26</v>
      </c>
      <c r="F5623" t="s">
        <v>19</v>
      </c>
      <c r="G5623" t="s">
        <v>93</v>
      </c>
      <c r="H5623" t="s">
        <v>31</v>
      </c>
      <c r="I5623" s="12">
        <v>0.86111111111111116</v>
      </c>
      <c r="J5623" t="s">
        <v>94</v>
      </c>
      <c r="K5623" t="s">
        <v>31</v>
      </c>
      <c r="L5623" s="12">
        <v>0.88888888888888884</v>
      </c>
      <c r="M5623" t="s">
        <v>23</v>
      </c>
      <c r="N5623" s="3">
        <v>186</v>
      </c>
      <c r="O5623" t="s">
        <v>24</v>
      </c>
      <c r="P5623" t="s">
        <v>79</v>
      </c>
      <c r="R5623">
        <f>tblDailySchedule[[#This Row],[Capacity Approx]]*'[1]Load Factor Sheet June Acft  '!$B$5</f>
        <v>150.61772727272728</v>
      </c>
      <c r="S5623">
        <f>tblDailySchedule[[#This Row],[Capacity Approx]]*'[1]Load Factor Sheet June Acft  '!$D$5</f>
        <v>163.08818181818182</v>
      </c>
      <c r="T5623" s="22">
        <f>tblDailySchedule[[#This Row],[STD]]</f>
        <v>0.88888888888888884</v>
      </c>
    </row>
    <row r="5624" spans="1:20" hidden="1" x14ac:dyDescent="0.35">
      <c r="A5624" s="11">
        <v>46312</v>
      </c>
      <c r="B5624" s="3">
        <v>6</v>
      </c>
      <c r="C5624" t="s">
        <v>116</v>
      </c>
      <c r="D5624" t="s">
        <v>18</v>
      </c>
      <c r="E5624" s="3">
        <v>27</v>
      </c>
      <c r="F5624" t="s">
        <v>19</v>
      </c>
      <c r="G5624" t="s">
        <v>95</v>
      </c>
      <c r="H5624" t="s">
        <v>21</v>
      </c>
      <c r="I5624" s="12">
        <v>0.86805555555555558</v>
      </c>
      <c r="J5624" t="s">
        <v>96</v>
      </c>
      <c r="K5624" t="s">
        <v>21</v>
      </c>
      <c r="L5624" s="12">
        <v>0.89583333333333337</v>
      </c>
      <c r="M5624" t="s">
        <v>29</v>
      </c>
      <c r="N5624" s="3">
        <v>186</v>
      </c>
      <c r="O5624" t="s">
        <v>24</v>
      </c>
      <c r="P5624" t="s">
        <v>79</v>
      </c>
      <c r="R5624">
        <f>tblDailySchedule[[#This Row],[Capacity Approx]]*'[1]Load Factor Sheet June Acft  '!$B$5</f>
        <v>150.61772727272728</v>
      </c>
      <c r="S5624">
        <f>tblDailySchedule[[#This Row],[Capacity Approx]]*'[1]Load Factor Sheet June Acft  '!$D$5</f>
        <v>163.08818181818182</v>
      </c>
      <c r="T5624" s="22">
        <f>tblDailySchedule[[#This Row],[STD]]</f>
        <v>0.89583333333333337</v>
      </c>
    </row>
    <row r="5625" spans="1:20" hidden="1" x14ac:dyDescent="0.35">
      <c r="A5625" s="11">
        <v>46312</v>
      </c>
      <c r="B5625" s="3">
        <v>6</v>
      </c>
      <c r="C5625" t="s">
        <v>116</v>
      </c>
      <c r="D5625" t="s">
        <v>18</v>
      </c>
      <c r="E5625" s="3">
        <v>28</v>
      </c>
      <c r="F5625" t="s">
        <v>19</v>
      </c>
      <c r="G5625" t="s">
        <v>97</v>
      </c>
      <c r="H5625" t="s">
        <v>49</v>
      </c>
      <c r="I5625" s="12">
        <v>0.90277777777777779</v>
      </c>
      <c r="J5625" t="s">
        <v>97</v>
      </c>
      <c r="K5625" t="s">
        <v>61</v>
      </c>
      <c r="L5625" s="12">
        <v>0.92361111111111116</v>
      </c>
      <c r="M5625" t="s">
        <v>33</v>
      </c>
      <c r="N5625" s="3">
        <v>189</v>
      </c>
      <c r="O5625" t="s">
        <v>24</v>
      </c>
      <c r="P5625" t="s">
        <v>79</v>
      </c>
      <c r="R5625">
        <f>tblDailySchedule[[#This Row],[Capacity Approx]]*'[1]Load Factor Sheet June Acft  '!$B$5</f>
        <v>153.04704545454547</v>
      </c>
      <c r="S5625">
        <f>tblDailySchedule[[#This Row],[Capacity Approx]]*'[1]Load Factor Sheet June Acft  '!$D$5</f>
        <v>165.71863636363636</v>
      </c>
      <c r="T5625" s="22">
        <f>tblDailySchedule[[#This Row],[STD]]</f>
        <v>0.92361111111111116</v>
      </c>
    </row>
    <row r="5626" spans="1:20" hidden="1" x14ac:dyDescent="0.35">
      <c r="A5626" s="11">
        <v>46312</v>
      </c>
      <c r="B5626" s="3">
        <v>6</v>
      </c>
      <c r="C5626" t="s">
        <v>116</v>
      </c>
      <c r="D5626" t="s">
        <v>18</v>
      </c>
      <c r="E5626" s="3">
        <v>29</v>
      </c>
      <c r="F5626" t="s">
        <v>19</v>
      </c>
      <c r="G5626" t="s">
        <v>98</v>
      </c>
      <c r="H5626" t="s">
        <v>21</v>
      </c>
      <c r="I5626" s="12">
        <v>0.92013888888888884</v>
      </c>
      <c r="J5626" t="s">
        <v>99</v>
      </c>
      <c r="K5626" t="s">
        <v>21</v>
      </c>
      <c r="L5626" s="12">
        <v>0.94791666666666663</v>
      </c>
      <c r="M5626" t="s">
        <v>63</v>
      </c>
      <c r="N5626" s="3">
        <v>232</v>
      </c>
      <c r="O5626" t="s">
        <v>24</v>
      </c>
      <c r="P5626" t="s">
        <v>79</v>
      </c>
      <c r="R5626">
        <f>tblDailySchedule[[#This Row],[Capacity Approx]]*'[1]Load Factor Sheet June Acft  '!$B$5</f>
        <v>187.86727272727273</v>
      </c>
      <c r="S5626">
        <f>tblDailySchedule[[#This Row],[Capacity Approx]]*'[1]Load Factor Sheet June Acft  '!$D$5</f>
        <v>203.4218181818182</v>
      </c>
      <c r="T5626" s="22">
        <f>tblDailySchedule[[#This Row],[STD]]</f>
        <v>0.94791666666666663</v>
      </c>
    </row>
    <row r="5627" spans="1:20" hidden="1" x14ac:dyDescent="0.35">
      <c r="A5627" s="13">
        <v>46312</v>
      </c>
      <c r="B5627" s="7">
        <v>6</v>
      </c>
      <c r="C5627" s="14" t="s">
        <v>116</v>
      </c>
      <c r="D5627" s="14" t="s">
        <v>18</v>
      </c>
      <c r="E5627" s="7">
        <v>30</v>
      </c>
      <c r="F5627" s="14" t="s">
        <v>104</v>
      </c>
      <c r="G5627" s="14" t="s">
        <v>105</v>
      </c>
      <c r="H5627" s="14" t="s">
        <v>106</v>
      </c>
      <c r="I5627" s="15">
        <v>0.92708333333333337</v>
      </c>
      <c r="J5627" s="14" t="s">
        <v>107</v>
      </c>
      <c r="K5627" s="14" t="s">
        <v>106</v>
      </c>
      <c r="L5627" s="15">
        <v>0.95833333333333337</v>
      </c>
      <c r="M5627" s="14" t="s">
        <v>38</v>
      </c>
      <c r="N5627" s="7">
        <v>186</v>
      </c>
      <c r="O5627" s="14" t="s">
        <v>39</v>
      </c>
      <c r="P5627" s="14" t="s">
        <v>79</v>
      </c>
      <c r="Q5627" s="14" t="s">
        <v>39</v>
      </c>
      <c r="R5627">
        <f>tblDailySchedule[[#This Row],[Capacity Approx]]*'[1]Load Factor Sheet June Acft  '!$B$5</f>
        <v>150.61772727272728</v>
      </c>
      <c r="S5627">
        <f>tblDailySchedule[[#This Row],[Capacity Approx]]*'[1]Load Factor Sheet June Acft  '!$D$5</f>
        <v>163.08818181818182</v>
      </c>
      <c r="T5627" s="22">
        <f>tblDailySchedule[[#This Row],[STD]]</f>
        <v>0.95833333333333337</v>
      </c>
    </row>
    <row r="5628" spans="1:20" hidden="1" x14ac:dyDescent="0.35">
      <c r="A5628" s="11">
        <v>46313</v>
      </c>
      <c r="B5628" s="3">
        <v>7</v>
      </c>
      <c r="C5628" t="s">
        <v>17</v>
      </c>
      <c r="D5628" t="s">
        <v>18</v>
      </c>
      <c r="E5628" s="3">
        <v>2</v>
      </c>
      <c r="F5628" t="s">
        <v>19</v>
      </c>
      <c r="G5628" t="s">
        <v>20</v>
      </c>
      <c r="H5628" t="s">
        <v>21</v>
      </c>
      <c r="I5628" s="12">
        <v>0.31944444444444442</v>
      </c>
      <c r="J5628" t="s">
        <v>22</v>
      </c>
      <c r="K5628" t="s">
        <v>21</v>
      </c>
      <c r="L5628" s="12">
        <v>0.34722222222222221</v>
      </c>
      <c r="M5628" t="s">
        <v>23</v>
      </c>
      <c r="N5628" s="3">
        <v>186</v>
      </c>
      <c r="O5628" t="s">
        <v>24</v>
      </c>
      <c r="P5628" t="s">
        <v>25</v>
      </c>
      <c r="R5628">
        <f>tblDailySchedule[[#This Row],[Capacity Approx]]*'[1]Load Factor Sheet June Acft  '!$B$5</f>
        <v>150.61772727272728</v>
      </c>
      <c r="S5628">
        <f>tblDailySchedule[[#This Row],[Capacity Approx]]*'[1]Load Factor Sheet June Acft  '!$D$5</f>
        <v>163.08818181818182</v>
      </c>
      <c r="T5628" s="22">
        <f>tblDailySchedule[[#This Row],[STD]]</f>
        <v>0.34722222222222221</v>
      </c>
    </row>
    <row r="5629" spans="1:20" hidden="1" x14ac:dyDescent="0.35">
      <c r="A5629" s="11">
        <v>46313</v>
      </c>
      <c r="B5629" s="3">
        <v>7</v>
      </c>
      <c r="C5629" t="s">
        <v>17</v>
      </c>
      <c r="D5629" t="s">
        <v>18</v>
      </c>
      <c r="E5629" s="3">
        <v>3</v>
      </c>
      <c r="F5629" t="s">
        <v>19</v>
      </c>
      <c r="G5629" t="s">
        <v>26</v>
      </c>
      <c r="H5629" t="s">
        <v>27</v>
      </c>
      <c r="I5629" s="12">
        <v>0.3263888888888889</v>
      </c>
      <c r="J5629" t="s">
        <v>28</v>
      </c>
      <c r="K5629" t="s">
        <v>27</v>
      </c>
      <c r="L5629" s="12">
        <v>0.35416666666666669</v>
      </c>
      <c r="M5629" t="s">
        <v>29</v>
      </c>
      <c r="N5629" s="3">
        <v>186</v>
      </c>
      <c r="O5629" t="s">
        <v>24</v>
      </c>
      <c r="P5629" t="s">
        <v>25</v>
      </c>
      <c r="R5629">
        <f>tblDailySchedule[[#This Row],[Capacity Approx]]*'[1]Load Factor Sheet June Acft  '!$B$5</f>
        <v>150.61772727272728</v>
      </c>
      <c r="S5629">
        <f>tblDailySchedule[[#This Row],[Capacity Approx]]*'[1]Load Factor Sheet June Acft  '!$D$5</f>
        <v>163.08818181818182</v>
      </c>
      <c r="T5629" s="22">
        <f>tblDailySchedule[[#This Row],[STD]]</f>
        <v>0.35416666666666669</v>
      </c>
    </row>
    <row r="5630" spans="1:20" hidden="1" x14ac:dyDescent="0.35">
      <c r="A5630" s="11">
        <v>46313</v>
      </c>
      <c r="B5630" s="3">
        <v>7</v>
      </c>
      <c r="C5630" t="s">
        <v>17</v>
      </c>
      <c r="D5630" t="s">
        <v>18</v>
      </c>
      <c r="E5630" s="3">
        <v>4</v>
      </c>
      <c r="F5630" t="s">
        <v>19</v>
      </c>
      <c r="G5630" t="s">
        <v>30</v>
      </c>
      <c r="H5630" t="s">
        <v>31</v>
      </c>
      <c r="I5630" s="12">
        <v>0.34722222222222221</v>
      </c>
      <c r="J5630" t="s">
        <v>32</v>
      </c>
      <c r="K5630" t="s">
        <v>31</v>
      </c>
      <c r="L5630" s="12">
        <v>0.36805555555555558</v>
      </c>
      <c r="M5630" t="s">
        <v>33</v>
      </c>
      <c r="N5630" s="3">
        <v>189</v>
      </c>
      <c r="O5630" t="s">
        <v>24</v>
      </c>
      <c r="P5630" t="s">
        <v>25</v>
      </c>
      <c r="R5630">
        <f>tblDailySchedule[[#This Row],[Capacity Approx]]*'[1]Load Factor Sheet June Acft  '!$B$5</f>
        <v>153.04704545454547</v>
      </c>
      <c r="S5630">
        <f>tblDailySchedule[[#This Row],[Capacity Approx]]*'[1]Load Factor Sheet June Acft  '!$D$5</f>
        <v>165.71863636363636</v>
      </c>
      <c r="T5630" s="22">
        <f>tblDailySchedule[[#This Row],[STD]]</f>
        <v>0.36805555555555558</v>
      </c>
    </row>
    <row r="5631" spans="1:20" hidden="1" x14ac:dyDescent="0.35">
      <c r="A5631" s="13">
        <v>46313</v>
      </c>
      <c r="B5631" s="7">
        <v>7</v>
      </c>
      <c r="C5631" s="14" t="s">
        <v>17</v>
      </c>
      <c r="D5631" s="14" t="s">
        <v>18</v>
      </c>
      <c r="E5631" s="7">
        <v>6</v>
      </c>
      <c r="F5631" s="14" t="s">
        <v>34</v>
      </c>
      <c r="G5631" s="14" t="s">
        <v>35</v>
      </c>
      <c r="H5631" s="14" t="s">
        <v>36</v>
      </c>
      <c r="I5631" s="15">
        <v>0.34722222222222221</v>
      </c>
      <c r="J5631" s="14" t="s">
        <v>37</v>
      </c>
      <c r="K5631" s="14" t="s">
        <v>36</v>
      </c>
      <c r="L5631" s="15">
        <v>0.40972222222222221</v>
      </c>
      <c r="M5631" s="14" t="s">
        <v>38</v>
      </c>
      <c r="N5631" s="7">
        <v>186</v>
      </c>
      <c r="O5631" s="14" t="s">
        <v>39</v>
      </c>
      <c r="P5631" s="14" t="s">
        <v>25</v>
      </c>
      <c r="Q5631" s="14" t="s">
        <v>39</v>
      </c>
      <c r="R5631">
        <f>tblDailySchedule[[#This Row],[Capacity Approx]]*'[1]Load Factor Sheet June Acft  '!$B$5</f>
        <v>150.61772727272728</v>
      </c>
      <c r="S5631">
        <f>tblDailySchedule[[#This Row],[Capacity Approx]]*'[1]Load Factor Sheet June Acft  '!$D$5</f>
        <v>163.08818181818182</v>
      </c>
      <c r="T5631" s="22">
        <f>tblDailySchedule[[#This Row],[STD]]</f>
        <v>0.40972222222222221</v>
      </c>
    </row>
    <row r="5632" spans="1:20" hidden="1" x14ac:dyDescent="0.35">
      <c r="A5632" s="11">
        <v>46313</v>
      </c>
      <c r="B5632" s="3">
        <v>7</v>
      </c>
      <c r="C5632" t="s">
        <v>17</v>
      </c>
      <c r="D5632" t="s">
        <v>18</v>
      </c>
      <c r="E5632" s="3">
        <v>5</v>
      </c>
      <c r="F5632" t="s">
        <v>19</v>
      </c>
      <c r="G5632" t="s">
        <v>40</v>
      </c>
      <c r="H5632" t="s">
        <v>31</v>
      </c>
      <c r="I5632" s="12">
        <v>0.35069444444444442</v>
      </c>
      <c r="J5632" t="s">
        <v>41</v>
      </c>
      <c r="K5632" t="s">
        <v>31</v>
      </c>
      <c r="L5632" s="12">
        <v>0.37152777777777779</v>
      </c>
      <c r="M5632" t="s">
        <v>23</v>
      </c>
      <c r="N5632" s="3">
        <v>186</v>
      </c>
      <c r="O5632" t="s">
        <v>24</v>
      </c>
      <c r="P5632" t="s">
        <v>25</v>
      </c>
      <c r="R5632">
        <f>tblDailySchedule[[#This Row],[Capacity Approx]]*'[1]Load Factor Sheet June Acft  '!$B$5</f>
        <v>150.61772727272728</v>
      </c>
      <c r="S5632">
        <f>tblDailySchedule[[#This Row],[Capacity Approx]]*'[1]Load Factor Sheet June Acft  '!$D$5</f>
        <v>163.08818181818182</v>
      </c>
      <c r="T5632" s="22">
        <f>tblDailySchedule[[#This Row],[STD]]</f>
        <v>0.37152777777777779</v>
      </c>
    </row>
    <row r="5633" spans="1:20" hidden="1" x14ac:dyDescent="0.35">
      <c r="A5633" s="11">
        <v>46313</v>
      </c>
      <c r="B5633" s="3">
        <v>7</v>
      </c>
      <c r="C5633" t="s">
        <v>17</v>
      </c>
      <c r="D5633" t="s">
        <v>18</v>
      </c>
      <c r="E5633" s="3">
        <v>7</v>
      </c>
      <c r="F5633" t="s">
        <v>19</v>
      </c>
      <c r="G5633" t="s">
        <v>42</v>
      </c>
      <c r="H5633" t="s">
        <v>43</v>
      </c>
      <c r="I5633" s="12">
        <v>0.3923611111111111</v>
      </c>
      <c r="J5633" t="s">
        <v>44</v>
      </c>
      <c r="K5633" t="s">
        <v>43</v>
      </c>
      <c r="L5633" s="12">
        <v>0.40277777777777779</v>
      </c>
      <c r="M5633" t="s">
        <v>45</v>
      </c>
      <c r="N5633" s="3">
        <v>9</v>
      </c>
      <c r="O5633" t="s">
        <v>24</v>
      </c>
      <c r="P5633" t="s">
        <v>25</v>
      </c>
      <c r="R5633">
        <f>tblDailySchedule[[#This Row],[Capacity Approx]]*'[1]Load Factor Sheet June Acft  '!$B$5</f>
        <v>7.2879545454545456</v>
      </c>
      <c r="S5633">
        <f>tblDailySchedule[[#This Row],[Capacity Approx]]*'[1]Load Factor Sheet June Acft  '!$D$5</f>
        <v>7.8913636363636366</v>
      </c>
      <c r="T5633" s="22">
        <f>tblDailySchedule[[#This Row],[STD]]</f>
        <v>0.40277777777777779</v>
      </c>
    </row>
    <row r="5634" spans="1:20" hidden="1" x14ac:dyDescent="0.35">
      <c r="A5634" s="11">
        <v>46313</v>
      </c>
      <c r="B5634" s="3">
        <v>7</v>
      </c>
      <c r="C5634" t="s">
        <v>17</v>
      </c>
      <c r="D5634" t="s">
        <v>18</v>
      </c>
      <c r="E5634" s="3">
        <v>8</v>
      </c>
      <c r="F5634" t="s">
        <v>19</v>
      </c>
      <c r="G5634" t="s">
        <v>46</v>
      </c>
      <c r="H5634" t="s">
        <v>31</v>
      </c>
      <c r="I5634" s="12">
        <v>0.4201388888888889</v>
      </c>
      <c r="J5634" t="s">
        <v>47</v>
      </c>
      <c r="K5634" t="s">
        <v>31</v>
      </c>
      <c r="L5634" s="12">
        <v>0.44444444444444442</v>
      </c>
      <c r="M5634" t="s">
        <v>29</v>
      </c>
      <c r="N5634" s="3">
        <v>186</v>
      </c>
      <c r="O5634" t="s">
        <v>24</v>
      </c>
      <c r="P5634" t="s">
        <v>25</v>
      </c>
      <c r="R5634">
        <f>tblDailySchedule[[#This Row],[Capacity Approx]]*'[1]Load Factor Sheet June Acft  '!$B$5</f>
        <v>150.61772727272728</v>
      </c>
      <c r="S5634">
        <f>tblDailySchedule[[#This Row],[Capacity Approx]]*'[1]Load Factor Sheet June Acft  '!$D$5</f>
        <v>163.08818181818182</v>
      </c>
      <c r="T5634" s="22">
        <f>tblDailySchedule[[#This Row],[STD]]</f>
        <v>0.44444444444444442</v>
      </c>
    </row>
    <row r="5635" spans="1:20" hidden="1" x14ac:dyDescent="0.35">
      <c r="A5635" s="11">
        <v>46313</v>
      </c>
      <c r="B5635" s="3">
        <v>7</v>
      </c>
      <c r="C5635" t="s">
        <v>17</v>
      </c>
      <c r="D5635" t="s">
        <v>18</v>
      </c>
      <c r="E5635" s="3">
        <v>9</v>
      </c>
      <c r="F5635" t="s">
        <v>19</v>
      </c>
      <c r="G5635" t="s">
        <v>48</v>
      </c>
      <c r="H5635" t="s">
        <v>49</v>
      </c>
      <c r="I5635" s="12">
        <v>0.4375</v>
      </c>
      <c r="J5635" t="s">
        <v>50</v>
      </c>
      <c r="K5635" t="s">
        <v>49</v>
      </c>
      <c r="L5635" s="12">
        <v>0.45833333333333331</v>
      </c>
      <c r="M5635" t="s">
        <v>51</v>
      </c>
      <c r="N5635" s="3">
        <v>78</v>
      </c>
      <c r="O5635" t="s">
        <v>24</v>
      </c>
      <c r="P5635" t="s">
        <v>25</v>
      </c>
      <c r="R5635">
        <f>tblDailySchedule[[#This Row],[Capacity Approx]]*'[1]Load Factor Sheet June Acft  '!$B$5</f>
        <v>63.162272727272729</v>
      </c>
      <c r="S5635">
        <f>tblDailySchedule[[#This Row],[Capacity Approx]]*'[1]Load Factor Sheet June Acft  '!$D$5</f>
        <v>68.391818181818181</v>
      </c>
      <c r="T5635" s="22">
        <f>tblDailySchedule[[#This Row],[STD]]</f>
        <v>0.45833333333333331</v>
      </c>
    </row>
    <row r="5636" spans="1:20" hidden="1" x14ac:dyDescent="0.35">
      <c r="A5636" s="11">
        <v>46313</v>
      </c>
      <c r="B5636" s="3">
        <v>7</v>
      </c>
      <c r="C5636" t="s">
        <v>17</v>
      </c>
      <c r="D5636" t="s">
        <v>18</v>
      </c>
      <c r="E5636" s="3">
        <v>10</v>
      </c>
      <c r="F5636" t="s">
        <v>19</v>
      </c>
      <c r="G5636" t="s">
        <v>52</v>
      </c>
      <c r="H5636" t="s">
        <v>27</v>
      </c>
      <c r="I5636" s="12">
        <v>0.4826388888888889</v>
      </c>
      <c r="J5636" t="s">
        <v>53</v>
      </c>
      <c r="K5636" t="s">
        <v>27</v>
      </c>
      <c r="L5636" s="12">
        <v>0.51041666666666663</v>
      </c>
      <c r="M5636" t="s">
        <v>23</v>
      </c>
      <c r="N5636" s="3">
        <v>186</v>
      </c>
      <c r="O5636" t="s">
        <v>24</v>
      </c>
      <c r="P5636" t="s">
        <v>25</v>
      </c>
      <c r="R5636">
        <f>tblDailySchedule[[#This Row],[Capacity Approx]]*'[1]Load Factor Sheet June Acft  '!$B$5</f>
        <v>150.61772727272728</v>
      </c>
      <c r="S5636">
        <f>tblDailySchedule[[#This Row],[Capacity Approx]]*'[1]Load Factor Sheet June Acft  '!$D$5</f>
        <v>163.08818181818182</v>
      </c>
      <c r="T5636" s="22">
        <f>tblDailySchedule[[#This Row],[STD]]</f>
        <v>0.51041666666666663</v>
      </c>
    </row>
    <row r="5637" spans="1:20" hidden="1" x14ac:dyDescent="0.35">
      <c r="A5637" s="11">
        <v>46313</v>
      </c>
      <c r="B5637" s="3">
        <v>7</v>
      </c>
      <c r="C5637" t="s">
        <v>17</v>
      </c>
      <c r="D5637" t="s">
        <v>18</v>
      </c>
      <c r="E5637" s="3">
        <v>11</v>
      </c>
      <c r="F5637" t="s">
        <v>19</v>
      </c>
      <c r="G5637" t="s">
        <v>54</v>
      </c>
      <c r="H5637" t="s">
        <v>31</v>
      </c>
      <c r="I5637" s="12">
        <v>0.51388888888888884</v>
      </c>
      <c r="J5637" t="s">
        <v>55</v>
      </c>
      <c r="K5637" t="s">
        <v>31</v>
      </c>
      <c r="L5637" s="12">
        <v>0.54166666666666663</v>
      </c>
      <c r="M5637" t="s">
        <v>23</v>
      </c>
      <c r="N5637" s="3">
        <v>186</v>
      </c>
      <c r="O5637" t="s">
        <v>24</v>
      </c>
      <c r="P5637" t="s">
        <v>56</v>
      </c>
      <c r="R5637">
        <f>tblDailySchedule[[#This Row],[Capacity Approx]]*'[1]Load Factor Sheet June Acft  '!$B$5</f>
        <v>150.61772727272728</v>
      </c>
      <c r="S5637">
        <f>tblDailySchedule[[#This Row],[Capacity Approx]]*'[1]Load Factor Sheet June Acft  '!$D$5</f>
        <v>163.08818181818182</v>
      </c>
      <c r="T5637" s="22">
        <f>tblDailySchedule[[#This Row],[STD]]</f>
        <v>0.54166666666666663</v>
      </c>
    </row>
    <row r="5638" spans="1:20" hidden="1" x14ac:dyDescent="0.35">
      <c r="A5638" s="11">
        <v>46313</v>
      </c>
      <c r="B5638" s="3">
        <v>7</v>
      </c>
      <c r="C5638" t="s">
        <v>17</v>
      </c>
      <c r="D5638" t="s">
        <v>18</v>
      </c>
      <c r="E5638" s="3">
        <v>13</v>
      </c>
      <c r="F5638" t="s">
        <v>19</v>
      </c>
      <c r="G5638" t="s">
        <v>57</v>
      </c>
      <c r="H5638" t="s">
        <v>58</v>
      </c>
      <c r="I5638" s="12">
        <v>0.55902777777777779</v>
      </c>
      <c r="J5638" t="s">
        <v>59</v>
      </c>
      <c r="K5638" t="s">
        <v>58</v>
      </c>
      <c r="L5638" s="12">
        <v>0.57638888888888884</v>
      </c>
      <c r="M5638" t="s">
        <v>51</v>
      </c>
      <c r="N5638" s="3">
        <v>78</v>
      </c>
      <c r="O5638" t="s">
        <v>24</v>
      </c>
      <c r="P5638" t="s">
        <v>56</v>
      </c>
      <c r="R5638">
        <f>tblDailySchedule[[#This Row],[Capacity Approx]]*'[1]Load Factor Sheet June Acft  '!$B$5</f>
        <v>63.162272727272729</v>
      </c>
      <c r="S5638">
        <f>tblDailySchedule[[#This Row],[Capacity Approx]]*'[1]Load Factor Sheet June Acft  '!$D$5</f>
        <v>68.391818181818181</v>
      </c>
      <c r="T5638" s="22">
        <f>tblDailySchedule[[#This Row],[STD]]</f>
        <v>0.57638888888888884</v>
      </c>
    </row>
    <row r="5639" spans="1:20" hidden="1" x14ac:dyDescent="0.35">
      <c r="A5639" s="11">
        <v>46313</v>
      </c>
      <c r="B5639" s="3">
        <v>7</v>
      </c>
      <c r="C5639" t="s">
        <v>17</v>
      </c>
      <c r="D5639" t="s">
        <v>18</v>
      </c>
      <c r="E5639" s="3">
        <v>14</v>
      </c>
      <c r="F5639" t="s">
        <v>19</v>
      </c>
      <c r="G5639" t="s">
        <v>60</v>
      </c>
      <c r="H5639" t="s">
        <v>61</v>
      </c>
      <c r="I5639" s="12">
        <v>0.59027777777777779</v>
      </c>
      <c r="J5639" t="s">
        <v>62</v>
      </c>
      <c r="K5639" t="s">
        <v>61</v>
      </c>
      <c r="L5639" s="12">
        <v>0.62152777777777779</v>
      </c>
      <c r="M5639" t="s">
        <v>63</v>
      </c>
      <c r="N5639" s="3">
        <v>232</v>
      </c>
      <c r="O5639" t="s">
        <v>24</v>
      </c>
      <c r="P5639" t="s">
        <v>56</v>
      </c>
      <c r="R5639">
        <f>tblDailySchedule[[#This Row],[Capacity Approx]]*'[1]Load Factor Sheet June Acft  '!$B$5</f>
        <v>187.86727272727273</v>
      </c>
      <c r="S5639">
        <f>tblDailySchedule[[#This Row],[Capacity Approx]]*'[1]Load Factor Sheet June Acft  '!$D$5</f>
        <v>203.4218181818182</v>
      </c>
      <c r="T5639" s="22">
        <f>tblDailySchedule[[#This Row],[STD]]</f>
        <v>0.62152777777777779</v>
      </c>
    </row>
    <row r="5640" spans="1:20" hidden="1" x14ac:dyDescent="0.35">
      <c r="A5640" s="11">
        <v>46313</v>
      </c>
      <c r="B5640" s="3">
        <v>7</v>
      </c>
      <c r="C5640" t="s">
        <v>17</v>
      </c>
      <c r="D5640" t="s">
        <v>18</v>
      </c>
      <c r="E5640" s="3">
        <v>15</v>
      </c>
      <c r="F5640" t="s">
        <v>19</v>
      </c>
      <c r="G5640" t="s">
        <v>64</v>
      </c>
      <c r="H5640" t="s">
        <v>31</v>
      </c>
      <c r="I5640" s="12">
        <v>0.60069444444444442</v>
      </c>
      <c r="J5640" t="s">
        <v>65</v>
      </c>
      <c r="K5640" t="s">
        <v>66</v>
      </c>
      <c r="L5640" s="12">
        <v>0.62847222222222221</v>
      </c>
      <c r="M5640" t="s">
        <v>63</v>
      </c>
      <c r="N5640" s="3">
        <v>232</v>
      </c>
      <c r="O5640" t="s">
        <v>24</v>
      </c>
      <c r="P5640" t="s">
        <v>56</v>
      </c>
      <c r="R5640">
        <f>tblDailySchedule[[#This Row],[Capacity Approx]]*'[1]Load Factor Sheet June Acft  '!$B$5</f>
        <v>187.86727272727273</v>
      </c>
      <c r="S5640">
        <f>tblDailySchedule[[#This Row],[Capacity Approx]]*'[1]Load Factor Sheet June Acft  '!$D$5</f>
        <v>203.4218181818182</v>
      </c>
      <c r="T5640" s="22">
        <f>tblDailySchedule[[#This Row],[STD]]</f>
        <v>0.62847222222222221</v>
      </c>
    </row>
    <row r="5641" spans="1:20" hidden="1" x14ac:dyDescent="0.35">
      <c r="A5641" s="11">
        <v>46313</v>
      </c>
      <c r="B5641" s="3">
        <v>7</v>
      </c>
      <c r="C5641" t="s">
        <v>17</v>
      </c>
      <c r="D5641" t="s">
        <v>18</v>
      </c>
      <c r="E5641" s="3">
        <v>16</v>
      </c>
      <c r="F5641" t="s">
        <v>19</v>
      </c>
      <c r="G5641" t="s">
        <v>67</v>
      </c>
      <c r="H5641" t="s">
        <v>31</v>
      </c>
      <c r="I5641" s="12">
        <v>0.65625</v>
      </c>
      <c r="J5641" t="s">
        <v>68</v>
      </c>
      <c r="K5641" t="s">
        <v>31</v>
      </c>
      <c r="L5641" s="12">
        <v>0.68402777777777779</v>
      </c>
      <c r="M5641" t="s">
        <v>63</v>
      </c>
      <c r="N5641" s="3">
        <v>232</v>
      </c>
      <c r="O5641" t="s">
        <v>24</v>
      </c>
      <c r="P5641" t="s">
        <v>56</v>
      </c>
      <c r="R5641">
        <f>tblDailySchedule[[#This Row],[Capacity Approx]]*'[1]Load Factor Sheet June Acft  '!$B$5</f>
        <v>187.86727272727273</v>
      </c>
      <c r="S5641">
        <f>tblDailySchedule[[#This Row],[Capacity Approx]]*'[1]Load Factor Sheet June Acft  '!$D$5</f>
        <v>203.4218181818182</v>
      </c>
      <c r="T5641" s="22">
        <f>tblDailySchedule[[#This Row],[STD]]</f>
        <v>0.68402777777777779</v>
      </c>
    </row>
    <row r="5642" spans="1:20" hidden="1" x14ac:dyDescent="0.35">
      <c r="A5642" s="11">
        <v>46313</v>
      </c>
      <c r="B5642" s="3">
        <v>7</v>
      </c>
      <c r="C5642" t="s">
        <v>17</v>
      </c>
      <c r="D5642" t="s">
        <v>18</v>
      </c>
      <c r="E5642" s="3">
        <v>17</v>
      </c>
      <c r="F5642" t="s">
        <v>19</v>
      </c>
      <c r="G5642" t="s">
        <v>69</v>
      </c>
      <c r="H5642" t="s">
        <v>31</v>
      </c>
      <c r="I5642" s="12">
        <v>0.66319444444444442</v>
      </c>
      <c r="J5642" t="s">
        <v>70</v>
      </c>
      <c r="K5642" t="s">
        <v>31</v>
      </c>
      <c r="L5642" s="12">
        <v>0.69097222222222221</v>
      </c>
      <c r="M5642" t="s">
        <v>33</v>
      </c>
      <c r="N5642" s="3">
        <v>189</v>
      </c>
      <c r="O5642" t="s">
        <v>24</v>
      </c>
      <c r="P5642" t="s">
        <v>56</v>
      </c>
      <c r="R5642">
        <f>tblDailySchedule[[#This Row],[Capacity Approx]]*'[1]Load Factor Sheet June Acft  '!$B$5</f>
        <v>153.04704545454547</v>
      </c>
      <c r="S5642">
        <f>tblDailySchedule[[#This Row],[Capacity Approx]]*'[1]Load Factor Sheet June Acft  '!$D$5</f>
        <v>165.71863636363636</v>
      </c>
      <c r="T5642" s="22">
        <f>tblDailySchedule[[#This Row],[STD]]</f>
        <v>0.69097222222222221</v>
      </c>
    </row>
    <row r="5643" spans="1:20" hidden="1" x14ac:dyDescent="0.35">
      <c r="A5643" s="11">
        <v>46313</v>
      </c>
      <c r="B5643" s="3">
        <v>7</v>
      </c>
      <c r="C5643" t="s">
        <v>17</v>
      </c>
      <c r="D5643" t="s">
        <v>18</v>
      </c>
      <c r="E5643" s="3">
        <v>18</v>
      </c>
      <c r="F5643" t="s">
        <v>19</v>
      </c>
      <c r="G5643" t="s">
        <v>71</v>
      </c>
      <c r="H5643" t="s">
        <v>21</v>
      </c>
      <c r="I5643" s="12">
        <v>0.67013888888888884</v>
      </c>
      <c r="J5643" t="s">
        <v>72</v>
      </c>
      <c r="K5643" t="s">
        <v>21</v>
      </c>
      <c r="L5643" s="12">
        <v>0.69791666666666663</v>
      </c>
      <c r="M5643" t="s">
        <v>63</v>
      </c>
      <c r="N5643" s="3">
        <v>232</v>
      </c>
      <c r="O5643" t="s">
        <v>24</v>
      </c>
      <c r="P5643" t="s">
        <v>56</v>
      </c>
      <c r="R5643">
        <f>tblDailySchedule[[#This Row],[Capacity Approx]]*'[1]Load Factor Sheet June Acft  '!$B$5</f>
        <v>187.86727272727273</v>
      </c>
      <c r="S5643">
        <f>tblDailySchedule[[#This Row],[Capacity Approx]]*'[1]Load Factor Sheet June Acft  '!$D$5</f>
        <v>203.4218181818182</v>
      </c>
      <c r="T5643" s="22">
        <f>tblDailySchedule[[#This Row],[STD]]</f>
        <v>0.69791666666666663</v>
      </c>
    </row>
    <row r="5644" spans="1:20" hidden="1" x14ac:dyDescent="0.35">
      <c r="A5644" s="11">
        <v>46313</v>
      </c>
      <c r="B5644" s="3">
        <v>7</v>
      </c>
      <c r="C5644" t="s">
        <v>17</v>
      </c>
      <c r="D5644" t="s">
        <v>18</v>
      </c>
      <c r="E5644" s="3">
        <v>19</v>
      </c>
      <c r="F5644" t="s">
        <v>19</v>
      </c>
      <c r="G5644" t="s">
        <v>73</v>
      </c>
      <c r="H5644" t="s">
        <v>27</v>
      </c>
      <c r="I5644" s="12">
        <v>0.74652777777777779</v>
      </c>
      <c r="J5644" t="s">
        <v>74</v>
      </c>
      <c r="K5644" t="s">
        <v>27</v>
      </c>
      <c r="L5644" s="12">
        <v>0.77430555555555558</v>
      </c>
      <c r="M5644" t="s">
        <v>63</v>
      </c>
      <c r="N5644" s="3">
        <v>232</v>
      </c>
      <c r="O5644" t="s">
        <v>24</v>
      </c>
      <c r="P5644" t="s">
        <v>56</v>
      </c>
      <c r="R5644">
        <f>tblDailySchedule[[#This Row],[Capacity Approx]]*'[1]Load Factor Sheet June Acft  '!$B$5</f>
        <v>187.86727272727273</v>
      </c>
      <c r="S5644">
        <f>tblDailySchedule[[#This Row],[Capacity Approx]]*'[1]Load Factor Sheet June Acft  '!$D$5</f>
        <v>203.4218181818182</v>
      </c>
      <c r="T5644" s="22">
        <f>tblDailySchedule[[#This Row],[STD]]</f>
        <v>0.77430555555555558</v>
      </c>
    </row>
    <row r="5645" spans="1:20" hidden="1" x14ac:dyDescent="0.35">
      <c r="A5645" s="11">
        <v>46313</v>
      </c>
      <c r="B5645" s="3">
        <v>7</v>
      </c>
      <c r="C5645" t="s">
        <v>17</v>
      </c>
      <c r="D5645" t="s">
        <v>18</v>
      </c>
      <c r="E5645" s="3">
        <v>20</v>
      </c>
      <c r="F5645" t="s">
        <v>34</v>
      </c>
      <c r="G5645" t="s">
        <v>75</v>
      </c>
      <c r="H5645" t="s">
        <v>76</v>
      </c>
      <c r="I5645" s="12">
        <v>0.76388888888888884</v>
      </c>
      <c r="J5645" t="s">
        <v>77</v>
      </c>
      <c r="K5645" t="s">
        <v>78</v>
      </c>
      <c r="L5645" s="12">
        <v>0.78472222222222221</v>
      </c>
      <c r="M5645" t="s">
        <v>51</v>
      </c>
      <c r="N5645" s="3">
        <v>78</v>
      </c>
      <c r="O5645" t="s">
        <v>24</v>
      </c>
      <c r="P5645" t="s">
        <v>79</v>
      </c>
      <c r="Q5645" s="16" t="s">
        <v>80</v>
      </c>
      <c r="R5645">
        <f>tblDailySchedule[[#This Row],[Capacity Approx]]*'[1]Load Factor Sheet June Acft  '!$B$5</f>
        <v>63.162272727272729</v>
      </c>
      <c r="S5645">
        <f>tblDailySchedule[[#This Row],[Capacity Approx]]*'[1]Load Factor Sheet June Acft  '!$D$5</f>
        <v>68.391818181818181</v>
      </c>
      <c r="T5645" s="22">
        <f>tblDailySchedule[[#This Row],[STD]]</f>
        <v>0.78472222222222221</v>
      </c>
    </row>
    <row r="5646" spans="1:20" hidden="1" x14ac:dyDescent="0.35">
      <c r="A5646" s="11">
        <v>46313</v>
      </c>
      <c r="B5646" s="3">
        <v>7</v>
      </c>
      <c r="C5646" t="s">
        <v>17</v>
      </c>
      <c r="D5646" t="s">
        <v>18</v>
      </c>
      <c r="E5646" s="3">
        <v>21</v>
      </c>
      <c r="F5646" t="s">
        <v>19</v>
      </c>
      <c r="G5646" t="s">
        <v>81</v>
      </c>
      <c r="H5646" t="s">
        <v>61</v>
      </c>
      <c r="I5646" s="12">
        <v>0.77083333333333337</v>
      </c>
      <c r="J5646" t="s">
        <v>82</v>
      </c>
      <c r="K5646" t="s">
        <v>49</v>
      </c>
      <c r="L5646" s="12">
        <v>0.79166666666666663</v>
      </c>
      <c r="M5646" t="s">
        <v>33</v>
      </c>
      <c r="N5646" s="3">
        <v>189</v>
      </c>
      <c r="O5646" t="s">
        <v>24</v>
      </c>
      <c r="P5646" t="s">
        <v>79</v>
      </c>
      <c r="R5646">
        <f>tblDailySchedule[[#This Row],[Capacity Approx]]*'[1]Load Factor Sheet June Acft  '!$B$5</f>
        <v>153.04704545454547</v>
      </c>
      <c r="S5646">
        <f>tblDailySchedule[[#This Row],[Capacity Approx]]*'[1]Load Factor Sheet June Acft  '!$D$5</f>
        <v>165.71863636363636</v>
      </c>
      <c r="T5646" s="22">
        <f>tblDailySchedule[[#This Row],[STD]]</f>
        <v>0.79166666666666663</v>
      </c>
    </row>
    <row r="5647" spans="1:20" hidden="1" x14ac:dyDescent="0.35">
      <c r="A5647" s="11">
        <v>46313</v>
      </c>
      <c r="B5647" s="3">
        <v>7</v>
      </c>
      <c r="C5647" t="s">
        <v>17</v>
      </c>
      <c r="D5647" t="s">
        <v>18</v>
      </c>
      <c r="E5647" s="3">
        <v>22</v>
      </c>
      <c r="F5647" t="s">
        <v>19</v>
      </c>
      <c r="G5647" t="s">
        <v>83</v>
      </c>
      <c r="H5647" t="s">
        <v>31</v>
      </c>
      <c r="I5647" s="12">
        <v>0.77777777777777779</v>
      </c>
      <c r="J5647" t="s">
        <v>84</v>
      </c>
      <c r="K5647" t="s">
        <v>31</v>
      </c>
      <c r="L5647" s="12">
        <v>0.80555555555555558</v>
      </c>
      <c r="M5647" t="s">
        <v>63</v>
      </c>
      <c r="N5647" s="3">
        <v>232</v>
      </c>
      <c r="O5647" t="s">
        <v>24</v>
      </c>
      <c r="P5647" t="s">
        <v>79</v>
      </c>
      <c r="R5647">
        <f>tblDailySchedule[[#This Row],[Capacity Approx]]*'[1]Load Factor Sheet June Acft  '!$B$5</f>
        <v>187.86727272727273</v>
      </c>
      <c r="S5647">
        <f>tblDailySchedule[[#This Row],[Capacity Approx]]*'[1]Load Factor Sheet June Acft  '!$D$5</f>
        <v>203.4218181818182</v>
      </c>
      <c r="T5647" s="22">
        <f>tblDailySchedule[[#This Row],[STD]]</f>
        <v>0.80555555555555558</v>
      </c>
    </row>
    <row r="5648" spans="1:20" hidden="1" x14ac:dyDescent="0.35">
      <c r="A5648" s="11">
        <v>46313</v>
      </c>
      <c r="B5648" s="3">
        <v>7</v>
      </c>
      <c r="C5648" t="s">
        <v>17</v>
      </c>
      <c r="D5648" t="s">
        <v>18</v>
      </c>
      <c r="E5648" s="3">
        <v>23</v>
      </c>
      <c r="F5648" t="s">
        <v>19</v>
      </c>
      <c r="G5648" t="s">
        <v>85</v>
      </c>
      <c r="H5648" t="s">
        <v>86</v>
      </c>
      <c r="I5648" s="12">
        <v>0.79861111111111116</v>
      </c>
      <c r="J5648" t="s">
        <v>87</v>
      </c>
      <c r="K5648" t="s">
        <v>86</v>
      </c>
      <c r="L5648" s="12">
        <v>0.82638888888888884</v>
      </c>
      <c r="M5648" t="s">
        <v>63</v>
      </c>
      <c r="N5648" s="3">
        <v>232</v>
      </c>
      <c r="O5648" t="s">
        <v>24</v>
      </c>
      <c r="P5648" t="s">
        <v>79</v>
      </c>
      <c r="R5648">
        <f>tblDailySchedule[[#This Row],[Capacity Approx]]*'[1]Load Factor Sheet June Acft  '!$B$5</f>
        <v>187.86727272727273</v>
      </c>
      <c r="S5648">
        <f>tblDailySchedule[[#This Row],[Capacity Approx]]*'[1]Load Factor Sheet June Acft  '!$D$5</f>
        <v>203.4218181818182</v>
      </c>
      <c r="T5648" s="22">
        <f>tblDailySchedule[[#This Row],[STD]]</f>
        <v>0.82638888888888884</v>
      </c>
    </row>
    <row r="5649" spans="1:20" hidden="1" x14ac:dyDescent="0.35">
      <c r="A5649" s="11">
        <v>46313</v>
      </c>
      <c r="B5649" s="3">
        <v>7</v>
      </c>
      <c r="C5649" t="s">
        <v>17</v>
      </c>
      <c r="D5649" t="s">
        <v>18</v>
      </c>
      <c r="E5649" s="3">
        <v>24</v>
      </c>
      <c r="F5649" t="s">
        <v>19</v>
      </c>
      <c r="G5649" t="s">
        <v>88</v>
      </c>
      <c r="H5649" t="s">
        <v>89</v>
      </c>
      <c r="I5649" s="12">
        <v>0.83333333333333337</v>
      </c>
      <c r="J5649" t="s">
        <v>90</v>
      </c>
      <c r="K5649" t="s">
        <v>31</v>
      </c>
      <c r="L5649" s="12">
        <v>0.86111111111111116</v>
      </c>
      <c r="M5649" t="s">
        <v>63</v>
      </c>
      <c r="N5649" s="3">
        <v>232</v>
      </c>
      <c r="O5649" t="s">
        <v>24</v>
      </c>
      <c r="P5649" t="s">
        <v>79</v>
      </c>
      <c r="R5649">
        <f>tblDailySchedule[[#This Row],[Capacity Approx]]*'[1]Load Factor Sheet June Acft  '!$B$5</f>
        <v>187.86727272727273</v>
      </c>
      <c r="S5649">
        <f>tblDailySchedule[[#This Row],[Capacity Approx]]*'[1]Load Factor Sheet June Acft  '!$D$5</f>
        <v>203.4218181818182</v>
      </c>
      <c r="T5649" s="22">
        <f>tblDailySchedule[[#This Row],[STD]]</f>
        <v>0.86111111111111116</v>
      </c>
    </row>
    <row r="5650" spans="1:20" hidden="1" x14ac:dyDescent="0.35">
      <c r="A5650" s="11">
        <v>46313</v>
      </c>
      <c r="B5650" s="3">
        <v>7</v>
      </c>
      <c r="C5650" t="s">
        <v>17</v>
      </c>
      <c r="D5650" t="s">
        <v>18</v>
      </c>
      <c r="E5650" s="3">
        <v>25</v>
      </c>
      <c r="F5650" t="s">
        <v>19</v>
      </c>
      <c r="G5650" t="s">
        <v>91</v>
      </c>
      <c r="H5650" t="s">
        <v>61</v>
      </c>
      <c r="I5650" s="12">
        <v>0.85416666666666663</v>
      </c>
      <c r="J5650" t="s">
        <v>92</v>
      </c>
      <c r="K5650" t="s">
        <v>61</v>
      </c>
      <c r="L5650" s="12">
        <v>0.88194444444444442</v>
      </c>
      <c r="M5650" t="s">
        <v>63</v>
      </c>
      <c r="N5650" s="3">
        <v>232</v>
      </c>
      <c r="O5650" t="s">
        <v>24</v>
      </c>
      <c r="P5650" t="s">
        <v>79</v>
      </c>
      <c r="R5650">
        <f>tblDailySchedule[[#This Row],[Capacity Approx]]*'[1]Load Factor Sheet June Acft  '!$B$5</f>
        <v>187.86727272727273</v>
      </c>
      <c r="S5650">
        <f>tblDailySchedule[[#This Row],[Capacity Approx]]*'[1]Load Factor Sheet June Acft  '!$D$5</f>
        <v>203.4218181818182</v>
      </c>
      <c r="T5650" s="22">
        <f>tblDailySchedule[[#This Row],[STD]]</f>
        <v>0.88194444444444442</v>
      </c>
    </row>
    <row r="5651" spans="1:20" hidden="1" x14ac:dyDescent="0.35">
      <c r="A5651" s="11">
        <v>46313</v>
      </c>
      <c r="B5651" s="3">
        <v>7</v>
      </c>
      <c r="C5651" t="s">
        <v>17</v>
      </c>
      <c r="D5651" t="s">
        <v>18</v>
      </c>
      <c r="E5651" s="3">
        <v>26</v>
      </c>
      <c r="F5651" t="s">
        <v>19</v>
      </c>
      <c r="G5651" t="s">
        <v>93</v>
      </c>
      <c r="H5651" t="s">
        <v>31</v>
      </c>
      <c r="I5651" s="12">
        <v>0.86111111111111116</v>
      </c>
      <c r="J5651" t="s">
        <v>94</v>
      </c>
      <c r="K5651" t="s">
        <v>31</v>
      </c>
      <c r="L5651" s="12">
        <v>0.88888888888888884</v>
      </c>
      <c r="M5651" t="s">
        <v>23</v>
      </c>
      <c r="N5651" s="3">
        <v>186</v>
      </c>
      <c r="O5651" t="s">
        <v>24</v>
      </c>
      <c r="P5651" t="s">
        <v>79</v>
      </c>
      <c r="R5651">
        <f>tblDailySchedule[[#This Row],[Capacity Approx]]*'[1]Load Factor Sheet June Acft  '!$B$5</f>
        <v>150.61772727272728</v>
      </c>
      <c r="S5651">
        <f>tblDailySchedule[[#This Row],[Capacity Approx]]*'[1]Load Factor Sheet June Acft  '!$D$5</f>
        <v>163.08818181818182</v>
      </c>
      <c r="T5651" s="22">
        <f>tblDailySchedule[[#This Row],[STD]]</f>
        <v>0.88888888888888884</v>
      </c>
    </row>
    <row r="5652" spans="1:20" hidden="1" x14ac:dyDescent="0.35">
      <c r="A5652" s="11">
        <v>46313</v>
      </c>
      <c r="B5652" s="3">
        <v>7</v>
      </c>
      <c r="C5652" t="s">
        <v>17</v>
      </c>
      <c r="D5652" t="s">
        <v>18</v>
      </c>
      <c r="E5652" s="3">
        <v>27</v>
      </c>
      <c r="F5652" t="s">
        <v>19</v>
      </c>
      <c r="G5652" t="s">
        <v>95</v>
      </c>
      <c r="H5652" t="s">
        <v>21</v>
      </c>
      <c r="I5652" s="12">
        <v>0.86805555555555558</v>
      </c>
      <c r="J5652" t="s">
        <v>96</v>
      </c>
      <c r="K5652" t="s">
        <v>21</v>
      </c>
      <c r="L5652" s="12">
        <v>0.89583333333333337</v>
      </c>
      <c r="M5652" t="s">
        <v>29</v>
      </c>
      <c r="N5652" s="3">
        <v>186</v>
      </c>
      <c r="O5652" t="s">
        <v>24</v>
      </c>
      <c r="P5652" t="s">
        <v>79</v>
      </c>
      <c r="R5652">
        <f>tblDailySchedule[[#This Row],[Capacity Approx]]*'[1]Load Factor Sheet June Acft  '!$B$5</f>
        <v>150.61772727272728</v>
      </c>
      <c r="S5652">
        <f>tblDailySchedule[[#This Row],[Capacity Approx]]*'[1]Load Factor Sheet June Acft  '!$D$5</f>
        <v>163.08818181818182</v>
      </c>
      <c r="T5652" s="22">
        <f>tblDailySchedule[[#This Row],[STD]]</f>
        <v>0.89583333333333337</v>
      </c>
    </row>
    <row r="5653" spans="1:20" hidden="1" x14ac:dyDescent="0.35">
      <c r="A5653" s="11">
        <v>46313</v>
      </c>
      <c r="B5653" s="3">
        <v>7</v>
      </c>
      <c r="C5653" t="s">
        <v>17</v>
      </c>
      <c r="D5653" t="s">
        <v>18</v>
      </c>
      <c r="E5653" s="3">
        <v>28</v>
      </c>
      <c r="F5653" t="s">
        <v>19</v>
      </c>
      <c r="G5653" t="s">
        <v>97</v>
      </c>
      <c r="H5653" t="s">
        <v>49</v>
      </c>
      <c r="I5653" s="12">
        <v>0.90277777777777779</v>
      </c>
      <c r="J5653" t="s">
        <v>97</v>
      </c>
      <c r="K5653" t="s">
        <v>61</v>
      </c>
      <c r="L5653" s="12">
        <v>0.92361111111111116</v>
      </c>
      <c r="M5653" t="s">
        <v>33</v>
      </c>
      <c r="N5653" s="3">
        <v>189</v>
      </c>
      <c r="O5653" t="s">
        <v>24</v>
      </c>
      <c r="P5653" t="s">
        <v>79</v>
      </c>
      <c r="R5653">
        <f>tblDailySchedule[[#This Row],[Capacity Approx]]*'[1]Load Factor Sheet June Acft  '!$B$5</f>
        <v>153.04704545454547</v>
      </c>
      <c r="S5653">
        <f>tblDailySchedule[[#This Row],[Capacity Approx]]*'[1]Load Factor Sheet June Acft  '!$D$5</f>
        <v>165.71863636363636</v>
      </c>
      <c r="T5653" s="22">
        <f>tblDailySchedule[[#This Row],[STD]]</f>
        <v>0.92361111111111116</v>
      </c>
    </row>
    <row r="5654" spans="1:20" hidden="1" x14ac:dyDescent="0.35">
      <c r="A5654" s="11">
        <v>46313</v>
      </c>
      <c r="B5654" s="3">
        <v>7</v>
      </c>
      <c r="C5654" t="s">
        <v>17</v>
      </c>
      <c r="D5654" t="s">
        <v>18</v>
      </c>
      <c r="E5654" s="3">
        <v>29</v>
      </c>
      <c r="F5654" t="s">
        <v>19</v>
      </c>
      <c r="G5654" t="s">
        <v>98</v>
      </c>
      <c r="H5654" t="s">
        <v>21</v>
      </c>
      <c r="I5654" s="12">
        <v>0.92013888888888884</v>
      </c>
      <c r="J5654" t="s">
        <v>99</v>
      </c>
      <c r="K5654" t="s">
        <v>21</v>
      </c>
      <c r="L5654" s="12">
        <v>0.94791666666666663</v>
      </c>
      <c r="M5654" t="s">
        <v>63</v>
      </c>
      <c r="N5654" s="3">
        <v>232</v>
      </c>
      <c r="O5654" t="s">
        <v>24</v>
      </c>
      <c r="P5654" t="s">
        <v>79</v>
      </c>
      <c r="R5654">
        <f>tblDailySchedule[[#This Row],[Capacity Approx]]*'[1]Load Factor Sheet June Acft  '!$B$5</f>
        <v>187.86727272727273</v>
      </c>
      <c r="S5654">
        <f>tblDailySchedule[[#This Row],[Capacity Approx]]*'[1]Load Factor Sheet June Acft  '!$D$5</f>
        <v>203.4218181818182</v>
      </c>
      <c r="T5654" s="22">
        <f>tblDailySchedule[[#This Row],[STD]]</f>
        <v>0.94791666666666663</v>
      </c>
    </row>
    <row r="5655" spans="1:20" hidden="1" x14ac:dyDescent="0.35">
      <c r="A5655" s="11">
        <v>46314</v>
      </c>
      <c r="B5655" s="3">
        <v>1</v>
      </c>
      <c r="C5655" t="s">
        <v>100</v>
      </c>
      <c r="D5655" t="s">
        <v>18</v>
      </c>
      <c r="E5655" s="3">
        <v>1</v>
      </c>
      <c r="F5655" t="s">
        <v>101</v>
      </c>
      <c r="G5655" t="s">
        <v>102</v>
      </c>
      <c r="H5655" t="s">
        <v>61</v>
      </c>
      <c r="I5655" s="12">
        <v>0.3125</v>
      </c>
      <c r="J5655" t="s">
        <v>103</v>
      </c>
      <c r="K5655" t="s">
        <v>61</v>
      </c>
      <c r="L5655" s="12">
        <v>0.33333333333333331</v>
      </c>
      <c r="M5655" t="s">
        <v>33</v>
      </c>
      <c r="N5655" s="3">
        <v>189</v>
      </c>
      <c r="O5655" t="s">
        <v>24</v>
      </c>
      <c r="P5655" t="s">
        <v>25</v>
      </c>
      <c r="R5655">
        <f>tblDailySchedule[[#This Row],[Capacity Approx]]*'[1]Load Factor Sheet June Acft  '!$B$5</f>
        <v>153.04704545454547</v>
      </c>
      <c r="S5655">
        <f>tblDailySchedule[[#This Row],[Capacity Approx]]*'[1]Load Factor Sheet June Acft  '!$D$5</f>
        <v>165.71863636363636</v>
      </c>
      <c r="T5655" s="22">
        <f>tblDailySchedule[[#This Row],[STD]]</f>
        <v>0.33333333333333331</v>
      </c>
    </row>
    <row r="5656" spans="1:20" hidden="1" x14ac:dyDescent="0.35">
      <c r="A5656" s="11">
        <v>46314</v>
      </c>
      <c r="B5656" s="3">
        <v>1</v>
      </c>
      <c r="C5656" t="s">
        <v>100</v>
      </c>
      <c r="D5656" t="s">
        <v>18</v>
      </c>
      <c r="E5656" s="3">
        <v>2</v>
      </c>
      <c r="F5656" t="s">
        <v>19</v>
      </c>
      <c r="G5656" t="s">
        <v>20</v>
      </c>
      <c r="H5656" t="s">
        <v>21</v>
      </c>
      <c r="I5656" s="12">
        <v>0.31944444444444442</v>
      </c>
      <c r="J5656" t="s">
        <v>22</v>
      </c>
      <c r="K5656" t="s">
        <v>21</v>
      </c>
      <c r="L5656" s="12">
        <v>0.34722222222222221</v>
      </c>
      <c r="M5656" t="s">
        <v>23</v>
      </c>
      <c r="N5656" s="3">
        <v>186</v>
      </c>
      <c r="O5656" t="s">
        <v>24</v>
      </c>
      <c r="P5656" t="s">
        <v>25</v>
      </c>
      <c r="R5656">
        <f>tblDailySchedule[[#This Row],[Capacity Approx]]*'[1]Load Factor Sheet June Acft  '!$B$5</f>
        <v>150.61772727272728</v>
      </c>
      <c r="S5656">
        <f>tblDailySchedule[[#This Row],[Capacity Approx]]*'[1]Load Factor Sheet June Acft  '!$D$5</f>
        <v>163.08818181818182</v>
      </c>
      <c r="T5656" s="22">
        <f>tblDailySchedule[[#This Row],[STD]]</f>
        <v>0.34722222222222221</v>
      </c>
    </row>
    <row r="5657" spans="1:20" hidden="1" x14ac:dyDescent="0.35">
      <c r="A5657" s="11">
        <v>46314</v>
      </c>
      <c r="B5657" s="3">
        <v>1</v>
      </c>
      <c r="C5657" t="s">
        <v>100</v>
      </c>
      <c r="D5657" t="s">
        <v>18</v>
      </c>
      <c r="E5657" s="3">
        <v>3</v>
      </c>
      <c r="F5657" t="s">
        <v>19</v>
      </c>
      <c r="G5657" t="s">
        <v>26</v>
      </c>
      <c r="H5657" t="s">
        <v>27</v>
      </c>
      <c r="I5657" s="12">
        <v>0.3263888888888889</v>
      </c>
      <c r="J5657" t="s">
        <v>28</v>
      </c>
      <c r="K5657" t="s">
        <v>27</v>
      </c>
      <c r="L5657" s="12">
        <v>0.35416666666666669</v>
      </c>
      <c r="M5657" t="s">
        <v>29</v>
      </c>
      <c r="N5657" s="3">
        <v>186</v>
      </c>
      <c r="O5657" t="s">
        <v>24</v>
      </c>
      <c r="P5657" t="s">
        <v>25</v>
      </c>
      <c r="R5657">
        <f>tblDailySchedule[[#This Row],[Capacity Approx]]*'[1]Load Factor Sheet June Acft  '!$B$5</f>
        <v>150.61772727272728</v>
      </c>
      <c r="S5657">
        <f>tblDailySchedule[[#This Row],[Capacity Approx]]*'[1]Load Factor Sheet June Acft  '!$D$5</f>
        <v>163.08818181818182</v>
      </c>
      <c r="T5657" s="22">
        <f>tblDailySchedule[[#This Row],[STD]]</f>
        <v>0.35416666666666669</v>
      </c>
    </row>
    <row r="5658" spans="1:20" hidden="1" x14ac:dyDescent="0.35">
      <c r="A5658" s="11">
        <v>46314</v>
      </c>
      <c r="B5658" s="3">
        <v>1</v>
      </c>
      <c r="C5658" t="s">
        <v>100</v>
      </c>
      <c r="D5658" t="s">
        <v>18</v>
      </c>
      <c r="E5658" s="3">
        <v>4</v>
      </c>
      <c r="F5658" t="s">
        <v>19</v>
      </c>
      <c r="G5658" t="s">
        <v>30</v>
      </c>
      <c r="H5658" t="s">
        <v>31</v>
      </c>
      <c r="I5658" s="12">
        <v>0.34722222222222221</v>
      </c>
      <c r="J5658" t="s">
        <v>32</v>
      </c>
      <c r="K5658" t="s">
        <v>31</v>
      </c>
      <c r="L5658" s="12">
        <v>0.36805555555555558</v>
      </c>
      <c r="M5658" t="s">
        <v>33</v>
      </c>
      <c r="N5658" s="3">
        <v>189</v>
      </c>
      <c r="O5658" t="s">
        <v>24</v>
      </c>
      <c r="P5658" t="s">
        <v>25</v>
      </c>
      <c r="R5658">
        <f>tblDailySchedule[[#This Row],[Capacity Approx]]*'[1]Load Factor Sheet June Acft  '!$B$5</f>
        <v>153.04704545454547</v>
      </c>
      <c r="S5658">
        <f>tblDailySchedule[[#This Row],[Capacity Approx]]*'[1]Load Factor Sheet June Acft  '!$D$5</f>
        <v>165.71863636363636</v>
      </c>
      <c r="T5658" s="22">
        <f>tblDailySchedule[[#This Row],[STD]]</f>
        <v>0.36805555555555558</v>
      </c>
    </row>
    <row r="5659" spans="1:20" hidden="1" x14ac:dyDescent="0.35">
      <c r="A5659" s="13">
        <v>46314</v>
      </c>
      <c r="B5659" s="7">
        <v>1</v>
      </c>
      <c r="C5659" s="14" t="s">
        <v>100</v>
      </c>
      <c r="D5659" s="14" t="s">
        <v>18</v>
      </c>
      <c r="E5659" s="7">
        <v>6</v>
      </c>
      <c r="F5659" s="14" t="s">
        <v>34</v>
      </c>
      <c r="G5659" s="14" t="s">
        <v>35</v>
      </c>
      <c r="H5659" s="14" t="s">
        <v>36</v>
      </c>
      <c r="I5659" s="15">
        <v>0.34722222222222221</v>
      </c>
      <c r="J5659" s="14" t="s">
        <v>37</v>
      </c>
      <c r="K5659" s="14" t="s">
        <v>36</v>
      </c>
      <c r="L5659" s="15">
        <v>0.40972222222222221</v>
      </c>
      <c r="M5659" s="14" t="s">
        <v>38</v>
      </c>
      <c r="N5659" s="7">
        <v>186</v>
      </c>
      <c r="O5659" s="14" t="s">
        <v>39</v>
      </c>
      <c r="P5659" s="14" t="s">
        <v>25</v>
      </c>
      <c r="Q5659" s="14" t="s">
        <v>39</v>
      </c>
      <c r="R5659">
        <f>tblDailySchedule[[#This Row],[Capacity Approx]]*'[1]Load Factor Sheet June Acft  '!$B$5</f>
        <v>150.61772727272728</v>
      </c>
      <c r="S5659">
        <f>tblDailySchedule[[#This Row],[Capacity Approx]]*'[1]Load Factor Sheet June Acft  '!$D$5</f>
        <v>163.08818181818182</v>
      </c>
      <c r="T5659" s="22">
        <f>tblDailySchedule[[#This Row],[STD]]</f>
        <v>0.40972222222222221</v>
      </c>
    </row>
    <row r="5660" spans="1:20" hidden="1" x14ac:dyDescent="0.35">
      <c r="A5660" s="11">
        <v>46314</v>
      </c>
      <c r="B5660" s="3">
        <v>1</v>
      </c>
      <c r="C5660" t="s">
        <v>100</v>
      </c>
      <c r="D5660" t="s">
        <v>18</v>
      </c>
      <c r="E5660" s="3">
        <v>5</v>
      </c>
      <c r="F5660" t="s">
        <v>19</v>
      </c>
      <c r="G5660" t="s">
        <v>40</v>
      </c>
      <c r="H5660" t="s">
        <v>31</v>
      </c>
      <c r="I5660" s="12">
        <v>0.35069444444444442</v>
      </c>
      <c r="J5660" t="s">
        <v>41</v>
      </c>
      <c r="K5660" t="s">
        <v>31</v>
      </c>
      <c r="L5660" s="12">
        <v>0.37152777777777779</v>
      </c>
      <c r="M5660" t="s">
        <v>23</v>
      </c>
      <c r="N5660" s="3">
        <v>186</v>
      </c>
      <c r="O5660" t="s">
        <v>24</v>
      </c>
      <c r="P5660" t="s">
        <v>25</v>
      </c>
      <c r="R5660">
        <f>tblDailySchedule[[#This Row],[Capacity Approx]]*'[1]Load Factor Sheet June Acft  '!$B$5</f>
        <v>150.61772727272728</v>
      </c>
      <c r="S5660">
        <f>tblDailySchedule[[#This Row],[Capacity Approx]]*'[1]Load Factor Sheet June Acft  '!$D$5</f>
        <v>163.08818181818182</v>
      </c>
      <c r="T5660" s="22">
        <f>tblDailySchedule[[#This Row],[STD]]</f>
        <v>0.37152777777777779</v>
      </c>
    </row>
    <row r="5661" spans="1:20" hidden="1" x14ac:dyDescent="0.35">
      <c r="A5661" s="11">
        <v>46314</v>
      </c>
      <c r="B5661" s="3">
        <v>1</v>
      </c>
      <c r="C5661" t="s">
        <v>100</v>
      </c>
      <c r="D5661" t="s">
        <v>18</v>
      </c>
      <c r="E5661" s="3">
        <v>7</v>
      </c>
      <c r="F5661" t="s">
        <v>19</v>
      </c>
      <c r="G5661" t="s">
        <v>42</v>
      </c>
      <c r="H5661" t="s">
        <v>43</v>
      </c>
      <c r="I5661" s="12">
        <v>0.3923611111111111</v>
      </c>
      <c r="J5661" t="s">
        <v>44</v>
      </c>
      <c r="K5661" t="s">
        <v>43</v>
      </c>
      <c r="L5661" s="12">
        <v>0.40277777777777779</v>
      </c>
      <c r="M5661" t="s">
        <v>45</v>
      </c>
      <c r="N5661" s="3">
        <v>9</v>
      </c>
      <c r="O5661" t="s">
        <v>24</v>
      </c>
      <c r="P5661" t="s">
        <v>25</v>
      </c>
      <c r="R5661">
        <f>tblDailySchedule[[#This Row],[Capacity Approx]]*'[1]Load Factor Sheet June Acft  '!$B$5</f>
        <v>7.2879545454545456</v>
      </c>
      <c r="S5661">
        <f>tblDailySchedule[[#This Row],[Capacity Approx]]*'[1]Load Factor Sheet June Acft  '!$D$5</f>
        <v>7.8913636363636366</v>
      </c>
      <c r="T5661" s="22">
        <f>tblDailySchedule[[#This Row],[STD]]</f>
        <v>0.40277777777777779</v>
      </c>
    </row>
    <row r="5662" spans="1:20" hidden="1" x14ac:dyDescent="0.35">
      <c r="A5662" s="11">
        <v>46314</v>
      </c>
      <c r="B5662" s="3">
        <v>1</v>
      </c>
      <c r="C5662" t="s">
        <v>100</v>
      </c>
      <c r="D5662" t="s">
        <v>18</v>
      </c>
      <c r="E5662" s="3">
        <v>8</v>
      </c>
      <c r="F5662" t="s">
        <v>19</v>
      </c>
      <c r="G5662" t="s">
        <v>46</v>
      </c>
      <c r="H5662" t="s">
        <v>31</v>
      </c>
      <c r="I5662" s="12">
        <v>0.4201388888888889</v>
      </c>
      <c r="J5662" t="s">
        <v>47</v>
      </c>
      <c r="K5662" t="s">
        <v>31</v>
      </c>
      <c r="L5662" s="12">
        <v>0.44444444444444442</v>
      </c>
      <c r="M5662" t="s">
        <v>29</v>
      </c>
      <c r="N5662" s="3">
        <v>186</v>
      </c>
      <c r="O5662" t="s">
        <v>24</v>
      </c>
      <c r="P5662" t="s">
        <v>25</v>
      </c>
      <c r="R5662">
        <f>tblDailySchedule[[#This Row],[Capacity Approx]]*'[1]Load Factor Sheet June Acft  '!$B$5</f>
        <v>150.61772727272728</v>
      </c>
      <c r="S5662">
        <f>tblDailySchedule[[#This Row],[Capacity Approx]]*'[1]Load Factor Sheet June Acft  '!$D$5</f>
        <v>163.08818181818182</v>
      </c>
      <c r="T5662" s="22">
        <f>tblDailySchedule[[#This Row],[STD]]</f>
        <v>0.44444444444444442</v>
      </c>
    </row>
    <row r="5663" spans="1:20" hidden="1" x14ac:dyDescent="0.35">
      <c r="A5663" s="11">
        <v>46314</v>
      </c>
      <c r="B5663" s="3">
        <v>1</v>
      </c>
      <c r="C5663" t="s">
        <v>100</v>
      </c>
      <c r="D5663" t="s">
        <v>18</v>
      </c>
      <c r="E5663" s="3">
        <v>9</v>
      </c>
      <c r="F5663" t="s">
        <v>19</v>
      </c>
      <c r="G5663" t="s">
        <v>48</v>
      </c>
      <c r="H5663" t="s">
        <v>49</v>
      </c>
      <c r="I5663" s="12">
        <v>0.4375</v>
      </c>
      <c r="J5663" t="s">
        <v>50</v>
      </c>
      <c r="K5663" t="s">
        <v>49</v>
      </c>
      <c r="L5663" s="12">
        <v>0.45833333333333331</v>
      </c>
      <c r="M5663" t="s">
        <v>51</v>
      </c>
      <c r="N5663" s="3">
        <v>78</v>
      </c>
      <c r="O5663" t="s">
        <v>24</v>
      </c>
      <c r="P5663" t="s">
        <v>25</v>
      </c>
      <c r="R5663">
        <f>tblDailySchedule[[#This Row],[Capacity Approx]]*'[1]Load Factor Sheet June Acft  '!$B$5</f>
        <v>63.162272727272729</v>
      </c>
      <c r="S5663">
        <f>tblDailySchedule[[#This Row],[Capacity Approx]]*'[1]Load Factor Sheet June Acft  '!$D$5</f>
        <v>68.391818181818181</v>
      </c>
      <c r="T5663" s="22">
        <f>tblDailySchedule[[#This Row],[STD]]</f>
        <v>0.45833333333333331</v>
      </c>
    </row>
    <row r="5664" spans="1:20" hidden="1" x14ac:dyDescent="0.35">
      <c r="A5664" s="11">
        <v>46314</v>
      </c>
      <c r="B5664" s="3">
        <v>1</v>
      </c>
      <c r="C5664" t="s">
        <v>100</v>
      </c>
      <c r="D5664" t="s">
        <v>18</v>
      </c>
      <c r="E5664" s="3">
        <v>10</v>
      </c>
      <c r="F5664" t="s">
        <v>19</v>
      </c>
      <c r="G5664" t="s">
        <v>52</v>
      </c>
      <c r="H5664" t="s">
        <v>27</v>
      </c>
      <c r="I5664" s="12">
        <v>0.4826388888888889</v>
      </c>
      <c r="J5664" t="s">
        <v>53</v>
      </c>
      <c r="K5664" t="s">
        <v>27</v>
      </c>
      <c r="L5664" s="12">
        <v>0.51041666666666663</v>
      </c>
      <c r="M5664" t="s">
        <v>23</v>
      </c>
      <c r="N5664" s="3">
        <v>186</v>
      </c>
      <c r="O5664" t="s">
        <v>24</v>
      </c>
      <c r="P5664" t="s">
        <v>25</v>
      </c>
      <c r="R5664">
        <f>tblDailySchedule[[#This Row],[Capacity Approx]]*'[1]Load Factor Sheet June Acft  '!$B$5</f>
        <v>150.61772727272728</v>
      </c>
      <c r="S5664">
        <f>tblDailySchedule[[#This Row],[Capacity Approx]]*'[1]Load Factor Sheet June Acft  '!$D$5</f>
        <v>163.08818181818182</v>
      </c>
      <c r="T5664" s="22">
        <f>tblDailySchedule[[#This Row],[STD]]</f>
        <v>0.51041666666666663</v>
      </c>
    </row>
    <row r="5665" spans="1:20" hidden="1" x14ac:dyDescent="0.35">
      <c r="A5665" s="11">
        <v>46314</v>
      </c>
      <c r="B5665" s="3">
        <v>1</v>
      </c>
      <c r="C5665" t="s">
        <v>100</v>
      </c>
      <c r="D5665" t="s">
        <v>18</v>
      </c>
      <c r="E5665" s="3">
        <v>11</v>
      </c>
      <c r="F5665" t="s">
        <v>19</v>
      </c>
      <c r="G5665" t="s">
        <v>54</v>
      </c>
      <c r="H5665" t="s">
        <v>31</v>
      </c>
      <c r="I5665" s="12">
        <v>0.51388888888888884</v>
      </c>
      <c r="J5665" t="s">
        <v>55</v>
      </c>
      <c r="K5665" t="s">
        <v>31</v>
      </c>
      <c r="L5665" s="12">
        <v>0.54166666666666663</v>
      </c>
      <c r="M5665" t="s">
        <v>23</v>
      </c>
      <c r="N5665" s="3">
        <v>186</v>
      </c>
      <c r="O5665" t="s">
        <v>24</v>
      </c>
      <c r="P5665" t="s">
        <v>56</v>
      </c>
      <c r="R5665">
        <f>tblDailySchedule[[#This Row],[Capacity Approx]]*'[1]Load Factor Sheet June Acft  '!$B$5</f>
        <v>150.61772727272728</v>
      </c>
      <c r="S5665">
        <f>tblDailySchedule[[#This Row],[Capacity Approx]]*'[1]Load Factor Sheet June Acft  '!$D$5</f>
        <v>163.08818181818182</v>
      </c>
      <c r="T5665" s="22">
        <f>tblDailySchedule[[#This Row],[STD]]</f>
        <v>0.54166666666666663</v>
      </c>
    </row>
    <row r="5666" spans="1:20" hidden="1" x14ac:dyDescent="0.35">
      <c r="A5666" s="11">
        <v>46314</v>
      </c>
      <c r="B5666" s="3">
        <v>1</v>
      </c>
      <c r="C5666" t="s">
        <v>100</v>
      </c>
      <c r="D5666" t="s">
        <v>18</v>
      </c>
      <c r="E5666" s="3">
        <v>13</v>
      </c>
      <c r="F5666" t="s">
        <v>19</v>
      </c>
      <c r="G5666" t="s">
        <v>57</v>
      </c>
      <c r="H5666" t="s">
        <v>58</v>
      </c>
      <c r="I5666" s="12">
        <v>0.55902777777777779</v>
      </c>
      <c r="J5666" t="s">
        <v>59</v>
      </c>
      <c r="K5666" t="s">
        <v>58</v>
      </c>
      <c r="L5666" s="12">
        <v>0.57638888888888884</v>
      </c>
      <c r="M5666" t="s">
        <v>51</v>
      </c>
      <c r="N5666" s="3">
        <v>78</v>
      </c>
      <c r="O5666" t="s">
        <v>24</v>
      </c>
      <c r="P5666" t="s">
        <v>56</v>
      </c>
      <c r="R5666">
        <f>tblDailySchedule[[#This Row],[Capacity Approx]]*'[1]Load Factor Sheet June Acft  '!$B$5</f>
        <v>63.162272727272729</v>
      </c>
      <c r="S5666">
        <f>tblDailySchedule[[#This Row],[Capacity Approx]]*'[1]Load Factor Sheet June Acft  '!$D$5</f>
        <v>68.391818181818181</v>
      </c>
      <c r="T5666" s="22">
        <f>tblDailySchedule[[#This Row],[STD]]</f>
        <v>0.57638888888888884</v>
      </c>
    </row>
    <row r="5667" spans="1:20" hidden="1" x14ac:dyDescent="0.35">
      <c r="A5667" s="11">
        <v>46314</v>
      </c>
      <c r="B5667" s="3">
        <v>1</v>
      </c>
      <c r="C5667" t="s">
        <v>100</v>
      </c>
      <c r="D5667" t="s">
        <v>18</v>
      </c>
      <c r="E5667" s="3">
        <v>14</v>
      </c>
      <c r="F5667" t="s">
        <v>19</v>
      </c>
      <c r="G5667" t="s">
        <v>60</v>
      </c>
      <c r="H5667" t="s">
        <v>61</v>
      </c>
      <c r="I5667" s="12">
        <v>0.59027777777777779</v>
      </c>
      <c r="J5667" t="s">
        <v>62</v>
      </c>
      <c r="K5667" t="s">
        <v>61</v>
      </c>
      <c r="L5667" s="12">
        <v>0.62152777777777779</v>
      </c>
      <c r="M5667" t="s">
        <v>63</v>
      </c>
      <c r="N5667" s="3">
        <v>232</v>
      </c>
      <c r="O5667" t="s">
        <v>24</v>
      </c>
      <c r="P5667" t="s">
        <v>56</v>
      </c>
      <c r="R5667">
        <f>tblDailySchedule[[#This Row],[Capacity Approx]]*'[1]Load Factor Sheet June Acft  '!$B$5</f>
        <v>187.86727272727273</v>
      </c>
      <c r="S5667">
        <f>tblDailySchedule[[#This Row],[Capacity Approx]]*'[1]Load Factor Sheet June Acft  '!$D$5</f>
        <v>203.4218181818182</v>
      </c>
      <c r="T5667" s="22">
        <f>tblDailySchedule[[#This Row],[STD]]</f>
        <v>0.62152777777777779</v>
      </c>
    </row>
    <row r="5668" spans="1:20" hidden="1" x14ac:dyDescent="0.35">
      <c r="A5668" s="11">
        <v>46314</v>
      </c>
      <c r="B5668" s="3">
        <v>1</v>
      </c>
      <c r="C5668" t="s">
        <v>100</v>
      </c>
      <c r="D5668" t="s">
        <v>18</v>
      </c>
      <c r="E5668" s="3">
        <v>15</v>
      </c>
      <c r="F5668" t="s">
        <v>19</v>
      </c>
      <c r="G5668" t="s">
        <v>64</v>
      </c>
      <c r="H5668" t="s">
        <v>31</v>
      </c>
      <c r="I5668" s="12">
        <v>0.60069444444444442</v>
      </c>
      <c r="J5668" t="s">
        <v>65</v>
      </c>
      <c r="K5668" t="s">
        <v>66</v>
      </c>
      <c r="L5668" s="12">
        <v>0.62847222222222221</v>
      </c>
      <c r="M5668" t="s">
        <v>63</v>
      </c>
      <c r="N5668" s="3">
        <v>232</v>
      </c>
      <c r="O5668" t="s">
        <v>24</v>
      </c>
      <c r="P5668" t="s">
        <v>56</v>
      </c>
      <c r="R5668">
        <f>tblDailySchedule[[#This Row],[Capacity Approx]]*'[1]Load Factor Sheet June Acft  '!$B$5</f>
        <v>187.86727272727273</v>
      </c>
      <c r="S5668">
        <f>tblDailySchedule[[#This Row],[Capacity Approx]]*'[1]Load Factor Sheet June Acft  '!$D$5</f>
        <v>203.4218181818182</v>
      </c>
      <c r="T5668" s="22">
        <f>tblDailySchedule[[#This Row],[STD]]</f>
        <v>0.62847222222222221</v>
      </c>
    </row>
    <row r="5669" spans="1:20" hidden="1" x14ac:dyDescent="0.35">
      <c r="A5669" s="11">
        <v>46314</v>
      </c>
      <c r="B5669" s="3">
        <v>1</v>
      </c>
      <c r="C5669" t="s">
        <v>100</v>
      </c>
      <c r="D5669" t="s">
        <v>18</v>
      </c>
      <c r="E5669" s="3">
        <v>16</v>
      </c>
      <c r="F5669" t="s">
        <v>19</v>
      </c>
      <c r="G5669" t="s">
        <v>67</v>
      </c>
      <c r="H5669" t="s">
        <v>31</v>
      </c>
      <c r="I5669" s="12">
        <v>0.65625</v>
      </c>
      <c r="J5669" t="s">
        <v>68</v>
      </c>
      <c r="K5669" t="s">
        <v>31</v>
      </c>
      <c r="L5669" s="12">
        <v>0.68402777777777779</v>
      </c>
      <c r="M5669" t="s">
        <v>63</v>
      </c>
      <c r="N5669" s="3">
        <v>232</v>
      </c>
      <c r="O5669" t="s">
        <v>24</v>
      </c>
      <c r="P5669" t="s">
        <v>56</v>
      </c>
      <c r="R5669">
        <f>tblDailySchedule[[#This Row],[Capacity Approx]]*'[1]Load Factor Sheet June Acft  '!$B$5</f>
        <v>187.86727272727273</v>
      </c>
      <c r="S5669">
        <f>tblDailySchedule[[#This Row],[Capacity Approx]]*'[1]Load Factor Sheet June Acft  '!$D$5</f>
        <v>203.4218181818182</v>
      </c>
      <c r="T5669" s="22">
        <f>tblDailySchedule[[#This Row],[STD]]</f>
        <v>0.68402777777777779</v>
      </c>
    </row>
    <row r="5670" spans="1:20" hidden="1" x14ac:dyDescent="0.35">
      <c r="A5670" s="11">
        <v>46314</v>
      </c>
      <c r="B5670" s="3">
        <v>1</v>
      </c>
      <c r="C5670" t="s">
        <v>100</v>
      </c>
      <c r="D5670" t="s">
        <v>18</v>
      </c>
      <c r="E5670" s="3">
        <v>17</v>
      </c>
      <c r="F5670" t="s">
        <v>19</v>
      </c>
      <c r="G5670" t="s">
        <v>69</v>
      </c>
      <c r="H5670" t="s">
        <v>31</v>
      </c>
      <c r="I5670" s="12">
        <v>0.66319444444444442</v>
      </c>
      <c r="J5670" t="s">
        <v>70</v>
      </c>
      <c r="K5670" t="s">
        <v>31</v>
      </c>
      <c r="L5670" s="12">
        <v>0.69097222222222221</v>
      </c>
      <c r="M5670" t="s">
        <v>33</v>
      </c>
      <c r="N5670" s="3">
        <v>189</v>
      </c>
      <c r="O5670" t="s">
        <v>24</v>
      </c>
      <c r="P5670" t="s">
        <v>56</v>
      </c>
      <c r="R5670">
        <f>tblDailySchedule[[#This Row],[Capacity Approx]]*'[1]Load Factor Sheet June Acft  '!$B$5</f>
        <v>153.04704545454547</v>
      </c>
      <c r="S5670">
        <f>tblDailySchedule[[#This Row],[Capacity Approx]]*'[1]Load Factor Sheet June Acft  '!$D$5</f>
        <v>165.71863636363636</v>
      </c>
      <c r="T5670" s="22">
        <f>tblDailySchedule[[#This Row],[STD]]</f>
        <v>0.69097222222222221</v>
      </c>
    </row>
    <row r="5671" spans="1:20" hidden="1" x14ac:dyDescent="0.35">
      <c r="A5671" s="11">
        <v>46314</v>
      </c>
      <c r="B5671" s="3">
        <v>1</v>
      </c>
      <c r="C5671" t="s">
        <v>100</v>
      </c>
      <c r="D5671" t="s">
        <v>18</v>
      </c>
      <c r="E5671" s="3">
        <v>18</v>
      </c>
      <c r="F5671" t="s">
        <v>19</v>
      </c>
      <c r="G5671" t="s">
        <v>71</v>
      </c>
      <c r="H5671" t="s">
        <v>21</v>
      </c>
      <c r="I5671" s="12">
        <v>0.67013888888888884</v>
      </c>
      <c r="J5671" t="s">
        <v>72</v>
      </c>
      <c r="K5671" t="s">
        <v>21</v>
      </c>
      <c r="L5671" s="12">
        <v>0.69791666666666663</v>
      </c>
      <c r="M5671" t="s">
        <v>63</v>
      </c>
      <c r="N5671" s="3">
        <v>232</v>
      </c>
      <c r="O5671" t="s">
        <v>24</v>
      </c>
      <c r="P5671" t="s">
        <v>56</v>
      </c>
      <c r="R5671">
        <f>tblDailySchedule[[#This Row],[Capacity Approx]]*'[1]Load Factor Sheet June Acft  '!$B$5</f>
        <v>187.86727272727273</v>
      </c>
      <c r="S5671">
        <f>tblDailySchedule[[#This Row],[Capacity Approx]]*'[1]Load Factor Sheet June Acft  '!$D$5</f>
        <v>203.4218181818182</v>
      </c>
      <c r="T5671" s="22">
        <f>tblDailySchedule[[#This Row],[STD]]</f>
        <v>0.69791666666666663</v>
      </c>
    </row>
    <row r="5672" spans="1:20" hidden="1" x14ac:dyDescent="0.35">
      <c r="A5672" s="11">
        <v>46314</v>
      </c>
      <c r="B5672" s="3">
        <v>1</v>
      </c>
      <c r="C5672" t="s">
        <v>100</v>
      </c>
      <c r="D5672" t="s">
        <v>18</v>
      </c>
      <c r="E5672" s="3">
        <v>19</v>
      </c>
      <c r="F5672" t="s">
        <v>19</v>
      </c>
      <c r="G5672" t="s">
        <v>73</v>
      </c>
      <c r="H5672" t="s">
        <v>27</v>
      </c>
      <c r="I5672" s="12">
        <v>0.74652777777777779</v>
      </c>
      <c r="J5672" t="s">
        <v>74</v>
      </c>
      <c r="K5672" t="s">
        <v>27</v>
      </c>
      <c r="L5672" s="12">
        <v>0.77430555555555558</v>
      </c>
      <c r="M5672" t="s">
        <v>63</v>
      </c>
      <c r="N5672" s="3">
        <v>232</v>
      </c>
      <c r="O5672" t="s">
        <v>24</v>
      </c>
      <c r="P5672" t="s">
        <v>56</v>
      </c>
      <c r="R5672">
        <f>tblDailySchedule[[#This Row],[Capacity Approx]]*'[1]Load Factor Sheet June Acft  '!$B$5</f>
        <v>187.86727272727273</v>
      </c>
      <c r="S5672">
        <f>tblDailySchedule[[#This Row],[Capacity Approx]]*'[1]Load Factor Sheet June Acft  '!$D$5</f>
        <v>203.4218181818182</v>
      </c>
      <c r="T5672" s="22">
        <f>tblDailySchedule[[#This Row],[STD]]</f>
        <v>0.77430555555555558</v>
      </c>
    </row>
    <row r="5673" spans="1:20" hidden="1" x14ac:dyDescent="0.35">
      <c r="A5673" s="11">
        <v>46314</v>
      </c>
      <c r="B5673" s="3">
        <v>1</v>
      </c>
      <c r="C5673" t="s">
        <v>100</v>
      </c>
      <c r="D5673" t="s">
        <v>18</v>
      </c>
      <c r="E5673" s="3">
        <v>20</v>
      </c>
      <c r="F5673" t="s">
        <v>34</v>
      </c>
      <c r="G5673" t="s">
        <v>75</v>
      </c>
      <c r="H5673" t="s">
        <v>76</v>
      </c>
      <c r="I5673" s="12">
        <v>0.76388888888888884</v>
      </c>
      <c r="J5673" t="s">
        <v>77</v>
      </c>
      <c r="K5673" t="s">
        <v>78</v>
      </c>
      <c r="L5673" s="12">
        <v>0.78472222222222221</v>
      </c>
      <c r="M5673" t="s">
        <v>51</v>
      </c>
      <c r="N5673" s="3">
        <v>78</v>
      </c>
      <c r="O5673" t="s">
        <v>24</v>
      </c>
      <c r="P5673" t="s">
        <v>79</v>
      </c>
      <c r="Q5673" s="16" t="s">
        <v>80</v>
      </c>
      <c r="R5673">
        <f>tblDailySchedule[[#This Row],[Capacity Approx]]*'[1]Load Factor Sheet June Acft  '!$B$5</f>
        <v>63.162272727272729</v>
      </c>
      <c r="S5673">
        <f>tblDailySchedule[[#This Row],[Capacity Approx]]*'[1]Load Factor Sheet June Acft  '!$D$5</f>
        <v>68.391818181818181</v>
      </c>
      <c r="T5673" s="22">
        <f>tblDailySchedule[[#This Row],[STD]]</f>
        <v>0.78472222222222221</v>
      </c>
    </row>
    <row r="5674" spans="1:20" hidden="1" x14ac:dyDescent="0.35">
      <c r="A5674" s="11">
        <v>46314</v>
      </c>
      <c r="B5674" s="3">
        <v>1</v>
      </c>
      <c r="C5674" t="s">
        <v>100</v>
      </c>
      <c r="D5674" t="s">
        <v>18</v>
      </c>
      <c r="E5674" s="3">
        <v>21</v>
      </c>
      <c r="F5674" t="s">
        <v>19</v>
      </c>
      <c r="G5674" t="s">
        <v>81</v>
      </c>
      <c r="H5674" t="s">
        <v>61</v>
      </c>
      <c r="I5674" s="12">
        <v>0.77083333333333337</v>
      </c>
      <c r="J5674" t="s">
        <v>82</v>
      </c>
      <c r="K5674" t="s">
        <v>49</v>
      </c>
      <c r="L5674" s="12">
        <v>0.79166666666666663</v>
      </c>
      <c r="M5674" t="s">
        <v>33</v>
      </c>
      <c r="N5674" s="3">
        <v>189</v>
      </c>
      <c r="O5674" t="s">
        <v>24</v>
      </c>
      <c r="P5674" t="s">
        <v>79</v>
      </c>
      <c r="R5674">
        <f>tblDailySchedule[[#This Row],[Capacity Approx]]*'[1]Load Factor Sheet June Acft  '!$B$5</f>
        <v>153.04704545454547</v>
      </c>
      <c r="S5674">
        <f>tblDailySchedule[[#This Row],[Capacity Approx]]*'[1]Load Factor Sheet June Acft  '!$D$5</f>
        <v>165.71863636363636</v>
      </c>
      <c r="T5674" s="22">
        <f>tblDailySchedule[[#This Row],[STD]]</f>
        <v>0.79166666666666663</v>
      </c>
    </row>
    <row r="5675" spans="1:20" hidden="1" x14ac:dyDescent="0.35">
      <c r="A5675" s="11">
        <v>46314</v>
      </c>
      <c r="B5675" s="3">
        <v>1</v>
      </c>
      <c r="C5675" t="s">
        <v>100</v>
      </c>
      <c r="D5675" t="s">
        <v>18</v>
      </c>
      <c r="E5675" s="3">
        <v>22</v>
      </c>
      <c r="F5675" t="s">
        <v>19</v>
      </c>
      <c r="G5675" t="s">
        <v>83</v>
      </c>
      <c r="H5675" t="s">
        <v>31</v>
      </c>
      <c r="I5675" s="12">
        <v>0.77777777777777779</v>
      </c>
      <c r="J5675" t="s">
        <v>84</v>
      </c>
      <c r="K5675" t="s">
        <v>31</v>
      </c>
      <c r="L5675" s="12">
        <v>0.80555555555555558</v>
      </c>
      <c r="M5675" t="s">
        <v>63</v>
      </c>
      <c r="N5675" s="3">
        <v>232</v>
      </c>
      <c r="O5675" t="s">
        <v>24</v>
      </c>
      <c r="P5675" t="s">
        <v>79</v>
      </c>
      <c r="R5675">
        <f>tblDailySchedule[[#This Row],[Capacity Approx]]*'[1]Load Factor Sheet June Acft  '!$B$5</f>
        <v>187.86727272727273</v>
      </c>
      <c r="S5675">
        <f>tblDailySchedule[[#This Row],[Capacity Approx]]*'[1]Load Factor Sheet June Acft  '!$D$5</f>
        <v>203.4218181818182</v>
      </c>
      <c r="T5675" s="22">
        <f>tblDailySchedule[[#This Row],[STD]]</f>
        <v>0.80555555555555558</v>
      </c>
    </row>
    <row r="5676" spans="1:20" hidden="1" x14ac:dyDescent="0.35">
      <c r="A5676" s="11">
        <v>46314</v>
      </c>
      <c r="B5676" s="3">
        <v>1</v>
      </c>
      <c r="C5676" t="s">
        <v>100</v>
      </c>
      <c r="D5676" t="s">
        <v>18</v>
      </c>
      <c r="E5676" s="3">
        <v>23</v>
      </c>
      <c r="F5676" t="s">
        <v>19</v>
      </c>
      <c r="G5676" t="s">
        <v>85</v>
      </c>
      <c r="H5676" t="s">
        <v>86</v>
      </c>
      <c r="I5676" s="12">
        <v>0.79861111111111116</v>
      </c>
      <c r="J5676" t="s">
        <v>87</v>
      </c>
      <c r="K5676" t="s">
        <v>86</v>
      </c>
      <c r="L5676" s="12">
        <v>0.82638888888888884</v>
      </c>
      <c r="M5676" t="s">
        <v>63</v>
      </c>
      <c r="N5676" s="3">
        <v>232</v>
      </c>
      <c r="O5676" t="s">
        <v>24</v>
      </c>
      <c r="P5676" t="s">
        <v>79</v>
      </c>
      <c r="R5676">
        <f>tblDailySchedule[[#This Row],[Capacity Approx]]*'[1]Load Factor Sheet June Acft  '!$B$5</f>
        <v>187.86727272727273</v>
      </c>
      <c r="S5676">
        <f>tblDailySchedule[[#This Row],[Capacity Approx]]*'[1]Load Factor Sheet June Acft  '!$D$5</f>
        <v>203.4218181818182</v>
      </c>
      <c r="T5676" s="22">
        <f>tblDailySchedule[[#This Row],[STD]]</f>
        <v>0.82638888888888884</v>
      </c>
    </row>
    <row r="5677" spans="1:20" hidden="1" x14ac:dyDescent="0.35">
      <c r="A5677" s="11">
        <v>46314</v>
      </c>
      <c r="B5677" s="3">
        <v>1</v>
      </c>
      <c r="C5677" t="s">
        <v>100</v>
      </c>
      <c r="D5677" t="s">
        <v>18</v>
      </c>
      <c r="E5677" s="3">
        <v>24</v>
      </c>
      <c r="F5677" t="s">
        <v>19</v>
      </c>
      <c r="G5677" t="s">
        <v>88</v>
      </c>
      <c r="H5677" t="s">
        <v>89</v>
      </c>
      <c r="I5677" s="12">
        <v>0.83333333333333337</v>
      </c>
      <c r="J5677" t="s">
        <v>90</v>
      </c>
      <c r="K5677" t="s">
        <v>31</v>
      </c>
      <c r="L5677" s="12">
        <v>0.86111111111111116</v>
      </c>
      <c r="M5677" t="s">
        <v>63</v>
      </c>
      <c r="N5677" s="3">
        <v>232</v>
      </c>
      <c r="O5677" t="s">
        <v>24</v>
      </c>
      <c r="P5677" t="s">
        <v>79</v>
      </c>
      <c r="R5677">
        <f>tblDailySchedule[[#This Row],[Capacity Approx]]*'[1]Load Factor Sheet June Acft  '!$B$5</f>
        <v>187.86727272727273</v>
      </c>
      <c r="S5677">
        <f>tblDailySchedule[[#This Row],[Capacity Approx]]*'[1]Load Factor Sheet June Acft  '!$D$5</f>
        <v>203.4218181818182</v>
      </c>
      <c r="T5677" s="22">
        <f>tblDailySchedule[[#This Row],[STD]]</f>
        <v>0.86111111111111116</v>
      </c>
    </row>
    <row r="5678" spans="1:20" hidden="1" x14ac:dyDescent="0.35">
      <c r="A5678" s="11">
        <v>46314</v>
      </c>
      <c r="B5678" s="3">
        <v>1</v>
      </c>
      <c r="C5678" t="s">
        <v>100</v>
      </c>
      <c r="D5678" t="s">
        <v>18</v>
      </c>
      <c r="E5678" s="3">
        <v>25</v>
      </c>
      <c r="F5678" t="s">
        <v>19</v>
      </c>
      <c r="G5678" t="s">
        <v>91</v>
      </c>
      <c r="H5678" t="s">
        <v>61</v>
      </c>
      <c r="I5678" s="12">
        <v>0.85416666666666663</v>
      </c>
      <c r="J5678" t="s">
        <v>92</v>
      </c>
      <c r="K5678" t="s">
        <v>61</v>
      </c>
      <c r="L5678" s="12">
        <v>0.88194444444444442</v>
      </c>
      <c r="M5678" t="s">
        <v>63</v>
      </c>
      <c r="N5678" s="3">
        <v>232</v>
      </c>
      <c r="O5678" t="s">
        <v>24</v>
      </c>
      <c r="P5678" t="s">
        <v>79</v>
      </c>
      <c r="R5678">
        <f>tblDailySchedule[[#This Row],[Capacity Approx]]*'[1]Load Factor Sheet June Acft  '!$B$5</f>
        <v>187.86727272727273</v>
      </c>
      <c r="S5678">
        <f>tblDailySchedule[[#This Row],[Capacity Approx]]*'[1]Load Factor Sheet June Acft  '!$D$5</f>
        <v>203.4218181818182</v>
      </c>
      <c r="T5678" s="22">
        <f>tblDailySchedule[[#This Row],[STD]]</f>
        <v>0.88194444444444442</v>
      </c>
    </row>
    <row r="5679" spans="1:20" hidden="1" x14ac:dyDescent="0.35">
      <c r="A5679" s="11">
        <v>46314</v>
      </c>
      <c r="B5679" s="3">
        <v>1</v>
      </c>
      <c r="C5679" t="s">
        <v>100</v>
      </c>
      <c r="D5679" t="s">
        <v>18</v>
      </c>
      <c r="E5679" s="3">
        <v>26</v>
      </c>
      <c r="F5679" t="s">
        <v>19</v>
      </c>
      <c r="G5679" t="s">
        <v>93</v>
      </c>
      <c r="H5679" t="s">
        <v>31</v>
      </c>
      <c r="I5679" s="12">
        <v>0.86111111111111116</v>
      </c>
      <c r="J5679" t="s">
        <v>94</v>
      </c>
      <c r="K5679" t="s">
        <v>31</v>
      </c>
      <c r="L5679" s="12">
        <v>0.88888888888888884</v>
      </c>
      <c r="M5679" t="s">
        <v>23</v>
      </c>
      <c r="N5679" s="3">
        <v>186</v>
      </c>
      <c r="O5679" t="s">
        <v>24</v>
      </c>
      <c r="P5679" t="s">
        <v>79</v>
      </c>
      <c r="R5679">
        <f>tblDailySchedule[[#This Row],[Capacity Approx]]*'[1]Load Factor Sheet June Acft  '!$B$5</f>
        <v>150.61772727272728</v>
      </c>
      <c r="S5679">
        <f>tblDailySchedule[[#This Row],[Capacity Approx]]*'[1]Load Factor Sheet June Acft  '!$D$5</f>
        <v>163.08818181818182</v>
      </c>
      <c r="T5679" s="22">
        <f>tblDailySchedule[[#This Row],[STD]]</f>
        <v>0.88888888888888884</v>
      </c>
    </row>
    <row r="5680" spans="1:20" hidden="1" x14ac:dyDescent="0.35">
      <c r="A5680" s="11">
        <v>46314</v>
      </c>
      <c r="B5680" s="3">
        <v>1</v>
      </c>
      <c r="C5680" t="s">
        <v>100</v>
      </c>
      <c r="D5680" t="s">
        <v>18</v>
      </c>
      <c r="E5680" s="3">
        <v>27</v>
      </c>
      <c r="F5680" t="s">
        <v>19</v>
      </c>
      <c r="G5680" t="s">
        <v>95</v>
      </c>
      <c r="H5680" t="s">
        <v>21</v>
      </c>
      <c r="I5680" s="12">
        <v>0.86805555555555558</v>
      </c>
      <c r="J5680" t="s">
        <v>96</v>
      </c>
      <c r="K5680" t="s">
        <v>21</v>
      </c>
      <c r="L5680" s="12">
        <v>0.89583333333333337</v>
      </c>
      <c r="M5680" t="s">
        <v>29</v>
      </c>
      <c r="N5680" s="3">
        <v>186</v>
      </c>
      <c r="O5680" t="s">
        <v>24</v>
      </c>
      <c r="P5680" t="s">
        <v>79</v>
      </c>
      <c r="R5680">
        <f>tblDailySchedule[[#This Row],[Capacity Approx]]*'[1]Load Factor Sheet June Acft  '!$B$5</f>
        <v>150.61772727272728</v>
      </c>
      <c r="S5680">
        <f>tblDailySchedule[[#This Row],[Capacity Approx]]*'[1]Load Factor Sheet June Acft  '!$D$5</f>
        <v>163.08818181818182</v>
      </c>
      <c r="T5680" s="22">
        <f>tblDailySchedule[[#This Row],[STD]]</f>
        <v>0.89583333333333337</v>
      </c>
    </row>
    <row r="5681" spans="1:20" hidden="1" x14ac:dyDescent="0.35">
      <c r="A5681" s="11">
        <v>46314</v>
      </c>
      <c r="B5681" s="3">
        <v>1</v>
      </c>
      <c r="C5681" t="s">
        <v>100</v>
      </c>
      <c r="D5681" t="s">
        <v>18</v>
      </c>
      <c r="E5681" s="3">
        <v>28</v>
      </c>
      <c r="F5681" t="s">
        <v>19</v>
      </c>
      <c r="G5681" t="s">
        <v>97</v>
      </c>
      <c r="H5681" t="s">
        <v>49</v>
      </c>
      <c r="I5681" s="12">
        <v>0.90277777777777779</v>
      </c>
      <c r="J5681" t="s">
        <v>97</v>
      </c>
      <c r="K5681" t="s">
        <v>61</v>
      </c>
      <c r="L5681" s="12">
        <v>0.92361111111111116</v>
      </c>
      <c r="M5681" t="s">
        <v>33</v>
      </c>
      <c r="N5681" s="3">
        <v>189</v>
      </c>
      <c r="O5681" t="s">
        <v>24</v>
      </c>
      <c r="P5681" t="s">
        <v>79</v>
      </c>
      <c r="R5681">
        <f>tblDailySchedule[[#This Row],[Capacity Approx]]*'[1]Load Factor Sheet June Acft  '!$B$5</f>
        <v>153.04704545454547</v>
      </c>
      <c r="S5681">
        <f>tblDailySchedule[[#This Row],[Capacity Approx]]*'[1]Load Factor Sheet June Acft  '!$D$5</f>
        <v>165.71863636363636</v>
      </c>
      <c r="T5681" s="22">
        <f>tblDailySchedule[[#This Row],[STD]]</f>
        <v>0.92361111111111116</v>
      </c>
    </row>
    <row r="5682" spans="1:20" hidden="1" x14ac:dyDescent="0.35">
      <c r="A5682" s="11">
        <v>46314</v>
      </c>
      <c r="B5682" s="3">
        <v>1</v>
      </c>
      <c r="C5682" t="s">
        <v>100</v>
      </c>
      <c r="D5682" t="s">
        <v>18</v>
      </c>
      <c r="E5682" s="3">
        <v>29</v>
      </c>
      <c r="F5682" t="s">
        <v>19</v>
      </c>
      <c r="G5682" t="s">
        <v>98</v>
      </c>
      <c r="H5682" t="s">
        <v>21</v>
      </c>
      <c r="I5682" s="12">
        <v>0.92013888888888884</v>
      </c>
      <c r="J5682" t="s">
        <v>99</v>
      </c>
      <c r="K5682" t="s">
        <v>21</v>
      </c>
      <c r="L5682" s="12">
        <v>0.94791666666666663</v>
      </c>
      <c r="M5682" t="s">
        <v>63</v>
      </c>
      <c r="N5682" s="3">
        <v>232</v>
      </c>
      <c r="O5682" t="s">
        <v>24</v>
      </c>
      <c r="P5682" t="s">
        <v>79</v>
      </c>
      <c r="R5682">
        <f>tblDailySchedule[[#This Row],[Capacity Approx]]*'[1]Load Factor Sheet June Acft  '!$B$5</f>
        <v>187.86727272727273</v>
      </c>
      <c r="S5682">
        <f>tblDailySchedule[[#This Row],[Capacity Approx]]*'[1]Load Factor Sheet June Acft  '!$D$5</f>
        <v>203.4218181818182</v>
      </c>
      <c r="T5682" s="22">
        <f>tblDailySchedule[[#This Row],[STD]]</f>
        <v>0.94791666666666663</v>
      </c>
    </row>
    <row r="5683" spans="1:20" hidden="1" x14ac:dyDescent="0.35">
      <c r="A5683" s="13">
        <v>46314</v>
      </c>
      <c r="B5683" s="7">
        <v>1</v>
      </c>
      <c r="C5683" s="14" t="s">
        <v>100</v>
      </c>
      <c r="D5683" s="14" t="s">
        <v>18</v>
      </c>
      <c r="E5683" s="7">
        <v>30</v>
      </c>
      <c r="F5683" s="14" t="s">
        <v>104</v>
      </c>
      <c r="G5683" s="14" t="s">
        <v>105</v>
      </c>
      <c r="H5683" s="14" t="s">
        <v>106</v>
      </c>
      <c r="I5683" s="15">
        <v>0.92708333333333337</v>
      </c>
      <c r="J5683" s="14" t="s">
        <v>107</v>
      </c>
      <c r="K5683" s="14" t="s">
        <v>106</v>
      </c>
      <c r="L5683" s="15">
        <v>0.95833333333333337</v>
      </c>
      <c r="M5683" s="14" t="s">
        <v>38</v>
      </c>
      <c r="N5683" s="7">
        <v>186</v>
      </c>
      <c r="O5683" s="14" t="s">
        <v>39</v>
      </c>
      <c r="P5683" s="14" t="s">
        <v>79</v>
      </c>
      <c r="Q5683" s="14" t="s">
        <v>39</v>
      </c>
      <c r="R5683">
        <f>tblDailySchedule[[#This Row],[Capacity Approx]]*'[1]Load Factor Sheet June Acft  '!$B$5</f>
        <v>150.61772727272728</v>
      </c>
      <c r="S5683">
        <f>tblDailySchedule[[#This Row],[Capacity Approx]]*'[1]Load Factor Sheet June Acft  '!$D$5</f>
        <v>163.08818181818182</v>
      </c>
      <c r="T5683" s="22">
        <f>tblDailySchedule[[#This Row],[STD]]</f>
        <v>0.95833333333333337</v>
      </c>
    </row>
    <row r="5684" spans="1:20" hidden="1" x14ac:dyDescent="0.35">
      <c r="A5684" s="11">
        <v>46315</v>
      </c>
      <c r="B5684" s="3">
        <v>2</v>
      </c>
      <c r="C5684" t="s">
        <v>108</v>
      </c>
      <c r="D5684" t="s">
        <v>18</v>
      </c>
      <c r="E5684" s="3">
        <v>1</v>
      </c>
      <c r="F5684" t="s">
        <v>101</v>
      </c>
      <c r="G5684" t="s">
        <v>102</v>
      </c>
      <c r="H5684" t="s">
        <v>61</v>
      </c>
      <c r="I5684" s="12">
        <v>0.3125</v>
      </c>
      <c r="J5684" t="s">
        <v>103</v>
      </c>
      <c r="K5684" t="s">
        <v>61</v>
      </c>
      <c r="L5684" s="12">
        <v>0.33333333333333331</v>
      </c>
      <c r="M5684" t="s">
        <v>33</v>
      </c>
      <c r="N5684" s="3">
        <v>189</v>
      </c>
      <c r="O5684" t="s">
        <v>24</v>
      </c>
      <c r="P5684" t="s">
        <v>25</v>
      </c>
      <c r="R5684">
        <f>tblDailySchedule[[#This Row],[Capacity Approx]]*'[1]Load Factor Sheet June Acft  '!$B$5</f>
        <v>153.04704545454547</v>
      </c>
      <c r="S5684">
        <f>tblDailySchedule[[#This Row],[Capacity Approx]]*'[1]Load Factor Sheet June Acft  '!$D$5</f>
        <v>165.71863636363636</v>
      </c>
      <c r="T5684" s="22">
        <f>tblDailySchedule[[#This Row],[STD]]</f>
        <v>0.33333333333333331</v>
      </c>
    </row>
    <row r="5685" spans="1:20" hidden="1" x14ac:dyDescent="0.35">
      <c r="A5685" s="11">
        <v>46315</v>
      </c>
      <c r="B5685" s="3">
        <v>2</v>
      </c>
      <c r="C5685" t="s">
        <v>108</v>
      </c>
      <c r="D5685" t="s">
        <v>18</v>
      </c>
      <c r="E5685" s="3">
        <v>2</v>
      </c>
      <c r="F5685" t="s">
        <v>19</v>
      </c>
      <c r="G5685" t="s">
        <v>20</v>
      </c>
      <c r="H5685" t="s">
        <v>21</v>
      </c>
      <c r="I5685" s="12">
        <v>0.31944444444444442</v>
      </c>
      <c r="J5685" t="s">
        <v>22</v>
      </c>
      <c r="K5685" t="s">
        <v>21</v>
      </c>
      <c r="L5685" s="12">
        <v>0.34722222222222221</v>
      </c>
      <c r="M5685" t="s">
        <v>23</v>
      </c>
      <c r="N5685" s="3">
        <v>186</v>
      </c>
      <c r="O5685" t="s">
        <v>24</v>
      </c>
      <c r="P5685" t="s">
        <v>25</v>
      </c>
      <c r="R5685">
        <f>tblDailySchedule[[#This Row],[Capacity Approx]]*'[1]Load Factor Sheet June Acft  '!$B$5</f>
        <v>150.61772727272728</v>
      </c>
      <c r="S5685">
        <f>tblDailySchedule[[#This Row],[Capacity Approx]]*'[1]Load Factor Sheet June Acft  '!$D$5</f>
        <v>163.08818181818182</v>
      </c>
      <c r="T5685" s="22">
        <f>tblDailySchedule[[#This Row],[STD]]</f>
        <v>0.34722222222222221</v>
      </c>
    </row>
    <row r="5686" spans="1:20" hidden="1" x14ac:dyDescent="0.35">
      <c r="A5686" s="11">
        <v>46315</v>
      </c>
      <c r="B5686" s="3">
        <v>2</v>
      </c>
      <c r="C5686" t="s">
        <v>108</v>
      </c>
      <c r="D5686" t="s">
        <v>18</v>
      </c>
      <c r="E5686" s="3">
        <v>3</v>
      </c>
      <c r="F5686" t="s">
        <v>19</v>
      </c>
      <c r="G5686" t="s">
        <v>26</v>
      </c>
      <c r="H5686" t="s">
        <v>27</v>
      </c>
      <c r="I5686" s="12">
        <v>0.3263888888888889</v>
      </c>
      <c r="J5686" t="s">
        <v>28</v>
      </c>
      <c r="K5686" t="s">
        <v>27</v>
      </c>
      <c r="L5686" s="12">
        <v>0.35416666666666669</v>
      </c>
      <c r="M5686" t="s">
        <v>29</v>
      </c>
      <c r="N5686" s="3">
        <v>186</v>
      </c>
      <c r="O5686" t="s">
        <v>24</v>
      </c>
      <c r="P5686" t="s">
        <v>25</v>
      </c>
      <c r="R5686">
        <f>tblDailySchedule[[#This Row],[Capacity Approx]]*'[1]Load Factor Sheet June Acft  '!$B$5</f>
        <v>150.61772727272728</v>
      </c>
      <c r="S5686">
        <f>tblDailySchedule[[#This Row],[Capacity Approx]]*'[1]Load Factor Sheet June Acft  '!$D$5</f>
        <v>163.08818181818182</v>
      </c>
      <c r="T5686" s="22">
        <f>tblDailySchedule[[#This Row],[STD]]</f>
        <v>0.35416666666666669</v>
      </c>
    </row>
    <row r="5687" spans="1:20" hidden="1" x14ac:dyDescent="0.35">
      <c r="A5687" s="11">
        <v>46315</v>
      </c>
      <c r="B5687" s="3">
        <v>2</v>
      </c>
      <c r="C5687" t="s">
        <v>108</v>
      </c>
      <c r="D5687" t="s">
        <v>18</v>
      </c>
      <c r="E5687" s="3">
        <v>4</v>
      </c>
      <c r="F5687" t="s">
        <v>19</v>
      </c>
      <c r="G5687" t="s">
        <v>30</v>
      </c>
      <c r="H5687" t="s">
        <v>31</v>
      </c>
      <c r="I5687" s="12">
        <v>0.34722222222222221</v>
      </c>
      <c r="J5687" t="s">
        <v>32</v>
      </c>
      <c r="K5687" t="s">
        <v>31</v>
      </c>
      <c r="L5687" s="12">
        <v>0.36805555555555558</v>
      </c>
      <c r="M5687" t="s">
        <v>33</v>
      </c>
      <c r="N5687" s="3">
        <v>189</v>
      </c>
      <c r="O5687" t="s">
        <v>24</v>
      </c>
      <c r="P5687" t="s">
        <v>25</v>
      </c>
      <c r="R5687">
        <f>tblDailySchedule[[#This Row],[Capacity Approx]]*'[1]Load Factor Sheet June Acft  '!$B$5</f>
        <v>153.04704545454547</v>
      </c>
      <c r="S5687">
        <f>tblDailySchedule[[#This Row],[Capacity Approx]]*'[1]Load Factor Sheet June Acft  '!$D$5</f>
        <v>165.71863636363636</v>
      </c>
      <c r="T5687" s="22">
        <f>tblDailySchedule[[#This Row],[STD]]</f>
        <v>0.36805555555555558</v>
      </c>
    </row>
    <row r="5688" spans="1:20" hidden="1" x14ac:dyDescent="0.35">
      <c r="A5688" s="11">
        <v>46315</v>
      </c>
      <c r="B5688" s="3">
        <v>2</v>
      </c>
      <c r="C5688" t="s">
        <v>108</v>
      </c>
      <c r="D5688" t="s">
        <v>18</v>
      </c>
      <c r="E5688" s="3">
        <v>5</v>
      </c>
      <c r="F5688" t="s">
        <v>19</v>
      </c>
      <c r="G5688" t="s">
        <v>40</v>
      </c>
      <c r="H5688" t="s">
        <v>31</v>
      </c>
      <c r="I5688" s="12">
        <v>0.35069444444444442</v>
      </c>
      <c r="J5688" t="s">
        <v>41</v>
      </c>
      <c r="K5688" t="s">
        <v>31</v>
      </c>
      <c r="L5688" s="12">
        <v>0.37152777777777779</v>
      </c>
      <c r="M5688" t="s">
        <v>23</v>
      </c>
      <c r="N5688" s="3">
        <v>186</v>
      </c>
      <c r="O5688" t="s">
        <v>24</v>
      </c>
      <c r="P5688" t="s">
        <v>25</v>
      </c>
      <c r="R5688">
        <f>tblDailySchedule[[#This Row],[Capacity Approx]]*'[1]Load Factor Sheet June Acft  '!$B$5</f>
        <v>150.61772727272728</v>
      </c>
      <c r="S5688">
        <f>tblDailySchedule[[#This Row],[Capacity Approx]]*'[1]Load Factor Sheet June Acft  '!$D$5</f>
        <v>163.08818181818182</v>
      </c>
      <c r="T5688" s="22">
        <f>tblDailySchedule[[#This Row],[STD]]</f>
        <v>0.37152777777777779</v>
      </c>
    </row>
    <row r="5689" spans="1:20" hidden="1" x14ac:dyDescent="0.35">
      <c r="A5689" s="11">
        <v>46315</v>
      </c>
      <c r="B5689" s="3">
        <v>2</v>
      </c>
      <c r="C5689" t="s">
        <v>108</v>
      </c>
      <c r="D5689" t="s">
        <v>18</v>
      </c>
      <c r="E5689" s="3">
        <v>7</v>
      </c>
      <c r="F5689" t="s">
        <v>19</v>
      </c>
      <c r="G5689" t="s">
        <v>42</v>
      </c>
      <c r="H5689" t="s">
        <v>43</v>
      </c>
      <c r="I5689" s="12">
        <v>0.3923611111111111</v>
      </c>
      <c r="J5689" t="s">
        <v>44</v>
      </c>
      <c r="K5689" t="s">
        <v>43</v>
      </c>
      <c r="L5689" s="12">
        <v>0.40277777777777779</v>
      </c>
      <c r="M5689" t="s">
        <v>45</v>
      </c>
      <c r="N5689" s="3">
        <v>9</v>
      </c>
      <c r="O5689" t="s">
        <v>24</v>
      </c>
      <c r="P5689" t="s">
        <v>25</v>
      </c>
      <c r="R5689">
        <f>tblDailySchedule[[#This Row],[Capacity Approx]]*'[1]Load Factor Sheet June Acft  '!$B$5</f>
        <v>7.2879545454545456</v>
      </c>
      <c r="S5689">
        <f>tblDailySchedule[[#This Row],[Capacity Approx]]*'[1]Load Factor Sheet June Acft  '!$D$5</f>
        <v>7.8913636363636366</v>
      </c>
      <c r="T5689" s="22">
        <f>tblDailySchedule[[#This Row],[STD]]</f>
        <v>0.40277777777777779</v>
      </c>
    </row>
    <row r="5690" spans="1:20" hidden="1" x14ac:dyDescent="0.35">
      <c r="A5690" s="11">
        <v>46315</v>
      </c>
      <c r="B5690" s="3">
        <v>2</v>
      </c>
      <c r="C5690" t="s">
        <v>108</v>
      </c>
      <c r="D5690" t="s">
        <v>18</v>
      </c>
      <c r="E5690" s="3">
        <v>8</v>
      </c>
      <c r="F5690" t="s">
        <v>19</v>
      </c>
      <c r="G5690" t="s">
        <v>46</v>
      </c>
      <c r="H5690" t="s">
        <v>31</v>
      </c>
      <c r="I5690" s="12">
        <v>0.4201388888888889</v>
      </c>
      <c r="J5690" t="s">
        <v>47</v>
      </c>
      <c r="K5690" t="s">
        <v>31</v>
      </c>
      <c r="L5690" s="12">
        <v>0.44444444444444442</v>
      </c>
      <c r="M5690" t="s">
        <v>29</v>
      </c>
      <c r="N5690" s="3">
        <v>186</v>
      </c>
      <c r="O5690" t="s">
        <v>24</v>
      </c>
      <c r="P5690" t="s">
        <v>25</v>
      </c>
      <c r="R5690">
        <f>tblDailySchedule[[#This Row],[Capacity Approx]]*'[1]Load Factor Sheet June Acft  '!$B$5</f>
        <v>150.61772727272728</v>
      </c>
      <c r="S5690">
        <f>tblDailySchedule[[#This Row],[Capacity Approx]]*'[1]Load Factor Sheet June Acft  '!$D$5</f>
        <v>163.08818181818182</v>
      </c>
      <c r="T5690" s="22">
        <f>tblDailySchedule[[#This Row],[STD]]</f>
        <v>0.44444444444444442</v>
      </c>
    </row>
    <row r="5691" spans="1:20" hidden="1" x14ac:dyDescent="0.35">
      <c r="A5691" s="11">
        <v>46315</v>
      </c>
      <c r="B5691" s="3">
        <v>2</v>
      </c>
      <c r="C5691" t="s">
        <v>108</v>
      </c>
      <c r="D5691" t="s">
        <v>18</v>
      </c>
      <c r="E5691" s="3">
        <v>9</v>
      </c>
      <c r="F5691" t="s">
        <v>19</v>
      </c>
      <c r="G5691" t="s">
        <v>48</v>
      </c>
      <c r="H5691" t="s">
        <v>49</v>
      </c>
      <c r="I5691" s="12">
        <v>0.4375</v>
      </c>
      <c r="J5691" t="s">
        <v>50</v>
      </c>
      <c r="K5691" t="s">
        <v>49</v>
      </c>
      <c r="L5691" s="12">
        <v>0.45833333333333331</v>
      </c>
      <c r="M5691" t="s">
        <v>51</v>
      </c>
      <c r="N5691" s="3">
        <v>78</v>
      </c>
      <c r="O5691" t="s">
        <v>24</v>
      </c>
      <c r="P5691" t="s">
        <v>25</v>
      </c>
      <c r="R5691">
        <f>tblDailySchedule[[#This Row],[Capacity Approx]]*'[1]Load Factor Sheet June Acft  '!$B$5</f>
        <v>63.162272727272729</v>
      </c>
      <c r="S5691">
        <f>tblDailySchedule[[#This Row],[Capacity Approx]]*'[1]Load Factor Sheet June Acft  '!$D$5</f>
        <v>68.391818181818181</v>
      </c>
      <c r="T5691" s="22">
        <f>tblDailySchedule[[#This Row],[STD]]</f>
        <v>0.45833333333333331</v>
      </c>
    </row>
    <row r="5692" spans="1:20" hidden="1" x14ac:dyDescent="0.35">
      <c r="A5692" s="11">
        <v>46315</v>
      </c>
      <c r="B5692" s="3">
        <v>2</v>
      </c>
      <c r="C5692" t="s">
        <v>108</v>
      </c>
      <c r="D5692" t="s">
        <v>18</v>
      </c>
      <c r="E5692" s="3">
        <v>10</v>
      </c>
      <c r="F5692" t="s">
        <v>19</v>
      </c>
      <c r="G5692" t="s">
        <v>52</v>
      </c>
      <c r="H5692" t="s">
        <v>27</v>
      </c>
      <c r="I5692" s="12">
        <v>0.4826388888888889</v>
      </c>
      <c r="J5692" t="s">
        <v>53</v>
      </c>
      <c r="K5692" t="s">
        <v>27</v>
      </c>
      <c r="L5692" s="12">
        <v>0.51041666666666663</v>
      </c>
      <c r="M5692" t="s">
        <v>23</v>
      </c>
      <c r="N5692" s="3">
        <v>186</v>
      </c>
      <c r="O5692" t="s">
        <v>24</v>
      </c>
      <c r="P5692" t="s">
        <v>25</v>
      </c>
      <c r="R5692">
        <f>tblDailySchedule[[#This Row],[Capacity Approx]]*'[1]Load Factor Sheet June Acft  '!$B$5</f>
        <v>150.61772727272728</v>
      </c>
      <c r="S5692">
        <f>tblDailySchedule[[#This Row],[Capacity Approx]]*'[1]Load Factor Sheet June Acft  '!$D$5</f>
        <v>163.08818181818182</v>
      </c>
      <c r="T5692" s="22">
        <f>tblDailySchedule[[#This Row],[STD]]</f>
        <v>0.51041666666666663</v>
      </c>
    </row>
    <row r="5693" spans="1:20" hidden="1" x14ac:dyDescent="0.35">
      <c r="A5693" s="11">
        <v>46315</v>
      </c>
      <c r="B5693" s="3">
        <v>2</v>
      </c>
      <c r="C5693" t="s">
        <v>108</v>
      </c>
      <c r="D5693" t="s">
        <v>18</v>
      </c>
      <c r="E5693" s="3">
        <v>11</v>
      </c>
      <c r="F5693" t="s">
        <v>19</v>
      </c>
      <c r="G5693" t="s">
        <v>54</v>
      </c>
      <c r="H5693" t="s">
        <v>31</v>
      </c>
      <c r="I5693" s="12">
        <v>0.51388888888888884</v>
      </c>
      <c r="J5693" t="s">
        <v>55</v>
      </c>
      <c r="K5693" t="s">
        <v>31</v>
      </c>
      <c r="L5693" s="12">
        <v>0.54166666666666663</v>
      </c>
      <c r="M5693" t="s">
        <v>23</v>
      </c>
      <c r="N5693" s="3">
        <v>186</v>
      </c>
      <c r="O5693" t="s">
        <v>24</v>
      </c>
      <c r="P5693" t="s">
        <v>56</v>
      </c>
      <c r="R5693">
        <f>tblDailySchedule[[#This Row],[Capacity Approx]]*'[1]Load Factor Sheet June Acft  '!$B$5</f>
        <v>150.61772727272728</v>
      </c>
      <c r="S5693">
        <f>tblDailySchedule[[#This Row],[Capacity Approx]]*'[1]Load Factor Sheet June Acft  '!$D$5</f>
        <v>163.08818181818182</v>
      </c>
      <c r="T5693" s="22">
        <f>tblDailySchedule[[#This Row],[STD]]</f>
        <v>0.54166666666666663</v>
      </c>
    </row>
    <row r="5694" spans="1:20" hidden="1" x14ac:dyDescent="0.35">
      <c r="A5694" s="11">
        <v>46315</v>
      </c>
      <c r="B5694" s="3">
        <v>2</v>
      </c>
      <c r="C5694" t="s">
        <v>108</v>
      </c>
      <c r="D5694" t="s">
        <v>18</v>
      </c>
      <c r="E5694" s="3">
        <v>12</v>
      </c>
      <c r="F5694" t="s">
        <v>109</v>
      </c>
      <c r="G5694" t="s">
        <v>110</v>
      </c>
      <c r="H5694" t="s">
        <v>111</v>
      </c>
      <c r="I5694" s="12">
        <v>0.55555555555555558</v>
      </c>
      <c r="J5694" t="s">
        <v>112</v>
      </c>
      <c r="K5694" t="s">
        <v>111</v>
      </c>
      <c r="L5694" s="12">
        <v>0.56944444444444442</v>
      </c>
      <c r="M5694" t="s">
        <v>51</v>
      </c>
      <c r="N5694" s="3">
        <v>78</v>
      </c>
      <c r="O5694" t="s">
        <v>24</v>
      </c>
      <c r="P5694" t="s">
        <v>56</v>
      </c>
      <c r="R5694">
        <f>tblDailySchedule[[#This Row],[Capacity Approx]]*'[1]Load Factor Sheet June Acft  '!$B$5</f>
        <v>63.162272727272729</v>
      </c>
      <c r="S5694">
        <f>tblDailySchedule[[#This Row],[Capacity Approx]]*'[1]Load Factor Sheet June Acft  '!$D$5</f>
        <v>68.391818181818181</v>
      </c>
      <c r="T5694" s="22">
        <f>tblDailySchedule[[#This Row],[STD]]</f>
        <v>0.56944444444444442</v>
      </c>
    </row>
    <row r="5695" spans="1:20" hidden="1" x14ac:dyDescent="0.35">
      <c r="A5695" s="11">
        <v>46315</v>
      </c>
      <c r="B5695" s="3">
        <v>2</v>
      </c>
      <c r="C5695" t="s">
        <v>108</v>
      </c>
      <c r="D5695" t="s">
        <v>18</v>
      </c>
      <c r="E5695" s="3">
        <v>13</v>
      </c>
      <c r="F5695" t="s">
        <v>19</v>
      </c>
      <c r="G5695" t="s">
        <v>57</v>
      </c>
      <c r="H5695" t="s">
        <v>58</v>
      </c>
      <c r="I5695" s="12">
        <v>0.55902777777777779</v>
      </c>
      <c r="J5695" t="s">
        <v>59</v>
      </c>
      <c r="K5695" t="s">
        <v>58</v>
      </c>
      <c r="L5695" s="12">
        <v>0.57638888888888884</v>
      </c>
      <c r="M5695" t="s">
        <v>51</v>
      </c>
      <c r="N5695" s="3">
        <v>78</v>
      </c>
      <c r="O5695" t="s">
        <v>24</v>
      </c>
      <c r="P5695" t="s">
        <v>56</v>
      </c>
      <c r="R5695">
        <f>tblDailySchedule[[#This Row],[Capacity Approx]]*'[1]Load Factor Sheet June Acft  '!$B$5</f>
        <v>63.162272727272729</v>
      </c>
      <c r="S5695">
        <f>tblDailySchedule[[#This Row],[Capacity Approx]]*'[1]Load Factor Sheet June Acft  '!$D$5</f>
        <v>68.391818181818181</v>
      </c>
      <c r="T5695" s="22">
        <f>tblDailySchedule[[#This Row],[STD]]</f>
        <v>0.57638888888888884</v>
      </c>
    </row>
    <row r="5696" spans="1:20" hidden="1" x14ac:dyDescent="0.35">
      <c r="A5696" s="11">
        <v>46315</v>
      </c>
      <c r="B5696" s="3">
        <v>2</v>
      </c>
      <c r="C5696" t="s">
        <v>108</v>
      </c>
      <c r="D5696" t="s">
        <v>18</v>
      </c>
      <c r="E5696" s="3">
        <v>14</v>
      </c>
      <c r="F5696" t="s">
        <v>19</v>
      </c>
      <c r="G5696" t="s">
        <v>60</v>
      </c>
      <c r="H5696" t="s">
        <v>61</v>
      </c>
      <c r="I5696" s="12">
        <v>0.59027777777777779</v>
      </c>
      <c r="J5696" t="s">
        <v>62</v>
      </c>
      <c r="K5696" t="s">
        <v>61</v>
      </c>
      <c r="L5696" s="12">
        <v>0.62152777777777779</v>
      </c>
      <c r="M5696" t="s">
        <v>63</v>
      </c>
      <c r="N5696" s="3">
        <v>232</v>
      </c>
      <c r="O5696" t="s">
        <v>24</v>
      </c>
      <c r="P5696" t="s">
        <v>56</v>
      </c>
      <c r="R5696">
        <f>tblDailySchedule[[#This Row],[Capacity Approx]]*'[1]Load Factor Sheet June Acft  '!$B$5</f>
        <v>187.86727272727273</v>
      </c>
      <c r="S5696">
        <f>tblDailySchedule[[#This Row],[Capacity Approx]]*'[1]Load Factor Sheet June Acft  '!$D$5</f>
        <v>203.4218181818182</v>
      </c>
      <c r="T5696" s="22">
        <f>tblDailySchedule[[#This Row],[STD]]</f>
        <v>0.62152777777777779</v>
      </c>
    </row>
    <row r="5697" spans="1:20" hidden="1" x14ac:dyDescent="0.35">
      <c r="A5697" s="11">
        <v>46315</v>
      </c>
      <c r="B5697" s="3">
        <v>2</v>
      </c>
      <c r="C5697" t="s">
        <v>108</v>
      </c>
      <c r="D5697" t="s">
        <v>18</v>
      </c>
      <c r="E5697" s="3">
        <v>15</v>
      </c>
      <c r="F5697" t="s">
        <v>19</v>
      </c>
      <c r="G5697" t="s">
        <v>64</v>
      </c>
      <c r="H5697" t="s">
        <v>31</v>
      </c>
      <c r="I5697" s="12">
        <v>0.60069444444444442</v>
      </c>
      <c r="J5697" t="s">
        <v>65</v>
      </c>
      <c r="K5697" t="s">
        <v>66</v>
      </c>
      <c r="L5697" s="12">
        <v>0.62847222222222221</v>
      </c>
      <c r="M5697" t="s">
        <v>63</v>
      </c>
      <c r="N5697" s="3">
        <v>232</v>
      </c>
      <c r="O5697" t="s">
        <v>24</v>
      </c>
      <c r="P5697" t="s">
        <v>56</v>
      </c>
      <c r="R5697">
        <f>tblDailySchedule[[#This Row],[Capacity Approx]]*'[1]Load Factor Sheet June Acft  '!$B$5</f>
        <v>187.86727272727273</v>
      </c>
      <c r="S5697">
        <f>tblDailySchedule[[#This Row],[Capacity Approx]]*'[1]Load Factor Sheet June Acft  '!$D$5</f>
        <v>203.4218181818182</v>
      </c>
      <c r="T5697" s="22">
        <f>tblDailySchedule[[#This Row],[STD]]</f>
        <v>0.62847222222222221</v>
      </c>
    </row>
    <row r="5698" spans="1:20" hidden="1" x14ac:dyDescent="0.35">
      <c r="A5698" s="11">
        <v>46315</v>
      </c>
      <c r="B5698" s="3">
        <v>2</v>
      </c>
      <c r="C5698" t="s">
        <v>108</v>
      </c>
      <c r="D5698" t="s">
        <v>18</v>
      </c>
      <c r="E5698" s="3">
        <v>16</v>
      </c>
      <c r="F5698" t="s">
        <v>19</v>
      </c>
      <c r="G5698" t="s">
        <v>67</v>
      </c>
      <c r="H5698" t="s">
        <v>31</v>
      </c>
      <c r="I5698" s="12">
        <v>0.65625</v>
      </c>
      <c r="J5698" t="s">
        <v>68</v>
      </c>
      <c r="K5698" t="s">
        <v>31</v>
      </c>
      <c r="L5698" s="12">
        <v>0.68402777777777779</v>
      </c>
      <c r="M5698" t="s">
        <v>63</v>
      </c>
      <c r="N5698" s="3">
        <v>232</v>
      </c>
      <c r="O5698" t="s">
        <v>24</v>
      </c>
      <c r="P5698" t="s">
        <v>56</v>
      </c>
      <c r="R5698">
        <f>tblDailySchedule[[#This Row],[Capacity Approx]]*'[1]Load Factor Sheet June Acft  '!$B$5</f>
        <v>187.86727272727273</v>
      </c>
      <c r="S5698">
        <f>tblDailySchedule[[#This Row],[Capacity Approx]]*'[1]Load Factor Sheet June Acft  '!$D$5</f>
        <v>203.4218181818182</v>
      </c>
      <c r="T5698" s="22">
        <f>tblDailySchedule[[#This Row],[STD]]</f>
        <v>0.68402777777777779</v>
      </c>
    </row>
    <row r="5699" spans="1:20" hidden="1" x14ac:dyDescent="0.35">
      <c r="A5699" s="11">
        <v>46315</v>
      </c>
      <c r="B5699" s="3">
        <v>2</v>
      </c>
      <c r="C5699" t="s">
        <v>108</v>
      </c>
      <c r="D5699" t="s">
        <v>18</v>
      </c>
      <c r="E5699" s="3">
        <v>17</v>
      </c>
      <c r="F5699" t="s">
        <v>19</v>
      </c>
      <c r="G5699" t="s">
        <v>69</v>
      </c>
      <c r="H5699" t="s">
        <v>31</v>
      </c>
      <c r="I5699" s="12">
        <v>0.66319444444444442</v>
      </c>
      <c r="J5699" t="s">
        <v>70</v>
      </c>
      <c r="K5699" t="s">
        <v>31</v>
      </c>
      <c r="L5699" s="12">
        <v>0.69097222222222221</v>
      </c>
      <c r="M5699" t="s">
        <v>33</v>
      </c>
      <c r="N5699" s="3">
        <v>189</v>
      </c>
      <c r="O5699" t="s">
        <v>24</v>
      </c>
      <c r="P5699" t="s">
        <v>56</v>
      </c>
      <c r="R5699">
        <f>tblDailySchedule[[#This Row],[Capacity Approx]]*'[1]Load Factor Sheet June Acft  '!$B$5</f>
        <v>153.04704545454547</v>
      </c>
      <c r="S5699">
        <f>tblDailySchedule[[#This Row],[Capacity Approx]]*'[1]Load Factor Sheet June Acft  '!$D$5</f>
        <v>165.71863636363636</v>
      </c>
      <c r="T5699" s="22">
        <f>tblDailySchedule[[#This Row],[STD]]</f>
        <v>0.69097222222222221</v>
      </c>
    </row>
    <row r="5700" spans="1:20" hidden="1" x14ac:dyDescent="0.35">
      <c r="A5700" s="11">
        <v>46315</v>
      </c>
      <c r="B5700" s="3">
        <v>2</v>
      </c>
      <c r="C5700" t="s">
        <v>108</v>
      </c>
      <c r="D5700" t="s">
        <v>18</v>
      </c>
      <c r="E5700" s="3">
        <v>18</v>
      </c>
      <c r="F5700" t="s">
        <v>19</v>
      </c>
      <c r="G5700" t="s">
        <v>71</v>
      </c>
      <c r="H5700" t="s">
        <v>21</v>
      </c>
      <c r="I5700" s="12">
        <v>0.67013888888888884</v>
      </c>
      <c r="J5700" t="s">
        <v>72</v>
      </c>
      <c r="K5700" t="s">
        <v>21</v>
      </c>
      <c r="L5700" s="12">
        <v>0.69791666666666663</v>
      </c>
      <c r="M5700" t="s">
        <v>63</v>
      </c>
      <c r="N5700" s="3">
        <v>232</v>
      </c>
      <c r="O5700" t="s">
        <v>24</v>
      </c>
      <c r="P5700" t="s">
        <v>56</v>
      </c>
      <c r="R5700">
        <f>tblDailySchedule[[#This Row],[Capacity Approx]]*'[1]Load Factor Sheet June Acft  '!$B$5</f>
        <v>187.86727272727273</v>
      </c>
      <c r="S5700">
        <f>tblDailySchedule[[#This Row],[Capacity Approx]]*'[1]Load Factor Sheet June Acft  '!$D$5</f>
        <v>203.4218181818182</v>
      </c>
      <c r="T5700" s="22">
        <f>tblDailySchedule[[#This Row],[STD]]</f>
        <v>0.69791666666666663</v>
      </c>
    </row>
    <row r="5701" spans="1:20" hidden="1" x14ac:dyDescent="0.35">
      <c r="A5701" s="11">
        <v>46315</v>
      </c>
      <c r="B5701" s="3">
        <v>2</v>
      </c>
      <c r="C5701" t="s">
        <v>108</v>
      </c>
      <c r="D5701" t="s">
        <v>18</v>
      </c>
      <c r="E5701" s="3">
        <v>19</v>
      </c>
      <c r="F5701" t="s">
        <v>19</v>
      </c>
      <c r="G5701" t="s">
        <v>73</v>
      </c>
      <c r="H5701" t="s">
        <v>27</v>
      </c>
      <c r="I5701" s="12">
        <v>0.74652777777777779</v>
      </c>
      <c r="J5701" t="s">
        <v>74</v>
      </c>
      <c r="K5701" t="s">
        <v>27</v>
      </c>
      <c r="L5701" s="12">
        <v>0.77430555555555558</v>
      </c>
      <c r="M5701" t="s">
        <v>63</v>
      </c>
      <c r="N5701" s="3">
        <v>232</v>
      </c>
      <c r="O5701" t="s">
        <v>24</v>
      </c>
      <c r="P5701" t="s">
        <v>56</v>
      </c>
      <c r="R5701">
        <f>tblDailySchedule[[#This Row],[Capacity Approx]]*'[1]Load Factor Sheet June Acft  '!$B$5</f>
        <v>187.86727272727273</v>
      </c>
      <c r="S5701">
        <f>tblDailySchedule[[#This Row],[Capacity Approx]]*'[1]Load Factor Sheet June Acft  '!$D$5</f>
        <v>203.4218181818182</v>
      </c>
      <c r="T5701" s="22">
        <f>tblDailySchedule[[#This Row],[STD]]</f>
        <v>0.77430555555555558</v>
      </c>
    </row>
    <row r="5702" spans="1:20" hidden="1" x14ac:dyDescent="0.35">
      <c r="A5702" s="11">
        <v>46315</v>
      </c>
      <c r="B5702" s="3">
        <v>2</v>
      </c>
      <c r="C5702" t="s">
        <v>108</v>
      </c>
      <c r="D5702" t="s">
        <v>18</v>
      </c>
      <c r="E5702" s="3">
        <v>21</v>
      </c>
      <c r="F5702" t="s">
        <v>19</v>
      </c>
      <c r="G5702" t="s">
        <v>81</v>
      </c>
      <c r="H5702" t="s">
        <v>61</v>
      </c>
      <c r="I5702" s="12">
        <v>0.77083333333333337</v>
      </c>
      <c r="J5702" t="s">
        <v>82</v>
      </c>
      <c r="K5702" t="s">
        <v>49</v>
      </c>
      <c r="L5702" s="12">
        <v>0.79166666666666663</v>
      </c>
      <c r="M5702" t="s">
        <v>33</v>
      </c>
      <c r="N5702" s="3">
        <v>189</v>
      </c>
      <c r="O5702" t="s">
        <v>24</v>
      </c>
      <c r="P5702" t="s">
        <v>79</v>
      </c>
      <c r="R5702">
        <f>tblDailySchedule[[#This Row],[Capacity Approx]]*'[1]Load Factor Sheet June Acft  '!$B$5</f>
        <v>153.04704545454547</v>
      </c>
      <c r="S5702">
        <f>tblDailySchedule[[#This Row],[Capacity Approx]]*'[1]Load Factor Sheet June Acft  '!$D$5</f>
        <v>165.71863636363636</v>
      </c>
      <c r="T5702" s="22">
        <f>tblDailySchedule[[#This Row],[STD]]</f>
        <v>0.79166666666666663</v>
      </c>
    </row>
    <row r="5703" spans="1:20" hidden="1" x14ac:dyDescent="0.35">
      <c r="A5703" s="11">
        <v>46315</v>
      </c>
      <c r="B5703" s="3">
        <v>2</v>
      </c>
      <c r="C5703" t="s">
        <v>108</v>
      </c>
      <c r="D5703" t="s">
        <v>18</v>
      </c>
      <c r="E5703" s="3">
        <v>22</v>
      </c>
      <c r="F5703" t="s">
        <v>19</v>
      </c>
      <c r="G5703" t="s">
        <v>83</v>
      </c>
      <c r="H5703" t="s">
        <v>31</v>
      </c>
      <c r="I5703" s="12">
        <v>0.77777777777777779</v>
      </c>
      <c r="J5703" t="s">
        <v>84</v>
      </c>
      <c r="K5703" t="s">
        <v>31</v>
      </c>
      <c r="L5703" s="12">
        <v>0.80555555555555558</v>
      </c>
      <c r="M5703" t="s">
        <v>63</v>
      </c>
      <c r="N5703" s="3">
        <v>232</v>
      </c>
      <c r="O5703" t="s">
        <v>24</v>
      </c>
      <c r="P5703" t="s">
        <v>79</v>
      </c>
      <c r="R5703">
        <f>tblDailySchedule[[#This Row],[Capacity Approx]]*'[1]Load Factor Sheet June Acft  '!$B$5</f>
        <v>187.86727272727273</v>
      </c>
      <c r="S5703">
        <f>tblDailySchedule[[#This Row],[Capacity Approx]]*'[1]Load Factor Sheet June Acft  '!$D$5</f>
        <v>203.4218181818182</v>
      </c>
      <c r="T5703" s="22">
        <f>tblDailySchedule[[#This Row],[STD]]</f>
        <v>0.80555555555555558</v>
      </c>
    </row>
    <row r="5704" spans="1:20" hidden="1" x14ac:dyDescent="0.35">
      <c r="A5704" s="11">
        <v>46315</v>
      </c>
      <c r="B5704" s="3">
        <v>2</v>
      </c>
      <c r="C5704" t="s">
        <v>108</v>
      </c>
      <c r="D5704" t="s">
        <v>18</v>
      </c>
      <c r="E5704" s="3">
        <v>23</v>
      </c>
      <c r="F5704" t="s">
        <v>19</v>
      </c>
      <c r="G5704" t="s">
        <v>85</v>
      </c>
      <c r="H5704" t="s">
        <v>86</v>
      </c>
      <c r="I5704" s="12">
        <v>0.79861111111111116</v>
      </c>
      <c r="J5704" t="s">
        <v>87</v>
      </c>
      <c r="K5704" t="s">
        <v>86</v>
      </c>
      <c r="L5704" s="12">
        <v>0.82638888888888884</v>
      </c>
      <c r="M5704" t="s">
        <v>63</v>
      </c>
      <c r="N5704" s="3">
        <v>232</v>
      </c>
      <c r="O5704" t="s">
        <v>24</v>
      </c>
      <c r="P5704" t="s">
        <v>79</v>
      </c>
      <c r="R5704">
        <f>tblDailySchedule[[#This Row],[Capacity Approx]]*'[1]Load Factor Sheet June Acft  '!$B$5</f>
        <v>187.86727272727273</v>
      </c>
      <c r="S5704">
        <f>tblDailySchedule[[#This Row],[Capacity Approx]]*'[1]Load Factor Sheet June Acft  '!$D$5</f>
        <v>203.4218181818182</v>
      </c>
      <c r="T5704" s="22">
        <f>tblDailySchedule[[#This Row],[STD]]</f>
        <v>0.82638888888888884</v>
      </c>
    </row>
    <row r="5705" spans="1:20" hidden="1" x14ac:dyDescent="0.35">
      <c r="A5705" s="11">
        <v>46315</v>
      </c>
      <c r="B5705" s="3">
        <v>2</v>
      </c>
      <c r="C5705" t="s">
        <v>108</v>
      </c>
      <c r="D5705" t="s">
        <v>18</v>
      </c>
      <c r="E5705" s="3">
        <v>24</v>
      </c>
      <c r="F5705" t="s">
        <v>19</v>
      </c>
      <c r="G5705" t="s">
        <v>88</v>
      </c>
      <c r="H5705" t="s">
        <v>89</v>
      </c>
      <c r="I5705" s="12">
        <v>0.83333333333333337</v>
      </c>
      <c r="J5705" t="s">
        <v>90</v>
      </c>
      <c r="K5705" t="s">
        <v>31</v>
      </c>
      <c r="L5705" s="12">
        <v>0.86111111111111116</v>
      </c>
      <c r="M5705" t="s">
        <v>63</v>
      </c>
      <c r="N5705" s="3">
        <v>232</v>
      </c>
      <c r="O5705" t="s">
        <v>24</v>
      </c>
      <c r="P5705" t="s">
        <v>79</v>
      </c>
      <c r="R5705">
        <f>tblDailySchedule[[#This Row],[Capacity Approx]]*'[1]Load Factor Sheet June Acft  '!$B$5</f>
        <v>187.86727272727273</v>
      </c>
      <c r="S5705">
        <f>tblDailySchedule[[#This Row],[Capacity Approx]]*'[1]Load Factor Sheet June Acft  '!$D$5</f>
        <v>203.4218181818182</v>
      </c>
      <c r="T5705" s="22">
        <f>tblDailySchedule[[#This Row],[STD]]</f>
        <v>0.86111111111111116</v>
      </c>
    </row>
    <row r="5706" spans="1:20" hidden="1" x14ac:dyDescent="0.35">
      <c r="A5706" s="11">
        <v>46315</v>
      </c>
      <c r="B5706" s="3">
        <v>2</v>
      </c>
      <c r="C5706" t="s">
        <v>108</v>
      </c>
      <c r="D5706" t="s">
        <v>18</v>
      </c>
      <c r="E5706" s="3">
        <v>25</v>
      </c>
      <c r="F5706" t="s">
        <v>19</v>
      </c>
      <c r="G5706" t="s">
        <v>91</v>
      </c>
      <c r="H5706" t="s">
        <v>61</v>
      </c>
      <c r="I5706" s="12">
        <v>0.85416666666666663</v>
      </c>
      <c r="J5706" t="s">
        <v>92</v>
      </c>
      <c r="K5706" t="s">
        <v>61</v>
      </c>
      <c r="L5706" s="12">
        <v>0.88194444444444442</v>
      </c>
      <c r="M5706" t="s">
        <v>63</v>
      </c>
      <c r="N5706" s="3">
        <v>232</v>
      </c>
      <c r="O5706" t="s">
        <v>24</v>
      </c>
      <c r="P5706" t="s">
        <v>79</v>
      </c>
      <c r="R5706">
        <f>tblDailySchedule[[#This Row],[Capacity Approx]]*'[1]Load Factor Sheet June Acft  '!$B$5</f>
        <v>187.86727272727273</v>
      </c>
      <c r="S5706">
        <f>tblDailySchedule[[#This Row],[Capacity Approx]]*'[1]Load Factor Sheet June Acft  '!$D$5</f>
        <v>203.4218181818182</v>
      </c>
      <c r="T5706" s="22">
        <f>tblDailySchedule[[#This Row],[STD]]</f>
        <v>0.88194444444444442</v>
      </c>
    </row>
    <row r="5707" spans="1:20" hidden="1" x14ac:dyDescent="0.35">
      <c r="A5707" s="11">
        <v>46315</v>
      </c>
      <c r="B5707" s="3">
        <v>2</v>
      </c>
      <c r="C5707" t="s">
        <v>108</v>
      </c>
      <c r="D5707" t="s">
        <v>18</v>
      </c>
      <c r="E5707" s="3">
        <v>26</v>
      </c>
      <c r="F5707" t="s">
        <v>19</v>
      </c>
      <c r="G5707" t="s">
        <v>93</v>
      </c>
      <c r="H5707" t="s">
        <v>31</v>
      </c>
      <c r="I5707" s="12">
        <v>0.86111111111111116</v>
      </c>
      <c r="J5707" t="s">
        <v>94</v>
      </c>
      <c r="K5707" t="s">
        <v>31</v>
      </c>
      <c r="L5707" s="12">
        <v>0.88888888888888884</v>
      </c>
      <c r="M5707" t="s">
        <v>23</v>
      </c>
      <c r="N5707" s="3">
        <v>186</v>
      </c>
      <c r="O5707" t="s">
        <v>24</v>
      </c>
      <c r="P5707" t="s">
        <v>79</v>
      </c>
      <c r="R5707">
        <f>tblDailySchedule[[#This Row],[Capacity Approx]]*'[1]Load Factor Sheet June Acft  '!$B$5</f>
        <v>150.61772727272728</v>
      </c>
      <c r="S5707">
        <f>tblDailySchedule[[#This Row],[Capacity Approx]]*'[1]Load Factor Sheet June Acft  '!$D$5</f>
        <v>163.08818181818182</v>
      </c>
      <c r="T5707" s="22">
        <f>tblDailySchedule[[#This Row],[STD]]</f>
        <v>0.88888888888888884</v>
      </c>
    </row>
    <row r="5708" spans="1:20" hidden="1" x14ac:dyDescent="0.35">
      <c r="A5708" s="11">
        <v>46315</v>
      </c>
      <c r="B5708" s="3">
        <v>2</v>
      </c>
      <c r="C5708" t="s">
        <v>108</v>
      </c>
      <c r="D5708" t="s">
        <v>18</v>
      </c>
      <c r="E5708" s="3">
        <v>27</v>
      </c>
      <c r="F5708" t="s">
        <v>19</v>
      </c>
      <c r="G5708" t="s">
        <v>95</v>
      </c>
      <c r="H5708" t="s">
        <v>21</v>
      </c>
      <c r="I5708" s="12">
        <v>0.86805555555555558</v>
      </c>
      <c r="J5708" t="s">
        <v>96</v>
      </c>
      <c r="K5708" t="s">
        <v>21</v>
      </c>
      <c r="L5708" s="12">
        <v>0.89583333333333337</v>
      </c>
      <c r="M5708" t="s">
        <v>29</v>
      </c>
      <c r="N5708" s="3">
        <v>186</v>
      </c>
      <c r="O5708" t="s">
        <v>24</v>
      </c>
      <c r="P5708" t="s">
        <v>79</v>
      </c>
      <c r="R5708">
        <f>tblDailySchedule[[#This Row],[Capacity Approx]]*'[1]Load Factor Sheet June Acft  '!$B$5</f>
        <v>150.61772727272728</v>
      </c>
      <c r="S5708">
        <f>tblDailySchedule[[#This Row],[Capacity Approx]]*'[1]Load Factor Sheet June Acft  '!$D$5</f>
        <v>163.08818181818182</v>
      </c>
      <c r="T5708" s="22">
        <f>tblDailySchedule[[#This Row],[STD]]</f>
        <v>0.89583333333333337</v>
      </c>
    </row>
    <row r="5709" spans="1:20" hidden="1" x14ac:dyDescent="0.35">
      <c r="A5709" s="11">
        <v>46315</v>
      </c>
      <c r="B5709" s="3">
        <v>2</v>
      </c>
      <c r="C5709" t="s">
        <v>108</v>
      </c>
      <c r="D5709" t="s">
        <v>18</v>
      </c>
      <c r="E5709" s="3">
        <v>28</v>
      </c>
      <c r="F5709" t="s">
        <v>19</v>
      </c>
      <c r="G5709" t="s">
        <v>97</v>
      </c>
      <c r="H5709" t="s">
        <v>49</v>
      </c>
      <c r="I5709" s="12">
        <v>0.90277777777777779</v>
      </c>
      <c r="J5709" t="s">
        <v>97</v>
      </c>
      <c r="K5709" t="s">
        <v>61</v>
      </c>
      <c r="L5709" s="12">
        <v>0.92361111111111116</v>
      </c>
      <c r="M5709" t="s">
        <v>33</v>
      </c>
      <c r="N5709" s="3">
        <v>189</v>
      </c>
      <c r="O5709" t="s">
        <v>24</v>
      </c>
      <c r="P5709" t="s">
        <v>79</v>
      </c>
      <c r="R5709">
        <f>tblDailySchedule[[#This Row],[Capacity Approx]]*'[1]Load Factor Sheet June Acft  '!$B$5</f>
        <v>153.04704545454547</v>
      </c>
      <c r="S5709">
        <f>tblDailySchedule[[#This Row],[Capacity Approx]]*'[1]Load Factor Sheet June Acft  '!$D$5</f>
        <v>165.71863636363636</v>
      </c>
      <c r="T5709" s="22">
        <f>tblDailySchedule[[#This Row],[STD]]</f>
        <v>0.92361111111111116</v>
      </c>
    </row>
    <row r="5710" spans="1:20" hidden="1" x14ac:dyDescent="0.35">
      <c r="A5710" s="11">
        <v>46315</v>
      </c>
      <c r="B5710" s="3">
        <v>2</v>
      </c>
      <c r="C5710" t="s">
        <v>108</v>
      </c>
      <c r="D5710" t="s">
        <v>18</v>
      </c>
      <c r="E5710" s="3">
        <v>29</v>
      </c>
      <c r="F5710" t="s">
        <v>19</v>
      </c>
      <c r="G5710" t="s">
        <v>98</v>
      </c>
      <c r="H5710" t="s">
        <v>21</v>
      </c>
      <c r="I5710" s="12">
        <v>0.92013888888888884</v>
      </c>
      <c r="J5710" t="s">
        <v>99</v>
      </c>
      <c r="K5710" t="s">
        <v>21</v>
      </c>
      <c r="L5710" s="12">
        <v>0.94791666666666663</v>
      </c>
      <c r="M5710" t="s">
        <v>63</v>
      </c>
      <c r="N5710" s="3">
        <v>232</v>
      </c>
      <c r="O5710" t="s">
        <v>24</v>
      </c>
      <c r="P5710" t="s">
        <v>79</v>
      </c>
      <c r="R5710">
        <f>tblDailySchedule[[#This Row],[Capacity Approx]]*'[1]Load Factor Sheet June Acft  '!$B$5</f>
        <v>187.86727272727273</v>
      </c>
      <c r="S5710">
        <f>tblDailySchedule[[#This Row],[Capacity Approx]]*'[1]Load Factor Sheet June Acft  '!$D$5</f>
        <v>203.4218181818182</v>
      </c>
      <c r="T5710" s="22">
        <f>tblDailySchedule[[#This Row],[STD]]</f>
        <v>0.94791666666666663</v>
      </c>
    </row>
    <row r="5711" spans="1:20" hidden="1" x14ac:dyDescent="0.35">
      <c r="A5711" s="11">
        <v>46316</v>
      </c>
      <c r="B5711" s="3">
        <v>3</v>
      </c>
      <c r="C5711" t="s">
        <v>113</v>
      </c>
      <c r="D5711" t="s">
        <v>18</v>
      </c>
      <c r="E5711" s="3">
        <v>2</v>
      </c>
      <c r="F5711" t="s">
        <v>19</v>
      </c>
      <c r="G5711" t="s">
        <v>20</v>
      </c>
      <c r="H5711" t="s">
        <v>21</v>
      </c>
      <c r="I5711" s="12">
        <v>0.31944444444444442</v>
      </c>
      <c r="J5711" t="s">
        <v>22</v>
      </c>
      <c r="K5711" t="s">
        <v>21</v>
      </c>
      <c r="L5711" s="12">
        <v>0.34722222222222221</v>
      </c>
      <c r="M5711" t="s">
        <v>23</v>
      </c>
      <c r="N5711" s="3">
        <v>186</v>
      </c>
      <c r="O5711" t="s">
        <v>24</v>
      </c>
      <c r="P5711" t="s">
        <v>25</v>
      </c>
      <c r="R5711">
        <f>tblDailySchedule[[#This Row],[Capacity Approx]]*'[1]Load Factor Sheet June Acft  '!$B$5</f>
        <v>150.61772727272728</v>
      </c>
      <c r="S5711">
        <f>tblDailySchedule[[#This Row],[Capacity Approx]]*'[1]Load Factor Sheet June Acft  '!$D$5</f>
        <v>163.08818181818182</v>
      </c>
      <c r="T5711" s="22">
        <f>tblDailySchedule[[#This Row],[STD]]</f>
        <v>0.34722222222222221</v>
      </c>
    </row>
    <row r="5712" spans="1:20" hidden="1" x14ac:dyDescent="0.35">
      <c r="A5712" s="11">
        <v>46316</v>
      </c>
      <c r="B5712" s="3">
        <v>3</v>
      </c>
      <c r="C5712" t="s">
        <v>113</v>
      </c>
      <c r="D5712" t="s">
        <v>18</v>
      </c>
      <c r="E5712" s="3">
        <v>3</v>
      </c>
      <c r="F5712" t="s">
        <v>19</v>
      </c>
      <c r="G5712" t="s">
        <v>26</v>
      </c>
      <c r="H5712" t="s">
        <v>27</v>
      </c>
      <c r="I5712" s="12">
        <v>0.3263888888888889</v>
      </c>
      <c r="J5712" t="s">
        <v>28</v>
      </c>
      <c r="K5712" t="s">
        <v>27</v>
      </c>
      <c r="L5712" s="12">
        <v>0.35416666666666669</v>
      </c>
      <c r="M5712" t="s">
        <v>29</v>
      </c>
      <c r="N5712" s="3">
        <v>186</v>
      </c>
      <c r="O5712" t="s">
        <v>24</v>
      </c>
      <c r="P5712" t="s">
        <v>25</v>
      </c>
      <c r="R5712">
        <f>tblDailySchedule[[#This Row],[Capacity Approx]]*'[1]Load Factor Sheet June Acft  '!$B$5</f>
        <v>150.61772727272728</v>
      </c>
      <c r="S5712">
        <f>tblDailySchedule[[#This Row],[Capacity Approx]]*'[1]Load Factor Sheet June Acft  '!$D$5</f>
        <v>163.08818181818182</v>
      </c>
      <c r="T5712" s="22">
        <f>tblDailySchedule[[#This Row],[STD]]</f>
        <v>0.35416666666666669</v>
      </c>
    </row>
    <row r="5713" spans="1:20" hidden="1" x14ac:dyDescent="0.35">
      <c r="A5713" s="11">
        <v>46316</v>
      </c>
      <c r="B5713" s="3">
        <v>3</v>
      </c>
      <c r="C5713" t="s">
        <v>113</v>
      </c>
      <c r="D5713" t="s">
        <v>18</v>
      </c>
      <c r="E5713" s="3">
        <v>4</v>
      </c>
      <c r="F5713" t="s">
        <v>19</v>
      </c>
      <c r="G5713" t="s">
        <v>30</v>
      </c>
      <c r="H5713" t="s">
        <v>31</v>
      </c>
      <c r="I5713" s="12">
        <v>0.34722222222222221</v>
      </c>
      <c r="J5713" t="s">
        <v>32</v>
      </c>
      <c r="K5713" t="s">
        <v>31</v>
      </c>
      <c r="L5713" s="12">
        <v>0.36805555555555558</v>
      </c>
      <c r="M5713" t="s">
        <v>33</v>
      </c>
      <c r="N5713" s="3">
        <v>189</v>
      </c>
      <c r="O5713" t="s">
        <v>24</v>
      </c>
      <c r="P5713" t="s">
        <v>25</v>
      </c>
      <c r="R5713">
        <f>tblDailySchedule[[#This Row],[Capacity Approx]]*'[1]Load Factor Sheet June Acft  '!$B$5</f>
        <v>153.04704545454547</v>
      </c>
      <c r="S5713">
        <f>tblDailySchedule[[#This Row],[Capacity Approx]]*'[1]Load Factor Sheet June Acft  '!$D$5</f>
        <v>165.71863636363636</v>
      </c>
      <c r="T5713" s="22">
        <f>tblDailySchedule[[#This Row],[STD]]</f>
        <v>0.36805555555555558</v>
      </c>
    </row>
    <row r="5714" spans="1:20" hidden="1" x14ac:dyDescent="0.35">
      <c r="A5714" s="13">
        <v>46316</v>
      </c>
      <c r="B5714" s="7">
        <v>3</v>
      </c>
      <c r="C5714" s="14" t="s">
        <v>113</v>
      </c>
      <c r="D5714" s="14" t="s">
        <v>18</v>
      </c>
      <c r="E5714" s="7">
        <v>6</v>
      </c>
      <c r="F5714" s="14" t="s">
        <v>34</v>
      </c>
      <c r="G5714" s="14" t="s">
        <v>35</v>
      </c>
      <c r="H5714" s="14" t="s">
        <v>36</v>
      </c>
      <c r="I5714" s="15">
        <v>0.34722222222222221</v>
      </c>
      <c r="J5714" s="14" t="s">
        <v>37</v>
      </c>
      <c r="K5714" s="14" t="s">
        <v>36</v>
      </c>
      <c r="L5714" s="15">
        <v>0.40972222222222221</v>
      </c>
      <c r="M5714" s="14" t="s">
        <v>38</v>
      </c>
      <c r="N5714" s="7">
        <v>186</v>
      </c>
      <c r="O5714" s="14" t="s">
        <v>39</v>
      </c>
      <c r="P5714" s="14" t="s">
        <v>25</v>
      </c>
      <c r="Q5714" s="14" t="s">
        <v>39</v>
      </c>
      <c r="R5714">
        <f>tblDailySchedule[[#This Row],[Capacity Approx]]*'[1]Load Factor Sheet June Acft  '!$B$5</f>
        <v>150.61772727272728</v>
      </c>
      <c r="S5714">
        <f>tblDailySchedule[[#This Row],[Capacity Approx]]*'[1]Load Factor Sheet June Acft  '!$D$5</f>
        <v>163.08818181818182</v>
      </c>
      <c r="T5714" s="22">
        <f>tblDailySchedule[[#This Row],[STD]]</f>
        <v>0.40972222222222221</v>
      </c>
    </row>
    <row r="5715" spans="1:20" hidden="1" x14ac:dyDescent="0.35">
      <c r="A5715" s="11">
        <v>46316</v>
      </c>
      <c r="B5715" s="3">
        <v>3</v>
      </c>
      <c r="C5715" t="s">
        <v>113</v>
      </c>
      <c r="D5715" t="s">
        <v>18</v>
      </c>
      <c r="E5715" s="3">
        <v>5</v>
      </c>
      <c r="F5715" t="s">
        <v>19</v>
      </c>
      <c r="G5715" t="s">
        <v>40</v>
      </c>
      <c r="H5715" t="s">
        <v>31</v>
      </c>
      <c r="I5715" s="12">
        <v>0.35069444444444442</v>
      </c>
      <c r="J5715" t="s">
        <v>41</v>
      </c>
      <c r="K5715" t="s">
        <v>31</v>
      </c>
      <c r="L5715" s="12">
        <v>0.37152777777777779</v>
      </c>
      <c r="M5715" t="s">
        <v>23</v>
      </c>
      <c r="N5715" s="3">
        <v>186</v>
      </c>
      <c r="O5715" t="s">
        <v>24</v>
      </c>
      <c r="P5715" t="s">
        <v>25</v>
      </c>
      <c r="R5715">
        <f>tblDailySchedule[[#This Row],[Capacity Approx]]*'[1]Load Factor Sheet June Acft  '!$B$5</f>
        <v>150.61772727272728</v>
      </c>
      <c r="S5715">
        <f>tblDailySchedule[[#This Row],[Capacity Approx]]*'[1]Load Factor Sheet June Acft  '!$D$5</f>
        <v>163.08818181818182</v>
      </c>
      <c r="T5715" s="22">
        <f>tblDailySchedule[[#This Row],[STD]]</f>
        <v>0.37152777777777779</v>
      </c>
    </row>
    <row r="5716" spans="1:20" hidden="1" x14ac:dyDescent="0.35">
      <c r="A5716" s="11">
        <v>46316</v>
      </c>
      <c r="B5716" s="3">
        <v>3</v>
      </c>
      <c r="C5716" t="s">
        <v>113</v>
      </c>
      <c r="D5716" t="s">
        <v>18</v>
      </c>
      <c r="E5716" s="3">
        <v>7</v>
      </c>
      <c r="F5716" t="s">
        <v>19</v>
      </c>
      <c r="G5716" t="s">
        <v>42</v>
      </c>
      <c r="H5716" t="s">
        <v>43</v>
      </c>
      <c r="I5716" s="12">
        <v>0.3923611111111111</v>
      </c>
      <c r="J5716" t="s">
        <v>44</v>
      </c>
      <c r="K5716" t="s">
        <v>43</v>
      </c>
      <c r="L5716" s="12">
        <v>0.40277777777777779</v>
      </c>
      <c r="M5716" t="s">
        <v>45</v>
      </c>
      <c r="N5716" s="3">
        <v>9</v>
      </c>
      <c r="O5716" t="s">
        <v>24</v>
      </c>
      <c r="P5716" t="s">
        <v>25</v>
      </c>
      <c r="R5716">
        <f>tblDailySchedule[[#This Row],[Capacity Approx]]*'[1]Load Factor Sheet June Acft  '!$B$5</f>
        <v>7.2879545454545456</v>
      </c>
      <c r="S5716">
        <f>tblDailySchedule[[#This Row],[Capacity Approx]]*'[1]Load Factor Sheet June Acft  '!$D$5</f>
        <v>7.8913636363636366</v>
      </c>
      <c r="T5716" s="22">
        <f>tblDailySchedule[[#This Row],[STD]]</f>
        <v>0.40277777777777779</v>
      </c>
    </row>
    <row r="5717" spans="1:20" hidden="1" x14ac:dyDescent="0.35">
      <c r="A5717" s="11">
        <v>46316</v>
      </c>
      <c r="B5717" s="3">
        <v>3</v>
      </c>
      <c r="C5717" t="s">
        <v>113</v>
      </c>
      <c r="D5717" t="s">
        <v>18</v>
      </c>
      <c r="E5717" s="3">
        <v>8</v>
      </c>
      <c r="F5717" t="s">
        <v>19</v>
      </c>
      <c r="G5717" t="s">
        <v>46</v>
      </c>
      <c r="H5717" t="s">
        <v>31</v>
      </c>
      <c r="I5717" s="12">
        <v>0.4201388888888889</v>
      </c>
      <c r="J5717" t="s">
        <v>47</v>
      </c>
      <c r="K5717" t="s">
        <v>31</v>
      </c>
      <c r="L5717" s="12">
        <v>0.44444444444444442</v>
      </c>
      <c r="M5717" t="s">
        <v>29</v>
      </c>
      <c r="N5717" s="3">
        <v>186</v>
      </c>
      <c r="O5717" t="s">
        <v>24</v>
      </c>
      <c r="P5717" t="s">
        <v>25</v>
      </c>
      <c r="R5717">
        <f>tblDailySchedule[[#This Row],[Capacity Approx]]*'[1]Load Factor Sheet June Acft  '!$B$5</f>
        <v>150.61772727272728</v>
      </c>
      <c r="S5717">
        <f>tblDailySchedule[[#This Row],[Capacity Approx]]*'[1]Load Factor Sheet June Acft  '!$D$5</f>
        <v>163.08818181818182</v>
      </c>
      <c r="T5717" s="22">
        <f>tblDailySchedule[[#This Row],[STD]]</f>
        <v>0.44444444444444442</v>
      </c>
    </row>
    <row r="5718" spans="1:20" hidden="1" x14ac:dyDescent="0.35">
      <c r="A5718" s="11">
        <v>46316</v>
      </c>
      <c r="B5718" s="3">
        <v>3</v>
      </c>
      <c r="C5718" t="s">
        <v>113</v>
      </c>
      <c r="D5718" t="s">
        <v>18</v>
      </c>
      <c r="E5718" s="3">
        <v>9</v>
      </c>
      <c r="F5718" t="s">
        <v>19</v>
      </c>
      <c r="G5718" t="s">
        <v>48</v>
      </c>
      <c r="H5718" t="s">
        <v>49</v>
      </c>
      <c r="I5718" s="12">
        <v>0.4375</v>
      </c>
      <c r="J5718" t="s">
        <v>50</v>
      </c>
      <c r="K5718" t="s">
        <v>49</v>
      </c>
      <c r="L5718" s="12">
        <v>0.45833333333333331</v>
      </c>
      <c r="M5718" t="s">
        <v>51</v>
      </c>
      <c r="N5718" s="3">
        <v>78</v>
      </c>
      <c r="O5718" t="s">
        <v>24</v>
      </c>
      <c r="P5718" t="s">
        <v>25</v>
      </c>
      <c r="R5718">
        <f>tblDailySchedule[[#This Row],[Capacity Approx]]*'[1]Load Factor Sheet June Acft  '!$B$5</f>
        <v>63.162272727272729</v>
      </c>
      <c r="S5718">
        <f>tblDailySchedule[[#This Row],[Capacity Approx]]*'[1]Load Factor Sheet June Acft  '!$D$5</f>
        <v>68.391818181818181</v>
      </c>
      <c r="T5718" s="22">
        <f>tblDailySchedule[[#This Row],[STD]]</f>
        <v>0.45833333333333331</v>
      </c>
    </row>
    <row r="5719" spans="1:20" hidden="1" x14ac:dyDescent="0.35">
      <c r="A5719" s="11">
        <v>46316</v>
      </c>
      <c r="B5719" s="3">
        <v>3</v>
      </c>
      <c r="C5719" t="s">
        <v>113</v>
      </c>
      <c r="D5719" t="s">
        <v>18</v>
      </c>
      <c r="E5719" s="3">
        <v>10</v>
      </c>
      <c r="F5719" t="s">
        <v>19</v>
      </c>
      <c r="G5719" t="s">
        <v>52</v>
      </c>
      <c r="H5719" t="s">
        <v>27</v>
      </c>
      <c r="I5719" s="12">
        <v>0.4826388888888889</v>
      </c>
      <c r="J5719" t="s">
        <v>53</v>
      </c>
      <c r="K5719" t="s">
        <v>27</v>
      </c>
      <c r="L5719" s="12">
        <v>0.51041666666666663</v>
      </c>
      <c r="M5719" t="s">
        <v>23</v>
      </c>
      <c r="N5719" s="3">
        <v>186</v>
      </c>
      <c r="O5719" t="s">
        <v>24</v>
      </c>
      <c r="P5719" t="s">
        <v>25</v>
      </c>
      <c r="R5719">
        <f>tblDailySchedule[[#This Row],[Capacity Approx]]*'[1]Load Factor Sheet June Acft  '!$B$5</f>
        <v>150.61772727272728</v>
      </c>
      <c r="S5719">
        <f>tblDailySchedule[[#This Row],[Capacity Approx]]*'[1]Load Factor Sheet June Acft  '!$D$5</f>
        <v>163.08818181818182</v>
      </c>
      <c r="T5719" s="22">
        <f>tblDailySchedule[[#This Row],[STD]]</f>
        <v>0.51041666666666663</v>
      </c>
    </row>
    <row r="5720" spans="1:20" hidden="1" x14ac:dyDescent="0.35">
      <c r="A5720" s="11">
        <v>46316</v>
      </c>
      <c r="B5720" s="3">
        <v>3</v>
      </c>
      <c r="C5720" t="s">
        <v>113</v>
      </c>
      <c r="D5720" t="s">
        <v>18</v>
      </c>
      <c r="E5720" s="3">
        <v>11</v>
      </c>
      <c r="F5720" t="s">
        <v>19</v>
      </c>
      <c r="G5720" t="s">
        <v>54</v>
      </c>
      <c r="H5720" t="s">
        <v>31</v>
      </c>
      <c r="I5720" s="12">
        <v>0.51388888888888884</v>
      </c>
      <c r="J5720" t="s">
        <v>55</v>
      </c>
      <c r="K5720" t="s">
        <v>31</v>
      </c>
      <c r="L5720" s="12">
        <v>0.54166666666666663</v>
      </c>
      <c r="M5720" t="s">
        <v>23</v>
      </c>
      <c r="N5720" s="3">
        <v>186</v>
      </c>
      <c r="O5720" t="s">
        <v>24</v>
      </c>
      <c r="P5720" t="s">
        <v>56</v>
      </c>
      <c r="R5720">
        <f>tblDailySchedule[[#This Row],[Capacity Approx]]*'[1]Load Factor Sheet June Acft  '!$B$5</f>
        <v>150.61772727272728</v>
      </c>
      <c r="S5720">
        <f>tblDailySchedule[[#This Row],[Capacity Approx]]*'[1]Load Factor Sheet June Acft  '!$D$5</f>
        <v>163.08818181818182</v>
      </c>
      <c r="T5720" s="22">
        <f>tblDailySchedule[[#This Row],[STD]]</f>
        <v>0.54166666666666663</v>
      </c>
    </row>
    <row r="5721" spans="1:20" hidden="1" x14ac:dyDescent="0.35">
      <c r="A5721" s="11">
        <v>46316</v>
      </c>
      <c r="B5721" s="3">
        <v>3</v>
      </c>
      <c r="C5721" t="s">
        <v>113</v>
      </c>
      <c r="D5721" t="s">
        <v>18</v>
      </c>
      <c r="E5721" s="3">
        <v>13</v>
      </c>
      <c r="F5721" t="s">
        <v>19</v>
      </c>
      <c r="G5721" t="s">
        <v>57</v>
      </c>
      <c r="H5721" t="s">
        <v>58</v>
      </c>
      <c r="I5721" s="12">
        <v>0.55902777777777779</v>
      </c>
      <c r="J5721" t="s">
        <v>59</v>
      </c>
      <c r="K5721" t="s">
        <v>58</v>
      </c>
      <c r="L5721" s="12">
        <v>0.57638888888888884</v>
      </c>
      <c r="M5721" t="s">
        <v>51</v>
      </c>
      <c r="N5721" s="3">
        <v>78</v>
      </c>
      <c r="O5721" t="s">
        <v>24</v>
      </c>
      <c r="P5721" t="s">
        <v>56</v>
      </c>
      <c r="R5721">
        <f>tblDailySchedule[[#This Row],[Capacity Approx]]*'[1]Load Factor Sheet June Acft  '!$B$5</f>
        <v>63.162272727272729</v>
      </c>
      <c r="S5721">
        <f>tblDailySchedule[[#This Row],[Capacity Approx]]*'[1]Load Factor Sheet June Acft  '!$D$5</f>
        <v>68.391818181818181</v>
      </c>
      <c r="T5721" s="22">
        <f>tblDailySchedule[[#This Row],[STD]]</f>
        <v>0.57638888888888884</v>
      </c>
    </row>
    <row r="5722" spans="1:20" hidden="1" x14ac:dyDescent="0.35">
      <c r="A5722" s="11">
        <v>46316</v>
      </c>
      <c r="B5722" s="3">
        <v>3</v>
      </c>
      <c r="C5722" t="s">
        <v>113</v>
      </c>
      <c r="D5722" t="s">
        <v>18</v>
      </c>
      <c r="E5722" s="3">
        <v>14</v>
      </c>
      <c r="F5722" t="s">
        <v>19</v>
      </c>
      <c r="G5722" t="s">
        <v>60</v>
      </c>
      <c r="H5722" t="s">
        <v>61</v>
      </c>
      <c r="I5722" s="12">
        <v>0.59027777777777779</v>
      </c>
      <c r="J5722" t="s">
        <v>62</v>
      </c>
      <c r="K5722" t="s">
        <v>61</v>
      </c>
      <c r="L5722" s="12">
        <v>0.62152777777777779</v>
      </c>
      <c r="M5722" t="s">
        <v>63</v>
      </c>
      <c r="N5722" s="3">
        <v>232</v>
      </c>
      <c r="O5722" t="s">
        <v>24</v>
      </c>
      <c r="P5722" t="s">
        <v>56</v>
      </c>
      <c r="R5722">
        <f>tblDailySchedule[[#This Row],[Capacity Approx]]*'[1]Load Factor Sheet June Acft  '!$B$5</f>
        <v>187.86727272727273</v>
      </c>
      <c r="S5722">
        <f>tblDailySchedule[[#This Row],[Capacity Approx]]*'[1]Load Factor Sheet June Acft  '!$D$5</f>
        <v>203.4218181818182</v>
      </c>
      <c r="T5722" s="22">
        <f>tblDailySchedule[[#This Row],[STD]]</f>
        <v>0.62152777777777779</v>
      </c>
    </row>
    <row r="5723" spans="1:20" hidden="1" x14ac:dyDescent="0.35">
      <c r="A5723" s="11">
        <v>46316</v>
      </c>
      <c r="B5723" s="3">
        <v>3</v>
      </c>
      <c r="C5723" t="s">
        <v>113</v>
      </c>
      <c r="D5723" t="s">
        <v>18</v>
      </c>
      <c r="E5723" s="3">
        <v>15</v>
      </c>
      <c r="F5723" t="s">
        <v>19</v>
      </c>
      <c r="G5723" t="s">
        <v>64</v>
      </c>
      <c r="H5723" t="s">
        <v>31</v>
      </c>
      <c r="I5723" s="12">
        <v>0.60069444444444442</v>
      </c>
      <c r="J5723" t="s">
        <v>65</v>
      </c>
      <c r="K5723" t="s">
        <v>66</v>
      </c>
      <c r="L5723" s="12">
        <v>0.62847222222222221</v>
      </c>
      <c r="M5723" t="s">
        <v>63</v>
      </c>
      <c r="N5723" s="3">
        <v>232</v>
      </c>
      <c r="O5723" t="s">
        <v>24</v>
      </c>
      <c r="P5723" t="s">
        <v>56</v>
      </c>
      <c r="R5723">
        <f>tblDailySchedule[[#This Row],[Capacity Approx]]*'[1]Load Factor Sheet June Acft  '!$B$5</f>
        <v>187.86727272727273</v>
      </c>
      <c r="S5723">
        <f>tblDailySchedule[[#This Row],[Capacity Approx]]*'[1]Load Factor Sheet June Acft  '!$D$5</f>
        <v>203.4218181818182</v>
      </c>
      <c r="T5723" s="22">
        <f>tblDailySchedule[[#This Row],[STD]]</f>
        <v>0.62847222222222221</v>
      </c>
    </row>
    <row r="5724" spans="1:20" hidden="1" x14ac:dyDescent="0.35">
      <c r="A5724" s="11">
        <v>46316</v>
      </c>
      <c r="B5724" s="3">
        <v>3</v>
      </c>
      <c r="C5724" t="s">
        <v>113</v>
      </c>
      <c r="D5724" t="s">
        <v>18</v>
      </c>
      <c r="E5724" s="3">
        <v>16</v>
      </c>
      <c r="F5724" t="s">
        <v>19</v>
      </c>
      <c r="G5724" t="s">
        <v>67</v>
      </c>
      <c r="H5724" t="s">
        <v>31</v>
      </c>
      <c r="I5724" s="12">
        <v>0.65625</v>
      </c>
      <c r="J5724" t="s">
        <v>68</v>
      </c>
      <c r="K5724" t="s">
        <v>31</v>
      </c>
      <c r="L5724" s="12">
        <v>0.68402777777777779</v>
      </c>
      <c r="M5724" t="s">
        <v>63</v>
      </c>
      <c r="N5724" s="3">
        <v>232</v>
      </c>
      <c r="O5724" t="s">
        <v>24</v>
      </c>
      <c r="P5724" t="s">
        <v>56</v>
      </c>
      <c r="R5724">
        <f>tblDailySchedule[[#This Row],[Capacity Approx]]*'[1]Load Factor Sheet June Acft  '!$B$5</f>
        <v>187.86727272727273</v>
      </c>
      <c r="S5724">
        <f>tblDailySchedule[[#This Row],[Capacity Approx]]*'[1]Load Factor Sheet June Acft  '!$D$5</f>
        <v>203.4218181818182</v>
      </c>
      <c r="T5724" s="22">
        <f>tblDailySchedule[[#This Row],[STD]]</f>
        <v>0.68402777777777779</v>
      </c>
    </row>
    <row r="5725" spans="1:20" hidden="1" x14ac:dyDescent="0.35">
      <c r="A5725" s="11">
        <v>46316</v>
      </c>
      <c r="B5725" s="3">
        <v>3</v>
      </c>
      <c r="C5725" t="s">
        <v>113</v>
      </c>
      <c r="D5725" t="s">
        <v>18</v>
      </c>
      <c r="E5725" s="3">
        <v>17</v>
      </c>
      <c r="F5725" t="s">
        <v>19</v>
      </c>
      <c r="G5725" t="s">
        <v>69</v>
      </c>
      <c r="H5725" t="s">
        <v>31</v>
      </c>
      <c r="I5725" s="12">
        <v>0.66319444444444442</v>
      </c>
      <c r="J5725" t="s">
        <v>70</v>
      </c>
      <c r="K5725" t="s">
        <v>31</v>
      </c>
      <c r="L5725" s="12">
        <v>0.69097222222222221</v>
      </c>
      <c r="M5725" t="s">
        <v>33</v>
      </c>
      <c r="N5725" s="3">
        <v>189</v>
      </c>
      <c r="O5725" t="s">
        <v>24</v>
      </c>
      <c r="P5725" t="s">
        <v>56</v>
      </c>
      <c r="R5725">
        <f>tblDailySchedule[[#This Row],[Capacity Approx]]*'[1]Load Factor Sheet June Acft  '!$B$5</f>
        <v>153.04704545454547</v>
      </c>
      <c r="S5725">
        <f>tblDailySchedule[[#This Row],[Capacity Approx]]*'[1]Load Factor Sheet June Acft  '!$D$5</f>
        <v>165.71863636363636</v>
      </c>
      <c r="T5725" s="22">
        <f>tblDailySchedule[[#This Row],[STD]]</f>
        <v>0.69097222222222221</v>
      </c>
    </row>
    <row r="5726" spans="1:20" hidden="1" x14ac:dyDescent="0.35">
      <c r="A5726" s="11">
        <v>46316</v>
      </c>
      <c r="B5726" s="3">
        <v>3</v>
      </c>
      <c r="C5726" t="s">
        <v>113</v>
      </c>
      <c r="D5726" t="s">
        <v>18</v>
      </c>
      <c r="E5726" s="3">
        <v>18</v>
      </c>
      <c r="F5726" t="s">
        <v>19</v>
      </c>
      <c r="G5726" t="s">
        <v>71</v>
      </c>
      <c r="H5726" t="s">
        <v>21</v>
      </c>
      <c r="I5726" s="12">
        <v>0.67013888888888884</v>
      </c>
      <c r="J5726" t="s">
        <v>72</v>
      </c>
      <c r="K5726" t="s">
        <v>21</v>
      </c>
      <c r="L5726" s="12">
        <v>0.69791666666666663</v>
      </c>
      <c r="M5726" t="s">
        <v>63</v>
      </c>
      <c r="N5726" s="3">
        <v>232</v>
      </c>
      <c r="O5726" t="s">
        <v>24</v>
      </c>
      <c r="P5726" t="s">
        <v>56</v>
      </c>
      <c r="R5726">
        <f>tblDailySchedule[[#This Row],[Capacity Approx]]*'[1]Load Factor Sheet June Acft  '!$B$5</f>
        <v>187.86727272727273</v>
      </c>
      <c r="S5726">
        <f>tblDailySchedule[[#This Row],[Capacity Approx]]*'[1]Load Factor Sheet June Acft  '!$D$5</f>
        <v>203.4218181818182</v>
      </c>
      <c r="T5726" s="22">
        <f>tblDailySchedule[[#This Row],[STD]]</f>
        <v>0.69791666666666663</v>
      </c>
    </row>
    <row r="5727" spans="1:20" hidden="1" x14ac:dyDescent="0.35">
      <c r="A5727" s="11">
        <v>46316</v>
      </c>
      <c r="B5727" s="3">
        <v>3</v>
      </c>
      <c r="C5727" t="s">
        <v>113</v>
      </c>
      <c r="D5727" t="s">
        <v>18</v>
      </c>
      <c r="E5727" s="3">
        <v>19</v>
      </c>
      <c r="F5727" t="s">
        <v>19</v>
      </c>
      <c r="G5727" t="s">
        <v>73</v>
      </c>
      <c r="H5727" t="s">
        <v>27</v>
      </c>
      <c r="I5727" s="12">
        <v>0.74652777777777779</v>
      </c>
      <c r="J5727" t="s">
        <v>74</v>
      </c>
      <c r="K5727" t="s">
        <v>27</v>
      </c>
      <c r="L5727" s="12">
        <v>0.77430555555555558</v>
      </c>
      <c r="M5727" t="s">
        <v>63</v>
      </c>
      <c r="N5727" s="3">
        <v>232</v>
      </c>
      <c r="O5727" t="s">
        <v>24</v>
      </c>
      <c r="P5727" t="s">
        <v>56</v>
      </c>
      <c r="R5727">
        <f>tblDailySchedule[[#This Row],[Capacity Approx]]*'[1]Load Factor Sheet June Acft  '!$B$5</f>
        <v>187.86727272727273</v>
      </c>
      <c r="S5727">
        <f>tblDailySchedule[[#This Row],[Capacity Approx]]*'[1]Load Factor Sheet June Acft  '!$D$5</f>
        <v>203.4218181818182</v>
      </c>
      <c r="T5727" s="22">
        <f>tblDailySchedule[[#This Row],[STD]]</f>
        <v>0.77430555555555558</v>
      </c>
    </row>
    <row r="5728" spans="1:20" hidden="1" x14ac:dyDescent="0.35">
      <c r="A5728" s="11">
        <v>46316</v>
      </c>
      <c r="B5728" s="3">
        <v>3</v>
      </c>
      <c r="C5728" t="s">
        <v>113</v>
      </c>
      <c r="D5728" t="s">
        <v>18</v>
      </c>
      <c r="E5728" s="3">
        <v>20</v>
      </c>
      <c r="F5728" t="s">
        <v>34</v>
      </c>
      <c r="G5728" t="s">
        <v>75</v>
      </c>
      <c r="H5728" t="s">
        <v>76</v>
      </c>
      <c r="I5728" s="12">
        <v>0.76388888888888884</v>
      </c>
      <c r="J5728" t="s">
        <v>77</v>
      </c>
      <c r="K5728" t="s">
        <v>78</v>
      </c>
      <c r="L5728" s="12">
        <v>0.78472222222222221</v>
      </c>
      <c r="M5728" t="s">
        <v>51</v>
      </c>
      <c r="N5728" s="3">
        <v>78</v>
      </c>
      <c r="O5728" t="s">
        <v>24</v>
      </c>
      <c r="P5728" t="s">
        <v>79</v>
      </c>
      <c r="Q5728" s="16" t="s">
        <v>80</v>
      </c>
      <c r="R5728">
        <f>tblDailySchedule[[#This Row],[Capacity Approx]]*'[1]Load Factor Sheet June Acft  '!$B$5</f>
        <v>63.162272727272729</v>
      </c>
      <c r="S5728">
        <f>tblDailySchedule[[#This Row],[Capacity Approx]]*'[1]Load Factor Sheet June Acft  '!$D$5</f>
        <v>68.391818181818181</v>
      </c>
      <c r="T5728" s="22">
        <f>tblDailySchedule[[#This Row],[STD]]</f>
        <v>0.78472222222222221</v>
      </c>
    </row>
    <row r="5729" spans="1:20" hidden="1" x14ac:dyDescent="0.35">
      <c r="A5729" s="11">
        <v>46316</v>
      </c>
      <c r="B5729" s="3">
        <v>3</v>
      </c>
      <c r="C5729" t="s">
        <v>113</v>
      </c>
      <c r="D5729" t="s">
        <v>18</v>
      </c>
      <c r="E5729" s="3">
        <v>21</v>
      </c>
      <c r="F5729" t="s">
        <v>19</v>
      </c>
      <c r="G5729" t="s">
        <v>81</v>
      </c>
      <c r="H5729" t="s">
        <v>61</v>
      </c>
      <c r="I5729" s="12">
        <v>0.77083333333333337</v>
      </c>
      <c r="J5729" t="s">
        <v>82</v>
      </c>
      <c r="K5729" t="s">
        <v>49</v>
      </c>
      <c r="L5729" s="12">
        <v>0.79166666666666663</v>
      </c>
      <c r="M5729" t="s">
        <v>33</v>
      </c>
      <c r="N5729" s="3">
        <v>189</v>
      </c>
      <c r="O5729" t="s">
        <v>24</v>
      </c>
      <c r="P5729" t="s">
        <v>79</v>
      </c>
      <c r="R5729">
        <f>tblDailySchedule[[#This Row],[Capacity Approx]]*'[1]Load Factor Sheet June Acft  '!$B$5</f>
        <v>153.04704545454547</v>
      </c>
      <c r="S5729">
        <f>tblDailySchedule[[#This Row],[Capacity Approx]]*'[1]Load Factor Sheet June Acft  '!$D$5</f>
        <v>165.71863636363636</v>
      </c>
      <c r="T5729" s="22">
        <f>tblDailySchedule[[#This Row],[STD]]</f>
        <v>0.79166666666666663</v>
      </c>
    </row>
    <row r="5730" spans="1:20" hidden="1" x14ac:dyDescent="0.35">
      <c r="A5730" s="11">
        <v>46316</v>
      </c>
      <c r="B5730" s="3">
        <v>3</v>
      </c>
      <c r="C5730" t="s">
        <v>113</v>
      </c>
      <c r="D5730" t="s">
        <v>18</v>
      </c>
      <c r="E5730" s="3">
        <v>22</v>
      </c>
      <c r="F5730" t="s">
        <v>19</v>
      </c>
      <c r="G5730" t="s">
        <v>83</v>
      </c>
      <c r="H5730" t="s">
        <v>31</v>
      </c>
      <c r="I5730" s="12">
        <v>0.77777777777777779</v>
      </c>
      <c r="J5730" t="s">
        <v>84</v>
      </c>
      <c r="K5730" t="s">
        <v>31</v>
      </c>
      <c r="L5730" s="12">
        <v>0.80555555555555558</v>
      </c>
      <c r="M5730" t="s">
        <v>63</v>
      </c>
      <c r="N5730" s="3">
        <v>232</v>
      </c>
      <c r="O5730" t="s">
        <v>24</v>
      </c>
      <c r="P5730" t="s">
        <v>79</v>
      </c>
      <c r="R5730">
        <f>tblDailySchedule[[#This Row],[Capacity Approx]]*'[1]Load Factor Sheet June Acft  '!$B$5</f>
        <v>187.86727272727273</v>
      </c>
      <c r="S5730">
        <f>tblDailySchedule[[#This Row],[Capacity Approx]]*'[1]Load Factor Sheet June Acft  '!$D$5</f>
        <v>203.4218181818182</v>
      </c>
      <c r="T5730" s="22">
        <f>tblDailySchedule[[#This Row],[STD]]</f>
        <v>0.80555555555555558</v>
      </c>
    </row>
    <row r="5731" spans="1:20" hidden="1" x14ac:dyDescent="0.35">
      <c r="A5731" s="11">
        <v>46316</v>
      </c>
      <c r="B5731" s="3">
        <v>3</v>
      </c>
      <c r="C5731" t="s">
        <v>113</v>
      </c>
      <c r="D5731" t="s">
        <v>18</v>
      </c>
      <c r="E5731" s="3">
        <v>23</v>
      </c>
      <c r="F5731" t="s">
        <v>19</v>
      </c>
      <c r="G5731" t="s">
        <v>85</v>
      </c>
      <c r="H5731" t="s">
        <v>86</v>
      </c>
      <c r="I5731" s="12">
        <v>0.79861111111111116</v>
      </c>
      <c r="J5731" t="s">
        <v>87</v>
      </c>
      <c r="K5731" t="s">
        <v>86</v>
      </c>
      <c r="L5731" s="12">
        <v>0.82638888888888884</v>
      </c>
      <c r="M5731" t="s">
        <v>63</v>
      </c>
      <c r="N5731" s="3">
        <v>232</v>
      </c>
      <c r="O5731" t="s">
        <v>24</v>
      </c>
      <c r="P5731" t="s">
        <v>79</v>
      </c>
      <c r="R5731">
        <f>tblDailySchedule[[#This Row],[Capacity Approx]]*'[1]Load Factor Sheet June Acft  '!$B$5</f>
        <v>187.86727272727273</v>
      </c>
      <c r="S5731">
        <f>tblDailySchedule[[#This Row],[Capacity Approx]]*'[1]Load Factor Sheet June Acft  '!$D$5</f>
        <v>203.4218181818182</v>
      </c>
      <c r="T5731" s="22">
        <f>tblDailySchedule[[#This Row],[STD]]</f>
        <v>0.82638888888888884</v>
      </c>
    </row>
    <row r="5732" spans="1:20" hidden="1" x14ac:dyDescent="0.35">
      <c r="A5732" s="11">
        <v>46316</v>
      </c>
      <c r="B5732" s="3">
        <v>3</v>
      </c>
      <c r="C5732" t="s">
        <v>113</v>
      </c>
      <c r="D5732" t="s">
        <v>18</v>
      </c>
      <c r="E5732" s="3">
        <v>24</v>
      </c>
      <c r="F5732" t="s">
        <v>19</v>
      </c>
      <c r="G5732" t="s">
        <v>88</v>
      </c>
      <c r="H5732" t="s">
        <v>89</v>
      </c>
      <c r="I5732" s="12">
        <v>0.83333333333333337</v>
      </c>
      <c r="J5732" t="s">
        <v>90</v>
      </c>
      <c r="K5732" t="s">
        <v>31</v>
      </c>
      <c r="L5732" s="12">
        <v>0.86111111111111116</v>
      </c>
      <c r="M5732" t="s">
        <v>63</v>
      </c>
      <c r="N5732" s="3">
        <v>232</v>
      </c>
      <c r="O5732" t="s">
        <v>24</v>
      </c>
      <c r="P5732" t="s">
        <v>79</v>
      </c>
      <c r="R5732">
        <f>tblDailySchedule[[#This Row],[Capacity Approx]]*'[1]Load Factor Sheet June Acft  '!$B$5</f>
        <v>187.86727272727273</v>
      </c>
      <c r="S5732">
        <f>tblDailySchedule[[#This Row],[Capacity Approx]]*'[1]Load Factor Sheet June Acft  '!$D$5</f>
        <v>203.4218181818182</v>
      </c>
      <c r="T5732" s="22">
        <f>tblDailySchedule[[#This Row],[STD]]</f>
        <v>0.86111111111111116</v>
      </c>
    </row>
    <row r="5733" spans="1:20" hidden="1" x14ac:dyDescent="0.35">
      <c r="A5733" s="11">
        <v>46316</v>
      </c>
      <c r="B5733" s="3">
        <v>3</v>
      </c>
      <c r="C5733" t="s">
        <v>113</v>
      </c>
      <c r="D5733" t="s">
        <v>18</v>
      </c>
      <c r="E5733" s="3">
        <v>25</v>
      </c>
      <c r="F5733" t="s">
        <v>19</v>
      </c>
      <c r="G5733" t="s">
        <v>91</v>
      </c>
      <c r="H5733" t="s">
        <v>61</v>
      </c>
      <c r="I5733" s="12">
        <v>0.85416666666666663</v>
      </c>
      <c r="J5733" t="s">
        <v>92</v>
      </c>
      <c r="K5733" t="s">
        <v>61</v>
      </c>
      <c r="L5733" s="12">
        <v>0.88194444444444442</v>
      </c>
      <c r="M5733" t="s">
        <v>63</v>
      </c>
      <c r="N5733" s="3">
        <v>232</v>
      </c>
      <c r="O5733" t="s">
        <v>24</v>
      </c>
      <c r="P5733" t="s">
        <v>79</v>
      </c>
      <c r="R5733">
        <f>tblDailySchedule[[#This Row],[Capacity Approx]]*'[1]Load Factor Sheet June Acft  '!$B$5</f>
        <v>187.86727272727273</v>
      </c>
      <c r="S5733">
        <f>tblDailySchedule[[#This Row],[Capacity Approx]]*'[1]Load Factor Sheet June Acft  '!$D$5</f>
        <v>203.4218181818182</v>
      </c>
      <c r="T5733" s="22">
        <f>tblDailySchedule[[#This Row],[STD]]</f>
        <v>0.88194444444444442</v>
      </c>
    </row>
    <row r="5734" spans="1:20" hidden="1" x14ac:dyDescent="0.35">
      <c r="A5734" s="11">
        <v>46316</v>
      </c>
      <c r="B5734" s="3">
        <v>3</v>
      </c>
      <c r="C5734" t="s">
        <v>113</v>
      </c>
      <c r="D5734" t="s">
        <v>18</v>
      </c>
      <c r="E5734" s="3">
        <v>26</v>
      </c>
      <c r="F5734" t="s">
        <v>19</v>
      </c>
      <c r="G5734" t="s">
        <v>93</v>
      </c>
      <c r="H5734" t="s">
        <v>31</v>
      </c>
      <c r="I5734" s="12">
        <v>0.86111111111111116</v>
      </c>
      <c r="J5734" t="s">
        <v>94</v>
      </c>
      <c r="K5734" t="s">
        <v>31</v>
      </c>
      <c r="L5734" s="12">
        <v>0.88888888888888884</v>
      </c>
      <c r="M5734" t="s">
        <v>23</v>
      </c>
      <c r="N5734" s="3">
        <v>186</v>
      </c>
      <c r="O5734" t="s">
        <v>24</v>
      </c>
      <c r="P5734" t="s">
        <v>79</v>
      </c>
      <c r="R5734">
        <f>tblDailySchedule[[#This Row],[Capacity Approx]]*'[1]Load Factor Sheet June Acft  '!$B$5</f>
        <v>150.61772727272728</v>
      </c>
      <c r="S5734">
        <f>tblDailySchedule[[#This Row],[Capacity Approx]]*'[1]Load Factor Sheet June Acft  '!$D$5</f>
        <v>163.08818181818182</v>
      </c>
      <c r="T5734" s="22">
        <f>tblDailySchedule[[#This Row],[STD]]</f>
        <v>0.88888888888888884</v>
      </c>
    </row>
    <row r="5735" spans="1:20" hidden="1" x14ac:dyDescent="0.35">
      <c r="A5735" s="11">
        <v>46316</v>
      </c>
      <c r="B5735" s="3">
        <v>3</v>
      </c>
      <c r="C5735" t="s">
        <v>113</v>
      </c>
      <c r="D5735" t="s">
        <v>18</v>
      </c>
      <c r="E5735" s="3">
        <v>27</v>
      </c>
      <c r="F5735" t="s">
        <v>19</v>
      </c>
      <c r="G5735" t="s">
        <v>95</v>
      </c>
      <c r="H5735" t="s">
        <v>21</v>
      </c>
      <c r="I5735" s="12">
        <v>0.86805555555555558</v>
      </c>
      <c r="J5735" t="s">
        <v>96</v>
      </c>
      <c r="K5735" t="s">
        <v>21</v>
      </c>
      <c r="L5735" s="12">
        <v>0.89583333333333337</v>
      </c>
      <c r="M5735" t="s">
        <v>29</v>
      </c>
      <c r="N5735" s="3">
        <v>186</v>
      </c>
      <c r="O5735" t="s">
        <v>24</v>
      </c>
      <c r="P5735" t="s">
        <v>79</v>
      </c>
      <c r="R5735">
        <f>tblDailySchedule[[#This Row],[Capacity Approx]]*'[1]Load Factor Sheet June Acft  '!$B$5</f>
        <v>150.61772727272728</v>
      </c>
      <c r="S5735">
        <f>tblDailySchedule[[#This Row],[Capacity Approx]]*'[1]Load Factor Sheet June Acft  '!$D$5</f>
        <v>163.08818181818182</v>
      </c>
      <c r="T5735" s="22">
        <f>tblDailySchedule[[#This Row],[STD]]</f>
        <v>0.89583333333333337</v>
      </c>
    </row>
    <row r="5736" spans="1:20" hidden="1" x14ac:dyDescent="0.35">
      <c r="A5736" s="11">
        <v>46316</v>
      </c>
      <c r="B5736" s="3">
        <v>3</v>
      </c>
      <c r="C5736" t="s">
        <v>113</v>
      </c>
      <c r="D5736" t="s">
        <v>18</v>
      </c>
      <c r="E5736" s="3">
        <v>28</v>
      </c>
      <c r="F5736" t="s">
        <v>19</v>
      </c>
      <c r="G5736" t="s">
        <v>97</v>
      </c>
      <c r="H5736" t="s">
        <v>49</v>
      </c>
      <c r="I5736" s="12">
        <v>0.90277777777777779</v>
      </c>
      <c r="J5736" t="s">
        <v>97</v>
      </c>
      <c r="K5736" t="s">
        <v>61</v>
      </c>
      <c r="L5736" s="12">
        <v>0.92361111111111116</v>
      </c>
      <c r="M5736" t="s">
        <v>33</v>
      </c>
      <c r="N5736" s="3">
        <v>189</v>
      </c>
      <c r="O5736" t="s">
        <v>24</v>
      </c>
      <c r="P5736" t="s">
        <v>79</v>
      </c>
      <c r="R5736">
        <f>tblDailySchedule[[#This Row],[Capacity Approx]]*'[1]Load Factor Sheet June Acft  '!$B$5</f>
        <v>153.04704545454547</v>
      </c>
      <c r="S5736">
        <f>tblDailySchedule[[#This Row],[Capacity Approx]]*'[1]Load Factor Sheet June Acft  '!$D$5</f>
        <v>165.71863636363636</v>
      </c>
      <c r="T5736" s="22">
        <f>tblDailySchedule[[#This Row],[STD]]</f>
        <v>0.92361111111111116</v>
      </c>
    </row>
    <row r="5737" spans="1:20" hidden="1" x14ac:dyDescent="0.35">
      <c r="A5737" s="11">
        <v>46316</v>
      </c>
      <c r="B5737" s="3">
        <v>3</v>
      </c>
      <c r="C5737" t="s">
        <v>113</v>
      </c>
      <c r="D5737" t="s">
        <v>18</v>
      </c>
      <c r="E5737" s="3">
        <v>29</v>
      </c>
      <c r="F5737" t="s">
        <v>19</v>
      </c>
      <c r="G5737" t="s">
        <v>98</v>
      </c>
      <c r="H5737" t="s">
        <v>21</v>
      </c>
      <c r="I5737" s="12">
        <v>0.92013888888888884</v>
      </c>
      <c r="J5737" t="s">
        <v>99</v>
      </c>
      <c r="K5737" t="s">
        <v>21</v>
      </c>
      <c r="L5737" s="12">
        <v>0.94791666666666663</v>
      </c>
      <c r="M5737" t="s">
        <v>63</v>
      </c>
      <c r="N5737" s="3">
        <v>232</v>
      </c>
      <c r="O5737" t="s">
        <v>24</v>
      </c>
      <c r="P5737" t="s">
        <v>79</v>
      </c>
      <c r="R5737">
        <f>tblDailySchedule[[#This Row],[Capacity Approx]]*'[1]Load Factor Sheet June Acft  '!$B$5</f>
        <v>187.86727272727273</v>
      </c>
      <c r="S5737">
        <f>tblDailySchedule[[#This Row],[Capacity Approx]]*'[1]Load Factor Sheet June Acft  '!$D$5</f>
        <v>203.4218181818182</v>
      </c>
      <c r="T5737" s="22">
        <f>tblDailySchedule[[#This Row],[STD]]</f>
        <v>0.94791666666666663</v>
      </c>
    </row>
    <row r="5738" spans="1:20" hidden="1" x14ac:dyDescent="0.35">
      <c r="A5738" s="13">
        <v>46316</v>
      </c>
      <c r="B5738" s="7">
        <v>3</v>
      </c>
      <c r="C5738" s="14" t="s">
        <v>113</v>
      </c>
      <c r="D5738" s="14" t="s">
        <v>18</v>
      </c>
      <c r="E5738" s="7">
        <v>30</v>
      </c>
      <c r="F5738" s="14" t="s">
        <v>104</v>
      </c>
      <c r="G5738" s="14" t="s">
        <v>105</v>
      </c>
      <c r="H5738" s="14" t="s">
        <v>106</v>
      </c>
      <c r="I5738" s="15">
        <v>0.92708333333333337</v>
      </c>
      <c r="J5738" s="14" t="s">
        <v>107</v>
      </c>
      <c r="K5738" s="14" t="s">
        <v>106</v>
      </c>
      <c r="L5738" s="15">
        <v>0.95833333333333337</v>
      </c>
      <c r="M5738" s="14" t="s">
        <v>38</v>
      </c>
      <c r="N5738" s="7">
        <v>186</v>
      </c>
      <c r="O5738" s="14" t="s">
        <v>39</v>
      </c>
      <c r="P5738" s="14" t="s">
        <v>79</v>
      </c>
      <c r="Q5738" s="14" t="s">
        <v>39</v>
      </c>
      <c r="R5738">
        <f>tblDailySchedule[[#This Row],[Capacity Approx]]*'[1]Load Factor Sheet June Acft  '!$B$5</f>
        <v>150.61772727272728</v>
      </c>
      <c r="S5738">
        <f>tblDailySchedule[[#This Row],[Capacity Approx]]*'[1]Load Factor Sheet June Acft  '!$D$5</f>
        <v>163.08818181818182</v>
      </c>
      <c r="T5738" s="22">
        <f>tblDailySchedule[[#This Row],[STD]]</f>
        <v>0.95833333333333337</v>
      </c>
    </row>
    <row r="5739" spans="1:20" hidden="1" x14ac:dyDescent="0.35">
      <c r="A5739" s="11">
        <v>46317</v>
      </c>
      <c r="B5739" s="3">
        <v>4</v>
      </c>
      <c r="C5739" t="s">
        <v>114</v>
      </c>
      <c r="D5739" t="s">
        <v>18</v>
      </c>
      <c r="E5739" s="3">
        <v>1</v>
      </c>
      <c r="F5739" t="s">
        <v>101</v>
      </c>
      <c r="G5739" t="s">
        <v>102</v>
      </c>
      <c r="H5739" t="s">
        <v>61</v>
      </c>
      <c r="I5739" s="12">
        <v>0.3125</v>
      </c>
      <c r="J5739" t="s">
        <v>103</v>
      </c>
      <c r="K5739" t="s">
        <v>61</v>
      </c>
      <c r="L5739" s="12">
        <v>0.33333333333333331</v>
      </c>
      <c r="M5739" t="s">
        <v>33</v>
      </c>
      <c r="N5739" s="3">
        <v>189</v>
      </c>
      <c r="O5739" t="s">
        <v>24</v>
      </c>
      <c r="P5739" t="s">
        <v>25</v>
      </c>
      <c r="R5739">
        <f>tblDailySchedule[[#This Row],[Capacity Approx]]*'[1]Load Factor Sheet June Acft  '!$B$5</f>
        <v>153.04704545454547</v>
      </c>
      <c r="S5739">
        <f>tblDailySchedule[[#This Row],[Capacity Approx]]*'[1]Load Factor Sheet June Acft  '!$D$5</f>
        <v>165.71863636363636</v>
      </c>
      <c r="T5739" s="22">
        <f>tblDailySchedule[[#This Row],[STD]]</f>
        <v>0.33333333333333331</v>
      </c>
    </row>
    <row r="5740" spans="1:20" hidden="1" x14ac:dyDescent="0.35">
      <c r="A5740" s="11">
        <v>46317</v>
      </c>
      <c r="B5740" s="3">
        <v>4</v>
      </c>
      <c r="C5740" t="s">
        <v>114</v>
      </c>
      <c r="D5740" t="s">
        <v>18</v>
      </c>
      <c r="E5740" s="3">
        <v>2</v>
      </c>
      <c r="F5740" t="s">
        <v>19</v>
      </c>
      <c r="G5740" t="s">
        <v>20</v>
      </c>
      <c r="H5740" t="s">
        <v>21</v>
      </c>
      <c r="I5740" s="12">
        <v>0.31944444444444442</v>
      </c>
      <c r="J5740" t="s">
        <v>22</v>
      </c>
      <c r="K5740" t="s">
        <v>21</v>
      </c>
      <c r="L5740" s="12">
        <v>0.34722222222222221</v>
      </c>
      <c r="M5740" t="s">
        <v>23</v>
      </c>
      <c r="N5740" s="3">
        <v>186</v>
      </c>
      <c r="O5740" t="s">
        <v>24</v>
      </c>
      <c r="P5740" t="s">
        <v>25</v>
      </c>
      <c r="R5740">
        <f>tblDailySchedule[[#This Row],[Capacity Approx]]*'[1]Load Factor Sheet June Acft  '!$B$5</f>
        <v>150.61772727272728</v>
      </c>
      <c r="S5740">
        <f>tblDailySchedule[[#This Row],[Capacity Approx]]*'[1]Load Factor Sheet June Acft  '!$D$5</f>
        <v>163.08818181818182</v>
      </c>
      <c r="T5740" s="22">
        <f>tblDailySchedule[[#This Row],[STD]]</f>
        <v>0.34722222222222221</v>
      </c>
    </row>
    <row r="5741" spans="1:20" hidden="1" x14ac:dyDescent="0.35">
      <c r="A5741" s="11">
        <v>46317</v>
      </c>
      <c r="B5741" s="3">
        <v>4</v>
      </c>
      <c r="C5741" t="s">
        <v>114</v>
      </c>
      <c r="D5741" t="s">
        <v>18</v>
      </c>
      <c r="E5741" s="3">
        <v>3</v>
      </c>
      <c r="F5741" t="s">
        <v>19</v>
      </c>
      <c r="G5741" t="s">
        <v>26</v>
      </c>
      <c r="H5741" t="s">
        <v>27</v>
      </c>
      <c r="I5741" s="12">
        <v>0.3263888888888889</v>
      </c>
      <c r="J5741" t="s">
        <v>28</v>
      </c>
      <c r="K5741" t="s">
        <v>27</v>
      </c>
      <c r="L5741" s="12">
        <v>0.35416666666666669</v>
      </c>
      <c r="M5741" t="s">
        <v>29</v>
      </c>
      <c r="N5741" s="3">
        <v>186</v>
      </c>
      <c r="O5741" t="s">
        <v>24</v>
      </c>
      <c r="P5741" t="s">
        <v>25</v>
      </c>
      <c r="R5741">
        <f>tblDailySchedule[[#This Row],[Capacity Approx]]*'[1]Load Factor Sheet June Acft  '!$B$5</f>
        <v>150.61772727272728</v>
      </c>
      <c r="S5741">
        <f>tblDailySchedule[[#This Row],[Capacity Approx]]*'[1]Load Factor Sheet June Acft  '!$D$5</f>
        <v>163.08818181818182</v>
      </c>
      <c r="T5741" s="22">
        <f>tblDailySchedule[[#This Row],[STD]]</f>
        <v>0.35416666666666669</v>
      </c>
    </row>
    <row r="5742" spans="1:20" hidden="1" x14ac:dyDescent="0.35">
      <c r="A5742" s="11">
        <v>46317</v>
      </c>
      <c r="B5742" s="3">
        <v>4</v>
      </c>
      <c r="C5742" t="s">
        <v>114</v>
      </c>
      <c r="D5742" t="s">
        <v>18</v>
      </c>
      <c r="E5742" s="3">
        <v>4</v>
      </c>
      <c r="F5742" t="s">
        <v>19</v>
      </c>
      <c r="G5742" t="s">
        <v>30</v>
      </c>
      <c r="H5742" t="s">
        <v>31</v>
      </c>
      <c r="I5742" s="12">
        <v>0.34722222222222221</v>
      </c>
      <c r="J5742" t="s">
        <v>32</v>
      </c>
      <c r="K5742" t="s">
        <v>31</v>
      </c>
      <c r="L5742" s="12">
        <v>0.36805555555555558</v>
      </c>
      <c r="M5742" t="s">
        <v>33</v>
      </c>
      <c r="N5742" s="3">
        <v>189</v>
      </c>
      <c r="O5742" t="s">
        <v>24</v>
      </c>
      <c r="P5742" t="s">
        <v>25</v>
      </c>
      <c r="R5742">
        <f>tblDailySchedule[[#This Row],[Capacity Approx]]*'[1]Load Factor Sheet June Acft  '!$B$5</f>
        <v>153.04704545454547</v>
      </c>
      <c r="S5742">
        <f>tblDailySchedule[[#This Row],[Capacity Approx]]*'[1]Load Factor Sheet June Acft  '!$D$5</f>
        <v>165.71863636363636</v>
      </c>
      <c r="T5742" s="22">
        <f>tblDailySchedule[[#This Row],[STD]]</f>
        <v>0.36805555555555558</v>
      </c>
    </row>
    <row r="5743" spans="1:20" hidden="1" x14ac:dyDescent="0.35">
      <c r="A5743" s="11">
        <v>46317</v>
      </c>
      <c r="B5743" s="3">
        <v>4</v>
      </c>
      <c r="C5743" t="s">
        <v>114</v>
      </c>
      <c r="D5743" t="s">
        <v>18</v>
      </c>
      <c r="E5743" s="3">
        <v>5</v>
      </c>
      <c r="F5743" t="s">
        <v>19</v>
      </c>
      <c r="G5743" t="s">
        <v>40</v>
      </c>
      <c r="H5743" t="s">
        <v>31</v>
      </c>
      <c r="I5743" s="12">
        <v>0.35069444444444442</v>
      </c>
      <c r="J5743" t="s">
        <v>41</v>
      </c>
      <c r="K5743" t="s">
        <v>31</v>
      </c>
      <c r="L5743" s="12">
        <v>0.37152777777777779</v>
      </c>
      <c r="M5743" t="s">
        <v>23</v>
      </c>
      <c r="N5743" s="3">
        <v>186</v>
      </c>
      <c r="O5743" t="s">
        <v>24</v>
      </c>
      <c r="P5743" t="s">
        <v>25</v>
      </c>
      <c r="R5743">
        <f>tblDailySchedule[[#This Row],[Capacity Approx]]*'[1]Load Factor Sheet June Acft  '!$B$5</f>
        <v>150.61772727272728</v>
      </c>
      <c r="S5743">
        <f>tblDailySchedule[[#This Row],[Capacity Approx]]*'[1]Load Factor Sheet June Acft  '!$D$5</f>
        <v>163.08818181818182</v>
      </c>
      <c r="T5743" s="22">
        <f>tblDailySchedule[[#This Row],[STD]]</f>
        <v>0.37152777777777779</v>
      </c>
    </row>
    <row r="5744" spans="1:20" hidden="1" x14ac:dyDescent="0.35">
      <c r="A5744" s="11">
        <v>46317</v>
      </c>
      <c r="B5744" s="3">
        <v>4</v>
      </c>
      <c r="C5744" t="s">
        <v>114</v>
      </c>
      <c r="D5744" t="s">
        <v>18</v>
      </c>
      <c r="E5744" s="3">
        <v>7</v>
      </c>
      <c r="F5744" t="s">
        <v>19</v>
      </c>
      <c r="G5744" t="s">
        <v>42</v>
      </c>
      <c r="H5744" t="s">
        <v>43</v>
      </c>
      <c r="I5744" s="12">
        <v>0.3923611111111111</v>
      </c>
      <c r="J5744" t="s">
        <v>44</v>
      </c>
      <c r="K5744" t="s">
        <v>43</v>
      </c>
      <c r="L5744" s="12">
        <v>0.40277777777777779</v>
      </c>
      <c r="M5744" t="s">
        <v>45</v>
      </c>
      <c r="N5744" s="3">
        <v>9</v>
      </c>
      <c r="O5744" t="s">
        <v>24</v>
      </c>
      <c r="P5744" t="s">
        <v>25</v>
      </c>
      <c r="R5744">
        <f>tblDailySchedule[[#This Row],[Capacity Approx]]*'[1]Load Factor Sheet June Acft  '!$B$5</f>
        <v>7.2879545454545456</v>
      </c>
      <c r="S5744">
        <f>tblDailySchedule[[#This Row],[Capacity Approx]]*'[1]Load Factor Sheet June Acft  '!$D$5</f>
        <v>7.8913636363636366</v>
      </c>
      <c r="T5744" s="22">
        <f>tblDailySchedule[[#This Row],[STD]]</f>
        <v>0.40277777777777779</v>
      </c>
    </row>
    <row r="5745" spans="1:20" hidden="1" x14ac:dyDescent="0.35">
      <c r="A5745" s="11">
        <v>46317</v>
      </c>
      <c r="B5745" s="3">
        <v>4</v>
      </c>
      <c r="C5745" t="s">
        <v>114</v>
      </c>
      <c r="D5745" t="s">
        <v>18</v>
      </c>
      <c r="E5745" s="3">
        <v>8</v>
      </c>
      <c r="F5745" t="s">
        <v>19</v>
      </c>
      <c r="G5745" t="s">
        <v>46</v>
      </c>
      <c r="H5745" t="s">
        <v>31</v>
      </c>
      <c r="I5745" s="12">
        <v>0.4201388888888889</v>
      </c>
      <c r="J5745" t="s">
        <v>47</v>
      </c>
      <c r="K5745" t="s">
        <v>31</v>
      </c>
      <c r="L5745" s="12">
        <v>0.44444444444444442</v>
      </c>
      <c r="M5745" t="s">
        <v>29</v>
      </c>
      <c r="N5745" s="3">
        <v>186</v>
      </c>
      <c r="O5745" t="s">
        <v>24</v>
      </c>
      <c r="P5745" t="s">
        <v>25</v>
      </c>
      <c r="R5745">
        <f>tblDailySchedule[[#This Row],[Capacity Approx]]*'[1]Load Factor Sheet June Acft  '!$B$5</f>
        <v>150.61772727272728</v>
      </c>
      <c r="S5745">
        <f>tblDailySchedule[[#This Row],[Capacity Approx]]*'[1]Load Factor Sheet June Acft  '!$D$5</f>
        <v>163.08818181818182</v>
      </c>
      <c r="T5745" s="22">
        <f>tblDailySchedule[[#This Row],[STD]]</f>
        <v>0.44444444444444442</v>
      </c>
    </row>
    <row r="5746" spans="1:20" hidden="1" x14ac:dyDescent="0.35">
      <c r="A5746" s="11">
        <v>46317</v>
      </c>
      <c r="B5746" s="3">
        <v>4</v>
      </c>
      <c r="C5746" t="s">
        <v>114</v>
      </c>
      <c r="D5746" t="s">
        <v>18</v>
      </c>
      <c r="E5746" s="3">
        <v>9</v>
      </c>
      <c r="F5746" t="s">
        <v>19</v>
      </c>
      <c r="G5746" t="s">
        <v>48</v>
      </c>
      <c r="H5746" t="s">
        <v>49</v>
      </c>
      <c r="I5746" s="12">
        <v>0.4375</v>
      </c>
      <c r="J5746" t="s">
        <v>50</v>
      </c>
      <c r="K5746" t="s">
        <v>49</v>
      </c>
      <c r="L5746" s="12">
        <v>0.45833333333333331</v>
      </c>
      <c r="M5746" t="s">
        <v>51</v>
      </c>
      <c r="N5746" s="3">
        <v>78</v>
      </c>
      <c r="O5746" t="s">
        <v>24</v>
      </c>
      <c r="P5746" t="s">
        <v>25</v>
      </c>
      <c r="R5746">
        <f>tblDailySchedule[[#This Row],[Capacity Approx]]*'[1]Load Factor Sheet June Acft  '!$B$5</f>
        <v>63.162272727272729</v>
      </c>
      <c r="S5746">
        <f>tblDailySchedule[[#This Row],[Capacity Approx]]*'[1]Load Factor Sheet June Acft  '!$D$5</f>
        <v>68.391818181818181</v>
      </c>
      <c r="T5746" s="22">
        <f>tblDailySchedule[[#This Row],[STD]]</f>
        <v>0.45833333333333331</v>
      </c>
    </row>
    <row r="5747" spans="1:20" hidden="1" x14ac:dyDescent="0.35">
      <c r="A5747" s="11">
        <v>46317</v>
      </c>
      <c r="B5747" s="3">
        <v>4</v>
      </c>
      <c r="C5747" t="s">
        <v>114</v>
      </c>
      <c r="D5747" t="s">
        <v>18</v>
      </c>
      <c r="E5747" s="3">
        <v>10</v>
      </c>
      <c r="F5747" t="s">
        <v>19</v>
      </c>
      <c r="G5747" t="s">
        <v>52</v>
      </c>
      <c r="H5747" t="s">
        <v>27</v>
      </c>
      <c r="I5747" s="12">
        <v>0.4826388888888889</v>
      </c>
      <c r="J5747" t="s">
        <v>53</v>
      </c>
      <c r="K5747" t="s">
        <v>27</v>
      </c>
      <c r="L5747" s="12">
        <v>0.51041666666666663</v>
      </c>
      <c r="M5747" t="s">
        <v>23</v>
      </c>
      <c r="N5747" s="3">
        <v>186</v>
      </c>
      <c r="O5747" t="s">
        <v>24</v>
      </c>
      <c r="P5747" t="s">
        <v>25</v>
      </c>
      <c r="R5747">
        <f>tblDailySchedule[[#This Row],[Capacity Approx]]*'[1]Load Factor Sheet June Acft  '!$B$5</f>
        <v>150.61772727272728</v>
      </c>
      <c r="S5747">
        <f>tblDailySchedule[[#This Row],[Capacity Approx]]*'[1]Load Factor Sheet June Acft  '!$D$5</f>
        <v>163.08818181818182</v>
      </c>
      <c r="T5747" s="22">
        <f>tblDailySchedule[[#This Row],[STD]]</f>
        <v>0.51041666666666663</v>
      </c>
    </row>
    <row r="5748" spans="1:20" hidden="1" x14ac:dyDescent="0.35">
      <c r="A5748" s="11">
        <v>46317</v>
      </c>
      <c r="B5748" s="3">
        <v>4</v>
      </c>
      <c r="C5748" t="s">
        <v>114</v>
      </c>
      <c r="D5748" t="s">
        <v>18</v>
      </c>
      <c r="E5748" s="3">
        <v>11</v>
      </c>
      <c r="F5748" t="s">
        <v>19</v>
      </c>
      <c r="G5748" t="s">
        <v>54</v>
      </c>
      <c r="H5748" t="s">
        <v>31</v>
      </c>
      <c r="I5748" s="12">
        <v>0.51388888888888884</v>
      </c>
      <c r="J5748" t="s">
        <v>55</v>
      </c>
      <c r="K5748" t="s">
        <v>31</v>
      </c>
      <c r="L5748" s="12">
        <v>0.54166666666666663</v>
      </c>
      <c r="M5748" t="s">
        <v>23</v>
      </c>
      <c r="N5748" s="3">
        <v>186</v>
      </c>
      <c r="O5748" t="s">
        <v>24</v>
      </c>
      <c r="P5748" t="s">
        <v>56</v>
      </c>
      <c r="R5748">
        <f>tblDailySchedule[[#This Row],[Capacity Approx]]*'[1]Load Factor Sheet June Acft  '!$B$5</f>
        <v>150.61772727272728</v>
      </c>
      <c r="S5748">
        <f>tblDailySchedule[[#This Row],[Capacity Approx]]*'[1]Load Factor Sheet June Acft  '!$D$5</f>
        <v>163.08818181818182</v>
      </c>
      <c r="T5748" s="22">
        <f>tblDailySchedule[[#This Row],[STD]]</f>
        <v>0.54166666666666663</v>
      </c>
    </row>
    <row r="5749" spans="1:20" hidden="1" x14ac:dyDescent="0.35">
      <c r="A5749" s="11">
        <v>46317</v>
      </c>
      <c r="B5749" s="3">
        <v>4</v>
      </c>
      <c r="C5749" t="s">
        <v>114</v>
      </c>
      <c r="D5749" t="s">
        <v>18</v>
      </c>
      <c r="E5749" s="3">
        <v>12</v>
      </c>
      <c r="F5749" t="s">
        <v>109</v>
      </c>
      <c r="G5749" t="s">
        <v>110</v>
      </c>
      <c r="H5749" t="s">
        <v>111</v>
      </c>
      <c r="I5749" s="12">
        <v>0.55555555555555558</v>
      </c>
      <c r="J5749" t="s">
        <v>112</v>
      </c>
      <c r="K5749" t="s">
        <v>111</v>
      </c>
      <c r="L5749" s="12">
        <v>0.56944444444444442</v>
      </c>
      <c r="M5749" t="s">
        <v>51</v>
      </c>
      <c r="N5749" s="3">
        <v>78</v>
      </c>
      <c r="O5749" t="s">
        <v>24</v>
      </c>
      <c r="P5749" t="s">
        <v>56</v>
      </c>
      <c r="R5749">
        <f>tblDailySchedule[[#This Row],[Capacity Approx]]*'[1]Load Factor Sheet June Acft  '!$B$5</f>
        <v>63.162272727272729</v>
      </c>
      <c r="S5749">
        <f>tblDailySchedule[[#This Row],[Capacity Approx]]*'[1]Load Factor Sheet June Acft  '!$D$5</f>
        <v>68.391818181818181</v>
      </c>
      <c r="T5749" s="22">
        <f>tblDailySchedule[[#This Row],[STD]]</f>
        <v>0.56944444444444442</v>
      </c>
    </row>
    <row r="5750" spans="1:20" hidden="1" x14ac:dyDescent="0.35">
      <c r="A5750" s="11">
        <v>46317</v>
      </c>
      <c r="B5750" s="3">
        <v>4</v>
      </c>
      <c r="C5750" t="s">
        <v>114</v>
      </c>
      <c r="D5750" t="s">
        <v>18</v>
      </c>
      <c r="E5750" s="3">
        <v>13</v>
      </c>
      <c r="F5750" t="s">
        <v>19</v>
      </c>
      <c r="G5750" t="s">
        <v>57</v>
      </c>
      <c r="H5750" t="s">
        <v>58</v>
      </c>
      <c r="I5750" s="12">
        <v>0.55902777777777779</v>
      </c>
      <c r="J5750" t="s">
        <v>59</v>
      </c>
      <c r="K5750" t="s">
        <v>58</v>
      </c>
      <c r="L5750" s="12">
        <v>0.57638888888888884</v>
      </c>
      <c r="M5750" t="s">
        <v>51</v>
      </c>
      <c r="N5750" s="3">
        <v>78</v>
      </c>
      <c r="O5750" t="s">
        <v>24</v>
      </c>
      <c r="P5750" t="s">
        <v>56</v>
      </c>
      <c r="R5750">
        <f>tblDailySchedule[[#This Row],[Capacity Approx]]*'[1]Load Factor Sheet June Acft  '!$B$5</f>
        <v>63.162272727272729</v>
      </c>
      <c r="S5750">
        <f>tblDailySchedule[[#This Row],[Capacity Approx]]*'[1]Load Factor Sheet June Acft  '!$D$5</f>
        <v>68.391818181818181</v>
      </c>
      <c r="T5750" s="22">
        <f>tblDailySchedule[[#This Row],[STD]]</f>
        <v>0.57638888888888884</v>
      </c>
    </row>
    <row r="5751" spans="1:20" hidden="1" x14ac:dyDescent="0.35">
      <c r="A5751" s="11">
        <v>46317</v>
      </c>
      <c r="B5751" s="3">
        <v>4</v>
      </c>
      <c r="C5751" t="s">
        <v>114</v>
      </c>
      <c r="D5751" t="s">
        <v>18</v>
      </c>
      <c r="E5751" s="3">
        <v>14</v>
      </c>
      <c r="F5751" t="s">
        <v>19</v>
      </c>
      <c r="G5751" t="s">
        <v>60</v>
      </c>
      <c r="H5751" t="s">
        <v>61</v>
      </c>
      <c r="I5751" s="12">
        <v>0.59027777777777779</v>
      </c>
      <c r="J5751" t="s">
        <v>62</v>
      </c>
      <c r="K5751" t="s">
        <v>61</v>
      </c>
      <c r="L5751" s="12">
        <v>0.62152777777777779</v>
      </c>
      <c r="M5751" t="s">
        <v>63</v>
      </c>
      <c r="N5751" s="3">
        <v>232</v>
      </c>
      <c r="O5751" t="s">
        <v>24</v>
      </c>
      <c r="P5751" t="s">
        <v>56</v>
      </c>
      <c r="R5751">
        <f>tblDailySchedule[[#This Row],[Capacity Approx]]*'[1]Load Factor Sheet June Acft  '!$B$5</f>
        <v>187.86727272727273</v>
      </c>
      <c r="S5751">
        <f>tblDailySchedule[[#This Row],[Capacity Approx]]*'[1]Load Factor Sheet June Acft  '!$D$5</f>
        <v>203.4218181818182</v>
      </c>
      <c r="T5751" s="22">
        <f>tblDailySchedule[[#This Row],[STD]]</f>
        <v>0.62152777777777779</v>
      </c>
    </row>
    <row r="5752" spans="1:20" hidden="1" x14ac:dyDescent="0.35">
      <c r="A5752" s="11">
        <v>46317</v>
      </c>
      <c r="B5752" s="3">
        <v>4</v>
      </c>
      <c r="C5752" t="s">
        <v>114</v>
      </c>
      <c r="D5752" t="s">
        <v>18</v>
      </c>
      <c r="E5752" s="3">
        <v>15</v>
      </c>
      <c r="F5752" t="s">
        <v>19</v>
      </c>
      <c r="G5752" t="s">
        <v>64</v>
      </c>
      <c r="H5752" t="s">
        <v>31</v>
      </c>
      <c r="I5752" s="12">
        <v>0.60069444444444442</v>
      </c>
      <c r="J5752" t="s">
        <v>65</v>
      </c>
      <c r="K5752" t="s">
        <v>66</v>
      </c>
      <c r="L5752" s="12">
        <v>0.62847222222222221</v>
      </c>
      <c r="M5752" t="s">
        <v>63</v>
      </c>
      <c r="N5752" s="3">
        <v>232</v>
      </c>
      <c r="O5752" t="s">
        <v>24</v>
      </c>
      <c r="P5752" t="s">
        <v>56</v>
      </c>
      <c r="R5752">
        <f>tblDailySchedule[[#This Row],[Capacity Approx]]*'[1]Load Factor Sheet June Acft  '!$B$5</f>
        <v>187.86727272727273</v>
      </c>
      <c r="S5752">
        <f>tblDailySchedule[[#This Row],[Capacity Approx]]*'[1]Load Factor Sheet June Acft  '!$D$5</f>
        <v>203.4218181818182</v>
      </c>
      <c r="T5752" s="22">
        <f>tblDailySchedule[[#This Row],[STD]]</f>
        <v>0.62847222222222221</v>
      </c>
    </row>
    <row r="5753" spans="1:20" hidden="1" x14ac:dyDescent="0.35">
      <c r="A5753" s="11">
        <v>46317</v>
      </c>
      <c r="B5753" s="3">
        <v>4</v>
      </c>
      <c r="C5753" t="s">
        <v>114</v>
      </c>
      <c r="D5753" t="s">
        <v>18</v>
      </c>
      <c r="E5753" s="3">
        <v>16</v>
      </c>
      <c r="F5753" t="s">
        <v>19</v>
      </c>
      <c r="G5753" t="s">
        <v>67</v>
      </c>
      <c r="H5753" t="s">
        <v>31</v>
      </c>
      <c r="I5753" s="12">
        <v>0.65625</v>
      </c>
      <c r="J5753" t="s">
        <v>68</v>
      </c>
      <c r="K5753" t="s">
        <v>31</v>
      </c>
      <c r="L5753" s="12">
        <v>0.68402777777777779</v>
      </c>
      <c r="M5753" t="s">
        <v>63</v>
      </c>
      <c r="N5753" s="3">
        <v>232</v>
      </c>
      <c r="O5753" t="s">
        <v>24</v>
      </c>
      <c r="P5753" t="s">
        <v>56</v>
      </c>
      <c r="R5753">
        <f>tblDailySchedule[[#This Row],[Capacity Approx]]*'[1]Load Factor Sheet June Acft  '!$B$5</f>
        <v>187.86727272727273</v>
      </c>
      <c r="S5753">
        <f>tblDailySchedule[[#This Row],[Capacity Approx]]*'[1]Load Factor Sheet June Acft  '!$D$5</f>
        <v>203.4218181818182</v>
      </c>
      <c r="T5753" s="22">
        <f>tblDailySchedule[[#This Row],[STD]]</f>
        <v>0.68402777777777779</v>
      </c>
    </row>
    <row r="5754" spans="1:20" hidden="1" x14ac:dyDescent="0.35">
      <c r="A5754" s="11">
        <v>46317</v>
      </c>
      <c r="B5754" s="3">
        <v>4</v>
      </c>
      <c r="C5754" t="s">
        <v>114</v>
      </c>
      <c r="D5754" t="s">
        <v>18</v>
      </c>
      <c r="E5754" s="3">
        <v>17</v>
      </c>
      <c r="F5754" t="s">
        <v>19</v>
      </c>
      <c r="G5754" t="s">
        <v>69</v>
      </c>
      <c r="H5754" t="s">
        <v>31</v>
      </c>
      <c r="I5754" s="12">
        <v>0.66319444444444442</v>
      </c>
      <c r="J5754" t="s">
        <v>70</v>
      </c>
      <c r="K5754" t="s">
        <v>31</v>
      </c>
      <c r="L5754" s="12">
        <v>0.69097222222222221</v>
      </c>
      <c r="M5754" t="s">
        <v>33</v>
      </c>
      <c r="N5754" s="3">
        <v>189</v>
      </c>
      <c r="O5754" t="s">
        <v>24</v>
      </c>
      <c r="P5754" t="s">
        <v>56</v>
      </c>
      <c r="R5754">
        <f>tblDailySchedule[[#This Row],[Capacity Approx]]*'[1]Load Factor Sheet June Acft  '!$B$5</f>
        <v>153.04704545454547</v>
      </c>
      <c r="S5754">
        <f>tblDailySchedule[[#This Row],[Capacity Approx]]*'[1]Load Factor Sheet June Acft  '!$D$5</f>
        <v>165.71863636363636</v>
      </c>
      <c r="T5754" s="22">
        <f>tblDailySchedule[[#This Row],[STD]]</f>
        <v>0.69097222222222221</v>
      </c>
    </row>
    <row r="5755" spans="1:20" hidden="1" x14ac:dyDescent="0.35">
      <c r="A5755" s="11">
        <v>46317</v>
      </c>
      <c r="B5755" s="3">
        <v>4</v>
      </c>
      <c r="C5755" t="s">
        <v>114</v>
      </c>
      <c r="D5755" t="s">
        <v>18</v>
      </c>
      <c r="E5755" s="3">
        <v>18</v>
      </c>
      <c r="F5755" t="s">
        <v>19</v>
      </c>
      <c r="G5755" t="s">
        <v>71</v>
      </c>
      <c r="H5755" t="s">
        <v>21</v>
      </c>
      <c r="I5755" s="12">
        <v>0.67013888888888884</v>
      </c>
      <c r="J5755" t="s">
        <v>72</v>
      </c>
      <c r="K5755" t="s">
        <v>21</v>
      </c>
      <c r="L5755" s="12">
        <v>0.69791666666666663</v>
      </c>
      <c r="M5755" t="s">
        <v>63</v>
      </c>
      <c r="N5755" s="3">
        <v>232</v>
      </c>
      <c r="O5755" t="s">
        <v>24</v>
      </c>
      <c r="P5755" t="s">
        <v>56</v>
      </c>
      <c r="R5755">
        <f>tblDailySchedule[[#This Row],[Capacity Approx]]*'[1]Load Factor Sheet June Acft  '!$B$5</f>
        <v>187.86727272727273</v>
      </c>
      <c r="S5755">
        <f>tblDailySchedule[[#This Row],[Capacity Approx]]*'[1]Load Factor Sheet June Acft  '!$D$5</f>
        <v>203.4218181818182</v>
      </c>
      <c r="T5755" s="22">
        <f>tblDailySchedule[[#This Row],[STD]]</f>
        <v>0.69791666666666663</v>
      </c>
    </row>
    <row r="5756" spans="1:20" hidden="1" x14ac:dyDescent="0.35">
      <c r="A5756" s="11">
        <v>46317</v>
      </c>
      <c r="B5756" s="3">
        <v>4</v>
      </c>
      <c r="C5756" t="s">
        <v>114</v>
      </c>
      <c r="D5756" t="s">
        <v>18</v>
      </c>
      <c r="E5756" s="3">
        <v>19</v>
      </c>
      <c r="F5756" t="s">
        <v>19</v>
      </c>
      <c r="G5756" t="s">
        <v>73</v>
      </c>
      <c r="H5756" t="s">
        <v>27</v>
      </c>
      <c r="I5756" s="12">
        <v>0.74652777777777779</v>
      </c>
      <c r="J5756" t="s">
        <v>74</v>
      </c>
      <c r="K5756" t="s">
        <v>27</v>
      </c>
      <c r="L5756" s="12">
        <v>0.77430555555555558</v>
      </c>
      <c r="M5756" t="s">
        <v>63</v>
      </c>
      <c r="N5756" s="3">
        <v>232</v>
      </c>
      <c r="O5756" t="s">
        <v>24</v>
      </c>
      <c r="P5756" t="s">
        <v>56</v>
      </c>
      <c r="R5756">
        <f>tblDailySchedule[[#This Row],[Capacity Approx]]*'[1]Load Factor Sheet June Acft  '!$B$5</f>
        <v>187.86727272727273</v>
      </c>
      <c r="S5756">
        <f>tblDailySchedule[[#This Row],[Capacity Approx]]*'[1]Load Factor Sheet June Acft  '!$D$5</f>
        <v>203.4218181818182</v>
      </c>
      <c r="T5756" s="22">
        <f>tblDailySchedule[[#This Row],[STD]]</f>
        <v>0.77430555555555558</v>
      </c>
    </row>
    <row r="5757" spans="1:20" hidden="1" x14ac:dyDescent="0.35">
      <c r="A5757" s="11">
        <v>46317</v>
      </c>
      <c r="B5757" s="3">
        <v>4</v>
      </c>
      <c r="C5757" t="s">
        <v>114</v>
      </c>
      <c r="D5757" t="s">
        <v>18</v>
      </c>
      <c r="E5757" s="3">
        <v>21</v>
      </c>
      <c r="F5757" t="s">
        <v>19</v>
      </c>
      <c r="G5757" t="s">
        <v>81</v>
      </c>
      <c r="H5757" t="s">
        <v>61</v>
      </c>
      <c r="I5757" s="12">
        <v>0.77083333333333337</v>
      </c>
      <c r="J5757" t="s">
        <v>82</v>
      </c>
      <c r="K5757" t="s">
        <v>49</v>
      </c>
      <c r="L5757" s="12">
        <v>0.79166666666666663</v>
      </c>
      <c r="M5757" t="s">
        <v>33</v>
      </c>
      <c r="N5757" s="3">
        <v>189</v>
      </c>
      <c r="O5757" t="s">
        <v>24</v>
      </c>
      <c r="P5757" t="s">
        <v>79</v>
      </c>
      <c r="R5757">
        <f>tblDailySchedule[[#This Row],[Capacity Approx]]*'[1]Load Factor Sheet June Acft  '!$B$5</f>
        <v>153.04704545454547</v>
      </c>
      <c r="S5757">
        <f>tblDailySchedule[[#This Row],[Capacity Approx]]*'[1]Load Factor Sheet June Acft  '!$D$5</f>
        <v>165.71863636363636</v>
      </c>
      <c r="T5757" s="22">
        <f>tblDailySchedule[[#This Row],[STD]]</f>
        <v>0.79166666666666663</v>
      </c>
    </row>
    <row r="5758" spans="1:20" hidden="1" x14ac:dyDescent="0.35">
      <c r="A5758" s="11">
        <v>46317</v>
      </c>
      <c r="B5758" s="3">
        <v>4</v>
      </c>
      <c r="C5758" t="s">
        <v>114</v>
      </c>
      <c r="D5758" t="s">
        <v>18</v>
      </c>
      <c r="E5758" s="3">
        <v>22</v>
      </c>
      <c r="F5758" t="s">
        <v>19</v>
      </c>
      <c r="G5758" t="s">
        <v>83</v>
      </c>
      <c r="H5758" t="s">
        <v>31</v>
      </c>
      <c r="I5758" s="12">
        <v>0.77777777777777779</v>
      </c>
      <c r="J5758" t="s">
        <v>84</v>
      </c>
      <c r="K5758" t="s">
        <v>31</v>
      </c>
      <c r="L5758" s="12">
        <v>0.80555555555555558</v>
      </c>
      <c r="M5758" t="s">
        <v>63</v>
      </c>
      <c r="N5758" s="3">
        <v>232</v>
      </c>
      <c r="O5758" t="s">
        <v>24</v>
      </c>
      <c r="P5758" t="s">
        <v>79</v>
      </c>
      <c r="R5758">
        <f>tblDailySchedule[[#This Row],[Capacity Approx]]*'[1]Load Factor Sheet June Acft  '!$B$5</f>
        <v>187.86727272727273</v>
      </c>
      <c r="S5758">
        <f>tblDailySchedule[[#This Row],[Capacity Approx]]*'[1]Load Factor Sheet June Acft  '!$D$5</f>
        <v>203.4218181818182</v>
      </c>
      <c r="T5758" s="22">
        <f>tblDailySchedule[[#This Row],[STD]]</f>
        <v>0.80555555555555558</v>
      </c>
    </row>
    <row r="5759" spans="1:20" hidden="1" x14ac:dyDescent="0.35">
      <c r="A5759" s="11">
        <v>46317</v>
      </c>
      <c r="B5759" s="3">
        <v>4</v>
      </c>
      <c r="C5759" t="s">
        <v>114</v>
      </c>
      <c r="D5759" t="s">
        <v>18</v>
      </c>
      <c r="E5759" s="3">
        <v>23</v>
      </c>
      <c r="F5759" t="s">
        <v>19</v>
      </c>
      <c r="G5759" t="s">
        <v>85</v>
      </c>
      <c r="H5759" t="s">
        <v>86</v>
      </c>
      <c r="I5759" s="12">
        <v>0.79861111111111116</v>
      </c>
      <c r="J5759" t="s">
        <v>87</v>
      </c>
      <c r="K5759" t="s">
        <v>86</v>
      </c>
      <c r="L5759" s="12">
        <v>0.82638888888888884</v>
      </c>
      <c r="M5759" t="s">
        <v>63</v>
      </c>
      <c r="N5759" s="3">
        <v>232</v>
      </c>
      <c r="O5759" t="s">
        <v>24</v>
      </c>
      <c r="P5759" t="s">
        <v>79</v>
      </c>
      <c r="R5759">
        <f>tblDailySchedule[[#This Row],[Capacity Approx]]*'[1]Load Factor Sheet June Acft  '!$B$5</f>
        <v>187.86727272727273</v>
      </c>
      <c r="S5759">
        <f>tblDailySchedule[[#This Row],[Capacity Approx]]*'[1]Load Factor Sheet June Acft  '!$D$5</f>
        <v>203.4218181818182</v>
      </c>
      <c r="T5759" s="22">
        <f>tblDailySchedule[[#This Row],[STD]]</f>
        <v>0.82638888888888884</v>
      </c>
    </row>
    <row r="5760" spans="1:20" hidden="1" x14ac:dyDescent="0.35">
      <c r="A5760" s="11">
        <v>46317</v>
      </c>
      <c r="B5760" s="3">
        <v>4</v>
      </c>
      <c r="C5760" t="s">
        <v>114</v>
      </c>
      <c r="D5760" t="s">
        <v>18</v>
      </c>
      <c r="E5760" s="3">
        <v>24</v>
      </c>
      <c r="F5760" t="s">
        <v>19</v>
      </c>
      <c r="G5760" t="s">
        <v>88</v>
      </c>
      <c r="H5760" t="s">
        <v>89</v>
      </c>
      <c r="I5760" s="12">
        <v>0.83333333333333337</v>
      </c>
      <c r="J5760" t="s">
        <v>90</v>
      </c>
      <c r="K5760" t="s">
        <v>31</v>
      </c>
      <c r="L5760" s="12">
        <v>0.86111111111111116</v>
      </c>
      <c r="M5760" t="s">
        <v>63</v>
      </c>
      <c r="N5760" s="3">
        <v>232</v>
      </c>
      <c r="O5760" t="s">
        <v>24</v>
      </c>
      <c r="P5760" t="s">
        <v>79</v>
      </c>
      <c r="R5760">
        <f>tblDailySchedule[[#This Row],[Capacity Approx]]*'[1]Load Factor Sheet June Acft  '!$B$5</f>
        <v>187.86727272727273</v>
      </c>
      <c r="S5760">
        <f>tblDailySchedule[[#This Row],[Capacity Approx]]*'[1]Load Factor Sheet June Acft  '!$D$5</f>
        <v>203.4218181818182</v>
      </c>
      <c r="T5760" s="22">
        <f>tblDailySchedule[[#This Row],[STD]]</f>
        <v>0.86111111111111116</v>
      </c>
    </row>
    <row r="5761" spans="1:20" hidden="1" x14ac:dyDescent="0.35">
      <c r="A5761" s="11">
        <v>46317</v>
      </c>
      <c r="B5761" s="3">
        <v>4</v>
      </c>
      <c r="C5761" t="s">
        <v>114</v>
      </c>
      <c r="D5761" t="s">
        <v>18</v>
      </c>
      <c r="E5761" s="3">
        <v>25</v>
      </c>
      <c r="F5761" t="s">
        <v>19</v>
      </c>
      <c r="G5761" t="s">
        <v>91</v>
      </c>
      <c r="H5761" t="s">
        <v>61</v>
      </c>
      <c r="I5761" s="12">
        <v>0.85416666666666663</v>
      </c>
      <c r="J5761" t="s">
        <v>92</v>
      </c>
      <c r="K5761" t="s">
        <v>61</v>
      </c>
      <c r="L5761" s="12">
        <v>0.88194444444444442</v>
      </c>
      <c r="M5761" t="s">
        <v>63</v>
      </c>
      <c r="N5761" s="3">
        <v>232</v>
      </c>
      <c r="O5761" t="s">
        <v>24</v>
      </c>
      <c r="P5761" t="s">
        <v>79</v>
      </c>
      <c r="R5761">
        <f>tblDailySchedule[[#This Row],[Capacity Approx]]*'[1]Load Factor Sheet June Acft  '!$B$5</f>
        <v>187.86727272727273</v>
      </c>
      <c r="S5761">
        <f>tblDailySchedule[[#This Row],[Capacity Approx]]*'[1]Load Factor Sheet June Acft  '!$D$5</f>
        <v>203.4218181818182</v>
      </c>
      <c r="T5761" s="22">
        <f>tblDailySchedule[[#This Row],[STD]]</f>
        <v>0.88194444444444442</v>
      </c>
    </row>
    <row r="5762" spans="1:20" hidden="1" x14ac:dyDescent="0.35">
      <c r="A5762" s="11">
        <v>46317</v>
      </c>
      <c r="B5762" s="3">
        <v>4</v>
      </c>
      <c r="C5762" t="s">
        <v>114</v>
      </c>
      <c r="D5762" t="s">
        <v>18</v>
      </c>
      <c r="E5762" s="3">
        <v>26</v>
      </c>
      <c r="F5762" t="s">
        <v>19</v>
      </c>
      <c r="G5762" t="s">
        <v>93</v>
      </c>
      <c r="H5762" t="s">
        <v>31</v>
      </c>
      <c r="I5762" s="12">
        <v>0.86111111111111116</v>
      </c>
      <c r="J5762" t="s">
        <v>94</v>
      </c>
      <c r="K5762" t="s">
        <v>31</v>
      </c>
      <c r="L5762" s="12">
        <v>0.88888888888888884</v>
      </c>
      <c r="M5762" t="s">
        <v>23</v>
      </c>
      <c r="N5762" s="3">
        <v>186</v>
      </c>
      <c r="O5762" t="s">
        <v>24</v>
      </c>
      <c r="P5762" t="s">
        <v>79</v>
      </c>
      <c r="R5762">
        <f>tblDailySchedule[[#This Row],[Capacity Approx]]*'[1]Load Factor Sheet June Acft  '!$B$5</f>
        <v>150.61772727272728</v>
      </c>
      <c r="S5762">
        <f>tblDailySchedule[[#This Row],[Capacity Approx]]*'[1]Load Factor Sheet June Acft  '!$D$5</f>
        <v>163.08818181818182</v>
      </c>
      <c r="T5762" s="22">
        <f>tblDailySchedule[[#This Row],[STD]]</f>
        <v>0.88888888888888884</v>
      </c>
    </row>
    <row r="5763" spans="1:20" hidden="1" x14ac:dyDescent="0.35">
      <c r="A5763" s="11">
        <v>46317</v>
      </c>
      <c r="B5763" s="3">
        <v>4</v>
      </c>
      <c r="C5763" t="s">
        <v>114</v>
      </c>
      <c r="D5763" t="s">
        <v>18</v>
      </c>
      <c r="E5763" s="3">
        <v>27</v>
      </c>
      <c r="F5763" t="s">
        <v>19</v>
      </c>
      <c r="G5763" t="s">
        <v>95</v>
      </c>
      <c r="H5763" t="s">
        <v>21</v>
      </c>
      <c r="I5763" s="12">
        <v>0.86805555555555558</v>
      </c>
      <c r="J5763" t="s">
        <v>96</v>
      </c>
      <c r="K5763" t="s">
        <v>21</v>
      </c>
      <c r="L5763" s="12">
        <v>0.89583333333333337</v>
      </c>
      <c r="M5763" t="s">
        <v>29</v>
      </c>
      <c r="N5763" s="3">
        <v>186</v>
      </c>
      <c r="O5763" t="s">
        <v>24</v>
      </c>
      <c r="P5763" t="s">
        <v>79</v>
      </c>
      <c r="R5763">
        <f>tblDailySchedule[[#This Row],[Capacity Approx]]*'[1]Load Factor Sheet June Acft  '!$B$5</f>
        <v>150.61772727272728</v>
      </c>
      <c r="S5763">
        <f>tblDailySchedule[[#This Row],[Capacity Approx]]*'[1]Load Factor Sheet June Acft  '!$D$5</f>
        <v>163.08818181818182</v>
      </c>
      <c r="T5763" s="22">
        <f>tblDailySchedule[[#This Row],[STD]]</f>
        <v>0.89583333333333337</v>
      </c>
    </row>
    <row r="5764" spans="1:20" hidden="1" x14ac:dyDescent="0.35">
      <c r="A5764" s="11">
        <v>46317</v>
      </c>
      <c r="B5764" s="3">
        <v>4</v>
      </c>
      <c r="C5764" t="s">
        <v>114</v>
      </c>
      <c r="D5764" t="s">
        <v>18</v>
      </c>
      <c r="E5764" s="3">
        <v>28</v>
      </c>
      <c r="F5764" t="s">
        <v>19</v>
      </c>
      <c r="G5764" t="s">
        <v>97</v>
      </c>
      <c r="H5764" t="s">
        <v>49</v>
      </c>
      <c r="I5764" s="12">
        <v>0.90277777777777779</v>
      </c>
      <c r="J5764" t="s">
        <v>97</v>
      </c>
      <c r="K5764" t="s">
        <v>61</v>
      </c>
      <c r="L5764" s="12">
        <v>0.92361111111111116</v>
      </c>
      <c r="M5764" t="s">
        <v>33</v>
      </c>
      <c r="N5764" s="3">
        <v>189</v>
      </c>
      <c r="O5764" t="s">
        <v>24</v>
      </c>
      <c r="P5764" t="s">
        <v>79</v>
      </c>
      <c r="R5764">
        <f>tblDailySchedule[[#This Row],[Capacity Approx]]*'[1]Load Factor Sheet June Acft  '!$B$5</f>
        <v>153.04704545454547</v>
      </c>
      <c r="S5764">
        <f>tblDailySchedule[[#This Row],[Capacity Approx]]*'[1]Load Factor Sheet June Acft  '!$D$5</f>
        <v>165.71863636363636</v>
      </c>
      <c r="T5764" s="22">
        <f>tblDailySchedule[[#This Row],[STD]]</f>
        <v>0.92361111111111116</v>
      </c>
    </row>
    <row r="5765" spans="1:20" hidden="1" x14ac:dyDescent="0.35">
      <c r="A5765" s="11">
        <v>46317</v>
      </c>
      <c r="B5765" s="3">
        <v>4</v>
      </c>
      <c r="C5765" t="s">
        <v>114</v>
      </c>
      <c r="D5765" t="s">
        <v>18</v>
      </c>
      <c r="E5765" s="3">
        <v>29</v>
      </c>
      <c r="F5765" t="s">
        <v>19</v>
      </c>
      <c r="G5765" t="s">
        <v>98</v>
      </c>
      <c r="H5765" t="s">
        <v>21</v>
      </c>
      <c r="I5765" s="12">
        <v>0.92013888888888884</v>
      </c>
      <c r="J5765" t="s">
        <v>99</v>
      </c>
      <c r="K5765" t="s">
        <v>21</v>
      </c>
      <c r="L5765" s="12">
        <v>0.94791666666666663</v>
      </c>
      <c r="M5765" t="s">
        <v>63</v>
      </c>
      <c r="N5765" s="3">
        <v>232</v>
      </c>
      <c r="O5765" t="s">
        <v>24</v>
      </c>
      <c r="P5765" t="s">
        <v>79</v>
      </c>
      <c r="R5765">
        <f>tblDailySchedule[[#This Row],[Capacity Approx]]*'[1]Load Factor Sheet June Acft  '!$B$5</f>
        <v>187.86727272727273</v>
      </c>
      <c r="S5765">
        <f>tblDailySchedule[[#This Row],[Capacity Approx]]*'[1]Load Factor Sheet June Acft  '!$D$5</f>
        <v>203.4218181818182</v>
      </c>
      <c r="T5765" s="22">
        <f>tblDailySchedule[[#This Row],[STD]]</f>
        <v>0.94791666666666663</v>
      </c>
    </row>
    <row r="5766" spans="1:20" hidden="1" x14ac:dyDescent="0.35">
      <c r="A5766" s="11">
        <v>46318</v>
      </c>
      <c r="B5766" s="3">
        <v>5</v>
      </c>
      <c r="C5766" t="s">
        <v>115</v>
      </c>
      <c r="D5766" t="s">
        <v>18</v>
      </c>
      <c r="E5766" s="3">
        <v>2</v>
      </c>
      <c r="F5766" t="s">
        <v>19</v>
      </c>
      <c r="G5766" t="s">
        <v>20</v>
      </c>
      <c r="H5766" t="s">
        <v>21</v>
      </c>
      <c r="I5766" s="12">
        <v>0.31944444444444442</v>
      </c>
      <c r="J5766" t="s">
        <v>22</v>
      </c>
      <c r="K5766" t="s">
        <v>21</v>
      </c>
      <c r="L5766" s="12">
        <v>0.34722222222222221</v>
      </c>
      <c r="M5766" t="s">
        <v>23</v>
      </c>
      <c r="N5766" s="3">
        <v>186</v>
      </c>
      <c r="O5766" t="s">
        <v>24</v>
      </c>
      <c r="P5766" t="s">
        <v>25</v>
      </c>
      <c r="R5766">
        <f>tblDailySchedule[[#This Row],[Capacity Approx]]*'[1]Load Factor Sheet June Acft  '!$B$5</f>
        <v>150.61772727272728</v>
      </c>
      <c r="S5766">
        <f>tblDailySchedule[[#This Row],[Capacity Approx]]*'[1]Load Factor Sheet June Acft  '!$D$5</f>
        <v>163.08818181818182</v>
      </c>
      <c r="T5766" s="22">
        <f>tblDailySchedule[[#This Row],[STD]]</f>
        <v>0.34722222222222221</v>
      </c>
    </row>
    <row r="5767" spans="1:20" hidden="1" x14ac:dyDescent="0.35">
      <c r="A5767" s="11">
        <v>46318</v>
      </c>
      <c r="B5767" s="3">
        <v>5</v>
      </c>
      <c r="C5767" t="s">
        <v>115</v>
      </c>
      <c r="D5767" t="s">
        <v>18</v>
      </c>
      <c r="E5767" s="3">
        <v>3</v>
      </c>
      <c r="F5767" t="s">
        <v>19</v>
      </c>
      <c r="G5767" t="s">
        <v>26</v>
      </c>
      <c r="H5767" t="s">
        <v>27</v>
      </c>
      <c r="I5767" s="12">
        <v>0.3263888888888889</v>
      </c>
      <c r="J5767" t="s">
        <v>28</v>
      </c>
      <c r="K5767" t="s">
        <v>27</v>
      </c>
      <c r="L5767" s="12">
        <v>0.35416666666666669</v>
      </c>
      <c r="M5767" t="s">
        <v>29</v>
      </c>
      <c r="N5767" s="3">
        <v>186</v>
      </c>
      <c r="O5767" t="s">
        <v>24</v>
      </c>
      <c r="P5767" t="s">
        <v>25</v>
      </c>
      <c r="R5767">
        <f>tblDailySchedule[[#This Row],[Capacity Approx]]*'[1]Load Factor Sheet June Acft  '!$B$5</f>
        <v>150.61772727272728</v>
      </c>
      <c r="S5767">
        <f>tblDailySchedule[[#This Row],[Capacity Approx]]*'[1]Load Factor Sheet June Acft  '!$D$5</f>
        <v>163.08818181818182</v>
      </c>
      <c r="T5767" s="22">
        <f>tblDailySchedule[[#This Row],[STD]]</f>
        <v>0.35416666666666669</v>
      </c>
    </row>
    <row r="5768" spans="1:20" hidden="1" x14ac:dyDescent="0.35">
      <c r="A5768" s="11">
        <v>46318</v>
      </c>
      <c r="B5768" s="3">
        <v>5</v>
      </c>
      <c r="C5768" t="s">
        <v>115</v>
      </c>
      <c r="D5768" t="s">
        <v>18</v>
      </c>
      <c r="E5768" s="3">
        <v>4</v>
      </c>
      <c r="F5768" t="s">
        <v>19</v>
      </c>
      <c r="G5768" t="s">
        <v>30</v>
      </c>
      <c r="H5768" t="s">
        <v>31</v>
      </c>
      <c r="I5768" s="12">
        <v>0.34722222222222221</v>
      </c>
      <c r="J5768" t="s">
        <v>32</v>
      </c>
      <c r="K5768" t="s">
        <v>31</v>
      </c>
      <c r="L5768" s="12">
        <v>0.36805555555555558</v>
      </c>
      <c r="M5768" t="s">
        <v>33</v>
      </c>
      <c r="N5768" s="3">
        <v>189</v>
      </c>
      <c r="O5768" t="s">
        <v>24</v>
      </c>
      <c r="P5768" t="s">
        <v>25</v>
      </c>
      <c r="R5768">
        <f>tblDailySchedule[[#This Row],[Capacity Approx]]*'[1]Load Factor Sheet June Acft  '!$B$5</f>
        <v>153.04704545454547</v>
      </c>
      <c r="S5768">
        <f>tblDailySchedule[[#This Row],[Capacity Approx]]*'[1]Load Factor Sheet June Acft  '!$D$5</f>
        <v>165.71863636363636</v>
      </c>
      <c r="T5768" s="22">
        <f>tblDailySchedule[[#This Row],[STD]]</f>
        <v>0.36805555555555558</v>
      </c>
    </row>
    <row r="5769" spans="1:20" hidden="1" x14ac:dyDescent="0.35">
      <c r="A5769" s="13">
        <v>46318</v>
      </c>
      <c r="B5769" s="7">
        <v>5</v>
      </c>
      <c r="C5769" s="14" t="s">
        <v>115</v>
      </c>
      <c r="D5769" s="14" t="s">
        <v>18</v>
      </c>
      <c r="E5769" s="7">
        <v>6</v>
      </c>
      <c r="F5769" s="14" t="s">
        <v>34</v>
      </c>
      <c r="G5769" s="14" t="s">
        <v>35</v>
      </c>
      <c r="H5769" s="14" t="s">
        <v>36</v>
      </c>
      <c r="I5769" s="15">
        <v>0.34722222222222221</v>
      </c>
      <c r="J5769" s="14" t="s">
        <v>37</v>
      </c>
      <c r="K5769" s="14" t="s">
        <v>36</v>
      </c>
      <c r="L5769" s="15">
        <v>0.40972222222222221</v>
      </c>
      <c r="M5769" s="14" t="s">
        <v>38</v>
      </c>
      <c r="N5769" s="7">
        <v>186</v>
      </c>
      <c r="O5769" s="14" t="s">
        <v>39</v>
      </c>
      <c r="P5769" s="14" t="s">
        <v>25</v>
      </c>
      <c r="Q5769" s="14" t="s">
        <v>39</v>
      </c>
      <c r="R5769">
        <f>tblDailySchedule[[#This Row],[Capacity Approx]]*'[1]Load Factor Sheet June Acft  '!$B$5</f>
        <v>150.61772727272728</v>
      </c>
      <c r="S5769">
        <f>tblDailySchedule[[#This Row],[Capacity Approx]]*'[1]Load Factor Sheet June Acft  '!$D$5</f>
        <v>163.08818181818182</v>
      </c>
      <c r="T5769" s="22">
        <f>tblDailySchedule[[#This Row],[STD]]</f>
        <v>0.40972222222222221</v>
      </c>
    </row>
    <row r="5770" spans="1:20" hidden="1" x14ac:dyDescent="0.35">
      <c r="A5770" s="11">
        <v>46318</v>
      </c>
      <c r="B5770" s="3">
        <v>5</v>
      </c>
      <c r="C5770" t="s">
        <v>115</v>
      </c>
      <c r="D5770" t="s">
        <v>18</v>
      </c>
      <c r="E5770" s="3">
        <v>5</v>
      </c>
      <c r="F5770" t="s">
        <v>19</v>
      </c>
      <c r="G5770" t="s">
        <v>40</v>
      </c>
      <c r="H5770" t="s">
        <v>31</v>
      </c>
      <c r="I5770" s="12">
        <v>0.35069444444444442</v>
      </c>
      <c r="J5770" t="s">
        <v>41</v>
      </c>
      <c r="K5770" t="s">
        <v>31</v>
      </c>
      <c r="L5770" s="12">
        <v>0.37152777777777779</v>
      </c>
      <c r="M5770" t="s">
        <v>23</v>
      </c>
      <c r="N5770" s="3">
        <v>186</v>
      </c>
      <c r="O5770" t="s">
        <v>24</v>
      </c>
      <c r="P5770" t="s">
        <v>25</v>
      </c>
      <c r="R5770">
        <f>tblDailySchedule[[#This Row],[Capacity Approx]]*'[1]Load Factor Sheet June Acft  '!$B$5</f>
        <v>150.61772727272728</v>
      </c>
      <c r="S5770">
        <f>tblDailySchedule[[#This Row],[Capacity Approx]]*'[1]Load Factor Sheet June Acft  '!$D$5</f>
        <v>163.08818181818182</v>
      </c>
      <c r="T5770" s="22">
        <f>tblDailySchedule[[#This Row],[STD]]</f>
        <v>0.37152777777777779</v>
      </c>
    </row>
    <row r="5771" spans="1:20" hidden="1" x14ac:dyDescent="0.35">
      <c r="A5771" s="11">
        <v>46318</v>
      </c>
      <c r="B5771" s="3">
        <v>5</v>
      </c>
      <c r="C5771" t="s">
        <v>115</v>
      </c>
      <c r="D5771" t="s">
        <v>18</v>
      </c>
      <c r="E5771" s="3">
        <v>7</v>
      </c>
      <c r="F5771" t="s">
        <v>19</v>
      </c>
      <c r="G5771" t="s">
        <v>42</v>
      </c>
      <c r="H5771" t="s">
        <v>43</v>
      </c>
      <c r="I5771" s="12">
        <v>0.3923611111111111</v>
      </c>
      <c r="J5771" t="s">
        <v>44</v>
      </c>
      <c r="K5771" t="s">
        <v>43</v>
      </c>
      <c r="L5771" s="12">
        <v>0.40277777777777779</v>
      </c>
      <c r="M5771" t="s">
        <v>45</v>
      </c>
      <c r="N5771" s="3">
        <v>9</v>
      </c>
      <c r="O5771" t="s">
        <v>24</v>
      </c>
      <c r="P5771" t="s">
        <v>25</v>
      </c>
      <c r="R5771">
        <f>tblDailySchedule[[#This Row],[Capacity Approx]]*'[1]Load Factor Sheet June Acft  '!$B$5</f>
        <v>7.2879545454545456</v>
      </c>
      <c r="S5771">
        <f>tblDailySchedule[[#This Row],[Capacity Approx]]*'[1]Load Factor Sheet June Acft  '!$D$5</f>
        <v>7.8913636363636366</v>
      </c>
      <c r="T5771" s="22">
        <f>tblDailySchedule[[#This Row],[STD]]</f>
        <v>0.40277777777777779</v>
      </c>
    </row>
    <row r="5772" spans="1:20" hidden="1" x14ac:dyDescent="0.35">
      <c r="A5772" s="11">
        <v>46318</v>
      </c>
      <c r="B5772" s="3">
        <v>5</v>
      </c>
      <c r="C5772" t="s">
        <v>115</v>
      </c>
      <c r="D5772" t="s">
        <v>18</v>
      </c>
      <c r="E5772" s="3">
        <v>8</v>
      </c>
      <c r="F5772" t="s">
        <v>19</v>
      </c>
      <c r="G5772" t="s">
        <v>46</v>
      </c>
      <c r="H5772" t="s">
        <v>31</v>
      </c>
      <c r="I5772" s="12">
        <v>0.4201388888888889</v>
      </c>
      <c r="J5772" t="s">
        <v>47</v>
      </c>
      <c r="K5772" t="s">
        <v>31</v>
      </c>
      <c r="L5772" s="12">
        <v>0.44444444444444442</v>
      </c>
      <c r="M5772" t="s">
        <v>29</v>
      </c>
      <c r="N5772" s="3">
        <v>186</v>
      </c>
      <c r="O5772" t="s">
        <v>24</v>
      </c>
      <c r="P5772" t="s">
        <v>25</v>
      </c>
      <c r="R5772">
        <f>tblDailySchedule[[#This Row],[Capacity Approx]]*'[1]Load Factor Sheet June Acft  '!$B$5</f>
        <v>150.61772727272728</v>
      </c>
      <c r="S5772">
        <f>tblDailySchedule[[#This Row],[Capacity Approx]]*'[1]Load Factor Sheet June Acft  '!$D$5</f>
        <v>163.08818181818182</v>
      </c>
      <c r="T5772" s="22">
        <f>tblDailySchedule[[#This Row],[STD]]</f>
        <v>0.44444444444444442</v>
      </c>
    </row>
    <row r="5773" spans="1:20" hidden="1" x14ac:dyDescent="0.35">
      <c r="A5773" s="11">
        <v>46318</v>
      </c>
      <c r="B5773" s="3">
        <v>5</v>
      </c>
      <c r="C5773" t="s">
        <v>115</v>
      </c>
      <c r="D5773" t="s">
        <v>18</v>
      </c>
      <c r="E5773" s="3">
        <v>9</v>
      </c>
      <c r="F5773" t="s">
        <v>19</v>
      </c>
      <c r="G5773" t="s">
        <v>48</v>
      </c>
      <c r="H5773" t="s">
        <v>49</v>
      </c>
      <c r="I5773" s="12">
        <v>0.4375</v>
      </c>
      <c r="J5773" t="s">
        <v>50</v>
      </c>
      <c r="K5773" t="s">
        <v>49</v>
      </c>
      <c r="L5773" s="12">
        <v>0.45833333333333331</v>
      </c>
      <c r="M5773" t="s">
        <v>51</v>
      </c>
      <c r="N5773" s="3">
        <v>78</v>
      </c>
      <c r="O5773" t="s">
        <v>24</v>
      </c>
      <c r="P5773" t="s">
        <v>25</v>
      </c>
      <c r="R5773">
        <f>tblDailySchedule[[#This Row],[Capacity Approx]]*'[1]Load Factor Sheet June Acft  '!$B$5</f>
        <v>63.162272727272729</v>
      </c>
      <c r="S5773">
        <f>tblDailySchedule[[#This Row],[Capacity Approx]]*'[1]Load Factor Sheet June Acft  '!$D$5</f>
        <v>68.391818181818181</v>
      </c>
      <c r="T5773" s="22">
        <f>tblDailySchedule[[#This Row],[STD]]</f>
        <v>0.45833333333333331</v>
      </c>
    </row>
    <row r="5774" spans="1:20" hidden="1" x14ac:dyDescent="0.35">
      <c r="A5774" s="11">
        <v>46318</v>
      </c>
      <c r="B5774" s="3">
        <v>5</v>
      </c>
      <c r="C5774" t="s">
        <v>115</v>
      </c>
      <c r="D5774" t="s">
        <v>18</v>
      </c>
      <c r="E5774" s="3">
        <v>10</v>
      </c>
      <c r="F5774" t="s">
        <v>19</v>
      </c>
      <c r="G5774" t="s">
        <v>52</v>
      </c>
      <c r="H5774" t="s">
        <v>27</v>
      </c>
      <c r="I5774" s="12">
        <v>0.4826388888888889</v>
      </c>
      <c r="J5774" t="s">
        <v>53</v>
      </c>
      <c r="K5774" t="s">
        <v>27</v>
      </c>
      <c r="L5774" s="12">
        <v>0.51041666666666663</v>
      </c>
      <c r="M5774" t="s">
        <v>23</v>
      </c>
      <c r="N5774" s="3">
        <v>186</v>
      </c>
      <c r="O5774" t="s">
        <v>24</v>
      </c>
      <c r="P5774" t="s">
        <v>25</v>
      </c>
      <c r="R5774">
        <f>tblDailySchedule[[#This Row],[Capacity Approx]]*'[1]Load Factor Sheet June Acft  '!$B$5</f>
        <v>150.61772727272728</v>
      </c>
      <c r="S5774">
        <f>tblDailySchedule[[#This Row],[Capacity Approx]]*'[1]Load Factor Sheet June Acft  '!$D$5</f>
        <v>163.08818181818182</v>
      </c>
      <c r="T5774" s="22">
        <f>tblDailySchedule[[#This Row],[STD]]</f>
        <v>0.51041666666666663</v>
      </c>
    </row>
    <row r="5775" spans="1:20" hidden="1" x14ac:dyDescent="0.35">
      <c r="A5775" s="11">
        <v>46318</v>
      </c>
      <c r="B5775" s="3">
        <v>5</v>
      </c>
      <c r="C5775" t="s">
        <v>115</v>
      </c>
      <c r="D5775" t="s">
        <v>18</v>
      </c>
      <c r="E5775" s="3">
        <v>11</v>
      </c>
      <c r="F5775" t="s">
        <v>19</v>
      </c>
      <c r="G5775" t="s">
        <v>54</v>
      </c>
      <c r="H5775" t="s">
        <v>31</v>
      </c>
      <c r="I5775" s="12">
        <v>0.51388888888888884</v>
      </c>
      <c r="J5775" t="s">
        <v>55</v>
      </c>
      <c r="K5775" t="s">
        <v>31</v>
      </c>
      <c r="L5775" s="12">
        <v>0.54166666666666663</v>
      </c>
      <c r="M5775" t="s">
        <v>23</v>
      </c>
      <c r="N5775" s="3">
        <v>186</v>
      </c>
      <c r="O5775" t="s">
        <v>24</v>
      </c>
      <c r="P5775" t="s">
        <v>56</v>
      </c>
      <c r="R5775">
        <f>tblDailySchedule[[#This Row],[Capacity Approx]]*'[1]Load Factor Sheet June Acft  '!$B$5</f>
        <v>150.61772727272728</v>
      </c>
      <c r="S5775">
        <f>tblDailySchedule[[#This Row],[Capacity Approx]]*'[1]Load Factor Sheet June Acft  '!$D$5</f>
        <v>163.08818181818182</v>
      </c>
      <c r="T5775" s="22">
        <f>tblDailySchedule[[#This Row],[STD]]</f>
        <v>0.54166666666666663</v>
      </c>
    </row>
    <row r="5776" spans="1:20" hidden="1" x14ac:dyDescent="0.35">
      <c r="A5776" s="11">
        <v>46318</v>
      </c>
      <c r="B5776" s="3">
        <v>5</v>
      </c>
      <c r="C5776" t="s">
        <v>115</v>
      </c>
      <c r="D5776" t="s">
        <v>18</v>
      </c>
      <c r="E5776" s="3">
        <v>13</v>
      </c>
      <c r="F5776" t="s">
        <v>19</v>
      </c>
      <c r="G5776" t="s">
        <v>57</v>
      </c>
      <c r="H5776" t="s">
        <v>58</v>
      </c>
      <c r="I5776" s="12">
        <v>0.55902777777777779</v>
      </c>
      <c r="J5776" t="s">
        <v>59</v>
      </c>
      <c r="K5776" t="s">
        <v>58</v>
      </c>
      <c r="L5776" s="12">
        <v>0.57638888888888884</v>
      </c>
      <c r="M5776" t="s">
        <v>51</v>
      </c>
      <c r="N5776" s="3">
        <v>78</v>
      </c>
      <c r="O5776" t="s">
        <v>24</v>
      </c>
      <c r="P5776" t="s">
        <v>56</v>
      </c>
      <c r="R5776">
        <f>tblDailySchedule[[#This Row],[Capacity Approx]]*'[1]Load Factor Sheet June Acft  '!$B$5</f>
        <v>63.162272727272729</v>
      </c>
      <c r="S5776">
        <f>tblDailySchedule[[#This Row],[Capacity Approx]]*'[1]Load Factor Sheet June Acft  '!$D$5</f>
        <v>68.391818181818181</v>
      </c>
      <c r="T5776" s="22">
        <f>tblDailySchedule[[#This Row],[STD]]</f>
        <v>0.57638888888888884</v>
      </c>
    </row>
    <row r="5777" spans="1:20" hidden="1" x14ac:dyDescent="0.35">
      <c r="A5777" s="11">
        <v>46318</v>
      </c>
      <c r="B5777" s="3">
        <v>5</v>
      </c>
      <c r="C5777" t="s">
        <v>115</v>
      </c>
      <c r="D5777" t="s">
        <v>18</v>
      </c>
      <c r="E5777" s="3">
        <v>14</v>
      </c>
      <c r="F5777" t="s">
        <v>19</v>
      </c>
      <c r="G5777" t="s">
        <v>60</v>
      </c>
      <c r="H5777" t="s">
        <v>61</v>
      </c>
      <c r="I5777" s="12">
        <v>0.59027777777777779</v>
      </c>
      <c r="J5777" t="s">
        <v>62</v>
      </c>
      <c r="K5777" t="s">
        <v>61</v>
      </c>
      <c r="L5777" s="12">
        <v>0.62152777777777779</v>
      </c>
      <c r="M5777" t="s">
        <v>63</v>
      </c>
      <c r="N5777" s="3">
        <v>232</v>
      </c>
      <c r="O5777" t="s">
        <v>24</v>
      </c>
      <c r="P5777" t="s">
        <v>56</v>
      </c>
      <c r="R5777">
        <f>tblDailySchedule[[#This Row],[Capacity Approx]]*'[1]Load Factor Sheet June Acft  '!$B$5</f>
        <v>187.86727272727273</v>
      </c>
      <c r="S5777">
        <f>tblDailySchedule[[#This Row],[Capacity Approx]]*'[1]Load Factor Sheet June Acft  '!$D$5</f>
        <v>203.4218181818182</v>
      </c>
      <c r="T5777" s="22">
        <f>tblDailySchedule[[#This Row],[STD]]</f>
        <v>0.62152777777777779</v>
      </c>
    </row>
    <row r="5778" spans="1:20" hidden="1" x14ac:dyDescent="0.35">
      <c r="A5778" s="11">
        <v>46318</v>
      </c>
      <c r="B5778" s="3">
        <v>5</v>
      </c>
      <c r="C5778" t="s">
        <v>115</v>
      </c>
      <c r="D5778" t="s">
        <v>18</v>
      </c>
      <c r="E5778" s="3">
        <v>15</v>
      </c>
      <c r="F5778" t="s">
        <v>19</v>
      </c>
      <c r="G5778" t="s">
        <v>64</v>
      </c>
      <c r="H5778" t="s">
        <v>31</v>
      </c>
      <c r="I5778" s="12">
        <v>0.60069444444444442</v>
      </c>
      <c r="J5778" t="s">
        <v>65</v>
      </c>
      <c r="K5778" t="s">
        <v>66</v>
      </c>
      <c r="L5778" s="12">
        <v>0.62847222222222221</v>
      </c>
      <c r="M5778" t="s">
        <v>63</v>
      </c>
      <c r="N5778" s="3">
        <v>232</v>
      </c>
      <c r="O5778" t="s">
        <v>24</v>
      </c>
      <c r="P5778" t="s">
        <v>56</v>
      </c>
      <c r="R5778">
        <f>tblDailySchedule[[#This Row],[Capacity Approx]]*'[1]Load Factor Sheet June Acft  '!$B$5</f>
        <v>187.86727272727273</v>
      </c>
      <c r="S5778">
        <f>tblDailySchedule[[#This Row],[Capacity Approx]]*'[1]Load Factor Sheet June Acft  '!$D$5</f>
        <v>203.4218181818182</v>
      </c>
      <c r="T5778" s="22">
        <f>tblDailySchedule[[#This Row],[STD]]</f>
        <v>0.62847222222222221</v>
      </c>
    </row>
    <row r="5779" spans="1:20" hidden="1" x14ac:dyDescent="0.35">
      <c r="A5779" s="11">
        <v>46318</v>
      </c>
      <c r="B5779" s="3">
        <v>5</v>
      </c>
      <c r="C5779" t="s">
        <v>115</v>
      </c>
      <c r="D5779" t="s">
        <v>18</v>
      </c>
      <c r="E5779" s="3">
        <v>16</v>
      </c>
      <c r="F5779" t="s">
        <v>19</v>
      </c>
      <c r="G5779" t="s">
        <v>67</v>
      </c>
      <c r="H5779" t="s">
        <v>31</v>
      </c>
      <c r="I5779" s="12">
        <v>0.65625</v>
      </c>
      <c r="J5779" t="s">
        <v>68</v>
      </c>
      <c r="K5779" t="s">
        <v>31</v>
      </c>
      <c r="L5779" s="12">
        <v>0.68402777777777779</v>
      </c>
      <c r="M5779" t="s">
        <v>63</v>
      </c>
      <c r="N5779" s="3">
        <v>232</v>
      </c>
      <c r="O5779" t="s">
        <v>24</v>
      </c>
      <c r="P5779" t="s">
        <v>56</v>
      </c>
      <c r="R5779">
        <f>tblDailySchedule[[#This Row],[Capacity Approx]]*'[1]Load Factor Sheet June Acft  '!$B$5</f>
        <v>187.86727272727273</v>
      </c>
      <c r="S5779">
        <f>tblDailySchedule[[#This Row],[Capacity Approx]]*'[1]Load Factor Sheet June Acft  '!$D$5</f>
        <v>203.4218181818182</v>
      </c>
      <c r="T5779" s="22">
        <f>tblDailySchedule[[#This Row],[STD]]</f>
        <v>0.68402777777777779</v>
      </c>
    </row>
    <row r="5780" spans="1:20" hidden="1" x14ac:dyDescent="0.35">
      <c r="A5780" s="11">
        <v>46318</v>
      </c>
      <c r="B5780" s="3">
        <v>5</v>
      </c>
      <c r="C5780" t="s">
        <v>115</v>
      </c>
      <c r="D5780" t="s">
        <v>18</v>
      </c>
      <c r="E5780" s="3">
        <v>17</v>
      </c>
      <c r="F5780" t="s">
        <v>19</v>
      </c>
      <c r="G5780" t="s">
        <v>69</v>
      </c>
      <c r="H5780" t="s">
        <v>31</v>
      </c>
      <c r="I5780" s="12">
        <v>0.66319444444444442</v>
      </c>
      <c r="J5780" t="s">
        <v>70</v>
      </c>
      <c r="K5780" t="s">
        <v>31</v>
      </c>
      <c r="L5780" s="12">
        <v>0.69097222222222221</v>
      </c>
      <c r="M5780" t="s">
        <v>33</v>
      </c>
      <c r="N5780" s="3">
        <v>189</v>
      </c>
      <c r="O5780" t="s">
        <v>24</v>
      </c>
      <c r="P5780" t="s">
        <v>56</v>
      </c>
      <c r="R5780">
        <f>tblDailySchedule[[#This Row],[Capacity Approx]]*'[1]Load Factor Sheet June Acft  '!$B$5</f>
        <v>153.04704545454547</v>
      </c>
      <c r="S5780">
        <f>tblDailySchedule[[#This Row],[Capacity Approx]]*'[1]Load Factor Sheet June Acft  '!$D$5</f>
        <v>165.71863636363636</v>
      </c>
      <c r="T5780" s="22">
        <f>tblDailySchedule[[#This Row],[STD]]</f>
        <v>0.69097222222222221</v>
      </c>
    </row>
    <row r="5781" spans="1:20" hidden="1" x14ac:dyDescent="0.35">
      <c r="A5781" s="11">
        <v>46318</v>
      </c>
      <c r="B5781" s="3">
        <v>5</v>
      </c>
      <c r="C5781" t="s">
        <v>115</v>
      </c>
      <c r="D5781" t="s">
        <v>18</v>
      </c>
      <c r="E5781" s="3">
        <v>18</v>
      </c>
      <c r="F5781" t="s">
        <v>19</v>
      </c>
      <c r="G5781" t="s">
        <v>71</v>
      </c>
      <c r="H5781" t="s">
        <v>21</v>
      </c>
      <c r="I5781" s="12">
        <v>0.67013888888888884</v>
      </c>
      <c r="J5781" t="s">
        <v>72</v>
      </c>
      <c r="K5781" t="s">
        <v>21</v>
      </c>
      <c r="L5781" s="12">
        <v>0.69791666666666663</v>
      </c>
      <c r="M5781" t="s">
        <v>63</v>
      </c>
      <c r="N5781" s="3">
        <v>232</v>
      </c>
      <c r="O5781" t="s">
        <v>24</v>
      </c>
      <c r="P5781" t="s">
        <v>56</v>
      </c>
      <c r="R5781">
        <f>tblDailySchedule[[#This Row],[Capacity Approx]]*'[1]Load Factor Sheet June Acft  '!$B$5</f>
        <v>187.86727272727273</v>
      </c>
      <c r="S5781">
        <f>tblDailySchedule[[#This Row],[Capacity Approx]]*'[1]Load Factor Sheet June Acft  '!$D$5</f>
        <v>203.4218181818182</v>
      </c>
      <c r="T5781" s="22">
        <f>tblDailySchedule[[#This Row],[STD]]</f>
        <v>0.69791666666666663</v>
      </c>
    </row>
    <row r="5782" spans="1:20" hidden="1" x14ac:dyDescent="0.35">
      <c r="A5782" s="11">
        <v>46318</v>
      </c>
      <c r="B5782" s="3">
        <v>5</v>
      </c>
      <c r="C5782" t="s">
        <v>115</v>
      </c>
      <c r="D5782" t="s">
        <v>18</v>
      </c>
      <c r="E5782" s="3">
        <v>19</v>
      </c>
      <c r="F5782" t="s">
        <v>19</v>
      </c>
      <c r="G5782" t="s">
        <v>73</v>
      </c>
      <c r="H5782" t="s">
        <v>27</v>
      </c>
      <c r="I5782" s="12">
        <v>0.74652777777777779</v>
      </c>
      <c r="J5782" t="s">
        <v>74</v>
      </c>
      <c r="K5782" t="s">
        <v>27</v>
      </c>
      <c r="L5782" s="12">
        <v>0.77430555555555558</v>
      </c>
      <c r="M5782" t="s">
        <v>63</v>
      </c>
      <c r="N5782" s="3">
        <v>232</v>
      </c>
      <c r="O5782" t="s">
        <v>24</v>
      </c>
      <c r="P5782" t="s">
        <v>56</v>
      </c>
      <c r="R5782">
        <f>tblDailySchedule[[#This Row],[Capacity Approx]]*'[1]Load Factor Sheet June Acft  '!$B$5</f>
        <v>187.86727272727273</v>
      </c>
      <c r="S5782">
        <f>tblDailySchedule[[#This Row],[Capacity Approx]]*'[1]Load Factor Sheet June Acft  '!$D$5</f>
        <v>203.4218181818182</v>
      </c>
      <c r="T5782" s="22">
        <f>tblDailySchedule[[#This Row],[STD]]</f>
        <v>0.77430555555555558</v>
      </c>
    </row>
    <row r="5783" spans="1:20" hidden="1" x14ac:dyDescent="0.35">
      <c r="A5783" s="11">
        <v>46318</v>
      </c>
      <c r="B5783" s="3">
        <v>5</v>
      </c>
      <c r="C5783" t="s">
        <v>115</v>
      </c>
      <c r="D5783" t="s">
        <v>18</v>
      </c>
      <c r="E5783" s="3">
        <v>20</v>
      </c>
      <c r="F5783" t="s">
        <v>34</v>
      </c>
      <c r="G5783" t="s">
        <v>75</v>
      </c>
      <c r="H5783" t="s">
        <v>76</v>
      </c>
      <c r="I5783" s="12">
        <v>0.76388888888888884</v>
      </c>
      <c r="J5783" t="s">
        <v>77</v>
      </c>
      <c r="K5783" t="s">
        <v>78</v>
      </c>
      <c r="L5783" s="12">
        <v>0.78472222222222221</v>
      </c>
      <c r="M5783" t="s">
        <v>51</v>
      </c>
      <c r="N5783" s="3">
        <v>78</v>
      </c>
      <c r="O5783" t="s">
        <v>24</v>
      </c>
      <c r="P5783" t="s">
        <v>79</v>
      </c>
      <c r="Q5783" s="16" t="s">
        <v>80</v>
      </c>
      <c r="R5783">
        <f>tblDailySchedule[[#This Row],[Capacity Approx]]*'[1]Load Factor Sheet June Acft  '!$B$5</f>
        <v>63.162272727272729</v>
      </c>
      <c r="S5783">
        <f>tblDailySchedule[[#This Row],[Capacity Approx]]*'[1]Load Factor Sheet June Acft  '!$D$5</f>
        <v>68.391818181818181</v>
      </c>
      <c r="T5783" s="22">
        <f>tblDailySchedule[[#This Row],[STD]]</f>
        <v>0.78472222222222221</v>
      </c>
    </row>
    <row r="5784" spans="1:20" hidden="1" x14ac:dyDescent="0.35">
      <c r="A5784" s="11">
        <v>46318</v>
      </c>
      <c r="B5784" s="3">
        <v>5</v>
      </c>
      <c r="C5784" t="s">
        <v>115</v>
      </c>
      <c r="D5784" t="s">
        <v>18</v>
      </c>
      <c r="E5784" s="3">
        <v>21</v>
      </c>
      <c r="F5784" t="s">
        <v>19</v>
      </c>
      <c r="G5784" t="s">
        <v>81</v>
      </c>
      <c r="H5784" t="s">
        <v>61</v>
      </c>
      <c r="I5784" s="12">
        <v>0.77083333333333337</v>
      </c>
      <c r="J5784" t="s">
        <v>82</v>
      </c>
      <c r="K5784" t="s">
        <v>49</v>
      </c>
      <c r="L5784" s="12">
        <v>0.79166666666666663</v>
      </c>
      <c r="M5784" t="s">
        <v>33</v>
      </c>
      <c r="N5784" s="3">
        <v>189</v>
      </c>
      <c r="O5784" t="s">
        <v>24</v>
      </c>
      <c r="P5784" t="s">
        <v>79</v>
      </c>
      <c r="R5784">
        <f>tblDailySchedule[[#This Row],[Capacity Approx]]*'[1]Load Factor Sheet June Acft  '!$B$5</f>
        <v>153.04704545454547</v>
      </c>
      <c r="S5784">
        <f>tblDailySchedule[[#This Row],[Capacity Approx]]*'[1]Load Factor Sheet June Acft  '!$D$5</f>
        <v>165.71863636363636</v>
      </c>
      <c r="T5784" s="22">
        <f>tblDailySchedule[[#This Row],[STD]]</f>
        <v>0.79166666666666663</v>
      </c>
    </row>
    <row r="5785" spans="1:20" hidden="1" x14ac:dyDescent="0.35">
      <c r="A5785" s="11">
        <v>46318</v>
      </c>
      <c r="B5785" s="3">
        <v>5</v>
      </c>
      <c r="C5785" t="s">
        <v>115</v>
      </c>
      <c r="D5785" t="s">
        <v>18</v>
      </c>
      <c r="E5785" s="3">
        <v>22</v>
      </c>
      <c r="F5785" t="s">
        <v>19</v>
      </c>
      <c r="G5785" t="s">
        <v>83</v>
      </c>
      <c r="H5785" t="s">
        <v>31</v>
      </c>
      <c r="I5785" s="12">
        <v>0.77777777777777779</v>
      </c>
      <c r="J5785" t="s">
        <v>84</v>
      </c>
      <c r="K5785" t="s">
        <v>31</v>
      </c>
      <c r="L5785" s="12">
        <v>0.80555555555555558</v>
      </c>
      <c r="M5785" t="s">
        <v>63</v>
      </c>
      <c r="N5785" s="3">
        <v>232</v>
      </c>
      <c r="O5785" t="s">
        <v>24</v>
      </c>
      <c r="P5785" t="s">
        <v>79</v>
      </c>
      <c r="R5785">
        <f>tblDailySchedule[[#This Row],[Capacity Approx]]*'[1]Load Factor Sheet June Acft  '!$B$5</f>
        <v>187.86727272727273</v>
      </c>
      <c r="S5785">
        <f>tblDailySchedule[[#This Row],[Capacity Approx]]*'[1]Load Factor Sheet June Acft  '!$D$5</f>
        <v>203.4218181818182</v>
      </c>
      <c r="T5785" s="22">
        <f>tblDailySchedule[[#This Row],[STD]]</f>
        <v>0.80555555555555558</v>
      </c>
    </row>
    <row r="5786" spans="1:20" hidden="1" x14ac:dyDescent="0.35">
      <c r="A5786" s="11">
        <v>46318</v>
      </c>
      <c r="B5786" s="3">
        <v>5</v>
      </c>
      <c r="C5786" t="s">
        <v>115</v>
      </c>
      <c r="D5786" t="s">
        <v>18</v>
      </c>
      <c r="E5786" s="3">
        <v>23</v>
      </c>
      <c r="F5786" t="s">
        <v>19</v>
      </c>
      <c r="G5786" t="s">
        <v>85</v>
      </c>
      <c r="H5786" t="s">
        <v>86</v>
      </c>
      <c r="I5786" s="12">
        <v>0.79861111111111116</v>
      </c>
      <c r="J5786" t="s">
        <v>87</v>
      </c>
      <c r="K5786" t="s">
        <v>86</v>
      </c>
      <c r="L5786" s="12">
        <v>0.82638888888888884</v>
      </c>
      <c r="M5786" t="s">
        <v>63</v>
      </c>
      <c r="N5786" s="3">
        <v>232</v>
      </c>
      <c r="O5786" t="s">
        <v>24</v>
      </c>
      <c r="P5786" t="s">
        <v>79</v>
      </c>
      <c r="R5786">
        <f>tblDailySchedule[[#This Row],[Capacity Approx]]*'[1]Load Factor Sheet June Acft  '!$B$5</f>
        <v>187.86727272727273</v>
      </c>
      <c r="S5786">
        <f>tblDailySchedule[[#This Row],[Capacity Approx]]*'[1]Load Factor Sheet June Acft  '!$D$5</f>
        <v>203.4218181818182</v>
      </c>
      <c r="T5786" s="22">
        <f>tblDailySchedule[[#This Row],[STD]]</f>
        <v>0.82638888888888884</v>
      </c>
    </row>
    <row r="5787" spans="1:20" hidden="1" x14ac:dyDescent="0.35">
      <c r="A5787" s="11">
        <v>46318</v>
      </c>
      <c r="B5787" s="3">
        <v>5</v>
      </c>
      <c r="C5787" t="s">
        <v>115</v>
      </c>
      <c r="D5787" t="s">
        <v>18</v>
      </c>
      <c r="E5787" s="3">
        <v>24</v>
      </c>
      <c r="F5787" t="s">
        <v>19</v>
      </c>
      <c r="G5787" t="s">
        <v>88</v>
      </c>
      <c r="H5787" t="s">
        <v>89</v>
      </c>
      <c r="I5787" s="12">
        <v>0.83333333333333337</v>
      </c>
      <c r="J5787" t="s">
        <v>90</v>
      </c>
      <c r="K5787" t="s">
        <v>31</v>
      </c>
      <c r="L5787" s="12">
        <v>0.86111111111111116</v>
      </c>
      <c r="M5787" t="s">
        <v>63</v>
      </c>
      <c r="N5787" s="3">
        <v>232</v>
      </c>
      <c r="O5787" t="s">
        <v>24</v>
      </c>
      <c r="P5787" t="s">
        <v>79</v>
      </c>
      <c r="R5787">
        <f>tblDailySchedule[[#This Row],[Capacity Approx]]*'[1]Load Factor Sheet June Acft  '!$B$5</f>
        <v>187.86727272727273</v>
      </c>
      <c r="S5787">
        <f>tblDailySchedule[[#This Row],[Capacity Approx]]*'[1]Load Factor Sheet June Acft  '!$D$5</f>
        <v>203.4218181818182</v>
      </c>
      <c r="T5787" s="22">
        <f>tblDailySchedule[[#This Row],[STD]]</f>
        <v>0.86111111111111116</v>
      </c>
    </row>
    <row r="5788" spans="1:20" hidden="1" x14ac:dyDescent="0.35">
      <c r="A5788" s="11">
        <v>46318</v>
      </c>
      <c r="B5788" s="3">
        <v>5</v>
      </c>
      <c r="C5788" t="s">
        <v>115</v>
      </c>
      <c r="D5788" t="s">
        <v>18</v>
      </c>
      <c r="E5788" s="3">
        <v>25</v>
      </c>
      <c r="F5788" t="s">
        <v>19</v>
      </c>
      <c r="G5788" t="s">
        <v>91</v>
      </c>
      <c r="H5788" t="s">
        <v>61</v>
      </c>
      <c r="I5788" s="12">
        <v>0.85416666666666663</v>
      </c>
      <c r="J5788" t="s">
        <v>92</v>
      </c>
      <c r="K5788" t="s">
        <v>61</v>
      </c>
      <c r="L5788" s="12">
        <v>0.88194444444444442</v>
      </c>
      <c r="M5788" t="s">
        <v>63</v>
      </c>
      <c r="N5788" s="3">
        <v>232</v>
      </c>
      <c r="O5788" t="s">
        <v>24</v>
      </c>
      <c r="P5788" t="s">
        <v>79</v>
      </c>
      <c r="R5788">
        <f>tblDailySchedule[[#This Row],[Capacity Approx]]*'[1]Load Factor Sheet June Acft  '!$B$5</f>
        <v>187.86727272727273</v>
      </c>
      <c r="S5788">
        <f>tblDailySchedule[[#This Row],[Capacity Approx]]*'[1]Load Factor Sheet June Acft  '!$D$5</f>
        <v>203.4218181818182</v>
      </c>
      <c r="T5788" s="22">
        <f>tblDailySchedule[[#This Row],[STD]]</f>
        <v>0.88194444444444442</v>
      </c>
    </row>
    <row r="5789" spans="1:20" hidden="1" x14ac:dyDescent="0.35">
      <c r="A5789" s="11">
        <v>46318</v>
      </c>
      <c r="B5789" s="3">
        <v>5</v>
      </c>
      <c r="C5789" t="s">
        <v>115</v>
      </c>
      <c r="D5789" t="s">
        <v>18</v>
      </c>
      <c r="E5789" s="3">
        <v>26</v>
      </c>
      <c r="F5789" t="s">
        <v>19</v>
      </c>
      <c r="G5789" t="s">
        <v>93</v>
      </c>
      <c r="H5789" t="s">
        <v>31</v>
      </c>
      <c r="I5789" s="12">
        <v>0.86111111111111116</v>
      </c>
      <c r="J5789" t="s">
        <v>94</v>
      </c>
      <c r="K5789" t="s">
        <v>31</v>
      </c>
      <c r="L5789" s="12">
        <v>0.88888888888888884</v>
      </c>
      <c r="M5789" t="s">
        <v>23</v>
      </c>
      <c r="N5789" s="3">
        <v>186</v>
      </c>
      <c r="O5789" t="s">
        <v>24</v>
      </c>
      <c r="P5789" t="s">
        <v>79</v>
      </c>
      <c r="R5789">
        <f>tblDailySchedule[[#This Row],[Capacity Approx]]*'[1]Load Factor Sheet June Acft  '!$B$5</f>
        <v>150.61772727272728</v>
      </c>
      <c r="S5789">
        <f>tblDailySchedule[[#This Row],[Capacity Approx]]*'[1]Load Factor Sheet June Acft  '!$D$5</f>
        <v>163.08818181818182</v>
      </c>
      <c r="T5789" s="22">
        <f>tblDailySchedule[[#This Row],[STD]]</f>
        <v>0.88888888888888884</v>
      </c>
    </row>
    <row r="5790" spans="1:20" hidden="1" x14ac:dyDescent="0.35">
      <c r="A5790" s="11">
        <v>46318</v>
      </c>
      <c r="B5790" s="3">
        <v>5</v>
      </c>
      <c r="C5790" t="s">
        <v>115</v>
      </c>
      <c r="D5790" t="s">
        <v>18</v>
      </c>
      <c r="E5790" s="3">
        <v>27</v>
      </c>
      <c r="F5790" t="s">
        <v>19</v>
      </c>
      <c r="G5790" t="s">
        <v>95</v>
      </c>
      <c r="H5790" t="s">
        <v>21</v>
      </c>
      <c r="I5790" s="12">
        <v>0.86805555555555558</v>
      </c>
      <c r="J5790" t="s">
        <v>96</v>
      </c>
      <c r="K5790" t="s">
        <v>21</v>
      </c>
      <c r="L5790" s="12">
        <v>0.89583333333333337</v>
      </c>
      <c r="M5790" t="s">
        <v>29</v>
      </c>
      <c r="N5790" s="3">
        <v>186</v>
      </c>
      <c r="O5790" t="s">
        <v>24</v>
      </c>
      <c r="P5790" t="s">
        <v>79</v>
      </c>
      <c r="R5790">
        <f>tblDailySchedule[[#This Row],[Capacity Approx]]*'[1]Load Factor Sheet June Acft  '!$B$5</f>
        <v>150.61772727272728</v>
      </c>
      <c r="S5790">
        <f>tblDailySchedule[[#This Row],[Capacity Approx]]*'[1]Load Factor Sheet June Acft  '!$D$5</f>
        <v>163.08818181818182</v>
      </c>
      <c r="T5790" s="22">
        <f>tblDailySchedule[[#This Row],[STD]]</f>
        <v>0.89583333333333337</v>
      </c>
    </row>
    <row r="5791" spans="1:20" hidden="1" x14ac:dyDescent="0.35">
      <c r="A5791" s="11">
        <v>46318</v>
      </c>
      <c r="B5791" s="3">
        <v>5</v>
      </c>
      <c r="C5791" t="s">
        <v>115</v>
      </c>
      <c r="D5791" t="s">
        <v>18</v>
      </c>
      <c r="E5791" s="3">
        <v>28</v>
      </c>
      <c r="F5791" t="s">
        <v>19</v>
      </c>
      <c r="G5791" t="s">
        <v>97</v>
      </c>
      <c r="H5791" t="s">
        <v>49</v>
      </c>
      <c r="I5791" s="12">
        <v>0.90277777777777779</v>
      </c>
      <c r="J5791" t="s">
        <v>97</v>
      </c>
      <c r="K5791" t="s">
        <v>61</v>
      </c>
      <c r="L5791" s="12">
        <v>0.92361111111111116</v>
      </c>
      <c r="M5791" t="s">
        <v>33</v>
      </c>
      <c r="N5791" s="3">
        <v>189</v>
      </c>
      <c r="O5791" t="s">
        <v>24</v>
      </c>
      <c r="P5791" t="s">
        <v>79</v>
      </c>
      <c r="R5791">
        <f>tblDailySchedule[[#This Row],[Capacity Approx]]*'[1]Load Factor Sheet June Acft  '!$B$5</f>
        <v>153.04704545454547</v>
      </c>
      <c r="S5791">
        <f>tblDailySchedule[[#This Row],[Capacity Approx]]*'[1]Load Factor Sheet June Acft  '!$D$5</f>
        <v>165.71863636363636</v>
      </c>
      <c r="T5791" s="22">
        <f>tblDailySchedule[[#This Row],[STD]]</f>
        <v>0.92361111111111116</v>
      </c>
    </row>
    <row r="5792" spans="1:20" hidden="1" x14ac:dyDescent="0.35">
      <c r="A5792" s="11">
        <v>46318</v>
      </c>
      <c r="B5792" s="3">
        <v>5</v>
      </c>
      <c r="C5792" t="s">
        <v>115</v>
      </c>
      <c r="D5792" t="s">
        <v>18</v>
      </c>
      <c r="E5792" s="3">
        <v>29</v>
      </c>
      <c r="F5792" t="s">
        <v>19</v>
      </c>
      <c r="G5792" t="s">
        <v>98</v>
      </c>
      <c r="H5792" t="s">
        <v>21</v>
      </c>
      <c r="I5792" s="12">
        <v>0.92013888888888884</v>
      </c>
      <c r="J5792" t="s">
        <v>99</v>
      </c>
      <c r="K5792" t="s">
        <v>21</v>
      </c>
      <c r="L5792" s="12">
        <v>0.94791666666666663</v>
      </c>
      <c r="M5792" t="s">
        <v>63</v>
      </c>
      <c r="N5792" s="3">
        <v>232</v>
      </c>
      <c r="O5792" t="s">
        <v>24</v>
      </c>
      <c r="P5792" t="s">
        <v>79</v>
      </c>
      <c r="R5792">
        <f>tblDailySchedule[[#This Row],[Capacity Approx]]*'[1]Load Factor Sheet June Acft  '!$B$5</f>
        <v>187.86727272727273</v>
      </c>
      <c r="S5792">
        <f>tblDailySchedule[[#This Row],[Capacity Approx]]*'[1]Load Factor Sheet June Acft  '!$D$5</f>
        <v>203.4218181818182</v>
      </c>
      <c r="T5792" s="22">
        <f>tblDailySchedule[[#This Row],[STD]]</f>
        <v>0.94791666666666663</v>
      </c>
    </row>
    <row r="5793" spans="1:20" hidden="1" x14ac:dyDescent="0.35">
      <c r="A5793" s="13">
        <v>46318</v>
      </c>
      <c r="B5793" s="7">
        <v>5</v>
      </c>
      <c r="C5793" s="14" t="s">
        <v>115</v>
      </c>
      <c r="D5793" s="14" t="s">
        <v>18</v>
      </c>
      <c r="E5793" s="7">
        <v>30</v>
      </c>
      <c r="F5793" s="14" t="s">
        <v>104</v>
      </c>
      <c r="G5793" s="14" t="s">
        <v>105</v>
      </c>
      <c r="H5793" s="14" t="s">
        <v>106</v>
      </c>
      <c r="I5793" s="15">
        <v>0.92708333333333337</v>
      </c>
      <c r="J5793" s="14" t="s">
        <v>107</v>
      </c>
      <c r="K5793" s="14" t="s">
        <v>106</v>
      </c>
      <c r="L5793" s="15">
        <v>0.95833333333333337</v>
      </c>
      <c r="M5793" s="14" t="s">
        <v>38</v>
      </c>
      <c r="N5793" s="7">
        <v>186</v>
      </c>
      <c r="O5793" s="14" t="s">
        <v>39</v>
      </c>
      <c r="P5793" s="14" t="s">
        <v>79</v>
      </c>
      <c r="Q5793" s="14" t="s">
        <v>39</v>
      </c>
      <c r="R5793">
        <f>tblDailySchedule[[#This Row],[Capacity Approx]]*'[1]Load Factor Sheet June Acft  '!$B$5</f>
        <v>150.61772727272728</v>
      </c>
      <c r="S5793">
        <f>tblDailySchedule[[#This Row],[Capacity Approx]]*'[1]Load Factor Sheet June Acft  '!$D$5</f>
        <v>163.08818181818182</v>
      </c>
      <c r="T5793" s="22">
        <f>tblDailySchedule[[#This Row],[STD]]</f>
        <v>0.95833333333333337</v>
      </c>
    </row>
    <row r="5794" spans="1:20" hidden="1" x14ac:dyDescent="0.35">
      <c r="A5794" s="11">
        <v>46319</v>
      </c>
      <c r="B5794" s="3">
        <v>6</v>
      </c>
      <c r="C5794" t="s">
        <v>116</v>
      </c>
      <c r="D5794" t="s">
        <v>18</v>
      </c>
      <c r="E5794" s="3">
        <v>1</v>
      </c>
      <c r="F5794" t="s">
        <v>101</v>
      </c>
      <c r="G5794" t="s">
        <v>102</v>
      </c>
      <c r="H5794" t="s">
        <v>61</v>
      </c>
      <c r="I5794" s="12">
        <v>0.3125</v>
      </c>
      <c r="J5794" t="s">
        <v>103</v>
      </c>
      <c r="K5794" t="s">
        <v>61</v>
      </c>
      <c r="L5794" s="12">
        <v>0.33333333333333331</v>
      </c>
      <c r="M5794" t="s">
        <v>33</v>
      </c>
      <c r="N5794" s="3">
        <v>189</v>
      </c>
      <c r="O5794" t="s">
        <v>24</v>
      </c>
      <c r="P5794" t="s">
        <v>25</v>
      </c>
      <c r="R5794">
        <f>tblDailySchedule[[#This Row],[Capacity Approx]]*'[1]Load Factor Sheet June Acft  '!$B$5</f>
        <v>153.04704545454547</v>
      </c>
      <c r="S5794">
        <f>tblDailySchedule[[#This Row],[Capacity Approx]]*'[1]Load Factor Sheet June Acft  '!$D$5</f>
        <v>165.71863636363636</v>
      </c>
      <c r="T5794" s="22">
        <f>tblDailySchedule[[#This Row],[STD]]</f>
        <v>0.33333333333333331</v>
      </c>
    </row>
    <row r="5795" spans="1:20" hidden="1" x14ac:dyDescent="0.35">
      <c r="A5795" s="11">
        <v>46319</v>
      </c>
      <c r="B5795" s="3">
        <v>6</v>
      </c>
      <c r="C5795" t="s">
        <v>116</v>
      </c>
      <c r="D5795" t="s">
        <v>18</v>
      </c>
      <c r="E5795" s="3">
        <v>2</v>
      </c>
      <c r="F5795" t="s">
        <v>19</v>
      </c>
      <c r="G5795" t="s">
        <v>20</v>
      </c>
      <c r="H5795" t="s">
        <v>21</v>
      </c>
      <c r="I5795" s="12">
        <v>0.31944444444444442</v>
      </c>
      <c r="J5795" t="s">
        <v>22</v>
      </c>
      <c r="K5795" t="s">
        <v>21</v>
      </c>
      <c r="L5795" s="12">
        <v>0.34722222222222221</v>
      </c>
      <c r="M5795" t="s">
        <v>23</v>
      </c>
      <c r="N5795" s="3">
        <v>186</v>
      </c>
      <c r="O5795" t="s">
        <v>24</v>
      </c>
      <c r="P5795" t="s">
        <v>25</v>
      </c>
      <c r="R5795">
        <f>tblDailySchedule[[#This Row],[Capacity Approx]]*'[1]Load Factor Sheet June Acft  '!$B$5</f>
        <v>150.61772727272728</v>
      </c>
      <c r="S5795">
        <f>tblDailySchedule[[#This Row],[Capacity Approx]]*'[1]Load Factor Sheet June Acft  '!$D$5</f>
        <v>163.08818181818182</v>
      </c>
      <c r="T5795" s="22">
        <f>tblDailySchedule[[#This Row],[STD]]</f>
        <v>0.34722222222222221</v>
      </c>
    </row>
    <row r="5796" spans="1:20" hidden="1" x14ac:dyDescent="0.35">
      <c r="A5796" s="11">
        <v>46319</v>
      </c>
      <c r="B5796" s="3">
        <v>6</v>
      </c>
      <c r="C5796" t="s">
        <v>116</v>
      </c>
      <c r="D5796" t="s">
        <v>18</v>
      </c>
      <c r="E5796" s="3">
        <v>3</v>
      </c>
      <c r="F5796" t="s">
        <v>19</v>
      </c>
      <c r="G5796" t="s">
        <v>26</v>
      </c>
      <c r="H5796" t="s">
        <v>27</v>
      </c>
      <c r="I5796" s="12">
        <v>0.3263888888888889</v>
      </c>
      <c r="J5796" t="s">
        <v>28</v>
      </c>
      <c r="K5796" t="s">
        <v>27</v>
      </c>
      <c r="L5796" s="12">
        <v>0.35416666666666669</v>
      </c>
      <c r="M5796" t="s">
        <v>29</v>
      </c>
      <c r="N5796" s="3">
        <v>186</v>
      </c>
      <c r="O5796" t="s">
        <v>24</v>
      </c>
      <c r="P5796" t="s">
        <v>25</v>
      </c>
      <c r="R5796">
        <f>tblDailySchedule[[#This Row],[Capacity Approx]]*'[1]Load Factor Sheet June Acft  '!$B$5</f>
        <v>150.61772727272728</v>
      </c>
      <c r="S5796">
        <f>tblDailySchedule[[#This Row],[Capacity Approx]]*'[1]Load Factor Sheet June Acft  '!$D$5</f>
        <v>163.08818181818182</v>
      </c>
      <c r="T5796" s="22">
        <f>tblDailySchedule[[#This Row],[STD]]</f>
        <v>0.35416666666666669</v>
      </c>
    </row>
    <row r="5797" spans="1:20" hidden="1" x14ac:dyDescent="0.35">
      <c r="A5797" s="11">
        <v>46319</v>
      </c>
      <c r="B5797" s="3">
        <v>6</v>
      </c>
      <c r="C5797" t="s">
        <v>116</v>
      </c>
      <c r="D5797" t="s">
        <v>18</v>
      </c>
      <c r="E5797" s="3">
        <v>4</v>
      </c>
      <c r="F5797" t="s">
        <v>19</v>
      </c>
      <c r="G5797" t="s">
        <v>30</v>
      </c>
      <c r="H5797" t="s">
        <v>31</v>
      </c>
      <c r="I5797" s="12">
        <v>0.34722222222222221</v>
      </c>
      <c r="J5797" t="s">
        <v>32</v>
      </c>
      <c r="K5797" t="s">
        <v>31</v>
      </c>
      <c r="L5797" s="12">
        <v>0.36805555555555558</v>
      </c>
      <c r="M5797" t="s">
        <v>33</v>
      </c>
      <c r="N5797" s="3">
        <v>189</v>
      </c>
      <c r="O5797" t="s">
        <v>24</v>
      </c>
      <c r="P5797" t="s">
        <v>25</v>
      </c>
      <c r="R5797">
        <f>tblDailySchedule[[#This Row],[Capacity Approx]]*'[1]Load Factor Sheet June Acft  '!$B$5</f>
        <v>153.04704545454547</v>
      </c>
      <c r="S5797">
        <f>tblDailySchedule[[#This Row],[Capacity Approx]]*'[1]Load Factor Sheet June Acft  '!$D$5</f>
        <v>165.71863636363636</v>
      </c>
      <c r="T5797" s="22">
        <f>tblDailySchedule[[#This Row],[STD]]</f>
        <v>0.36805555555555558</v>
      </c>
    </row>
    <row r="5798" spans="1:20" hidden="1" x14ac:dyDescent="0.35">
      <c r="A5798" s="11">
        <v>46319</v>
      </c>
      <c r="B5798" s="3">
        <v>6</v>
      </c>
      <c r="C5798" t="s">
        <v>116</v>
      </c>
      <c r="D5798" t="s">
        <v>18</v>
      </c>
      <c r="E5798" s="3">
        <v>5</v>
      </c>
      <c r="F5798" t="s">
        <v>19</v>
      </c>
      <c r="G5798" t="s">
        <v>40</v>
      </c>
      <c r="H5798" t="s">
        <v>31</v>
      </c>
      <c r="I5798" s="12">
        <v>0.35069444444444442</v>
      </c>
      <c r="J5798" t="s">
        <v>41</v>
      </c>
      <c r="K5798" t="s">
        <v>31</v>
      </c>
      <c r="L5798" s="12">
        <v>0.37152777777777779</v>
      </c>
      <c r="M5798" t="s">
        <v>23</v>
      </c>
      <c r="N5798" s="3">
        <v>186</v>
      </c>
      <c r="O5798" t="s">
        <v>24</v>
      </c>
      <c r="P5798" t="s">
        <v>25</v>
      </c>
      <c r="R5798">
        <f>tblDailySchedule[[#This Row],[Capacity Approx]]*'[1]Load Factor Sheet June Acft  '!$B$5</f>
        <v>150.61772727272728</v>
      </c>
      <c r="S5798">
        <f>tblDailySchedule[[#This Row],[Capacity Approx]]*'[1]Load Factor Sheet June Acft  '!$D$5</f>
        <v>163.08818181818182</v>
      </c>
      <c r="T5798" s="22">
        <f>tblDailySchedule[[#This Row],[STD]]</f>
        <v>0.37152777777777779</v>
      </c>
    </row>
    <row r="5799" spans="1:20" hidden="1" x14ac:dyDescent="0.35">
      <c r="A5799" s="11">
        <v>46319</v>
      </c>
      <c r="B5799" s="3">
        <v>6</v>
      </c>
      <c r="C5799" t="s">
        <v>116</v>
      </c>
      <c r="D5799" t="s">
        <v>18</v>
      </c>
      <c r="E5799" s="3">
        <v>7</v>
      </c>
      <c r="F5799" t="s">
        <v>19</v>
      </c>
      <c r="G5799" t="s">
        <v>42</v>
      </c>
      <c r="H5799" t="s">
        <v>43</v>
      </c>
      <c r="I5799" s="12">
        <v>0.3923611111111111</v>
      </c>
      <c r="J5799" t="s">
        <v>44</v>
      </c>
      <c r="K5799" t="s">
        <v>43</v>
      </c>
      <c r="L5799" s="12">
        <v>0.40277777777777779</v>
      </c>
      <c r="M5799" t="s">
        <v>45</v>
      </c>
      <c r="N5799" s="3">
        <v>9</v>
      </c>
      <c r="O5799" t="s">
        <v>24</v>
      </c>
      <c r="P5799" t="s">
        <v>25</v>
      </c>
      <c r="R5799">
        <f>tblDailySchedule[[#This Row],[Capacity Approx]]*'[1]Load Factor Sheet June Acft  '!$B$5</f>
        <v>7.2879545454545456</v>
      </c>
      <c r="S5799">
        <f>tblDailySchedule[[#This Row],[Capacity Approx]]*'[1]Load Factor Sheet June Acft  '!$D$5</f>
        <v>7.8913636363636366</v>
      </c>
      <c r="T5799" s="22">
        <f>tblDailySchedule[[#This Row],[STD]]</f>
        <v>0.40277777777777779</v>
      </c>
    </row>
    <row r="5800" spans="1:20" hidden="1" x14ac:dyDescent="0.35">
      <c r="A5800" s="11">
        <v>46319</v>
      </c>
      <c r="B5800" s="3">
        <v>6</v>
      </c>
      <c r="C5800" t="s">
        <v>116</v>
      </c>
      <c r="D5800" t="s">
        <v>18</v>
      </c>
      <c r="E5800" s="3">
        <v>8</v>
      </c>
      <c r="F5800" t="s">
        <v>19</v>
      </c>
      <c r="G5800" t="s">
        <v>46</v>
      </c>
      <c r="H5800" t="s">
        <v>31</v>
      </c>
      <c r="I5800" s="12">
        <v>0.4201388888888889</v>
      </c>
      <c r="J5800" t="s">
        <v>47</v>
      </c>
      <c r="K5800" t="s">
        <v>31</v>
      </c>
      <c r="L5800" s="12">
        <v>0.44444444444444442</v>
      </c>
      <c r="M5800" t="s">
        <v>29</v>
      </c>
      <c r="N5800" s="3">
        <v>186</v>
      </c>
      <c r="O5800" t="s">
        <v>24</v>
      </c>
      <c r="P5800" t="s">
        <v>25</v>
      </c>
      <c r="R5800">
        <f>tblDailySchedule[[#This Row],[Capacity Approx]]*'[1]Load Factor Sheet June Acft  '!$B$5</f>
        <v>150.61772727272728</v>
      </c>
      <c r="S5800">
        <f>tblDailySchedule[[#This Row],[Capacity Approx]]*'[1]Load Factor Sheet June Acft  '!$D$5</f>
        <v>163.08818181818182</v>
      </c>
      <c r="T5800" s="22">
        <f>tblDailySchedule[[#This Row],[STD]]</f>
        <v>0.44444444444444442</v>
      </c>
    </row>
    <row r="5801" spans="1:20" hidden="1" x14ac:dyDescent="0.35">
      <c r="A5801" s="11">
        <v>46319</v>
      </c>
      <c r="B5801" s="3">
        <v>6</v>
      </c>
      <c r="C5801" t="s">
        <v>116</v>
      </c>
      <c r="D5801" t="s">
        <v>18</v>
      </c>
      <c r="E5801" s="3">
        <v>9</v>
      </c>
      <c r="F5801" t="s">
        <v>19</v>
      </c>
      <c r="G5801" t="s">
        <v>48</v>
      </c>
      <c r="H5801" t="s">
        <v>49</v>
      </c>
      <c r="I5801" s="12">
        <v>0.4375</v>
      </c>
      <c r="J5801" t="s">
        <v>50</v>
      </c>
      <c r="K5801" t="s">
        <v>49</v>
      </c>
      <c r="L5801" s="12">
        <v>0.45833333333333331</v>
      </c>
      <c r="M5801" t="s">
        <v>51</v>
      </c>
      <c r="N5801" s="3">
        <v>78</v>
      </c>
      <c r="O5801" t="s">
        <v>24</v>
      </c>
      <c r="P5801" t="s">
        <v>25</v>
      </c>
      <c r="R5801">
        <f>tblDailySchedule[[#This Row],[Capacity Approx]]*'[1]Load Factor Sheet June Acft  '!$B$5</f>
        <v>63.162272727272729</v>
      </c>
      <c r="S5801">
        <f>tblDailySchedule[[#This Row],[Capacity Approx]]*'[1]Load Factor Sheet June Acft  '!$D$5</f>
        <v>68.391818181818181</v>
      </c>
      <c r="T5801" s="22">
        <f>tblDailySchedule[[#This Row],[STD]]</f>
        <v>0.45833333333333331</v>
      </c>
    </row>
    <row r="5802" spans="1:20" hidden="1" x14ac:dyDescent="0.35">
      <c r="A5802" s="11">
        <v>46319</v>
      </c>
      <c r="B5802" s="3">
        <v>6</v>
      </c>
      <c r="C5802" t="s">
        <v>116</v>
      </c>
      <c r="D5802" t="s">
        <v>18</v>
      </c>
      <c r="E5802" s="3">
        <v>10</v>
      </c>
      <c r="F5802" t="s">
        <v>19</v>
      </c>
      <c r="G5802" t="s">
        <v>52</v>
      </c>
      <c r="H5802" t="s">
        <v>27</v>
      </c>
      <c r="I5802" s="12">
        <v>0.4826388888888889</v>
      </c>
      <c r="J5802" t="s">
        <v>53</v>
      </c>
      <c r="K5802" t="s">
        <v>27</v>
      </c>
      <c r="L5802" s="12">
        <v>0.51041666666666663</v>
      </c>
      <c r="M5802" t="s">
        <v>23</v>
      </c>
      <c r="N5802" s="3">
        <v>186</v>
      </c>
      <c r="O5802" t="s">
        <v>24</v>
      </c>
      <c r="P5802" t="s">
        <v>25</v>
      </c>
      <c r="R5802">
        <f>tblDailySchedule[[#This Row],[Capacity Approx]]*'[1]Load Factor Sheet June Acft  '!$B$5</f>
        <v>150.61772727272728</v>
      </c>
      <c r="S5802">
        <f>tblDailySchedule[[#This Row],[Capacity Approx]]*'[1]Load Factor Sheet June Acft  '!$D$5</f>
        <v>163.08818181818182</v>
      </c>
      <c r="T5802" s="22">
        <f>tblDailySchedule[[#This Row],[STD]]</f>
        <v>0.51041666666666663</v>
      </c>
    </row>
    <row r="5803" spans="1:20" hidden="1" x14ac:dyDescent="0.35">
      <c r="A5803" s="11">
        <v>46319</v>
      </c>
      <c r="B5803" s="3">
        <v>6</v>
      </c>
      <c r="C5803" t="s">
        <v>116</v>
      </c>
      <c r="D5803" t="s">
        <v>18</v>
      </c>
      <c r="E5803" s="3">
        <v>11</v>
      </c>
      <c r="F5803" t="s">
        <v>19</v>
      </c>
      <c r="G5803" t="s">
        <v>54</v>
      </c>
      <c r="H5803" t="s">
        <v>31</v>
      </c>
      <c r="I5803" s="12">
        <v>0.51388888888888884</v>
      </c>
      <c r="J5803" t="s">
        <v>55</v>
      </c>
      <c r="K5803" t="s">
        <v>31</v>
      </c>
      <c r="L5803" s="12">
        <v>0.54166666666666663</v>
      </c>
      <c r="M5803" t="s">
        <v>23</v>
      </c>
      <c r="N5803" s="3">
        <v>186</v>
      </c>
      <c r="O5803" t="s">
        <v>24</v>
      </c>
      <c r="P5803" t="s">
        <v>56</v>
      </c>
      <c r="R5803">
        <f>tblDailySchedule[[#This Row],[Capacity Approx]]*'[1]Load Factor Sheet June Acft  '!$B$5</f>
        <v>150.61772727272728</v>
      </c>
      <c r="S5803">
        <f>tblDailySchedule[[#This Row],[Capacity Approx]]*'[1]Load Factor Sheet June Acft  '!$D$5</f>
        <v>163.08818181818182</v>
      </c>
      <c r="T5803" s="22">
        <f>tblDailySchedule[[#This Row],[STD]]</f>
        <v>0.54166666666666663</v>
      </c>
    </row>
    <row r="5804" spans="1:20" hidden="1" x14ac:dyDescent="0.35">
      <c r="A5804" s="11">
        <v>46319</v>
      </c>
      <c r="B5804" s="3">
        <v>6</v>
      </c>
      <c r="C5804" t="s">
        <v>116</v>
      </c>
      <c r="D5804" t="s">
        <v>18</v>
      </c>
      <c r="E5804" s="3">
        <v>12</v>
      </c>
      <c r="F5804" t="s">
        <v>109</v>
      </c>
      <c r="G5804" t="s">
        <v>110</v>
      </c>
      <c r="H5804" t="s">
        <v>111</v>
      </c>
      <c r="I5804" s="12">
        <v>0.55555555555555558</v>
      </c>
      <c r="J5804" t="s">
        <v>112</v>
      </c>
      <c r="K5804" t="s">
        <v>111</v>
      </c>
      <c r="L5804" s="12">
        <v>0.56944444444444442</v>
      </c>
      <c r="M5804" t="s">
        <v>51</v>
      </c>
      <c r="N5804" s="3">
        <v>78</v>
      </c>
      <c r="O5804" t="s">
        <v>24</v>
      </c>
      <c r="P5804" t="s">
        <v>56</v>
      </c>
      <c r="R5804">
        <f>tblDailySchedule[[#This Row],[Capacity Approx]]*'[1]Load Factor Sheet June Acft  '!$B$5</f>
        <v>63.162272727272729</v>
      </c>
      <c r="S5804">
        <f>tblDailySchedule[[#This Row],[Capacity Approx]]*'[1]Load Factor Sheet June Acft  '!$D$5</f>
        <v>68.391818181818181</v>
      </c>
      <c r="T5804" s="22">
        <f>tblDailySchedule[[#This Row],[STD]]</f>
        <v>0.56944444444444442</v>
      </c>
    </row>
    <row r="5805" spans="1:20" hidden="1" x14ac:dyDescent="0.35">
      <c r="A5805" s="11">
        <v>46319</v>
      </c>
      <c r="B5805" s="3">
        <v>6</v>
      </c>
      <c r="C5805" t="s">
        <v>116</v>
      </c>
      <c r="D5805" t="s">
        <v>18</v>
      </c>
      <c r="E5805" s="3">
        <v>13</v>
      </c>
      <c r="F5805" t="s">
        <v>19</v>
      </c>
      <c r="G5805" t="s">
        <v>57</v>
      </c>
      <c r="H5805" t="s">
        <v>58</v>
      </c>
      <c r="I5805" s="12">
        <v>0.55902777777777779</v>
      </c>
      <c r="J5805" t="s">
        <v>59</v>
      </c>
      <c r="K5805" t="s">
        <v>58</v>
      </c>
      <c r="L5805" s="12">
        <v>0.57638888888888884</v>
      </c>
      <c r="M5805" t="s">
        <v>51</v>
      </c>
      <c r="N5805" s="3">
        <v>78</v>
      </c>
      <c r="O5805" t="s">
        <v>24</v>
      </c>
      <c r="P5805" t="s">
        <v>56</v>
      </c>
      <c r="R5805">
        <f>tblDailySchedule[[#This Row],[Capacity Approx]]*'[1]Load Factor Sheet June Acft  '!$B$5</f>
        <v>63.162272727272729</v>
      </c>
      <c r="S5805">
        <f>tblDailySchedule[[#This Row],[Capacity Approx]]*'[1]Load Factor Sheet June Acft  '!$D$5</f>
        <v>68.391818181818181</v>
      </c>
      <c r="T5805" s="22">
        <f>tblDailySchedule[[#This Row],[STD]]</f>
        <v>0.57638888888888884</v>
      </c>
    </row>
    <row r="5806" spans="1:20" hidden="1" x14ac:dyDescent="0.35">
      <c r="A5806" s="11">
        <v>46319</v>
      </c>
      <c r="B5806" s="3">
        <v>6</v>
      </c>
      <c r="C5806" t="s">
        <v>116</v>
      </c>
      <c r="D5806" t="s">
        <v>18</v>
      </c>
      <c r="E5806" s="3">
        <v>14</v>
      </c>
      <c r="F5806" t="s">
        <v>19</v>
      </c>
      <c r="G5806" t="s">
        <v>60</v>
      </c>
      <c r="H5806" t="s">
        <v>61</v>
      </c>
      <c r="I5806" s="12">
        <v>0.59027777777777779</v>
      </c>
      <c r="J5806" t="s">
        <v>62</v>
      </c>
      <c r="K5806" t="s">
        <v>61</v>
      </c>
      <c r="L5806" s="12">
        <v>0.62152777777777779</v>
      </c>
      <c r="M5806" t="s">
        <v>63</v>
      </c>
      <c r="N5806" s="3">
        <v>232</v>
      </c>
      <c r="O5806" t="s">
        <v>24</v>
      </c>
      <c r="P5806" t="s">
        <v>56</v>
      </c>
      <c r="R5806">
        <f>tblDailySchedule[[#This Row],[Capacity Approx]]*'[1]Load Factor Sheet June Acft  '!$B$5</f>
        <v>187.86727272727273</v>
      </c>
      <c r="S5806">
        <f>tblDailySchedule[[#This Row],[Capacity Approx]]*'[1]Load Factor Sheet June Acft  '!$D$5</f>
        <v>203.4218181818182</v>
      </c>
      <c r="T5806" s="22">
        <f>tblDailySchedule[[#This Row],[STD]]</f>
        <v>0.62152777777777779</v>
      </c>
    </row>
    <row r="5807" spans="1:20" hidden="1" x14ac:dyDescent="0.35">
      <c r="A5807" s="11">
        <v>46319</v>
      </c>
      <c r="B5807" s="3">
        <v>6</v>
      </c>
      <c r="C5807" t="s">
        <v>116</v>
      </c>
      <c r="D5807" t="s">
        <v>18</v>
      </c>
      <c r="E5807" s="3">
        <v>15</v>
      </c>
      <c r="F5807" t="s">
        <v>19</v>
      </c>
      <c r="G5807" t="s">
        <v>64</v>
      </c>
      <c r="H5807" t="s">
        <v>31</v>
      </c>
      <c r="I5807" s="12">
        <v>0.60069444444444442</v>
      </c>
      <c r="J5807" t="s">
        <v>65</v>
      </c>
      <c r="K5807" t="s">
        <v>66</v>
      </c>
      <c r="L5807" s="12">
        <v>0.62847222222222221</v>
      </c>
      <c r="M5807" t="s">
        <v>63</v>
      </c>
      <c r="N5807" s="3">
        <v>232</v>
      </c>
      <c r="O5807" t="s">
        <v>24</v>
      </c>
      <c r="P5807" t="s">
        <v>56</v>
      </c>
      <c r="R5807">
        <f>tblDailySchedule[[#This Row],[Capacity Approx]]*'[1]Load Factor Sheet June Acft  '!$B$5</f>
        <v>187.86727272727273</v>
      </c>
      <c r="S5807">
        <f>tblDailySchedule[[#This Row],[Capacity Approx]]*'[1]Load Factor Sheet June Acft  '!$D$5</f>
        <v>203.4218181818182</v>
      </c>
      <c r="T5807" s="22">
        <f>tblDailySchedule[[#This Row],[STD]]</f>
        <v>0.62847222222222221</v>
      </c>
    </row>
    <row r="5808" spans="1:20" hidden="1" x14ac:dyDescent="0.35">
      <c r="A5808" s="11">
        <v>46319</v>
      </c>
      <c r="B5808" s="3">
        <v>6</v>
      </c>
      <c r="C5808" t="s">
        <v>116</v>
      </c>
      <c r="D5808" t="s">
        <v>18</v>
      </c>
      <c r="E5808" s="3">
        <v>16</v>
      </c>
      <c r="F5808" t="s">
        <v>19</v>
      </c>
      <c r="G5808" t="s">
        <v>67</v>
      </c>
      <c r="H5808" t="s">
        <v>31</v>
      </c>
      <c r="I5808" s="12">
        <v>0.65625</v>
      </c>
      <c r="J5808" t="s">
        <v>68</v>
      </c>
      <c r="K5808" t="s">
        <v>31</v>
      </c>
      <c r="L5808" s="12">
        <v>0.68402777777777779</v>
      </c>
      <c r="M5808" t="s">
        <v>63</v>
      </c>
      <c r="N5808" s="3">
        <v>232</v>
      </c>
      <c r="O5808" t="s">
        <v>24</v>
      </c>
      <c r="P5808" t="s">
        <v>56</v>
      </c>
      <c r="R5808">
        <f>tblDailySchedule[[#This Row],[Capacity Approx]]*'[1]Load Factor Sheet June Acft  '!$B$5</f>
        <v>187.86727272727273</v>
      </c>
      <c r="S5808">
        <f>tblDailySchedule[[#This Row],[Capacity Approx]]*'[1]Load Factor Sheet June Acft  '!$D$5</f>
        <v>203.4218181818182</v>
      </c>
      <c r="T5808" s="22">
        <f>tblDailySchedule[[#This Row],[STD]]</f>
        <v>0.68402777777777779</v>
      </c>
    </row>
    <row r="5809" spans="1:20" hidden="1" x14ac:dyDescent="0.35">
      <c r="A5809" s="11">
        <v>46319</v>
      </c>
      <c r="B5809" s="3">
        <v>6</v>
      </c>
      <c r="C5809" t="s">
        <v>116</v>
      </c>
      <c r="D5809" t="s">
        <v>18</v>
      </c>
      <c r="E5809" s="3">
        <v>17</v>
      </c>
      <c r="F5809" t="s">
        <v>19</v>
      </c>
      <c r="G5809" t="s">
        <v>69</v>
      </c>
      <c r="H5809" t="s">
        <v>31</v>
      </c>
      <c r="I5809" s="12">
        <v>0.66319444444444442</v>
      </c>
      <c r="J5809" t="s">
        <v>70</v>
      </c>
      <c r="K5809" t="s">
        <v>31</v>
      </c>
      <c r="L5809" s="12">
        <v>0.69097222222222221</v>
      </c>
      <c r="M5809" t="s">
        <v>33</v>
      </c>
      <c r="N5809" s="3">
        <v>189</v>
      </c>
      <c r="O5809" t="s">
        <v>24</v>
      </c>
      <c r="P5809" t="s">
        <v>56</v>
      </c>
      <c r="R5809">
        <f>tblDailySchedule[[#This Row],[Capacity Approx]]*'[1]Load Factor Sheet June Acft  '!$B$5</f>
        <v>153.04704545454547</v>
      </c>
      <c r="S5809">
        <f>tblDailySchedule[[#This Row],[Capacity Approx]]*'[1]Load Factor Sheet June Acft  '!$D$5</f>
        <v>165.71863636363636</v>
      </c>
      <c r="T5809" s="22">
        <f>tblDailySchedule[[#This Row],[STD]]</f>
        <v>0.69097222222222221</v>
      </c>
    </row>
    <row r="5810" spans="1:20" hidden="1" x14ac:dyDescent="0.35">
      <c r="A5810" s="11">
        <v>46319</v>
      </c>
      <c r="B5810" s="3">
        <v>6</v>
      </c>
      <c r="C5810" t="s">
        <v>116</v>
      </c>
      <c r="D5810" t="s">
        <v>18</v>
      </c>
      <c r="E5810" s="3">
        <v>18</v>
      </c>
      <c r="F5810" t="s">
        <v>19</v>
      </c>
      <c r="G5810" t="s">
        <v>71</v>
      </c>
      <c r="H5810" t="s">
        <v>21</v>
      </c>
      <c r="I5810" s="12">
        <v>0.67013888888888884</v>
      </c>
      <c r="J5810" t="s">
        <v>72</v>
      </c>
      <c r="K5810" t="s">
        <v>21</v>
      </c>
      <c r="L5810" s="12">
        <v>0.69791666666666663</v>
      </c>
      <c r="M5810" t="s">
        <v>63</v>
      </c>
      <c r="N5810" s="3">
        <v>232</v>
      </c>
      <c r="O5810" t="s">
        <v>24</v>
      </c>
      <c r="P5810" t="s">
        <v>56</v>
      </c>
      <c r="R5810">
        <f>tblDailySchedule[[#This Row],[Capacity Approx]]*'[1]Load Factor Sheet June Acft  '!$B$5</f>
        <v>187.86727272727273</v>
      </c>
      <c r="S5810">
        <f>tblDailySchedule[[#This Row],[Capacity Approx]]*'[1]Load Factor Sheet June Acft  '!$D$5</f>
        <v>203.4218181818182</v>
      </c>
      <c r="T5810" s="22">
        <f>tblDailySchedule[[#This Row],[STD]]</f>
        <v>0.69791666666666663</v>
      </c>
    </row>
    <row r="5811" spans="1:20" hidden="1" x14ac:dyDescent="0.35">
      <c r="A5811" s="11">
        <v>46319</v>
      </c>
      <c r="B5811" s="3">
        <v>6</v>
      </c>
      <c r="C5811" t="s">
        <v>116</v>
      </c>
      <c r="D5811" t="s">
        <v>18</v>
      </c>
      <c r="E5811" s="3">
        <v>19</v>
      </c>
      <c r="F5811" t="s">
        <v>19</v>
      </c>
      <c r="G5811" t="s">
        <v>73</v>
      </c>
      <c r="H5811" t="s">
        <v>27</v>
      </c>
      <c r="I5811" s="12">
        <v>0.74652777777777779</v>
      </c>
      <c r="J5811" t="s">
        <v>74</v>
      </c>
      <c r="K5811" t="s">
        <v>27</v>
      </c>
      <c r="L5811" s="12">
        <v>0.77430555555555558</v>
      </c>
      <c r="M5811" t="s">
        <v>63</v>
      </c>
      <c r="N5811" s="3">
        <v>232</v>
      </c>
      <c r="O5811" t="s">
        <v>24</v>
      </c>
      <c r="P5811" t="s">
        <v>56</v>
      </c>
      <c r="R5811">
        <f>tblDailySchedule[[#This Row],[Capacity Approx]]*'[1]Load Factor Sheet June Acft  '!$B$5</f>
        <v>187.86727272727273</v>
      </c>
      <c r="S5811">
        <f>tblDailySchedule[[#This Row],[Capacity Approx]]*'[1]Load Factor Sheet June Acft  '!$D$5</f>
        <v>203.4218181818182</v>
      </c>
      <c r="T5811" s="22">
        <f>tblDailySchedule[[#This Row],[STD]]</f>
        <v>0.77430555555555558</v>
      </c>
    </row>
    <row r="5812" spans="1:20" hidden="1" x14ac:dyDescent="0.35">
      <c r="A5812" s="11">
        <v>46319</v>
      </c>
      <c r="B5812" s="3">
        <v>6</v>
      </c>
      <c r="C5812" t="s">
        <v>116</v>
      </c>
      <c r="D5812" t="s">
        <v>18</v>
      </c>
      <c r="E5812" s="3">
        <v>21</v>
      </c>
      <c r="F5812" t="s">
        <v>19</v>
      </c>
      <c r="G5812" t="s">
        <v>81</v>
      </c>
      <c r="H5812" t="s">
        <v>61</v>
      </c>
      <c r="I5812" s="12">
        <v>0.77083333333333337</v>
      </c>
      <c r="J5812" t="s">
        <v>82</v>
      </c>
      <c r="K5812" t="s">
        <v>49</v>
      </c>
      <c r="L5812" s="12">
        <v>0.79166666666666663</v>
      </c>
      <c r="M5812" t="s">
        <v>33</v>
      </c>
      <c r="N5812" s="3">
        <v>189</v>
      </c>
      <c r="O5812" t="s">
        <v>24</v>
      </c>
      <c r="P5812" t="s">
        <v>79</v>
      </c>
      <c r="R5812">
        <f>tblDailySchedule[[#This Row],[Capacity Approx]]*'[1]Load Factor Sheet June Acft  '!$B$5</f>
        <v>153.04704545454547</v>
      </c>
      <c r="S5812">
        <f>tblDailySchedule[[#This Row],[Capacity Approx]]*'[1]Load Factor Sheet June Acft  '!$D$5</f>
        <v>165.71863636363636</v>
      </c>
      <c r="T5812" s="22">
        <f>tblDailySchedule[[#This Row],[STD]]</f>
        <v>0.79166666666666663</v>
      </c>
    </row>
    <row r="5813" spans="1:20" hidden="1" x14ac:dyDescent="0.35">
      <c r="A5813" s="11">
        <v>46319</v>
      </c>
      <c r="B5813" s="3">
        <v>6</v>
      </c>
      <c r="C5813" t="s">
        <v>116</v>
      </c>
      <c r="D5813" t="s">
        <v>18</v>
      </c>
      <c r="E5813" s="3">
        <v>22</v>
      </c>
      <c r="F5813" t="s">
        <v>19</v>
      </c>
      <c r="G5813" t="s">
        <v>83</v>
      </c>
      <c r="H5813" t="s">
        <v>31</v>
      </c>
      <c r="I5813" s="12">
        <v>0.77777777777777779</v>
      </c>
      <c r="J5813" t="s">
        <v>84</v>
      </c>
      <c r="K5813" t="s">
        <v>31</v>
      </c>
      <c r="L5813" s="12">
        <v>0.80555555555555558</v>
      </c>
      <c r="M5813" t="s">
        <v>63</v>
      </c>
      <c r="N5813" s="3">
        <v>232</v>
      </c>
      <c r="O5813" t="s">
        <v>24</v>
      </c>
      <c r="P5813" t="s">
        <v>79</v>
      </c>
      <c r="R5813">
        <f>tblDailySchedule[[#This Row],[Capacity Approx]]*'[1]Load Factor Sheet June Acft  '!$B$5</f>
        <v>187.86727272727273</v>
      </c>
      <c r="S5813">
        <f>tblDailySchedule[[#This Row],[Capacity Approx]]*'[1]Load Factor Sheet June Acft  '!$D$5</f>
        <v>203.4218181818182</v>
      </c>
      <c r="T5813" s="22">
        <f>tblDailySchedule[[#This Row],[STD]]</f>
        <v>0.80555555555555558</v>
      </c>
    </row>
    <row r="5814" spans="1:20" hidden="1" x14ac:dyDescent="0.35">
      <c r="A5814" s="11">
        <v>46319</v>
      </c>
      <c r="B5814" s="3">
        <v>6</v>
      </c>
      <c r="C5814" t="s">
        <v>116</v>
      </c>
      <c r="D5814" t="s">
        <v>18</v>
      </c>
      <c r="E5814" s="3">
        <v>23</v>
      </c>
      <c r="F5814" t="s">
        <v>19</v>
      </c>
      <c r="G5814" t="s">
        <v>85</v>
      </c>
      <c r="H5814" t="s">
        <v>86</v>
      </c>
      <c r="I5814" s="12">
        <v>0.79861111111111116</v>
      </c>
      <c r="J5814" t="s">
        <v>87</v>
      </c>
      <c r="K5814" t="s">
        <v>86</v>
      </c>
      <c r="L5814" s="12">
        <v>0.82638888888888884</v>
      </c>
      <c r="M5814" t="s">
        <v>63</v>
      </c>
      <c r="N5814" s="3">
        <v>232</v>
      </c>
      <c r="O5814" t="s">
        <v>24</v>
      </c>
      <c r="P5814" t="s">
        <v>79</v>
      </c>
      <c r="R5814">
        <f>tblDailySchedule[[#This Row],[Capacity Approx]]*'[1]Load Factor Sheet June Acft  '!$B$5</f>
        <v>187.86727272727273</v>
      </c>
      <c r="S5814">
        <f>tblDailySchedule[[#This Row],[Capacity Approx]]*'[1]Load Factor Sheet June Acft  '!$D$5</f>
        <v>203.4218181818182</v>
      </c>
      <c r="T5814" s="22">
        <f>tblDailySchedule[[#This Row],[STD]]</f>
        <v>0.82638888888888884</v>
      </c>
    </row>
    <row r="5815" spans="1:20" hidden="1" x14ac:dyDescent="0.35">
      <c r="A5815" s="11">
        <v>46319</v>
      </c>
      <c r="B5815" s="3">
        <v>6</v>
      </c>
      <c r="C5815" t="s">
        <v>116</v>
      </c>
      <c r="D5815" t="s">
        <v>18</v>
      </c>
      <c r="E5815" s="3">
        <v>24</v>
      </c>
      <c r="F5815" t="s">
        <v>19</v>
      </c>
      <c r="G5815" t="s">
        <v>88</v>
      </c>
      <c r="H5815" t="s">
        <v>89</v>
      </c>
      <c r="I5815" s="12">
        <v>0.83333333333333337</v>
      </c>
      <c r="J5815" t="s">
        <v>90</v>
      </c>
      <c r="K5815" t="s">
        <v>31</v>
      </c>
      <c r="L5815" s="12">
        <v>0.86111111111111116</v>
      </c>
      <c r="M5815" t="s">
        <v>63</v>
      </c>
      <c r="N5815" s="3">
        <v>232</v>
      </c>
      <c r="O5815" t="s">
        <v>24</v>
      </c>
      <c r="P5815" t="s">
        <v>79</v>
      </c>
      <c r="R5815">
        <f>tblDailySchedule[[#This Row],[Capacity Approx]]*'[1]Load Factor Sheet June Acft  '!$B$5</f>
        <v>187.86727272727273</v>
      </c>
      <c r="S5815">
        <f>tblDailySchedule[[#This Row],[Capacity Approx]]*'[1]Load Factor Sheet June Acft  '!$D$5</f>
        <v>203.4218181818182</v>
      </c>
      <c r="T5815" s="22">
        <f>tblDailySchedule[[#This Row],[STD]]</f>
        <v>0.86111111111111116</v>
      </c>
    </row>
    <row r="5816" spans="1:20" hidden="1" x14ac:dyDescent="0.35">
      <c r="A5816" s="11">
        <v>46319</v>
      </c>
      <c r="B5816" s="3">
        <v>6</v>
      </c>
      <c r="C5816" t="s">
        <v>116</v>
      </c>
      <c r="D5816" t="s">
        <v>18</v>
      </c>
      <c r="E5816" s="3">
        <v>25</v>
      </c>
      <c r="F5816" t="s">
        <v>19</v>
      </c>
      <c r="G5816" t="s">
        <v>91</v>
      </c>
      <c r="H5816" t="s">
        <v>61</v>
      </c>
      <c r="I5816" s="12">
        <v>0.85416666666666663</v>
      </c>
      <c r="J5816" t="s">
        <v>92</v>
      </c>
      <c r="K5816" t="s">
        <v>61</v>
      </c>
      <c r="L5816" s="12">
        <v>0.88194444444444442</v>
      </c>
      <c r="M5816" t="s">
        <v>63</v>
      </c>
      <c r="N5816" s="3">
        <v>232</v>
      </c>
      <c r="O5816" t="s">
        <v>24</v>
      </c>
      <c r="P5816" t="s">
        <v>79</v>
      </c>
      <c r="R5816">
        <f>tblDailySchedule[[#This Row],[Capacity Approx]]*'[1]Load Factor Sheet June Acft  '!$B$5</f>
        <v>187.86727272727273</v>
      </c>
      <c r="S5816">
        <f>tblDailySchedule[[#This Row],[Capacity Approx]]*'[1]Load Factor Sheet June Acft  '!$D$5</f>
        <v>203.4218181818182</v>
      </c>
      <c r="T5816" s="22">
        <f>tblDailySchedule[[#This Row],[STD]]</f>
        <v>0.88194444444444442</v>
      </c>
    </row>
    <row r="5817" spans="1:20" hidden="1" x14ac:dyDescent="0.35">
      <c r="A5817" s="11">
        <v>46319</v>
      </c>
      <c r="B5817" s="3">
        <v>6</v>
      </c>
      <c r="C5817" t="s">
        <v>116</v>
      </c>
      <c r="D5817" t="s">
        <v>18</v>
      </c>
      <c r="E5817" s="3">
        <v>26</v>
      </c>
      <c r="F5817" t="s">
        <v>19</v>
      </c>
      <c r="G5817" t="s">
        <v>93</v>
      </c>
      <c r="H5817" t="s">
        <v>31</v>
      </c>
      <c r="I5817" s="12">
        <v>0.86111111111111116</v>
      </c>
      <c r="J5817" t="s">
        <v>94</v>
      </c>
      <c r="K5817" t="s">
        <v>31</v>
      </c>
      <c r="L5817" s="12">
        <v>0.88888888888888884</v>
      </c>
      <c r="M5817" t="s">
        <v>23</v>
      </c>
      <c r="N5817" s="3">
        <v>186</v>
      </c>
      <c r="O5817" t="s">
        <v>24</v>
      </c>
      <c r="P5817" t="s">
        <v>79</v>
      </c>
      <c r="R5817">
        <f>tblDailySchedule[[#This Row],[Capacity Approx]]*'[1]Load Factor Sheet June Acft  '!$B$5</f>
        <v>150.61772727272728</v>
      </c>
      <c r="S5817">
        <f>tblDailySchedule[[#This Row],[Capacity Approx]]*'[1]Load Factor Sheet June Acft  '!$D$5</f>
        <v>163.08818181818182</v>
      </c>
      <c r="T5817" s="22">
        <f>tblDailySchedule[[#This Row],[STD]]</f>
        <v>0.88888888888888884</v>
      </c>
    </row>
    <row r="5818" spans="1:20" hidden="1" x14ac:dyDescent="0.35">
      <c r="A5818" s="11">
        <v>46319</v>
      </c>
      <c r="B5818" s="3">
        <v>6</v>
      </c>
      <c r="C5818" t="s">
        <v>116</v>
      </c>
      <c r="D5818" t="s">
        <v>18</v>
      </c>
      <c r="E5818" s="3">
        <v>27</v>
      </c>
      <c r="F5818" t="s">
        <v>19</v>
      </c>
      <c r="G5818" t="s">
        <v>95</v>
      </c>
      <c r="H5818" t="s">
        <v>21</v>
      </c>
      <c r="I5818" s="12">
        <v>0.86805555555555558</v>
      </c>
      <c r="J5818" t="s">
        <v>96</v>
      </c>
      <c r="K5818" t="s">
        <v>21</v>
      </c>
      <c r="L5818" s="12">
        <v>0.89583333333333337</v>
      </c>
      <c r="M5818" t="s">
        <v>29</v>
      </c>
      <c r="N5818" s="3">
        <v>186</v>
      </c>
      <c r="O5818" t="s">
        <v>24</v>
      </c>
      <c r="P5818" t="s">
        <v>79</v>
      </c>
      <c r="R5818">
        <f>tblDailySchedule[[#This Row],[Capacity Approx]]*'[1]Load Factor Sheet June Acft  '!$B$5</f>
        <v>150.61772727272728</v>
      </c>
      <c r="S5818">
        <f>tblDailySchedule[[#This Row],[Capacity Approx]]*'[1]Load Factor Sheet June Acft  '!$D$5</f>
        <v>163.08818181818182</v>
      </c>
      <c r="T5818" s="22">
        <f>tblDailySchedule[[#This Row],[STD]]</f>
        <v>0.89583333333333337</v>
      </c>
    </row>
    <row r="5819" spans="1:20" hidden="1" x14ac:dyDescent="0.35">
      <c r="A5819" s="11">
        <v>46319</v>
      </c>
      <c r="B5819" s="3">
        <v>6</v>
      </c>
      <c r="C5819" t="s">
        <v>116</v>
      </c>
      <c r="D5819" t="s">
        <v>18</v>
      </c>
      <c r="E5819" s="3">
        <v>28</v>
      </c>
      <c r="F5819" t="s">
        <v>19</v>
      </c>
      <c r="G5819" t="s">
        <v>97</v>
      </c>
      <c r="H5819" t="s">
        <v>49</v>
      </c>
      <c r="I5819" s="12">
        <v>0.90277777777777779</v>
      </c>
      <c r="J5819" t="s">
        <v>97</v>
      </c>
      <c r="K5819" t="s">
        <v>61</v>
      </c>
      <c r="L5819" s="12">
        <v>0.92361111111111116</v>
      </c>
      <c r="M5819" t="s">
        <v>33</v>
      </c>
      <c r="N5819" s="3">
        <v>189</v>
      </c>
      <c r="O5819" t="s">
        <v>24</v>
      </c>
      <c r="P5819" t="s">
        <v>79</v>
      </c>
      <c r="R5819">
        <f>tblDailySchedule[[#This Row],[Capacity Approx]]*'[1]Load Factor Sheet June Acft  '!$B$5</f>
        <v>153.04704545454547</v>
      </c>
      <c r="S5819">
        <f>tblDailySchedule[[#This Row],[Capacity Approx]]*'[1]Load Factor Sheet June Acft  '!$D$5</f>
        <v>165.71863636363636</v>
      </c>
      <c r="T5819" s="22">
        <f>tblDailySchedule[[#This Row],[STD]]</f>
        <v>0.92361111111111116</v>
      </c>
    </row>
    <row r="5820" spans="1:20" hidden="1" x14ac:dyDescent="0.35">
      <c r="A5820" s="11">
        <v>46319</v>
      </c>
      <c r="B5820" s="3">
        <v>6</v>
      </c>
      <c r="C5820" t="s">
        <v>116</v>
      </c>
      <c r="D5820" t="s">
        <v>18</v>
      </c>
      <c r="E5820" s="3">
        <v>29</v>
      </c>
      <c r="F5820" t="s">
        <v>19</v>
      </c>
      <c r="G5820" t="s">
        <v>98</v>
      </c>
      <c r="H5820" t="s">
        <v>21</v>
      </c>
      <c r="I5820" s="12">
        <v>0.92013888888888884</v>
      </c>
      <c r="J5820" t="s">
        <v>99</v>
      </c>
      <c r="K5820" t="s">
        <v>21</v>
      </c>
      <c r="L5820" s="12">
        <v>0.94791666666666663</v>
      </c>
      <c r="M5820" t="s">
        <v>63</v>
      </c>
      <c r="N5820" s="3">
        <v>232</v>
      </c>
      <c r="O5820" t="s">
        <v>24</v>
      </c>
      <c r="P5820" t="s">
        <v>79</v>
      </c>
      <c r="R5820">
        <f>tblDailySchedule[[#This Row],[Capacity Approx]]*'[1]Load Factor Sheet June Acft  '!$B$5</f>
        <v>187.86727272727273</v>
      </c>
      <c r="S5820">
        <f>tblDailySchedule[[#This Row],[Capacity Approx]]*'[1]Load Factor Sheet June Acft  '!$D$5</f>
        <v>203.4218181818182</v>
      </c>
      <c r="T5820" s="22">
        <f>tblDailySchedule[[#This Row],[STD]]</f>
        <v>0.94791666666666663</v>
      </c>
    </row>
    <row r="5821" spans="1:20" hidden="1" x14ac:dyDescent="0.35">
      <c r="A5821" s="13">
        <v>46319</v>
      </c>
      <c r="B5821" s="7">
        <v>6</v>
      </c>
      <c r="C5821" s="14" t="s">
        <v>116</v>
      </c>
      <c r="D5821" s="14" t="s">
        <v>18</v>
      </c>
      <c r="E5821" s="7">
        <v>30</v>
      </c>
      <c r="F5821" s="14" t="s">
        <v>104</v>
      </c>
      <c r="G5821" s="14" t="s">
        <v>105</v>
      </c>
      <c r="H5821" s="14" t="s">
        <v>106</v>
      </c>
      <c r="I5821" s="15">
        <v>0.92708333333333337</v>
      </c>
      <c r="J5821" s="14" t="s">
        <v>107</v>
      </c>
      <c r="K5821" s="14" t="s">
        <v>106</v>
      </c>
      <c r="L5821" s="15">
        <v>0.95833333333333337</v>
      </c>
      <c r="M5821" s="14" t="s">
        <v>38</v>
      </c>
      <c r="N5821" s="7">
        <v>186</v>
      </c>
      <c r="O5821" s="14" t="s">
        <v>39</v>
      </c>
      <c r="P5821" s="14" t="s">
        <v>79</v>
      </c>
      <c r="Q5821" s="14" t="s">
        <v>39</v>
      </c>
      <c r="R5821">
        <f>tblDailySchedule[[#This Row],[Capacity Approx]]*'[1]Load Factor Sheet June Acft  '!$B$5</f>
        <v>150.61772727272728</v>
      </c>
      <c r="S5821">
        <f>tblDailySchedule[[#This Row],[Capacity Approx]]*'[1]Load Factor Sheet June Acft  '!$D$5</f>
        <v>163.08818181818182</v>
      </c>
      <c r="T5821" s="22">
        <f>tblDailySchedule[[#This Row],[STD]]</f>
        <v>0.95833333333333337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1" customWidth="1"/>
    <col min="3" max="3" width="17" customWidth="1"/>
    <col min="4" max="4" width="15" customWidth="1"/>
    <col min="5" max="5" width="16" customWidth="1"/>
    <col min="6" max="7" width="10" customWidth="1"/>
    <col min="8" max="8" width="18" customWidth="1"/>
    <col min="9" max="9" width="13" customWidth="1"/>
    <col min="10" max="11" width="10" customWidth="1"/>
  </cols>
  <sheetData>
    <row r="1" spans="1:11" x14ac:dyDescent="0.35">
      <c r="A1" s="1" t="s">
        <v>4</v>
      </c>
      <c r="B1" s="1" t="s">
        <v>5</v>
      </c>
      <c r="C1" s="1" t="s">
        <v>13</v>
      </c>
      <c r="D1" s="1" t="s">
        <v>12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117</v>
      </c>
    </row>
    <row r="2" spans="1:11" x14ac:dyDescent="0.35">
      <c r="A2" s="3">
        <v>1</v>
      </c>
      <c r="B2" s="4" t="s">
        <v>101</v>
      </c>
      <c r="C2" s="3">
        <v>189</v>
      </c>
      <c r="D2" s="4" t="s">
        <v>33</v>
      </c>
      <c r="E2" s="4" t="s">
        <v>102</v>
      </c>
      <c r="F2" s="4" t="s">
        <v>61</v>
      </c>
      <c r="G2" s="5">
        <v>0.3125</v>
      </c>
      <c r="H2" s="4" t="s">
        <v>103</v>
      </c>
      <c r="I2" s="4" t="s">
        <v>61</v>
      </c>
      <c r="J2" s="5">
        <v>0.33333333333333331</v>
      </c>
      <c r="K2" s="4"/>
    </row>
    <row r="3" spans="1:11" x14ac:dyDescent="0.35">
      <c r="A3" s="3">
        <v>2</v>
      </c>
      <c r="B3" s="4" t="s">
        <v>19</v>
      </c>
      <c r="C3" s="3">
        <v>186</v>
      </c>
      <c r="D3" s="4" t="s">
        <v>23</v>
      </c>
      <c r="E3" s="4" t="s">
        <v>20</v>
      </c>
      <c r="F3" s="4" t="s">
        <v>21</v>
      </c>
      <c r="G3" s="5">
        <v>0.31944444444444442</v>
      </c>
      <c r="H3" s="4" t="s">
        <v>22</v>
      </c>
      <c r="I3" s="4" t="s">
        <v>21</v>
      </c>
      <c r="J3" s="5">
        <v>0.34722222222222221</v>
      </c>
      <c r="K3" s="4"/>
    </row>
    <row r="4" spans="1:11" x14ac:dyDescent="0.35">
      <c r="A4" s="3">
        <v>3</v>
      </c>
      <c r="B4" s="4" t="s">
        <v>19</v>
      </c>
      <c r="C4" s="3">
        <v>186</v>
      </c>
      <c r="D4" s="4" t="s">
        <v>29</v>
      </c>
      <c r="E4" s="4" t="s">
        <v>26</v>
      </c>
      <c r="F4" s="4" t="s">
        <v>27</v>
      </c>
      <c r="G4" s="5">
        <v>0.3263888888888889</v>
      </c>
      <c r="H4" s="4" t="s">
        <v>28</v>
      </c>
      <c r="I4" s="4" t="s">
        <v>27</v>
      </c>
      <c r="J4" s="5">
        <v>0.35416666666666669</v>
      </c>
      <c r="K4" s="4"/>
    </row>
    <row r="5" spans="1:11" x14ac:dyDescent="0.35">
      <c r="A5" s="3">
        <v>4</v>
      </c>
      <c r="B5" s="4" t="s">
        <v>19</v>
      </c>
      <c r="C5" s="3">
        <v>189</v>
      </c>
      <c r="D5" s="4" t="s">
        <v>33</v>
      </c>
      <c r="E5" s="4" t="s">
        <v>30</v>
      </c>
      <c r="F5" s="4" t="s">
        <v>31</v>
      </c>
      <c r="G5" s="5">
        <v>0.34722222222222221</v>
      </c>
      <c r="H5" s="4" t="s">
        <v>32</v>
      </c>
      <c r="I5" s="4" t="s">
        <v>31</v>
      </c>
      <c r="J5" s="5">
        <v>0.36805555555555558</v>
      </c>
      <c r="K5" s="4"/>
    </row>
    <row r="6" spans="1:11" x14ac:dyDescent="0.35">
      <c r="A6" s="3">
        <v>5</v>
      </c>
      <c r="B6" s="4" t="s">
        <v>19</v>
      </c>
      <c r="C6" s="3">
        <v>186</v>
      </c>
      <c r="D6" s="4" t="s">
        <v>23</v>
      </c>
      <c r="E6" s="4" t="s">
        <v>40</v>
      </c>
      <c r="F6" s="4" t="s">
        <v>31</v>
      </c>
      <c r="G6" s="5">
        <v>0.35069444444444442</v>
      </c>
      <c r="H6" s="4" t="s">
        <v>41</v>
      </c>
      <c r="I6" s="4" t="s">
        <v>31</v>
      </c>
      <c r="J6" s="5">
        <v>0.37152777777777779</v>
      </c>
      <c r="K6" s="4"/>
    </row>
    <row r="7" spans="1:11" x14ac:dyDescent="0.35">
      <c r="A7" s="3">
        <v>6</v>
      </c>
      <c r="B7" s="4" t="s">
        <v>34</v>
      </c>
      <c r="C7" s="3">
        <v>186</v>
      </c>
      <c r="D7" s="4" t="s">
        <v>38</v>
      </c>
      <c r="E7" s="4" t="s">
        <v>35</v>
      </c>
      <c r="F7" s="4" t="s">
        <v>36</v>
      </c>
      <c r="G7" s="5">
        <v>0.34722222222222221</v>
      </c>
      <c r="H7" s="4" t="s">
        <v>37</v>
      </c>
      <c r="I7" s="4" t="s">
        <v>36</v>
      </c>
      <c r="J7" s="5">
        <v>0.40972222222222221</v>
      </c>
      <c r="K7" s="4" t="s">
        <v>118</v>
      </c>
    </row>
    <row r="8" spans="1:11" x14ac:dyDescent="0.35">
      <c r="A8" s="3">
        <v>7</v>
      </c>
      <c r="B8" s="4" t="s">
        <v>19</v>
      </c>
      <c r="C8" s="3">
        <v>9</v>
      </c>
      <c r="D8" s="4" t="s">
        <v>45</v>
      </c>
      <c r="E8" s="4" t="s">
        <v>42</v>
      </c>
      <c r="F8" s="4" t="s">
        <v>43</v>
      </c>
      <c r="G8" s="5">
        <v>0.3923611111111111</v>
      </c>
      <c r="H8" s="4" t="s">
        <v>44</v>
      </c>
      <c r="I8" s="4" t="s">
        <v>43</v>
      </c>
      <c r="J8" s="5">
        <v>0.40277777777777779</v>
      </c>
      <c r="K8" s="4"/>
    </row>
    <row r="9" spans="1:11" x14ac:dyDescent="0.35">
      <c r="A9" s="3">
        <v>8</v>
      </c>
      <c r="B9" s="4" t="s">
        <v>19</v>
      </c>
      <c r="C9" s="3">
        <v>186</v>
      </c>
      <c r="D9" s="4" t="s">
        <v>29</v>
      </c>
      <c r="E9" s="4" t="s">
        <v>46</v>
      </c>
      <c r="F9" s="4" t="s">
        <v>31</v>
      </c>
      <c r="G9" s="5">
        <v>0.4201388888888889</v>
      </c>
      <c r="H9" s="4" t="s">
        <v>47</v>
      </c>
      <c r="I9" s="4" t="s">
        <v>31</v>
      </c>
      <c r="J9" s="5">
        <v>0.44444444444444442</v>
      </c>
      <c r="K9" s="4"/>
    </row>
    <row r="10" spans="1:11" x14ac:dyDescent="0.35">
      <c r="A10" s="3">
        <v>9</v>
      </c>
      <c r="B10" s="4" t="s">
        <v>19</v>
      </c>
      <c r="C10" s="3">
        <v>78</v>
      </c>
      <c r="D10" s="4" t="s">
        <v>51</v>
      </c>
      <c r="E10" s="4" t="s">
        <v>48</v>
      </c>
      <c r="F10" s="4" t="s">
        <v>49</v>
      </c>
      <c r="G10" s="5">
        <v>0.4375</v>
      </c>
      <c r="H10" s="4" t="s">
        <v>50</v>
      </c>
      <c r="I10" s="4" t="s">
        <v>49</v>
      </c>
      <c r="J10" s="5">
        <v>0.45833333333333331</v>
      </c>
      <c r="K10" s="4"/>
    </row>
    <row r="11" spans="1:11" x14ac:dyDescent="0.35">
      <c r="A11" s="3">
        <v>10</v>
      </c>
      <c r="B11" s="4" t="s">
        <v>19</v>
      </c>
      <c r="C11" s="3">
        <v>186</v>
      </c>
      <c r="D11" s="4" t="s">
        <v>23</v>
      </c>
      <c r="E11" s="4" t="s">
        <v>52</v>
      </c>
      <c r="F11" s="4" t="s">
        <v>27</v>
      </c>
      <c r="G11" s="5">
        <v>0.4826388888888889</v>
      </c>
      <c r="H11" s="4" t="s">
        <v>53</v>
      </c>
      <c r="I11" s="4" t="s">
        <v>27</v>
      </c>
      <c r="J11" s="5">
        <v>0.51041666666666663</v>
      </c>
      <c r="K11" s="4"/>
    </row>
    <row r="12" spans="1:11" x14ac:dyDescent="0.35">
      <c r="A12" s="3">
        <v>11</v>
      </c>
      <c r="B12" s="4" t="s">
        <v>19</v>
      </c>
      <c r="C12" s="3">
        <v>186</v>
      </c>
      <c r="D12" s="4" t="s">
        <v>23</v>
      </c>
      <c r="E12" s="4" t="s">
        <v>54</v>
      </c>
      <c r="F12" s="4" t="s">
        <v>31</v>
      </c>
      <c r="G12" s="5">
        <v>0.51388888888888884</v>
      </c>
      <c r="H12" s="4" t="s">
        <v>55</v>
      </c>
      <c r="I12" s="4" t="s">
        <v>31</v>
      </c>
      <c r="J12" s="5">
        <v>0.54166666666666663</v>
      </c>
      <c r="K12" s="4"/>
    </row>
    <row r="13" spans="1:11" x14ac:dyDescent="0.35">
      <c r="A13" s="3">
        <v>12</v>
      </c>
      <c r="B13" s="4" t="s">
        <v>109</v>
      </c>
      <c r="C13" s="3">
        <v>78</v>
      </c>
      <c r="D13" s="4" t="s">
        <v>51</v>
      </c>
      <c r="E13" s="4" t="s">
        <v>110</v>
      </c>
      <c r="F13" s="4" t="s">
        <v>111</v>
      </c>
      <c r="G13" s="5">
        <v>0.55555555555555558</v>
      </c>
      <c r="H13" s="4" t="s">
        <v>112</v>
      </c>
      <c r="I13" s="4" t="s">
        <v>111</v>
      </c>
      <c r="J13" s="5">
        <v>0.56944444444444442</v>
      </c>
      <c r="K13" s="4"/>
    </row>
    <row r="14" spans="1:11" x14ac:dyDescent="0.35">
      <c r="A14" s="3">
        <v>13</v>
      </c>
      <c r="B14" s="4" t="s">
        <v>19</v>
      </c>
      <c r="C14" s="3">
        <v>78</v>
      </c>
      <c r="D14" s="4" t="s">
        <v>51</v>
      </c>
      <c r="E14" s="4" t="s">
        <v>57</v>
      </c>
      <c r="F14" s="4" t="s">
        <v>58</v>
      </c>
      <c r="G14" s="5">
        <v>0.55902777777777779</v>
      </c>
      <c r="H14" s="4" t="s">
        <v>59</v>
      </c>
      <c r="I14" s="4" t="s">
        <v>58</v>
      </c>
      <c r="J14" s="5">
        <v>0.57638888888888884</v>
      </c>
      <c r="K14" s="4"/>
    </row>
    <row r="15" spans="1:11" x14ac:dyDescent="0.35">
      <c r="A15" s="3">
        <v>14</v>
      </c>
      <c r="B15" s="4" t="s">
        <v>19</v>
      </c>
      <c r="C15" s="3">
        <v>232</v>
      </c>
      <c r="D15" s="4" t="s">
        <v>63</v>
      </c>
      <c r="E15" s="4" t="s">
        <v>60</v>
      </c>
      <c r="F15" s="4" t="s">
        <v>61</v>
      </c>
      <c r="G15" s="5">
        <v>0.59027777777777779</v>
      </c>
      <c r="H15" s="4" t="s">
        <v>62</v>
      </c>
      <c r="I15" s="4" t="s">
        <v>61</v>
      </c>
      <c r="J15" s="5">
        <v>0.62152777777777779</v>
      </c>
      <c r="K15" s="4"/>
    </row>
    <row r="16" spans="1:11" x14ac:dyDescent="0.35">
      <c r="A16" s="3">
        <v>15</v>
      </c>
      <c r="B16" s="4" t="s">
        <v>19</v>
      </c>
      <c r="C16" s="3">
        <v>232</v>
      </c>
      <c r="D16" s="4" t="s">
        <v>63</v>
      </c>
      <c r="E16" s="4" t="s">
        <v>64</v>
      </c>
      <c r="F16" s="4" t="s">
        <v>31</v>
      </c>
      <c r="G16" s="5">
        <v>0.60069444444444442</v>
      </c>
      <c r="H16" s="4" t="s">
        <v>65</v>
      </c>
      <c r="I16" s="4" t="s">
        <v>66</v>
      </c>
      <c r="J16" s="5">
        <v>0.62847222222222221</v>
      </c>
      <c r="K16" s="4"/>
    </row>
    <row r="17" spans="1:11" x14ac:dyDescent="0.35">
      <c r="A17" s="3">
        <v>16</v>
      </c>
      <c r="B17" s="4" t="s">
        <v>19</v>
      </c>
      <c r="C17" s="3">
        <v>232</v>
      </c>
      <c r="D17" s="4" t="s">
        <v>63</v>
      </c>
      <c r="E17" s="4" t="s">
        <v>67</v>
      </c>
      <c r="F17" s="4" t="s">
        <v>31</v>
      </c>
      <c r="G17" s="5">
        <v>0.65625</v>
      </c>
      <c r="H17" s="4" t="s">
        <v>68</v>
      </c>
      <c r="I17" s="4" t="s">
        <v>31</v>
      </c>
      <c r="J17" s="5">
        <v>0.68402777777777779</v>
      </c>
      <c r="K17" s="4"/>
    </row>
    <row r="18" spans="1:11" x14ac:dyDescent="0.35">
      <c r="A18" s="3">
        <v>17</v>
      </c>
      <c r="B18" s="4" t="s">
        <v>19</v>
      </c>
      <c r="C18" s="3">
        <v>189</v>
      </c>
      <c r="D18" s="4" t="s">
        <v>33</v>
      </c>
      <c r="E18" s="4" t="s">
        <v>69</v>
      </c>
      <c r="F18" s="4" t="s">
        <v>31</v>
      </c>
      <c r="G18" s="5">
        <v>0.66319444444444442</v>
      </c>
      <c r="H18" s="4" t="s">
        <v>70</v>
      </c>
      <c r="I18" s="4" t="s">
        <v>31</v>
      </c>
      <c r="J18" s="5">
        <v>0.69097222222222221</v>
      </c>
      <c r="K18" s="4"/>
    </row>
    <row r="19" spans="1:11" x14ac:dyDescent="0.35">
      <c r="A19" s="3">
        <v>18</v>
      </c>
      <c r="B19" s="4" t="s">
        <v>19</v>
      </c>
      <c r="C19" s="3">
        <v>232</v>
      </c>
      <c r="D19" s="4" t="s">
        <v>63</v>
      </c>
      <c r="E19" s="4" t="s">
        <v>71</v>
      </c>
      <c r="F19" s="4" t="s">
        <v>21</v>
      </c>
      <c r="G19" s="5">
        <v>0.67013888888888884</v>
      </c>
      <c r="H19" s="4" t="s">
        <v>72</v>
      </c>
      <c r="I19" s="4" t="s">
        <v>21</v>
      </c>
      <c r="J19" s="5">
        <v>0.69791666666666663</v>
      </c>
      <c r="K19" s="4"/>
    </row>
    <row r="20" spans="1:11" x14ac:dyDescent="0.35">
      <c r="A20" s="3">
        <v>19</v>
      </c>
      <c r="B20" s="4" t="s">
        <v>19</v>
      </c>
      <c r="C20" s="3">
        <v>232</v>
      </c>
      <c r="D20" s="4" t="s">
        <v>63</v>
      </c>
      <c r="E20" s="4" t="s">
        <v>73</v>
      </c>
      <c r="F20" s="4" t="s">
        <v>27</v>
      </c>
      <c r="G20" s="5">
        <v>0.74652777777777779</v>
      </c>
      <c r="H20" s="4" t="s">
        <v>74</v>
      </c>
      <c r="I20" s="4" t="s">
        <v>27</v>
      </c>
      <c r="J20" s="5">
        <v>0.77430555555555558</v>
      </c>
      <c r="K20" s="4"/>
    </row>
    <row r="21" spans="1:11" x14ac:dyDescent="0.35">
      <c r="A21" s="17">
        <v>20</v>
      </c>
      <c r="B21" s="18" t="s">
        <v>34</v>
      </c>
      <c r="C21" s="17">
        <v>78</v>
      </c>
      <c r="D21" s="18" t="s">
        <v>51</v>
      </c>
      <c r="E21" s="18" t="s">
        <v>75</v>
      </c>
      <c r="F21" s="18" t="s">
        <v>76</v>
      </c>
      <c r="G21" s="19">
        <v>0.76388888888888884</v>
      </c>
      <c r="H21" s="18" t="s">
        <v>77</v>
      </c>
      <c r="I21" s="18" t="s">
        <v>78</v>
      </c>
      <c r="J21" s="19">
        <v>0.78472222222222221</v>
      </c>
      <c r="K21" s="18"/>
    </row>
    <row r="22" spans="1:11" x14ac:dyDescent="0.35">
      <c r="A22" s="3">
        <v>21</v>
      </c>
      <c r="B22" s="4" t="s">
        <v>19</v>
      </c>
      <c r="C22" s="3">
        <v>189</v>
      </c>
      <c r="D22" s="4" t="s">
        <v>33</v>
      </c>
      <c r="E22" s="4" t="s">
        <v>81</v>
      </c>
      <c r="F22" s="4" t="s">
        <v>61</v>
      </c>
      <c r="G22" s="5">
        <v>0.77083333333333337</v>
      </c>
      <c r="H22" s="4" t="s">
        <v>82</v>
      </c>
      <c r="I22" s="4" t="s">
        <v>49</v>
      </c>
      <c r="J22" s="5">
        <v>0.79166666666666663</v>
      </c>
      <c r="K22" s="4"/>
    </row>
    <row r="23" spans="1:11" x14ac:dyDescent="0.35">
      <c r="A23" s="3">
        <v>22</v>
      </c>
      <c r="B23" s="4" t="s">
        <v>19</v>
      </c>
      <c r="C23" s="3">
        <v>232</v>
      </c>
      <c r="D23" s="4" t="s">
        <v>63</v>
      </c>
      <c r="E23" s="4" t="s">
        <v>83</v>
      </c>
      <c r="F23" s="4" t="s">
        <v>31</v>
      </c>
      <c r="G23" s="5">
        <v>0.77777777777777779</v>
      </c>
      <c r="H23" s="4" t="s">
        <v>84</v>
      </c>
      <c r="I23" s="4" t="s">
        <v>31</v>
      </c>
      <c r="J23" s="5">
        <v>0.80555555555555558</v>
      </c>
      <c r="K23" s="4"/>
    </row>
    <row r="24" spans="1:11" x14ac:dyDescent="0.35">
      <c r="A24" s="3">
        <v>23</v>
      </c>
      <c r="B24" s="4" t="s">
        <v>19</v>
      </c>
      <c r="C24" s="3">
        <v>232</v>
      </c>
      <c r="D24" s="4" t="s">
        <v>63</v>
      </c>
      <c r="E24" s="4" t="s">
        <v>85</v>
      </c>
      <c r="F24" s="4" t="s">
        <v>86</v>
      </c>
      <c r="G24" s="5">
        <v>0.79861111111111116</v>
      </c>
      <c r="H24" s="4" t="s">
        <v>87</v>
      </c>
      <c r="I24" s="4" t="s">
        <v>86</v>
      </c>
      <c r="J24" s="5">
        <v>0.82638888888888884</v>
      </c>
      <c r="K24" s="4"/>
    </row>
    <row r="25" spans="1:11" x14ac:dyDescent="0.35">
      <c r="A25" s="3">
        <v>24</v>
      </c>
      <c r="B25" s="4" t="s">
        <v>19</v>
      </c>
      <c r="C25" s="3">
        <v>232</v>
      </c>
      <c r="D25" s="4" t="s">
        <v>63</v>
      </c>
      <c r="E25" s="4" t="s">
        <v>88</v>
      </c>
      <c r="F25" s="4" t="s">
        <v>89</v>
      </c>
      <c r="G25" s="5">
        <v>0.83333333333333337</v>
      </c>
      <c r="H25" s="4" t="s">
        <v>90</v>
      </c>
      <c r="I25" s="4" t="s">
        <v>31</v>
      </c>
      <c r="J25" s="5">
        <v>0.86111111111111116</v>
      </c>
      <c r="K25" s="4"/>
    </row>
    <row r="26" spans="1:11" x14ac:dyDescent="0.35">
      <c r="A26" s="3">
        <v>25</v>
      </c>
      <c r="B26" s="4" t="s">
        <v>19</v>
      </c>
      <c r="C26" s="3">
        <v>232</v>
      </c>
      <c r="D26" s="4" t="s">
        <v>63</v>
      </c>
      <c r="E26" s="4" t="s">
        <v>91</v>
      </c>
      <c r="F26" s="4" t="s">
        <v>61</v>
      </c>
      <c r="G26" s="5">
        <v>0.85416666666666663</v>
      </c>
      <c r="H26" s="4" t="s">
        <v>92</v>
      </c>
      <c r="I26" s="4" t="s">
        <v>61</v>
      </c>
      <c r="J26" s="5">
        <v>0.88194444444444442</v>
      </c>
      <c r="K26" s="4"/>
    </row>
    <row r="27" spans="1:11" x14ac:dyDescent="0.35">
      <c r="A27" s="3">
        <v>26</v>
      </c>
      <c r="B27" s="4" t="s">
        <v>19</v>
      </c>
      <c r="C27" s="3">
        <v>186</v>
      </c>
      <c r="D27" s="4" t="s">
        <v>23</v>
      </c>
      <c r="E27" s="4" t="s">
        <v>93</v>
      </c>
      <c r="F27" s="4" t="s">
        <v>31</v>
      </c>
      <c r="G27" s="5">
        <v>0.86111111111111116</v>
      </c>
      <c r="H27" s="4" t="s">
        <v>94</v>
      </c>
      <c r="I27" s="4" t="s">
        <v>31</v>
      </c>
      <c r="J27" s="5">
        <v>0.88888888888888884</v>
      </c>
      <c r="K27" s="4"/>
    </row>
    <row r="28" spans="1:11" x14ac:dyDescent="0.35">
      <c r="A28" s="3">
        <v>27</v>
      </c>
      <c r="B28" s="4" t="s">
        <v>19</v>
      </c>
      <c r="C28" s="3">
        <v>186</v>
      </c>
      <c r="D28" s="4" t="s">
        <v>29</v>
      </c>
      <c r="E28" s="4" t="s">
        <v>95</v>
      </c>
      <c r="F28" s="4" t="s">
        <v>21</v>
      </c>
      <c r="G28" s="5">
        <v>0.86805555555555558</v>
      </c>
      <c r="H28" s="4" t="s">
        <v>96</v>
      </c>
      <c r="I28" s="4" t="s">
        <v>21</v>
      </c>
      <c r="J28" s="5">
        <v>0.89583333333333337</v>
      </c>
      <c r="K28" s="4"/>
    </row>
    <row r="29" spans="1:11" x14ac:dyDescent="0.35">
      <c r="A29" s="3">
        <v>28</v>
      </c>
      <c r="B29" s="4" t="s">
        <v>19</v>
      </c>
      <c r="C29" s="3">
        <v>189</v>
      </c>
      <c r="D29" s="4" t="s">
        <v>33</v>
      </c>
      <c r="E29" s="4" t="s">
        <v>97</v>
      </c>
      <c r="F29" s="4" t="s">
        <v>49</v>
      </c>
      <c r="G29" s="5">
        <v>0.90277777777777779</v>
      </c>
      <c r="H29" s="4" t="s">
        <v>97</v>
      </c>
      <c r="I29" s="4" t="s">
        <v>61</v>
      </c>
      <c r="J29" s="5">
        <v>0.92361111111111116</v>
      </c>
      <c r="K29" s="4"/>
    </row>
    <row r="30" spans="1:11" x14ac:dyDescent="0.35">
      <c r="A30" s="3">
        <v>29</v>
      </c>
      <c r="B30" s="4" t="s">
        <v>19</v>
      </c>
      <c r="C30" s="3">
        <v>232</v>
      </c>
      <c r="D30" s="4" t="s">
        <v>63</v>
      </c>
      <c r="E30" s="4" t="s">
        <v>98</v>
      </c>
      <c r="F30" s="4" t="s">
        <v>21</v>
      </c>
      <c r="G30" s="5">
        <v>0.92013888888888884</v>
      </c>
      <c r="H30" s="4" t="s">
        <v>99</v>
      </c>
      <c r="I30" s="4" t="s">
        <v>21</v>
      </c>
      <c r="J30" s="5">
        <v>0.94791666666666663</v>
      </c>
      <c r="K30" s="4"/>
    </row>
    <row r="31" spans="1:11" x14ac:dyDescent="0.35">
      <c r="A31" s="3">
        <v>30</v>
      </c>
      <c r="B31" s="4" t="s">
        <v>104</v>
      </c>
      <c r="C31" s="3">
        <v>186</v>
      </c>
      <c r="D31" s="4" t="s">
        <v>38</v>
      </c>
      <c r="E31" s="4" t="s">
        <v>105</v>
      </c>
      <c r="F31" s="4" t="s">
        <v>106</v>
      </c>
      <c r="G31" s="5">
        <v>0.92708333333333337</v>
      </c>
      <c r="H31" s="4" t="s">
        <v>107</v>
      </c>
      <c r="I31" s="4" t="s">
        <v>106</v>
      </c>
      <c r="J31" s="5">
        <v>0.95833333333333337</v>
      </c>
      <c r="K31" s="4" t="s">
        <v>118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28" customWidth="1"/>
    <col min="3" max="3" width="17" customWidth="1"/>
    <col min="4" max="4" width="24" customWidth="1"/>
    <col min="5" max="6" width="17" customWidth="1"/>
    <col min="7" max="7" width="28" customWidth="1"/>
  </cols>
  <sheetData>
    <row r="1" spans="1:7" x14ac:dyDescent="0.35">
      <c r="A1" s="1" t="s">
        <v>119</v>
      </c>
      <c r="B1" s="1" t="s">
        <v>120</v>
      </c>
      <c r="C1" s="1"/>
      <c r="D1" s="1"/>
      <c r="E1" s="1"/>
      <c r="F1" s="1"/>
      <c r="G1" s="1"/>
    </row>
    <row r="2" spans="1:7" x14ac:dyDescent="0.35">
      <c r="A2" s="20" t="s">
        <v>121</v>
      </c>
      <c r="B2" s="20" t="s">
        <v>122</v>
      </c>
      <c r="C2" s="20"/>
      <c r="D2" s="20"/>
      <c r="E2" s="20"/>
      <c r="F2" s="20"/>
      <c r="G2" s="20"/>
    </row>
    <row r="3" spans="1:7" x14ac:dyDescent="0.35">
      <c r="A3" s="4" t="s">
        <v>123</v>
      </c>
      <c r="B3" s="3">
        <v>210</v>
      </c>
      <c r="C3" s="4"/>
      <c r="D3" s="4"/>
      <c r="E3" s="4"/>
      <c r="F3" s="4"/>
      <c r="G3" s="4"/>
    </row>
    <row r="4" spans="1:7" x14ac:dyDescent="0.35">
      <c r="A4" s="20" t="s">
        <v>124</v>
      </c>
      <c r="B4" s="21">
        <v>30</v>
      </c>
      <c r="C4" s="20"/>
      <c r="D4" s="20"/>
      <c r="E4" s="20"/>
      <c r="F4" s="20"/>
      <c r="G4" s="20"/>
    </row>
    <row r="5" spans="1:7" x14ac:dyDescent="0.35">
      <c r="A5" s="4" t="s">
        <v>125</v>
      </c>
      <c r="B5" s="3">
        <v>5820</v>
      </c>
      <c r="C5" s="4"/>
      <c r="D5" s="4"/>
      <c r="E5" s="4"/>
      <c r="F5" s="4"/>
      <c r="G5" s="4"/>
    </row>
    <row r="6" spans="1:7" x14ac:dyDescent="0.35">
      <c r="A6" s="20" t="s">
        <v>126</v>
      </c>
      <c r="B6" s="21">
        <v>5820</v>
      </c>
      <c r="C6" s="20"/>
      <c r="D6" s="20"/>
      <c r="E6" s="20"/>
      <c r="F6" s="20"/>
      <c r="G6" s="20"/>
    </row>
    <row r="7" spans="1:7" x14ac:dyDescent="0.35">
      <c r="A7" s="4" t="s">
        <v>127</v>
      </c>
      <c r="B7" s="3">
        <v>5820</v>
      </c>
      <c r="C7" s="4"/>
      <c r="D7" s="4"/>
      <c r="E7" s="4"/>
      <c r="F7" s="4"/>
      <c r="G7" s="4"/>
    </row>
    <row r="8" spans="1:7" x14ac:dyDescent="0.35">
      <c r="A8" s="20" t="s">
        <v>128</v>
      </c>
      <c r="B8" s="21">
        <v>11640</v>
      </c>
      <c r="C8" s="20"/>
      <c r="D8" s="20"/>
      <c r="E8" s="20"/>
      <c r="F8" s="20"/>
      <c r="G8" s="20"/>
    </row>
    <row r="9" spans="1:7" x14ac:dyDescent="0.35">
      <c r="A9" s="4" t="s">
        <v>129</v>
      </c>
      <c r="B9" s="3">
        <v>1076790</v>
      </c>
      <c r="C9" s="4"/>
      <c r="D9" s="4"/>
      <c r="E9" s="4"/>
      <c r="F9" s="4"/>
      <c r="G9" s="4"/>
    </row>
    <row r="10" spans="1:7" x14ac:dyDescent="0.35">
      <c r="A10" s="20" t="s">
        <v>130</v>
      </c>
      <c r="B10" s="21">
        <v>1076790</v>
      </c>
      <c r="C10" s="20"/>
      <c r="D10" s="20"/>
      <c r="E10" s="20"/>
      <c r="F10" s="20"/>
      <c r="G10" s="20"/>
    </row>
    <row r="11" spans="1:7" x14ac:dyDescent="0.35">
      <c r="A11" s="4" t="s">
        <v>131</v>
      </c>
      <c r="B11" s="3">
        <v>120</v>
      </c>
      <c r="C11" s="4"/>
      <c r="D11" s="4"/>
      <c r="E11" s="4"/>
      <c r="F11" s="4"/>
      <c r="G11" s="4"/>
    </row>
    <row r="12" spans="1:7" x14ac:dyDescent="0.35">
      <c r="A12" s="20"/>
      <c r="B12" s="20"/>
      <c r="C12" s="20"/>
      <c r="D12" s="20"/>
      <c r="E12" s="20"/>
      <c r="F12" s="20"/>
      <c r="G12" s="20"/>
    </row>
    <row r="13" spans="1:7" x14ac:dyDescent="0.35">
      <c r="A13" s="4" t="s">
        <v>1</v>
      </c>
      <c r="B13" s="4" t="s">
        <v>2</v>
      </c>
      <c r="C13" s="4" t="s">
        <v>132</v>
      </c>
      <c r="D13" s="4" t="s">
        <v>133</v>
      </c>
      <c r="E13" s="4" t="s">
        <v>134</v>
      </c>
      <c r="F13" s="4" t="s">
        <v>135</v>
      </c>
      <c r="G13" s="4" t="s">
        <v>136</v>
      </c>
    </row>
    <row r="14" spans="1:7" x14ac:dyDescent="0.35">
      <c r="A14" s="21">
        <v>1</v>
      </c>
      <c r="B14" s="20" t="s">
        <v>100</v>
      </c>
      <c r="C14" s="21">
        <v>30</v>
      </c>
      <c r="D14" s="21">
        <v>29</v>
      </c>
      <c r="E14" s="21">
        <v>870</v>
      </c>
      <c r="F14" s="21">
        <v>1740</v>
      </c>
      <c r="G14" s="21">
        <v>161040</v>
      </c>
    </row>
    <row r="15" spans="1:7" x14ac:dyDescent="0.35">
      <c r="A15" s="3">
        <v>2</v>
      </c>
      <c r="B15" s="4" t="s">
        <v>108</v>
      </c>
      <c r="C15" s="3">
        <v>30</v>
      </c>
      <c r="D15" s="3">
        <v>27</v>
      </c>
      <c r="E15" s="3">
        <v>810</v>
      </c>
      <c r="F15" s="3">
        <v>1620</v>
      </c>
      <c r="G15" s="3">
        <v>149880</v>
      </c>
    </row>
    <row r="16" spans="1:7" x14ac:dyDescent="0.35">
      <c r="A16" s="21">
        <v>3</v>
      </c>
      <c r="B16" s="20" t="s">
        <v>113</v>
      </c>
      <c r="C16" s="21">
        <v>30</v>
      </c>
      <c r="D16" s="21">
        <v>28</v>
      </c>
      <c r="E16" s="21">
        <v>840</v>
      </c>
      <c r="F16" s="21">
        <v>1680</v>
      </c>
      <c r="G16" s="21">
        <v>155370</v>
      </c>
    </row>
    <row r="17" spans="1:7" x14ac:dyDescent="0.35">
      <c r="A17" s="3">
        <v>4</v>
      </c>
      <c r="B17" s="4" t="s">
        <v>114</v>
      </c>
      <c r="C17" s="3">
        <v>30</v>
      </c>
      <c r="D17" s="3">
        <v>27</v>
      </c>
      <c r="E17" s="3">
        <v>810</v>
      </c>
      <c r="F17" s="3">
        <v>1620</v>
      </c>
      <c r="G17" s="3">
        <v>149880</v>
      </c>
    </row>
    <row r="18" spans="1:7" x14ac:dyDescent="0.35">
      <c r="A18" s="21">
        <v>5</v>
      </c>
      <c r="B18" s="20" t="s">
        <v>115</v>
      </c>
      <c r="C18" s="21">
        <v>30</v>
      </c>
      <c r="D18" s="21">
        <v>28</v>
      </c>
      <c r="E18" s="21">
        <v>840</v>
      </c>
      <c r="F18" s="21">
        <v>1680</v>
      </c>
      <c r="G18" s="21">
        <v>155370</v>
      </c>
    </row>
    <row r="19" spans="1:7" x14ac:dyDescent="0.35">
      <c r="A19" s="3">
        <v>6</v>
      </c>
      <c r="B19" s="4" t="s">
        <v>116</v>
      </c>
      <c r="C19" s="3">
        <v>30</v>
      </c>
      <c r="D19" s="3">
        <v>28</v>
      </c>
      <c r="E19" s="3">
        <v>840</v>
      </c>
      <c r="F19" s="3">
        <v>1680</v>
      </c>
      <c r="G19" s="3">
        <v>155460</v>
      </c>
    </row>
    <row r="20" spans="1:7" x14ac:dyDescent="0.35">
      <c r="A20" s="21">
        <v>7</v>
      </c>
      <c r="B20" s="20" t="s">
        <v>17</v>
      </c>
      <c r="C20" s="21">
        <v>30</v>
      </c>
      <c r="D20" s="21">
        <v>27</v>
      </c>
      <c r="E20" s="21">
        <v>810</v>
      </c>
      <c r="F20" s="21">
        <v>1620</v>
      </c>
      <c r="G20" s="21">
        <v>149790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3" customWidth="1"/>
    <col min="3" max="3" width="15" customWidth="1"/>
    <col min="4" max="5" width="11" customWidth="1"/>
    <col min="6" max="6" width="28" customWidth="1"/>
  </cols>
  <sheetData>
    <row r="1" spans="1:6" x14ac:dyDescent="0.35">
      <c r="A1" s="1" t="s">
        <v>7</v>
      </c>
      <c r="B1" s="1" t="s">
        <v>10</v>
      </c>
      <c r="C1" s="1" t="s">
        <v>14</v>
      </c>
      <c r="D1" s="1" t="s">
        <v>137</v>
      </c>
      <c r="E1" s="1" t="s">
        <v>138</v>
      </c>
      <c r="F1" s="1" t="s">
        <v>136</v>
      </c>
    </row>
    <row r="2" spans="1:6" x14ac:dyDescent="0.35">
      <c r="A2" s="4" t="s">
        <v>76</v>
      </c>
      <c r="B2" s="4" t="s">
        <v>78</v>
      </c>
      <c r="C2" s="4" t="s">
        <v>24</v>
      </c>
      <c r="D2" s="3">
        <v>120</v>
      </c>
      <c r="E2" s="3">
        <v>240</v>
      </c>
      <c r="F2" s="3">
        <v>9360</v>
      </c>
    </row>
    <row r="3" spans="1:6" x14ac:dyDescent="0.35">
      <c r="A3" s="4" t="s">
        <v>36</v>
      </c>
      <c r="B3" s="4" t="s">
        <v>36</v>
      </c>
      <c r="C3" s="4" t="s">
        <v>39</v>
      </c>
      <c r="D3" s="3">
        <v>120</v>
      </c>
      <c r="E3" s="3">
        <v>240</v>
      </c>
      <c r="F3" s="3">
        <v>22320</v>
      </c>
    </row>
    <row r="4" spans="1:6" x14ac:dyDescent="0.35">
      <c r="A4" s="4" t="s">
        <v>61</v>
      </c>
      <c r="B4" s="4" t="s">
        <v>61</v>
      </c>
      <c r="C4" s="4" t="s">
        <v>24</v>
      </c>
      <c r="D4" s="3">
        <v>540</v>
      </c>
      <c r="E4" s="3">
        <v>1080</v>
      </c>
      <c r="F4" s="3">
        <v>120120</v>
      </c>
    </row>
    <row r="5" spans="1:6" x14ac:dyDescent="0.35">
      <c r="A5" s="4" t="s">
        <v>61</v>
      </c>
      <c r="B5" s="4" t="s">
        <v>49</v>
      </c>
      <c r="C5" s="4" t="s">
        <v>24</v>
      </c>
      <c r="D5" s="3">
        <v>210</v>
      </c>
      <c r="E5" s="3">
        <v>420</v>
      </c>
      <c r="F5" s="3">
        <v>39690</v>
      </c>
    </row>
    <row r="6" spans="1:6" x14ac:dyDescent="0.35">
      <c r="A6" s="4" t="s">
        <v>86</v>
      </c>
      <c r="B6" s="4" t="s">
        <v>86</v>
      </c>
      <c r="C6" s="4" t="s">
        <v>24</v>
      </c>
      <c r="D6" s="3">
        <v>210</v>
      </c>
      <c r="E6" s="3">
        <v>420</v>
      </c>
      <c r="F6" s="3">
        <v>48720</v>
      </c>
    </row>
    <row r="7" spans="1:6" x14ac:dyDescent="0.35">
      <c r="A7" s="4" t="s">
        <v>21</v>
      </c>
      <c r="B7" s="4" t="s">
        <v>21</v>
      </c>
      <c r="C7" s="4" t="s">
        <v>24</v>
      </c>
      <c r="D7" s="3">
        <v>840</v>
      </c>
      <c r="E7" s="3">
        <v>1680</v>
      </c>
      <c r="F7" s="3">
        <v>175560</v>
      </c>
    </row>
    <row r="8" spans="1:6" x14ac:dyDescent="0.35">
      <c r="A8" s="4" t="s">
        <v>31</v>
      </c>
      <c r="B8" s="4" t="s">
        <v>66</v>
      </c>
      <c r="C8" s="4" t="s">
        <v>24</v>
      </c>
      <c r="D8" s="3">
        <v>210</v>
      </c>
      <c r="E8" s="3">
        <v>420</v>
      </c>
      <c r="F8" s="3">
        <v>48720</v>
      </c>
    </row>
    <row r="9" spans="1:6" x14ac:dyDescent="0.35">
      <c r="A9" s="4" t="s">
        <v>31</v>
      </c>
      <c r="B9" s="4" t="s">
        <v>31</v>
      </c>
      <c r="C9" s="4" t="s">
        <v>24</v>
      </c>
      <c r="D9" s="3">
        <v>1680</v>
      </c>
      <c r="E9" s="3">
        <v>3360</v>
      </c>
      <c r="F9" s="3">
        <v>333060</v>
      </c>
    </row>
    <row r="10" spans="1:6" x14ac:dyDescent="0.35">
      <c r="A10" s="4" t="s">
        <v>111</v>
      </c>
      <c r="B10" s="4" t="s">
        <v>111</v>
      </c>
      <c r="C10" s="4" t="s">
        <v>24</v>
      </c>
      <c r="D10" s="3">
        <v>90</v>
      </c>
      <c r="E10" s="3">
        <v>180</v>
      </c>
      <c r="F10" s="3">
        <v>7020</v>
      </c>
    </row>
    <row r="11" spans="1:6" x14ac:dyDescent="0.35">
      <c r="A11" s="4" t="s">
        <v>27</v>
      </c>
      <c r="B11" s="4" t="s">
        <v>27</v>
      </c>
      <c r="C11" s="4" t="s">
        <v>24</v>
      </c>
      <c r="D11" s="3">
        <v>630</v>
      </c>
      <c r="E11" s="3">
        <v>1260</v>
      </c>
      <c r="F11" s="3">
        <v>126840</v>
      </c>
    </row>
    <row r="12" spans="1:6" x14ac:dyDescent="0.35">
      <c r="A12" s="4" t="s">
        <v>89</v>
      </c>
      <c r="B12" s="4" t="s">
        <v>31</v>
      </c>
      <c r="C12" s="4" t="s">
        <v>24</v>
      </c>
      <c r="D12" s="3">
        <v>210</v>
      </c>
      <c r="E12" s="3">
        <v>420</v>
      </c>
      <c r="F12" s="3">
        <v>48720</v>
      </c>
    </row>
    <row r="13" spans="1:6" x14ac:dyDescent="0.35">
      <c r="A13" s="4" t="s">
        <v>43</v>
      </c>
      <c r="B13" s="4" t="s">
        <v>43</v>
      </c>
      <c r="C13" s="4" t="s">
        <v>24</v>
      </c>
      <c r="D13" s="3">
        <v>210</v>
      </c>
      <c r="E13" s="3">
        <v>420</v>
      </c>
      <c r="F13" s="3">
        <v>1890</v>
      </c>
    </row>
    <row r="14" spans="1:6" x14ac:dyDescent="0.35">
      <c r="A14" s="4" t="s">
        <v>106</v>
      </c>
      <c r="B14" s="4" t="s">
        <v>106</v>
      </c>
      <c r="C14" s="4" t="s">
        <v>39</v>
      </c>
      <c r="D14" s="3">
        <v>120</v>
      </c>
      <c r="E14" s="3">
        <v>240</v>
      </c>
      <c r="F14" s="3">
        <v>22320</v>
      </c>
    </row>
    <row r="15" spans="1:6" x14ac:dyDescent="0.35">
      <c r="A15" s="4" t="s">
        <v>58</v>
      </c>
      <c r="B15" s="4" t="s">
        <v>58</v>
      </c>
      <c r="C15" s="4" t="s">
        <v>24</v>
      </c>
      <c r="D15" s="3">
        <v>210</v>
      </c>
      <c r="E15" s="3">
        <v>420</v>
      </c>
      <c r="F15" s="3">
        <v>16380</v>
      </c>
    </row>
    <row r="16" spans="1:6" x14ac:dyDescent="0.35">
      <c r="A16" s="4" t="s">
        <v>49</v>
      </c>
      <c r="B16" s="4" t="s">
        <v>61</v>
      </c>
      <c r="C16" s="4" t="s">
        <v>24</v>
      </c>
      <c r="D16" s="3">
        <v>210</v>
      </c>
      <c r="E16" s="3">
        <v>420</v>
      </c>
      <c r="F16" s="3">
        <v>39690</v>
      </c>
    </row>
    <row r="17" spans="1:6" x14ac:dyDescent="0.35">
      <c r="A17" s="4" t="s">
        <v>49</v>
      </c>
      <c r="B17" s="4" t="s">
        <v>49</v>
      </c>
      <c r="C17" s="4" t="s">
        <v>24</v>
      </c>
      <c r="D17" s="3">
        <v>210</v>
      </c>
      <c r="E17" s="3">
        <v>420</v>
      </c>
      <c r="F17" s="3">
        <v>16380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Schedule</vt:lpstr>
      <vt:lpstr>Source Schedule</vt:lpstr>
      <vt:lpstr>Executive Summary</vt:lpstr>
      <vt:lpstr>Route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VTZ S26 Day by Day Flight Schedule</dc:title>
  <dc:subject/>
  <dc:creator>Avrajyoti Batabyal</dc:creator>
  <cp:keywords/>
  <dc:description/>
  <cp:lastModifiedBy>Avrajyoti Batabyal</cp:lastModifiedBy>
  <cp:revision/>
  <dcterms:created xsi:type="dcterms:W3CDTF">2026-07-16T06:27:08Z</dcterms:created>
  <dcterms:modified xsi:type="dcterms:W3CDTF">2026-07-16T10:20:01Z</dcterms:modified>
  <cp:category/>
  <cp:contentStatus/>
</cp:coreProperties>
</file>